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5D1C975-80D5-450F-A19C-3681676A52FA}"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<sst xmlns="http://schemas.openxmlformats.org/spreadsheetml/2006/main" count="333" uniqueCount="276">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</sst>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0.14037501076975747</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J4" sqref="J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15.93</v>
      </c>
      <c r="E3" s="12" t="s">
        <v>232</v>
      </c>
      <c r="F3" s="15">
        <v>0.22866974293726483</v>
      </c>
      <c r="G3" s="15">
        <f>F3 - Portfolio_Mgmt!$C$10</f>
        <v>0.14166974293726484</v>
      </c>
      <c r="H3" s="15">
        <f>F3 - Portfolio_Mgmt!$C$11</f>
        <v>0.20966974293726484</v>
      </c>
      <c r="I3" s="15">
        <v>0.33927261563392408</v>
      </c>
      <c r="J3" s="2">
        <v>12.534408209968158</v>
      </c>
      <c r="K3" s="2">
        <v>25.584938697660867</v>
      </c>
      <c r="L3" s="85">
        <v>24.315000552184742</v>
      </c>
      <c r="M3" s="2">
        <v>17.577047192866189</v>
      </c>
      <c r="N3" s="2">
        <v>22.61787767563613</v>
      </c>
      <c r="O3" s="4">
        <v>8.5349616990602714E-2</v>
      </c>
      <c r="P3" s="4">
        <v>6.6541117388575016E-2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57.8</v>
      </c>
      <c r="E4" s="12" t="s">
        <v>232</v>
      </c>
      <c r="F4" s="15">
        <v>0.16403992868784401</v>
      </c>
      <c r="G4" s="15">
        <f>F4 - Portfolio_Mgmt!$C$10</f>
        <v>7.7039928687844011E-2</v>
      </c>
      <c r="H4" s="15">
        <f>F4 - Portfolio_Mgmt!$C$11</f>
        <v>0.14503992868784402</v>
      </c>
      <c r="I4" s="15">
        <v>0.2433826835131217</v>
      </c>
      <c r="J4" s="2">
        <v>38.753046443654675</v>
      </c>
      <c r="K4" s="2">
        <v>82.72003076740333</v>
      </c>
      <c r="L4" s="85">
        <v>75.868561604045041</v>
      </c>
      <c r="M4" s="2">
        <v>54.620804067443785</v>
      </c>
      <c r="N4" s="2">
        <v>70.513102505372515</v>
      </c>
      <c r="O4" s="4">
        <v>7.5069569246106749E-2</v>
      </c>
      <c r="P4" s="4">
        <v>4.1522491349480967E-2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45.26</v>
      </c>
      <c r="E5" s="12" t="s">
        <v>232</v>
      </c>
      <c r="F5" s="15">
        <v>0.14631381557877776</v>
      </c>
      <c r="G5" s="15">
        <f>F5 - Portfolio_Mgmt!$C$10</f>
        <v>5.9313815578777768E-2</v>
      </c>
      <c r="H5" s="15">
        <f>F5 - Portfolio_Mgmt!$C$11</f>
        <v>0.12731381557877777</v>
      </c>
      <c r="I5" s="15">
        <v>0.11734470085295423</v>
      </c>
      <c r="J5" s="2">
        <v>28.803263731047231</v>
      </c>
      <c r="K5" s="2">
        <v>64.714648137522119</v>
      </c>
      <c r="L5" s="85">
        <v>57.008678420375631</v>
      </c>
      <c r="M5" s="2">
        <v>40.844732114544499</v>
      </c>
      <c r="N5" s="2">
        <v>52.931363368704652</v>
      </c>
      <c r="O5" s="4">
        <v>4.7790086401762237E-2</v>
      </c>
      <c r="P5" s="4">
        <v>2.209456473707468E-2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5.23</v>
      </c>
      <c r="E6" s="12" t="s">
        <v>232</v>
      </c>
      <c r="F6" s="15">
        <v>0.13656600369515881</v>
      </c>
      <c r="G6" s="15">
        <f>F6 - Portfolio_Mgmt!$C$10</f>
        <v>4.9566003695158817E-2</v>
      </c>
      <c r="H6" s="15">
        <f>F6 - Portfolio_Mgmt!$C$11</f>
        <v>0.11756600369515881</v>
      </c>
      <c r="I6" s="15">
        <v>0</v>
      </c>
      <c r="J6" s="2">
        <v>3.2714103607293628</v>
      </c>
      <c r="K6" s="2">
        <v>6.9895661568976033</v>
      </c>
      <c r="L6" s="85">
        <v>6.4058499272029952</v>
      </c>
      <c r="M6" s="2">
        <v>4.6114224254647684</v>
      </c>
      <c r="N6" s="2">
        <v>5.9535611226219638</v>
      </c>
      <c r="O6" s="4">
        <v>4.3977073962037157E-2</v>
      </c>
      <c r="P6" s="4">
        <v>3.8432122370936898E-2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65.7</v>
      </c>
      <c r="E7" s="12" t="s">
        <v>232</v>
      </c>
      <c r="F7" s="15">
        <v>0.12498434453750562</v>
      </c>
      <c r="G7" s="15">
        <f>F7 - Portfolio_Mgmt!$C$10</f>
        <v>3.7984344537505627E-2</v>
      </c>
      <c r="H7" s="15">
        <f>F7 - Portfolio_Mgmt!$C$11</f>
        <v>0.10598434453750562</v>
      </c>
      <c r="I7" s="15">
        <v>0</v>
      </c>
      <c r="J7" s="2">
        <v>40.566233510579387</v>
      </c>
      <c r="K7" s="2">
        <v>77.785604602754844</v>
      </c>
      <c r="L7" s="85">
        <v>77.731780095947357</v>
      </c>
      <c r="M7" s="2">
        <v>56.501711311401053</v>
      </c>
      <c r="N7" s="2">
        <v>72.389553073938998</v>
      </c>
      <c r="O7" s="4">
        <v>5.5089419714615728E-2</v>
      </c>
      <c r="P7" s="4">
        <v>7.0730593607305936E-2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23.11</v>
      </c>
      <c r="E8" s="12" t="s">
        <v>232</v>
      </c>
      <c r="F8" s="15">
        <v>0.10612587528562245</v>
      </c>
      <c r="G8" s="15">
        <f>F8 - Portfolio_Mgmt!$C$10</f>
        <v>1.9125875285622457E-2</v>
      </c>
      <c r="H8" s="15">
        <f>F8 - Portfolio_Mgmt!$C$11</f>
        <v>8.7125875285622448E-2</v>
      </c>
      <c r="I8" s="15">
        <v>0</v>
      </c>
      <c r="J8" s="2">
        <v>13.438941031541804</v>
      </c>
      <c r="K8" s="2">
        <v>27.746753827145845</v>
      </c>
      <c r="L8" s="85">
        <v>26.130102221251306</v>
      </c>
      <c r="M8" s="2">
        <v>18.869653870203344</v>
      </c>
      <c r="N8" s="2">
        <v>24.301055185803946</v>
      </c>
      <c r="O8" s="4">
        <v>5.7302506351112066E-2</v>
      </c>
      <c r="P8" s="4">
        <v>4.5867589787970578E-2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10.59</v>
      </c>
      <c r="E9" s="12" t="s">
        <v>232</v>
      </c>
      <c r="F9" s="15">
        <v>0.10386099380261116</v>
      </c>
      <c r="G9" s="15">
        <f>F9 - Portfolio_Mgmt!$C$10</f>
        <v>1.6860993802611163E-2</v>
      </c>
      <c r="H9" s="15">
        <f>F9 - Portfolio_Mgmt!$C$11</f>
        <v>8.4860993802611154E-2</v>
      </c>
      <c r="I9" s="15">
        <v>0</v>
      </c>
      <c r="J9" s="2">
        <v>6.0942417132402751</v>
      </c>
      <c r="K9" s="2">
        <v>12.91528670453229</v>
      </c>
      <c r="L9" s="85">
        <v>11.913128542800674</v>
      </c>
      <c r="M9" s="2">
        <v>8.582443057830476</v>
      </c>
      <c r="N9" s="2">
        <v>11.073728055846336</v>
      </c>
      <c r="O9" s="4">
        <v>3.3315807213132369E-2</v>
      </c>
      <c r="P9" s="4">
        <v>3.7771482530689335E-2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22.64</v>
      </c>
      <c r="E10" s="12" t="s">
        <v>232</v>
      </c>
      <c r="F10" s="15">
        <v>0.103326455001991</v>
      </c>
      <c r="G10" s="15">
        <f>F10 - Portfolio_Mgmt!$C$10</f>
        <v>1.6326455001991008E-2</v>
      </c>
      <c r="H10" s="15">
        <f>F10 - Portfolio_Mgmt!$C$11</f>
        <v>8.4326455001990999E-2</v>
      </c>
      <c r="I10" s="15">
        <v>0</v>
      </c>
      <c r="J10" s="2">
        <v>13.079690025486418</v>
      </c>
      <c r="K10" s="2">
        <v>26.888151196428591</v>
      </c>
      <c r="L10" s="85">
        <v>25.409202896038835</v>
      </c>
      <c r="M10" s="2">
        <v>18.356272555350223</v>
      </c>
      <c r="N10" s="2">
        <v>23.632551844105855</v>
      </c>
      <c r="O10" s="4">
        <v>0.24387660393055821</v>
      </c>
      <c r="P10" s="4">
        <v>4.6819787985865724E-2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21.56</v>
      </c>
      <c r="E11" s="12" t="s">
        <v>232</v>
      </c>
      <c r="F11" s="15">
        <v>6.610289652545509E-2</v>
      </c>
      <c r="G11" s="15">
        <f>F11 - Portfolio_Mgmt!$C$10</f>
        <v>-2.0897103474544904E-2</v>
      </c>
      <c r="H11" s="15">
        <f>F11 - Portfolio_Mgmt!$C$11</f>
        <v>4.7102896525455087E-2</v>
      </c>
      <c r="I11" s="15">
        <v>0</v>
      </c>
      <c r="J11" s="2">
        <v>11.355103666814504</v>
      </c>
      <c r="K11" s="2">
        <v>22.601441956902718</v>
      </c>
      <c r="L11" s="85">
        <v>21.916919635758642</v>
      </c>
      <c r="M11" s="2">
        <v>15.879140273250821</v>
      </c>
      <c r="N11" s="2">
        <v>20.396738931178472</v>
      </c>
      <c r="O11" s="4">
        <v>5.0196881904144924E-2</v>
      </c>
      <c r="P11" s="4">
        <v>5.1020408163265314E-2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13.31</v>
      </c>
      <c r="E12" s="12" t="s">
        <v>232</v>
      </c>
      <c r="F12" s="15">
        <v>-5.0551725042324858E-2</v>
      </c>
      <c r="G12" s="15">
        <f>F12 - Portfolio_Mgmt!$C$10</f>
        <v>-0.13755172504232485</v>
      </c>
      <c r="H12" s="15">
        <f>F12 - Portfolio_Mgmt!$C$11</f>
        <v>-6.9551725042324861E-2</v>
      </c>
      <c r="I12" s="15">
        <v>0</v>
      </c>
      <c r="J12" s="2">
        <v>4.9796479824958464</v>
      </c>
      <c r="K12" s="2">
        <v>10.251430255232371</v>
      </c>
      <c r="L12" s="85">
        <v>9.6765033007385046</v>
      </c>
      <c r="M12" s="2">
        <v>6.9896525426428742</v>
      </c>
      <c r="N12" s="2">
        <v>8.9996639027078977</v>
      </c>
      <c r="O12" s="4">
        <v>3.3331342594402097E-2</v>
      </c>
      <c r="P12" s="4">
        <v>3.005259203606311E-2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4"/>
  <sheetViews>
    <sheetView tabSelected="1" zoomScale="150" workbookViewId="0">
      <selection activeCell="J5" sqref="J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141715</v>
      </c>
      <c r="G3" s="72">
        <f t="shared" ref="G3:G4" si="0">F3/$F$11</f>
        <v>0.4898802219264739</v>
      </c>
      <c r="H3" s="89">
        <f>Portfolio_Mgmt!E61</f>
        <v>0.3</v>
      </c>
      <c r="I3" s="96" t="s">
        <v>265</v>
      </c>
      <c r="J3" s="96" t="s">
        <v>265</v>
      </c>
      <c r="K3" s="96" t="s">
        <v>265</v>
      </c>
      <c r="L3" s="96" t="s">
        <v>265</v>
      </c>
    </row>
    <row r="4" spans="1:12">
      <c r="B4" s="77" t="s">
        <v>239</v>
      </c>
      <c r="C4" s="74">
        <f>VLOOKUP(B4,Opportunities!B$3:E$30,3,FALSE)</f>
        <v>22.64</v>
      </c>
      <c r="D4" s="73" t="str">
        <f>VLOOKUP(B4,Opportunities!B$3:E$30,4,FALSE)</f>
        <v>CNY</v>
      </c>
      <c r="E4" s="70">
        <v>3000</v>
      </c>
      <c r="F4" s="75">
        <f>C4*E4</f>
        <v>67920</v>
      </c>
      <c r="G4" s="72">
        <f t="shared" si="0"/>
        <v>0.23478576490312322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15.93</v>
      </c>
      <c r="D5" s="73" t="str">
        <f>VLOOKUP(B5,Opportunities!B$3:E$30,4,FALSE)</f>
        <v>CNY</v>
      </c>
      <c r="E5" s="70">
        <v>5000</v>
      </c>
      <c r="F5" s="75">
        <f>C5*E5</f>
        <v>79650</v>
      </c>
      <c r="G5" s="72">
        <f t="shared" ref="G5" si="1">F5/$F$11</f>
        <v>0.2753340131704029</v>
      </c>
      <c r="H5" s="72">
        <f>VLOOKUP(B5,Opportunities!B$3:I$30,8,FALSE)</f>
        <v>0.33927261563392408</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289285</v>
      </c>
      <c r="G11" s="81">
        <f>SUM(G3:G9)</f>
        <v>1</v>
      </c>
      <c r="H11" s="87">
        <f>SUM(H3:H9)</f>
        <v>0.63927261563392412</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22.64</v>
      </c>
      <c r="D14" s="73" t="str">
        <f>VLOOKUP(B14,Opportunities!B$3:E$30,4,FALSE)</f>
        <v>CNY</v>
      </c>
      <c r="E14" s="70">
        <v>-3000</v>
      </c>
      <c r="F14" s="75">
        <f>-C14*E14</f>
        <v>67920</v>
      </c>
      <c r="G14" s="72">
        <f>-F14/$F$11</f>
        <v>-0.23478576490312322</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45.26</v>
      </c>
      <c r="D15" s="73" t="str">
        <f>VLOOKUP(B15,Opportunities!B$3:E$30,4,FALSE)</f>
        <v>CNY</v>
      </c>
      <c r="E15" s="70">
        <v>0</v>
      </c>
      <c r="F15" s="75">
        <f>-C15*E15</f>
        <v>0</v>
      </c>
      <c r="G15" s="72">
        <f>-F15/$F$11</f>
        <v>0</v>
      </c>
      <c r="H15" s="72">
        <f>VLOOKUP(B15,Opportunities!B$3:I$30,8,FALSE)</f>
        <v>0.11734470085295423</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G16" s="86"/>
      <c r="H16" s="86"/>
    </row>
    <row r="17" spans="2:12" ht="13.15">
      <c r="B17" s="82" t="s">
        <v>218</v>
      </c>
      <c r="C17" s="83" t="s">
        <v>214</v>
      </c>
      <c r="D17" s="84" t="s">
        <v>153</v>
      </c>
      <c r="E17" s="83" t="s">
        <v>214</v>
      </c>
      <c r="F17" s="80">
        <f>F3+SUM(F14:F14)</f>
        <v>209635</v>
      </c>
      <c r="G17" s="87">
        <f t="shared" ref="G17" si="2">F17/$F$11</f>
        <v>0.72466598682959715</v>
      </c>
      <c r="H17" s="87">
        <f>Portfolio_Mgmt!E61</f>
        <v>0.3</v>
      </c>
      <c r="I17" s="97" t="s">
        <v>265</v>
      </c>
      <c r="J17" s="97" t="s">
        <v>265</v>
      </c>
      <c r="K17" s="97" t="s">
        <v>265</v>
      </c>
      <c r="L17" s="97" t="s">
        <v>265</v>
      </c>
    </row>
    <row r="19" spans="2:12">
      <c r="B19" s="66"/>
      <c r="C19" s="69"/>
      <c r="D19" s="66"/>
      <c r="E19" s="70"/>
      <c r="F19" s="70"/>
    </row>
    <row r="29" spans="2:12">
      <c r="B29" s="66"/>
      <c r="C29" s="69"/>
      <c r="D29" s="66"/>
      <c r="E29" s="70"/>
      <c r="F29"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2025-06-02T10:01:56Z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