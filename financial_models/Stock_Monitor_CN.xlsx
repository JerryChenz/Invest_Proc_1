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5D414B3-D938-4AAB-AF59-D7835A10AB8B}"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<sst xmlns="http://schemas.openxmlformats.org/spreadsheetml/2006/main" count="334" uniqueCount="276">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</sst>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0.13622076029805627</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16.23</v>
      </c>
      <c r="E3" s="12" t="s">
        <v>232</v>
      </c>
      <c r="F3" s="15">
        <v>0.22064810646638167</v>
      </c>
      <c r="G3" s="15">
        <f>F3 - Portfolio_Mgmt!$C$10</f>
        <v>0.13364810646638167</v>
      </c>
      <c r="H3" s="15">
        <f>F3 - Portfolio_Mgmt!$C$11</f>
        <v>0.20164810646638168</v>
      </c>
      <c r="I3" s="15">
        <v>0.32737107784329628</v>
      </c>
      <c r="J3" s="2">
        <v>12.534408209968158</v>
      </c>
      <c r="K3" s="2">
        <v>25.584938697660867</v>
      </c>
      <c r="L3" s="85">
        <v>24.315000552184742</v>
      </c>
      <c r="M3" s="2">
        <v>17.577047192866189</v>
      </c>
      <c r="N3" s="2">
        <v>22.61787767563613</v>
      </c>
      <c r="O3" s="4">
        <v>8.3771990059168286E-2</v>
      </c>
      <c r="P3" s="4">
        <v>6.5311152187307459E-2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57.95</v>
      </c>
      <c r="E4" s="12" t="s">
        <v>232</v>
      </c>
      <c r="F4" s="15">
        <v>0.16299937898285255</v>
      </c>
      <c r="G4" s="15">
        <f>F4 - Portfolio_Mgmt!$C$10</f>
        <v>7.5999378982852556E-2</v>
      </c>
      <c r="H4" s="15">
        <f>F4 - Portfolio_Mgmt!$C$11</f>
        <v>0.14399937898285256</v>
      </c>
      <c r="I4" s="15">
        <v>0.24183884122084953</v>
      </c>
      <c r="J4" s="2">
        <v>38.753046443654675</v>
      </c>
      <c r="K4" s="2">
        <v>82.72003076740333</v>
      </c>
      <c r="L4" s="85">
        <v>75.868561604045041</v>
      </c>
      <c r="M4" s="2">
        <v>54.620804067443785</v>
      </c>
      <c r="N4" s="2">
        <v>70.513102505372515</v>
      </c>
      <c r="O4" s="4">
        <v>7.4875256297238471E-2</v>
      </c>
      <c r="P4" s="4">
        <v>4.1415012942191541E-2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45.5</v>
      </c>
      <c r="E5" s="12" t="s">
        <v>232</v>
      </c>
      <c r="F5" s="15">
        <v>0.14425689465240721</v>
      </c>
      <c r="G5" s="15">
        <f>F5 - Portfolio_Mgmt!$C$10</f>
        <v>5.7256894652407214E-2</v>
      </c>
      <c r="H5" s="15">
        <f>F5 - Portfolio_Mgmt!$C$11</f>
        <v>0.12525689465240722</v>
      </c>
      <c r="I5" s="15">
        <v>0.1307900809358542</v>
      </c>
      <c r="J5" s="2">
        <v>28.803263731047231</v>
      </c>
      <c r="K5" s="2">
        <v>64.714648137522119</v>
      </c>
      <c r="L5" s="85">
        <v>57.008678420375631</v>
      </c>
      <c r="M5" s="2">
        <v>40.844732114544499</v>
      </c>
      <c r="N5" s="2">
        <v>52.931363368704652</v>
      </c>
      <c r="O5" s="4">
        <v>4.7538006825137549E-2</v>
      </c>
      <c r="P5" s="4">
        <v>2.197802197802198E-2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5.24</v>
      </c>
      <c r="E6" s="12" t="s">
        <v>232</v>
      </c>
      <c r="F6" s="15">
        <v>0.13581828655717021</v>
      </c>
      <c r="G6" s="15">
        <f>F6 - Portfolio_Mgmt!$C$10</f>
        <v>4.8818286557170215E-2</v>
      </c>
      <c r="H6" s="15">
        <f>F6 - Portfolio_Mgmt!$C$11</f>
        <v>0.11681828655717021</v>
      </c>
      <c r="I6" s="15">
        <v>0</v>
      </c>
      <c r="J6" s="2">
        <v>3.2714103607293628</v>
      </c>
      <c r="K6" s="2">
        <v>6.9895661568976033</v>
      </c>
      <c r="L6" s="85">
        <v>6.4058499272029952</v>
      </c>
      <c r="M6" s="2">
        <v>4.6114224254647684</v>
      </c>
      <c r="N6" s="2">
        <v>5.9535611226219638</v>
      </c>
      <c r="O6" s="4">
        <v>4.3893148248369145E-2</v>
      </c>
      <c r="P6" s="4">
        <v>3.8358778625954194E-2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67.12</v>
      </c>
      <c r="E7" s="12" t="s">
        <v>232</v>
      </c>
      <c r="F7" s="15">
        <v>0.11648442745867205</v>
      </c>
      <c r="G7" s="15">
        <f>F7 - Portfolio_Mgmt!$C$10</f>
        <v>2.9484427458672052E-2</v>
      </c>
      <c r="H7" s="15">
        <f>F7 - Portfolio_Mgmt!$C$11</f>
        <v>9.7484427458672043E-2</v>
      </c>
      <c r="I7" s="15">
        <v>0</v>
      </c>
      <c r="J7" s="2">
        <v>40.566233510579387</v>
      </c>
      <c r="K7" s="2">
        <v>77.785604602754844</v>
      </c>
      <c r="L7" s="85">
        <v>77.731780095947357</v>
      </c>
      <c r="M7" s="2">
        <v>56.501711311401053</v>
      </c>
      <c r="N7" s="2">
        <v>72.389553073938998</v>
      </c>
      <c r="O7" s="4">
        <v>5.3923940334479337E-2</v>
      </c>
      <c r="P7" s="4">
        <v>6.9234207389749697E-2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243</v>
      </c>
      <c r="C8" s="11" t="s">
        <v>244</v>
      </c>
      <c r="D8" s="2">
        <v>23.42</v>
      </c>
      <c r="E8" s="12" t="s">
        <v>232</v>
      </c>
      <c r="F8" s="15">
        <v>0.10101999321043009</v>
      </c>
      <c r="G8" s="15">
        <f>F8 - Portfolio_Mgmt!$C$10</f>
        <v>1.4019993210430098E-2</v>
      </c>
      <c r="H8" s="15">
        <f>F8 - Portfolio_Mgmt!$C$11</f>
        <v>8.2019993210430089E-2</v>
      </c>
      <c r="I8" s="15">
        <v>0</v>
      </c>
      <c r="J8" s="2">
        <v>13.438941031541804</v>
      </c>
      <c r="K8" s="2">
        <v>27.746753827145845</v>
      </c>
      <c r="L8" s="85">
        <v>26.130102221251306</v>
      </c>
      <c r="M8" s="2">
        <v>18.869653870203344</v>
      </c>
      <c r="N8" s="2">
        <v>24.301055185803946</v>
      </c>
      <c r="O8" s="4">
        <v>5.6544018863116975E-2</v>
      </c>
      <c r="P8" s="4">
        <v>4.5260461144321092E-2</v>
      </c>
      <c r="Q8" s="4">
        <v>0.15648173464349882</v>
      </c>
      <c r="R8" s="4">
        <v>0.13375671427886937</v>
      </c>
      <c r="S8" s="94">
        <v>0.66633267926556194</v>
      </c>
      <c r="T8" s="95">
        <v>1.7557268340491488</v>
      </c>
      <c r="U8" s="15">
        <v>0.3857437197038544</v>
      </c>
      <c r="V8" s="90">
        <v>2.3913910654887354</v>
      </c>
      <c r="W8" s="85">
        <v>3.5427832354191278</v>
      </c>
      <c r="X8" s="13" t="s">
        <v>245</v>
      </c>
      <c r="Y8" s="11" t="s">
        <v>154</v>
      </c>
      <c r="Z8" s="14">
        <v>45900</v>
      </c>
      <c r="AA8" s="16" t="s">
        <v>266</v>
      </c>
    </row>
    <row r="9" spans="1:27">
      <c r="B9" s="11" t="s">
        <v>269</v>
      </c>
      <c r="C9" s="11" t="s">
        <v>270</v>
      </c>
      <c r="D9" s="2">
        <v>10.67</v>
      </c>
      <c r="E9" s="12" t="s">
        <v>232</v>
      </c>
      <c r="F9" s="15">
        <v>0.10100079374860971</v>
      </c>
      <c r="G9" s="15">
        <f>F9 - Portfolio_Mgmt!$C$10</f>
        <v>1.4000793748609713E-2</v>
      </c>
      <c r="H9" s="15">
        <f>F9 - Portfolio_Mgmt!$C$11</f>
        <v>8.2000793748609704E-2</v>
      </c>
      <c r="I9" s="15">
        <v>0</v>
      </c>
      <c r="J9" s="2">
        <v>6.0942417132402751</v>
      </c>
      <c r="K9" s="2">
        <v>12.91528670453229</v>
      </c>
      <c r="L9" s="85">
        <v>11.913128542800674</v>
      </c>
      <c r="M9" s="2">
        <v>8.582443057830476</v>
      </c>
      <c r="N9" s="2">
        <v>11.073728055846336</v>
      </c>
      <c r="O9" s="4">
        <v>3.3066016718563428E-2</v>
      </c>
      <c r="P9" s="4">
        <v>3.7488284910965328E-2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23.56</v>
      </c>
      <c r="E10" s="12" t="s">
        <v>232</v>
      </c>
      <c r="F10" s="15">
        <v>8.8161349768844932E-2</v>
      </c>
      <c r="G10" s="15">
        <f>F10 - Portfolio_Mgmt!$C$10</f>
        <v>1.1613497688449381E-3</v>
      </c>
      <c r="H10" s="15">
        <f>F10 - Portfolio_Mgmt!$C$11</f>
        <v>6.9161349768844929E-2</v>
      </c>
      <c r="I10" s="15">
        <v>0</v>
      </c>
      <c r="J10" s="2">
        <v>13.079690025486418</v>
      </c>
      <c r="K10" s="2">
        <v>26.888151196428591</v>
      </c>
      <c r="L10" s="85">
        <v>25.409202896038835</v>
      </c>
      <c r="M10" s="2">
        <v>18.356272555350223</v>
      </c>
      <c r="N10" s="2">
        <v>23.632551844105855</v>
      </c>
      <c r="O10" s="4">
        <v>0.23435340887045156</v>
      </c>
      <c r="P10" s="4">
        <v>4.4991511035653652E-2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22.14</v>
      </c>
      <c r="E11" s="12" t="s">
        <v>232</v>
      </c>
      <c r="F11" s="15">
        <v>5.6254597549256768E-2</v>
      </c>
      <c r="G11" s="15">
        <f>F11 - Portfolio_Mgmt!$C$10</f>
        <v>-3.0745402450743226E-2</v>
      </c>
      <c r="H11" s="15">
        <f>F11 - Portfolio_Mgmt!$C$11</f>
        <v>3.7254597549256765E-2</v>
      </c>
      <c r="I11" s="15">
        <v>0</v>
      </c>
      <c r="J11" s="2">
        <v>11.355103666814504</v>
      </c>
      <c r="K11" s="2">
        <v>22.601441956902718</v>
      </c>
      <c r="L11" s="85">
        <v>21.916919635758642</v>
      </c>
      <c r="M11" s="2">
        <v>15.879140273250821</v>
      </c>
      <c r="N11" s="2">
        <v>20.396738931178472</v>
      </c>
      <c r="O11" s="4">
        <v>4.8881877771154665E-2</v>
      </c>
      <c r="P11" s="4">
        <v>4.9683830171635052E-2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13.6</v>
      </c>
      <c r="E12" s="12" t="s">
        <v>232</v>
      </c>
      <c r="F12" s="15">
        <v>-5.7572870899340045E-2</v>
      </c>
      <c r="G12" s="15">
        <f>F12 - Portfolio_Mgmt!$C$10</f>
        <v>-0.14457287089934004</v>
      </c>
      <c r="H12" s="15">
        <f>F12 - Portfolio_Mgmt!$C$11</f>
        <v>-7.6572870899340048E-2</v>
      </c>
      <c r="I12" s="15">
        <v>0</v>
      </c>
      <c r="J12" s="2">
        <v>4.9796479824958464</v>
      </c>
      <c r="K12" s="2">
        <v>10.251430255232371</v>
      </c>
      <c r="L12" s="85">
        <v>9.6765033007385046</v>
      </c>
      <c r="M12" s="2">
        <v>6.9896525426428742</v>
      </c>
      <c r="N12" s="2">
        <v>8.9996639027078977</v>
      </c>
      <c r="O12" s="4">
        <v>3.2620600730256757E-2</v>
      </c>
      <c r="P12" s="4">
        <v>2.9411764705882356E-2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0.52822918932355589</v>
      </c>
      <c r="H3" s="89">
        <f>Portfolio_Mgmt!E61</f>
        <v>0.3</v>
      </c>
      <c r="I3" s="96" t="s">
        <v>265</v>
      </c>
      <c r="J3" s="96" t="s">
        <v>265</v>
      </c>
      <c r="K3" s="96" t="s">
        <v>265</v>
      </c>
      <c r="L3" s="96" t="s">
        <v>265</v>
      </c>
    </row>
    <row r="4" spans="1:12">
      <c r="B4" s="77" t="s">
        <v>239</v>
      </c>
      <c r="C4" s="74">
        <f>VLOOKUP(B4,Opportunities!B$3:E$30,3,FALSE)</f>
        <v>23.56</v>
      </c>
      <c r="D4" s="73" t="str">
        <f>VLOOKUP(B4,Opportunities!B$3:E$30,4,FALSE)</f>
        <v>CNY</v>
      </c>
      <c r="E4" s="70">
        <v>3000</v>
      </c>
      <c r="F4" s="75">
        <f>C4*E4</f>
        <v>70680</v>
      </c>
      <c r="G4" s="72">
        <f t="shared" si="0"/>
        <v>0.21961905353758196</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16.23</v>
      </c>
      <c r="D5" s="73" t="str">
        <f>VLOOKUP(B5,Opportunities!B$3:E$30,4,FALSE)</f>
        <v>CNY</v>
      </c>
      <c r="E5" s="70">
        <v>5000</v>
      </c>
      <c r="F5" s="75">
        <f>C5*E5</f>
        <v>81150</v>
      </c>
      <c r="G5" s="72">
        <f t="shared" ref="G5" si="1">F5/$F$11</f>
        <v>0.25215175713886212</v>
      </c>
      <c r="H5" s="72">
        <f>VLOOKUP(B5,Opportunities!B$3:I$30,8,FALSE)</f>
        <v>0.32737107784329628</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321830</v>
      </c>
      <c r="G11" s="81">
        <f>SUM(G3:G9)</f>
        <v>1</v>
      </c>
      <c r="H11" s="87">
        <f>SUM(H3:H9)</f>
        <v>0.62737107784329627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23.56</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45.5</v>
      </c>
      <c r="D15" s="73" t="str">
        <f>VLOOKUP(B15,Opportunities!B$3:E$30,4,FALSE)</f>
        <v>CNY</v>
      </c>
      <c r="E15" s="70">
        <v>0</v>
      </c>
      <c r="F15" s="75">
        <f>-C15*E15</f>
        <v>0</v>
      </c>
      <c r="G15" s="72">
        <f>-F15/$F$11</f>
        <v>0</v>
      </c>
      <c r="H15" s="72">
        <f>VLOOKUP(B15,Opportunities!B$3:I$30,8,FALSE)</f>
        <v>0.1307900809358542</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B16" s="77" t="s">
        <v>252</v>
      </c>
      <c r="C16" s="74">
        <f>VLOOKUP(B16,Opportunities!B$3:E$30,3,FALSE)</f>
        <v>16.23</v>
      </c>
      <c r="D16" s="73" t="str">
        <f>VLOOKUP(B16,Opportunities!B$3:E$30,4,FALSE)</f>
        <v>CNY</v>
      </c>
      <c r="E16" s="70">
        <v>1000</v>
      </c>
      <c r="F16" s="75">
        <f>-C16*E16</f>
        <v>-16230</v>
      </c>
      <c r="G16" s="72">
        <f>-F16/$F$11</f>
        <v>5.0430351427772427E-2</v>
      </c>
      <c r="H16" s="72">
        <f>VLOOKUP(B16,Opportunities!B$3:I$30,8,FALSE)</f>
        <v>0.32737107784329628</v>
      </c>
      <c r="I16" s="98">
        <f>VLOOKUP(B16,Opportunities!B$3:N$30,12,FALSE)</f>
        <v>17.577047192866189</v>
      </c>
      <c r="J16" s="98">
        <f>VLOOKUP(B16,Opportunities!B$3:N$30,9,FALSE)</f>
        <v>12.534408209968158</v>
      </c>
      <c r="K16" s="98">
        <f>VLOOKUP(B16,Opportunities!B$3:N$30,11,FALSE)</f>
        <v>24.315000552184742</v>
      </c>
      <c r="L16" s="98">
        <f>VLOOKUP(B16,Opportunities!B$3:N$30,13,FALSE)</f>
        <v>22.61787767563613</v>
      </c>
    </row>
    <row r="17" spans="2:12">
      <c r="G17" s="86"/>
      <c r="H17" s="86"/>
    </row>
    <row r="18" spans="2:12" ht="13.15">
      <c r="B18" s="82" t="s">
        <v>218</v>
      </c>
      <c r="C18" s="83" t="s">
        <v>214</v>
      </c>
      <c r="D18" s="84" t="s">
        <v>153</v>
      </c>
      <c r="E18" s="83" t="s">
        <v>214</v>
      </c>
      <c r="F18" s="80">
        <f>F3+SUM(F14:F16)</f>
        <v>153770</v>
      </c>
      <c r="G18" s="87">
        <f t="shared" ref="G18" si="2">F18/$F$11</f>
        <v>0.47779883789578348</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2025-06-07T06:28:28Z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