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CE37606-BD15-4EA8-B020-414FF1FC8FAE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<sst xmlns="http://schemas.openxmlformats.org/spreadsheetml/2006/main" count="419" uniqueCount="366">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</sst>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110.5</v>
      </c>
      <c r="E3" s="12" t="s">
        <v>356</v>
      </c>
      <c r="F3" s="15">
        <v>0.15281305363396264</v>
      </c>
      <c r="G3" s="15">
        <f>F3 - Portfolio_Mgmt!$C$10</f>
        <v>6.5813053633962643E-2</v>
      </c>
      <c r="H3" s="15">
        <f>F3 - Portfolio_Mgmt!$C$11</f>
        <v>0.13381305363396265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8.1036606419806506E-2</v>
      </c>
      <c r="P3" s="4">
        <v>3.7400904977375568E-2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363</v>
      </c>
      <c r="C4" s="11" t="s">
        <v>364</v>
      </c>
      <c r="D4" s="2">
        <v>104.05</v>
      </c>
      <c r="E4" s="12" t="s">
        <v>356</v>
      </c>
      <c r="F4" s="15">
        <v>0.11513532579667529</v>
      </c>
      <c r="G4" s="15">
        <f>F4 - Portfolio_Mgmt!$C$10</f>
        <v>2.8135325796675298E-2</v>
      </c>
      <c r="H4" s="15">
        <f>F4 - Portfolio_Mgmt!$C$11</f>
        <v>9.6135325796675289E-2</v>
      </c>
      <c r="I4" s="15">
        <v>0</v>
      </c>
      <c r="J4" s="2">
        <v>62.294573384207148</v>
      </c>
      <c r="K4" s="2">
        <v>134.70696317865062</v>
      </c>
      <c r="L4" s="71">
        <v>116.64459638273874</v>
      </c>
      <c r="M4" s="2">
        <v>78.83107675053482</v>
      </c>
      <c r="N4" s="2">
        <v>112.14039032279322</v>
      </c>
      <c r="O4" s="4">
        <v>7.3789748588673543E-2</v>
      </c>
      <c r="P4" s="4">
        <v>2.741086016338299E-2</v>
      </c>
      <c r="Q4" s="4">
        <v>0.25</v>
      </c>
      <c r="R4" s="4">
        <v>0.40406742273746776</v>
      </c>
      <c r="S4" s="79">
        <v>0.4610552539366265</v>
      </c>
      <c r="T4" s="78">
        <v>1.3419403008261008</v>
      </c>
      <c r="U4" s="15">
        <v>1.4942693904035366E-3</v>
      </c>
      <c r="V4" s="76">
        <v>5.1971735080735887E-3</v>
      </c>
      <c r="W4" s="71">
        <v>24.855396491318039</v>
      </c>
      <c r="X4" s="13" t="s">
        <v>357</v>
      </c>
      <c r="Y4" s="11" t="s">
        <v>362</v>
      </c>
      <c r="Z4" s="14">
        <v>46081</v>
      </c>
      <c r="AA4" s="16" t="s">
        <v>359</v>
      </c>
    </row>
    <row r="5" spans="1:27">
      <c r="B5" s="11" t="s">
        <v>354</v>
      </c>
      <c r="C5" s="11" t="s">
        <v>355</v>
      </c>
      <c r="D5" s="2">
        <v>21.04</v>
      </c>
      <c r="E5" s="12" t="s">
        <v>356</v>
      </c>
      <c r="F5" s="15">
        <v>6.6963618438214245E-2</v>
      </c>
      <c r="G5" s="15">
        <f>F5 - Portfolio_Mgmt!$C$10</f>
        <v>-2.0036381561785749E-2</v>
      </c>
      <c r="H5" s="15">
        <f>F5 - Portfolio_Mgmt!$C$11</f>
        <v>4.7963618438214242E-2</v>
      </c>
      <c r="I5" s="15">
        <v>0</v>
      </c>
      <c r="J5" s="2">
        <v>11.277152172588272</v>
      </c>
      <c r="K5" s="2">
        <v>22.158401911290397</v>
      </c>
      <c r="L5" s="71">
        <v>20.730780285650923</v>
      </c>
      <c r="M5" s="2">
        <v>14.162449719634122</v>
      </c>
      <c r="N5" s="2">
        <v>19.949994757287094</v>
      </c>
      <c r="O5" s="4">
        <v>6.6365032927364634E-2</v>
      </c>
      <c r="P5" s="4">
        <v>5.0380228136882137E-2</v>
      </c>
      <c r="Q5" s="4">
        <v>0.23262925318478492</v>
      </c>
      <c r="R5" s="4">
        <v>0.17509284601323677</v>
      </c>
      <c r="S5" s="79">
        <v>0.68288968092621871</v>
      </c>
      <c r="T5" s="78">
        <v>1.9455633401039498</v>
      </c>
      <c r="U5" s="15">
        <v>4.3380350010353987E-2</v>
      </c>
      <c r="V5" s="76">
        <v>0.18538212957704164</v>
      </c>
      <c r="W5" s="71">
        <v>-0.45026820353990077</v>
      </c>
      <c r="X5" s="13" t="s">
        <v>357</v>
      </c>
      <c r="Y5" s="11" t="s">
        <v>358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4.0199999999999993E-2</v>
      </c>
      <c r="D4" s="34">
        <v>6.7500000000000004E-2</v>
      </c>
      <c r="E4" s="35">
        <f>D4-C4</f>
        <v>2.7300000000000012E-2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2026-02-28T02:44:10Z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