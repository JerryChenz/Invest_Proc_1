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3671DF3-2E37-49C3-A5AE-57F00BE79F3F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7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<sst xmlns="http://schemas.openxmlformats.org/spreadsheetml/2006/main" count="423" uniqueCount="356">
  <si>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</si>
  <si>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</si>
  <si>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</si>
  <si>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</si>
  <si>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</si>
  <si>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</si>
  <si>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</si>
  <si>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</si>
  <si>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</si>
  <si>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</si>
  <si>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</si>
  <si>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</si>
  <si>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</si>
  <si>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</si>
  <si>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</si>
  <si>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</si>
  <si>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</si>
  <si>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</si>
  <si>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</si>
  <si>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</si>
  <si>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</si>
  <si>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</si>
  <si>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</si>
  <si>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</si>
  <si>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</si>
  <si>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</si>
  <si>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</si>
  <si>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</si>
  <si>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</si>
  <si>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</si>
  <si>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</si>
  <si>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</si>
  <si>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</si>
  <si>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</si>
  <si>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</si>
  <si>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</si>
  <si>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</si>
  <si>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</si>
  <si>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</si>
  <si>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</si>
  <si>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</si>
  <si>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</si>
  <si>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</si>
  <si>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</si>
  <si>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</si>
  <si>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</si>
  <si>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</si>
  <si>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</si>
  <si>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</si>
  <si>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</si>
  <si>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</si>
  <si>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</si>
  <si>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</si>
  <si>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</si>
  <si>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</si>
  <si>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</si>
  <si>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</si>
  <si>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</si>
  <si>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</si>
  <si>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</si>
  <si>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</si>
  <si>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</si>
  <si>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</si>
  <si>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</si>
  <si>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</si>
  <si>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</si>
  <si>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</si>
  <si>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</si>
  <si>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</si>
  <si>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</si>
  <si>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</si>
  <si>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</si>
  <si>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</si>
  <si>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</si>
  <si>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</si>
  <si>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</si>
  <si>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</si>
  <si>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</si>
  <si>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</si>
  <si>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</si>
  <si>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</si>
  <si>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</si>
  <si>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</si>
  <si>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</si>
  <si>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</si>
  <si>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</si>
  <si>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</si>
  <si>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</si>
  <si>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</si>
  <si>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</si>
  <si>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</si>
  <si>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</si>
  <si>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</si>
  <si>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</si>
  <si>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</si>
  <si>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</si>
  <si>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</si>
  <si>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</si>
  <si>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</si>
  <si>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</si>
  <si>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</si>
  <si>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</si>
  <si>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</si>
  <si>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</si>
  <si>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</si>
  <si>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</si>
  <si>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</si>
  <si>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</si>
  <si>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</si>
  <si>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</si>
  <si>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</si>
  <si>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</si>
  <si>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</si>
  <si>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</si>
  <si>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</si>
  <si>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</si>
  <si>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</si>
  <si>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</si>
  <si>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</si>
  <si>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</si>
  <si>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</si>
  <si>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</si>
  <si>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</si>
  <si>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</si>
  <si>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</si>
  <si>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</si>
  <si>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</si>
  <si>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</si>
  <si>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</si>
  <si>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</si>
  <si>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</si>
  <si>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</si>
  <si>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</si>
  <si>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</si>
  <si>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</si>
  <si>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</si>
  <si>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</si>
  <si>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</si>
  <si>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</si>
  <si>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</si>
  <si>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</si>
  <si>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</si>
  <si>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</si>
  <si>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</si>
  <si>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</si>
  <si>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</si>
  <si>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</si>
  <si>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</si>
  <si>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</si>
  <si>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</si>
  <si>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</si>
  <si>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</si>
  <si>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</si>
  <si>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</si>
  <si>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</si>
  <si>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</si>
  <si>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</si>
  <si>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</si>
  <si>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</si>
  <si>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</si>
  <si>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</si>
  <si>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</si>
  <si>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</si>
  <si>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</si>
  <si>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</si>
  <si>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</si>
  <si>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</si>
  <si>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</si>
  <si>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</si>
  <si>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</si>
  <si>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</si>
  <si>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</si>
  <si>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</si>
  <si>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</si>
  <si>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</si>
  <si>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</si>
  <si>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</si>
  <si>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</si>
  <si>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</si>
  <si>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</si>
  <si>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</si>
  <si>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</si>
  <si>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</si>
  <si>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</si>
  <si>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</si>
  <si>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</si>
  <si>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</si>
  <si>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</si>
  <si>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</si>
  <si>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</si>
  <si>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</si>
  <si>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</si>
  <si>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</si>
  <si>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</si>
  <si>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</si>
  <si>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</si>
  <si>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</si>
  <si>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</si>
  <si>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</si>
  <si>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</si>
  <si>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</si>
  <si>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</si>
  <si>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</si>
  <si>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</si>
  <si>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</si>
  <si>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</si>
  <si>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</si>
  <si>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</si>
  <si>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</si>
  <si>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</si>
  <si>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</si>
  <si>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</si>
  <si>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</si>
  <si>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</si>
  <si>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</si>
  <si>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</si>
  <si>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</si>
  <si>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</si>
  <si>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</si>
  <si>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</si>
  <si>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</si>
  <si>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</si>
  <si>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</si>
  <si>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</si>
  <si>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</si>
  <si>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</si>
  <si>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</si>
  <si>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</si>
  <si>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</si>
  <si>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</si>
  <si>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</si>
  <si>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</si>
  <si>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</si>
  <si>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</si>
  <si>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</si>
  <si>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</si>
  <si>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</si>
  <si>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</si>
  <si>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</si>
  <si>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</si>
  <si>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</si>
  <si>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</si>
  <si>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</si>
  <si>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</si>
  <si>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</si>
  <si>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</si>
  <si>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</si>
  <si>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</si>
  <si>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</si>
  <si>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</si>
  <si>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</si>
  <si>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</si>
  <si>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</si>
  <si>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</si>
  <si>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</si>
  <si>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</si>
  <si>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</si>
  <si>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</si>
  <si>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</si>
  <si>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</si>
  <si>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</si>
  <si>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</si>
  <si>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</si>
  <si>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</si>
  <si>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</si>
  <si>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</si>
  <si>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</si>
  <si>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</si>
  <si>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</si>
  <si>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</si>
  <si>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</si>
  <si>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</si>
  <si>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</si>
  <si>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</si>
  <si>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</si>
  <si>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</si>
  <si>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</si>
  <si>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</si>
  <si>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</si>
  <si>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</si>
  <si>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</si>
  <si>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</si>
  <si>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</si>
  <si>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</si>
  <si>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</si>
  <si>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</si>
  <si>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</si>
  <si>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</si>
  <si>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</si>
  <si>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</si>
  <si>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</si>
  <si>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</si>
  <si>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</si>
  <si>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</si>
  <si>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</si>
  <si>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</si>
  <si>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</si>
  <si>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</si>
  <si>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</si>
  <si>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</si>
  <si>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</si>
  <si>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</si>
  <si>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</si>
  <si>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</si>
  <si>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</si>
  <si>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</si>
  <si>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</si>
  <si>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</si>
  <si>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</si>
  <si>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</si>
  <si>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</si>
  <si>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</si>
  <si>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</si>
  <si>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</si>
  <si>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</si>
  <si>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</si>
  <si>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</si>
  <si>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</si>
  <si>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</si>
  <si>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</si>
  <si>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</si>
  <si>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</si>
  <si>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r>
      <t xml:space="preserve">- </t>
    </r>
    <r>
      <rPr>
        <b/>
        <sz val="9"/>
        <color theme="1"/>
        <rFont val="Arial"/>
        <family val="2"/>
      </rPr>
      <t>估值变动：</t>
    </r>
    <r>
      <rPr>
        <sz val="9"/>
        <color theme="1"/>
        <rFont val="Arial"/>
        <family val="2"/>
      </rPr>
      <t>估值模型输出的市场年化回报发生实质性变化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</si>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</sst>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opLeftCell="A7" zoomScale="105" workbookViewId="0">
      <selection activeCell="C18" sqref="C1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354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324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355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326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325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327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323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322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9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330</v>
      </c>
      <c r="C3" s="11" t="s">
        <v>332</v>
      </c>
      <c r="D3" s="2">
        <v>14.93</v>
      </c>
      <c r="E3" s="12" t="s">
        <v>328</v>
      </c>
      <c r="F3" s="15">
        <v>0.19083819809107139</v>
      </c>
      <c r="G3" s="15">
        <f>F3 - Portfolio_Mgmt!$C$10</f>
        <v>0.10383819809107139</v>
      </c>
      <c r="H3" s="15">
        <f>F3 - Portfolio_Mgmt!$C$11</f>
        <v>0.1718381980910714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7.8836119575306007E-2</v>
      </c>
      <c r="P3" s="4">
        <v>6.3898191560616213E-2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333</v>
      </c>
      <c r="Y3" s="11" t="s">
        <v>136</v>
      </c>
      <c r="Z3" s="14">
        <v>45900</v>
      </c>
      <c r="AA3" s="16" t="s">
        <v>183</v>
      </c>
    </row>
    <row r="4" spans="1:27">
      <c r="B4" s="11" t="s">
        <v>334</v>
      </c>
      <c r="C4" s="11" t="s">
        <v>335</v>
      </c>
      <c r="D4" s="2">
        <v>55.21</v>
      </c>
      <c r="E4" s="12" t="s">
        <v>328</v>
      </c>
      <c r="F4" s="15">
        <v>0.17876580704682721</v>
      </c>
      <c r="G4" s="15">
        <f>F4 - Portfolio_Mgmt!$C$10</f>
        <v>9.1765807046827214E-2</v>
      </c>
      <c r="H4" s="15">
        <f>F4 - Portfolio_Mgmt!$C$11</f>
        <v>0.15976580704682722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7.8591217214725048E-2</v>
      </c>
      <c r="P4" s="4">
        <v>3.9123347219706575E-2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336</v>
      </c>
      <c r="C5" s="11" t="s">
        <v>337</v>
      </c>
      <c r="D5" s="2">
        <v>46.29</v>
      </c>
      <c r="E5" s="12" t="s">
        <v>328</v>
      </c>
      <c r="F5" s="15">
        <v>0.13564357714946484</v>
      </c>
      <c r="G5" s="15">
        <f>F5 - Portfolio_Mgmt!$C$10</f>
        <v>4.8643577149464851E-2</v>
      </c>
      <c r="H5" s="15">
        <f>F5 - Portfolio_Mgmt!$C$11</f>
        <v>0.11664357714946484</v>
      </c>
      <c r="I5" s="15">
        <v>0</v>
      </c>
      <c r="J5" s="2">
        <v>27.829049692637142</v>
      </c>
      <c r="K5" s="2">
        <v>64.714648137522119</v>
      </c>
      <c r="L5" s="74">
        <v>56.741377225429467</v>
      </c>
      <c r="M5" s="2">
        <v>34.890699846411323</v>
      </c>
      <c r="N5" s="2">
        <v>52.676874362859721</v>
      </c>
      <c r="O5" s="4">
        <v>4.6726707940025029E-2</v>
      </c>
      <c r="P5" s="4">
        <v>1.9442644199611149E-2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333</v>
      </c>
      <c r="Y5" s="11" t="s">
        <v>136</v>
      </c>
      <c r="Z5" s="14">
        <v>45900</v>
      </c>
      <c r="AA5" s="16" t="s">
        <v>183</v>
      </c>
    </row>
    <row r="6" spans="1:27">
      <c r="B6" s="11" t="s">
        <v>338</v>
      </c>
      <c r="C6" s="11" t="s">
        <v>339</v>
      </c>
      <c r="D6" s="2">
        <v>21.7</v>
      </c>
      <c r="E6" s="12" t="s">
        <v>328</v>
      </c>
      <c r="F6" s="15">
        <v>0.12606263492724823</v>
      </c>
      <c r="G6" s="15">
        <f>F6 - Portfolio_Mgmt!$C$10</f>
        <v>3.9062634927248235E-2</v>
      </c>
      <c r="H6" s="15">
        <f>F6 - Portfolio_Mgmt!$C$11</f>
        <v>0.10706263492724823</v>
      </c>
      <c r="I6" s="15">
        <v>0</v>
      </c>
      <c r="J6" s="2">
        <v>12.895318326330678</v>
      </c>
      <c r="K6" s="2">
        <v>27.746753827145845</v>
      </c>
      <c r="L6" s="74">
        <v>25.846762954608369</v>
      </c>
      <c r="M6" s="2">
        <v>16.068545959498671</v>
      </c>
      <c r="N6" s="2">
        <v>24.031296839608316</v>
      </c>
      <c r="O6" s="4">
        <v>6.1025848929686627E-2</v>
      </c>
      <c r="P6" s="4">
        <v>4.3963133640553001E-2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172</v>
      </c>
      <c r="Y6" s="11" t="s">
        <v>136</v>
      </c>
      <c r="Z6" s="14">
        <v>45900</v>
      </c>
      <c r="AA6" s="16" t="s">
        <v>183</v>
      </c>
    </row>
    <row r="7" spans="1:27">
      <c r="B7" s="11" t="s">
        <v>340</v>
      </c>
      <c r="C7" s="11" t="s">
        <v>341</v>
      </c>
      <c r="D7" s="2">
        <v>65.52</v>
      </c>
      <c r="E7" s="12" t="s">
        <v>328</v>
      </c>
      <c r="F7" s="15">
        <v>0.119345029371557</v>
      </c>
      <c r="G7" s="15">
        <f>F7 - Portfolio_Mgmt!$C$10</f>
        <v>3.2345029371557005E-2</v>
      </c>
      <c r="H7" s="15">
        <f>F7 - Portfolio_Mgmt!$C$11</f>
        <v>0.100345029371557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5.5240764274271263E-2</v>
      </c>
      <c r="P7" s="4">
        <v>6.3832417582417589E-2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342</v>
      </c>
      <c r="C8" s="11" t="s">
        <v>343</v>
      </c>
      <c r="D8" s="2">
        <v>10.18</v>
      </c>
      <c r="E8" s="12" t="s">
        <v>328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344</v>
      </c>
      <c r="Y8" s="11" t="s">
        <v>171</v>
      </c>
      <c r="Z8" s="14">
        <v>45900</v>
      </c>
      <c r="AA8" s="16" t="s">
        <v>183</v>
      </c>
    </row>
    <row r="9" spans="1:27">
      <c r="B9" s="11" t="s">
        <v>345</v>
      </c>
      <c r="C9" s="11" t="s">
        <v>346</v>
      </c>
      <c r="D9" s="2">
        <v>5.53</v>
      </c>
      <c r="E9" s="12" t="s">
        <v>328</v>
      </c>
      <c r="F9" s="15">
        <v>0.11156651152863062</v>
      </c>
      <c r="G9" s="15">
        <f>F9 - Portfolio_Mgmt!$C$10</f>
        <v>2.4566511528630625E-2</v>
      </c>
      <c r="H9" s="15">
        <f>F9 - Portfolio_Mgmt!$C$11</f>
        <v>9.2566511528630616E-2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4.1591337580733148E-2</v>
      </c>
      <c r="P9" s="4">
        <v>3.2712477396021691E-2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347</v>
      </c>
      <c r="Y9" s="11" t="s">
        <v>136</v>
      </c>
      <c r="Z9" s="14">
        <v>45900</v>
      </c>
      <c r="AA9" s="16" t="s">
        <v>183</v>
      </c>
    </row>
    <row r="10" spans="1:27">
      <c r="B10" s="11" t="s">
        <v>348</v>
      </c>
      <c r="C10" s="11" t="s">
        <v>349</v>
      </c>
      <c r="D10" s="2">
        <v>20.66</v>
      </c>
      <c r="E10" s="12" t="s">
        <v>328</v>
      </c>
      <c r="F10" s="15">
        <v>7.6950997735104387E-2</v>
      </c>
      <c r="G10" s="15">
        <f>F10 - Portfolio_Mgmt!$C$10</f>
        <v>-1.0049002264895607E-2</v>
      </c>
      <c r="H10" s="15">
        <f>F10 - Portfolio_Mgmt!$C$11</f>
        <v>5.7950997735104384E-2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5.2383580535012804E-2</v>
      </c>
      <c r="P10" s="4">
        <v>4.7918683446272994E-2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329</v>
      </c>
      <c r="C11" s="11" t="s">
        <v>350</v>
      </c>
      <c r="D11" s="2">
        <v>25.14</v>
      </c>
      <c r="E11" s="12" t="s">
        <v>328</v>
      </c>
      <c r="F11" s="15">
        <v>6.392228128073163E-2</v>
      </c>
      <c r="G11" s="15">
        <f>F11 - Portfolio_Mgmt!$C$10</f>
        <v>-2.3077718719268364E-2</v>
      </c>
      <c r="H11" s="15">
        <f>F11 - Portfolio_Mgmt!$C$11</f>
        <v>4.4922281280731627E-2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0.21962475389768649</v>
      </c>
      <c r="P11" s="4">
        <v>4.2163882259347654E-2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351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352</v>
      </c>
      <c r="C12" s="11" t="s">
        <v>353</v>
      </c>
      <c r="D12" s="2">
        <v>14.64</v>
      </c>
      <c r="E12" s="12" t="s">
        <v>328</v>
      </c>
      <c r="F12" s="15">
        <v>-8.4242640912131184E-2</v>
      </c>
      <c r="G12" s="15">
        <f>F12 - Portfolio_Mgmt!$C$10</f>
        <v>-0.17124264091213118</v>
      </c>
      <c r="H12" s="15">
        <f>F12 - Portfolio_Mgmt!$C$11</f>
        <v>-0.10324264091213119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3.0303290295866932E-2</v>
      </c>
      <c r="P12" s="4">
        <v>2.4590163934426233E-2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333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331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328</v>
      </c>
      <c r="E3" s="64" t="s">
        <v>156</v>
      </c>
      <c r="F3" s="59">
        <v>170000</v>
      </c>
      <c r="G3" s="61">
        <f>F3/$F$10</f>
        <v>0.53113381447808294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329</v>
      </c>
      <c r="C4" s="63">
        <f>VLOOKUP(B4,Opportunities!B$3:E$30,3,FALSE)</f>
        <v>25.14</v>
      </c>
      <c r="D4" s="62" t="str">
        <f>VLOOKUP(B4,Opportunities!B$3:E$30,4,FALSE)</f>
        <v>CNY</v>
      </c>
      <c r="E4" s="59">
        <v>3000</v>
      </c>
      <c r="F4" s="64">
        <f>E4*C4</f>
        <v>75420</v>
      </c>
      <c r="G4" s="61">
        <f>F4/$F$10</f>
        <v>0.23563595463492362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330</v>
      </c>
      <c r="C5" s="63">
        <f>VLOOKUP(B5,Opportunities!B$3:E$30,3,FALSE)</f>
        <v>14.93</v>
      </c>
      <c r="D5" s="62" t="str">
        <f>VLOOKUP(B5,Opportunities!B$3:E$30,4,FALSE)</f>
        <v>CNY</v>
      </c>
      <c r="E5" s="59">
        <v>5000</v>
      </c>
      <c r="F5" s="64">
        <f>C5*E5</f>
        <v>74650</v>
      </c>
      <c r="G5" s="61">
        <f>F5/$F$10</f>
        <v>0.23323023088699346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320070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0.53113381447808294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2025-07-09T03:12:53Z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