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AE2042D1-6850-442C-907D-5139D480A7ED}" xr6:coauthVersionLast="47" xr6:coauthVersionMax="47" xr10:uidLastSave="{00000000-0000-0000-0000-000000000000}"/>
  <bookViews>
    <workbookView xWindow="735" yWindow="735" windowWidth="12690" windowHeight="7643"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<sst xmlns="http://schemas.openxmlformats.org/spreadsheetml/2006/main" count="334" uniqueCount="276">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</sst>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0.13047600292112876</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14.93</v>
      </c>
      <c r="E3" s="12" t="s">
        <v>232</v>
      </c>
      <c r="F3" s="15">
        <v>0.19083819809107139</v>
      </c>
      <c r="G3" s="15">
        <f>F3 - Portfolio_Mgmt!$C$10</f>
        <v>0.10383819809107139</v>
      </c>
      <c r="H3" s="15">
        <f>F3 - Portfolio_Mgmt!$C$11</f>
        <v>0.1718381980910714</v>
      </c>
      <c r="I3" s="15">
        <v>0.28314272713808813</v>
      </c>
      <c r="J3" s="2">
        <v>10.755129516558478</v>
      </c>
      <c r="K3" s="2">
        <v>21.769702959467441</v>
      </c>
      <c r="L3" s="85">
        <v>20.82831579044063</v>
      </c>
      <c r="M3" s="2">
        <v>15.067903135098593</v>
      </c>
      <c r="N3" s="2">
        <v>19.377597519813985</v>
      </c>
      <c r="O3" s="4">
        <v>7.8836119575306007E-2</v>
      </c>
      <c r="P3" s="4">
        <v>6.3898191560616213E-2</v>
      </c>
      <c r="Q3" s="4">
        <v>0.2026552385945618</v>
      </c>
      <c r="R3" s="4">
        <v>0.16696657384597549</v>
      </c>
      <c r="S3" s="94">
        <v>0.62476296032712075</v>
      </c>
      <c r="T3" s="95">
        <v>1.9427325871638936</v>
      </c>
      <c r="U3" s="15">
        <v>6.0553888114002474E-2</v>
      </c>
      <c r="V3" s="90">
        <v>0.30099118789407647</v>
      </c>
      <c r="W3" s="85">
        <v>-0.43338518935931036</v>
      </c>
      <c r="X3" s="13" t="s">
        <v>254</v>
      </c>
      <c r="Y3" s="11" t="s">
        <v>154</v>
      </c>
      <c r="Z3" s="14">
        <v>45900</v>
      </c>
      <c r="AA3" s="16" t="s">
        <v>266</v>
      </c>
    </row>
    <row r="4" spans="1:27">
      <c r="B4" s="11" t="s">
        <v>233</v>
      </c>
      <c r="C4" s="11" t="s">
        <v>234</v>
      </c>
      <c r="D4" s="2">
        <v>55.91</v>
      </c>
      <c r="E4" s="12" t="s">
        <v>232</v>
      </c>
      <c r="F4" s="15">
        <v>0.17366588673941585</v>
      </c>
      <c r="G4" s="15">
        <f>F4 - Portfolio_Mgmt!$C$10</f>
        <v>8.6665886739415859E-2</v>
      </c>
      <c r="H4" s="15">
        <f>F4 - Portfolio_Mgmt!$C$11</f>
        <v>0.15466588673941586</v>
      </c>
      <c r="I4" s="15">
        <v>0.25766452038489002</v>
      </c>
      <c r="J4" s="2">
        <v>38.338860273768745</v>
      </c>
      <c r="K4" s="2">
        <v>82.72003076740333</v>
      </c>
      <c r="L4" s="85">
        <v>75.227038736174251</v>
      </c>
      <c r="M4" s="2">
        <v>54.104773980226682</v>
      </c>
      <c r="N4" s="2">
        <v>69.902328891344681</v>
      </c>
      <c r="O4" s="4">
        <v>7.7607245616615458E-2</v>
      </c>
      <c r="P4" s="4">
        <v>3.8633518154176358E-2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43.12</v>
      </c>
      <c r="E5" s="12" t="s">
        <v>232</v>
      </c>
      <c r="F5" s="15">
        <v>0.16328643894343076</v>
      </c>
      <c r="G5" s="15">
        <f>F5 - Portfolio_Mgmt!$C$10</f>
        <v>7.6286438943430762E-2</v>
      </c>
      <c r="H5" s="15">
        <f>F5 - Portfolio_Mgmt!$C$11</f>
        <v>0.14428643894343077</v>
      </c>
      <c r="I5" s="15">
        <v>0.1591927524770218</v>
      </c>
      <c r="J5" s="2">
        <v>28.630686160261423</v>
      </c>
      <c r="K5" s="2">
        <v>64.714648137522119</v>
      </c>
      <c r="L5" s="85">
        <v>56.741377225429467</v>
      </c>
      <c r="M5" s="2">
        <v>40.629719578204039</v>
      </c>
      <c r="N5" s="2">
        <v>52.676874362859721</v>
      </c>
      <c r="O5" s="4">
        <v>5.0161857851200344E-2</v>
      </c>
      <c r="P5" s="4">
        <v>2.0871985157699446E-2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5.43</v>
      </c>
      <c r="E6" s="12" t="s">
        <v>232</v>
      </c>
      <c r="F6" s="15">
        <v>0.1185488785993456</v>
      </c>
      <c r="G6" s="15">
        <f>F6 - Portfolio_Mgmt!$C$10</f>
        <v>3.1548878599345603E-2</v>
      </c>
      <c r="H6" s="15">
        <f>F6 - Portfolio_Mgmt!$C$11</f>
        <v>9.9548878599345594E-2</v>
      </c>
      <c r="I6" s="15">
        <v>0</v>
      </c>
      <c r="J6" s="2">
        <v>3.2367222690014161</v>
      </c>
      <c r="K6" s="2">
        <v>6.9895661568976033</v>
      </c>
      <c r="L6" s="85">
        <v>6.3521223870188166</v>
      </c>
      <c r="M6" s="2">
        <v>4.5682049056603367</v>
      </c>
      <c r="N6" s="2">
        <v>5.902408832447132</v>
      </c>
      <c r="O6" s="4">
        <v>4.2357292232312029E-2</v>
      </c>
      <c r="P6" s="4">
        <v>3.3314917127071818E-2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66.39</v>
      </c>
      <c r="E7" s="12" t="s">
        <v>232</v>
      </c>
      <c r="F7" s="15">
        <v>0.11414998349721706</v>
      </c>
      <c r="G7" s="15">
        <f>F7 - Portfolio_Mgmt!$C$10</f>
        <v>2.7149983497217062E-2</v>
      </c>
      <c r="H7" s="15">
        <f>F7 - Portfolio_Mgmt!$C$11</f>
        <v>9.5149983497217053E-2</v>
      </c>
      <c r="I7" s="15">
        <v>0</v>
      </c>
      <c r="J7" s="2">
        <v>39.764265539137753</v>
      </c>
      <c r="K7" s="2">
        <v>77.785604602754844</v>
      </c>
      <c r="L7" s="85">
        <v>76.489631443032536</v>
      </c>
      <c r="M7" s="2">
        <v>55.502548055026942</v>
      </c>
      <c r="N7" s="2">
        <v>71.206942663777582</v>
      </c>
      <c r="O7" s="4">
        <v>5.4516868131499523E-2</v>
      </c>
      <c r="P7" s="4">
        <v>6.2995933122458214E-2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10.28</v>
      </c>
      <c r="E8" s="12" t="s">
        <v>232</v>
      </c>
      <c r="F8" s="15">
        <v>0.11160452661716125</v>
      </c>
      <c r="G8" s="15">
        <f>F8 - Portfolio_Mgmt!$C$10</f>
        <v>2.4604526617161254E-2</v>
      </c>
      <c r="H8" s="15">
        <f>F8 - Portfolio_Mgmt!$C$11</f>
        <v>9.2604526617161245E-2</v>
      </c>
      <c r="I8" s="15">
        <v>0</v>
      </c>
      <c r="J8" s="2">
        <v>6.0252106849259528</v>
      </c>
      <c r="K8" s="2">
        <v>12.91528670453229</v>
      </c>
      <c r="L8" s="85">
        <v>11.80620806482221</v>
      </c>
      <c r="M8" s="2">
        <v>8.4964380432942921</v>
      </c>
      <c r="N8" s="2">
        <v>10.971932453508362</v>
      </c>
      <c r="O8" s="4">
        <v>3.4320466769170409E-2</v>
      </c>
      <c r="P8" s="4">
        <v>3.5019455252918295E-2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243</v>
      </c>
      <c r="C9" s="11" t="s">
        <v>244</v>
      </c>
      <c r="D9" s="2">
        <v>22.95</v>
      </c>
      <c r="E9" s="12" t="s">
        <v>232</v>
      </c>
      <c r="F9" s="15">
        <v>0.10444287078173975</v>
      </c>
      <c r="G9" s="15">
        <f>F9 - Portfolio_Mgmt!$C$10</f>
        <v>1.7442870781739755E-2</v>
      </c>
      <c r="H9" s="15">
        <f>F9 - Portfolio_Mgmt!$C$11</f>
        <v>8.5442870781739746E-2</v>
      </c>
      <c r="I9" s="15">
        <v>0</v>
      </c>
      <c r="J9" s="2">
        <v>13.256008806508849</v>
      </c>
      <c r="K9" s="2">
        <v>27.746753827145845</v>
      </c>
      <c r="L9" s="85">
        <v>25.846762954608369</v>
      </c>
      <c r="M9" s="2">
        <v>18.641740581682459</v>
      </c>
      <c r="N9" s="2">
        <v>24.031296839608316</v>
      </c>
      <c r="O9" s="4">
        <v>5.7702000948766874E-2</v>
      </c>
      <c r="P9" s="4">
        <v>4.1568627450980396E-2</v>
      </c>
      <c r="Q9" s="4">
        <v>0.15648173464349882</v>
      </c>
      <c r="R9" s="4">
        <v>0.13375671427886937</v>
      </c>
      <c r="S9" s="94">
        <v>0.66633267926556194</v>
      </c>
      <c r="T9" s="95">
        <v>1.7557268340491488</v>
      </c>
      <c r="U9" s="15">
        <v>0.3857437197038544</v>
      </c>
      <c r="V9" s="90">
        <v>2.3913910654887354</v>
      </c>
      <c r="W9" s="85">
        <v>3.5427832354191278</v>
      </c>
      <c r="X9" s="13" t="s">
        <v>245</v>
      </c>
      <c r="Y9" s="11" t="s">
        <v>154</v>
      </c>
      <c r="Z9" s="14">
        <v>45900</v>
      </c>
      <c r="AA9" s="16" t="s">
        <v>266</v>
      </c>
    </row>
    <row r="10" spans="1:27">
      <c r="B10" s="11" t="s">
        <v>239</v>
      </c>
      <c r="C10" s="11" t="s">
        <v>240</v>
      </c>
      <c r="D10" s="2">
        <v>23.94</v>
      </c>
      <c r="E10" s="12" t="s">
        <v>232</v>
      </c>
      <c r="F10" s="15">
        <v>8.2132295157241408E-2</v>
      </c>
      <c r="G10" s="15">
        <f>F10 - Portfolio_Mgmt!$C$10</f>
        <v>-4.8677048427585856E-3</v>
      </c>
      <c r="H10" s="15">
        <f>F10 - Portfolio_Mgmt!$C$11</f>
        <v>6.3132295157241405E-2</v>
      </c>
      <c r="I10" s="15">
        <v>0</v>
      </c>
      <c r="J10" s="2">
        <v>13.079690025486418</v>
      </c>
      <c r="K10" s="2">
        <v>26.888151196428591</v>
      </c>
      <c r="L10" s="85">
        <v>25.409202896038835</v>
      </c>
      <c r="M10" s="2">
        <v>18.356272555350223</v>
      </c>
      <c r="N10" s="2">
        <v>23.632551844105855</v>
      </c>
      <c r="O10" s="4">
        <v>0.23063351349155548</v>
      </c>
      <c r="P10" s="4">
        <v>4.4277360066833749E-2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21.82</v>
      </c>
      <c r="E11" s="12" t="s">
        <v>232</v>
      </c>
      <c r="F11" s="15">
        <v>5.6657398786469804E-2</v>
      </c>
      <c r="G11" s="15">
        <f>F11 - Portfolio_Mgmt!$C$10</f>
        <v>-3.034260121353019E-2</v>
      </c>
      <c r="H11" s="15">
        <f>F11 - Portfolio_Mgmt!$C$11</f>
        <v>3.7657398786469801E-2</v>
      </c>
      <c r="I11" s="15">
        <v>0</v>
      </c>
      <c r="J11" s="2">
        <v>11.165268338950117</v>
      </c>
      <c r="K11" s="2">
        <v>22.601441956902718</v>
      </c>
      <c r="L11" s="85">
        <v>21.622888321317863</v>
      </c>
      <c r="M11" s="2">
        <v>15.642626483276317</v>
      </c>
      <c r="N11" s="2">
        <v>20.116801024749044</v>
      </c>
      <c r="O11" s="4">
        <v>4.9598752238925958E-2</v>
      </c>
      <c r="P11" s="4">
        <v>4.5371219065077913E-2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13.8</v>
      </c>
      <c r="E12" s="12" t="s">
        <v>232</v>
      </c>
      <c r="F12" s="15">
        <v>-6.5494409358920036E-2</v>
      </c>
      <c r="G12" s="15">
        <f>F12 - Portfolio_Mgmt!$C$10</f>
        <v>-0.15249440935892003</v>
      </c>
      <c r="H12" s="15">
        <f>F12 - Portfolio_Mgmt!$C$11</f>
        <v>-8.4494409358920039E-2</v>
      </c>
      <c r="I12" s="15">
        <v>0</v>
      </c>
      <c r="J12" s="2">
        <v>4.9106169541815241</v>
      </c>
      <c r="K12" s="2">
        <v>10.251430255232371</v>
      </c>
      <c r="L12" s="85">
        <v>9.5695828227600401</v>
      </c>
      <c r="M12" s="2">
        <v>6.9036475281066911</v>
      </c>
      <c r="N12" s="2">
        <v>8.8978683003699235</v>
      </c>
      <c r="O12" s="4">
        <v>3.2147838400832747E-2</v>
      </c>
      <c r="P12" s="4">
        <v>2.6086956521739132E-2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4.3899999999999995E-2</v>
      </c>
      <c r="D4" s="34">
        <v>7.4999999999999997E-2</v>
      </c>
      <c r="E4" s="35">
        <f>D4-C4</f>
        <v>3.1100000000000003E-2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0.53717571965747146</v>
      </c>
      <c r="H3" s="89">
        <f>Portfolio_Mgmt!E61</f>
        <v>0.3</v>
      </c>
      <c r="I3" s="96" t="s">
        <v>265</v>
      </c>
      <c r="J3" s="96" t="s">
        <v>265</v>
      </c>
      <c r="K3" s="96" t="s">
        <v>265</v>
      </c>
      <c r="L3" s="96" t="s">
        <v>265</v>
      </c>
    </row>
    <row r="4" spans="1:12">
      <c r="B4" s="77" t="s">
        <v>239</v>
      </c>
      <c r="C4" s="74">
        <f>VLOOKUP(B4,Opportunities!B$3:E$30,3,FALSE)</f>
        <v>23.94</v>
      </c>
      <c r="D4" s="73" t="str">
        <f>VLOOKUP(B4,Opportunities!B$3:E$30,4,FALSE)</f>
        <v>CNY</v>
      </c>
      <c r="E4" s="70">
        <v>3000</v>
      </c>
      <c r="F4" s="75">
        <f>C4*E4</f>
        <v>71820</v>
      </c>
      <c r="G4" s="72">
        <f t="shared" si="0"/>
        <v>0.22694094226940942</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14.93</v>
      </c>
      <c r="D5" s="73" t="str">
        <f>VLOOKUP(B5,Opportunities!B$3:E$30,4,FALSE)</f>
        <v>CNY</v>
      </c>
      <c r="E5" s="70">
        <v>5000</v>
      </c>
      <c r="F5" s="75">
        <f>C5*E5</f>
        <v>74650</v>
      </c>
      <c r="G5" s="72">
        <f t="shared" ref="G5" si="1">F5/$F$11</f>
        <v>0.23588333807311909</v>
      </c>
      <c r="H5" s="72">
        <f>VLOOKUP(B5,Opportunities!B$3:I$30,8,FALSE)</f>
        <v>0.28314272713808813</v>
      </c>
      <c r="I5" s="98">
        <f>VLOOKUP(B5,Opportunities!B$3:N$30,12,FALSE)</f>
        <v>15.067903135098593</v>
      </c>
      <c r="J5" s="98">
        <f>VLOOKUP(B5,Opportunities!B$3:N$30,9,FALSE)</f>
        <v>10.755129516558478</v>
      </c>
      <c r="K5" s="98">
        <f>VLOOKUP(B5,Opportunities!B$3:N$30,11,FALSE)</f>
        <v>20.82831579044063</v>
      </c>
      <c r="L5" s="98">
        <f>VLOOKUP(B5,Opportunities!B$3:N$30,13,FALSE)</f>
        <v>19.377597519813985</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316470</v>
      </c>
      <c r="G11" s="81">
        <f>SUM(G3:G9)</f>
        <v>1</v>
      </c>
      <c r="H11" s="87">
        <f>SUM(H3:H9)</f>
        <v>0.58314272713808812</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23.94</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43.12</v>
      </c>
      <c r="D15" s="73" t="str">
        <f>VLOOKUP(B15,Opportunities!B$3:E$30,4,FALSE)</f>
        <v>CNY</v>
      </c>
      <c r="E15" s="70">
        <v>0</v>
      </c>
      <c r="F15" s="75">
        <f>-C15*E15</f>
        <v>0</v>
      </c>
      <c r="G15" s="72">
        <f>-F15/$F$11</f>
        <v>0</v>
      </c>
      <c r="H15" s="72">
        <f>VLOOKUP(B15,Opportunities!B$3:I$30,8,FALSE)</f>
        <v>0.1591927524770218</v>
      </c>
      <c r="I15" s="98">
        <f>VLOOKUP(B15,Opportunities!B$3:N$30,12,FALSE)</f>
        <v>40.629719578204039</v>
      </c>
      <c r="J15" s="98">
        <f>VLOOKUP(B15,Opportunities!B$3:N$30,9,FALSE)</f>
        <v>28.630686160261423</v>
      </c>
      <c r="K15" s="98">
        <f>VLOOKUP(B15,Opportunities!B$3:N$30,11,FALSE)</f>
        <v>56.741377225429467</v>
      </c>
      <c r="L15" s="98">
        <f>VLOOKUP(B15,Opportunities!B$3:N$30,13,FALSE)</f>
        <v>52.676874362859721</v>
      </c>
    </row>
    <row r="16" spans="1:12">
      <c r="B16" s="77" t="s">
        <v>252</v>
      </c>
      <c r="C16" s="74">
        <f>VLOOKUP(B16,Opportunities!B$3:E$30,3,FALSE)</f>
        <v>14.93</v>
      </c>
      <c r="D16" s="73" t="str">
        <f>VLOOKUP(B16,Opportunities!B$3:E$30,4,FALSE)</f>
        <v>CNY</v>
      </c>
      <c r="E16" s="70">
        <v>1000</v>
      </c>
      <c r="F16" s="75">
        <f>-C16*E16</f>
        <v>-14930</v>
      </c>
      <c r="G16" s="72">
        <f>-F16/$F$11</f>
        <v>4.7176667614623816E-2</v>
      </c>
      <c r="H16" s="72">
        <f>VLOOKUP(B16,Opportunities!B$3:I$30,8,FALSE)</f>
        <v>0.28314272713808813</v>
      </c>
      <c r="I16" s="98">
        <f>VLOOKUP(B16,Opportunities!B$3:N$30,12,FALSE)</f>
        <v>15.067903135098593</v>
      </c>
      <c r="J16" s="98">
        <f>VLOOKUP(B16,Opportunities!B$3:N$30,9,FALSE)</f>
        <v>10.755129516558478</v>
      </c>
      <c r="K16" s="98">
        <f>VLOOKUP(B16,Opportunities!B$3:N$30,11,FALSE)</f>
        <v>20.82831579044063</v>
      </c>
      <c r="L16" s="98">
        <f>VLOOKUP(B16,Opportunities!B$3:N$30,13,FALSE)</f>
        <v>19.377597519813985</v>
      </c>
    </row>
    <row r="17" spans="2:12">
      <c r="G17" s="86"/>
      <c r="H17" s="86"/>
    </row>
    <row r="18" spans="2:12" ht="13.15">
      <c r="B18" s="82" t="s">
        <v>218</v>
      </c>
      <c r="C18" s="83" t="s">
        <v>214</v>
      </c>
      <c r="D18" s="84" t="s">
        <v>153</v>
      </c>
      <c r="E18" s="83" t="s">
        <v>214</v>
      </c>
      <c r="F18" s="80">
        <f>F3+SUM(F14:F16)</f>
        <v>155070</v>
      </c>
      <c r="G18" s="87">
        <f t="shared" ref="G18" si="2">F18/$F$11</f>
        <v>0.48999905204284766</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2025-06-19T03:04:55Z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