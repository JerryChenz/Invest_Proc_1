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B11ED14-B6EB-430C-917B-2A45FF0DF673}" xr6:coauthVersionLast="47" xr6:coauthVersionMax="47" xr10:uidLastSave="{00000000-0000-0000-0000-000000000000}"/>
  <bookViews>
    <workbookView xWindow="735" yWindow="735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<sst xmlns="http://schemas.openxmlformats.org/spreadsheetml/2006/main" count="423" uniqueCount="356">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</sst>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329</v>
      </c>
      <c r="C3" s="11" t="s">
        <v>331</v>
      </c>
      <c r="D3" s="2">
        <v>15.25</v>
      </c>
      <c r="E3" s="12" t="s">
        <v>327</v>
      </c>
      <c r="F3" s="15">
        <v>0.11045369207251632</v>
      </c>
      <c r="G3" s="15">
        <f>F3 - Portfolio_Mgmt!$C$10</f>
        <v>2.3453692072516324E-2</v>
      </c>
      <c r="H3" s="15">
        <f>F3 - Portfolio_Mgmt!$C$11</f>
        <v>9.1453692072516315E-2</v>
      </c>
      <c r="I3" s="15">
        <v>0</v>
      </c>
      <c r="J3" s="2">
        <v>7.2279420709207756</v>
      </c>
      <c r="K3" s="2">
        <v>17.692199895960851</v>
      </c>
      <c r="L3" s="74">
        <v>16.722424859968235</v>
      </c>
      <c r="M3" s="2">
        <v>9.7854619462725747</v>
      </c>
      <c r="N3" s="2">
        <v>16.202875796143875</v>
      </c>
      <c r="O3" s="4">
        <v>7.7181853459627456E-2</v>
      </c>
      <c r="P3" s="4">
        <v>6.2557377049180338E-2</v>
      </c>
      <c r="Q3" s="4">
        <v>0.2026552385945618</v>
      </c>
      <c r="R3" s="4">
        <v>0.16696657384597549</v>
      </c>
      <c r="S3" s="82">
        <v>0.62476296032712075</v>
      </c>
      <c r="T3" s="81">
        <v>1.9427325871638936</v>
      </c>
      <c r="U3" s="15">
        <v>6.0553888114002474E-2</v>
      </c>
      <c r="V3" s="79">
        <v>0.30099118789407647</v>
      </c>
      <c r="W3" s="74">
        <v>-0.43338518935931036</v>
      </c>
      <c r="X3" s="13" t="s">
        <v>332</v>
      </c>
      <c r="Y3" s="11" t="s">
        <v>136</v>
      </c>
      <c r="Z3" s="14">
        <v>45900</v>
      </c>
      <c r="AA3" s="16" t="s">
        <v>183</v>
      </c>
    </row>
    <row r="4" spans="1:27">
      <c r="B4" s="11" t="s">
        <v>333</v>
      </c>
      <c r="C4" s="11" t="s">
        <v>334</v>
      </c>
      <c r="D4" s="2">
        <v>55.28</v>
      </c>
      <c r="E4" s="12" t="s">
        <v>327</v>
      </c>
      <c r="F4" s="15">
        <v>0.10221195815773543</v>
      </c>
      <c r="G4" s="15">
        <f>F4 - Portfolio_Mgmt!$C$10</f>
        <v>1.5211958157735433E-2</v>
      </c>
      <c r="H4" s="15">
        <f>F4 - Portfolio_Mgmt!$C$11</f>
        <v>8.3211958157735424E-2</v>
      </c>
      <c r="I4" s="15">
        <v>0</v>
      </c>
      <c r="J4" s="2">
        <v>25.155911013083504</v>
      </c>
      <c r="K4" s="2">
        <v>66.857539212261699</v>
      </c>
      <c r="L4" s="74">
        <v>59.434818438436224</v>
      </c>
      <c r="M4" s="2">
        <v>34.354091585007595</v>
      </c>
      <c r="N4" s="2">
        <v>57.551879180502802</v>
      </c>
      <c r="O4" s="4">
        <v>7.8491698669047927E-2</v>
      </c>
      <c r="P4" s="4">
        <v>3.9073806078147616E-2</v>
      </c>
      <c r="Q4" s="4">
        <v>1.2182305488640417</v>
      </c>
      <c r="R4" s="4">
        <v>0.21117895977217718</v>
      </c>
      <c r="S4" s="82">
        <v>1.2904821269100146</v>
      </c>
      <c r="T4" s="81">
        <v>4.4701988818540466</v>
      </c>
      <c r="U4" s="15">
        <v>5.0341856510546588E-2</v>
      </c>
      <c r="V4" s="79">
        <v>4.1762542981319963E-2</v>
      </c>
      <c r="W4" s="74">
        <v>-13.312996389940134</v>
      </c>
      <c r="X4" s="13" t="s">
        <v>170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10.029999999999999</v>
      </c>
      <c r="E5" s="12" t="s">
        <v>327</v>
      </c>
      <c r="F5" s="15">
        <v>8.7180467568018338E-2</v>
      </c>
      <c r="G5" s="15">
        <f>F5 - Portfolio_Mgmt!$C$10</f>
        <v>1.8046756801834429E-4</v>
      </c>
      <c r="H5" s="15">
        <f>F5 - Portfolio_Mgmt!$C$11</f>
        <v>6.8180467568018335E-2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3.5175912102399981E-2</v>
      </c>
      <c r="P5" s="4">
        <v>3.5892323030907287E-2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5.47</v>
      </c>
      <c r="E6" s="12" t="s">
        <v>327</v>
      </c>
      <c r="F6" s="15">
        <v>7.0049949125820188E-2</v>
      </c>
      <c r="G6" s="15">
        <f>F6 - Portfolio_Mgmt!$C$10</f>
        <v>-1.6950050874179806E-2</v>
      </c>
      <c r="H6" s="15">
        <f>F6 - Portfolio_Mgmt!$C$11</f>
        <v>5.1049949125820185E-2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4.2047549693136073E-2</v>
      </c>
      <c r="P6" s="4">
        <v>3.3071297989031079E-2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337</v>
      </c>
      <c r="C7" s="11" t="s">
        <v>338</v>
      </c>
      <c r="D7" s="2">
        <v>21.59</v>
      </c>
      <c r="E7" s="12" t="s">
        <v>327</v>
      </c>
      <c r="F7" s="15">
        <v>6.5577028363230427E-2</v>
      </c>
      <c r="G7" s="15">
        <f>F7 - Portfolio_Mgmt!$C$10</f>
        <v>-2.1422971636769567E-2</v>
      </c>
      <c r="H7" s="15">
        <f>F7 - Portfolio_Mgmt!$C$11</f>
        <v>4.6577028363230424E-2</v>
      </c>
      <c r="I7" s="15">
        <v>0</v>
      </c>
      <c r="J7" s="2">
        <v>8.9913803957882639</v>
      </c>
      <c r="K7" s="2">
        <v>23.068262059109994</v>
      </c>
      <c r="L7" s="74">
        <v>21.049942920535798</v>
      </c>
      <c r="M7" s="2">
        <v>12.232463386030947</v>
      </c>
      <c r="N7" s="2">
        <v>20.388648577016472</v>
      </c>
      <c r="O7" s="4">
        <v>6.1336772662075018E-2</v>
      </c>
      <c r="P7" s="4">
        <v>4.418712366836499E-2</v>
      </c>
      <c r="Q7" s="4">
        <v>0.15648173464349882</v>
      </c>
      <c r="R7" s="4">
        <v>0.13375671427886937</v>
      </c>
      <c r="S7" s="82">
        <v>0.66633267926556194</v>
      </c>
      <c r="T7" s="81">
        <v>1.7557268340491488</v>
      </c>
      <c r="U7" s="15">
        <v>0.3857437197038544</v>
      </c>
      <c r="V7" s="79">
        <v>2.3913910654887354</v>
      </c>
      <c r="W7" s="74">
        <v>3.5427832354191278</v>
      </c>
      <c r="X7" s="13" t="s">
        <v>172</v>
      </c>
      <c r="Y7" s="11" t="s">
        <v>136</v>
      </c>
      <c r="Z7" s="14">
        <v>45900</v>
      </c>
      <c r="AA7" s="16" t="s">
        <v>183</v>
      </c>
    </row>
    <row r="8" spans="1:27">
      <c r="B8" s="11" t="s">
        <v>339</v>
      </c>
      <c r="C8" s="11" t="s">
        <v>340</v>
      </c>
      <c r="D8" s="2">
        <v>67.239999999999995</v>
      </c>
      <c r="E8" s="12" t="s">
        <v>327</v>
      </c>
      <c r="F8" s="15">
        <v>5.3097631406288537E-2</v>
      </c>
      <c r="G8" s="15">
        <f>F8 - Portfolio_Mgmt!$C$10</f>
        <v>-3.3902368593711457E-2</v>
      </c>
      <c r="H8" s="15">
        <f>F8 - Portfolio_Mgmt!$C$11</f>
        <v>3.4097631406288534E-2</v>
      </c>
      <c r="I8" s="15">
        <v>0</v>
      </c>
      <c r="J8" s="2">
        <v>27.666459398619363</v>
      </c>
      <c r="K8" s="2">
        <v>65.304739034115954</v>
      </c>
      <c r="L8" s="74">
        <v>63.44391872644448</v>
      </c>
      <c r="M8" s="2">
        <v>37.320034608154735</v>
      </c>
      <c r="N8" s="2">
        <v>61.489408566601746</v>
      </c>
      <c r="O8" s="4">
        <v>5.3827704866898481E-2</v>
      </c>
      <c r="P8" s="4">
        <v>6.219958358120168E-2</v>
      </c>
      <c r="Q8" s="4">
        <v>0.14093304007128551</v>
      </c>
      <c r="R8" s="4">
        <v>0.29188024664664569</v>
      </c>
      <c r="S8" s="82">
        <v>0.37062368553626046</v>
      </c>
      <c r="T8" s="81">
        <v>1.3027915865121182</v>
      </c>
      <c r="U8" s="15">
        <v>7.7640983998987034E-4</v>
      </c>
      <c r="V8" s="79">
        <v>5.5975167910006915E-3</v>
      </c>
      <c r="W8" s="74">
        <v>15.284602440692964</v>
      </c>
      <c r="X8" s="13" t="s">
        <v>170</v>
      </c>
      <c r="Y8" s="11" t="s">
        <v>136</v>
      </c>
      <c r="Z8" s="14">
        <v>45900</v>
      </c>
      <c r="AA8" s="16" t="s">
        <v>184</v>
      </c>
    </row>
    <row r="9" spans="1:27">
      <c r="B9" s="11" t="s">
        <v>335</v>
      </c>
      <c r="C9" s="11" t="s">
        <v>336</v>
      </c>
      <c r="D9" s="2">
        <v>47.85</v>
      </c>
      <c r="E9" s="12" t="s">
        <v>327</v>
      </c>
      <c r="F9" s="15">
        <v>5.0437078213680486E-2</v>
      </c>
      <c r="G9" s="15">
        <f>F9 - Portfolio_Mgmt!$C$10</f>
        <v>-3.6562921786319508E-2</v>
      </c>
      <c r="H9" s="15">
        <f>F9 - Portfolio_Mgmt!$C$11</f>
        <v>3.1437078213680483E-2</v>
      </c>
      <c r="I9" s="15">
        <v>0</v>
      </c>
      <c r="J9" s="2">
        <v>18.605220097652271</v>
      </c>
      <c r="K9" s="2">
        <v>52.623089120205158</v>
      </c>
      <c r="L9" s="74">
        <v>44.699984953439703</v>
      </c>
      <c r="M9" s="2">
        <v>25.586749713338708</v>
      </c>
      <c r="N9" s="2">
        <v>43.262452230628902</v>
      </c>
      <c r="O9" s="4">
        <v>4.5203329373955249E-2</v>
      </c>
      <c r="P9" s="4">
        <v>1.8808777429467086E-2</v>
      </c>
      <c r="Q9" s="4">
        <v>0.14549955248916155</v>
      </c>
      <c r="R9" s="4">
        <v>0.22405670341828193</v>
      </c>
      <c r="S9" s="82">
        <v>0.42456310191863128</v>
      </c>
      <c r="T9" s="81">
        <v>1.5295422156001708</v>
      </c>
      <c r="U9" s="15">
        <v>5.3145118525683231E-2</v>
      </c>
      <c r="V9" s="79">
        <v>0.36488435676778314</v>
      </c>
      <c r="W9" s="74">
        <v>5.6082458208015922</v>
      </c>
      <c r="X9" s="13" t="s">
        <v>332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20.88</v>
      </c>
      <c r="E10" s="12" t="s">
        <v>327</v>
      </c>
      <c r="F10" s="15">
        <v>1.4014719358058425E-2</v>
      </c>
      <c r="G10" s="15">
        <f>F10 - Portfolio_Mgmt!$C$10</f>
        <v>-7.2985280641941569E-2</v>
      </c>
      <c r="H10" s="15">
        <f>F10 - Portfolio_Mgmt!$C$11</f>
        <v>-4.9852806419415745E-3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5.1831646257345043E-2</v>
      </c>
      <c r="P10" s="4">
        <v>4.741379310344828E-2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24.39</v>
      </c>
      <c r="E11" s="12" t="s">
        <v>327</v>
      </c>
      <c r="F11" s="15">
        <v>-8.0985622641209787E-3</v>
      </c>
      <c r="G11" s="15">
        <f>F11 - Portfolio_Mgmt!$C$10</f>
        <v>-9.5098562264120973E-2</v>
      </c>
      <c r="H11" s="15">
        <f>F11 - Portfolio_Mgmt!$C$11</f>
        <v>-2.7098562264120978E-2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0.22637828261532753</v>
      </c>
      <c r="P11" s="4">
        <v>4.3460434604346045E-2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14.48</v>
      </c>
      <c r="E12" s="12" t="s">
        <v>327</v>
      </c>
      <c r="F12" s="15">
        <v>-0.12657000229994997</v>
      </c>
      <c r="G12" s="15">
        <f>F12 - Portfolio_Mgmt!$C$10</f>
        <v>-0.21357000229994996</v>
      </c>
      <c r="H12" s="15">
        <f>F12 - Portfolio_Mgmt!$C$11</f>
        <v>-0.14557000229994996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3.0638133282561594E-2</v>
      </c>
      <c r="P12" s="4">
        <v>2.4861878453038676E-2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4.4999999999999998E-2</v>
      </c>
      <c r="D4" s="34">
        <v>7.4999999999999997E-2</v>
      </c>
      <c r="E4" s="35">
        <f>D4-C4</f>
        <v>0.03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0.53221463903324773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24.39</v>
      </c>
      <c r="D4" s="62" t="str">
        <f>VLOOKUP(B4,Opportunities!B$3:E$30,4,FALSE)</f>
        <v>CNY</v>
      </c>
      <c r="E4" s="59">
        <v>3000</v>
      </c>
      <c r="F4" s="64">
        <f>E4*C4</f>
        <v>73170</v>
      </c>
      <c r="G4" s="61">
        <f>F4/$F$10</f>
        <v>0.22907144198860435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15.25</v>
      </c>
      <c r="D5" s="62" t="str">
        <f>VLOOKUP(B5,Opportunities!B$3:E$30,4,FALSE)</f>
        <v>CNY</v>
      </c>
      <c r="E5" s="59">
        <v>5000</v>
      </c>
      <c r="F5" s="64">
        <f>C5*E5</f>
        <v>76250</v>
      </c>
      <c r="G5" s="61">
        <f>F5/$F$10</f>
        <v>0.23871391897814789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319420</v>
      </c>
      <c r="G10" s="70">
        <f>SUM(G3:G8)</f>
        <v>0.99999999999999989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0.53221463903324773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2025-07-17T02:14:47Z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