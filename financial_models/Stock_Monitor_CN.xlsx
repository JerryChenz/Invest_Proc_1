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355FD39-ABD6-41BF-8D2A-958CB7C2374C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E37" i="5" l="1"/>
  <c r="C11" i="5"/>
  <c r="C10" i="5"/>
  <c r="B83" i="5"/>
  <c r="B80" i="5"/>
  <c r="C32" i="5" l="1"/>
  <c r="C34" i="5"/>
  <c r="E34" i="5" s="1"/>
  <c r="C36" i="5"/>
  <c r="E36" i="5" s="1"/>
  <c r="I4" i="7"/>
  <c r="J4" i="7"/>
  <c r="K4" i="7"/>
  <c r="L4" i="7"/>
  <c r="I5" i="7"/>
  <c r="J5" i="7"/>
  <c r="K5" i="7"/>
  <c r="L5" i="7"/>
  <c r="D4" i="7"/>
  <c r="D5" i="7"/>
  <c r="H4" i="7"/>
  <c r="H5" i="7"/>
  <c r="C4" i="7"/>
  <c r="C5" i="7"/>
  <c r="E35" i="5" l="1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<sst xmlns="http://schemas.openxmlformats.org/spreadsheetml/2006/main" count="257" uniqueCount="232">
  <si>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</si>
  <si>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</si>
  <si>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</si>
  <si>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</si>
  <si>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</si>
  <si>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</si>
  <si>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</si>
  <si>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</si>
  <si>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</si>
  <si>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</si>
  <si>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</si>
  <si>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</si>
  <si>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</si>
  <si>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</si>
  <si>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</si>
  <si>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</si>
  <si>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</si>
  <si>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</si>
  <si>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</si>
  <si>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</si>
  <si>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</si>
  <si>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</si>
  <si>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</si>
  <si>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</si>
  <si>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</si>
  <si>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</si>
  <si>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</si>
  <si>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</si>
  <si>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</si>
  <si>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</si>
  <si>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</si>
  <si>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</si>
  <si>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</si>
  <si>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</si>
  <si>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</si>
  <si>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</si>
  <si>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</si>
  <si>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</si>
  <si>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</si>
  <si>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</si>
  <si>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</si>
  <si>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</si>
  <si>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</si>
  <si>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</si>
  <si>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</si>
  <si>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</si>
  <si>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</si>
  <si>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</si>
  <si>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</si>
  <si>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</si>
  <si>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</si>
  <si>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</si>
  <si>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</si>
  <si>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</si>
  <si>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</si>
  <si>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</si>
  <si>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</si>
  <si>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</si>
  <si>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</si>
  <si>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</si>
  <si>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</si>
  <si>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</si>
  <si>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</si>
  <si>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</si>
  <si>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</si>
  <si>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</si>
  <si>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</si>
  <si>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</si>
  <si>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</si>
  <si>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</si>
  <si>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</si>
  <si>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</si>
  <si>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</si>
  <si>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</si>
  <si>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</si>
  <si>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</si>
  <si>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</si>
  <si>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</si>
  <si>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</si>
  <si>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</si>
  <si>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</si>
  <si>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</si>
  <si>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</si>
  <si>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</si>
  <si>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</si>
  <si>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</si>
  <si>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</si>
  <si>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</si>
  <si>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</si>
  <si>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</si>
  <si>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</si>
  <si>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</si>
  <si>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</si>
  <si>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</si>
  <si>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</si>
  <si>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</si>
  <si>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</si>
  <si>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</si>
  <si>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</si>
  <si>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</si>
  <si>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</si>
  <si>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</si>
  <si>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</si>
  <si>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</si>
  <si>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</si>
  <si>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</si>
  <si>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</si>
  <si>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</si>
  <si>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</si>
  <si>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</si>
  <si>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</si>
  <si>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</si>
  <si>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</si>
  <si>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</si>
  <si>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</si>
  <si>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</si>
  <si>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</si>
  <si>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</si>
  <si>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</si>
  <si>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</si>
  <si>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</si>
  <si>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</si>
  <si>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</si>
  <si>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</si>
  <si>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</si>
  <si>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</si>
  <si>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</si>
  <si>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</si>
  <si>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</si>
  <si>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</si>
  <si>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</si>
  <si>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</si>
  <si>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</si>
  <si>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</si>
  <si>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</si>
  <si>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</si>
  <si>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</si>
  <si>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</si>
  <si>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</si>
  <si>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</si>
  <si>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</si>
  <si>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</si>
  <si>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</si>
  <si>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</si>
  <si>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</si>
  <si>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</si>
  <si>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</si>
  <si>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</si>
  <si>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</si>
  <si>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</si>
  <si>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</si>
  <si>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</si>
  <si>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</si>
  <si>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</si>
  <si>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</si>
  <si>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</si>
  <si>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</si>
  <si>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</si>
  <si>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</si>
  <si>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</si>
  <si>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</si>
  <si>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</si>
  <si>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</si>
  <si>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</si>
  <si>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</si>
  <si>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</si>
  <si>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</si>
  <si>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</si>
  <si>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</si>
  <si>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</si>
  <si>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</si>
  <si>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</si>
  <si>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</si>
  <si>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</si>
  <si>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</si>
  <si>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</si>
  <si>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</si>
  <si>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</si>
  <si>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</si>
  <si>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</si>
  <si>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</si>
  <si>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</si>
  <si>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</si>
  <si>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</si>
  <si>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</si>
  <si>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</si>
  <si>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</si>
  <si>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</si>
  <si>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</si>
  <si>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</si>
  <si>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</si>
  <si>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</si>
  <si>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</si>
  <si>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</si>
  <si>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</si>
  <si>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</si>
  <si>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</si>
  <si>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</si>
  <si>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</si>
  <si>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</si>
  <si>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</si>
  <si>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</si>
  <si>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</si>
  <si>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</si>
  <si>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</si>
  <si>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</si>
  <si>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</si>
  <si>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</si>
  <si>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</si>
  <si>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</si>
  <si>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</si>
  <si>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</si>
  <si>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</si>
  <si>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</si>
  <si>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</si>
  <si>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</si>
  <si>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</si>
  <si>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</si>
  <si>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</si>
  <si>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</si>
  <si>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</si>
  <si>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</si>
  <si>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</si>
  <si>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</si>
  <si>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</si>
  <si>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</si>
  <si>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</si>
  <si>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</si>
  <si>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601166.SS</t>
  </si>
  <si>
    <t>603279.SS</t>
  </si>
  <si>
    <t>Market Value (CNY)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</si>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</sst>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3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32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topLeftCell="A59" zoomScale="105" workbookViewId="0">
      <selection activeCell="B74" sqref="B74:E7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06" t="s">
        <v>148</v>
      </c>
      <c r="C4" s="106"/>
      <c r="D4" s="106"/>
      <c r="E4" s="106"/>
    </row>
    <row r="6" spans="1:5">
      <c r="A6" s="20" t="s">
        <v>60</v>
      </c>
      <c r="B6" s="19" t="s">
        <v>142</v>
      </c>
      <c r="C6" s="49"/>
    </row>
    <row r="7" spans="1:5">
      <c r="B7" s="106" t="s">
        <v>194</v>
      </c>
      <c r="C7" s="106"/>
      <c r="D7" s="106"/>
      <c r="E7" s="106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07" t="s">
        <v>196</v>
      </c>
      <c r="C24" s="106"/>
      <c r="D24" s="106"/>
      <c r="E24" s="106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f>3/5</f>
        <v>0.6</v>
      </c>
      <c r="D32" s="89" t="s">
        <v>221</v>
      </c>
      <c r="E32" s="90">
        <v>-0.5</v>
      </c>
    </row>
    <row r="33" spans="1:5">
      <c r="B33" s="92" t="s">
        <v>203</v>
      </c>
      <c r="C33" s="93">
        <v>0.35</v>
      </c>
      <c r="D33" s="94" t="s">
        <v>206</v>
      </c>
      <c r="E33" s="95">
        <f>(C32*C33+(1-C32)*C34)/(2*C33)</f>
        <v>0.21428571428571425</v>
      </c>
    </row>
    <row r="34" spans="1:5" ht="12" thickBot="1">
      <c r="B34" s="96" t="s">
        <v>202</v>
      </c>
      <c r="C34" s="97">
        <f>E32+C33</f>
        <v>-0.15000000000000002</v>
      </c>
      <c r="D34" s="98" t="s">
        <v>207</v>
      </c>
      <c r="E34" s="99">
        <f>-C33/C34</f>
        <v>2.333333333333333</v>
      </c>
    </row>
    <row r="35" spans="1:5">
      <c r="B35" s="92" t="s">
        <v>201</v>
      </c>
      <c r="C35" s="93">
        <v>0.25</v>
      </c>
      <c r="D35" s="94" t="s">
        <v>206</v>
      </c>
      <c r="E35" s="95">
        <f>(C32*C35+(1-C32)*C36)/(2*C35)</f>
        <v>9.9999999999999978E-2</v>
      </c>
    </row>
    <row r="36" spans="1:5" ht="12" thickBot="1">
      <c r="B36" s="96" t="s">
        <v>204</v>
      </c>
      <c r="C36" s="97">
        <f>E32+C35</f>
        <v>-0.25</v>
      </c>
      <c r="D36" s="98" t="s">
        <v>207</v>
      </c>
      <c r="E36" s="99">
        <f>-C35/C36</f>
        <v>1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MAX(6%,Market_Yield!C5:D6)</f>
        <v>0.06</v>
      </c>
    </row>
    <row r="38" spans="1:5">
      <c r="C38" s="86"/>
    </row>
    <row r="39" spans="1:5">
      <c r="B39" s="20" t="s">
        <v>209</v>
      </c>
    </row>
    <row r="40" spans="1:5">
      <c r="B40" s="106" t="s">
        <v>208</v>
      </c>
      <c r="C40" s="106"/>
      <c r="D40" s="106"/>
      <c r="E40" s="106"/>
    </row>
    <row r="41" spans="1:5">
      <c r="B41" s="107" t="s">
        <v>224</v>
      </c>
      <c r="C41" s="106"/>
      <c r="D41" s="106"/>
      <c r="E41" s="106"/>
    </row>
    <row r="42" spans="1:5">
      <c r="B42" s="107" t="s">
        <v>222</v>
      </c>
      <c r="C42" s="106"/>
      <c r="D42" s="106"/>
      <c r="E42" s="106"/>
    </row>
    <row r="43" spans="1:5">
      <c r="B43" s="107" t="s">
        <v>223</v>
      </c>
      <c r="C43" s="107"/>
      <c r="D43" s="107"/>
      <c r="E43" s="107"/>
    </row>
    <row r="44" spans="1:5" ht="46.5" customHeight="1">
      <c r="B44" s="106" t="s">
        <v>156</v>
      </c>
      <c r="C44" s="106"/>
      <c r="D44" s="106"/>
      <c r="E44" s="106"/>
    </row>
    <row r="46" spans="1:5">
      <c r="A46" s="21" t="s">
        <v>137</v>
      </c>
      <c r="B46" s="21"/>
      <c r="C46" s="21"/>
      <c r="D46" s="21"/>
      <c r="E46" s="21"/>
    </row>
    <row r="48" spans="1:5">
      <c r="B48" s="106" t="s">
        <v>210</v>
      </c>
      <c r="C48" s="106"/>
      <c r="D48" s="106"/>
      <c r="E48" s="106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06" t="s">
        <v>138</v>
      </c>
      <c r="C74" s="106"/>
      <c r="D74" s="106"/>
      <c r="E74" s="106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U3" activePane="bottomRight" state="frozen"/>
      <selection pane="topRight" activeCell="D1" sqref="D1"/>
      <selection pane="bottomLeft" activeCell="A5" sqref="A5"/>
      <selection pane="bottomRight" activeCell="B3" sqref="B3:AB1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0" t="s">
        <v>1</v>
      </c>
      <c r="E1" s="110"/>
      <c r="F1" s="110"/>
      <c r="G1" s="111" t="s">
        <v>85</v>
      </c>
      <c r="H1" s="111"/>
      <c r="I1" s="111"/>
      <c r="J1" s="113" t="s">
        <v>4</v>
      </c>
      <c r="K1" s="113"/>
      <c r="L1" s="113"/>
      <c r="M1" s="112" t="s">
        <v>165</v>
      </c>
      <c r="N1" s="112"/>
      <c r="O1" s="108" t="s">
        <v>8</v>
      </c>
      <c r="P1" s="108"/>
      <c r="Q1" s="115" t="s">
        <v>177</v>
      </c>
      <c r="R1" s="115"/>
      <c r="S1" s="115"/>
      <c r="T1" s="115"/>
      <c r="U1" s="114" t="s">
        <v>173</v>
      </c>
      <c r="V1" s="114"/>
      <c r="W1" s="114"/>
      <c r="X1" s="109" t="s">
        <v>49</v>
      </c>
      <c r="Y1" s="109"/>
      <c r="Z1" s="109"/>
      <c r="AA1" s="10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5" sqref="D1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4.2999999999999997E-2</v>
      </c>
      <c r="D4" s="34">
        <v>7.4999999999999997E-2</v>
      </c>
      <c r="E4" s="35">
        <f>D4-C4</f>
        <v>3.2000000000000001E-2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0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F14" sqref="F1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230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231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228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229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">
        <v>231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16" t="s">
        <v>88</v>
      </c>
      <c r="C3" s="116"/>
      <c r="D3" s="116"/>
    </row>
    <row r="5" spans="1:4">
      <c r="B5" s="117" t="s">
        <v>90</v>
      </c>
      <c r="C5" s="118"/>
      <c r="D5" s="118"/>
    </row>
    <row r="6" spans="1:4">
      <c r="B6" s="117" t="s">
        <v>91</v>
      </c>
      <c r="C6" s="118"/>
      <c r="D6" s="11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16" t="s">
        <v>93</v>
      </c>
      <c r="C11" s="116"/>
      <c r="D11" s="116"/>
    </row>
    <row r="12" spans="1:4">
      <c r="B12" s="116" t="s">
        <v>94</v>
      </c>
      <c r="C12" s="116"/>
      <c r="D12" s="11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16" t="s">
        <v>106</v>
      </c>
      <c r="C28" s="116"/>
      <c r="D28" s="116"/>
    </row>
    <row r="29" spans="1:4">
      <c r="B29" s="116" t="s">
        <v>107</v>
      </c>
      <c r="C29" s="116"/>
      <c r="D29" s="11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2025-07-06T15:08:56Z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