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495DD62-FD9B-413D-A671-F75FFC6C091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C18" i="11" s="1"/>
  <c r="D18" i="11" s="1"/>
  <c r="E18" i="11" s="1"/>
  <c r="C23" i="11" s="1"/>
  <c r="C33" i="10"/>
  <c r="C34" i="10" s="1"/>
  <c r="E34" i="10" s="1"/>
  <c r="D19" i="11"/>
  <c r="E19" i="11" s="1"/>
  <c r="C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<sst xmlns="http://schemas.openxmlformats.org/spreadsheetml/2006/main" count="442" uniqueCount="375">
  <si>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</si>
  <si>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</si>
  <si>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</si>
  <si>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</si>
  <si>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</si>
  <si>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</si>
  <si>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</si>
  <si>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</si>
  <si>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</si>
  <si>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</si>
  <si>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</si>
  <si>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</si>
  <si>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</si>
  <si>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</si>
  <si>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</si>
  <si>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</si>
  <si>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</si>
  <si>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</si>
  <si>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</si>
  <si>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</si>
  <si>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</si>
  <si>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</si>
  <si>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</si>
  <si>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</si>
  <si>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</si>
  <si>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</si>
  <si>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</si>
  <si>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</si>
  <si>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</si>
  <si>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</si>
  <si>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</si>
  <si>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</si>
  <si>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</si>
  <si>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</si>
  <si>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</si>
  <si>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</si>
  <si>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</si>
  <si>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</si>
  <si>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</si>
  <si>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</si>
  <si>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</si>
  <si>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</si>
  <si>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</si>
  <si>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</si>
  <si>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</si>
  <si>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</si>
  <si>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</si>
  <si>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</si>
  <si>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</si>
  <si>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</si>
  <si>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</si>
  <si>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</si>
  <si>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</si>
  <si>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</si>
  <si>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</si>
  <si>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</si>
  <si>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</si>
  <si>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</si>
  <si>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</si>
  <si>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</si>
  <si>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</si>
  <si>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</si>
  <si>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</si>
  <si>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</si>
  <si>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</si>
  <si>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</si>
  <si>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</si>
  <si>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</si>
  <si>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</si>
  <si>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</si>
  <si>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</si>
  <si>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</si>
  <si>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</si>
  <si>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</si>
  <si>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</si>
  <si>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</si>
  <si>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</si>
  <si>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</si>
  <si>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</si>
  <si>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</si>
  <si>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</si>
  <si>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</si>
  <si>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</si>
  <si>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</si>
  <si>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</si>
  <si>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</si>
  <si>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</si>
  <si>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</si>
  <si>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</si>
  <si>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</si>
  <si>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</si>
  <si>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</si>
  <si>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</si>
  <si>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</si>
  <si>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</si>
  <si>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</si>
  <si>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</si>
  <si>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</si>
  <si>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</si>
  <si>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</si>
  <si>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</si>
  <si>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</si>
  <si>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</si>
  <si>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</si>
  <si>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</si>
  <si>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</si>
  <si>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</si>
  <si>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</si>
  <si>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</si>
  <si>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</si>
  <si>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</si>
  <si>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</si>
  <si>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</si>
  <si>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</si>
  <si>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</si>
  <si>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</si>
  <si>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</si>
  <si>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</si>
  <si>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</si>
  <si>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</si>
  <si>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</si>
  <si>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</si>
  <si>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</si>
  <si>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</si>
  <si>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</si>
  <si>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</si>
  <si>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</si>
  <si>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</si>
  <si>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</si>
  <si>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</si>
  <si>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</si>
  <si>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</si>
  <si>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</si>
  <si>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</si>
  <si>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</si>
  <si>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</si>
  <si>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</si>
  <si>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</si>
  <si>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</si>
  <si>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</si>
  <si>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</si>
  <si>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</si>
  <si>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</si>
  <si>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</si>
  <si>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</si>
  <si>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</si>
  <si>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</si>
  <si>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</si>
  <si>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</si>
  <si>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</si>
  <si>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</si>
  <si>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</si>
  <si>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</si>
  <si>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</si>
  <si>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</si>
  <si>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</si>
  <si>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</si>
  <si>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</si>
  <si>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</si>
  <si>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</si>
  <si>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</si>
  <si>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</si>
  <si>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</si>
  <si>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</si>
  <si>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</si>
  <si>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</si>
  <si>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</si>
  <si>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</si>
  <si>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</si>
  <si>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</si>
  <si>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</si>
  <si>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</si>
  <si>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</si>
  <si>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</si>
  <si>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</si>
  <si>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</si>
  <si>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</si>
  <si>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</si>
  <si>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</si>
  <si>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</si>
  <si>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</si>
  <si>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</si>
  <si>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</si>
  <si>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</si>
  <si>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</si>
  <si>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</si>
  <si>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</si>
  <si>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</si>
  <si>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</si>
  <si>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</si>
  <si>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</si>
  <si>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</si>
  <si>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</si>
  <si>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</si>
  <si>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</si>
  <si>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</si>
  <si>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</si>
  <si>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</si>
  <si>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</si>
  <si>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</si>
  <si>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</si>
  <si>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</si>
  <si>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</si>
  <si>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</si>
  <si>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</si>
  <si>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</si>
  <si>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</si>
  <si>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</si>
  <si>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</si>
  <si>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</si>
  <si>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</si>
  <si>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</si>
  <si>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</si>
  <si>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</si>
  <si>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</si>
  <si>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</si>
  <si>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</si>
  <si>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</si>
  <si>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</si>
  <si>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</si>
  <si>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</si>
  <si>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</si>
  <si>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</si>
  <si>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</si>
  <si>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</si>
  <si>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</si>
  <si>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</si>
  <si>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</si>
  <si>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</si>
  <si>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</si>
  <si>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</si>
  <si>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</si>
  <si>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</si>
  <si>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</si>
  <si>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</si>
  <si>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</si>
  <si>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</si>
  <si>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</si>
  <si>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</si>
  <si>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</si>
  <si>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</si>
  <si>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</si>
  <si>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</si>
  <si>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</si>
  <si>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</si>
  <si>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</si>
  <si>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</si>
  <si>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</si>
  <si>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</si>
  <si>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</si>
  <si>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</si>
  <si>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</si>
  <si>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</si>
  <si>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</si>
  <si>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</si>
  <si>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</si>
  <si>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</si>
  <si>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</si>
  <si>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</si>
  <si>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</si>
  <si>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</si>
  <si>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</si>
  <si>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</si>
  <si>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</si>
  <si>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</si>
  <si>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</si>
  <si>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</si>
  <si>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</si>
  <si>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</si>
  <si>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</si>
  <si>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</si>
  <si>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</si>
  <si>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</si>
  <si>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</si>
  <si>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</si>
  <si>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</si>
  <si>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</si>
  <si>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</si>
  <si>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</si>
  <si>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</si>
  <si>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</si>
  <si>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</si>
  <si>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</si>
  <si>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</si>
  <si>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</si>
  <si>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</si>
  <si>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</si>
  <si>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</si>
  <si>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</si>
  <si>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</si>
  <si>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</si>
  <si>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</si>
  <si>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</si>
  <si>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</si>
  <si>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</si>
  <si>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</si>
  <si>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</si>
  <si>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</si>
  <si>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</si>
  <si>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</si>
  <si>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</si>
  <si>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</si>
  <si>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</si>
  <si>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</si>
  <si>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</si>
  <si>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</si>
  <si>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</si>
  <si>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</si>
  <si>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</si>
  <si>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</si>
  <si>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</si>
  <si>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</si>
  <si>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</si>
  <si>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</si>
  <si>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</si>
  <si>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</si>
  <si>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</si>
  <si>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</si>
  <si>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</si>
  <si>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</si>
  <si>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</si>
  <si>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</si>
  <si>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</si>
  <si>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</si>
  <si>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</si>
  <si>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</si>
  <si>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</si>
  <si>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</si>
  <si>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</si>
  <si>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</si>
  <si>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</si>
  <si>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</si>
  <si>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</si>
  <si>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</si>
  <si>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</si>
  <si>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</si>
  <si>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</si>
  <si>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</si>
  <si>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</si>
  <si>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</si>
  <si>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</si>
  <si>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</si>
  <si>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</si>
  <si>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</si>
  <si>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</si>
  <si>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</si>
  <si>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</si>
  <si>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</si>
  <si>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</si>
  <si>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</si>
  <si>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</si>
  <si>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</si>
  <si>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</si>
  <si>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</si>
  <si>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</si>
  <si>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</si>
  <si>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</si>
  <si>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</si>
  <si>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</si>
  <si>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</si>
  <si>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</si>
  <si>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</si>
  <si>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</si>
  <si>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</si>
  <si>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</si>
  <si>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</si>
  <si>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</si>
  <si>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</si>
  <si>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</si>
  <si>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</si>
  <si>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</si>
  <si>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</si>
  <si>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</si>
  <si>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Allocation Strategy</t>
  </si>
  <si>
    <t>Goal: Use Kelly's forumla to determine the allocation during your investment horizon.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</si>
</sst>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  <xf numFmtId="10" fontId="43" fillId="0" borderId="4" xfId="0" applyNumberFormat="1" applyFont="1" applyBorder="1"/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2" zoomScale="83" workbookViewId="0">
      <selection activeCell="E46" sqref="E4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4</v>
      </c>
    </row>
    <row r="31" spans="1:5">
      <c r="B31" s="26" t="s">
        <v>197</v>
      </c>
      <c r="C31" s="134">
        <v>0.5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0.6</v>
      </c>
    </row>
    <row r="38" spans="1:5">
      <c r="B38" s="26" t="s">
        <v>363</v>
      </c>
      <c r="C38" s="138">
        <v>-0.75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373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50% Allocation</v>
      </c>
      <c r="C46" s="142">
        <f>(1+D46)^(1/C$36)-1</f>
        <v>0.58740105196819958</v>
      </c>
      <c r="D46" s="137">
        <f>E46*-C$38</f>
        <v>3.0000000000000009</v>
      </c>
      <c r="E46" s="139">
        <f>(1-C$37)/(C$37-C$31)</f>
        <v>4.0000000000000009</v>
      </c>
    </row>
    <row r="47" spans="1:5">
      <c r="B47" s="26" t="str">
        <f>"Target "&amp;C$31/2*100&amp;"% Allocation"</f>
        <v>Target 25% Allocation</v>
      </c>
      <c r="C47" s="142">
        <f>(1+D47)^(1/C$36)-1</f>
        <v>0.2291789212788069</v>
      </c>
      <c r="D47" s="137">
        <f>E47*-C$38</f>
        <v>0.85714285714285721</v>
      </c>
      <c r="E47" s="139">
        <f>(1-C$37)/(C$37-C$31/2)</f>
        <v>1.142857142857143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3.89</v>
      </c>
      <c r="E3" s="12" t="s">
        <v>135</v>
      </c>
      <c r="F3" s="15">
        <v>0.23321922687563271</v>
      </c>
      <c r="G3" s="15">
        <f>F3 - Portfolio_Mgmt!$C$10</f>
        <v>0.14621922687563271</v>
      </c>
      <c r="H3" s="15">
        <f>F3 - Portfolio_Mgmt!$C$11</f>
        <v>0.21421922687563272</v>
      </c>
      <c r="I3" s="15">
        <v>0.23566373144344729</v>
      </c>
      <c r="J3" s="2">
        <v>3.6591560894679178</v>
      </c>
      <c r="K3" s="2">
        <v>6.3880296947053443</v>
      </c>
      <c r="L3" s="71">
        <v>5.8098270615809753</v>
      </c>
      <c r="M3" s="2">
        <v>4.3538511954983088</v>
      </c>
      <c r="N3" s="2">
        <v>5.1620541104191968</v>
      </c>
      <c r="O3" s="4">
        <v>8.0262134930095805E-2</v>
      </c>
      <c r="P3" s="4">
        <v>6.2159383033419016E-2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1.2414202352415062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2.78</v>
      </c>
      <c r="E4" s="12" t="s">
        <v>135</v>
      </c>
      <c r="F4" s="15">
        <v>0.20688319257002982</v>
      </c>
      <c r="G4" s="15">
        <f>F4 - Portfolio_Mgmt!$C$10</f>
        <v>0.11988319257002983</v>
      </c>
      <c r="H4" s="15">
        <f>F4 - Portfolio_Mgmt!$C$11</f>
        <v>0.18788319257002983</v>
      </c>
      <c r="I4" s="15">
        <v>0.49791365232118545</v>
      </c>
      <c r="J4" s="2">
        <v>2.4683124315430653</v>
      </c>
      <c r="K4" s="2">
        <v>3.8978478955831006</v>
      </c>
      <c r="L4" s="71">
        <v>3.864947713995857</v>
      </c>
      <c r="M4" s="2">
        <v>2.9205077954237963</v>
      </c>
      <c r="N4" s="2">
        <v>3.4452258335534998</v>
      </c>
      <c r="O4" s="4">
        <v>5.7863112411107163E-2</v>
      </c>
      <c r="P4" s="4">
        <v>9.7122302158273388E-2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6.88</v>
      </c>
      <c r="E5" s="12" t="s">
        <v>135</v>
      </c>
      <c r="F5" s="15">
        <v>0.19501823393347265</v>
      </c>
      <c r="G5" s="15">
        <f>F5 - Portfolio_Mgmt!$C$10</f>
        <v>0.10801823393347265</v>
      </c>
      <c r="H5" s="15">
        <f>F5 - Portfolio_Mgmt!$C$11</f>
        <v>0.17601823393347266</v>
      </c>
      <c r="I5" s="15">
        <v>0.25614689722402417</v>
      </c>
      <c r="J5" s="2">
        <v>5.9054065110841929</v>
      </c>
      <c r="K5" s="2">
        <v>10.616216387142542</v>
      </c>
      <c r="L5" s="71">
        <v>9.4166793148571344</v>
      </c>
      <c r="M5" s="2">
        <v>7.0388004978654317</v>
      </c>
      <c r="N5" s="2">
        <v>8.3583986585951511</v>
      </c>
      <c r="O5" s="4">
        <v>9.9889410142366505E-2</v>
      </c>
      <c r="P5" s="4">
        <v>4.5130931915232549E-2</v>
      </c>
      <c r="Q5" s="4">
        <v>0.17171943105370358</v>
      </c>
      <c r="R5" s="4">
        <v>8.3605878485499163E-2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-2.8830343646100265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18.760000000000002</v>
      </c>
      <c r="E6" s="12" t="s">
        <v>135</v>
      </c>
      <c r="F6" s="15">
        <v>0.15857218131450324</v>
      </c>
      <c r="G6" s="15">
        <f>F6 - Portfolio_Mgmt!$C$10</f>
        <v>7.1572181314503242E-2</v>
      </c>
      <c r="H6" s="15">
        <f>F6 - Portfolio_Mgmt!$C$11</f>
        <v>0.13957218131450325</v>
      </c>
      <c r="I6" s="15">
        <v>0</v>
      </c>
      <c r="J6" s="2">
        <v>14.805476447785434</v>
      </c>
      <c r="K6" s="2">
        <v>24.763327047223395</v>
      </c>
      <c r="L6" s="71">
        <v>23.364814929721526</v>
      </c>
      <c r="M6" s="2">
        <v>17.573058499345738</v>
      </c>
      <c r="N6" s="2">
        <v>20.789251965404631</v>
      </c>
      <c r="O6" s="4">
        <v>0.12461901306278753</v>
      </c>
      <c r="P6" s="4">
        <v>6.7164179104477612E-2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0.4493861489015577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17.21</v>
      </c>
      <c r="E7" s="12" t="s">
        <v>135</v>
      </c>
      <c r="F7" s="15">
        <v>0.1563962648883489</v>
      </c>
      <c r="G7" s="15">
        <f>F7 - Portfolio_Mgmt!$C$10</f>
        <v>6.9396264888348907E-2</v>
      </c>
      <c r="H7" s="15">
        <f>F7 - Portfolio_Mgmt!$C$11</f>
        <v>0.13739626488834891</v>
      </c>
      <c r="I7" s="15">
        <v>0</v>
      </c>
      <c r="J7" s="2">
        <v>13.401377995525474</v>
      </c>
      <c r="K7" s="2">
        <v>24.743274909719492</v>
      </c>
      <c r="L7" s="71">
        <v>21.455378775348965</v>
      </c>
      <c r="M7" s="2">
        <v>15.99944080323343</v>
      </c>
      <c r="N7" s="2">
        <v>19.026471897152213</v>
      </c>
      <c r="O7" s="4">
        <v>5.5489050494636635E-2</v>
      </c>
      <c r="P7" s="4">
        <v>3.1104153683805952E-2</v>
      </c>
      <c r="Q7" s="4">
        <v>0.11088654283426368</v>
      </c>
      <c r="R7" s="4">
        <v>0.1151513905490944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5.4492680826802475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6.72</v>
      </c>
      <c r="E8" s="12" t="s">
        <v>135</v>
      </c>
      <c r="F8" s="15">
        <v>0.10832958200820168</v>
      </c>
      <c r="G8" s="15">
        <f>F8 - Portfolio_Mgmt!$C$10</f>
        <v>2.1329582008201689E-2</v>
      </c>
      <c r="H8" s="15">
        <f>F8 - Portfolio_Mgmt!$C$11</f>
        <v>8.932958200820168E-2</v>
      </c>
      <c r="I8" s="15">
        <v>0</v>
      </c>
      <c r="J8" s="2">
        <v>4.6766451060685625</v>
      </c>
      <c r="K8" s="2">
        <v>7.8143613713918958</v>
      </c>
      <c r="L8" s="71">
        <v>7.3792932677079612</v>
      </c>
      <c r="M8" s="2">
        <v>5.5505413533150421</v>
      </c>
      <c r="N8" s="2">
        <v>6.5660659780940076</v>
      </c>
      <c r="O8" s="4">
        <v>5.9064558143726541E-2</v>
      </c>
      <c r="P8" s="4">
        <v>5.9523809523809527E-2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105.9</v>
      </c>
      <c r="E9" s="12" t="s">
        <v>135</v>
      </c>
      <c r="F9" s="15">
        <v>0.1054038344406481</v>
      </c>
      <c r="G9" s="15">
        <f>F9 - Portfolio_Mgmt!$C$10</f>
        <v>1.8403834440648109E-2</v>
      </c>
      <c r="H9" s="15">
        <f>F9 - Portfolio_Mgmt!$C$11</f>
        <v>8.64038344406481E-2</v>
      </c>
      <c r="I9" s="15">
        <v>0</v>
      </c>
      <c r="J9" s="2">
        <v>71.520223778865898</v>
      </c>
      <c r="K9" s="2">
        <v>143.0404475577318</v>
      </c>
      <c r="L9" s="71">
        <v>115.94898673567373</v>
      </c>
      <c r="M9" s="2">
        <v>85.824268534639089</v>
      </c>
      <c r="N9" s="2">
        <v>102.5257274084931</v>
      </c>
      <c r="O9" s="4">
        <v>2.257438796099016E-2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3.4817635502135786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8.6999999999999994E-2</v>
      </c>
    </row>
    <row r="11" spans="1:5">
      <c r="B11" s="1" t="s">
        <v>240</v>
      </c>
      <c r="C11" s="105">
        <f>Cash_Yield</f>
        <v>1.9E-2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4</v>
      </c>
    </row>
    <row r="28" spans="1:5">
      <c r="B28" s="26" t="s">
        <v>257</v>
      </c>
      <c r="C28" s="107">
        <f>Portfolio_Mgmt!C31</f>
        <v>0.5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0.58740105196819958</v>
      </c>
      <c r="D32" s="93" t="s">
        <v>322</v>
      </c>
      <c r="E32" s="108">
        <f>Portfolio_Mgmt!E46</f>
        <v>4.0000000000000009</v>
      </c>
    </row>
    <row r="33" spans="1:5">
      <c r="B33" s="95" t="s">
        <v>263</v>
      </c>
      <c r="C33" s="109">
        <f>Portfolio_Mgmt!C47</f>
        <v>0.2291789212788069</v>
      </c>
      <c r="D33" s="96" t="s">
        <v>268</v>
      </c>
      <c r="E33" s="97">
        <f>(C32*C33+(1-C32)*C34)/(2*C33)</f>
        <v>4.1006710017615848</v>
      </c>
    </row>
    <row r="34" spans="1:5" ht="12" thickBot="1">
      <c r="B34" s="98" t="s">
        <v>264</v>
      </c>
      <c r="C34" s="99">
        <f>E32+C33</f>
        <v>4.229178921278808</v>
      </c>
      <c r="D34" s="100" t="s">
        <v>269</v>
      </c>
      <c r="E34" s="101">
        <f>-C33/C34</f>
        <v>-5.4189932737465828E-2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E18" sqref="E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374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-0.75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f>Portfolio_Mgmt!C46</f>
        <v>0.58740105196819958</v>
      </c>
      <c r="D18" s="140">
        <f xml:space="preserve"> (1 + C18) ^ C$7-1</f>
        <v>3.0000000000000009</v>
      </c>
      <c r="E18" s="129">
        <f>-D18/C$10</f>
        <v>4.0000000000000009</v>
      </c>
    </row>
    <row r="19" spans="1:5">
      <c r="B19" s="127" t="s">
        <v>355</v>
      </c>
      <c r="C19" s="141">
        <f>Portfolio_Mgmt!C47</f>
        <v>0.2291789212788069</v>
      </c>
      <c r="D19" s="140">
        <f xml:space="preserve"> (1 + C19) ^ C$7-1</f>
        <v>0.85714285714285721</v>
      </c>
      <c r="E19" s="129">
        <f>-D19/C$10</f>
        <v>1.142857142857143</v>
      </c>
    </row>
    <row r="21" spans="1:5">
      <c r="A21" s="121" t="s">
        <v>352</v>
      </c>
    </row>
    <row r="22" spans="1:5">
      <c r="B22" s="123" t="s">
        <v>358</v>
      </c>
      <c r="C22" s="123" t="s">
        <v>216</v>
      </c>
    </row>
    <row r="23" spans="1:5">
      <c r="B23" s="127" t="s">
        <v>356</v>
      </c>
      <c r="C23" s="130">
        <f>(E18*C$8-C9)/E18</f>
        <v>0.5</v>
      </c>
    </row>
    <row r="24" spans="1:5">
      <c r="B24" s="127" t="s">
        <v>357</v>
      </c>
      <c r="C24" s="130">
        <f>(E19*C$8-(1-C$8))/E19</f>
        <v>0.25000000000000006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E19" sqref="E19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4.0999999999999995E-2</v>
      </c>
      <c r="D4" s="34">
        <v>7.2499999999999995E-2</v>
      </c>
      <c r="E4" s="35">
        <f>D4-C4</f>
        <v>3.15E-2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59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0.69713240336804683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17.21</v>
      </c>
      <c r="E4" s="59" t="str">
        <f>VLOOKUP(B4,Opportunities!B$3:E$30,4,FALSE)</f>
        <v>HKD</v>
      </c>
      <c r="F4" s="57">
        <v>4500</v>
      </c>
      <c r="G4" s="61">
        <f>D4*F4</f>
        <v>77445</v>
      </c>
      <c r="H4" s="58">
        <f>G4/$G$9</f>
        <v>6.9246678046089347E-2</v>
      </c>
      <c r="I4" s="58">
        <f>VLOOKUP(B4,Opportunities!B$3:I$30,8,FALSE)</f>
        <v>0</v>
      </c>
      <c r="J4" s="81">
        <f>VLOOKUP(B4,Opportunities!B$3:N$30,12,FALSE)</f>
        <v>15.99944080323343</v>
      </c>
      <c r="K4" s="81">
        <f>VLOOKUP(B4,Opportunities!B$3:N$30,9,FALSE)</f>
        <v>13.401377995525474</v>
      </c>
      <c r="L4" s="81">
        <f>VLOOKUP(B4,Opportunities!B$3:N$30,11,FALSE)</f>
        <v>21.455378775348965</v>
      </c>
      <c r="M4" s="81">
        <f>VLOOKUP(B4,Opportunities!B$3:N$30,13,FALSE)</f>
        <v>19.026471897152213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18.760000000000002</v>
      </c>
      <c r="E5" s="59" t="str">
        <f>VLOOKUP(B5,Opportunities!B$3:E$30,4,FALSE)</f>
        <v>HKD</v>
      </c>
      <c r="F5" s="57">
        <v>8000</v>
      </c>
      <c r="G5" s="61">
        <f>D5*F5</f>
        <v>150080</v>
      </c>
      <c r="H5" s="58">
        <f>G5/$G$9</f>
        <v>0.13419254233529715</v>
      </c>
      <c r="I5" s="58">
        <f>VLOOKUP(B5,Opportunities!B$3:I$30,8,FALSE)</f>
        <v>0</v>
      </c>
      <c r="J5" s="81">
        <f>VLOOKUP(B5,Opportunities!B$3:N$30,12,FALSE)</f>
        <v>17.573058499345738</v>
      </c>
      <c r="K5" s="81">
        <f>VLOOKUP(B5,Opportunities!B$3:N$30,9,FALSE)</f>
        <v>14.805476447785434</v>
      </c>
      <c r="L5" s="81">
        <f>VLOOKUP(B5,Opportunities!B$3:N$30,11,FALSE)</f>
        <v>23.364814929721526</v>
      </c>
      <c r="M5" s="81">
        <f>VLOOKUP(B5,Opportunities!B$3:N$30,13,FALSE)</f>
        <v>20.789251965404631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2.78</v>
      </c>
      <c r="E6" s="59" t="str">
        <f>VLOOKUP(B6,Opportunities!B$3:E$30,4,FALSE)</f>
        <v>HKD</v>
      </c>
      <c r="F6" s="57">
        <v>40000</v>
      </c>
      <c r="G6" s="61">
        <f>D6*F6</f>
        <v>111199.99999999999</v>
      </c>
      <c r="H6" s="58">
        <f t="shared" ref="H6" si="0">G6/$G$9</f>
        <v>9.942837625056665E-2</v>
      </c>
      <c r="I6" s="58">
        <f>VLOOKUP(B6,Opportunities!B$3:I$30,8,FALSE)</f>
        <v>0.49791365232118545</v>
      </c>
      <c r="J6" s="81">
        <f>VLOOKUP(B6,Opportunities!B$3:N$30,12,FALSE)</f>
        <v>2.9205077954237963</v>
      </c>
      <c r="K6" s="81">
        <f>VLOOKUP(B6,Opportunities!B$3:N$30,9,FALSE)</f>
        <v>2.4683124315430653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3.89</v>
      </c>
      <c r="E7" s="59" t="str">
        <f>VLOOKUP(B7,Opportunities!B$3:E$30,4,FALSE)</f>
        <v>HKD</v>
      </c>
      <c r="F7" s="57">
        <v>9000</v>
      </c>
      <c r="G7" s="61">
        <f>D7*F7</f>
        <v>35010</v>
      </c>
      <c r="H7" s="58">
        <f t="shared" ref="H7" si="1">G7/$G$9</f>
        <v>3.1303843997592978E-2</v>
      </c>
      <c r="I7" s="58">
        <f>VLOOKUP(B7,Opportunities!B$3:I$30,8,FALSE)</f>
        <v>0.23566373144344729</v>
      </c>
      <c r="J7" s="81">
        <f>VLOOKUP(B7,Opportunities!B$3:N$30,12,FALSE)</f>
        <v>4.3538511954983088</v>
      </c>
      <c r="K7" s="81">
        <f>VLOOKUP(B7,Opportunities!B$3:N$30,9,FALSE)</f>
        <v>3.6591560894679178</v>
      </c>
      <c r="L7" s="81">
        <f>VLOOKUP(B7,Opportunities!B$3:N$30,11,FALSE)</f>
        <v>5.8098270615809753</v>
      </c>
      <c r="M7" s="81">
        <f>VLOOKUP(B7,Opportunities!B$3:N$30,13,FALSE)</f>
        <v>5.1620541104191968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1118393</v>
      </c>
      <c r="H9" s="67">
        <f>SUM(H3:H6)</f>
        <v>0.99999999999999989</v>
      </c>
      <c r="I9" s="73">
        <f>SUM(I3:I6)</f>
        <v>0.94791365232118552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17.21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0</v>
      </c>
      <c r="J12" s="81">
        <f>VLOOKUP(B12,Opportunities!B$3:N$30,12,FALSE)</f>
        <v>15.99944080323343</v>
      </c>
      <c r="K12" s="81">
        <f>VLOOKUP(B12,Opportunities!B$3:N$30,9,FALSE)</f>
        <v>13.401377995525474</v>
      </c>
      <c r="L12" s="81">
        <f>VLOOKUP(B12,Opportunities!B$3:N$30,11,FALSE)</f>
        <v>21.455378775348965</v>
      </c>
      <c r="M12" s="81">
        <f>VLOOKUP(B12,Opportunities!B$3:N$30,13,FALSE)</f>
        <v>19.026471897152213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18.760000000000002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17.573058499345738</v>
      </c>
      <c r="K13" s="81">
        <f>VLOOKUP(B13,Opportunities!B$3:N$30,9,FALSE)</f>
        <v>14.805476447785434</v>
      </c>
      <c r="L13" s="81">
        <f>VLOOKUP(B13,Opportunities!B$3:N$30,11,FALSE)</f>
        <v>23.364814929721526</v>
      </c>
      <c r="M13" s="81">
        <f>VLOOKUP(B13,Opportunities!B$3:N$30,13,FALSE)</f>
        <v>20.789251965404631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2.78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0.49791365232118545</v>
      </c>
      <c r="J14" s="81">
        <f>VLOOKUP(B14,Opportunities!B$3:N$30,12,FALSE)</f>
        <v>2.9205077954237963</v>
      </c>
      <c r="K14" s="81">
        <f>VLOOKUP(B14,Opportunities!B$3:N$30,9,FALSE)</f>
        <v>2.4683124315430653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3.89</v>
      </c>
      <c r="E15" s="59" t="str">
        <f>VLOOKUP(B15,Opportunities!B$3:E$30,4,FALSE)</f>
        <v>HKD</v>
      </c>
      <c r="F15" s="57">
        <v>3000</v>
      </c>
      <c r="G15" s="61">
        <f>-D15*F15</f>
        <v>-11670</v>
      </c>
      <c r="H15" s="58">
        <f>-G15/$G$9</f>
        <v>1.0434614665864326E-2</v>
      </c>
      <c r="I15" s="58">
        <f>VLOOKUP(B15,Opportunities!B$3:I$30,8,FALSE)</f>
        <v>0.23566373144344729</v>
      </c>
      <c r="J15" s="81">
        <f>VLOOKUP(B15,Opportunities!B$3:N$30,12,FALSE)</f>
        <v>4.3538511954983088</v>
      </c>
      <c r="K15" s="81">
        <f>VLOOKUP(B15,Opportunities!B$3:N$30,9,FALSE)</f>
        <v>3.6591560894679178</v>
      </c>
      <c r="L15" s="81">
        <f>VLOOKUP(B15,Opportunities!B$3:N$30,11,FALSE)</f>
        <v>5.8098270615809753</v>
      </c>
      <c r="M15" s="81">
        <f>VLOOKUP(B15,Opportunities!B$3:N$30,13,FALSE)</f>
        <v>5.1620541104191968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6.88</v>
      </c>
      <c r="E16" s="59" t="str">
        <f>VLOOKUP(B16,Opportunities!B$3:E$30,4,FALSE)</f>
        <v>HKD</v>
      </c>
      <c r="F16" s="57">
        <v>8000</v>
      </c>
      <c r="G16" s="61">
        <f>-D16*F16</f>
        <v>-55040</v>
      </c>
      <c r="H16" s="58">
        <f>-G16/$G$9</f>
        <v>4.9213469683733711E-2</v>
      </c>
      <c r="I16" s="58">
        <f>VLOOKUP(B16,Opportunities!B$3:I$30,8,FALSE)</f>
        <v>0.25614689722402417</v>
      </c>
      <c r="J16" s="81">
        <f>VLOOKUP(B16,Opportunities!B$3:N$30,12,FALSE)</f>
        <v>7.0388004978654317</v>
      </c>
      <c r="K16" s="81">
        <f>VLOOKUP(B16,Opportunities!B$3:N$30,9,FALSE)</f>
        <v>5.9054065110841929</v>
      </c>
      <c r="L16" s="81">
        <f>VLOOKUP(B16,Opportunities!B$3:N$30,11,FALSE)</f>
        <v>9.4166793148571344</v>
      </c>
      <c r="M16" s="81">
        <f>VLOOKUP(B16,Opportunities!B$3:N$30,13,FALSE)</f>
        <v>8.3583986585951511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712958</v>
      </c>
      <c r="H18" s="73">
        <f t="shared" ref="H18" si="2">G18/$G$9</f>
        <v>0.63748431901844882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2025-10-06T04:31:53Z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