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D3DA606-7DE4-46C5-A481-4D09189C127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<sst xmlns="http://schemas.openxmlformats.org/spreadsheetml/2006/main" count="419" uniqueCount="366">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</sst>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361</v>
      </c>
      <c r="C3" s="11" t="s">
        <v>362</v>
      </c>
      <c r="D3" s="2">
        <v>116.25</v>
      </c>
      <c r="E3" s="12" t="s">
        <v>357</v>
      </c>
      <c r="F3" s="15">
        <v>0.132879388946781</v>
      </c>
      <c r="G3" s="15">
        <f>F3 - Portfolio_Mgmt!$C$10</f>
        <v>4.5879388946781008E-2</v>
      </c>
      <c r="H3" s="15">
        <f>F3 - Portfolio_Mgmt!$C$11</f>
        <v>0.113879388946781</v>
      </c>
      <c r="I3" s="15">
        <v>0</v>
      </c>
      <c r="J3" s="2">
        <v>73.121635714867196</v>
      </c>
      <c r="K3" s="2">
        <v>154.90342821921132</v>
      </c>
      <c r="L3" s="71">
        <v>136.36157636797898</v>
      </c>
      <c r="M3" s="2">
        <v>92.375891520070169</v>
      </c>
      <c r="N3" s="2">
        <v>131.12448893172376</v>
      </c>
      <c r="O3" s="4">
        <v>7.7028344166783808E-2</v>
      </c>
      <c r="P3" s="4">
        <v>3.5550967741935488E-2</v>
      </c>
      <c r="Q3" s="4">
        <v>0.37772085893132024</v>
      </c>
      <c r="R3" s="4">
        <v>0.56520395086535147</v>
      </c>
      <c r="S3" s="79">
        <v>0.44445275381950455</v>
      </c>
      <c r="T3" s="78">
        <v>1.5036272168761813</v>
      </c>
      <c r="U3" s="15">
        <v>5.8904840599867017E-2</v>
      </c>
      <c r="V3" s="76">
        <v>0.15503078912543219</v>
      </c>
      <c r="W3" s="71">
        <v>12.72773462292413</v>
      </c>
      <c r="X3" s="13" t="s">
        <v>358</v>
      </c>
      <c r="Y3" s="11" t="s">
        <v>363</v>
      </c>
      <c r="Z3" s="14">
        <v>46081</v>
      </c>
      <c r="AA3" s="16" t="s">
        <v>360</v>
      </c>
    </row>
    <row r="4" spans="1:27">
      <c r="B4" s="11" t="s">
        <v>355</v>
      </c>
      <c r="C4" s="11" t="s">
        <v>356</v>
      </c>
      <c r="D4" s="2">
        <v>18.05</v>
      </c>
      <c r="E4" s="12" t="s">
        <v>357</v>
      </c>
      <c r="F4" s="15">
        <v>0.12580395125618779</v>
      </c>
      <c r="G4" s="15">
        <f>F4 - Portfolio_Mgmt!$C$10</f>
        <v>3.8803951256187796E-2</v>
      </c>
      <c r="H4" s="15">
        <f>F4 - Portfolio_Mgmt!$C$11</f>
        <v>0.10680395125618779</v>
      </c>
      <c r="I4" s="15">
        <v>0</v>
      </c>
      <c r="J4" s="2">
        <v>11.277152172588272</v>
      </c>
      <c r="K4" s="2">
        <v>22.158401911290397</v>
      </c>
      <c r="L4" s="71">
        <v>20.730780285650923</v>
      </c>
      <c r="M4" s="2">
        <v>14.162449719634122</v>
      </c>
      <c r="N4" s="2">
        <v>19.949994757287094</v>
      </c>
      <c r="O4" s="4">
        <v>7.7358464974612295E-2</v>
      </c>
      <c r="P4" s="4">
        <v>5.8725761772853186E-2</v>
      </c>
      <c r="Q4" s="4">
        <v>0.23262925318478492</v>
      </c>
      <c r="R4" s="4">
        <v>0.17509284601323677</v>
      </c>
      <c r="S4" s="79">
        <v>0.68288968092621871</v>
      </c>
      <c r="T4" s="78">
        <v>1.9455633401039498</v>
      </c>
      <c r="U4" s="15">
        <v>4.3380350010353987E-2</v>
      </c>
      <c r="V4" s="76">
        <v>0.18538212957704164</v>
      </c>
      <c r="W4" s="71">
        <v>-0.45026820353990077</v>
      </c>
      <c r="X4" s="13" t="s">
        <v>358</v>
      </c>
      <c r="Y4" s="11" t="s">
        <v>359</v>
      </c>
      <c r="Z4" s="14">
        <v>46081</v>
      </c>
      <c r="AA4" s="16" t="s">
        <v>360</v>
      </c>
    </row>
    <row r="5" spans="1:27">
      <c r="B5" s="11" t="s">
        <v>364</v>
      </c>
      <c r="C5" s="11" t="s">
        <v>365</v>
      </c>
      <c r="D5" s="2">
        <v>106.06</v>
      </c>
      <c r="E5" s="12" t="s">
        <v>357</v>
      </c>
      <c r="F5" s="15">
        <v>0.10787497156703298</v>
      </c>
      <c r="G5" s="15">
        <f>F5 - Portfolio_Mgmt!$C$10</f>
        <v>2.0874971567032982E-2</v>
      </c>
      <c r="H5" s="15">
        <f>F5 - Portfolio_Mgmt!$C$11</f>
        <v>8.8874971567032973E-2</v>
      </c>
      <c r="I5" s="15">
        <v>0</v>
      </c>
      <c r="J5" s="2">
        <v>62.294573384207148</v>
      </c>
      <c r="K5" s="2">
        <v>134.70696317865062</v>
      </c>
      <c r="L5" s="71">
        <v>116.64459638273874</v>
      </c>
      <c r="M5" s="2">
        <v>78.83107675053482</v>
      </c>
      <c r="N5" s="2">
        <v>112.14039032279322</v>
      </c>
      <c r="O5" s="4">
        <v>7.2391319447967964E-2</v>
      </c>
      <c r="P5" s="4">
        <v>2.6891382236469922E-2</v>
      </c>
      <c r="Q5" s="4">
        <v>0.25</v>
      </c>
      <c r="R5" s="4">
        <v>0.40406742273746776</v>
      </c>
      <c r="S5" s="79">
        <v>0.4610552539366265</v>
      </c>
      <c r="T5" s="78">
        <v>1.3419403008261008</v>
      </c>
      <c r="U5" s="15">
        <v>1.4942693904035366E-3</v>
      </c>
      <c r="V5" s="76">
        <v>5.1971735080735887E-3</v>
      </c>
      <c r="W5" s="71">
        <v>24.855396491318039</v>
      </c>
      <c r="X5" s="13" t="s">
        <v>358</v>
      </c>
      <c r="Y5" s="11" t="s">
        <v>363</v>
      </c>
      <c r="Z5" s="14">
        <v>46081</v>
      </c>
      <c r="AA5" s="16" t="s">
        <v>360</v>
      </c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6.7500000000000004E-2</v>
      </c>
      <c r="E4" s="35">
        <f>D4-C4</f>
        <v>2.5700000000000008E-2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2026-02-13T09:50:24Z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