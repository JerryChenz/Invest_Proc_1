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A4E0024-0D6D-45A4-9952-742C8E20C92F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<sst xmlns="http://schemas.openxmlformats.org/spreadsheetml/2006/main" count="423" uniqueCount="356">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</sst>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56.29</v>
      </c>
      <c r="E3" s="12" t="s">
        <v>327</v>
      </c>
      <c r="F3" s="15">
        <v>9.5345867999452327E-2</v>
      </c>
      <c r="G3" s="15">
        <f>F3 - Portfolio_Mgmt!$C$10</f>
        <v>8.3458679994523333E-3</v>
      </c>
      <c r="H3" s="15">
        <f>F3 - Portfolio_Mgmt!$C$11</f>
        <v>7.6345867999452324E-2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7.7083338113785232E-2</v>
      </c>
      <c r="P3" s="4">
        <v>3.8372712737608818E-2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16.21</v>
      </c>
      <c r="E4" s="12" t="s">
        <v>327</v>
      </c>
      <c r="F4" s="15">
        <v>8.6831870984933612E-2</v>
      </c>
      <c r="G4" s="15">
        <f>F4 - Portfolio_Mgmt!$C$10</f>
        <v>-1.6812901506638167E-4</v>
      </c>
      <c r="H4" s="15">
        <f>F4 - Portfolio_Mgmt!$C$11</f>
        <v>6.7831870984933609E-2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7.2610935549618671E-2</v>
      </c>
      <c r="P4" s="4">
        <v>5.885256014805676E-2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10.19</v>
      </c>
      <c r="E5" s="12" t="s">
        <v>327</v>
      </c>
      <c r="F5" s="15">
        <v>8.1271699910618223E-2</v>
      </c>
      <c r="G5" s="15">
        <f>F5 - Portfolio_Mgmt!$C$10</f>
        <v>-5.7283000893817715E-3</v>
      </c>
      <c r="H5" s="15">
        <f>F5 - Portfolio_Mgmt!$C$11</f>
        <v>6.227169991061822E-2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3.4623591598338742E-2</v>
      </c>
      <c r="P5" s="4">
        <v>3.5328753680078512E-2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5.68</v>
      </c>
      <c r="E6" s="12" t="s">
        <v>327</v>
      </c>
      <c r="F6" s="15">
        <v>5.6287543176100963E-2</v>
      </c>
      <c r="G6" s="15">
        <f>F6 - Portfolio_Mgmt!$C$10</f>
        <v>-3.0712456823899031E-2</v>
      </c>
      <c r="H6" s="15">
        <f>F6 - Portfolio_Mgmt!$C$11</f>
        <v>3.728754317610096E-2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4.0492974792509566E-2</v>
      </c>
      <c r="P6" s="4">
        <v>3.1848591549295771E-2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22.73</v>
      </c>
      <c r="E7" s="12" t="s">
        <v>327</v>
      </c>
      <c r="F7" s="15">
        <v>4.6706900283802755E-2</v>
      </c>
      <c r="G7" s="15">
        <f>F7 - Portfolio_Mgmt!$C$10</f>
        <v>-4.0293099716197239E-2</v>
      </c>
      <c r="H7" s="15">
        <f>F7 - Portfolio_Mgmt!$C$11</f>
        <v>2.7706900283802755E-2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5.8260489299348871E-2</v>
      </c>
      <c r="P7" s="4">
        <v>4.1970963484381875E-2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68.89</v>
      </c>
      <c r="E8" s="12" t="s">
        <v>327</v>
      </c>
      <c r="F8" s="15">
        <v>4.4105187698598725E-2</v>
      </c>
      <c r="G8" s="15">
        <f>F8 - Portfolio_Mgmt!$C$10</f>
        <v>-4.2894812301401269E-2</v>
      </c>
      <c r="H8" s="15">
        <f>F8 - Portfolio_Mgmt!$C$11</f>
        <v>2.5105187698598725E-2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5.253846531064383E-2</v>
      </c>
      <c r="P8" s="4">
        <v>6.0709827260850641E-2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52.29</v>
      </c>
      <c r="E9" s="12" t="s">
        <v>327</v>
      </c>
      <c r="F9" s="15">
        <v>1.9294601737323447E-2</v>
      </c>
      <c r="G9" s="15">
        <f>F9 - Portfolio_Mgmt!$C$10</f>
        <v>-6.7705398262676547E-2</v>
      </c>
      <c r="H9" s="15">
        <f>F9 - Portfolio_Mgmt!$C$11</f>
        <v>2.9460173732344733E-4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4.1365066179838567E-2</v>
      </c>
      <c r="P9" s="4">
        <v>1.7211703958691912E-2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20.98</v>
      </c>
      <c r="E10" s="12" t="s">
        <v>327</v>
      </c>
      <c r="F10" s="15">
        <v>1.2322472113694083E-2</v>
      </c>
      <c r="G10" s="15">
        <f>F10 - Portfolio_Mgmt!$C$10</f>
        <v>-7.4677527886305911E-2</v>
      </c>
      <c r="H10" s="15">
        <f>F10 - Portfolio_Mgmt!$C$11</f>
        <v>-6.6775278863059166E-3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5.1584593605975428E-2</v>
      </c>
      <c r="P10" s="4">
        <v>4.718779790276454E-2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23.32</v>
      </c>
      <c r="E11" s="12" t="s">
        <v>327</v>
      </c>
      <c r="F11" s="15">
        <v>7.5466327837616642E-3</v>
      </c>
      <c r="G11" s="15">
        <f>F11 - Portfolio_Mgmt!$C$10</f>
        <v>-7.945336721623833E-2</v>
      </c>
      <c r="H11" s="15">
        <f>F11 - Portfolio_Mgmt!$C$11</f>
        <v>-1.1453367216238335E-2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0.23676527928764315</v>
      </c>
      <c r="P11" s="4">
        <v>4.5454545454545456E-2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14.97</v>
      </c>
      <c r="E12" s="12" t="s">
        <v>327</v>
      </c>
      <c r="F12" s="15">
        <v>-0.13649766245236539</v>
      </c>
      <c r="G12" s="15">
        <f>F12 - Portfolio_Mgmt!$C$10</f>
        <v>-0.22349766245236538</v>
      </c>
      <c r="H12" s="15">
        <f>F12 - Portfolio_Mgmt!$C$11</f>
        <v>-0.15549766245236538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2.9635281892551227E-2</v>
      </c>
      <c r="P12" s="4">
        <v>2.4048096192384773E-2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0.52957851780318366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23.32</v>
      </c>
      <c r="D4" s="62" t="str">
        <f>VLOOKUP(B4,Opportunities!B$3:E$30,4,FALSE)</f>
        <v>CNY</v>
      </c>
      <c r="E4" s="59">
        <v>3000</v>
      </c>
      <c r="F4" s="64">
        <f>E4*C4</f>
        <v>69960</v>
      </c>
      <c r="G4" s="61">
        <f>F4/$F$10</f>
        <v>0.21793713591476901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16.21</v>
      </c>
      <c r="D5" s="62" t="str">
        <f>VLOOKUP(B5,Opportunities!B$3:E$30,4,FALSE)</f>
        <v>CNY</v>
      </c>
      <c r="E5" s="59">
        <v>5000</v>
      </c>
      <c r="F5" s="64">
        <f>C5*E5</f>
        <v>81050</v>
      </c>
      <c r="G5" s="61">
        <f>F5/$F$10</f>
        <v>0.2524843462820473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321010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0.52957851780318366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2025-07-24T13:47:38Z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