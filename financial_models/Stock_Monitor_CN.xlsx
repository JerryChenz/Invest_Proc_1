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879D9636-E464-4387-B48A-37D1D0F82A5F}"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G3" i="1"/>
  <c r="G4" i="1"/>
  <c r="G5" i="1"/>
  <c r="G6" i="1"/>
  <c r="G7" i="1"/>
  <c r="G8" i="1"/>
  <c r="G9" i="1"/>
  <c r="C35" i="5"/>
  <c r="E36" i="5"/>
  <c r="C36" i="5"/>
  <c r="C11" i="5"/>
  <c r="C10" i="5"/>
  <c r="D4" i="7"/>
  <c r="D14" i="7"/>
  <c r="H14" i="7"/>
  <c r="H4" i="7"/>
  <c r="C14" i="7"/>
  <c r="F14" i="7" s="1"/>
  <c r="C4" i="7"/>
  <c r="F16" i="7" l="1"/>
  <c r="F4" i="7"/>
  <c r="C31" i="5"/>
  <c r="F11" i="7" l="1"/>
  <c r="E60" i="5"/>
  <c r="G14" i="7" l="1"/>
  <c r="G16" i="7"/>
  <c r="E61" i="5"/>
  <c r="C16" i="2"/>
  <c r="E6" i="2"/>
  <c r="E5" i="2"/>
  <c r="E4" i="2"/>
  <c r="H16" i="7" l="1"/>
  <c r="H3" i="7"/>
  <c r="H11" i="7" s="1"/>
  <c r="D112" i="5"/>
  <c r="C64" i="5"/>
  <c r="C65" i="5" s="1"/>
  <c r="G4" i="7" l="1"/>
  <c r="G3" i="7"/>
  <c r="G11" i="7" l="1"/>
</calcChain>
</file>

<file path=xl/sharedStrings.xml><?xml version="1.0" encoding="utf-8"?>
<sst xmlns="http://schemas.openxmlformats.org/spreadsheetml/2006/main" count="291" uniqueCount="260">
  <si>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</si>
  <si>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</si>
  <si>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</si>
  <si>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</si>
  <si>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</si>
  <si>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</si>
  <si>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</si>
  <si>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</si>
  <si>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</si>
  <si>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</si>
  <si>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</si>
  <si>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</si>
  <si>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</si>
  <si>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</si>
  <si>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</si>
  <si>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</si>
  <si>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</si>
  <si>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</si>
  <si>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</si>
  <si>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</si>
  <si>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</si>
  <si>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</si>
  <si>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</si>
  <si>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</si>
  <si>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</si>
  <si>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</si>
  <si>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</si>
  <si>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</si>
  <si>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</si>
  <si>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</si>
  <si>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</si>
  <si>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</si>
  <si>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</si>
  <si>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</si>
  <si>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</si>
  <si>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</si>
  <si>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</si>
  <si>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</si>
  <si>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</si>
  <si>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</si>
  <si>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</si>
  <si>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</si>
  <si>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</si>
  <si>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</si>
  <si>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</si>
  <si>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</si>
  <si>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</si>
  <si>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</si>
  <si>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</si>
  <si>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</si>
  <si>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</si>
  <si>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</si>
  <si>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</si>
  <si>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</si>
  <si>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</si>
  <si>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</si>
  <si>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</si>
  <si>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</si>
  <si>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</si>
  <si>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</si>
  <si>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</si>
  <si>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</si>
  <si>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</si>
  <si>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</si>
  <si>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</si>
  <si>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</si>
  <si>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</si>
  <si>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</si>
  <si>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</si>
  <si>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</si>
  <si>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</si>
  <si>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</si>
  <si>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</si>
  <si>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</si>
  <si>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</si>
  <si>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</si>
  <si>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</si>
  <si>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</si>
  <si>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</si>
  <si>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</si>
  <si>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</si>
  <si>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</si>
  <si>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</si>
  <si>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</si>
  <si>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</si>
  <si>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</si>
  <si>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</si>
  <si>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</si>
  <si>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</si>
  <si>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</si>
  <si>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</si>
  <si>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</si>
  <si>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</si>
  <si>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</si>
  <si>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</si>
  <si>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</si>
  <si>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</si>
  <si>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</si>
  <si>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</si>
  <si>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</si>
  <si>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</si>
  <si>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</si>
  <si>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</si>
  <si>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</si>
  <si>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</si>
  <si>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</si>
  <si>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</si>
  <si>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</si>
  <si>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</si>
  <si>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</si>
  <si>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</si>
  <si>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</si>
  <si>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</si>
  <si>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</si>
  <si>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</si>
  <si>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</si>
  <si>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</si>
  <si>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</si>
  <si>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</si>
  <si>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</si>
  <si>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</si>
  <si>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</si>
  <si>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</si>
  <si>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</si>
  <si>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</si>
  <si>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</si>
  <si>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</si>
  <si>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</si>
  <si>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</si>
  <si>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</si>
  <si>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</si>
  <si>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</si>
  <si>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</si>
  <si>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</si>
  <si>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</si>
  <si>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</si>
  <si>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</si>
  <si>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</si>
  <si>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</si>
  <si>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</si>
  <si>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</si>
  <si>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</si>
  <si>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</si>
  <si>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</si>
  <si>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</si>
  <si>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</si>
  <si>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</si>
  <si>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</si>
  <si>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</si>
  <si>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</si>
  <si>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</si>
  <si>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</si>
  <si>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</si>
  <si>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</si>
  <si>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</si>
  <si>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</si>
  <si>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</si>
  <si>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</si>
  <si>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</si>
  <si>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</si>
  <si>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</si>
  <si>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</si>
  <si>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</si>
  <si>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</si>
  <si>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</si>
  <si>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</si>
  <si>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</si>
  <si>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</si>
  <si>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</si>
  <si>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</si>
  <si>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</si>
  <si>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</si>
  <si>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</si>
  <si>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</si>
  <si>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</si>
  <si>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</si>
  <si>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</si>
  <si>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</si>
  <si>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</si>
  <si>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</si>
  <si>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</si>
  <si>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</si>
  <si>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</si>
  <si>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</si>
  <si>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</si>
  <si>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</si>
  <si>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</si>
  <si>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</si>
  <si>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</si>
  <si>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</si>
  <si>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</si>
  <si>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</si>
  <si>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</si>
  <si>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</si>
  <si>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</si>
  <si>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</si>
  <si>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</si>
  <si>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</si>
  <si>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</si>
  <si>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</si>
  <si>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</si>
  <si>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</si>
  <si>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</si>
  <si>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</si>
  <si>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</si>
  <si>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</si>
  <si>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</si>
  <si>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</si>
  <si>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</si>
  <si>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</si>
  <si>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</si>
  <si>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</si>
  <si>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</si>
  <si>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</si>
  <si>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</si>
  <si>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</si>
  <si>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</si>
  <si>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</si>
  <si>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</si>
  <si>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</si>
  <si>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</si>
  <si>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</si>
  <si>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</si>
  <si>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</si>
  <si>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</si>
  <si>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</si>
  <si>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</si>
  <si>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</si>
  <si>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</si>
  <si>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Expansion expected</t>
  </si>
  <si>
    <t>Recession expected</t>
  </si>
  <si>
    <t>CNS_03</t>
  </si>
  <si>
    <t>N</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</si>
  <si>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</si>
  <si>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</si>
  <si>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</si>
  <si>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</si>
  <si>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</si>
  <si>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</si>
  <si>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</si>
  <si>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</si>
  <si>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</si>
  <si>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</si>
  <si>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</si>
  <si>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</si>
  <si>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</si>
  <si>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</si>
  <si>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</si>
  <si>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</si>
  <si>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Y</t>
  </si>
  <si>
    <t>600583.SS</t>
  </si>
  <si>
    <t>海油工程</t>
  </si>
  <si>
    <t>ENG_03</t>
  </si>
  <si>
    <t>600007.SS</t>
  </si>
  <si>
    <t>中国国贸</t>
  </si>
  <si>
    <t>RES_01</t>
  </si>
  <si>
    <t>603279.SS</t>
  </si>
  <si>
    <t>景津装备</t>
  </si>
  <si>
    <t>IND_01</t>
  </si>
  <si>
    <t>Growth 
Classification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</si>
</sst>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zoomScaleNormal="100"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4" t="s">
        <v>204</v>
      </c>
      <c r="C4" s="94"/>
      <c r="D4" s="94"/>
      <c r="E4" s="94"/>
    </row>
    <row r="6" spans="1:5">
      <c r="A6" s="20" t="s">
        <v>63</v>
      </c>
      <c r="B6" s="19" t="s">
        <v>187</v>
      </c>
      <c r="C6" s="60"/>
    </row>
    <row r="7" spans="1:5">
      <c r="B7" s="94" t="s">
        <v>192</v>
      </c>
      <c r="C7" s="94"/>
      <c r="D7" s="94"/>
      <c r="E7" s="94"/>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4" t="s">
        <v>203</v>
      </c>
      <c r="C24" s="94"/>
      <c r="D24" s="94"/>
      <c r="E24" s="94"/>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226</v>
      </c>
      <c r="E36" s="47">
        <f>benchmark+10%</f>
        <v>0.187</v>
      </c>
    </row>
    <row r="38" spans="1:5">
      <c r="B38" s="20" t="s">
        <v>82</v>
      </c>
    </row>
    <row r="39" spans="1:5">
      <c r="B39" s="94" t="s">
        <v>151</v>
      </c>
      <c r="C39" s="94"/>
      <c r="D39" s="94"/>
      <c r="E39" s="94"/>
    </row>
    <row r="40" spans="1:5" ht="46.5" customHeight="1">
      <c r="B40" s="94" t="s">
        <v>216</v>
      </c>
      <c r="C40" s="94"/>
      <c r="D40" s="94"/>
      <c r="E40" s="94"/>
    </row>
    <row r="42" spans="1:5">
      <c r="A42" s="21" t="s">
        <v>170</v>
      </c>
      <c r="B42" s="21"/>
      <c r="C42" s="21"/>
      <c r="D42" s="21"/>
      <c r="E42" s="21"/>
    </row>
    <row r="44" spans="1:5">
      <c r="B44" s="94" t="s">
        <v>191</v>
      </c>
      <c r="C44" s="94"/>
      <c r="D44" s="94"/>
      <c r="E44" s="94"/>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229</v>
      </c>
      <c r="D58" s="26" t="s">
        <v>230</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4" t="s">
        <v>179</v>
      </c>
      <c r="C71" s="94"/>
      <c r="D71" s="94"/>
      <c r="E71" s="94"/>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97" t="s">
        <v>175</v>
      </c>
      <c r="C85" s="97"/>
      <c r="D85" s="97"/>
      <c r="E85" s="97"/>
    </row>
    <row r="86" spans="1:5">
      <c r="B86" s="96" t="s">
        <v>173</v>
      </c>
      <c r="C86" s="96"/>
      <c r="D86" s="96"/>
      <c r="E86" s="96"/>
    </row>
    <row r="87" spans="1:5" ht="24.5" customHeight="1">
      <c r="B87" s="94" t="s">
        <v>172</v>
      </c>
      <c r="C87" s="94"/>
      <c r="D87" s="94"/>
      <c r="E87" s="94"/>
    </row>
    <row r="88" spans="1:5" ht="24.5" customHeight="1">
      <c r="B88" s="94" t="s">
        <v>208</v>
      </c>
      <c r="C88" s="94"/>
      <c r="D88" s="94"/>
      <c r="E88" s="94"/>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95" t="s">
        <v>194</v>
      </c>
      <c r="C97" s="95"/>
      <c r="D97" s="95"/>
      <c r="E97" s="95"/>
    </row>
    <row r="99" spans="1:5">
      <c r="B99" s="24" t="s">
        <v>198</v>
      </c>
    </row>
    <row r="100" spans="1:5" ht="12.4">
      <c r="B100" s="95" t="s">
        <v>195</v>
      </c>
      <c r="C100" s="95"/>
      <c r="D100" s="95"/>
      <c r="E100" s="95"/>
    </row>
    <row r="101" spans="1:5" ht="58.5" customHeight="1">
      <c r="B101" s="94" t="s">
        <v>202</v>
      </c>
      <c r="C101" s="94"/>
      <c r="D101" s="94"/>
      <c r="E101" s="94"/>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0.36258885017823084</v>
      </c>
    </row>
    <row r="112" spans="1:5">
      <c r="B112" s="1" t="s">
        <v>159</v>
      </c>
      <c r="C112" s="44">
        <v>0.10671713541915102</v>
      </c>
      <c r="D112" s="60" t="str">
        <f>IF(C112&lt;benchmark,"Warning: Return is lower than the Benchmark.","")</f>
        <v/>
      </c>
    </row>
    <row r="114" spans="1:5" ht="24.5" customHeight="1">
      <c r="B114" s="94" t="s">
        <v>200</v>
      </c>
      <c r="C114" s="94"/>
      <c r="D114" s="94"/>
      <c r="E114" s="94"/>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tabSelected="1" zoomScaleNormal="100" workbookViewId="0">
      <pane xSplit="3" ySplit="2" topLeftCell="O3" activePane="bottomRight" state="frozen"/>
      <selection pane="topRight" activeCell="D1" sqref="D1"/>
      <selection pane="bottomLeft" activeCell="A5" sqref="A5"/>
      <selection pane="bottomRight" activeCell="Y2" sqref="Y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0" customWidth="1"/>
    <col min="20" max="20" width="8.6640625" style="85" customWidth="1"/>
    <col min="21" max="21" width="8.6640625" style="1" customWidth="1"/>
    <col min="22" max="22" width="11.1328125" style="1" bestFit="1" customWidth="1"/>
    <col min="23" max="23" width="11.796875" style="3" bestFit="1" customWidth="1"/>
    <col min="24" max="24" width="8.796875" style="11"/>
    <col min="25" max="16384" width="8.796875" style="1"/>
  </cols>
  <sheetData>
    <row r="1" spans="1:24">
      <c r="A1" s="5"/>
      <c r="B1" s="6" t="s">
        <v>3</v>
      </c>
      <c r="C1" s="11"/>
      <c r="D1" s="100" t="s">
        <v>1</v>
      </c>
      <c r="E1" s="100"/>
      <c r="F1" s="100"/>
      <c r="G1" s="101" t="s">
        <v>96</v>
      </c>
      <c r="H1" s="101"/>
      <c r="I1" s="101"/>
      <c r="J1" s="104" t="s">
        <v>4</v>
      </c>
      <c r="K1" s="104"/>
      <c r="L1" s="104"/>
      <c r="M1" s="103" t="s">
        <v>228</v>
      </c>
      <c r="N1" s="103"/>
      <c r="O1" s="98" t="s">
        <v>8</v>
      </c>
      <c r="P1" s="98"/>
      <c r="Q1" s="102" t="s">
        <v>225</v>
      </c>
      <c r="R1" s="102"/>
      <c r="S1" s="102"/>
      <c r="T1" s="102"/>
      <c r="U1" s="99" t="s">
        <v>50</v>
      </c>
      <c r="V1" s="99"/>
      <c r="W1" s="99"/>
      <c r="X1" s="99"/>
    </row>
    <row r="2" spans="1:24" ht="26" customHeight="1">
      <c r="B2" s="7" t="s">
        <v>2</v>
      </c>
      <c r="C2" s="7" t="s">
        <v>0</v>
      </c>
      <c r="D2" s="8" t="s">
        <v>1</v>
      </c>
      <c r="E2" s="7" t="s">
        <v>241</v>
      </c>
      <c r="F2" s="7" t="s">
        <v>240</v>
      </c>
      <c r="G2" s="7" t="s">
        <v>58</v>
      </c>
      <c r="H2" s="7" t="s">
        <v>59</v>
      </c>
      <c r="I2" s="7" t="s">
        <v>197</v>
      </c>
      <c r="J2" s="8" t="s">
        <v>7</v>
      </c>
      <c r="K2" s="8" t="s">
        <v>10</v>
      </c>
      <c r="L2" s="8" t="s">
        <v>239</v>
      </c>
      <c r="M2" s="8" t="s">
        <v>227</v>
      </c>
      <c r="N2" s="8" t="s">
        <v>238</v>
      </c>
      <c r="O2" s="7" t="s">
        <v>11</v>
      </c>
      <c r="P2" s="7" t="s">
        <v>6</v>
      </c>
      <c r="Q2" s="7" t="s">
        <v>222</v>
      </c>
      <c r="R2" s="7" t="s">
        <v>221</v>
      </c>
      <c r="S2" s="7" t="s">
        <v>224</v>
      </c>
      <c r="T2" s="7" t="s">
        <v>223</v>
      </c>
      <c r="U2" s="7" t="s">
        <v>5</v>
      </c>
      <c r="V2" s="7" t="s">
        <v>259</v>
      </c>
      <c r="W2" s="9" t="s">
        <v>9</v>
      </c>
      <c r="X2" s="10" t="s">
        <v>49</v>
      </c>
    </row>
    <row r="3" spans="1:24">
      <c r="B3" s="11" t="s">
        <v>256</v>
      </c>
      <c r="C3" s="11" t="s">
        <v>257</v>
      </c>
      <c r="D3" s="2">
        <v>16.350000000000001</v>
      </c>
      <c r="E3" s="12" t="s">
        <v>235</v>
      </c>
      <c r="F3" s="15">
        <v>0.21749652247472429</v>
      </c>
      <c r="G3" s="15">
        <f>F3 - Portfolio_Mgmt!$C$10</f>
        <v>0.13049652247472429</v>
      </c>
      <c r="H3" s="15">
        <f>F3 - Portfolio_Mgmt!$C$11</f>
        <v>0.1984965224747243</v>
      </c>
      <c r="I3" s="15">
        <v>0.19361708232171301</v>
      </c>
      <c r="J3" s="2">
        <v>11.008213811100902</v>
      </c>
      <c r="K3" s="2">
        <v>25.584938697660867</v>
      </c>
      <c r="L3" s="85">
        <v>24.315000552184742</v>
      </c>
      <c r="M3" s="2">
        <v>16.254577859854386</v>
      </c>
      <c r="N3" s="2">
        <v>20.756795150826846</v>
      </c>
      <c r="O3" s="4">
        <v>8.3157149765156035E-2</v>
      </c>
      <c r="P3" s="4">
        <v>6.4831804281345565E-2</v>
      </c>
      <c r="Q3" s="15">
        <v>0.94273258716389374</v>
      </c>
      <c r="R3" s="15">
        <v>6.0553888114002474E-2</v>
      </c>
      <c r="S3" s="90">
        <v>0.26060254325045429</v>
      </c>
      <c r="T3" s="85">
        <v>-0.43338518935931036</v>
      </c>
      <c r="U3" s="13" t="s">
        <v>258</v>
      </c>
      <c r="V3" s="11" t="s">
        <v>154</v>
      </c>
      <c r="W3" s="14">
        <v>45900</v>
      </c>
      <c r="X3" s="11" t="s">
        <v>249</v>
      </c>
    </row>
    <row r="4" spans="1:24">
      <c r="B4" s="11" t="s">
        <v>236</v>
      </c>
      <c r="C4" s="11" t="s">
        <v>237</v>
      </c>
      <c r="D4" s="2">
        <v>57.9</v>
      </c>
      <c r="E4" s="12" t="s">
        <v>235</v>
      </c>
      <c r="F4" s="15">
        <v>0.16334582016407428</v>
      </c>
      <c r="G4" s="15">
        <f>F4 - Portfolio_Mgmt!$C$10</f>
        <v>7.6345820164074291E-2</v>
      </c>
      <c r="H4" s="15">
        <f>F4 - Portfolio_Mgmt!$C$11</f>
        <v>0.1443458201640743</v>
      </c>
      <c r="I4" s="15">
        <v>0.14541170934487324</v>
      </c>
      <c r="J4" s="2">
        <v>38.753046443654675</v>
      </c>
      <c r="K4" s="2">
        <v>82.72003076740333</v>
      </c>
      <c r="L4" s="85">
        <v>75.868561604045041</v>
      </c>
      <c r="M4" s="2">
        <v>54.620804067443785</v>
      </c>
      <c r="N4" s="2">
        <v>70.513102505372515</v>
      </c>
      <c r="O4" s="4">
        <v>7.4939915413211919E-2</v>
      </c>
      <c r="P4" s="4">
        <v>4.145077720207254E-2</v>
      </c>
      <c r="Q4" s="15">
        <v>3.4701988818540461</v>
      </c>
      <c r="R4" s="15">
        <v>5.0341856510546588E-2</v>
      </c>
      <c r="S4" s="90">
        <v>4.1762542981319963E-2</v>
      </c>
      <c r="T4" s="85">
        <v>-13.312996389940134</v>
      </c>
      <c r="U4" s="13" t="s">
        <v>231</v>
      </c>
      <c r="V4" s="11" t="s">
        <v>154</v>
      </c>
      <c r="W4" s="14">
        <v>45900</v>
      </c>
      <c r="X4" s="11" t="s">
        <v>249</v>
      </c>
    </row>
    <row r="5" spans="1:24">
      <c r="B5" s="11" t="s">
        <v>250</v>
      </c>
      <c r="C5" s="11" t="s">
        <v>251</v>
      </c>
      <c r="D5" s="2">
        <v>5.28</v>
      </c>
      <c r="E5" s="12" t="s">
        <v>235</v>
      </c>
      <c r="F5" s="15">
        <v>0.13284675364661358</v>
      </c>
      <c r="G5" s="15">
        <f>F5 - Portfolio_Mgmt!$C$10</f>
        <v>4.5846753646613586E-2</v>
      </c>
      <c r="H5" s="15">
        <f>F5 - Portfolio_Mgmt!$C$11</f>
        <v>0.11384675364661358</v>
      </c>
      <c r="I5" s="15">
        <v>0.11826120502665899</v>
      </c>
      <c r="J5" s="2">
        <v>3.2714103607293628</v>
      </c>
      <c r="K5" s="2">
        <v>6.9895661568976033</v>
      </c>
      <c r="L5" s="85">
        <v>6.4058499272029952</v>
      </c>
      <c r="M5" s="2">
        <v>4.6114224254647684</v>
      </c>
      <c r="N5" s="2">
        <v>5.9535611226219638</v>
      </c>
      <c r="O5" s="4">
        <v>4.3560624398002713E-2</v>
      </c>
      <c r="P5" s="4">
        <v>3.8068181818181814E-2</v>
      </c>
      <c r="Q5" s="15">
        <v>0.70576761251783326</v>
      </c>
      <c r="R5" s="15">
        <v>2.5694600492681609E-2</v>
      </c>
      <c r="S5" s="90">
        <v>0.53421555755411909</v>
      </c>
      <c r="T5" s="85">
        <v>-0.36074239393771346</v>
      </c>
      <c r="U5" s="13" t="s">
        <v>252</v>
      </c>
      <c r="V5" s="11" t="s">
        <v>154</v>
      </c>
      <c r="W5" s="14">
        <v>45900</v>
      </c>
      <c r="X5" s="11" t="s">
        <v>249</v>
      </c>
    </row>
    <row r="6" spans="1:24">
      <c r="B6" s="11" t="s">
        <v>233</v>
      </c>
      <c r="C6" s="11" t="s">
        <v>234</v>
      </c>
      <c r="D6" s="2">
        <v>68.099999999999994</v>
      </c>
      <c r="E6" s="12" t="s">
        <v>235</v>
      </c>
      <c r="F6" s="15">
        <v>0.11076257413104917</v>
      </c>
      <c r="G6" s="15">
        <f>F6 - Portfolio_Mgmt!$C$10</f>
        <v>2.376257413104918E-2</v>
      </c>
      <c r="H6" s="15">
        <f>F6 - Portfolio_Mgmt!$C$11</f>
        <v>9.1762574131049171E-2</v>
      </c>
      <c r="I6" s="15">
        <v>0</v>
      </c>
      <c r="J6" s="2">
        <v>40.566233510579387</v>
      </c>
      <c r="K6" s="2">
        <v>77.785604602754844</v>
      </c>
      <c r="L6" s="85">
        <v>77.731780095947357</v>
      </c>
      <c r="M6" s="2">
        <v>56.501711311401053</v>
      </c>
      <c r="N6" s="2">
        <v>72.389553073938998</v>
      </c>
      <c r="O6" s="4">
        <v>5.314794236784514E-2</v>
      </c>
      <c r="P6" s="4">
        <v>6.8237885462555076E-2</v>
      </c>
      <c r="Q6" s="15">
        <v>0.30279158651211824</v>
      </c>
      <c r="R6" s="15">
        <v>7.7640983998987034E-4</v>
      </c>
      <c r="S6" s="90">
        <v>5.5975167910006915E-3</v>
      </c>
      <c r="T6" s="85">
        <v>15.284602440692964</v>
      </c>
      <c r="U6" s="13" t="s">
        <v>231</v>
      </c>
      <c r="V6" s="11" t="s">
        <v>154</v>
      </c>
      <c r="W6" s="14">
        <v>45900</v>
      </c>
      <c r="X6" s="11" t="s">
        <v>232</v>
      </c>
    </row>
    <row r="7" spans="1:24">
      <c r="B7" s="11" t="s">
        <v>242</v>
      </c>
      <c r="C7" s="11" t="s">
        <v>243</v>
      </c>
      <c r="D7" s="2">
        <v>22.52</v>
      </c>
      <c r="E7" s="12" t="s">
        <v>235</v>
      </c>
      <c r="F7" s="15">
        <v>0.10536678638212904</v>
      </c>
      <c r="G7" s="15">
        <f>F7 - Portfolio_Mgmt!$C$10</f>
        <v>1.8366786382129047E-2</v>
      </c>
      <c r="H7" s="15">
        <f>F7 - Portfolio_Mgmt!$C$11</f>
        <v>8.6366786382129038E-2</v>
      </c>
      <c r="I7" s="15">
        <v>9.3798326156197959E-2</v>
      </c>
      <c r="J7" s="2">
        <v>13.079690025486418</v>
      </c>
      <c r="K7" s="2">
        <v>26.888151196428591</v>
      </c>
      <c r="L7" s="85">
        <v>25.409202896038835</v>
      </c>
      <c r="M7" s="2">
        <v>18.356272555350223</v>
      </c>
      <c r="N7" s="2">
        <v>23.632551844105855</v>
      </c>
      <c r="O7" s="4">
        <v>0.24517612402255057</v>
      </c>
      <c r="P7" s="4">
        <v>4.7069271758436948E-2</v>
      </c>
      <c r="Q7" s="15">
        <v>10.758917470801054</v>
      </c>
      <c r="R7" s="15">
        <v>10.649677544255834</v>
      </c>
      <c r="S7" s="90">
        <v>1577.3702399204408</v>
      </c>
      <c r="T7" s="85">
        <v>-92.956751979911445</v>
      </c>
      <c r="U7" s="13" t="s">
        <v>244</v>
      </c>
      <c r="V7" s="11" t="s">
        <v>154</v>
      </c>
      <c r="W7" s="14">
        <v>45900</v>
      </c>
      <c r="X7" s="11" t="s">
        <v>249</v>
      </c>
    </row>
    <row r="8" spans="1:24">
      <c r="B8" s="11" t="s">
        <v>246</v>
      </c>
      <c r="C8" s="11" t="s">
        <v>247</v>
      </c>
      <c r="D8" s="2">
        <v>23.67</v>
      </c>
      <c r="E8" s="12" t="s">
        <v>235</v>
      </c>
      <c r="F8" s="15">
        <v>9.6969308965579426E-2</v>
      </c>
      <c r="G8" s="15">
        <f>F8 - Portfolio_Mgmt!$C$10</f>
        <v>9.969308965579432E-3</v>
      </c>
      <c r="H8" s="15">
        <f>F8 - Portfolio_Mgmt!$C$11</f>
        <v>7.7969308965579423E-2</v>
      </c>
      <c r="I8" s="15">
        <v>8.632282697232592E-2</v>
      </c>
      <c r="J8" s="2">
        <v>13.438941031541804</v>
      </c>
      <c r="K8" s="2">
        <v>27.746753827145845</v>
      </c>
      <c r="L8" s="85">
        <v>26.130102221251306</v>
      </c>
      <c r="M8" s="2">
        <v>18.869653870203344</v>
      </c>
      <c r="N8" s="2">
        <v>24.301055185803946</v>
      </c>
      <c r="O8" s="4">
        <v>5.5946807003557232E-2</v>
      </c>
      <c r="P8" s="4">
        <v>4.4782425010561892E-2</v>
      </c>
      <c r="Q8" s="15">
        <v>0.75572683404914875</v>
      </c>
      <c r="R8" s="15">
        <v>0.3857437197038544</v>
      </c>
      <c r="S8" s="90">
        <v>2.3913910654887354</v>
      </c>
      <c r="T8" s="85">
        <v>3.5427832354191278</v>
      </c>
      <c r="U8" s="13" t="s">
        <v>248</v>
      </c>
      <c r="V8" s="11" t="s">
        <v>154</v>
      </c>
      <c r="W8" s="14">
        <v>45900</v>
      </c>
      <c r="X8" s="11" t="s">
        <v>249</v>
      </c>
    </row>
    <row r="9" spans="1:24">
      <c r="B9" s="11" t="s">
        <v>253</v>
      </c>
      <c r="C9" s="11" t="s">
        <v>254</v>
      </c>
      <c r="D9" s="2">
        <v>21.57</v>
      </c>
      <c r="E9" s="12" t="s">
        <v>235</v>
      </c>
      <c r="F9" s="15">
        <v>6.5930019453462219E-2</v>
      </c>
      <c r="G9" s="15">
        <f>F9 - Portfolio_Mgmt!$C$10</f>
        <v>-2.1069980546537775E-2</v>
      </c>
      <c r="H9" s="15">
        <f>F9 - Portfolio_Mgmt!$C$11</f>
        <v>4.6930019453462216E-2</v>
      </c>
      <c r="I9" s="15">
        <v>0</v>
      </c>
      <c r="J9" s="2">
        <v>11.355103666814504</v>
      </c>
      <c r="K9" s="2">
        <v>22.601441956902718</v>
      </c>
      <c r="L9" s="85">
        <v>21.916919635758642</v>
      </c>
      <c r="M9" s="2">
        <v>15.879140273250821</v>
      </c>
      <c r="N9" s="2">
        <v>20.396738931178472</v>
      </c>
      <c r="O9" s="4">
        <v>5.0173610285274194E-2</v>
      </c>
      <c r="P9" s="4">
        <v>5.0996754751970332E-2</v>
      </c>
      <c r="Q9" s="15">
        <v>0.27606884288300854</v>
      </c>
      <c r="R9" s="15">
        <v>0.12757636177577109</v>
      </c>
      <c r="S9" s="90">
        <v>0.79731882844192148</v>
      </c>
      <c r="T9" s="85">
        <v>2.5713378719718771</v>
      </c>
      <c r="U9" s="13" t="s">
        <v>255</v>
      </c>
      <c r="V9" s="11" t="s">
        <v>154</v>
      </c>
      <c r="W9" s="14">
        <v>45900</v>
      </c>
      <c r="X9" s="11" t="s">
        <v>249</v>
      </c>
    </row>
    <row r="10" spans="1:24">
      <c r="B10" s="11"/>
      <c r="C10" s="11"/>
      <c r="E10" s="12"/>
      <c r="L10" s="85"/>
      <c r="O10" s="4"/>
      <c r="P10" s="4"/>
      <c r="U10" s="16"/>
      <c r="V10" s="11"/>
      <c r="W10" s="14"/>
    </row>
    <row r="11" spans="1:24">
      <c r="B11" s="11"/>
      <c r="C11" s="11"/>
      <c r="E11" s="12"/>
      <c r="L11" s="85"/>
      <c r="O11" s="4"/>
      <c r="P11" s="4"/>
      <c r="U11" s="13"/>
      <c r="V11" s="11"/>
      <c r="W11" s="14"/>
    </row>
    <row r="12" spans="1:24">
      <c r="B12" s="11"/>
      <c r="C12" s="11"/>
      <c r="E12" s="12"/>
      <c r="L12" s="85"/>
      <c r="O12" s="4"/>
      <c r="P12" s="4"/>
      <c r="U12" s="13"/>
      <c r="V12" s="11"/>
      <c r="W12" s="14"/>
    </row>
    <row r="13" spans="1:24">
      <c r="B13" s="11"/>
      <c r="C13" s="11"/>
      <c r="E13" s="12"/>
      <c r="O13" s="4"/>
      <c r="P13" s="4"/>
      <c r="U13" s="13"/>
      <c r="V13" s="11"/>
      <c r="W13" s="14"/>
    </row>
    <row r="14" spans="1:24">
      <c r="B14" s="11"/>
      <c r="C14" s="11"/>
      <c r="E14" s="12"/>
      <c r="O14" s="4"/>
      <c r="P14" s="4"/>
      <c r="U14" s="13"/>
      <c r="V14" s="11"/>
      <c r="W14" s="14"/>
    </row>
    <row r="15" spans="1:24">
      <c r="B15" s="11"/>
      <c r="C15" s="11"/>
      <c r="E15" s="12"/>
      <c r="O15" s="4"/>
      <c r="P15" s="4"/>
      <c r="U15" s="13"/>
      <c r="V15" s="11"/>
      <c r="W15" s="14"/>
    </row>
    <row r="16" spans="1:24">
      <c r="B16" s="11"/>
      <c r="C16" s="11"/>
      <c r="E16" s="12"/>
      <c r="O16" s="4"/>
      <c r="P16" s="4"/>
      <c r="U16" s="13"/>
      <c r="V16" s="11"/>
      <c r="W16" s="14"/>
    </row>
    <row r="17" spans="2:23">
      <c r="B17" s="11"/>
      <c r="C17" s="11"/>
      <c r="E17" s="12"/>
      <c r="O17" s="4"/>
      <c r="P17" s="4"/>
      <c r="U17" s="13"/>
      <c r="V17" s="11"/>
      <c r="W17" s="14"/>
    </row>
    <row r="18" spans="2:23">
      <c r="B18" s="11"/>
      <c r="C18" s="11"/>
      <c r="E18" s="12"/>
      <c r="O18" s="4"/>
      <c r="P18" s="4"/>
      <c r="U18" s="13"/>
      <c r="V18" s="11"/>
      <c r="W18" s="14"/>
    </row>
    <row r="19" spans="2:23">
      <c r="B19" s="11"/>
      <c r="C19" s="11"/>
      <c r="E19" s="12"/>
      <c r="O19" s="4"/>
      <c r="P19" s="4"/>
      <c r="U19" s="13"/>
      <c r="V19" s="11"/>
      <c r="W19" s="14"/>
    </row>
    <row r="20" spans="2:23">
      <c r="B20" s="11"/>
      <c r="C20" s="11"/>
      <c r="E20" s="12"/>
      <c r="O20" s="4"/>
      <c r="P20" s="4"/>
      <c r="U20" s="13"/>
      <c r="V20" s="11"/>
      <c r="W20" s="14"/>
    </row>
    <row r="21" spans="2:23">
      <c r="B21" s="11"/>
      <c r="C21" s="11"/>
      <c r="E21" s="12"/>
      <c r="O21" s="4"/>
      <c r="P21" s="4"/>
      <c r="U21" s="13"/>
      <c r="V21" s="11"/>
      <c r="W21" s="14"/>
    </row>
    <row r="22" spans="2:23">
      <c r="B22" s="11"/>
      <c r="C22" s="11"/>
      <c r="E22" s="12"/>
      <c r="O22" s="4"/>
      <c r="P22" s="4"/>
      <c r="U22" s="13"/>
      <c r="V22" s="11"/>
      <c r="W22" s="14"/>
    </row>
    <row r="23" spans="2:23">
      <c r="B23" s="11"/>
      <c r="C23" s="11"/>
      <c r="E23" s="12"/>
      <c r="O23" s="4"/>
      <c r="P23" s="4"/>
      <c r="U23" s="13"/>
      <c r="V23" s="11"/>
      <c r="W23" s="14"/>
    </row>
    <row r="24" spans="2:23">
      <c r="B24" s="11"/>
      <c r="C24" s="11"/>
      <c r="E24" s="12"/>
      <c r="O24" s="4"/>
      <c r="P24" s="4"/>
      <c r="U24" s="13"/>
      <c r="V24" s="11"/>
      <c r="W24" s="14"/>
    </row>
    <row r="25" spans="2:23">
      <c r="B25" s="11"/>
      <c r="C25" s="11"/>
      <c r="E25" s="12"/>
      <c r="O25" s="4"/>
      <c r="P25" s="4"/>
      <c r="U25" s="13"/>
      <c r="V25" s="11"/>
      <c r="W25" s="14"/>
    </row>
    <row r="26" spans="2:23">
      <c r="B26" s="11"/>
      <c r="C26" s="11"/>
      <c r="E26" s="12"/>
      <c r="O26" s="4"/>
      <c r="P26" s="4"/>
      <c r="U26" s="13"/>
      <c r="V26" s="11"/>
      <c r="W26" s="14"/>
    </row>
    <row r="27" spans="2:23">
      <c r="B27" s="11"/>
      <c r="C27" s="11"/>
      <c r="E27" s="12"/>
      <c r="O27" s="4"/>
      <c r="P27" s="4"/>
      <c r="U27" s="13"/>
      <c r="V27" s="11"/>
      <c r="W27" s="14"/>
    </row>
    <row r="28" spans="2:23">
      <c r="B28" s="11"/>
      <c r="C28" s="11"/>
      <c r="E28" s="12"/>
      <c r="O28" s="4"/>
      <c r="P28" s="4"/>
      <c r="U28" s="13"/>
      <c r="V28" s="11"/>
      <c r="W28" s="14"/>
    </row>
    <row r="29" spans="2:23">
      <c r="B29" s="11"/>
      <c r="C29" s="11"/>
      <c r="E29" s="12"/>
      <c r="O29" s="4"/>
      <c r="P29" s="4"/>
      <c r="U29" s="13"/>
      <c r="V29" s="11"/>
      <c r="W29" s="14"/>
    </row>
    <row r="30" spans="2:23">
      <c r="B30" s="11"/>
      <c r="C30" s="11"/>
      <c r="E30" s="12"/>
      <c r="O30" s="4"/>
      <c r="P30" s="4"/>
      <c r="U30" s="13"/>
      <c r="V30" s="11"/>
      <c r="W30" s="14"/>
    </row>
    <row r="31" spans="2:23">
      <c r="B31" s="11"/>
      <c r="C31" s="11"/>
      <c r="E31" s="12"/>
      <c r="O31" s="4"/>
      <c r="P31" s="4"/>
      <c r="U31" s="16"/>
      <c r="V31" s="11"/>
      <c r="W31" s="14"/>
    </row>
    <row r="32" spans="2:23">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4.4299999999999999E-2</v>
      </c>
      <c r="D4" s="34">
        <v>7.4999999999999997E-2</v>
      </c>
      <c r="E4" s="35">
        <f>D4-C4</f>
        <v>3.0699999999999998E-2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245</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F4" sqref="F4"/>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209</v>
      </c>
    </row>
    <row r="2" spans="1:8" ht="29.75" customHeight="1">
      <c r="B2" s="65" t="s">
        <v>2</v>
      </c>
      <c r="C2" s="65" t="s">
        <v>212</v>
      </c>
      <c r="D2" s="65" t="s">
        <v>211</v>
      </c>
      <c r="E2" s="65" t="s">
        <v>210</v>
      </c>
      <c r="F2" s="65" t="s">
        <v>215</v>
      </c>
      <c r="G2" s="65" t="s">
        <v>220</v>
      </c>
      <c r="H2" s="65" t="s">
        <v>197</v>
      </c>
    </row>
    <row r="3" spans="1:8">
      <c r="B3" s="76" t="s">
        <v>27</v>
      </c>
      <c r="C3" s="74" t="s">
        <v>214</v>
      </c>
      <c r="D3" s="73" t="s">
        <v>213</v>
      </c>
      <c r="E3" s="75" t="s">
        <v>214</v>
      </c>
      <c r="F3" s="70">
        <v>168044.08</v>
      </c>
      <c r="G3" s="72">
        <f t="shared" ref="G3:G4" si="0">F3/$F$11</f>
        <v>0.71324775020873998</v>
      </c>
      <c r="H3" s="89">
        <f>Portfolio_Mgmt!E61</f>
        <v>0.3</v>
      </c>
    </row>
    <row r="4" spans="1:8">
      <c r="B4" s="77" t="s">
        <v>242</v>
      </c>
      <c r="C4" s="74">
        <f>VLOOKUP(B4,Opportunities!B$3:E$30,3,FALSE)</f>
        <v>22.52</v>
      </c>
      <c r="D4" s="73" t="str">
        <f>VLOOKUP(B4,Opportunities!B$3:E$30,4,FALSE)</f>
        <v>CNY</v>
      </c>
      <c r="E4" s="70">
        <v>3000</v>
      </c>
      <c r="F4" s="75">
        <f>C4*E4</f>
        <v>67560</v>
      </c>
      <c r="G4" s="72">
        <f t="shared" si="0"/>
        <v>0.28675224979126002</v>
      </c>
      <c r="H4" s="72">
        <f>VLOOKUP(B4,Opportunities!B$3:I$30,8,FALSE)</f>
        <v>9.3798326156197959E-2</v>
      </c>
    </row>
    <row r="5" spans="1:8">
      <c r="B5" s="77"/>
      <c r="C5" s="74"/>
      <c r="D5" s="73"/>
      <c r="E5" s="70"/>
      <c r="F5" s="75"/>
      <c r="G5" s="72"/>
      <c r="H5" s="72"/>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219</v>
      </c>
      <c r="F11" s="80">
        <f>SUM(F3:F9)</f>
        <v>235604.08</v>
      </c>
      <c r="G11" s="81">
        <f>SUM(G3:G9)</f>
        <v>1</v>
      </c>
      <c r="H11" s="87">
        <f>SUM(H3:H9)</f>
        <v>0.39379832615619792</v>
      </c>
    </row>
    <row r="12" spans="1:8">
      <c r="B12" s="66"/>
      <c r="C12" s="69"/>
      <c r="D12" s="66"/>
      <c r="E12" s="70"/>
      <c r="F12" s="70"/>
    </row>
    <row r="13" spans="1:8" ht="13.15">
      <c r="A13" s="62"/>
      <c r="B13" s="63" t="s">
        <v>217</v>
      </c>
    </row>
    <row r="14" spans="1:8">
      <c r="B14" s="77" t="s">
        <v>242</v>
      </c>
      <c r="C14" s="74">
        <f>VLOOKUP(B14,Opportunities!B$3:E$30,3,FALSE)</f>
        <v>22.52</v>
      </c>
      <c r="D14" s="73" t="str">
        <f>VLOOKUP(B14,Opportunities!B$3:E$30,4,FALSE)</f>
        <v>CNY</v>
      </c>
      <c r="E14" s="70">
        <v>3000</v>
      </c>
      <c r="F14" s="75">
        <f>C14*E14</f>
        <v>67560</v>
      </c>
      <c r="G14" s="72">
        <f>-F14/$F$11</f>
        <v>-0.28675224979126002</v>
      </c>
      <c r="H14" s="72">
        <f>VLOOKUP(B14,Opportunities!B$3:I$30,8,FALSE)</f>
        <v>9.3798326156197959E-2</v>
      </c>
    </row>
    <row r="15" spans="1:8">
      <c r="G15" s="86"/>
      <c r="H15" s="86"/>
    </row>
    <row r="16" spans="1:8" ht="13.15">
      <c r="B16" s="82" t="s">
        <v>218</v>
      </c>
      <c r="C16" s="83" t="s">
        <v>214</v>
      </c>
      <c r="D16" s="84" t="s">
        <v>153</v>
      </c>
      <c r="E16" s="83" t="s">
        <v>214</v>
      </c>
      <c r="F16" s="80">
        <f>F3+SUM(F14:F14)</f>
        <v>235604.08</v>
      </c>
      <c r="G16" s="87">
        <f t="shared" ref="G16" si="1">F16/$F$11</f>
        <v>1</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5" t="s">
        <v>99</v>
      </c>
      <c r="C3" s="105"/>
      <c r="D3" s="105"/>
    </row>
    <row r="5" spans="1:4">
      <c r="B5" s="106" t="s">
        <v>101</v>
      </c>
      <c r="C5" s="95"/>
      <c r="D5" s="95"/>
    </row>
    <row r="6" spans="1:4">
      <c r="B6" s="106" t="s">
        <v>102</v>
      </c>
      <c r="C6" s="95"/>
      <c r="D6" s="95"/>
    </row>
    <row r="8" spans="1:4">
      <c r="B8" s="1" t="s">
        <v>100</v>
      </c>
    </row>
    <row r="10" spans="1:4">
      <c r="A10" s="5"/>
      <c r="B10" s="6" t="s">
        <v>103</v>
      </c>
    </row>
    <row r="11" spans="1:4">
      <c r="B11" s="105" t="s">
        <v>104</v>
      </c>
      <c r="C11" s="105"/>
      <c r="D11" s="105"/>
    </row>
    <row r="12" spans="1:4">
      <c r="B12" s="105" t="s">
        <v>105</v>
      </c>
      <c r="C12" s="105"/>
      <c r="D12" s="105"/>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5" t="s">
        <v>117</v>
      </c>
      <c r="C28" s="105"/>
      <c r="D28" s="105"/>
    </row>
    <row r="29" spans="1:4">
      <c r="B29" s="105" t="s">
        <v>118</v>
      </c>
      <c r="C29" s="105"/>
      <c r="D29" s="105"/>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2025-05-20T12:49:09Z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