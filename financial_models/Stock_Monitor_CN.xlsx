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C403736-155E-46F0-B5AB-DDA5EBFBD9C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<sst xmlns="http://schemas.openxmlformats.org/spreadsheetml/2006/main" count="423" uniqueCount="356">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</sst>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55.09</v>
      </c>
      <c r="E3" s="12" t="s">
        <v>327</v>
      </c>
      <c r="F3" s="15">
        <v>0.10352274422855245</v>
      </c>
      <c r="G3" s="15">
        <f>F3 - Portfolio_Mgmt!$C$10</f>
        <v>1.6522744228552461E-2</v>
      </c>
      <c r="H3" s="15">
        <f>F3 - Portfolio_Mgmt!$C$11</f>
        <v>8.4522744228552452E-2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7.8762408829641847E-2</v>
      </c>
      <c r="P3" s="4">
        <v>3.9208567798148485E-2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15.78</v>
      </c>
      <c r="E4" s="12" t="s">
        <v>327</v>
      </c>
      <c r="F4" s="15">
        <v>9.7166621706861633E-2</v>
      </c>
      <c r="G4" s="15">
        <f>F4 - Portfolio_Mgmt!$C$10</f>
        <v>1.0166621706861639E-2</v>
      </c>
      <c r="H4" s="15">
        <f>F4 - Portfolio_Mgmt!$C$11</f>
        <v>7.816662170686163E-2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7.45895605360785E-2</v>
      </c>
      <c r="P4" s="4">
        <v>6.0456273764258564E-2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10.029999999999999</v>
      </c>
      <c r="E5" s="12" t="s">
        <v>327</v>
      </c>
      <c r="F5" s="15">
        <v>8.7180467568018338E-2</v>
      </c>
      <c r="G5" s="15">
        <f>F5 - Portfolio_Mgmt!$C$10</f>
        <v>1.8046756801834429E-4</v>
      </c>
      <c r="H5" s="15">
        <f>F5 - Portfolio_Mgmt!$C$11</f>
        <v>6.8180467568018335E-2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3.5175912102399981E-2</v>
      </c>
      <c r="P5" s="4">
        <v>3.5892323030907287E-2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5.57</v>
      </c>
      <c r="E6" s="12" t="s">
        <v>327</v>
      </c>
      <c r="F6" s="15">
        <v>6.3408396767668407E-2</v>
      </c>
      <c r="G6" s="15">
        <f>F6 - Portfolio_Mgmt!$C$10</f>
        <v>-2.3591603232331587E-2</v>
      </c>
      <c r="H6" s="15">
        <f>F6 - Portfolio_Mgmt!$C$11</f>
        <v>4.4408396767668404E-2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4.1292656520907418E-2</v>
      </c>
      <c r="P6" s="4">
        <v>3.2477558348294432E-2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339</v>
      </c>
      <c r="C7" s="11" t="s">
        <v>340</v>
      </c>
      <c r="D7" s="2">
        <v>68.48</v>
      </c>
      <c r="E7" s="12" t="s">
        <v>327</v>
      </c>
      <c r="F7" s="15">
        <v>4.6311593727142331E-2</v>
      </c>
      <c r="G7" s="15">
        <f>F7 - Portfolio_Mgmt!$C$10</f>
        <v>-4.0688406272857663E-2</v>
      </c>
      <c r="H7" s="15">
        <f>F7 - Portfolio_Mgmt!$C$11</f>
        <v>2.7311593727142331E-2</v>
      </c>
      <c r="I7" s="15">
        <v>0</v>
      </c>
      <c r="J7" s="2">
        <v>27.666459398619363</v>
      </c>
      <c r="K7" s="2">
        <v>65.304739034115954</v>
      </c>
      <c r="L7" s="74">
        <v>63.44391872644448</v>
      </c>
      <c r="M7" s="2">
        <v>37.320034608154735</v>
      </c>
      <c r="N7" s="2">
        <v>61.489408566601746</v>
      </c>
      <c r="O7" s="4">
        <v>5.2853020958677763E-2</v>
      </c>
      <c r="P7" s="4">
        <v>6.1073306074766361E-2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337</v>
      </c>
      <c r="C8" s="11" t="s">
        <v>338</v>
      </c>
      <c r="D8" s="2">
        <v>23.12</v>
      </c>
      <c r="E8" s="12" t="s">
        <v>327</v>
      </c>
      <c r="F8" s="15">
        <v>4.0546486151939121E-2</v>
      </c>
      <c r="G8" s="15">
        <f>F8 - Portfolio_Mgmt!$C$10</f>
        <v>-4.6453513848060873E-2</v>
      </c>
      <c r="H8" s="15">
        <f>F8 - Portfolio_Mgmt!$C$11</f>
        <v>2.1546486151939121E-2</v>
      </c>
      <c r="I8" s="15">
        <v>0</v>
      </c>
      <c r="J8" s="2">
        <v>8.9913803957882639</v>
      </c>
      <c r="K8" s="2">
        <v>23.068262059109994</v>
      </c>
      <c r="L8" s="74">
        <v>21.049942920535798</v>
      </c>
      <c r="M8" s="2">
        <v>12.232463386030947</v>
      </c>
      <c r="N8" s="2">
        <v>20.388648577016472</v>
      </c>
      <c r="O8" s="4">
        <v>5.7277721530025937E-2</v>
      </c>
      <c r="P8" s="4">
        <v>4.1262975778546714E-2</v>
      </c>
      <c r="Q8" s="4">
        <v>0.15648173464349882</v>
      </c>
      <c r="R8" s="4">
        <v>0.13375671427886937</v>
      </c>
      <c r="S8" s="82">
        <v>0.66633267926556194</v>
      </c>
      <c r="T8" s="81">
        <v>1.7557268340491488</v>
      </c>
      <c r="U8" s="15">
        <v>0.3857437197038544</v>
      </c>
      <c r="V8" s="79">
        <v>2.3913910654887354</v>
      </c>
      <c r="W8" s="74">
        <v>3.5427832354191278</v>
      </c>
      <c r="X8" s="13" t="s">
        <v>172</v>
      </c>
      <c r="Y8" s="11" t="s">
        <v>136</v>
      </c>
      <c r="Z8" s="14">
        <v>45900</v>
      </c>
      <c r="AA8" s="16" t="s">
        <v>183</v>
      </c>
    </row>
    <row r="9" spans="1:27">
      <c r="B9" s="11" t="s">
        <v>335</v>
      </c>
      <c r="C9" s="11" t="s">
        <v>336</v>
      </c>
      <c r="D9" s="2">
        <v>49.24</v>
      </c>
      <c r="E9" s="12" t="s">
        <v>327</v>
      </c>
      <c r="F9" s="15">
        <v>4.0281612083983065E-2</v>
      </c>
      <c r="G9" s="15">
        <f>F9 - Portfolio_Mgmt!$C$10</f>
        <v>-4.6718387916016929E-2</v>
      </c>
      <c r="H9" s="15">
        <f>F9 - Portfolio_Mgmt!$C$11</f>
        <v>2.1281612083983065E-2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4.3927280880255042E-2</v>
      </c>
      <c r="P9" s="4">
        <v>1.8277822908204712E-2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20.53</v>
      </c>
      <c r="E10" s="12" t="s">
        <v>327</v>
      </c>
      <c r="F10" s="15">
        <v>2.002653273777133E-2</v>
      </c>
      <c r="G10" s="15">
        <f>F10 - Portfolio_Mgmt!$C$10</f>
        <v>-6.6973467262228664E-2</v>
      </c>
      <c r="H10" s="15">
        <f>F10 - Portfolio_Mgmt!$C$11</f>
        <v>1.0265327377713303E-3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5.2715283675273471E-2</v>
      </c>
      <c r="P10" s="4">
        <v>4.8222113979542139E-2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22.77</v>
      </c>
      <c r="E11" s="12" t="s">
        <v>327</v>
      </c>
      <c r="F11" s="15">
        <v>1.5977842779510532E-2</v>
      </c>
      <c r="G11" s="15">
        <f>F11 - Portfolio_Mgmt!$C$10</f>
        <v>-7.1022157220489462E-2</v>
      </c>
      <c r="H11" s="15">
        <f>F11 - Portfolio_Mgmt!$C$11</f>
        <v>-3.022157220489468E-3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0.2424842473863785</v>
      </c>
      <c r="P11" s="4">
        <v>4.6552481335090032E-2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15.19</v>
      </c>
      <c r="E12" s="12" t="s">
        <v>327</v>
      </c>
      <c r="F12" s="15">
        <v>-0.14081241511647602</v>
      </c>
      <c r="G12" s="15">
        <f>F12 - Portfolio_Mgmt!$C$10</f>
        <v>-0.22781241511647601</v>
      </c>
      <c r="H12" s="15">
        <f>F12 - Portfolio_Mgmt!$C$11</f>
        <v>-0.15981241511647601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2.9206067803258188E-2</v>
      </c>
      <c r="P12" s="4">
        <v>2.3699802501645825E-2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4.2300000000000004E-2</v>
      </c>
      <c r="D4" s="34">
        <v>7.4999999999999997E-2</v>
      </c>
      <c r="E4" s="35">
        <f>D4-C4</f>
        <v>3.2699999999999993E-2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0.53592257495034834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22.77</v>
      </c>
      <c r="D4" s="62" t="str">
        <f>VLOOKUP(B4,Opportunities!B$3:E$30,4,FALSE)</f>
        <v>CNY</v>
      </c>
      <c r="E4" s="59">
        <v>3000</v>
      </c>
      <c r="F4" s="64">
        <f>E4*C4</f>
        <v>68310</v>
      </c>
      <c r="G4" s="61">
        <f>F4/$F$10</f>
        <v>0.21534630055798998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15.78</v>
      </c>
      <c r="D5" s="62" t="str">
        <f>VLOOKUP(B5,Opportunities!B$3:E$30,4,FALSE)</f>
        <v>CNY</v>
      </c>
      <c r="E5" s="59">
        <v>5000</v>
      </c>
      <c r="F5" s="64">
        <f>C5*E5</f>
        <v>78900</v>
      </c>
      <c r="G5" s="61">
        <f>F5/$F$10</f>
        <v>0.24873112449166168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317210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0.53592257495034834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2025-08-05T03:07:59Z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