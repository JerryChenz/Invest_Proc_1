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F420F1A-E8A9-4A7B-8EBB-078FE693B338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<sst xmlns="http://schemas.openxmlformats.org/spreadsheetml/2006/main" count="423" uniqueCount="356">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</sst>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15.32</v>
      </c>
      <c r="E3" s="12" t="s">
        <v>327</v>
      </c>
      <c r="F3" s="15">
        <v>0.10866244857430996</v>
      </c>
      <c r="G3" s="15">
        <f>F3 - Portfolio_Mgmt!$C$10</f>
        <v>2.1662448574309962E-2</v>
      </c>
      <c r="H3" s="15">
        <f>F3 - Portfolio_Mgmt!$C$11</f>
        <v>8.9662448574309953E-2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7.6829194860268846E-2</v>
      </c>
      <c r="P3" s="4">
        <v>6.2271540469973893E-2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55.59</v>
      </c>
      <c r="E4" s="12" t="s">
        <v>327</v>
      </c>
      <c r="F4" s="15">
        <v>0.10008645248828363</v>
      </c>
      <c r="G4" s="15">
        <f>F4 - Portfolio_Mgmt!$C$10</f>
        <v>1.3086452488283634E-2</v>
      </c>
      <c r="H4" s="15">
        <f>F4 - Portfolio_Mgmt!$C$11</f>
        <v>8.1086452488283625E-2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7.8053986372098746E-2</v>
      </c>
      <c r="P4" s="4">
        <v>3.8855909336211546E-2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10.25</v>
      </c>
      <c r="E5" s="12" t="s">
        <v>327</v>
      </c>
      <c r="F5" s="15">
        <v>7.9088402437900385E-2</v>
      </c>
      <c r="G5" s="15">
        <f>F5 - Portfolio_Mgmt!$C$10</f>
        <v>-7.9115975620996093E-3</v>
      </c>
      <c r="H5" s="15">
        <f>F5 - Portfolio_Mgmt!$C$11</f>
        <v>6.0088402437900382E-2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3.4420916915811881E-2</v>
      </c>
      <c r="P5" s="4">
        <v>3.5121951219512199E-2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5.57</v>
      </c>
      <c r="E6" s="12" t="s">
        <v>327</v>
      </c>
      <c r="F6" s="15">
        <v>6.3408396767668407E-2</v>
      </c>
      <c r="G6" s="15">
        <f>F6 - Portfolio_Mgmt!$C$10</f>
        <v>-2.3591603232331587E-2</v>
      </c>
      <c r="H6" s="15">
        <f>F6 - Portfolio_Mgmt!$C$11</f>
        <v>4.4408396767668404E-2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4.1292656520907418E-2</v>
      </c>
      <c r="P6" s="4">
        <v>3.2477558348294432E-2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21.83</v>
      </c>
      <c r="E7" s="12" t="s">
        <v>327</v>
      </c>
      <c r="F7" s="15">
        <v>6.1492528673418922E-2</v>
      </c>
      <c r="G7" s="15">
        <f>F7 - Portfolio_Mgmt!$C$10</f>
        <v>-2.5507471326581072E-2</v>
      </c>
      <c r="H7" s="15">
        <f>F7 - Portfolio_Mgmt!$C$11</f>
        <v>4.2492528673418919E-2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6.0662433429876317E-2</v>
      </c>
      <c r="P7" s="4">
        <v>4.3701328447091167E-2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335</v>
      </c>
      <c r="C8" s="11" t="s">
        <v>336</v>
      </c>
      <c r="D8" s="2">
        <v>46.9</v>
      </c>
      <c r="E8" s="12" t="s">
        <v>327</v>
      </c>
      <c r="F8" s="15">
        <v>5.7609727051835868E-2</v>
      </c>
      <c r="G8" s="15">
        <f>F8 - Portfolio_Mgmt!$C$10</f>
        <v>-2.9390272948164126E-2</v>
      </c>
      <c r="H8" s="15">
        <f>F8 - Portfolio_Mgmt!$C$11</f>
        <v>3.8609727051835865E-2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4.6118961845282705E-2</v>
      </c>
      <c r="P8" s="4">
        <v>1.9189765458422176E-2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339</v>
      </c>
      <c r="C9" s="11" t="s">
        <v>340</v>
      </c>
      <c r="D9" s="2">
        <v>66.7</v>
      </c>
      <c r="E9" s="12" t="s">
        <v>327</v>
      </c>
      <c r="F9" s="15">
        <v>5.6107325280180476E-2</v>
      </c>
      <c r="G9" s="15">
        <f>F9 - Portfolio_Mgmt!$C$10</f>
        <v>-3.0892674719819518E-2</v>
      </c>
      <c r="H9" s="15">
        <f>F9 - Portfolio_Mgmt!$C$11</f>
        <v>3.7107325280180473E-2</v>
      </c>
      <c r="I9" s="15">
        <v>0</v>
      </c>
      <c r="J9" s="2">
        <v>27.666459398619363</v>
      </c>
      <c r="K9" s="2">
        <v>65.304739034115954</v>
      </c>
      <c r="L9" s="74">
        <v>63.44391872644448</v>
      </c>
      <c r="M9" s="2">
        <v>37.320034608154735</v>
      </c>
      <c r="N9" s="2">
        <v>61.489408566601746</v>
      </c>
      <c r="O9" s="4">
        <v>5.4263491383062266E-2</v>
      </c>
      <c r="P9" s="4">
        <v>6.2703148425787114E-2</v>
      </c>
      <c r="Q9" s="4">
        <v>0.14093304007128551</v>
      </c>
      <c r="R9" s="4">
        <v>0.29188024664664569</v>
      </c>
      <c r="S9" s="82">
        <v>0.37062368553626046</v>
      </c>
      <c r="T9" s="81">
        <v>1.3027915865121182</v>
      </c>
      <c r="U9" s="15">
        <v>7.7640983998987034E-4</v>
      </c>
      <c r="V9" s="79">
        <v>5.5975167910006915E-3</v>
      </c>
      <c r="W9" s="74">
        <v>15.284602440692964</v>
      </c>
      <c r="X9" s="13" t="s">
        <v>170</v>
      </c>
      <c r="Y9" s="11" t="s">
        <v>136</v>
      </c>
      <c r="Z9" s="14">
        <v>45900</v>
      </c>
      <c r="AA9" s="16" t="s">
        <v>184</v>
      </c>
    </row>
    <row r="10" spans="1:27">
      <c r="B10" s="11" t="s">
        <v>347</v>
      </c>
      <c r="C10" s="11" t="s">
        <v>348</v>
      </c>
      <c r="D10" s="2">
        <v>20.89</v>
      </c>
      <c r="E10" s="12" t="s">
        <v>327</v>
      </c>
      <c r="F10" s="15">
        <v>1.3844993352739587E-2</v>
      </c>
      <c r="G10" s="15">
        <f>F10 - Portfolio_Mgmt!$C$10</f>
        <v>-7.3155006647260407E-2</v>
      </c>
      <c r="H10" s="15">
        <f>F10 - Portfolio_Mgmt!$C$11</f>
        <v>-5.1550066472604121E-3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5.180683455497196E-2</v>
      </c>
      <c r="P10" s="4">
        <v>4.7391096218286265E-2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24.69</v>
      </c>
      <c r="E11" s="12" t="s">
        <v>327</v>
      </c>
      <c r="F11" s="15">
        <v>-1.2316708279279998E-2</v>
      </c>
      <c r="G11" s="15">
        <f>F11 - Portfolio_Mgmt!$C$10</f>
        <v>-9.9316708279279992E-2</v>
      </c>
      <c r="H11" s="15">
        <f>F11 - Portfolio_Mgmt!$C$11</f>
        <v>-3.1316708279280001E-2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0.2236276351959432</v>
      </c>
      <c r="P11" s="4">
        <v>4.2932361279870393E-2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14.5</v>
      </c>
      <c r="E12" s="12" t="s">
        <v>327</v>
      </c>
      <c r="F12" s="15">
        <v>-0.12698411363037332</v>
      </c>
      <c r="G12" s="15">
        <f>F12 - Portfolio_Mgmt!$C$10</f>
        <v>-0.21398411363037331</v>
      </c>
      <c r="H12" s="15">
        <f>F12 - Portfolio_Mgmt!$C$11</f>
        <v>-0.14598411363037331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3.0595873788378754E-2</v>
      </c>
      <c r="P12" s="4">
        <v>2.4827586206896554E-2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0.53014001933451838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24.69</v>
      </c>
      <c r="D4" s="62" t="str">
        <f>VLOOKUP(B4,Opportunities!B$3:E$30,4,FALSE)</f>
        <v>CNY</v>
      </c>
      <c r="E4" s="59">
        <v>3000</v>
      </c>
      <c r="F4" s="64">
        <f>E4*C4</f>
        <v>74070</v>
      </c>
      <c r="G4" s="61">
        <f>F4/$F$10</f>
        <v>0.23098512489475162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15.32</v>
      </c>
      <c r="D5" s="62" t="str">
        <f>VLOOKUP(B5,Opportunities!B$3:E$30,4,FALSE)</f>
        <v>CNY</v>
      </c>
      <c r="E5" s="59">
        <v>5000</v>
      </c>
      <c r="F5" s="64">
        <f>C5*E5</f>
        <v>76600</v>
      </c>
      <c r="G5" s="61">
        <f>F5/$F$10</f>
        <v>0.23887485577073003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320670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0.53014001933451838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2025-07-14T10:14:00Z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