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AA9A18C-97CF-4D8E-8629-6CAAFC9D0EC5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<sst xmlns="http://schemas.openxmlformats.org/spreadsheetml/2006/main" count="408" uniqueCount="359">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</sst>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="83" workbookViewId="0">
      <selection activeCell="B48" sqref="B4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0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0</v>
      </c>
    </row>
    <row r="72" spans="1:5">
      <c r="D72" s="27" t="s">
        <v>68</v>
      </c>
      <c r="E72" s="39">
        <f>SUM(E67:E71)</f>
        <v>4</v>
      </c>
    </row>
    <row r="73" spans="1:5" ht="12" thickBot="1">
      <c r="D73" s="41" t="s">
        <v>135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K2" sqref="K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103.39</v>
      </c>
      <c r="E3" s="12" t="s">
        <v>350</v>
      </c>
      <c r="F3" s="15">
        <v>0.22370349845707738</v>
      </c>
      <c r="G3" s="15">
        <v>4.8187664515285923E-2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8.6609391714755957E-2</v>
      </c>
      <c r="N3" s="4">
        <v>3.9972918077183485E-2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101.34</v>
      </c>
      <c r="E4" s="12" t="s">
        <v>350</v>
      </c>
      <c r="F4" s="15">
        <v>0.1662777039253833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7.5763009084778787E-2</v>
      </c>
      <c r="N4" s="4">
        <v>2.8143872113676732E-2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16.52</v>
      </c>
      <c r="E5" s="12" t="s">
        <v>350</v>
      </c>
      <c r="F5" s="15">
        <v>0.16139666986231577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8.4523020144779179E-2</v>
      </c>
      <c r="N5" s="4">
        <v>6.4164648910411626E-2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0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0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4.3899999999999995E-2</v>
      </c>
      <c r="D4" s="34">
        <v>6.7500000000000004E-2</v>
      </c>
      <c r="E4" s="35">
        <f>D4-C4</f>
        <v>2.360000000000001E-2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F5" sqref="F5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103.39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4.8187664515285923E-2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0.49818766451528596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103.39</v>
      </c>
      <c r="E9" s="59" t="str">
        <f>VLOOKUP(B9,Opportunities!B$3:E$30,4,FALSE)</f>
        <v>CNY</v>
      </c>
      <c r="F9" s="57">
        <v>0</v>
      </c>
      <c r="G9" s="61">
        <f>-D9*F9</f>
        <v>0</v>
      </c>
      <c r="H9" s="58">
        <f>-G9/$G$6</f>
        <v>0</v>
      </c>
      <c r="I9" s="58">
        <f>VLOOKUP(B9,Opportunities!B$3:G$30,6,FALSE)</f>
        <v>4.8187664515285923E-2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500000</v>
      </c>
      <c r="H11" s="73">
        <f t="shared" ref="H11" si="0">G11/$G$6</f>
        <v>1</v>
      </c>
      <c r="I11" s="73">
        <f>Portfolio_Mgmt!E73</f>
        <v>0.45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2026-03-24T10:07:43Z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