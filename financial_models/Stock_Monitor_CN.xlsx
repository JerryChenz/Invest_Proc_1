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61AB9F0-1E3D-4A6C-B4E7-3DB923193715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<sst xmlns="http://schemas.openxmlformats.org/spreadsheetml/2006/main" count="423" uniqueCount="356">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</sst>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14.94</v>
      </c>
      <c r="E3" s="12" t="s">
        <v>327</v>
      </c>
      <c r="F3" s="15">
        <v>0.11852527700395354</v>
      </c>
      <c r="G3" s="15">
        <f>F3 - Portfolio_Mgmt!$C$10</f>
        <v>3.152527700395355E-2</v>
      </c>
      <c r="H3" s="15">
        <f>F3 - Portfolio_Mgmt!$C$11</f>
        <v>9.9525277003953541E-2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7.8783351088307807E-2</v>
      </c>
      <c r="P3" s="4">
        <v>6.3855421686746988E-2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55.41</v>
      </c>
      <c r="E4" s="12" t="s">
        <v>327</v>
      </c>
      <c r="F4" s="15">
        <v>0.10131864167394</v>
      </c>
      <c r="G4" s="15">
        <f>F4 - Portfolio_Mgmt!$C$10</f>
        <v>1.4318641673940008E-2</v>
      </c>
      <c r="H4" s="15">
        <f>F4 - Portfolio_Mgmt!$C$11</f>
        <v>8.2318641673939999E-2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7.8307545613155935E-2</v>
      </c>
      <c r="P4" s="4">
        <v>3.8982133188955069E-2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10.28</v>
      </c>
      <c r="E5" s="12" t="s">
        <v>327</v>
      </c>
      <c r="F5" s="15">
        <v>7.8003271289299514E-2</v>
      </c>
      <c r="G5" s="15">
        <f>F5 - Portfolio_Mgmt!$C$10</f>
        <v>-8.9967287107004801E-3</v>
      </c>
      <c r="H5" s="15">
        <f>F5 - Portfolio_Mgmt!$C$11</f>
        <v>5.9003271289299511E-2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3.4320466769170409E-2</v>
      </c>
      <c r="P5" s="4">
        <v>3.5019455252918295E-2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5.59</v>
      </c>
      <c r="E6" s="12" t="s">
        <v>327</v>
      </c>
      <c r="F6" s="15">
        <v>6.2099536522534526E-2</v>
      </c>
      <c r="G6" s="15">
        <f>F6 - Portfolio_Mgmt!$C$10</f>
        <v>-2.4900463477465468E-2</v>
      </c>
      <c r="H6" s="15">
        <f>F6 - Portfolio_Mgmt!$C$11</f>
        <v>4.3099536522534523E-2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4.114491893049272E-2</v>
      </c>
      <c r="P6" s="4">
        <v>3.2361359570661892E-2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21.83</v>
      </c>
      <c r="E7" s="12" t="s">
        <v>327</v>
      </c>
      <c r="F7" s="15">
        <v>6.1492528673418922E-2</v>
      </c>
      <c r="G7" s="15">
        <f>F7 - Portfolio_Mgmt!$C$10</f>
        <v>-2.5507471326581072E-2</v>
      </c>
      <c r="H7" s="15">
        <f>F7 - Portfolio_Mgmt!$C$11</f>
        <v>4.2492528673418919E-2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6.0662433429876317E-2</v>
      </c>
      <c r="P7" s="4">
        <v>4.3701328447091167E-2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335</v>
      </c>
      <c r="C8" s="11" t="s">
        <v>336</v>
      </c>
      <c r="D8" s="2">
        <v>46.5</v>
      </c>
      <c r="E8" s="12" t="s">
        <v>327</v>
      </c>
      <c r="F8" s="15">
        <v>6.068870591626796E-2</v>
      </c>
      <c r="G8" s="15">
        <f>F8 - Portfolio_Mgmt!$C$10</f>
        <v>-2.6311294083732034E-2</v>
      </c>
      <c r="H8" s="15">
        <f>F8 - Portfolio_Mgmt!$C$11</f>
        <v>4.1688705916267957E-2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4.651568409771524E-2</v>
      </c>
      <c r="P8" s="4">
        <v>1.935483870967742E-2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339</v>
      </c>
      <c r="C9" s="11" t="s">
        <v>340</v>
      </c>
      <c r="D9" s="2">
        <v>66.34</v>
      </c>
      <c r="E9" s="12" t="s">
        <v>327</v>
      </c>
      <c r="F9" s="15">
        <v>5.8132627772154555E-2</v>
      </c>
      <c r="G9" s="15">
        <f>F9 - Portfolio_Mgmt!$C$10</f>
        <v>-2.8867372227845439E-2</v>
      </c>
      <c r="H9" s="15">
        <f>F9 - Portfolio_Mgmt!$C$11</f>
        <v>3.9132627772154552E-2</v>
      </c>
      <c r="I9" s="15">
        <v>0</v>
      </c>
      <c r="J9" s="2">
        <v>27.666459398619363</v>
      </c>
      <c r="K9" s="2">
        <v>65.304739034115954</v>
      </c>
      <c r="L9" s="74">
        <v>63.44391872644448</v>
      </c>
      <c r="M9" s="2">
        <v>37.320034608154735</v>
      </c>
      <c r="N9" s="2">
        <v>61.489408566601746</v>
      </c>
      <c r="O9" s="4">
        <v>5.4557957118635113E-2</v>
      </c>
      <c r="P9" s="4">
        <v>6.3043412722339473E-2</v>
      </c>
      <c r="Q9" s="4">
        <v>0.14093304007128551</v>
      </c>
      <c r="R9" s="4">
        <v>0.29188024664664569</v>
      </c>
      <c r="S9" s="82">
        <v>0.37062368553626046</v>
      </c>
      <c r="T9" s="81">
        <v>1.3027915865121182</v>
      </c>
      <c r="U9" s="15">
        <v>7.7640983998987034E-4</v>
      </c>
      <c r="V9" s="79">
        <v>5.5975167910006915E-3</v>
      </c>
      <c r="W9" s="74">
        <v>15.284602440692964</v>
      </c>
      <c r="X9" s="13" t="s">
        <v>170</v>
      </c>
      <c r="Y9" s="11" t="s">
        <v>136</v>
      </c>
      <c r="Z9" s="14">
        <v>45900</v>
      </c>
      <c r="AA9" s="16" t="s">
        <v>184</v>
      </c>
    </row>
    <row r="10" spans="1:27">
      <c r="B10" s="11" t="s">
        <v>347</v>
      </c>
      <c r="C10" s="11" t="s">
        <v>348</v>
      </c>
      <c r="D10" s="2">
        <v>21.11</v>
      </c>
      <c r="E10" s="12" t="s">
        <v>327</v>
      </c>
      <c r="F10" s="15">
        <v>1.013906570406431E-2</v>
      </c>
      <c r="G10" s="15">
        <f>F10 - Portfolio_Mgmt!$C$10</f>
        <v>-7.6860934295935684E-2</v>
      </c>
      <c r="H10" s="15">
        <f>F10 - Portfolio_Mgmt!$C$11</f>
        <v>-8.86093429593569E-3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5.1266924389074583E-2</v>
      </c>
      <c r="P10" s="4">
        <v>4.6897205116058743E-2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24.94</v>
      </c>
      <c r="E11" s="12" t="s">
        <v>327</v>
      </c>
      <c r="F11" s="15">
        <v>-1.5778435496761389E-2</v>
      </c>
      <c r="G11" s="15">
        <f>F11 - Portfolio_Mgmt!$C$10</f>
        <v>-0.10277843549676138</v>
      </c>
      <c r="H11" s="15">
        <f>F11 - Portfolio_Mgmt!$C$11</f>
        <v>-3.4778435496761392E-2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0.22138597886879863</v>
      </c>
      <c r="P11" s="4">
        <v>4.2502004811547714E-2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14.57</v>
      </c>
      <c r="E12" s="12" t="s">
        <v>327</v>
      </c>
      <c r="F12" s="15">
        <v>-0.1284274085979954</v>
      </c>
      <c r="G12" s="15">
        <f>F12 - Portfolio_Mgmt!$C$10</f>
        <v>-0.21542740859799539</v>
      </c>
      <c r="H12" s="15">
        <f>F12 - Portfolio_Mgmt!$C$11</f>
        <v>-0.14742740859799539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3.0448879199141517E-2</v>
      </c>
      <c r="P12" s="4">
        <v>2.4708304735758409E-2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4.4199999999999996E-2</v>
      </c>
      <c r="D4" s="34">
        <v>7.4999999999999997E-2</v>
      </c>
      <c r="E4" s="35">
        <f>D4-C4</f>
        <v>3.0800000000000001E-2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0.5320480721081623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24.94</v>
      </c>
      <c r="D4" s="62" t="str">
        <f>VLOOKUP(B4,Opportunities!B$3:E$30,4,FALSE)</f>
        <v>CNY</v>
      </c>
      <c r="E4" s="59">
        <v>3000</v>
      </c>
      <c r="F4" s="64">
        <f>E4*C4</f>
        <v>74820</v>
      </c>
      <c r="G4" s="61">
        <f>F4/$F$10</f>
        <v>0.23416374561842765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14.94</v>
      </c>
      <c r="D5" s="62" t="str">
        <f>VLOOKUP(B5,Opportunities!B$3:E$30,4,FALSE)</f>
        <v>CNY</v>
      </c>
      <c r="E5" s="59">
        <v>5000</v>
      </c>
      <c r="F5" s="64">
        <f>C5*E5</f>
        <v>74700</v>
      </c>
      <c r="G5" s="61">
        <f>F5/$F$10</f>
        <v>0.23378818227341011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319520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0.5320480721081623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2025-07-10T09:22:55Z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