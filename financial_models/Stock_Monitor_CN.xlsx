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44EF6989-CF26-492D-908E-FE943E207B47}"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G3" i="1"/>
  <c r="G4" i="1"/>
  <c r="G5" i="1"/>
  <c r="G6" i="1"/>
  <c r="C36" i="5"/>
  <c r="C35" i="5"/>
  <c r="C11" i="5"/>
  <c r="C10"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E6" i="2"/>
  <c r="E5" i="2"/>
  <c r="E4" i="2"/>
  <c r="E36" i="5" l="1"/>
  <c r="H16" i="7"/>
  <c r="H3" i="7"/>
  <c r="H11" i="7" s="1"/>
  <c r="D112" i="5"/>
  <c r="C64" i="5"/>
  <c r="C65" i="5" s="1"/>
  <c r="G5" i="7" l="1"/>
  <c r="G4" i="7"/>
  <c r="G3" i="7"/>
  <c r="G6" i="7"/>
  <c r="G11" i="7" l="1"/>
</calcChain>
</file>

<file path=xl/sharedStrings.xml><?xml version="1.0" encoding="utf-8"?>
<sst xmlns="http://schemas.openxmlformats.org/spreadsheetml/2006/main" count="278" uniqueCount="257">
  <si>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</si>
  <si>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</si>
  <si>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</si>
  <si>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</si>
  <si>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</si>
  <si>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</si>
  <si>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</si>
  <si>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</si>
  <si>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</si>
  <si>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</si>
  <si>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</si>
  <si>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</si>
  <si>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</si>
  <si>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</si>
  <si>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</si>
  <si>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</si>
  <si>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</si>
  <si>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</si>
  <si>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</si>
  <si>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</si>
  <si>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</si>
  <si>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</si>
  <si>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</si>
  <si>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</si>
  <si>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</si>
  <si>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</si>
  <si>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</si>
  <si>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</si>
  <si>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</si>
  <si>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</si>
  <si>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</si>
  <si>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</si>
  <si>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</si>
  <si>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</si>
  <si>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</si>
  <si>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</si>
  <si>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</si>
  <si>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</si>
  <si>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</si>
  <si>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</si>
  <si>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</si>
  <si>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</si>
  <si>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</si>
  <si>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</si>
  <si>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</si>
  <si>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</si>
  <si>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</si>
  <si>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</si>
  <si>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</si>
  <si>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</si>
  <si>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</si>
  <si>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</si>
  <si>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</si>
  <si>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</si>
  <si>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</si>
  <si>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</si>
  <si>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</si>
  <si>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</si>
  <si>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</si>
  <si>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</si>
  <si>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</si>
  <si>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</si>
  <si>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</si>
  <si>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</si>
  <si>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</si>
  <si>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</si>
  <si>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</si>
  <si>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</si>
  <si>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</si>
  <si>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</si>
  <si>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</si>
  <si>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</si>
  <si>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</si>
  <si>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</si>
  <si>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</si>
  <si>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</si>
  <si>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</si>
  <si>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</si>
  <si>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</si>
  <si>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</si>
  <si>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</si>
  <si>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</si>
  <si>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</si>
  <si>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</si>
  <si>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</si>
  <si>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</si>
  <si>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</si>
  <si>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</si>
  <si>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</si>
  <si>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</si>
  <si>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</si>
  <si>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</si>
  <si>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</si>
  <si>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</si>
  <si>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</si>
  <si>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</si>
  <si>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</si>
  <si>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</si>
  <si>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</si>
  <si>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</si>
  <si>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</si>
  <si>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</si>
  <si>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</si>
  <si>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</si>
  <si>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</si>
  <si>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</si>
  <si>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</si>
  <si>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</si>
  <si>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</si>
  <si>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</si>
  <si>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</si>
  <si>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</si>
  <si>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</si>
  <si>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</si>
  <si>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</si>
  <si>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</si>
  <si>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</si>
  <si>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</si>
  <si>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</si>
  <si>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</si>
  <si>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</si>
  <si>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</si>
  <si>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</si>
  <si>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</si>
  <si>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</si>
  <si>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</si>
  <si>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</si>
  <si>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</si>
  <si>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</si>
  <si>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</si>
  <si>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</si>
  <si>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</si>
  <si>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</si>
  <si>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</si>
  <si>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</si>
  <si>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</si>
  <si>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</si>
  <si>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</si>
  <si>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</si>
  <si>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</si>
  <si>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</si>
  <si>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</si>
  <si>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</si>
  <si>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</si>
  <si>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</si>
  <si>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</si>
  <si>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</si>
  <si>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</si>
  <si>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</si>
  <si>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</si>
  <si>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</si>
  <si>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</si>
  <si>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</si>
  <si>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</si>
  <si>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</si>
  <si>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</si>
  <si>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</si>
  <si>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</si>
  <si>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</si>
  <si>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</si>
  <si>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</si>
  <si>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</si>
  <si>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</si>
  <si>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</si>
  <si>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</si>
  <si>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</si>
  <si>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</si>
  <si>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</si>
  <si>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</si>
  <si>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</si>
  <si>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</si>
  <si>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</si>
  <si>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</si>
  <si>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</si>
  <si>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</si>
  <si>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</si>
  <si>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</si>
  <si>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</si>
  <si>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</si>
  <si>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</si>
  <si>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</si>
  <si>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</si>
  <si>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</si>
  <si>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</si>
  <si>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</si>
  <si>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</si>
  <si>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</si>
  <si>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</si>
  <si>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</si>
  <si>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</si>
  <si>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</si>
  <si>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</si>
  <si>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</si>
  <si>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</si>
  <si>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</si>
  <si>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</si>
  <si>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</si>
  <si>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</si>
  <si>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</si>
  <si>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</si>
  <si>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</si>
  <si>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</si>
  <si>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</si>
  <si>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</si>
  <si>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</si>
  <si>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</si>
  <si>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</si>
  <si>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</si>
  <si>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</si>
  <si>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</si>
  <si>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</si>
  <si>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</si>
  <si>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</si>
  <si>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</si>
  <si>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</si>
  <si>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</si>
  <si>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</si>
  <si>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</si>
  <si>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</si>
  <si>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</si>
  <si>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</si>
  <si>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</si>
  <si>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</si>
  <si>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</si>
  <si>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</si>
  <si>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</si>
  <si>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</si>
  <si>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</si>
  <si>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</si>
  <si>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</si>
  <si>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</si>
  <si>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</si>
  <si>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</si>
  <si>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</si>
  <si>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</si>
  <si>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</si>
  <si>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CNS_03</t>
  </si>
  <si>
    <t>N</t>
  </si>
  <si>
    <t>002304.SZ</t>
  </si>
  <si>
    <t>洋河股份</t>
  </si>
  <si>
    <t>CNY</t>
  </si>
  <si>
    <t>3983.HK</t>
  </si>
  <si>
    <t>600132.SS</t>
  </si>
  <si>
    <t>重庆啤酒</t>
  </si>
  <si>
    <t>0883.HK</t>
  </si>
  <si>
    <t>Exit 
Price</t>
  </si>
  <si>
    <t>Sell 
Price</t>
  </si>
  <si>
    <t>Market  Yield</t>
  </si>
  <si>
    <t>CCY</t>
  </si>
  <si>
    <t>601166.SS</t>
  </si>
  <si>
    <t>兴业银行</t>
  </si>
  <si>
    <t>FIN_01</t>
  </si>
  <si>
    <t>CN (Last 20 yrs)</t>
  </si>
  <si>
    <t>002557.SZ</t>
  </si>
  <si>
    <t>洽洽食品</t>
  </si>
  <si>
    <t>CNS_01</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</si>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</sst>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4" zoomScaleNormal="100" workbookViewId="0">
      <selection activeCell="C37" sqref="C37"/>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53</v>
      </c>
      <c r="B2" s="21"/>
      <c r="C2" s="21"/>
      <c r="D2" s="21"/>
      <c r="E2" s="21"/>
    </row>
    <row r="4" spans="1:5" ht="24.5" customHeight="1">
      <c r="B4" s="94" t="s">
        <v>205</v>
      </c>
      <c r="C4" s="94"/>
      <c r="D4" s="94"/>
      <c r="E4" s="94"/>
    </row>
    <row r="6" spans="1:5">
      <c r="A6" s="20" t="s">
        <v>64</v>
      </c>
      <c r="B6" s="19" t="s">
        <v>188</v>
      </c>
      <c r="C6" s="60"/>
    </row>
    <row r="7" spans="1:5">
      <c r="B7" s="94" t="s">
        <v>193</v>
      </c>
      <c r="C7" s="94"/>
      <c r="D7" s="94"/>
      <c r="E7" s="94"/>
    </row>
    <row r="9" spans="1:5">
      <c r="B9" s="23" t="s">
        <v>56</v>
      </c>
    </row>
    <row r="10" spans="1:5">
      <c r="B10" s="1" t="s">
        <v>62</v>
      </c>
      <c r="C10" s="93">
        <f>Market_Yield!D16</f>
        <v>8.6999999999999994E-2</v>
      </c>
    </row>
    <row r="11" spans="1:5">
      <c r="B11" s="1" t="s">
        <v>52</v>
      </c>
      <c r="C11" s="93">
        <f>Market_Yield!C5</f>
        <v>1.9E-2</v>
      </c>
    </row>
    <row r="12" spans="1:5">
      <c r="C12" s="4"/>
    </row>
    <row r="13" spans="1:5">
      <c r="B13" s="23" t="s">
        <v>57</v>
      </c>
      <c r="C13" s="4"/>
    </row>
    <row r="14" spans="1:5">
      <c r="B14" s="1" t="s">
        <v>190</v>
      </c>
      <c r="C14" s="4" t="s">
        <v>191</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189</v>
      </c>
    </row>
    <row r="23" spans="1:5">
      <c r="A23" s="25" t="s">
        <v>65</v>
      </c>
      <c r="B23" s="19" t="s">
        <v>187</v>
      </c>
      <c r="C23" s="60"/>
    </row>
    <row r="24" spans="1:5">
      <c r="A24" s="18"/>
      <c r="B24" s="94" t="s">
        <v>204</v>
      </c>
      <c r="C24" s="94"/>
      <c r="D24" s="94"/>
      <c r="E24" s="94"/>
    </row>
    <row r="25" spans="1:5">
      <c r="A25" s="18"/>
    </row>
    <row r="26" spans="1:5">
      <c r="A26" s="18"/>
      <c r="B26" s="49" t="s">
        <v>150</v>
      </c>
      <c r="C26" s="49" t="s">
        <v>144</v>
      </c>
    </row>
    <row r="27" spans="1:5">
      <c r="B27" s="26" t="s">
        <v>82</v>
      </c>
      <c r="C27" s="50">
        <v>6</v>
      </c>
    </row>
    <row r="28" spans="1:5">
      <c r="B28" s="26" t="s">
        <v>61</v>
      </c>
      <c r="C28" s="51">
        <v>0.3</v>
      </c>
    </row>
    <row r="30" spans="1:5">
      <c r="B30" s="49" t="s">
        <v>151</v>
      </c>
      <c r="C30" s="49" t="s">
        <v>144</v>
      </c>
    </row>
    <row r="31" spans="1:5">
      <c r="B31" s="26" t="s">
        <v>145</v>
      </c>
      <c r="C31" s="58">
        <f>C27-C32</f>
        <v>5</v>
      </c>
    </row>
    <row r="32" spans="1:5">
      <c r="B32" s="26" t="s">
        <v>143</v>
      </c>
      <c r="C32" s="57">
        <v>1</v>
      </c>
    </row>
    <row r="34" spans="1:5">
      <c r="A34" s="20" t="s">
        <v>66</v>
      </c>
      <c r="B34" s="19" t="s">
        <v>13</v>
      </c>
      <c r="C34" s="60"/>
      <c r="D34" s="22"/>
    </row>
    <row r="35" spans="1:5">
      <c r="B35" s="1" t="s">
        <v>14</v>
      </c>
      <c r="C35" s="47">
        <f>E36+10%</f>
        <v>0.23700000000000002</v>
      </c>
      <c r="D35" s="18" t="s">
        <v>54</v>
      </c>
      <c r="E35" s="91">
        <v>3</v>
      </c>
    </row>
    <row r="36" spans="1:5">
      <c r="B36" s="1" t="s">
        <v>15</v>
      </c>
      <c r="C36" s="48">
        <f>MAX(6%,Market_Yield!C5:D6)</f>
        <v>0.06</v>
      </c>
      <c r="D36" s="1" t="s">
        <v>230</v>
      </c>
      <c r="E36" s="47">
        <f>benchmark+5%</f>
        <v>0.13700000000000001</v>
      </c>
    </row>
    <row r="38" spans="1:5">
      <c r="B38" s="20" t="s">
        <v>83</v>
      </c>
    </row>
    <row r="39" spans="1:5">
      <c r="B39" s="94" t="s">
        <v>152</v>
      </c>
      <c r="C39" s="94"/>
      <c r="D39" s="94"/>
      <c r="E39" s="94"/>
    </row>
    <row r="40" spans="1:5" ht="46.5" customHeight="1">
      <c r="B40" s="94" t="s">
        <v>218</v>
      </c>
      <c r="C40" s="94"/>
      <c r="D40" s="94"/>
      <c r="E40" s="94"/>
    </row>
    <row r="42" spans="1:5">
      <c r="A42" s="21" t="s">
        <v>171</v>
      </c>
      <c r="B42" s="21"/>
      <c r="C42" s="21"/>
      <c r="D42" s="21"/>
      <c r="E42" s="21"/>
    </row>
    <row r="44" spans="1:5">
      <c r="B44" s="94" t="s">
        <v>192</v>
      </c>
      <c r="C44" s="94"/>
      <c r="D44" s="94"/>
      <c r="E44" s="94"/>
    </row>
    <row r="46" spans="1:5">
      <c r="B46" s="23" t="s">
        <v>88</v>
      </c>
    </row>
    <row r="48" spans="1:5">
      <c r="B48" s="49" t="s">
        <v>89</v>
      </c>
      <c r="C48" s="49" t="s">
        <v>183</v>
      </c>
      <c r="D48" s="55"/>
      <c r="E48" s="55"/>
    </row>
    <row r="49" spans="2:5">
      <c r="B49" s="26" t="s">
        <v>85</v>
      </c>
      <c r="C49" s="29">
        <v>0.5</v>
      </c>
      <c r="D49" s="56"/>
      <c r="E49" s="54"/>
    </row>
    <row r="50" spans="2:5">
      <c r="B50" s="26" t="s">
        <v>86</v>
      </c>
      <c r="C50" s="29">
        <v>0.3</v>
      </c>
      <c r="D50" s="56"/>
      <c r="E50" s="54"/>
    </row>
    <row r="51" spans="2:5">
      <c r="B51" s="26" t="s">
        <v>87</v>
      </c>
      <c r="C51" s="29">
        <v>0.2</v>
      </c>
      <c r="D51" s="61" t="s">
        <v>206</v>
      </c>
      <c r="E51" s="54"/>
    </row>
    <row r="53" spans="2:5">
      <c r="B53" s="23" t="s">
        <v>84</v>
      </c>
    </row>
    <row r="55" spans="2:5">
      <c r="B55" s="49" t="s">
        <v>90</v>
      </c>
      <c r="C55" s="49" t="s">
        <v>91</v>
      </c>
      <c r="D55" s="49" t="s">
        <v>92</v>
      </c>
      <c r="E55" s="49" t="s">
        <v>93</v>
      </c>
    </row>
    <row r="56" spans="2:5">
      <c r="B56" s="26" t="s">
        <v>67</v>
      </c>
      <c r="C56" s="26" t="s">
        <v>73</v>
      </c>
      <c r="D56" s="26" t="s">
        <v>74</v>
      </c>
      <c r="E56" s="41">
        <v>1</v>
      </c>
    </row>
    <row r="57" spans="2:5">
      <c r="B57" s="26" t="s">
        <v>68</v>
      </c>
      <c r="C57" s="26" t="s">
        <v>71</v>
      </c>
      <c r="D57" s="26" t="s">
        <v>75</v>
      </c>
      <c r="E57" s="41">
        <v>1</v>
      </c>
    </row>
    <row r="58" spans="2:5">
      <c r="B58" s="26" t="s">
        <v>69</v>
      </c>
      <c r="C58" s="26" t="s">
        <v>234</v>
      </c>
      <c r="D58" s="26" t="s">
        <v>235</v>
      </c>
      <c r="E58" s="41">
        <v>2</v>
      </c>
    </row>
    <row r="59" spans="2:5">
      <c r="B59" s="26" t="s">
        <v>70</v>
      </c>
      <c r="C59" s="26" t="s">
        <v>72</v>
      </c>
      <c r="D59" s="26" t="s">
        <v>76</v>
      </c>
      <c r="E59" s="41">
        <v>1</v>
      </c>
    </row>
    <row r="60" spans="2:5">
      <c r="D60" s="27" t="s">
        <v>77</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-6.54E-2</v>
      </c>
    </row>
    <row r="65" spans="1:5">
      <c r="B65" s="52" t="s">
        <v>158</v>
      </c>
      <c r="C65" s="53">
        <f>C35+C64</f>
        <v>0.17160000000000003</v>
      </c>
    </row>
    <row r="66" spans="1:5">
      <c r="B66" s="45"/>
      <c r="C66" s="46"/>
    </row>
    <row r="67" spans="1:5">
      <c r="B67" s="39" t="s">
        <v>186</v>
      </c>
    </row>
    <row r="69" spans="1:5">
      <c r="A69" s="21" t="s">
        <v>78</v>
      </c>
      <c r="B69" s="21"/>
      <c r="C69" s="21"/>
      <c r="D69" s="21"/>
      <c r="E69" s="21"/>
    </row>
    <row r="71" spans="1:5">
      <c r="B71" s="94" t="s">
        <v>180</v>
      </c>
      <c r="C71" s="94"/>
      <c r="D71" s="94"/>
      <c r="E71" s="94"/>
    </row>
    <row r="73" spans="1:5">
      <c r="A73" s="28" t="s">
        <v>64</v>
      </c>
      <c r="B73" s="20" t="s">
        <v>162</v>
      </c>
    </row>
    <row r="74" spans="1:5">
      <c r="B74" s="24" t="s">
        <v>208</v>
      </c>
    </row>
    <row r="75" spans="1:5">
      <c r="B75" s="24" t="s">
        <v>207</v>
      </c>
    </row>
    <row r="77" spans="1:5">
      <c r="A77" s="28" t="s">
        <v>124</v>
      </c>
      <c r="B77" s="20" t="s">
        <v>161</v>
      </c>
    </row>
    <row r="78" spans="1:5">
      <c r="B78" s="39" t="s">
        <v>163</v>
      </c>
    </row>
    <row r="79" spans="1:5">
      <c r="B79" s="24" t="s">
        <v>164</v>
      </c>
    </row>
    <row r="80" spans="1:5">
      <c r="B80" s="24" t="s">
        <v>165</v>
      </c>
    </row>
    <row r="81" spans="1:5">
      <c r="B81" s="24" t="s">
        <v>172</v>
      </c>
    </row>
    <row r="83" spans="1:5">
      <c r="A83" s="28" t="s">
        <v>142</v>
      </c>
      <c r="B83" s="20" t="s">
        <v>200</v>
      </c>
    </row>
    <row r="84" spans="1:5">
      <c r="B84" s="24" t="s">
        <v>175</v>
      </c>
    </row>
    <row r="85" spans="1:5">
      <c r="B85" s="97" t="s">
        <v>176</v>
      </c>
      <c r="C85" s="97"/>
      <c r="D85" s="97"/>
      <c r="E85" s="97"/>
    </row>
    <row r="86" spans="1:5">
      <c r="B86" s="96" t="s">
        <v>174</v>
      </c>
      <c r="C86" s="96"/>
      <c r="D86" s="96"/>
      <c r="E86" s="96"/>
    </row>
    <row r="87" spans="1:5" ht="24.5" customHeight="1">
      <c r="B87" s="94" t="s">
        <v>173</v>
      </c>
      <c r="C87" s="94"/>
      <c r="D87" s="94"/>
      <c r="E87" s="94"/>
    </row>
    <row r="88" spans="1:5" ht="24.5" customHeight="1">
      <c r="B88" s="94" t="s">
        <v>209</v>
      </c>
      <c r="C88" s="94"/>
      <c r="D88" s="94"/>
      <c r="E88" s="94"/>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5" t="s">
        <v>195</v>
      </c>
      <c r="C97" s="95"/>
      <c r="D97" s="95"/>
      <c r="E97" s="95"/>
    </row>
    <row r="99" spans="1:5">
      <c r="B99" s="24" t="s">
        <v>199</v>
      </c>
    </row>
    <row r="100" spans="1:5" ht="12.4">
      <c r="B100" s="95" t="s">
        <v>196</v>
      </c>
      <c r="C100" s="95"/>
      <c r="D100" s="95"/>
      <c r="E100" s="95"/>
    </row>
    <row r="101" spans="1:5" ht="58.5" customHeight="1">
      <c r="B101" s="94" t="s">
        <v>203</v>
      </c>
      <c r="C101" s="94"/>
      <c r="D101" s="94"/>
      <c r="E101" s="94"/>
    </row>
    <row r="103" spans="1:5">
      <c r="A103" s="28" t="s">
        <v>169</v>
      </c>
      <c r="B103" s="20" t="s">
        <v>168</v>
      </c>
    </row>
    <row r="104" spans="1:5">
      <c r="B104" s="1" t="s">
        <v>184</v>
      </c>
    </row>
    <row r="105" spans="1:5">
      <c r="B105" s="1" t="s">
        <v>185</v>
      </c>
    </row>
    <row r="107" spans="1:5">
      <c r="B107" s="1" t="s">
        <v>170</v>
      </c>
    </row>
    <row r="108" spans="1:5">
      <c r="B108" s="1" t="s">
        <v>197</v>
      </c>
    </row>
    <row r="110" spans="1:5">
      <c r="B110" s="23" t="s">
        <v>153</v>
      </c>
    </row>
    <row r="111" spans="1:5">
      <c r="B111" s="1" t="s">
        <v>159</v>
      </c>
      <c r="C111" s="44">
        <v>0.71574086211718391</v>
      </c>
    </row>
    <row r="112" spans="1:5">
      <c r="B112" s="1" t="s">
        <v>160</v>
      </c>
      <c r="C112" s="44">
        <v>7.7433649781433134E-2</v>
      </c>
      <c r="D112" s="60" t="str">
        <f>IF(C112&lt;benchmark,"Warning: Return is lower than the Benchmark.","")</f>
        <v>Warning: Return is lower than the Benchmark.</v>
      </c>
    </row>
    <row r="114" spans="1:5" ht="24.5" customHeight="1">
      <c r="B114" s="94" t="s">
        <v>201</v>
      </c>
      <c r="C114" s="94"/>
      <c r="D114" s="94"/>
      <c r="E114" s="94"/>
    </row>
    <row r="116" spans="1:5">
      <c r="A116" s="21" t="s">
        <v>79</v>
      </c>
      <c r="B116" s="21"/>
      <c r="C116" s="21"/>
      <c r="D116" s="21"/>
      <c r="E116" s="21"/>
    </row>
    <row r="118" spans="1:5">
      <c r="B118" s="20" t="s">
        <v>80</v>
      </c>
    </row>
    <row r="119" spans="1:5">
      <c r="B119" s="24" t="s">
        <v>94</v>
      </c>
    </row>
    <row r="120" spans="1:5">
      <c r="B120" s="24" t="s">
        <v>95</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I2" sqref="I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796875" style="3" bestFit="1" customWidth="1"/>
    <col min="24" max="24" width="8.796875" style="11"/>
    <col min="25" max="16384" width="8.796875" style="1"/>
  </cols>
  <sheetData>
    <row r="1" spans="1:24">
      <c r="A1" s="5"/>
      <c r="B1" s="6" t="s">
        <v>3</v>
      </c>
      <c r="C1" s="11"/>
      <c r="D1" s="100" t="s">
        <v>1</v>
      </c>
      <c r="E1" s="100"/>
      <c r="F1" s="100"/>
      <c r="G1" s="101" t="s">
        <v>97</v>
      </c>
      <c r="H1" s="101"/>
      <c r="I1" s="101"/>
      <c r="J1" s="104" t="s">
        <v>4</v>
      </c>
      <c r="K1" s="104"/>
      <c r="L1" s="104"/>
      <c r="M1" s="103" t="s">
        <v>232</v>
      </c>
      <c r="N1" s="103"/>
      <c r="O1" s="98" t="s">
        <v>8</v>
      </c>
      <c r="P1" s="98"/>
      <c r="Q1" s="102" t="s">
        <v>229</v>
      </c>
      <c r="R1" s="102"/>
      <c r="S1" s="102"/>
      <c r="T1" s="102"/>
      <c r="U1" s="99" t="s">
        <v>51</v>
      </c>
      <c r="V1" s="99"/>
      <c r="W1" s="99"/>
      <c r="X1" s="99"/>
    </row>
    <row r="2" spans="1:24" ht="26" customHeight="1">
      <c r="B2" s="7" t="s">
        <v>2</v>
      </c>
      <c r="C2" s="7" t="s">
        <v>0</v>
      </c>
      <c r="D2" s="8" t="s">
        <v>1</v>
      </c>
      <c r="E2" s="7" t="s">
        <v>248</v>
      </c>
      <c r="F2" s="7" t="s">
        <v>247</v>
      </c>
      <c r="G2" s="7" t="s">
        <v>59</v>
      </c>
      <c r="H2" s="7" t="s">
        <v>60</v>
      </c>
      <c r="I2" s="7" t="s">
        <v>198</v>
      </c>
      <c r="J2" s="8" t="s">
        <v>7</v>
      </c>
      <c r="K2" s="8" t="s">
        <v>10</v>
      </c>
      <c r="L2" s="8" t="s">
        <v>246</v>
      </c>
      <c r="M2" s="8" t="s">
        <v>231</v>
      </c>
      <c r="N2" s="8" t="s">
        <v>245</v>
      </c>
      <c r="O2" s="7" t="s">
        <v>11</v>
      </c>
      <c r="P2" s="7" t="s">
        <v>6</v>
      </c>
      <c r="Q2" s="7" t="s">
        <v>226</v>
      </c>
      <c r="R2" s="7" t="s">
        <v>225</v>
      </c>
      <c r="S2" s="7" t="s">
        <v>228</v>
      </c>
      <c r="T2" s="7" t="s">
        <v>227</v>
      </c>
      <c r="U2" s="7" t="s">
        <v>5</v>
      </c>
      <c r="V2" s="7" t="s">
        <v>12</v>
      </c>
      <c r="W2" s="9" t="s">
        <v>9</v>
      </c>
      <c r="X2" s="10" t="s">
        <v>50</v>
      </c>
    </row>
    <row r="3" spans="1:24">
      <c r="B3" s="11" t="s">
        <v>238</v>
      </c>
      <c r="C3" s="11" t="s">
        <v>239</v>
      </c>
      <c r="D3" s="2">
        <v>68.31</v>
      </c>
      <c r="E3" s="12" t="s">
        <v>240</v>
      </c>
      <c r="F3" s="15">
        <v>0.24557216589977915</v>
      </c>
      <c r="G3" s="15">
        <f>F3 - Portfolio_Mgmt!$C$10</f>
        <v>0.15857216589977915</v>
      </c>
      <c r="H3" s="15">
        <f>F3 - Portfolio_Mgmt!$C$11</f>
        <v>0.22657216589977916</v>
      </c>
      <c r="I3" s="15">
        <v>0</v>
      </c>
      <c r="J3" s="2">
        <v>69.666696764969942</v>
      </c>
      <c r="K3" s="2">
        <v>114.36041665330859</v>
      </c>
      <c r="L3" s="85">
        <v>108.44069756687449</v>
      </c>
      <c r="M3" s="2">
        <v>88.645807274031327</v>
      </c>
      <c r="N3" s="2">
        <v>100.86650294928437</v>
      </c>
      <c r="O3" s="4">
        <v>7.6856328396378931E-2</v>
      </c>
      <c r="P3" s="4">
        <v>6.8028107158541948E-2</v>
      </c>
      <c r="Q3" s="15">
        <v>0.30279158651211824</v>
      </c>
      <c r="R3" s="15">
        <v>7.7640983998987034E-4</v>
      </c>
      <c r="S3" s="90">
        <v>3.8209153156820415E-3</v>
      </c>
      <c r="T3" s="85">
        <v>15.284602440692964</v>
      </c>
      <c r="U3" s="13" t="s">
        <v>236</v>
      </c>
      <c r="V3" s="11" t="s">
        <v>155</v>
      </c>
      <c r="W3" s="14">
        <v>45900</v>
      </c>
      <c r="X3" s="11" t="s">
        <v>237</v>
      </c>
    </row>
    <row r="4" spans="1:24">
      <c r="B4" s="11" t="s">
        <v>253</v>
      </c>
      <c r="C4" s="11" t="s">
        <v>254</v>
      </c>
      <c r="D4" s="2">
        <v>23.32</v>
      </c>
      <c r="E4" s="12" t="s">
        <v>240</v>
      </c>
      <c r="F4" s="15">
        <v>0.22456471892742469</v>
      </c>
      <c r="G4" s="15">
        <f>F4 - Portfolio_Mgmt!$C$10</f>
        <v>0.1375647189274247</v>
      </c>
      <c r="H4" s="15">
        <f>F4 - Portfolio_Mgmt!$C$11</f>
        <v>0.2055647189274247</v>
      </c>
      <c r="I4" s="15">
        <v>0.28425913788281604</v>
      </c>
      <c r="J4" s="2">
        <v>15.851567895209742</v>
      </c>
      <c r="K4" s="2">
        <v>38.875102304455524</v>
      </c>
      <c r="L4" s="85">
        <v>35.473678191103666</v>
      </c>
      <c r="M4" s="2">
        <v>23.573562492265612</v>
      </c>
      <c r="N4" s="2">
        <v>30.216471096351924</v>
      </c>
      <c r="O4" s="4">
        <v>5.6786488926852473E-2</v>
      </c>
      <c r="P4" s="4">
        <v>4.5454545454545456E-2</v>
      </c>
      <c r="Q4" s="15">
        <v>0.75572683404914875</v>
      </c>
      <c r="R4" s="15">
        <v>0.3857437197038544</v>
      </c>
      <c r="S4" s="90">
        <v>2.3913910654887354</v>
      </c>
      <c r="T4" s="85">
        <v>3.5427832354191278</v>
      </c>
      <c r="U4" s="13" t="s">
        <v>255</v>
      </c>
      <c r="V4" s="11" t="s">
        <v>155</v>
      </c>
      <c r="W4" s="14">
        <v>45900</v>
      </c>
      <c r="X4" s="11" t="s">
        <v>256</v>
      </c>
    </row>
    <row r="5" spans="1:24">
      <c r="B5" s="11" t="s">
        <v>242</v>
      </c>
      <c r="C5" s="11" t="s">
        <v>243</v>
      </c>
      <c r="D5" s="2">
        <v>56.86</v>
      </c>
      <c r="E5" s="12" t="s">
        <v>240</v>
      </c>
      <c r="F5" s="15">
        <v>0.19201956038874379</v>
      </c>
      <c r="G5" s="15">
        <f>F5 - Portfolio_Mgmt!$C$10</f>
        <v>0.1050195603887438</v>
      </c>
      <c r="H5" s="15">
        <f>F5 - Portfolio_Mgmt!$C$11</f>
        <v>0.1730195603887438</v>
      </c>
      <c r="I5" s="15">
        <v>0</v>
      </c>
      <c r="J5" s="2">
        <v>51.075660805659325</v>
      </c>
      <c r="K5" s="2">
        <v>87.635778317517335</v>
      </c>
      <c r="L5" s="85">
        <v>79.995918037639569</v>
      </c>
      <c r="M5" s="2">
        <v>65.221195836957349</v>
      </c>
      <c r="N5" s="2">
        <v>74.340476830385043</v>
      </c>
      <c r="O5" s="4">
        <v>8.081439043489845E-2</v>
      </c>
      <c r="P5" s="4">
        <v>4.2208934224410834E-2</v>
      </c>
      <c r="Q5" s="15">
        <v>3.4701988818540461</v>
      </c>
      <c r="R5" s="15">
        <v>5.0341856510546588E-2</v>
      </c>
      <c r="S5" s="90">
        <v>3.9546057100127742E-2</v>
      </c>
      <c r="T5" s="85">
        <v>-13.312996389940134</v>
      </c>
      <c r="U5" s="13" t="s">
        <v>236</v>
      </c>
      <c r="V5" s="11" t="s">
        <v>155</v>
      </c>
      <c r="W5" s="14">
        <v>45900</v>
      </c>
      <c r="X5" s="11" t="s">
        <v>237</v>
      </c>
    </row>
    <row r="6" spans="1:24">
      <c r="B6" s="11" t="s">
        <v>249</v>
      </c>
      <c r="C6" s="11" t="s">
        <v>250</v>
      </c>
      <c r="D6" s="2">
        <v>22.7</v>
      </c>
      <c r="E6" s="12" t="s">
        <v>240</v>
      </c>
      <c r="F6" s="15">
        <v>0.10231184063464993</v>
      </c>
      <c r="G6" s="15">
        <f>F6 - Portfolio_Mgmt!$C$10</f>
        <v>1.5311840634649937E-2</v>
      </c>
      <c r="H6" s="15">
        <f>F6 - Portfolio_Mgmt!$C$11</f>
        <v>8.3311840634649928E-2</v>
      </c>
      <c r="I6" s="15">
        <v>0</v>
      </c>
      <c r="J6" s="2">
        <v>16.315003955335072</v>
      </c>
      <c r="K6" s="2">
        <v>26.888151196428591</v>
      </c>
      <c r="L6" s="85">
        <v>25.409202896038835</v>
      </c>
      <c r="M6" s="2">
        <v>20.766144541233739</v>
      </c>
      <c r="N6" s="2">
        <v>23.632551844105855</v>
      </c>
      <c r="O6" s="4">
        <v>0.24323199616686514</v>
      </c>
      <c r="P6" s="4">
        <v>4.6696035242290754E-2</v>
      </c>
      <c r="Q6" s="15">
        <v>10.758917470801054</v>
      </c>
      <c r="R6" s="15">
        <v>10.649677544255834</v>
      </c>
      <c r="S6" s="90">
        <v>1577.3702399204408</v>
      </c>
      <c r="T6" s="85">
        <v>-92.956751979911445</v>
      </c>
      <c r="U6" s="13" t="s">
        <v>251</v>
      </c>
      <c r="V6" s="11" t="s">
        <v>155</v>
      </c>
      <c r="W6" s="14">
        <v>45900</v>
      </c>
      <c r="X6" s="11" t="s">
        <v>237</v>
      </c>
    </row>
    <row r="7" spans="1:24">
      <c r="B7" s="11"/>
      <c r="C7" s="11"/>
      <c r="E7" s="12"/>
      <c r="L7" s="85"/>
      <c r="O7" s="4"/>
      <c r="P7" s="4"/>
      <c r="U7" s="13"/>
      <c r="V7" s="11"/>
      <c r="W7" s="14"/>
    </row>
    <row r="8" spans="1:24">
      <c r="B8" s="11"/>
      <c r="C8" s="11"/>
      <c r="E8" s="12"/>
      <c r="L8" s="85"/>
      <c r="O8" s="4"/>
      <c r="P8" s="4"/>
      <c r="U8" s="13"/>
      <c r="V8" s="11"/>
      <c r="W8" s="14"/>
    </row>
    <row r="9" spans="1:24">
      <c r="B9" s="11"/>
      <c r="C9" s="11"/>
      <c r="E9" s="12"/>
      <c r="L9" s="85"/>
      <c r="O9" s="4"/>
      <c r="P9" s="4"/>
      <c r="U9" s="13"/>
      <c r="V9" s="11"/>
      <c r="W9" s="14"/>
    </row>
    <row r="10" spans="1:24">
      <c r="B10" s="11"/>
      <c r="C10" s="11"/>
      <c r="E10" s="12"/>
      <c r="L10" s="85"/>
      <c r="O10" s="4"/>
      <c r="P10" s="4"/>
      <c r="U10" s="16"/>
      <c r="V10" s="11"/>
      <c r="W10" s="14"/>
    </row>
    <row r="11" spans="1:24">
      <c r="B11" s="11"/>
      <c r="C11" s="11"/>
      <c r="E11" s="12"/>
      <c r="L11" s="85"/>
      <c r="O11" s="4"/>
      <c r="P11" s="4"/>
      <c r="U11" s="13"/>
      <c r="V11" s="11"/>
      <c r="W11" s="14"/>
    </row>
    <row r="12" spans="1:24">
      <c r="B12" s="11"/>
      <c r="C12" s="11"/>
      <c r="E12" s="12"/>
      <c r="L12" s="85"/>
      <c r="O12" s="4"/>
      <c r="P12" s="4"/>
      <c r="U12" s="13"/>
      <c r="V12" s="11"/>
      <c r="W12" s="14"/>
    </row>
    <row r="13" spans="1:24">
      <c r="B13" s="11"/>
      <c r="C13" s="11"/>
      <c r="E13" s="12"/>
      <c r="O13" s="4"/>
      <c r="P13" s="4"/>
      <c r="U13" s="13"/>
      <c r="V13" s="11"/>
      <c r="W13" s="14"/>
    </row>
    <row r="14" spans="1:24">
      <c r="B14" s="11"/>
      <c r="C14" s="11"/>
      <c r="E14" s="12"/>
      <c r="O14" s="4"/>
      <c r="P14" s="4"/>
      <c r="U14" s="13"/>
      <c r="V14" s="11"/>
      <c r="W14" s="14"/>
    </row>
    <row r="15" spans="1:24">
      <c r="B15" s="11"/>
      <c r="C15" s="11"/>
      <c r="E15" s="12"/>
      <c r="O15" s="4"/>
      <c r="P15" s="4"/>
      <c r="U15" s="13"/>
      <c r="V15" s="11"/>
      <c r="W15" s="14"/>
    </row>
    <row r="16" spans="1:24">
      <c r="B16" s="11"/>
      <c r="C16" s="11"/>
      <c r="E16" s="12"/>
      <c r="O16" s="4"/>
      <c r="P16" s="4"/>
      <c r="U16" s="13"/>
      <c r="V16" s="11"/>
      <c r="W16" s="14"/>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5" sqref="C5:D6"/>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4.4500000000000005E-2</v>
      </c>
      <c r="D4" s="34">
        <v>7.4999999999999997E-2</v>
      </c>
      <c r="E4" s="35">
        <f>D4-C4</f>
        <v>3.0499999999999992E-2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c r="D9" s="28" t="s">
        <v>252</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c r="D16" s="92">
        <v>8.6999999999999994E-2</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217</v>
      </c>
      <c r="G2" s="65" t="s">
        <v>224</v>
      </c>
      <c r="H2" s="65" t="s">
        <v>198</v>
      </c>
    </row>
    <row r="3" spans="1:8">
      <c r="B3" s="76" t="s">
        <v>28</v>
      </c>
      <c r="C3" s="74" t="s">
        <v>216</v>
      </c>
      <c r="D3" s="73" t="s">
        <v>214</v>
      </c>
      <c r="E3" s="75" t="s">
        <v>216</v>
      </c>
      <c r="F3" s="70">
        <v>241805.8</v>
      </c>
      <c r="G3" s="72" t="e">
        <f t="shared" ref="G3:G9" si="0">F3/$F$11</f>
        <v>#N/A</v>
      </c>
      <c r="H3" s="89">
        <f>Portfolio_Mgmt!E61</f>
        <v>0.3</v>
      </c>
    </row>
    <row r="4" spans="1:8">
      <c r="B4" s="77" t="s">
        <v>215</v>
      </c>
      <c r="C4" s="74" t="e">
        <f>VLOOKUP(B4,Opportunities!B$3:E$30,3,FALSE)</f>
        <v>#N/A</v>
      </c>
      <c r="D4" s="73" t="e">
        <f>VLOOKUP(B4,Opportunities!B$3:E$30,4,FALSE)</f>
        <v>#N/A</v>
      </c>
      <c r="E4" s="70">
        <v>10000</v>
      </c>
      <c r="F4" s="75" t="e">
        <f>C4*E4</f>
        <v>#N/A</v>
      </c>
      <c r="G4" s="72" t="e">
        <f t="shared" si="0"/>
        <v>#N/A</v>
      </c>
      <c r="H4" s="72" t="e">
        <f>VLOOKUP(B4,Opportunities!B$3:I$30,8,FALSE)</f>
        <v>#N/A</v>
      </c>
    </row>
    <row r="5" spans="1:8">
      <c r="B5" s="77" t="s">
        <v>233</v>
      </c>
      <c r="C5" s="74" t="e">
        <f>VLOOKUP(B5,Opportunities!B$3:E$30,3,FALSE)</f>
        <v>#N/A</v>
      </c>
      <c r="D5" s="73" t="e">
        <f>VLOOKUP(B5,Opportunities!B$3:E$30,4,FALSE)</f>
        <v>#N/A</v>
      </c>
      <c r="E5" s="70">
        <v>60000</v>
      </c>
      <c r="F5" s="75" t="e">
        <f>E5*C5</f>
        <v>#N/A</v>
      </c>
      <c r="G5" s="72" t="e">
        <f t="shared" si="0"/>
        <v>#N/A</v>
      </c>
      <c r="H5" s="72" t="e">
        <f>VLOOKUP(B5,Opportunities!B$3:I$30,8,FALSE)</f>
        <v>#N/A</v>
      </c>
    </row>
    <row r="6" spans="1:8">
      <c r="B6" s="77" t="s">
        <v>219</v>
      </c>
      <c r="C6" s="74" t="e">
        <f>VLOOKUP(B6,Opportunities!B$3:E$30,3,FALSE)</f>
        <v>#N/A</v>
      </c>
      <c r="D6" s="73" t="e">
        <f>VLOOKUP(B6,Opportunities!B$3:E$30,4,FALSE)</f>
        <v>#N/A</v>
      </c>
      <c r="E6" s="70">
        <v>18000</v>
      </c>
      <c r="F6" s="75" t="e">
        <f>E6*C6</f>
        <v>#N/A</v>
      </c>
      <c r="G6" s="72" t="e">
        <f t="shared" si="0"/>
        <v>#N/A</v>
      </c>
      <c r="H6" s="72" t="e">
        <f>VLOOKUP(B6,Opportunities!B$3:I$30,8,FALSE)</f>
        <v>#N/A</v>
      </c>
    </row>
    <row r="7" spans="1:8">
      <c r="B7" s="77" t="s">
        <v>220</v>
      </c>
      <c r="C7" s="74" t="e">
        <f>VLOOKUP(B7,Opportunities!B$3:E$30,3,FALSE)</f>
        <v>#N/A</v>
      </c>
      <c r="D7" s="73" t="e">
        <f>VLOOKUP(B7,Opportunities!B$3:E$30,4,FALSE)</f>
        <v>#N/A</v>
      </c>
      <c r="E7" s="70">
        <v>6000</v>
      </c>
      <c r="F7" s="75" t="e">
        <f>C7*E7</f>
        <v>#N/A</v>
      </c>
      <c r="G7" s="72" t="e">
        <f t="shared" si="0"/>
        <v>#N/A</v>
      </c>
      <c r="H7" s="72" t="e">
        <f>VLOOKUP(B7,Opportunities!B$3:I$30,8,FALSE)</f>
        <v>#N/A</v>
      </c>
    </row>
    <row r="8" spans="1:8">
      <c r="B8" s="77" t="s">
        <v>244</v>
      </c>
      <c r="C8" s="74" t="e">
        <f>VLOOKUP(B8,Opportunities!B$3:E$30,3,FALSE)</f>
        <v>#N/A</v>
      </c>
      <c r="D8" s="73" t="e">
        <f>VLOOKUP(B8,Opportunities!B$3:E$30,4,FALSE)</f>
        <v>#N/A</v>
      </c>
      <c r="E8" s="70">
        <v>3000</v>
      </c>
      <c r="F8" s="75" t="e">
        <f>C8*E8</f>
        <v>#N/A</v>
      </c>
      <c r="G8" s="72" t="e">
        <f t="shared" si="0"/>
        <v>#N/A</v>
      </c>
      <c r="H8" s="72" t="e">
        <f>VLOOKUP(B8,Opportunities!B$3:I$30,8,FALSE)</f>
        <v>#N/A</v>
      </c>
    </row>
    <row r="9" spans="1:8">
      <c r="B9" s="77" t="s">
        <v>241</v>
      </c>
      <c r="C9" s="74" t="e">
        <f>VLOOKUP(B9,Opportunities!B$3:E$30,3,FALSE)</f>
        <v>#N/A</v>
      </c>
      <c r="D9" s="73" t="e">
        <f>VLOOKUP(B9,Opportunities!B$3:E$30,4,FALSE)</f>
        <v>#N/A</v>
      </c>
      <c r="E9" s="70">
        <f>2000*30</f>
        <v>60000</v>
      </c>
      <c r="F9" s="75" t="e">
        <f>C9*E9</f>
        <v>#N/A</v>
      </c>
      <c r="G9" s="72" t="e">
        <f t="shared" si="0"/>
        <v>#N/A</v>
      </c>
      <c r="H9" s="72" t="e">
        <f>VLOOKUP(B9,Opportunities!B$3:I$30,8,FALSE)</f>
        <v>#N/A</v>
      </c>
    </row>
    <row r="10" spans="1:8">
      <c r="B10" s="66"/>
      <c r="C10" s="69"/>
      <c r="D10" s="66"/>
      <c r="H10" s="88"/>
    </row>
    <row r="11" spans="1:8" ht="13.15">
      <c r="B11" s="78"/>
      <c r="C11" s="79"/>
      <c r="D11" s="78"/>
      <c r="E11" s="80" t="s">
        <v>223</v>
      </c>
      <c r="F11" s="80" t="e">
        <f>SUM(F3:F9)</f>
        <v>#N/A</v>
      </c>
      <c r="G11" s="81" t="e">
        <f>SUM(G3:G9)</f>
        <v>#N/A</v>
      </c>
      <c r="H11" s="87" t="e">
        <f>SUM(H3:H9)</f>
        <v>#N/A</v>
      </c>
    </row>
    <row r="12" spans="1:8">
      <c r="B12" s="66"/>
      <c r="C12" s="69"/>
      <c r="D12" s="66"/>
      <c r="E12" s="70"/>
      <c r="F12" s="70"/>
    </row>
    <row r="13" spans="1:8" ht="13.15">
      <c r="A13" s="62"/>
      <c r="B13" s="63" t="s">
        <v>221</v>
      </c>
    </row>
    <row r="14" spans="1:8">
      <c r="B14" s="77" t="s">
        <v>233</v>
      </c>
      <c r="C14" s="74" t="e">
        <f>VLOOKUP(B14,Opportunities!B$3:E$30,3,FALSE)</f>
        <v>#N/A</v>
      </c>
      <c r="D14" s="73" t="e">
        <f>VLOOKUP(B14,Opportunities!B$3:E$30,4,FALSE)</f>
        <v>#N/A</v>
      </c>
      <c r="E14" s="70">
        <f>60000-E5</f>
        <v>0</v>
      </c>
      <c r="F14" s="75" t="e">
        <f>-C14*E14</f>
        <v>#N/A</v>
      </c>
      <c r="G14" s="72" t="e">
        <f>-F14/$F$11</f>
        <v>#N/A</v>
      </c>
      <c r="H14" s="72" t="e">
        <f>VLOOKUP(B14,Opportunities!B$3:I$30,8,FALSE)</f>
        <v>#N/A</v>
      </c>
    </row>
    <row r="15" spans="1:8">
      <c r="G15" s="86"/>
      <c r="H15" s="86"/>
    </row>
    <row r="16" spans="1:8" ht="13.15">
      <c r="B16" s="82" t="s">
        <v>222</v>
      </c>
      <c r="C16" s="83" t="s">
        <v>216</v>
      </c>
      <c r="D16" s="84" t="s">
        <v>154</v>
      </c>
      <c r="E16" s="83" t="s">
        <v>216</v>
      </c>
      <c r="F16" s="80" t="e">
        <f>F3+SUM(F14:F14)</f>
        <v>#N/A</v>
      </c>
      <c r="G16" s="87" t="e">
        <f t="shared" ref="G16" si="1">F16/$F$11</f>
        <v>#N/A</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98</v>
      </c>
    </row>
    <row r="2" spans="1:4">
      <c r="A2" s="5"/>
      <c r="B2" s="6" t="s">
        <v>99</v>
      </c>
    </row>
    <row r="3" spans="1:4">
      <c r="B3" s="105" t="s">
        <v>100</v>
      </c>
      <c r="C3" s="105"/>
      <c r="D3" s="105"/>
    </row>
    <row r="5" spans="1:4">
      <c r="B5" s="106" t="s">
        <v>102</v>
      </c>
      <c r="C5" s="95"/>
      <c r="D5" s="95"/>
    </row>
    <row r="6" spans="1:4">
      <c r="B6" s="106" t="s">
        <v>103</v>
      </c>
      <c r="C6" s="95"/>
      <c r="D6" s="95"/>
    </row>
    <row r="8" spans="1:4">
      <c r="B8" s="1" t="s">
        <v>101</v>
      </c>
    </row>
    <row r="10" spans="1:4">
      <c r="A10" s="5"/>
      <c r="B10" s="6" t="s">
        <v>104</v>
      </c>
    </row>
    <row r="11" spans="1:4">
      <c r="B11" s="105" t="s">
        <v>105</v>
      </c>
      <c r="C11" s="105"/>
      <c r="D11" s="105"/>
    </row>
    <row r="12" spans="1:4">
      <c r="B12" s="105" t="s">
        <v>106</v>
      </c>
      <c r="C12" s="105"/>
      <c r="D12" s="105"/>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5" t="s">
        <v>118</v>
      </c>
      <c r="C28" s="105"/>
      <c r="D28" s="105"/>
    </row>
    <row r="29" spans="1:4">
      <c r="B29" s="105" t="s">
        <v>119</v>
      </c>
      <c r="C29" s="105"/>
      <c r="D29" s="105"/>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2025-05-20T03:37:14Z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