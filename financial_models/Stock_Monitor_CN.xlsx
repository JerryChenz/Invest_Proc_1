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\PycharmProjects\Invest_Proc\financial_models\"/>
    </mc:Choice>
  </mc:AlternateContent>
  <xr:revisionPtr revIDLastSave="0" documentId="13_ncr:1_{29ED0343-C3D8-4D74-88FC-EDECF2A8986C}" xr6:coauthVersionLast="47" xr6:coauthVersionMax="47" xr10:uidLastSave="{00000000-0000-0000-0000-000000000000}"/>
  <bookViews>
    <workbookView xWindow="368" yWindow="368" windowWidth="12689" windowHeight="7642" activeTab="1" xr2:uid="{00000000-000D-0000-FFFF-FFFF00000000}"/>
  </bookViews>
  <sheets>
    <sheet name="Portfolio_Mgmt" sheetId="5" r:id="rId1"/>
    <sheet name="Opportunities" sheetId="1" r:id="rId2"/>
    <sheet name="投资组合管理" sheetId="10" r:id="rId3"/>
    <sheet name="Aux&gt;" sheetId="11" r:id="rId4"/>
    <sheet name="Market_Yield" sheetId="2" r:id="rId5"/>
    <sheet name="Holdings" sheetId="7" r:id="rId6"/>
    <sheet name="Comp_Group" sheetId="6" r:id="rId7"/>
  </sheets>
  <definedNames>
    <definedName name="_xlnm._FilterDatabase" localSheetId="1" hidden="1">Opportunities!$B$2:$Y$2</definedName>
    <definedName name="AuraStyleDefaultsReset" hidden="1">#N/A</definedName>
    <definedName name="benchmark">Portfolio_Mgmt!$C$10</definedName>
    <definedName name="Cash_Yield">Portfolio_Mgmt!$C$11</definedName>
    <definedName name="WW3f877d8e32714ec8a8180854ed7f8276_634328481945590045" hidden="1">#REF!</definedName>
    <definedName name="WW3f877d8e32714ec8a8180854ed7f8276_634328482352282765" hidden="1">#REF!</definedName>
  </definedNames>
  <calcPr calcId="191029"/>
</workbook>
</file>

<file path=xl/calcChain.xml><?xml version="1.0" encoding="utf-8"?>
<calcChain xmlns="http://schemas.openxmlformats.org/spreadsheetml/2006/main">
  <c r="M9" i="7" l="1"/>
  <c r="L9" i="7"/>
  <c r="K9" i="7"/>
  <c r="J9" i="7"/>
  <c r="M4" i="7"/>
  <c r="L4" i="7"/>
  <c r="K4" i="7"/>
  <c r="J4" i="7"/>
  <c r="I9" i="7"/>
  <c r="I4" i="7"/>
  <c r="C11" i="5" l="1"/>
  <c r="C10" i="5"/>
  <c r="C19" i="11" l="1"/>
  <c r="E32" i="10"/>
  <c r="C7" i="11"/>
  <c r="C10" i="11"/>
  <c r="C16" i="2"/>
  <c r="C9" i="11"/>
  <c r="C9" i="7"/>
  <c r="C4" i="7"/>
  <c r="E64" i="10"/>
  <c r="E63" i="10"/>
  <c r="E62" i="10"/>
  <c r="E61" i="10"/>
  <c r="E60" i="10"/>
  <c r="C55" i="10"/>
  <c r="C54" i="10"/>
  <c r="C53" i="10"/>
  <c r="C28" i="10"/>
  <c r="C27" i="10"/>
  <c r="B80" i="10"/>
  <c r="B83" i="10"/>
  <c r="B90" i="5"/>
  <c r="B87" i="5"/>
  <c r="D18" i="11" l="1"/>
  <c r="E18" i="11" s="1"/>
  <c r="C23" i="11" s="1"/>
  <c r="D23" i="11" s="1"/>
  <c r="C33" i="10"/>
  <c r="C34" i="10" s="1"/>
  <c r="E34" i="10" s="1"/>
  <c r="D19" i="11"/>
  <c r="E19" i="11" s="1"/>
  <c r="C24" i="11" s="1"/>
  <c r="D24" i="11" s="1"/>
  <c r="E65" i="10"/>
  <c r="E66" i="10" s="1"/>
  <c r="F15" i="7"/>
  <c r="C16" i="7" s="1"/>
  <c r="F16" i="7" s="1"/>
  <c r="F18" i="7" s="1"/>
  <c r="D9" i="7"/>
  <c r="E9" i="7"/>
  <c r="E4" i="7"/>
  <c r="D4" i="7"/>
  <c r="C32" i="10" l="1"/>
  <c r="G9" i="7"/>
  <c r="G11" i="7" s="1"/>
  <c r="G4" i="7"/>
  <c r="E33" i="10" l="1"/>
  <c r="G6" i="7"/>
  <c r="E72" i="5" l="1"/>
  <c r="E73" i="5" s="1"/>
  <c r="H9" i="7" l="1"/>
  <c r="H4" i="7"/>
  <c r="H11" i="7"/>
  <c r="E6" i="2"/>
  <c r="E5" i="2"/>
  <c r="E4" i="2"/>
  <c r="C11" i="10" l="1"/>
  <c r="C10" i="10"/>
  <c r="I11" i="7"/>
  <c r="I3" i="7"/>
  <c r="I6" i="7" s="1"/>
  <c r="H3" i="7" l="1"/>
  <c r="H6" i="7" l="1"/>
</calcChain>
</file>

<file path=xl/sharedStrings.xml><?xml version="1.0" encoding="utf-8"?>
<sst xmlns="http://schemas.openxmlformats.org/spreadsheetml/2006/main" count="408" uniqueCount="359">
  <si>
    <t>Name</t>
  </si>
  <si>
    <t>Price</t>
  </si>
  <si>
    <t>Symbol</t>
  </si>
  <si>
    <t>Stock Monitor</t>
  </si>
  <si>
    <t>Valuation</t>
  </si>
  <si>
    <t>Comp Group</t>
  </si>
  <si>
    <t>Dividend Yield</t>
    <phoneticPr fontId="2" type="noConversion"/>
  </si>
  <si>
    <t>Target Price</t>
    <phoneticPr fontId="2" type="noConversion"/>
  </si>
  <si>
    <t>Yield</t>
    <phoneticPr fontId="2" type="noConversion"/>
  </si>
  <si>
    <t>Update 
Required After</t>
    <phoneticPr fontId="2" type="noConversion"/>
  </si>
  <si>
    <t>Equity Value</t>
    <phoneticPr fontId="2" type="noConversion"/>
  </si>
  <si>
    <t>FCFE
 Yield</t>
    <phoneticPr fontId="2" type="noConversion"/>
  </si>
  <si>
    <t>Valuation Model Assumptions</t>
    <phoneticPr fontId="2" type="noConversion"/>
  </si>
  <si>
    <t>Market Yields:</t>
    <phoneticPr fontId="2" type="noConversion"/>
  </si>
  <si>
    <t>Riskfree rate</t>
    <phoneticPr fontId="2" type="noConversion"/>
  </si>
  <si>
    <t>Prime Rate</t>
    <phoneticPr fontId="2" type="noConversion"/>
  </si>
  <si>
    <t>Risk Premium</t>
    <phoneticPr fontId="2" type="noConversion"/>
  </si>
  <si>
    <t>US</t>
  </si>
  <si>
    <t>China</t>
    <phoneticPr fontId="2" type="noConversion"/>
  </si>
  <si>
    <t>HK</t>
    <phoneticPr fontId="2" type="noConversion"/>
  </si>
  <si>
    <t>Benchmarket Return:</t>
    <phoneticPr fontId="2" type="noConversion"/>
  </si>
  <si>
    <t>US (1928-2024)</t>
    <phoneticPr fontId="2" type="noConversion"/>
  </si>
  <si>
    <t>Stocks</t>
    <phoneticPr fontId="2" type="noConversion"/>
  </si>
  <si>
    <t>Small caps</t>
    <phoneticPr fontId="2" type="noConversion"/>
  </si>
  <si>
    <t>Bonds</t>
    <phoneticPr fontId="2" type="noConversion"/>
  </si>
  <si>
    <t>Cash</t>
    <phoneticPr fontId="2" type="noConversion"/>
  </si>
  <si>
    <t>Real estate</t>
    <phoneticPr fontId="2" type="noConversion"/>
  </si>
  <si>
    <t>Gold</t>
    <phoneticPr fontId="2" type="noConversion"/>
  </si>
  <si>
    <t>Notes</t>
    <phoneticPr fontId="2" type="noConversion"/>
  </si>
  <si>
    <t>US 10Y Treasury yield</t>
    <phoneticPr fontId="2" type="noConversion"/>
  </si>
  <si>
    <t>https://fred.stlouisfed.org/series/DGS10</t>
  </si>
  <si>
    <t>US Fed Fund Rate</t>
    <phoneticPr fontId="2" type="noConversion"/>
  </si>
  <si>
    <t>https://fred.stlouisfed.org/series/FEDFUNDS</t>
    <phoneticPr fontId="2" type="noConversion"/>
  </si>
  <si>
    <t>Bank Prime Loan Rate</t>
    <phoneticPr fontId="2" type="noConversion"/>
  </si>
  <si>
    <t>https://fred.stlouisfed.org/series/DPRIME</t>
    <phoneticPr fontId="2" type="noConversion"/>
  </si>
  <si>
    <t>CN 10Y Government Bond Yield</t>
    <phoneticPr fontId="2" type="noConversion"/>
  </si>
  <si>
    <t>https://tradingeconomics.com/china/government-bond-yield</t>
    <phoneticPr fontId="2" type="noConversion"/>
  </si>
  <si>
    <t>CN Loan Prime Rate</t>
    <phoneticPr fontId="2" type="noConversion"/>
  </si>
  <si>
    <t>https://tradingeconomics.com/china/interest-rate</t>
    <phoneticPr fontId="2" type="noConversion"/>
  </si>
  <si>
    <t>HK 10Y Government Bond Yield</t>
    <phoneticPr fontId="2" type="noConversion"/>
  </si>
  <si>
    <t>https://tradingeconomics.com/hong-kong/government-bond-yield</t>
    <phoneticPr fontId="2" type="noConversion"/>
  </si>
  <si>
    <t>HK Prime Lending Rate</t>
    <phoneticPr fontId="2" type="noConversion"/>
  </si>
  <si>
    <t>https://tradingeconomics.com/hong-kong/bank-lending-rate</t>
    <phoneticPr fontId="2" type="noConversion"/>
  </si>
  <si>
    <t>All-in-One Bond Prices</t>
    <phoneticPr fontId="2" type="noConversion"/>
  </si>
  <si>
    <t>https://tradingeconomics.com/bonds</t>
    <phoneticPr fontId="2" type="noConversion"/>
  </si>
  <si>
    <t>Historical Returns</t>
    <phoneticPr fontId="2" type="noConversion"/>
  </si>
  <si>
    <t>https://awealthofcommonsense.com/2025/01/historical-returns-for-stocks-bonds-cash-real-estate-and-gold/</t>
    <phoneticPr fontId="2" type="noConversion"/>
  </si>
  <si>
    <t>Selected</t>
    <phoneticPr fontId="2" type="noConversion"/>
  </si>
  <si>
    <t>Others</t>
    <phoneticPr fontId="2" type="noConversion"/>
  </si>
  <si>
    <t>Cash Yield</t>
    <phoneticPr fontId="2" type="noConversion"/>
  </si>
  <si>
    <t>Executive Summary</t>
    <phoneticPr fontId="2" type="noConversion"/>
  </si>
  <si>
    <t>Historical Avg Return</t>
    <phoneticPr fontId="2" type="noConversion"/>
  </si>
  <si>
    <t>Key Metrics:</t>
    <phoneticPr fontId="2" type="noConversion"/>
  </si>
  <si>
    <t>Key Calculation:</t>
    <phoneticPr fontId="2" type="noConversion"/>
  </si>
  <si>
    <t>Decision Rules:</t>
    <phoneticPr fontId="2" type="noConversion"/>
  </si>
  <si>
    <t>Benchmark Return</t>
    <phoneticPr fontId="2" type="noConversion"/>
  </si>
  <si>
    <t>Benchmarket Return</t>
    <phoneticPr fontId="2" type="noConversion"/>
  </si>
  <si>
    <t>i.</t>
    <phoneticPr fontId="2" type="noConversion"/>
  </si>
  <si>
    <t xml:space="preserve">ii. </t>
    <phoneticPr fontId="2" type="noConversion"/>
  </si>
  <si>
    <t xml:space="preserve">iii. </t>
    <phoneticPr fontId="2" type="noConversion"/>
  </si>
  <si>
    <t>1. Market P/E Ratio</t>
    <phoneticPr fontId="2" type="noConversion"/>
  </si>
  <si>
    <t xml:space="preserve">2. Credit Spreads	</t>
    <phoneticPr fontId="2" type="noConversion"/>
  </si>
  <si>
    <t xml:space="preserve">Narrow (below historical median)	</t>
    <phoneticPr fontId="2" type="noConversion"/>
  </si>
  <si>
    <t xml:space="preserve">Overly bullish	</t>
    <phoneticPr fontId="2" type="noConversion"/>
  </si>
  <si>
    <t xml:space="preserve">&gt; Historical 75th percentile	</t>
    <phoneticPr fontId="2" type="noConversion"/>
  </si>
  <si>
    <t>&lt; Historical 25th percentile</t>
    <phoneticPr fontId="2" type="noConversion"/>
  </si>
  <si>
    <t>Wide (above historical median)</t>
    <phoneticPr fontId="2" type="noConversion"/>
  </si>
  <si>
    <t>Panic/selling</t>
    <phoneticPr fontId="2" type="noConversion"/>
  </si>
  <si>
    <t>Risk Appetite Score</t>
    <phoneticPr fontId="2" type="noConversion"/>
  </si>
  <si>
    <t>Step 2: Portfolio Allocation</t>
    <phoneticPr fontId="2" type="noConversion"/>
  </si>
  <si>
    <t>Step 3: Monitoring &amp; Rebalancing</t>
    <phoneticPr fontId="2" type="noConversion"/>
  </si>
  <si>
    <t>Rebalance if:</t>
    <phoneticPr fontId="2" type="noConversion"/>
  </si>
  <si>
    <t>Maximum Number of Holdings</t>
    <phoneticPr fontId="2" type="noConversion"/>
  </si>
  <si>
    <t>Cash Allocation Rule:</t>
    <phoneticPr fontId="2" type="noConversion"/>
  </si>
  <si>
    <t>Scenario</t>
    <phoneticPr fontId="17" type="noConversion"/>
  </si>
  <si>
    <t xml:space="preserve">Indicator	</t>
    <phoneticPr fontId="17" type="noConversion"/>
  </si>
  <si>
    <t>Low Risk Appetite (Hold Cash)</t>
    <phoneticPr fontId="17" type="noConversion"/>
  </si>
  <si>
    <t>High Risk Appetite (Deploy Cash)</t>
    <phoneticPr fontId="17" type="noConversion"/>
  </si>
  <si>
    <t>Score (0-2)</t>
    <phoneticPr fontId="17" type="noConversion"/>
  </si>
  <si>
    <r>
      <t xml:space="preserve">- </t>
    </r>
    <r>
      <rPr>
        <b/>
        <sz val="9"/>
        <color theme="1"/>
        <rFont val="Arial"/>
        <family val="2"/>
      </rPr>
      <t>New Opportunities:</t>
    </r>
    <r>
      <rPr>
        <sz val="9"/>
        <color theme="1"/>
        <rFont val="Arial"/>
        <family val="2"/>
      </rPr>
      <t xml:space="preserve"> If new investments have higher ERB than current holdings, replace underperformers.</t>
    </r>
    <phoneticPr fontId="2" type="noConversion"/>
  </si>
  <si>
    <r>
      <t xml:space="preserve">- </t>
    </r>
    <r>
      <rPr>
        <b/>
        <sz val="9"/>
        <color theme="1"/>
        <rFont val="Arial"/>
        <family val="2"/>
      </rPr>
      <t xml:space="preserve">Market Shifts: </t>
    </r>
    <r>
      <rPr>
        <sz val="9"/>
        <color theme="1"/>
        <rFont val="Arial"/>
        <family val="2"/>
      </rPr>
      <t>If market cycle indicators change significantly, reassess the Risk Appetite Score.</t>
    </r>
    <phoneticPr fontId="2" type="noConversion"/>
  </si>
  <si>
    <t>Guidance Note: Comparison Group Classification System</t>
    <phoneticPr fontId="2" type="noConversion"/>
  </si>
  <si>
    <t>Overview</t>
    <phoneticPr fontId="2" type="noConversion"/>
  </si>
  <si>
    <t>The classification uses two mutually exclusive and collectively exhaustive (MECE) layers:</t>
    <phoneticPr fontId="2" type="noConversion"/>
  </si>
  <si>
    <t>Format: [Layer 1 Code]_[Layer 2 Number] (e.g., TMT_02, CNS_10).</t>
    <phoneticPr fontId="2" type="noConversion"/>
  </si>
  <si>
    <t>- Layer 1: Broad industry categories (3-character codes).</t>
    <phoneticPr fontId="2" type="noConversion"/>
  </si>
  <si>
    <t>- Layer 2: Granular subcategories (two-digit numbers, 01–99).</t>
    <phoneticPr fontId="2" type="noConversion"/>
  </si>
  <si>
    <t>Layer 1: Broad Industry Categories</t>
    <phoneticPr fontId="2" type="noConversion"/>
  </si>
  <si>
    <r>
      <rPr>
        <b/>
        <sz val="9"/>
        <color theme="1"/>
        <rFont val="Arial"/>
        <family val="2"/>
      </rPr>
      <t xml:space="preserve">Purpose: </t>
    </r>
    <r>
      <rPr>
        <sz val="9"/>
        <color theme="1"/>
        <rFont val="Arial"/>
        <family val="2"/>
      </rPr>
      <t>Group investments by overarching industries.</t>
    </r>
    <phoneticPr fontId="2" type="noConversion"/>
  </si>
  <si>
    <r>
      <rPr>
        <b/>
        <sz val="9"/>
        <color theme="1"/>
        <rFont val="Arial"/>
        <family val="2"/>
      </rPr>
      <t xml:space="preserve">Structure: </t>
    </r>
    <r>
      <rPr>
        <sz val="9"/>
        <color theme="1"/>
        <rFont val="Arial"/>
        <family val="2"/>
      </rPr>
      <t>3-character codes (e.g., TMT, CNS, FIN).</t>
    </r>
    <phoneticPr fontId="2" type="noConversion"/>
  </si>
  <si>
    <t>TMT</t>
    <phoneticPr fontId="2" type="noConversion"/>
  </si>
  <si>
    <t>CNS</t>
    <phoneticPr fontId="2" type="noConversion"/>
  </si>
  <si>
    <t>FIN</t>
    <phoneticPr fontId="2" type="noConversion"/>
  </si>
  <si>
    <t>HLT</t>
    <phoneticPr fontId="2" type="noConversion"/>
  </si>
  <si>
    <t>Technology, Media, Telecom</t>
    <phoneticPr fontId="2" type="noConversion"/>
  </si>
  <si>
    <t>Consumer</t>
    <phoneticPr fontId="2" type="noConversion"/>
  </si>
  <si>
    <t>Financials</t>
    <phoneticPr fontId="2" type="noConversion"/>
  </si>
  <si>
    <t>Healthcare</t>
    <phoneticPr fontId="2" type="noConversion"/>
  </si>
  <si>
    <t>Code</t>
    <phoneticPr fontId="17" type="noConversion"/>
  </si>
  <si>
    <t>Industry</t>
    <phoneticPr fontId="17" type="noConversion"/>
  </si>
  <si>
    <t>Layer 2: Subcategory Numbering</t>
    <phoneticPr fontId="2" type="noConversion"/>
  </si>
  <si>
    <r>
      <rPr>
        <b/>
        <sz val="9"/>
        <color theme="1"/>
        <rFont val="Arial"/>
        <family val="2"/>
      </rPr>
      <t xml:space="preserve">Purpose: </t>
    </r>
    <r>
      <rPr>
        <sz val="9"/>
        <color theme="1"/>
        <rFont val="Arial"/>
        <family val="2"/>
      </rPr>
      <t>Refine peer groups into specific segments within Layer 1 industries.</t>
    </r>
    <phoneticPr fontId="2" type="noConversion"/>
  </si>
  <si>
    <r>
      <rPr>
        <b/>
        <sz val="9"/>
        <color theme="1"/>
        <rFont val="Arial"/>
        <family val="2"/>
      </rPr>
      <t xml:space="preserve">Purpose: </t>
    </r>
    <r>
      <rPr>
        <sz val="9"/>
        <color theme="1"/>
        <rFont val="Arial"/>
        <family val="2"/>
      </rPr>
      <t>Two-digit numbers (01–99), appended to Layer 1 codes (e.g., TMT_01).</t>
    </r>
    <phoneticPr fontId="2" type="noConversion"/>
  </si>
  <si>
    <t>Assigning Classifications</t>
    <phoneticPr fontId="2" type="noConversion"/>
  </si>
  <si>
    <t>Identify Layer 1:</t>
    <phoneticPr fontId="2" type="noConversion"/>
  </si>
  <si>
    <t>Map the investment to the broadest applicable industry (e.g., a fintech firm → FIN).</t>
    <phoneticPr fontId="2" type="noConversion"/>
  </si>
  <si>
    <t>Assign Layer 2:</t>
    <phoneticPr fontId="2" type="noConversion"/>
  </si>
  <si>
    <t>ii.</t>
    <phoneticPr fontId="2" type="noConversion"/>
  </si>
  <si>
    <t>Select the most specific subcategory number (e.g., fintech → FIN_10).</t>
    <phoneticPr fontId="2" type="noConversion"/>
  </si>
  <si>
    <t>Use Cases</t>
    <phoneticPr fontId="2" type="noConversion"/>
  </si>
  <si>
    <r>
      <rPr>
        <b/>
        <sz val="9"/>
        <color theme="1"/>
        <rFont val="Arial"/>
        <family val="2"/>
      </rPr>
      <t>Peer Benchmarking:</t>
    </r>
    <r>
      <rPr>
        <sz val="9"/>
        <color theme="1"/>
        <rFont val="Arial"/>
        <family val="2"/>
      </rPr>
      <t xml:space="preserve"> Compare HLT_03 (Biotech) companies against each other.</t>
    </r>
    <phoneticPr fontId="2" type="noConversion"/>
  </si>
  <si>
    <r>
      <rPr>
        <b/>
        <sz val="9"/>
        <color theme="1"/>
        <rFont val="Arial"/>
        <family val="2"/>
      </rPr>
      <t>Portfolio Analysis:</t>
    </r>
    <r>
      <rPr>
        <sz val="9"/>
        <color theme="1"/>
        <rFont val="Arial"/>
        <family val="2"/>
      </rPr>
      <t xml:space="preserve"> Aggregate exposures by Layer 1 (e.g., “30% of portfolio is in TMT”).</t>
    </r>
    <phoneticPr fontId="2" type="noConversion"/>
  </si>
  <si>
    <r>
      <rPr>
        <b/>
        <sz val="9"/>
        <color theme="1"/>
        <rFont val="Arial"/>
        <family val="2"/>
      </rPr>
      <t>Reporting:</t>
    </r>
    <r>
      <rPr>
        <sz val="9"/>
        <color theme="1"/>
        <rFont val="Arial"/>
        <family val="2"/>
      </rPr>
      <t xml:space="preserve"> Standardize disclosures using codes (e.g., “Investment X (CNS_05) outperformed peers”).</t>
    </r>
    <phoneticPr fontId="2" type="noConversion"/>
  </si>
  <si>
    <t>IND</t>
    <phoneticPr fontId="2" type="noConversion"/>
  </si>
  <si>
    <t>Industrials</t>
    <phoneticPr fontId="2" type="noConversion"/>
  </si>
  <si>
    <t>ENG</t>
    <phoneticPr fontId="2" type="noConversion"/>
  </si>
  <si>
    <t>Energy</t>
    <phoneticPr fontId="2" type="noConversion"/>
  </si>
  <si>
    <t>MAT</t>
    <phoneticPr fontId="2" type="noConversion"/>
  </si>
  <si>
    <t>Materials</t>
    <phoneticPr fontId="2" type="noConversion"/>
  </si>
  <si>
    <t>UTL</t>
    <phoneticPr fontId="2" type="noConversion"/>
  </si>
  <si>
    <t>Utilities</t>
    <phoneticPr fontId="2" type="noConversion"/>
  </si>
  <si>
    <t>9 Standard Industry Codes:</t>
    <phoneticPr fontId="2" type="noConversion"/>
  </si>
  <si>
    <t>RES</t>
    <phoneticPr fontId="2" type="noConversion"/>
  </si>
  <si>
    <t>Real Estate</t>
    <phoneticPr fontId="2" type="noConversion"/>
  </si>
  <si>
    <t>Market Yields Tracker</t>
    <phoneticPr fontId="2" type="noConversion"/>
  </si>
  <si>
    <t>Cap</t>
    <phoneticPr fontId="17" type="noConversion"/>
  </si>
  <si>
    <t>= R_i - Benchmark Return</t>
    <phoneticPr fontId="2" type="noConversion"/>
  </si>
  <si>
    <t>= R_i - Cash Yield</t>
    <phoneticPr fontId="2" type="noConversion"/>
  </si>
  <si>
    <t>Excess Return over Benchmark (ERB_i)</t>
    <phoneticPr fontId="2" type="noConversion"/>
  </si>
  <si>
    <t>Excess Return over Cash (ERC_i)</t>
    <phoneticPr fontId="2" type="noConversion"/>
  </si>
  <si>
    <t>Portfolio Limits</t>
    <phoneticPr fontId="17" type="noConversion"/>
  </si>
  <si>
    <t>HKD</t>
  </si>
  <si>
    <t>Portfolio Management Plan</t>
    <phoneticPr fontId="2" type="noConversion"/>
  </si>
  <si>
    <t>Step 1: Determine Risk Appetite &amp; Cash Reserve</t>
    <phoneticPr fontId="2" type="noConversion"/>
  </si>
  <si>
    <r>
      <rPr>
        <b/>
        <i/>
        <sz val="9"/>
        <color theme="1"/>
        <rFont val="Arial"/>
        <family val="2"/>
      </rPr>
      <t>Purpose:</t>
    </r>
    <r>
      <rPr>
        <i/>
        <sz val="9"/>
        <color theme="1"/>
        <rFont val="Arial"/>
        <family val="2"/>
      </rPr>
      <t xml:space="preserve"> Given current market price, how much should be allocated to each eligible investments.</t>
    </r>
    <phoneticPr fontId="2" type="noConversion"/>
  </si>
  <si>
    <t>Minimium Cash Reserve %</t>
    <phoneticPr fontId="2" type="noConversion"/>
  </si>
  <si>
    <t>Min. Cash Reserve</t>
    <phoneticPr fontId="17" type="noConversion"/>
  </si>
  <si>
    <t>Diversification Rules</t>
    <phoneticPr fontId="2" type="noConversion"/>
  </si>
  <si>
    <t>Market Benchmarks</t>
    <phoneticPr fontId="2" type="noConversion"/>
  </si>
  <si>
    <r>
      <t xml:space="preserve">- Cash reserve is determined by </t>
    </r>
    <r>
      <rPr>
        <b/>
        <sz val="9"/>
        <color theme="1"/>
        <rFont val="Arial"/>
        <family val="2"/>
      </rPr>
      <t>Risk Appetite Score (Step 1)</t>
    </r>
    <r>
      <rPr>
        <sz val="9"/>
        <color theme="1"/>
        <rFont val="Arial"/>
        <family val="2"/>
      </rPr>
      <t xml:space="preserve"> and </t>
    </r>
    <r>
      <rPr>
        <b/>
        <sz val="9"/>
        <color theme="1"/>
        <rFont val="Arial"/>
        <family val="2"/>
      </rPr>
      <t>Portfolio Allocation (Step 2)</t>
    </r>
    <r>
      <rPr>
        <sz val="9"/>
        <color theme="1"/>
        <rFont val="Arial"/>
        <family val="2"/>
      </rPr>
      <t>.</t>
    </r>
    <phoneticPr fontId="2" type="noConversion"/>
  </si>
  <si>
    <t>Market Annual Return (R_i)</t>
    <phoneticPr fontId="2" type="noConversion"/>
  </si>
  <si>
    <t>Imported from Valuation models to Opportunities Sheet</t>
    <phoneticPr fontId="17" type="noConversion"/>
  </si>
  <si>
    <t>Allocation Weight</t>
    <phoneticPr fontId="2" type="noConversion"/>
  </si>
  <si>
    <r>
      <t xml:space="preserve">- </t>
    </r>
    <r>
      <rPr>
        <b/>
        <sz val="9"/>
        <color theme="1"/>
        <rFont val="Arial"/>
        <family val="2"/>
      </rPr>
      <t xml:space="preserve">Valuation Changes: </t>
    </r>
    <r>
      <rPr>
        <sz val="9"/>
        <color theme="1"/>
        <rFont val="Arial"/>
        <family val="2"/>
      </rPr>
      <t>If the market annual return output by valuation model changes materially.</t>
    </r>
    <phoneticPr fontId="2" type="noConversion"/>
  </si>
  <si>
    <r>
      <rPr>
        <b/>
        <i/>
        <sz val="9"/>
        <color theme="1"/>
        <rFont val="Arial"/>
        <family val="2"/>
      </rPr>
      <t xml:space="preserve">Guidance Note: </t>
    </r>
    <r>
      <rPr>
        <i/>
        <sz val="9"/>
        <color theme="1"/>
        <rFont val="Arial"/>
        <family val="2"/>
      </rPr>
      <t>This plan deploys capital into investments exceeding the benchmark return while strategically reserving cash for future opportunities.</t>
    </r>
    <phoneticPr fontId="2" type="noConversion"/>
  </si>
  <si>
    <t>Strategic reserve for compelling opportunities.</t>
    <phoneticPr fontId="17" type="noConversion"/>
  </si>
  <si>
    <t>- Sort all potential investments by ERB (descending) in the Opportunities Sheet.</t>
    <phoneticPr fontId="2" type="noConversion"/>
  </si>
  <si>
    <t>Current Holdings</t>
    <phoneticPr fontId="2" type="noConversion"/>
  </si>
  <si>
    <t>Number of Shares</t>
    <phoneticPr fontId="2" type="noConversion"/>
  </si>
  <si>
    <t>Price
Currency</t>
    <phoneticPr fontId="2" type="noConversion"/>
  </si>
  <si>
    <t>Market Price</t>
    <phoneticPr fontId="2" type="noConversion"/>
  </si>
  <si>
    <t>HKD</t>
    <phoneticPr fontId="2" type="noConversion"/>
  </si>
  <si>
    <t>nm</t>
    <phoneticPr fontId="2" type="noConversion"/>
  </si>
  <si>
    <t>Market Value (HKD)</t>
    <phoneticPr fontId="2" type="noConversion"/>
  </si>
  <si>
    <t>Planning</t>
    <phoneticPr fontId="2" type="noConversion"/>
  </si>
  <si>
    <t>End. Cash Balance</t>
    <phoneticPr fontId="2" type="noConversion"/>
  </si>
  <si>
    <t>Total Value</t>
    <phoneticPr fontId="2" type="noConversion"/>
  </si>
  <si>
    <t>Actual %</t>
    <phoneticPr fontId="2" type="noConversion"/>
  </si>
  <si>
    <t>Debt/
Equity</t>
    <phoneticPr fontId="2" type="noConversion"/>
  </si>
  <si>
    <t>Realizable Value</t>
    <phoneticPr fontId="2" type="noConversion"/>
  </si>
  <si>
    <t>Debt/EBIT</t>
    <phoneticPr fontId="2" type="noConversion"/>
  </si>
  <si>
    <t>Entry Price</t>
  </si>
  <si>
    <t>Execution</t>
  </si>
  <si>
    <t>Expansion expected</t>
  </si>
  <si>
    <t>Recession expected</t>
  </si>
  <si>
    <t>Exit 
Price</t>
  </si>
  <si>
    <t>Sell 
Price</t>
  </si>
  <si>
    <t>Market  Yield</t>
  </si>
  <si>
    <t>CCY</t>
  </si>
  <si>
    <t>Growth 
Classification</t>
  </si>
  <si>
    <t>Balance Sheet Strength</t>
  </si>
  <si>
    <t>ROE</t>
  </si>
  <si>
    <t>Sales/ Assets</t>
  </si>
  <si>
    <t>Assets/ Equity</t>
  </si>
  <si>
    <t>ROE Analysis</t>
  </si>
  <si>
    <t xml:space="preserve"> Profit/ Sales</t>
  </si>
  <si>
    <t>Target Price</t>
  </si>
  <si>
    <t>Exit Price</t>
  </si>
  <si>
    <t>Sell Price</t>
  </si>
  <si>
    <t>nm</t>
  </si>
  <si>
    <t>Forex Cost</t>
  </si>
  <si>
    <t>From</t>
  </si>
  <si>
    <t>HKD to USD</t>
  </si>
  <si>
    <t>USD to HKD</t>
  </si>
  <si>
    <t>HKDUSD</t>
  </si>
  <si>
    <t>To</t>
  </si>
  <si>
    <t>Est. Cost</t>
  </si>
  <si>
    <t>Single Investment Cap</t>
  </si>
  <si>
    <t>(p*w + (1-p)*l)/2w</t>
  </si>
  <si>
    <t>4. Economic Growth Forecast</t>
  </si>
  <si>
    <t>5. Investor Sentiment</t>
  </si>
  <si>
    <t>3. Market Performance</t>
  </si>
  <si>
    <t>Strong</t>
  </si>
  <si>
    <t>Weak</t>
  </si>
  <si>
    <t>Score &gt;= 8</t>
  </si>
  <si>
    <t>Score 5–7</t>
  </si>
  <si>
    <t>Score &lt;= 4</t>
  </si>
  <si>
    <t>ii.</t>
  </si>
  <si>
    <r>
      <rPr>
        <b/>
        <i/>
        <sz val="9"/>
        <color theme="1"/>
        <rFont val="Arial"/>
        <family val="2"/>
      </rPr>
      <t xml:space="preserve">Objective: </t>
    </r>
    <r>
      <rPr>
        <i/>
        <sz val="9"/>
        <color theme="1"/>
        <rFont val="Arial"/>
        <family val="2"/>
      </rPr>
      <t>Determine the optimal capital allocation at current market prices, while reserving capital for strategic deployment.</t>
    </r>
  </si>
  <si>
    <r>
      <t xml:space="preserve">- </t>
    </r>
    <r>
      <rPr>
        <b/>
        <sz val="9"/>
        <color theme="1"/>
        <rFont val="Arial"/>
        <family val="2"/>
      </rPr>
      <t xml:space="preserve">Non-selected investments </t>
    </r>
    <r>
      <rPr>
        <sz val="9"/>
        <color theme="1"/>
        <rFont val="Arial"/>
        <family val="2"/>
      </rPr>
      <t>receive 50% of normal allocation.</t>
    </r>
  </si>
  <si>
    <r>
      <t xml:space="preserve">Objective: </t>
    </r>
    <r>
      <rPr>
        <i/>
        <sz val="9"/>
        <color theme="1"/>
        <rFont val="Arial"/>
        <family val="2"/>
      </rPr>
      <t>Balance conviction with risk mitigation.</t>
    </r>
  </si>
  <si>
    <t>Parameter</t>
  </si>
  <si>
    <t>Value</t>
  </si>
  <si>
    <t>Metric</t>
  </si>
  <si>
    <t>Valuation Confidence (p)</t>
  </si>
  <si>
    <t>Lock-Up Period</t>
  </si>
  <si>
    <t>Half Kelly Allocation</t>
  </si>
  <si>
    <r>
      <rPr>
        <b/>
        <i/>
        <sz val="9"/>
        <color theme="1"/>
        <rFont val="Arial"/>
        <family val="2"/>
      </rPr>
      <t xml:space="preserve">Valuation Confidence (p): </t>
    </r>
    <r>
      <rPr>
        <i/>
        <sz val="9"/>
        <color theme="1"/>
        <rFont val="Arial"/>
        <family val="2"/>
      </rPr>
      <t>Probability of intrinsic value accuracy.</t>
    </r>
  </si>
  <si>
    <t>Key Definitions:</t>
  </si>
  <si>
    <r>
      <rPr>
        <b/>
        <i/>
        <sz val="9"/>
        <color theme="1"/>
        <rFont val="Arial"/>
        <family val="2"/>
      </rPr>
      <t xml:space="preserve">Process: </t>
    </r>
    <r>
      <rPr>
        <i/>
        <sz val="9"/>
        <color theme="1"/>
        <rFont val="Arial"/>
        <family val="2"/>
      </rPr>
      <t>Calculate a Risk Appetite Score (0–10 scale) using four market indicators to set cash reserves.</t>
    </r>
  </si>
  <si>
    <t>2. how investors around us are behaving.</t>
  </si>
  <si>
    <r>
      <rPr>
        <b/>
        <sz val="9"/>
        <color theme="1"/>
        <rFont val="Arial"/>
        <family val="2"/>
      </rPr>
      <t>Two key assessments</t>
    </r>
    <r>
      <rPr>
        <sz val="9"/>
        <color theme="1"/>
        <rFont val="Arial"/>
        <family val="2"/>
      </rPr>
      <t xml:space="preserve"> when deciding the Cash Reserve %:</t>
    </r>
  </si>
  <si>
    <t>Allocation Weight Calculation (Half Kelly Allocation)</t>
  </si>
  <si>
    <t>Opportunity Ranking</t>
  </si>
  <si>
    <t>Rationale for Half Kelly Application:</t>
  </si>
  <si>
    <t>Half Kelly Allocation (HK%) =</t>
  </si>
  <si>
    <t xml:space="preserve">Market price loss when incorrect (l) = </t>
  </si>
  <si>
    <t>The Half Kelly Criterion balances growth and risk by:</t>
  </si>
  <si>
    <r>
      <t xml:space="preserve">2. </t>
    </r>
    <r>
      <rPr>
        <b/>
        <sz val="9"/>
        <color theme="1"/>
        <rFont val="Arial"/>
        <family val="2"/>
      </rPr>
      <t xml:space="preserve">Enforcing Conservatism: </t>
    </r>
    <r>
      <rPr>
        <sz val="9"/>
        <color theme="1"/>
        <rFont val="Arial"/>
        <family val="2"/>
      </rPr>
      <t>Halving allocations to limit overexposure and model error.</t>
    </r>
  </si>
  <si>
    <r>
      <t xml:space="preserve">1. </t>
    </r>
    <r>
      <rPr>
        <b/>
        <sz val="9"/>
        <color theme="1"/>
        <rFont val="Arial"/>
        <family val="2"/>
      </rPr>
      <t>Quantifying Edge:</t>
    </r>
    <r>
      <rPr>
        <sz val="9"/>
        <color theme="1"/>
        <rFont val="Arial"/>
        <family val="2"/>
      </rPr>
      <t xml:space="preserve"> Explicitly weighting upside (w) against downside (l) and confidence (p).</t>
    </r>
  </si>
  <si>
    <r>
      <t xml:space="preserve">Expected Loss (l): </t>
    </r>
    <r>
      <rPr>
        <i/>
        <sz val="9"/>
        <color theme="1"/>
        <rFont val="Arial"/>
        <family val="2"/>
      </rPr>
      <t>Annualized loss at target/entry price when the intrinsic value is incorrect.</t>
    </r>
  </si>
  <si>
    <t>1. how things are priced.</t>
  </si>
  <si>
    <r>
      <t xml:space="preserve">- Only investments with </t>
    </r>
    <r>
      <rPr>
        <b/>
        <sz val="9"/>
        <color theme="1"/>
        <rFont val="Arial"/>
        <family val="2"/>
      </rPr>
      <t>ERB &gt; 0 and Market Price &lt;= Entry Price</t>
    </r>
    <r>
      <rPr>
        <sz val="9"/>
        <color theme="1"/>
        <rFont val="Arial"/>
        <family val="2"/>
      </rPr>
      <t xml:space="preserve"> are eligible for portfolio allocation.</t>
    </r>
  </si>
  <si>
    <t>Expected Loss when incorrect + Market Price Return</t>
  </si>
  <si>
    <t>投资组合管理计划</t>
  </si>
  <si>
    <t>执行摘要</t>
  </si>
  <si>
    <r>
      <t>指引说明：</t>
    </r>
    <r>
      <rPr>
        <i/>
        <sz val="9"/>
        <color theme="1"/>
        <rFont val="Arial"/>
        <family val="2"/>
      </rPr>
      <t>本计划将资本配置于超越基准回报的投资标的，同时战略性地保留现金以捕捉未来机会。</t>
    </r>
  </si>
  <si>
    <t>市场基准</t>
  </si>
  <si>
    <t>核心指标：</t>
  </si>
  <si>
    <t>基准回报率</t>
  </si>
  <si>
    <t>现金收益率</t>
  </si>
  <si>
    <t>关键计算公式:</t>
  </si>
  <si>
    <t>市场年化回报率(R_i)</t>
  </si>
  <si>
    <t>超额基准回报(ERB_i)</t>
  </si>
  <si>
    <t>超额现金回报(ERC_i)</t>
  </si>
  <si>
    <t>从估值模型导入至机会清单</t>
  </si>
  <si>
    <t>= R_i - 基准回报率</t>
  </si>
  <si>
    <t>= R_i - 现金收益率</t>
  </si>
  <si>
    <t>决策规则:</t>
  </si>
  <si>
    <r>
      <t>- 仅当</t>
    </r>
    <r>
      <rPr>
        <b/>
        <sz val="9"/>
        <color theme="1"/>
        <rFont val="Arial"/>
        <family val="2"/>
      </rPr>
      <t>ERB&gt;0</t>
    </r>
    <r>
      <rPr>
        <sz val="9"/>
        <color theme="1"/>
        <rFont val="Arial"/>
        <family val="2"/>
      </rPr>
      <t>且</t>
    </r>
    <r>
      <rPr>
        <b/>
        <sz val="9"/>
        <color theme="1"/>
        <rFont val="Arial"/>
        <family val="2"/>
      </rPr>
      <t>市场价格≤入场价格</t>
    </r>
    <r>
      <rPr>
        <sz val="9"/>
        <color theme="1"/>
        <rFont val="Arial"/>
        <family val="2"/>
      </rPr>
      <t>时具备配置资格</t>
    </r>
  </si>
  <si>
    <r>
      <t>- 未</t>
    </r>
    <r>
      <rPr>
        <b/>
        <sz val="9"/>
        <color theme="1"/>
        <rFont val="Arial"/>
        <family val="2"/>
      </rPr>
      <t>入选标</t>
    </r>
    <r>
      <rPr>
        <sz val="9"/>
        <color theme="1"/>
        <rFont val="Arial"/>
        <family val="2"/>
      </rPr>
      <t>的获得正常配置额的50%</t>
    </r>
    <r>
      <rPr>
        <b/>
        <sz val="9"/>
        <color theme="1"/>
        <rFont val="Arial"/>
        <family val="2"/>
      </rPr>
      <t xml:space="preserve">	</t>
    </r>
  </si>
  <si>
    <r>
      <t>- 现金储备比例由</t>
    </r>
    <r>
      <rPr>
        <b/>
        <sz val="9"/>
        <color theme="1"/>
        <rFont val="Arial"/>
        <family val="2"/>
      </rPr>
      <t>风险偏好评分(步骤1)</t>
    </r>
    <r>
      <rPr>
        <sz val="9"/>
        <color theme="1"/>
        <rFont val="Arial"/>
        <family val="2"/>
      </rPr>
      <t>和</t>
    </r>
    <r>
      <rPr>
        <b/>
        <sz val="9"/>
        <color theme="1"/>
        <rFont val="Arial"/>
        <family val="2"/>
      </rPr>
      <t>组合配置(步骤2)</t>
    </r>
    <r>
      <rPr>
        <sz val="9"/>
        <color theme="1"/>
        <rFont val="Arial"/>
        <family val="2"/>
      </rPr>
      <t xml:space="preserve">共同决定	</t>
    </r>
  </si>
  <si>
    <r>
      <t>目标：</t>
    </r>
    <r>
      <rPr>
        <i/>
        <sz val="9"/>
        <color theme="1"/>
        <rFont val="Arial"/>
        <family val="2"/>
      </rPr>
      <t>在投资确信度与风险缓释间取得平衡</t>
    </r>
  </si>
  <si>
    <t>分散化规则</t>
  </si>
  <si>
    <t>组合限制</t>
  </si>
  <si>
    <t>上限</t>
  </si>
  <si>
    <t>最大持仓数量</t>
  </si>
  <si>
    <t>单一标的配置上限</t>
  </si>
  <si>
    <t>估值模型假设</t>
  </si>
  <si>
    <t>参数</t>
  </si>
  <si>
    <t>数值</t>
  </si>
  <si>
    <t>指标</t>
  </si>
  <si>
    <t>估值置信度(p)</t>
  </si>
  <si>
    <t>目标价回报率(w)</t>
  </si>
  <si>
    <t>目标价亏损(l)</t>
  </si>
  <si>
    <t>入场价回报率(w)</t>
  </si>
  <si>
    <t>入场价亏损(l)</t>
  </si>
  <si>
    <t>锁定期</t>
  </si>
  <si>
    <t>Half Kelly配置</t>
  </si>
  <si>
    <t>赔率(w/l)</t>
  </si>
  <si>
    <t>基础Cost of Equity</t>
  </si>
  <si>
    <t>关键定义:</t>
  </si>
  <si>
    <r>
      <rPr>
        <b/>
        <i/>
        <sz val="9"/>
        <color theme="1"/>
        <rFont val="Arial"/>
        <family val="2"/>
      </rPr>
      <t>估值置信度(p)：</t>
    </r>
    <r>
      <rPr>
        <i/>
        <sz val="9"/>
        <color theme="1"/>
        <rFont val="Arial"/>
        <family val="2"/>
      </rPr>
      <t>内在价值估算准确的概率</t>
    </r>
  </si>
  <si>
    <r>
      <t>预期损失(L)：</t>
    </r>
    <r>
      <rPr>
        <i/>
        <sz val="9"/>
        <color theme="1"/>
        <rFont val="Arial"/>
        <family val="2"/>
      </rPr>
      <t xml:space="preserve">内在价值误判时的预期下行偏差	</t>
    </r>
  </si>
  <si>
    <r>
      <t>预期回报(w)：</t>
    </r>
    <r>
      <rPr>
        <i/>
        <sz val="9"/>
        <color theme="1"/>
        <rFont val="Arial"/>
        <family val="2"/>
      </rPr>
      <t>内在价值正确时，按目标/入场价计算的锁定期年化回报</t>
    </r>
  </si>
  <si>
    <r>
      <t>预期亏损(l)：</t>
    </r>
    <r>
      <rPr>
        <i/>
        <sz val="9"/>
        <color theme="1"/>
        <rFont val="Arial"/>
        <family val="2"/>
      </rPr>
      <t>内在价值错误时，按目标/入场价计算的年化损失</t>
    </r>
  </si>
  <si>
    <t>步骤一：风险偏好与现金储备确定</t>
  </si>
  <si>
    <r>
      <rPr>
        <b/>
        <i/>
        <sz val="9"/>
        <color theme="1"/>
        <rFont val="Arial"/>
        <family val="2"/>
      </rPr>
      <t>流程：</t>
    </r>
    <r>
      <rPr>
        <i/>
        <sz val="9"/>
        <color theme="1"/>
        <rFont val="Arial"/>
        <family val="2"/>
      </rPr>
      <t>通过四大市场指标计算风险偏好评分(0-10分制)，据此设定现金储备比例</t>
    </r>
  </si>
  <si>
    <t>现金配置规则:</t>
  </si>
  <si>
    <t>情景</t>
  </si>
  <si>
    <t>最低现金储备</t>
  </si>
  <si>
    <t>评分 ≤ 4</t>
  </si>
  <si>
    <t>评分 5–7</t>
  </si>
  <si>
    <t>评分 &gt;= 8</t>
  </si>
  <si>
    <t>指标与评分体系:</t>
  </si>
  <si>
    <t>低风险偏好(持有现金)</t>
  </si>
  <si>
    <t>高风险偏好(部署现金)</t>
  </si>
  <si>
    <t>得分 (0-2)</t>
  </si>
  <si>
    <t>1. 市场P/E率</t>
  </si>
  <si>
    <t xml:space="preserve">2. 信用利差	</t>
  </si>
  <si>
    <t>3. 市场表现</t>
  </si>
  <si>
    <t>4. 经济增长预期</t>
  </si>
  <si>
    <t>5. 投资者情绪</t>
  </si>
  <si>
    <t>&gt;历史75分位</t>
  </si>
  <si>
    <t>&lt;历史25分位</t>
  </si>
  <si>
    <t>收窄(低于历史中位数)</t>
  </si>
  <si>
    <t>走阔(高于历史中位数)</t>
  </si>
  <si>
    <t>强势</t>
  </si>
  <si>
    <t>疲弱</t>
  </si>
  <si>
    <t>扩张预期</t>
  </si>
  <si>
    <t>衰退预期</t>
  </si>
  <si>
    <t>过度乐观</t>
  </si>
  <si>
    <t>恐慌/抛售</t>
  </si>
  <si>
    <t>风险偏好总评分</t>
  </si>
  <si>
    <t>最低现金储备 %</t>
  </si>
  <si>
    <r>
      <t>现金储备%决策的</t>
    </r>
    <r>
      <rPr>
        <b/>
        <sz val="9"/>
        <color theme="1"/>
        <rFont val="Arial"/>
        <family val="2"/>
      </rPr>
      <t>双重评估维度</t>
    </r>
    <r>
      <rPr>
        <sz val="9"/>
        <color theme="1"/>
        <rFont val="Arial"/>
        <family val="2"/>
      </rPr>
      <t>:</t>
    </r>
  </si>
  <si>
    <t>1. 资产定价水平</t>
  </si>
  <si>
    <t>2. 市场参与者行为特征</t>
  </si>
  <si>
    <t>步骤二：组合配置实施</t>
  </si>
  <si>
    <r>
      <rPr>
        <b/>
        <i/>
        <sz val="9"/>
        <color theme="1"/>
        <rFont val="Arial"/>
        <family val="2"/>
      </rPr>
      <t>目标：</t>
    </r>
    <r>
      <rPr>
        <i/>
        <sz val="9"/>
        <color theme="1"/>
        <rFont val="Arial"/>
        <family val="2"/>
      </rPr>
      <t>基于当前市价确定各合格标的的配置权重</t>
    </r>
  </si>
  <si>
    <t>- 在机会清单中按ERB降序排列所有潜在标的</t>
  </si>
  <si>
    <t>机会排序</t>
  </si>
  <si>
    <t>配置权重计算 (Half Kelly)</t>
  </si>
  <si>
    <t xml:space="preserve">估值错误时市价亏损(l) = </t>
  </si>
  <si>
    <t>Half Kelly配置比例(HK%) =</t>
  </si>
  <si>
    <t>采用Half Kelly公式的逻辑:</t>
  </si>
  <si>
    <r>
      <t xml:space="preserve">1. </t>
    </r>
    <r>
      <rPr>
        <b/>
        <sz val="9"/>
        <color theme="1"/>
        <rFont val="Arial"/>
        <family val="2"/>
      </rPr>
      <t>量化优势：</t>
    </r>
    <r>
      <rPr>
        <sz val="9"/>
        <color theme="1"/>
        <rFont val="Arial"/>
        <family val="2"/>
      </rPr>
      <t>显性化上行空间(w)、下行风险(l)与置信度(p)的权衡</t>
    </r>
  </si>
  <si>
    <r>
      <t xml:space="preserve">2. </t>
    </r>
    <r>
      <rPr>
        <b/>
        <sz val="9"/>
        <color theme="1"/>
        <rFont val="Arial"/>
        <family val="2"/>
      </rPr>
      <t>强制保守：</t>
    </r>
    <r>
      <rPr>
        <sz val="9"/>
        <color theme="1"/>
        <rFont val="Arial"/>
        <family val="2"/>
      </rPr>
      <t>折半配置以限制过度暴露与模型误差</t>
    </r>
  </si>
  <si>
    <t>再平衡触发条件:</t>
  </si>
  <si>
    <r>
      <t xml:space="preserve">- </t>
    </r>
    <r>
      <rPr>
        <b/>
        <sz val="9"/>
        <color theme="1"/>
        <rFont val="Arial"/>
        <family val="2"/>
      </rPr>
      <t>新机会涌现：</t>
    </r>
    <r>
      <rPr>
        <sz val="9"/>
        <color theme="1"/>
        <rFont val="Arial"/>
        <family val="2"/>
      </rPr>
      <t>当新标的ERB超越现持仓位时，替换表现较弱者</t>
    </r>
  </si>
  <si>
    <r>
      <t xml:space="preserve">- </t>
    </r>
    <r>
      <rPr>
        <b/>
        <sz val="9"/>
        <color theme="1"/>
        <rFont val="Arial"/>
        <family val="2"/>
      </rPr>
      <t>市场周期转换：</t>
    </r>
    <r>
      <rPr>
        <sz val="9"/>
        <color theme="1"/>
        <rFont val="Arial"/>
        <family val="2"/>
      </rPr>
      <t>当市场周期指标发生重大变化时，重新评估风险偏好评分</t>
    </r>
  </si>
  <si>
    <t>步骤三：动态监控与再平衡机制</t>
  </si>
  <si>
    <t>错误时预期损失(L)</t>
  </si>
  <si>
    <t>错误时预期损失(L)+当前市价回报率(w)</t>
  </si>
  <si>
    <t>为机遇提供战略储备。</t>
  </si>
  <si>
    <t>Half Kelly通过以下方式平衡增长与风险</t>
  </si>
  <si>
    <r>
      <rPr>
        <b/>
        <i/>
        <sz val="9"/>
        <color theme="1"/>
        <rFont val="Arial"/>
        <family val="2"/>
      </rPr>
      <t>Cost of Equity</t>
    </r>
    <r>
      <rPr>
        <i/>
        <sz val="9"/>
        <color theme="1"/>
        <rFont val="Arial"/>
        <family val="2"/>
      </rPr>
      <t>: 本计划采用价值投资框架，真实风险定义为因基本面恶化或高估值导致的永久性资本损失（而非短期价格波动）。因此，模型采用标准化的Cost of Equity作为DCF贴现率，反映长期无风险利率叠加股权风险溢价的所有权风险补偿要求。</t>
    </r>
  </si>
  <si>
    <r>
      <t>目标：</t>
    </r>
    <r>
      <rPr>
        <i/>
        <sz val="9"/>
        <color theme="1"/>
        <rFont val="Arial"/>
        <family val="2"/>
      </rPr>
      <t>在现行市场价格下确定最优资本配置方案，同时预留战略配置资金。</t>
    </r>
  </si>
  <si>
    <r>
      <t xml:space="preserve">- </t>
    </r>
    <r>
      <rPr>
        <b/>
        <sz val="9"/>
        <color theme="1"/>
        <rFont val="Arial"/>
        <family val="2"/>
      </rPr>
      <t>估值/价格变动：</t>
    </r>
    <r>
      <rPr>
        <sz val="9"/>
        <color theme="1"/>
        <rFont val="Arial"/>
        <family val="2"/>
      </rPr>
      <t>估值模型输出的市场年化回报发生实质性变化</t>
    </r>
  </si>
  <si>
    <t>Company Name</t>
  </si>
  <si>
    <t>i.</t>
  </si>
  <si>
    <t>Return Targets</t>
  </si>
  <si>
    <t>iii.</t>
  </si>
  <si>
    <t>Target Returns</t>
  </si>
  <si>
    <t xml:space="preserve">Target Return </t>
  </si>
  <si>
    <t>Entry Return</t>
  </si>
  <si>
    <t>Target Price Allocation</t>
  </si>
  <si>
    <t>Entry Price Allocation</t>
  </si>
  <si>
    <t>Target Prices</t>
  </si>
  <si>
    <t>Conservatively estimated from experience</t>
  </si>
  <si>
    <r>
      <rPr>
        <b/>
        <i/>
        <sz val="10"/>
        <color theme="1"/>
        <rFont val="Calibri"/>
        <family val="2"/>
        <scheme val="minor"/>
      </rPr>
      <t xml:space="preserve">Valuation Confidence (p): </t>
    </r>
    <r>
      <rPr>
        <i/>
        <sz val="10"/>
        <color theme="1"/>
        <rFont val="Calibri"/>
        <family val="2"/>
        <scheme val="minor"/>
      </rPr>
      <t>Probability of intrinsic value accuracy.</t>
    </r>
  </si>
  <si>
    <r>
      <t xml:space="preserve">Expected Loss (L): </t>
    </r>
    <r>
      <rPr>
        <i/>
        <sz val="10"/>
        <color theme="1"/>
        <rFont val="Calibri"/>
        <family val="2"/>
        <scheme val="minor"/>
      </rPr>
      <t xml:space="preserve">the expected downside deviation between the real intrinsic value and the estimated intrinsic value </t>
    </r>
  </si>
  <si>
    <t>Gain/Loss Ratio (b)</t>
  </si>
  <si>
    <t>Expected Loss if wrong (l)</t>
  </si>
  <si>
    <t>Expected annual Gains if right</t>
  </si>
  <si>
    <t>q</t>
  </si>
  <si>
    <t>Allocation Analysis</t>
  </si>
  <si>
    <t>Assumptions</t>
  </si>
  <si>
    <t>Base Cost of Equity</t>
  </si>
  <si>
    <r>
      <rPr>
        <b/>
        <i/>
        <sz val="9"/>
        <color theme="1"/>
        <rFont val="Arial"/>
        <family val="2"/>
      </rPr>
      <t>Cost of Equity</t>
    </r>
    <r>
      <rPr>
        <i/>
        <sz val="9"/>
        <color theme="1"/>
        <rFont val="Arial"/>
        <family val="2"/>
      </rPr>
      <t>: This plan employs a value investing framework, defining true risk as the potential for permanent capital loss due to deteriorating business fundamentals or overvaluation, rather than short-term price volatility (beta). The model uses a standardized base cost of equity as the discount rate in DCF analysis,which serves as the minimum acceptable long-term return threshold, reflecting long-term risk-free rates plus an equity risk premium to account for ownership risks.</t>
    </r>
  </si>
  <si>
    <t>Expected total Gain if right (g)</t>
  </si>
  <si>
    <r>
      <t xml:space="preserve">Expected Return (g): </t>
    </r>
    <r>
      <rPr>
        <i/>
        <sz val="9"/>
        <color theme="1"/>
        <rFont val="Arial"/>
        <family val="2"/>
      </rPr>
      <t>Annualized return over lock-up period at target/entry price when the intrinsic value is correct.</t>
    </r>
  </si>
  <si>
    <t>Goal: Use Kelly's forumla to determine the allocation during your investment horizon.</t>
  </si>
  <si>
    <t>Full Kelly Allocation</t>
  </si>
  <si>
    <t>Allocation Strategy (Full Kelly)</t>
  </si>
  <si>
    <t>Indicators and Scoring (Low on Left, High on Right):</t>
  </si>
  <si>
    <t>Target Yield</t>
  </si>
  <si>
    <t>Entry Yield</t>
  </si>
  <si>
    <t>000568.SZ</t>
  </si>
  <si>
    <t>泸州老窖</t>
  </si>
  <si>
    <t>CNY</t>
  </si>
  <si>
    <t>CNS_01</t>
  </si>
  <si>
    <t>Low growth</t>
  </si>
  <si>
    <t>N</t>
  </si>
  <si>
    <t>603279.SS</t>
  </si>
  <si>
    <t>景津装备</t>
  </si>
  <si>
    <t>Lower than Inflation rate</t>
  </si>
  <si>
    <t>000858.SZ</t>
  </si>
  <si>
    <t>五粮液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</si>
</sst>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\-mm\-dd;@"/>
    <numFmt numFmtId="165" formatCode="[$-13C09]d\ mmm\ yyyy;@"/>
    <numFmt numFmtId="166" formatCode="0&quot; yrs&quot;"/>
    <numFmt numFmtId="167" formatCode="0.0\x"/>
    <numFmt numFmtId="168" formatCode="#,##0.00&quot;x&quot;"/>
    <numFmt numFmtId="169" formatCode="0.00000"/>
    <numFmt numFmtId="170" formatCode="_-[$HKD]\ * #,##0_-;\-[$HKD]\ * #,##0_-;_-[$HKD]\ * &quot;-&quot;_-;_-@_-"/>
    <numFmt numFmtId="171" formatCode="_-[$USD]\ * #,##0_-;\-[$USD]\ * #,##0_-;_-[$USD]\ * &quot;-&quot;_-;_-@_-"/>
    <numFmt numFmtId="172" formatCode="0.0%"/>
    <numFmt numFmtId="173" formatCode="#,##0.0"/>
  </numFmts>
  <fonts count="44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2060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rgb="FFFF0000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theme="0"/>
      <name val="Microsoft YaHei"/>
      <family val="2"/>
    </font>
    <font>
      <sz val="9"/>
      <name val="DengXian"/>
      <family val="3"/>
      <charset val="134"/>
    </font>
    <font>
      <sz val="9"/>
      <color rgb="FF0000FF"/>
      <name val="Arial"/>
      <family val="2"/>
    </font>
    <font>
      <u/>
      <sz val="9"/>
      <color theme="10"/>
      <name val="Arial"/>
      <family val="2"/>
    </font>
    <font>
      <b/>
      <sz val="9"/>
      <color rgb="FFFF0000"/>
      <name val="Arial"/>
      <family val="2"/>
    </font>
    <font>
      <i/>
      <sz val="9"/>
      <color rgb="FF7030A0"/>
      <name val="Arial"/>
      <family val="2"/>
    </font>
    <font>
      <sz val="10"/>
      <color rgb="FF000000"/>
      <name val="Arial"/>
      <family val="2"/>
    </font>
    <font>
      <b/>
      <sz val="10"/>
      <color rgb="FF00206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9"/>
      <color rgb="FF00B050"/>
      <name val="Arial"/>
      <family val="2"/>
    </font>
    <font>
      <u/>
      <sz val="9"/>
      <color theme="1"/>
      <name val="Arial"/>
      <family val="2"/>
    </font>
    <font>
      <i/>
      <sz val="9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3871"/>
        <bgColor indexed="64"/>
      </patternFill>
    </fill>
    <fill>
      <patternFill patternType="solid">
        <fgColor rgb="FF0047AB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28" fillId="0" borderId="0">
      <alignment vertical="center"/>
    </xf>
  </cellStyleXfs>
  <cellXfs count="159">
    <xf numFmtId="0" fontId="0" fillId="0" borderId="0" xfId="0"/>
    <xf numFmtId="0" fontId="3" fillId="0" borderId="0" xfId="0" applyFont="1"/>
    <xf numFmtId="4" fontId="3" fillId="0" borderId="0" xfId="0" applyNumberFormat="1" applyFont="1"/>
    <xf numFmtId="165" fontId="3" fillId="0" borderId="0" xfId="0" applyNumberFormat="1" applyFont="1"/>
    <xf numFmtId="10" fontId="3" fillId="0" borderId="0" xfId="0" applyNumberFormat="1" applyFont="1"/>
    <xf numFmtId="0" fontId="4" fillId="2" borderId="0" xfId="1" applyFont="1" applyFill="1"/>
    <xf numFmtId="0" fontId="5" fillId="0" borderId="1" xfId="1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4" fontId="6" fillId="0" borderId="2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10" fontId="6" fillId="0" borderId="2" xfId="0" quotePrefix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4" fillId="0" borderId="0" xfId="0" applyFont="1"/>
    <xf numFmtId="0" fontId="8" fillId="0" borderId="2" xfId="0" applyFont="1" applyBorder="1"/>
    <xf numFmtId="0" fontId="6" fillId="0" borderId="0" xfId="0" applyFont="1"/>
    <xf numFmtId="0" fontId="10" fillId="6" borderId="0" xfId="0" applyFont="1" applyFill="1"/>
    <xf numFmtId="0" fontId="5" fillId="0" borderId="0" xfId="0" applyFont="1"/>
    <xf numFmtId="0" fontId="14" fillId="0" borderId="0" xfId="0" applyFont="1"/>
    <xf numFmtId="0" fontId="3" fillId="0" borderId="0" xfId="0" quotePrefix="1" applyFont="1"/>
    <xf numFmtId="0" fontId="15" fillId="0" borderId="0" xfId="0" applyFont="1"/>
    <xf numFmtId="0" fontId="3" fillId="0" borderId="4" xfId="0" applyFont="1" applyBorder="1"/>
    <xf numFmtId="0" fontId="6" fillId="0" borderId="0" xfId="0" applyFont="1" applyAlignment="1">
      <alignment horizontal="left" indent="1"/>
    </xf>
    <xf numFmtId="0" fontId="6" fillId="0" borderId="0" xfId="0" applyFont="1" applyAlignment="1">
      <alignment horizontal="center"/>
    </xf>
    <xf numFmtId="9" fontId="11" fillId="0" borderId="4" xfId="0" applyNumberFormat="1" applyFont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0" fontId="4" fillId="2" borderId="0" xfId="0" applyFont="1" applyFill="1"/>
    <xf numFmtId="0" fontId="5" fillId="0" borderId="2" xfId="0" applyFont="1" applyBorder="1"/>
    <xf numFmtId="0" fontId="3" fillId="0" borderId="4" xfId="0" applyFont="1" applyBorder="1" applyAlignment="1">
      <alignment horizontal="left"/>
    </xf>
    <xf numFmtId="10" fontId="18" fillId="0" borderId="4" xfId="0" applyNumberFormat="1" applyFont="1" applyBorder="1" applyAlignment="1">
      <alignment horizontal="right"/>
    </xf>
    <xf numFmtId="10" fontId="3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left" indent="1"/>
    </xf>
    <xf numFmtId="10" fontId="6" fillId="0" borderId="4" xfId="0" applyNumberFormat="1" applyFont="1" applyBorder="1"/>
    <xf numFmtId="0" fontId="19" fillId="0" borderId="0" xfId="2" applyFont="1"/>
    <xf numFmtId="0" fontId="6" fillId="0" borderId="0" xfId="0" applyFont="1" applyAlignment="1">
      <alignment horizontal="right"/>
    </xf>
    <xf numFmtId="0" fontId="11" fillId="0" borderId="4" xfId="0" applyFont="1" applyBorder="1" applyAlignment="1">
      <alignment horizontal="right"/>
    </xf>
    <xf numFmtId="0" fontId="6" fillId="0" borderId="5" xfId="0" applyFont="1" applyBorder="1" applyAlignment="1">
      <alignment horizontal="left" indent="1"/>
    </xf>
    <xf numFmtId="9" fontId="6" fillId="0" borderId="5" xfId="0" applyNumberFormat="1" applyFont="1" applyBorder="1" applyAlignment="1">
      <alignment horizontal="right"/>
    </xf>
    <xf numFmtId="0" fontId="10" fillId="7" borderId="2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39" fontId="11" fillId="0" borderId="0" xfId="0" applyNumberFormat="1" applyFont="1" applyAlignment="1">
      <alignment horizontal="center"/>
    </xf>
    <xf numFmtId="0" fontId="9" fillId="0" borderId="0" xfId="0" applyFont="1"/>
    <xf numFmtId="39" fontId="21" fillId="0" borderId="0" xfId="0" applyNumberFormat="1" applyFont="1" applyAlignment="1">
      <alignment horizontal="left"/>
    </xf>
    <xf numFmtId="0" fontId="22" fillId="2" borderId="0" xfId="1" applyFont="1" applyFill="1"/>
    <xf numFmtId="0" fontId="23" fillId="0" borderId="1" xfId="1" applyFont="1" applyBorder="1" applyAlignment="1">
      <alignment vertical="center"/>
    </xf>
    <xf numFmtId="0" fontId="24" fillId="0" borderId="0" xfId="0" applyFont="1"/>
    <xf numFmtId="0" fontId="25" fillId="0" borderId="2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39" fontId="26" fillId="0" borderId="0" xfId="0" applyNumberFormat="1" applyFont="1" applyAlignment="1">
      <alignment horizontal="center"/>
    </xf>
    <xf numFmtId="37" fontId="26" fillId="0" borderId="0" xfId="0" applyNumberFormat="1" applyFont="1" applyAlignment="1">
      <alignment horizontal="center"/>
    </xf>
    <xf numFmtId="39" fontId="26" fillId="0" borderId="0" xfId="0" applyNumberFormat="1" applyFont="1" applyAlignment="1">
      <alignment horizontal="right"/>
    </xf>
    <xf numFmtId="37" fontId="26" fillId="0" borderId="0" xfId="0" applyNumberFormat="1" applyFont="1" applyAlignment="1">
      <alignment horizontal="right"/>
    </xf>
    <xf numFmtId="10" fontId="24" fillId="0" borderId="0" xfId="0" applyNumberFormat="1" applyFont="1"/>
    <xf numFmtId="0" fontId="29" fillId="0" borderId="0" xfId="0" applyFont="1" applyAlignment="1">
      <alignment horizontal="center"/>
    </xf>
    <xf numFmtId="39" fontId="29" fillId="0" borderId="0" xfId="0" applyNumberFormat="1" applyFont="1" applyAlignment="1">
      <alignment horizontal="right"/>
    </xf>
    <xf numFmtId="37" fontId="29" fillId="0" borderId="0" xfId="0" applyNumberFormat="1" applyFont="1" applyAlignment="1">
      <alignment horizontal="right"/>
    </xf>
    <xf numFmtId="0" fontId="29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3" xfId="0" applyFont="1" applyBorder="1" applyAlignment="1">
      <alignment horizontal="center"/>
    </xf>
    <xf numFmtId="39" fontId="26" fillId="0" borderId="3" xfId="0" applyNumberFormat="1" applyFont="1" applyBorder="1" applyAlignment="1">
      <alignment horizontal="right"/>
    </xf>
    <xf numFmtId="37" fontId="27" fillId="0" borderId="3" xfId="0" applyNumberFormat="1" applyFont="1" applyBorder="1" applyAlignment="1">
      <alignment horizontal="right"/>
    </xf>
    <xf numFmtId="10" fontId="25" fillId="0" borderId="3" xfId="0" applyNumberFormat="1" applyFont="1" applyBorder="1"/>
    <xf numFmtId="0" fontId="27" fillId="0" borderId="3" xfId="0" applyFont="1" applyBorder="1" applyAlignment="1">
      <alignment horizontal="left"/>
    </xf>
    <xf numFmtId="39" fontId="27" fillId="0" borderId="3" xfId="0" applyNumberFormat="1" applyFont="1" applyBorder="1" applyAlignment="1">
      <alignment horizontal="right"/>
    </xf>
    <xf numFmtId="0" fontId="27" fillId="0" borderId="3" xfId="0" applyFont="1" applyBorder="1" applyAlignment="1">
      <alignment horizontal="center"/>
    </xf>
    <xf numFmtId="39" fontId="3" fillId="0" borderId="0" xfId="0" applyNumberFormat="1" applyFont="1" applyAlignment="1">
      <alignment horizontal="right"/>
    </xf>
    <xf numFmtId="10" fontId="24" fillId="0" borderId="2" xfId="0" applyNumberFormat="1" applyFont="1" applyBorder="1"/>
    <xf numFmtId="10" fontId="25" fillId="0" borderId="0" xfId="0" applyNumberFormat="1" applyFont="1"/>
    <xf numFmtId="0" fontId="24" fillId="0" borderId="2" xfId="0" applyFont="1" applyBorder="1"/>
    <xf numFmtId="10" fontId="29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0" fontId="20" fillId="0" borderId="0" xfId="0" applyNumberFormat="1" applyFont="1"/>
    <xf numFmtId="168" fontId="3" fillId="0" borderId="0" xfId="0" applyNumberFormat="1" applyFont="1" applyAlignment="1">
      <alignment horizontal="right"/>
    </xf>
    <xf numFmtId="168" fontId="3" fillId="0" borderId="0" xfId="0" applyNumberFormat="1" applyFont="1"/>
    <xf numFmtId="4" fontId="24" fillId="0" borderId="0" xfId="0" applyNumberFormat="1" applyFont="1" applyAlignment="1">
      <alignment horizontal="right"/>
    </xf>
    <xf numFmtId="4" fontId="24" fillId="0" borderId="0" xfId="0" applyNumberFormat="1" applyFont="1"/>
    <xf numFmtId="4" fontId="24" fillId="0" borderId="3" xfId="0" applyNumberFormat="1" applyFont="1" applyBorder="1" applyAlignment="1">
      <alignment horizontal="right"/>
    </xf>
    <xf numFmtId="0" fontId="25" fillId="0" borderId="0" xfId="0" applyFont="1"/>
    <xf numFmtId="0" fontId="25" fillId="0" borderId="0" xfId="0" applyFont="1" applyAlignment="1">
      <alignment horizontal="center"/>
    </xf>
    <xf numFmtId="170" fontId="0" fillId="0" borderId="0" xfId="0" applyNumberFormat="1"/>
    <xf numFmtId="171" fontId="0" fillId="0" borderId="0" xfId="0" applyNumberFormat="1"/>
    <xf numFmtId="0" fontId="30" fillId="0" borderId="0" xfId="0" applyFont="1" applyAlignment="1">
      <alignment horizontal="left" indent="1"/>
    </xf>
    <xf numFmtId="170" fontId="31" fillId="0" borderId="0" xfId="0" applyNumberFormat="1" applyFont="1"/>
    <xf numFmtId="169" fontId="31" fillId="0" borderId="0" xfId="0" applyNumberFormat="1" applyFont="1"/>
    <xf numFmtId="10" fontId="32" fillId="0" borderId="0" xfId="0" applyNumberFormat="1" applyFont="1" applyAlignment="1">
      <alignment horizontal="right"/>
    </xf>
    <xf numFmtId="172" fontId="3" fillId="0" borderId="0" xfId="0" applyNumberFormat="1" applyFont="1"/>
    <xf numFmtId="0" fontId="8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172" fontId="9" fillId="0" borderId="10" xfId="0" applyNumberFormat="1" applyFont="1" applyBorder="1"/>
    <xf numFmtId="0" fontId="3" fillId="0" borderId="11" xfId="0" applyFont="1" applyBorder="1"/>
    <xf numFmtId="9" fontId="9" fillId="0" borderId="12" xfId="0" applyNumberFormat="1" applyFont="1" applyBorder="1" applyAlignment="1">
      <alignment horizontal="right"/>
    </xf>
    <xf numFmtId="0" fontId="3" fillId="0" borderId="12" xfId="0" applyFont="1" applyBorder="1"/>
    <xf numFmtId="173" fontId="3" fillId="0" borderId="13" xfId="0" applyNumberFormat="1" applyFont="1" applyBorder="1"/>
    <xf numFmtId="0" fontId="4" fillId="0" borderId="7" xfId="0" applyFont="1" applyBorder="1"/>
    <xf numFmtId="0" fontId="33" fillId="0" borderId="0" xfId="0" applyFont="1"/>
    <xf numFmtId="0" fontId="33" fillId="0" borderId="0" xfId="0" quotePrefix="1" applyFont="1"/>
    <xf numFmtId="10" fontId="8" fillId="0" borderId="0" xfId="0" applyNumberFormat="1" applyFont="1"/>
    <xf numFmtId="0" fontId="9" fillId="0" borderId="4" xfId="0" applyFont="1" applyBorder="1"/>
    <xf numFmtId="9" fontId="9" fillId="0" borderId="4" xfId="0" applyNumberFormat="1" applyFont="1" applyBorder="1"/>
    <xf numFmtId="9" fontId="9" fillId="0" borderId="6" xfId="0" applyNumberFormat="1" applyFont="1" applyBorder="1" applyAlignment="1">
      <alignment horizontal="right"/>
    </xf>
    <xf numFmtId="9" fontId="8" fillId="0" borderId="9" xfId="0" applyNumberFormat="1" applyFont="1" applyBorder="1" applyAlignment="1">
      <alignment horizontal="right"/>
    </xf>
    <xf numFmtId="166" fontId="9" fillId="0" borderId="7" xfId="0" applyNumberFormat="1" applyFont="1" applyBorder="1" applyAlignment="1">
      <alignment horizontal="right"/>
    </xf>
    <xf numFmtId="10" fontId="9" fillId="0" borderId="7" xfId="0" applyNumberFormat="1" applyFont="1" applyBorder="1" applyAlignment="1">
      <alignment horizontal="right"/>
    </xf>
    <xf numFmtId="9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right"/>
    </xf>
    <xf numFmtId="39" fontId="34" fillId="0" borderId="0" xfId="0" applyNumberFormat="1" applyFont="1" applyAlignment="1">
      <alignment horizontal="left"/>
    </xf>
    <xf numFmtId="0" fontId="23" fillId="0" borderId="0" xfId="1" applyFont="1" applyAlignment="1">
      <alignment vertical="center"/>
    </xf>
    <xf numFmtId="171" fontId="30" fillId="0" borderId="0" xfId="0" applyNumberFormat="1" applyFont="1"/>
    <xf numFmtId="170" fontId="30" fillId="0" borderId="0" xfId="0" applyNumberFormat="1" applyFont="1"/>
    <xf numFmtId="0" fontId="35" fillId="0" borderId="0" xfId="0" applyFont="1" applyAlignment="1">
      <alignment horizontal="center"/>
    </xf>
    <xf numFmtId="0" fontId="36" fillId="0" borderId="0" xfId="0" applyFont="1"/>
    <xf numFmtId="0" fontId="35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38" fillId="7" borderId="2" xfId="0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4" xfId="0" applyFont="1" applyBorder="1"/>
    <xf numFmtId="166" fontId="39" fillId="0" borderId="4" xfId="0" applyNumberFormat="1" applyFont="1" applyBorder="1" applyAlignment="1">
      <alignment horizontal="right"/>
    </xf>
    <xf numFmtId="0" fontId="35" fillId="0" borderId="4" xfId="0" applyFont="1" applyBorder="1"/>
    <xf numFmtId="9" fontId="42" fillId="0" borderId="4" xfId="0" applyNumberFormat="1" applyFont="1" applyBorder="1" applyAlignment="1">
      <alignment horizontal="right"/>
    </xf>
    <xf numFmtId="4" fontId="35" fillId="0" borderId="4" xfId="0" applyNumberFormat="1" applyFont="1" applyBorder="1"/>
    <xf numFmtId="172" fontId="42" fillId="0" borderId="4" xfId="0" applyNumberFormat="1" applyFont="1" applyBorder="1"/>
    <xf numFmtId="0" fontId="4" fillId="0" borderId="4" xfId="0" applyFont="1" applyBorder="1"/>
    <xf numFmtId="166" fontId="11" fillId="0" borderId="4" xfId="0" applyNumberFormat="1" applyFont="1" applyBorder="1" applyAlignment="1">
      <alignment horizontal="right"/>
    </xf>
    <xf numFmtId="0" fontId="18" fillId="0" borderId="4" xfId="0" applyFont="1" applyBorder="1"/>
    <xf numFmtId="9" fontId="18" fillId="0" borderId="4" xfId="0" applyNumberFormat="1" applyFont="1" applyBorder="1"/>
    <xf numFmtId="10" fontId="43" fillId="0" borderId="0" xfId="0" applyNumberFormat="1" applyFont="1"/>
    <xf numFmtId="9" fontId="11" fillId="0" borderId="6" xfId="0" applyNumberFormat="1" applyFont="1" applyBorder="1" applyAlignment="1">
      <alignment horizontal="right"/>
    </xf>
    <xf numFmtId="172" fontId="3" fillId="0" borderId="4" xfId="0" applyNumberFormat="1" applyFont="1" applyBorder="1"/>
    <xf numFmtId="172" fontId="11" fillId="0" borderId="4" xfId="0" applyNumberFormat="1" applyFont="1" applyBorder="1" applyAlignment="1">
      <alignment horizontal="right"/>
    </xf>
    <xf numFmtId="4" fontId="9" fillId="0" borderId="4" xfId="0" applyNumberFormat="1" applyFont="1" applyBorder="1" applyAlignment="1">
      <alignment horizontal="right"/>
    </xf>
    <xf numFmtId="172" fontId="37" fillId="0" borderId="4" xfId="0" applyNumberFormat="1" applyFont="1" applyBorder="1" applyAlignment="1">
      <alignment horizontal="right"/>
    </xf>
    <xf numFmtId="172" fontId="39" fillId="0" borderId="4" xfId="0" applyNumberFormat="1" applyFont="1" applyBorder="1" applyAlignment="1">
      <alignment horizontal="right"/>
    </xf>
    <xf numFmtId="10" fontId="43" fillId="0" borderId="4" xfId="0" applyNumberFormat="1" applyFont="1" applyBorder="1"/>
    <xf numFmtId="0" fontId="6" fillId="8" borderId="0" xfId="0" applyFont="1" applyFill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4" fontId="6" fillId="8" borderId="3" xfId="0" applyNumberFormat="1" applyFont="1" applyFill="1" applyBorder="1" applyAlignment="1">
      <alignment horizontal="center"/>
    </xf>
    <xf numFmtId="4" fontId="6" fillId="5" borderId="3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40" fillId="0" borderId="0" xfId="0" applyFont="1" applyAlignment="1">
      <alignment horizontal="left" wrapText="1"/>
    </xf>
    <xf numFmtId="0" fontId="41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</cellXfs>
  <cellStyles count="4">
    <cellStyle name="Normal 2" xfId="1" xr:uid="{00000000-0005-0000-0000-000001000000}"/>
    <cellStyle name="常规" xfId="0" builtinId="0"/>
    <cellStyle name="常规 2" xfId="3" xr:uid="{32ADA8AA-F280-4250-ABBF-7E6B9CB799DC}"/>
    <cellStyle name="超链接" xfId="2" builtinId="8"/>
  </cellStyles>
  <dxfs count="5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0000"/>
      <color rgb="FF0000FF"/>
      <color rgb="FF00FF00"/>
      <color rgb="FFB6D7A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DPRIME" TargetMode="External"/><Relationship Id="rId3" Type="http://schemas.openxmlformats.org/officeDocument/2006/relationships/hyperlink" Target="https://tradingeconomics.com/bonds" TargetMode="External"/><Relationship Id="rId7" Type="http://schemas.openxmlformats.org/officeDocument/2006/relationships/hyperlink" Target="https://tradingeconomics.com/hong-kong/bank-lending-rate" TargetMode="External"/><Relationship Id="rId2" Type="http://schemas.openxmlformats.org/officeDocument/2006/relationships/hyperlink" Target="https://fred.stlouisfed.org/series/DGS10" TargetMode="External"/><Relationship Id="rId1" Type="http://schemas.openxmlformats.org/officeDocument/2006/relationships/hyperlink" Target="https://tradingeconomics.com/china/government-bond-yield" TargetMode="External"/><Relationship Id="rId6" Type="http://schemas.openxmlformats.org/officeDocument/2006/relationships/hyperlink" Target="https://tradingeconomics.com/hong-kong/government-bond-yield" TargetMode="External"/><Relationship Id="rId5" Type="http://schemas.openxmlformats.org/officeDocument/2006/relationships/hyperlink" Target="https://tradingeconomics.com/china/interest-rate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fred.stlouisfed.org/series/FEDFUNDS" TargetMode="External"/><Relationship Id="rId9" Type="http://schemas.openxmlformats.org/officeDocument/2006/relationships/hyperlink" Target="https://awealthofcommonsense.com/2025/01/historical-returns-for-stocks-bonds-cash-real-estate-and-gold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BBF0-63C3-41BD-B5E6-C3103399E754}">
  <sheetPr>
    <pageSetUpPr fitToPage="1"/>
  </sheetPr>
  <dimension ref="A1:E102"/>
  <sheetViews>
    <sheetView showGridLines="0" topLeftCell="A49" zoomScale="110" zoomScaleNormal="110" workbookViewId="0">
      <selection activeCell="C70" sqref="C70"/>
    </sheetView>
  </sheetViews>
  <sheetFormatPr defaultColWidth="9" defaultRowHeight="11.65"/>
  <cols>
    <col min="1" max="1" width="2.6640625" style="1" customWidth="1"/>
    <col min="2" max="2" width="30" style="1" bestFit="1" customWidth="1"/>
    <col min="3" max="4" width="25.6640625" style="1" customWidth="1"/>
    <col min="5" max="5" width="10.6640625" style="1" customWidth="1"/>
    <col min="6" max="16384" width="9" style="1"/>
  </cols>
  <sheetData>
    <row r="1" spans="1:5">
      <c r="A1" s="20" t="s">
        <v>132</v>
      </c>
    </row>
    <row r="2" spans="1:5">
      <c r="A2" s="21" t="s">
        <v>50</v>
      </c>
      <c r="B2" s="21"/>
      <c r="C2" s="21"/>
      <c r="D2" s="21"/>
      <c r="E2" s="21"/>
    </row>
    <row r="4" spans="1:5" ht="24.5" customHeight="1">
      <c r="B4" s="151" t="s">
        <v>144</v>
      </c>
      <c r="C4" s="151"/>
      <c r="D4" s="151"/>
      <c r="E4" s="151"/>
    </row>
    <row r="6" spans="1:5">
      <c r="A6" s="20" t="s">
        <v>57</v>
      </c>
      <c r="B6" s="19" t="s">
        <v>138</v>
      </c>
      <c r="C6" s="47"/>
    </row>
    <row r="7" spans="1:5">
      <c r="B7" s="151" t="s">
        <v>198</v>
      </c>
      <c r="C7" s="151"/>
      <c r="D7" s="151"/>
      <c r="E7" s="151"/>
    </row>
    <row r="9" spans="1:5">
      <c r="B9" s="23" t="s">
        <v>52</v>
      </c>
    </row>
    <row r="10" spans="1:5">
      <c r="B10" s="1" t="s">
        <v>55</v>
      </c>
      <c r="C10" s="135">
        <f>Market_Yield!D16</f>
        <v>8.6999999999999994E-2</v>
      </c>
    </row>
    <row r="11" spans="1:5">
      <c r="B11" s="1" t="s">
        <v>49</v>
      </c>
      <c r="C11" s="135">
        <f>Market_Yield!C5</f>
        <v>1.9E-2</v>
      </c>
    </row>
    <row r="12" spans="1:5">
      <c r="B12" s="1" t="s">
        <v>338</v>
      </c>
      <c r="C12" s="77">
        <v>7.2499999999999995E-2</v>
      </c>
    </row>
    <row r="13" spans="1:5">
      <c r="C13" s="4"/>
    </row>
    <row r="14" spans="1:5" ht="46.5" customHeight="1">
      <c r="B14" s="151" t="s">
        <v>339</v>
      </c>
      <c r="C14" s="151"/>
      <c r="D14" s="151"/>
      <c r="E14" s="151"/>
    </row>
    <row r="15" spans="1:5">
      <c r="C15" s="4"/>
    </row>
    <row r="16" spans="1:5">
      <c r="B16" s="23" t="s">
        <v>53</v>
      </c>
      <c r="C16" s="4"/>
    </row>
    <row r="17" spans="1:5">
      <c r="B17" s="1" t="s">
        <v>140</v>
      </c>
      <c r="C17" s="4" t="s">
        <v>141</v>
      </c>
    </row>
    <row r="18" spans="1:5">
      <c r="B18" s="1" t="s">
        <v>128</v>
      </c>
      <c r="C18" s="24" t="s">
        <v>126</v>
      </c>
    </row>
    <row r="19" spans="1:5">
      <c r="B19" s="1" t="s">
        <v>129</v>
      </c>
      <c r="C19" s="24" t="s">
        <v>127</v>
      </c>
    </row>
    <row r="21" spans="1:5">
      <c r="B21" s="23" t="s">
        <v>54</v>
      </c>
    </row>
    <row r="22" spans="1:5">
      <c r="B22" s="24" t="s">
        <v>222</v>
      </c>
    </row>
    <row r="23" spans="1:5">
      <c r="B23" s="24" t="s">
        <v>199</v>
      </c>
    </row>
    <row r="24" spans="1:5">
      <c r="B24" s="24" t="s">
        <v>139</v>
      </c>
    </row>
    <row r="26" spans="1:5">
      <c r="A26" s="25" t="s">
        <v>58</v>
      </c>
      <c r="B26" s="19" t="s">
        <v>137</v>
      </c>
      <c r="C26" s="47"/>
    </row>
    <row r="27" spans="1:5">
      <c r="A27" s="18"/>
      <c r="B27" s="152" t="s">
        <v>200</v>
      </c>
      <c r="C27" s="151"/>
      <c r="D27" s="151"/>
      <c r="E27" s="151"/>
    </row>
    <row r="28" spans="1:5">
      <c r="A28" s="18"/>
    </row>
    <row r="29" spans="1:5">
      <c r="A29" s="18"/>
      <c r="B29" s="43" t="s">
        <v>130</v>
      </c>
      <c r="C29" s="43" t="s">
        <v>125</v>
      </c>
    </row>
    <row r="30" spans="1:5">
      <c r="B30" s="26" t="s">
        <v>72</v>
      </c>
      <c r="C30" s="133">
        <v>6</v>
      </c>
    </row>
    <row r="31" spans="1:5">
      <c r="B31" s="26" t="s">
        <v>187</v>
      </c>
      <c r="C31" s="134">
        <v>0.3</v>
      </c>
    </row>
    <row r="33" spans="1:5">
      <c r="A33" s="20" t="s">
        <v>59</v>
      </c>
      <c r="B33" s="19" t="s">
        <v>12</v>
      </c>
      <c r="C33" s="47"/>
    </row>
    <row r="34" spans="1:5">
      <c r="A34" s="20"/>
    </row>
    <row r="35" spans="1:5">
      <c r="A35" s="20"/>
      <c r="B35" s="43" t="s">
        <v>337</v>
      </c>
      <c r="C35" s="43" t="s">
        <v>125</v>
      </c>
    </row>
    <row r="36" spans="1:5">
      <c r="B36" s="131" t="s">
        <v>205</v>
      </c>
      <c r="C36" s="132">
        <v>3</v>
      </c>
    </row>
    <row r="37" spans="1:5">
      <c r="B37" s="26" t="s">
        <v>204</v>
      </c>
      <c r="C37" s="136">
        <v>0.55000000000000004</v>
      </c>
    </row>
    <row r="38" spans="1:5">
      <c r="B38" s="26" t="s">
        <v>333</v>
      </c>
      <c r="C38" s="138">
        <v>-0.75</v>
      </c>
    </row>
    <row r="40" spans="1:5">
      <c r="B40" s="20" t="s">
        <v>208</v>
      </c>
    </row>
    <row r="41" spans="1:5">
      <c r="B41" s="151" t="s">
        <v>207</v>
      </c>
      <c r="C41" s="151"/>
      <c r="D41" s="151"/>
      <c r="E41" s="151"/>
    </row>
    <row r="43" spans="1:5">
      <c r="A43" s="20" t="s">
        <v>59</v>
      </c>
      <c r="B43" s="19" t="s">
        <v>344</v>
      </c>
    </row>
    <row r="45" spans="1:5">
      <c r="B45" s="43" t="s">
        <v>201</v>
      </c>
      <c r="C45" s="43"/>
      <c r="D45" s="43"/>
      <c r="E45" s="43"/>
    </row>
    <row r="46" spans="1:5">
      <c r="B46" s="26" t="s">
        <v>346</v>
      </c>
      <c r="C46" s="138">
        <v>0.3</v>
      </c>
      <c r="D46" s="137"/>
      <c r="E46" s="139"/>
    </row>
    <row r="47" spans="1:5">
      <c r="B47" s="26" t="s">
        <v>347</v>
      </c>
      <c r="C47" s="138">
        <v>0.2</v>
      </c>
      <c r="D47" s="137"/>
      <c r="E47" s="139"/>
    </row>
    <row r="49" spans="1:5">
      <c r="B49" s="20" t="s">
        <v>208</v>
      </c>
    </row>
    <row r="50" spans="1:5">
      <c r="B50" s="152" t="s">
        <v>341</v>
      </c>
      <c r="C50" s="151"/>
      <c r="D50" s="151"/>
      <c r="E50" s="151"/>
    </row>
    <row r="51" spans="1:5">
      <c r="B51" s="152" t="s">
        <v>220</v>
      </c>
      <c r="C51" s="152"/>
      <c r="D51" s="152"/>
      <c r="E51" s="152"/>
    </row>
    <row r="53" spans="1:5">
      <c r="A53" s="21" t="s">
        <v>133</v>
      </c>
      <c r="B53" s="21"/>
      <c r="C53" s="21"/>
      <c r="D53" s="21"/>
      <c r="E53" s="21"/>
    </row>
    <row r="55" spans="1:5">
      <c r="B55" s="151" t="s">
        <v>209</v>
      </c>
      <c r="C55" s="151"/>
      <c r="D55" s="151"/>
      <c r="E55" s="151"/>
    </row>
    <row r="57" spans="1:5">
      <c r="B57" s="23" t="s">
        <v>73</v>
      </c>
    </row>
    <row r="59" spans="1:5">
      <c r="B59" s="43" t="s">
        <v>74</v>
      </c>
      <c r="C59" s="43" t="s">
        <v>136</v>
      </c>
      <c r="D59" s="45"/>
      <c r="E59" s="45"/>
    </row>
    <row r="60" spans="1:5">
      <c r="B60" s="26" t="s">
        <v>196</v>
      </c>
      <c r="C60" s="29">
        <v>0.45</v>
      </c>
      <c r="D60" s="46"/>
      <c r="E60" s="44"/>
    </row>
    <row r="61" spans="1:5">
      <c r="B61" s="26" t="s">
        <v>195</v>
      </c>
      <c r="C61" s="29">
        <v>0.3</v>
      </c>
      <c r="D61" s="46"/>
      <c r="E61" s="44"/>
    </row>
    <row r="62" spans="1:5">
      <c r="B62" s="26" t="s">
        <v>194</v>
      </c>
      <c r="C62" s="29">
        <v>0.15</v>
      </c>
      <c r="D62" s="48" t="s">
        <v>145</v>
      </c>
      <c r="E62" s="44"/>
    </row>
    <row r="64" spans="1:5">
      <c r="B64" s="23" t="s">
        <v>345</v>
      </c>
    </row>
    <row r="66" spans="1:5">
      <c r="B66" s="43" t="s">
        <v>75</v>
      </c>
      <c r="C66" s="43" t="s">
        <v>76</v>
      </c>
      <c r="D66" s="43" t="s">
        <v>77</v>
      </c>
      <c r="E66" s="43" t="s">
        <v>78</v>
      </c>
    </row>
    <row r="67" spans="1:5">
      <c r="B67" s="26" t="s">
        <v>60</v>
      </c>
      <c r="C67" s="26" t="s">
        <v>64</v>
      </c>
      <c r="D67" s="26" t="s">
        <v>65</v>
      </c>
      <c r="E67" s="40">
        <v>1</v>
      </c>
    </row>
    <row r="68" spans="1:5">
      <c r="B68" s="26" t="s">
        <v>61</v>
      </c>
      <c r="C68" s="26" t="s">
        <v>62</v>
      </c>
      <c r="D68" s="26" t="s">
        <v>66</v>
      </c>
      <c r="E68" s="40">
        <v>1</v>
      </c>
    </row>
    <row r="69" spans="1:5">
      <c r="B69" s="26" t="s">
        <v>191</v>
      </c>
      <c r="C69" s="26" t="s">
        <v>192</v>
      </c>
      <c r="D69" s="26" t="s">
        <v>193</v>
      </c>
      <c r="E69" s="40">
        <v>1</v>
      </c>
    </row>
    <row r="70" spans="1:5">
      <c r="B70" s="26" t="s">
        <v>189</v>
      </c>
      <c r="C70" s="26" t="s">
        <v>163</v>
      </c>
      <c r="D70" s="26" t="s">
        <v>164</v>
      </c>
      <c r="E70" s="40">
        <v>2</v>
      </c>
    </row>
    <row r="71" spans="1:5">
      <c r="B71" s="26" t="s">
        <v>190</v>
      </c>
      <c r="C71" s="26" t="s">
        <v>63</v>
      </c>
      <c r="D71" s="26" t="s">
        <v>67</v>
      </c>
      <c r="E71" s="40">
        <v>1</v>
      </c>
    </row>
    <row r="72" spans="1:5">
      <c r="D72" s="27" t="s">
        <v>68</v>
      </c>
      <c r="E72" s="39">
        <f>SUM(E67:E71)</f>
        <v>6</v>
      </c>
    </row>
    <row r="73" spans="1:5" ht="12" thickBot="1">
      <c r="D73" s="41" t="s">
        <v>135</v>
      </c>
      <c r="E73" s="42">
        <f>IF(E72&lt;=4,C60,IF(E72&gt;=8,C62,C61))</f>
        <v>0.3</v>
      </c>
    </row>
    <row r="74" spans="1:5" ht="12" thickTop="1"/>
    <row r="75" spans="1:5">
      <c r="B75" s="1" t="s">
        <v>211</v>
      </c>
    </row>
    <row r="76" spans="1:5">
      <c r="B76" s="1" t="s">
        <v>221</v>
      </c>
    </row>
    <row r="77" spans="1:5">
      <c r="B77" s="1" t="s">
        <v>210</v>
      </c>
    </row>
    <row r="79" spans="1:5">
      <c r="A79" s="21" t="s">
        <v>69</v>
      </c>
      <c r="B79" s="21"/>
      <c r="C79" s="21"/>
      <c r="D79" s="21"/>
      <c r="E79" s="21"/>
    </row>
    <row r="81" spans="1:5">
      <c r="B81" s="151" t="s">
        <v>134</v>
      </c>
      <c r="C81" s="151"/>
      <c r="D81" s="151"/>
      <c r="E81" s="151"/>
    </row>
    <row r="83" spans="1:5">
      <c r="A83" s="28" t="s">
        <v>57</v>
      </c>
      <c r="B83" s="20" t="s">
        <v>213</v>
      </c>
    </row>
    <row r="84" spans="1:5">
      <c r="B84" s="24" t="s">
        <v>146</v>
      </c>
    </row>
    <row r="86" spans="1:5">
      <c r="A86" s="28" t="s">
        <v>197</v>
      </c>
      <c r="B86" s="20" t="s">
        <v>212</v>
      </c>
    </row>
    <row r="87" spans="1:5">
      <c r="B87" s="1" t="str">
        <f>B22</f>
        <v>- Only investments with ERB &gt; 0 and Market Price &lt;= Entry Price are eligible for portfolio allocation.</v>
      </c>
    </row>
    <row r="88" spans="1:5">
      <c r="B88" s="104" t="s">
        <v>216</v>
      </c>
      <c r="C88" s="91" t="s">
        <v>223</v>
      </c>
    </row>
    <row r="89" spans="1:5">
      <c r="B89" s="104" t="s">
        <v>215</v>
      </c>
      <c r="C89" s="91" t="s">
        <v>188</v>
      </c>
    </row>
    <row r="90" spans="1:5">
      <c r="B90" s="103" t="str">
        <f>B23</f>
        <v>- Non-selected investments receive 50% of normal allocation.</v>
      </c>
    </row>
    <row r="92" spans="1:5">
      <c r="B92" s="20" t="s">
        <v>214</v>
      </c>
    </row>
    <row r="93" spans="1:5">
      <c r="B93" s="1" t="s">
        <v>217</v>
      </c>
    </row>
    <row r="94" spans="1:5">
      <c r="B94" s="1" t="s">
        <v>219</v>
      </c>
    </row>
    <row r="95" spans="1:5">
      <c r="B95" s="1" t="s">
        <v>218</v>
      </c>
    </row>
    <row r="97" spans="1:5">
      <c r="A97" s="21" t="s">
        <v>70</v>
      </c>
      <c r="B97" s="21"/>
      <c r="C97" s="21"/>
      <c r="D97" s="21"/>
      <c r="E97" s="21"/>
    </row>
    <row r="99" spans="1:5">
      <c r="B99" s="20" t="s">
        <v>71</v>
      </c>
    </row>
    <row r="100" spans="1:5">
      <c r="B100" s="24" t="s">
        <v>79</v>
      </c>
    </row>
    <row r="101" spans="1:5">
      <c r="B101" s="24" t="s">
        <v>80</v>
      </c>
    </row>
    <row r="102" spans="1:5">
      <c r="B102" s="24" t="s">
        <v>143</v>
      </c>
    </row>
  </sheetData>
  <mergeCells count="9">
    <mergeCell ref="B81:E81"/>
    <mergeCell ref="B55:E55"/>
    <mergeCell ref="B4:E4"/>
    <mergeCell ref="B7:E7"/>
    <mergeCell ref="B27:E27"/>
    <mergeCell ref="B50:E50"/>
    <mergeCell ref="B14:E14"/>
    <mergeCell ref="B41:E41"/>
    <mergeCell ref="B51:E51"/>
  </mergeCells>
  <phoneticPr fontId="17" type="noConversion"/>
  <pageMargins left="0.25" right="0.25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58"/>
  <sheetViews>
    <sheetView showGridLines="0" tabSelected="1" zoomScale="116" zoomScaleNormal="100" workbookViewId="0">
      <pane xSplit="3" ySplit="2" topLeftCell="D3" activePane="bottomRight" state="frozen"/>
      <selection pane="topRight" activeCell="D1" sqref="D1"/>
      <selection pane="bottomLeft" activeCell="A5" sqref="A5"/>
      <selection pane="bottomRight" activeCell="D2" sqref="D2"/>
    </sheetView>
  </sheetViews>
  <sheetFormatPr defaultColWidth="8.796875" defaultRowHeight="11.65"/>
  <cols>
    <col min="1" max="1" width="2.46484375" style="1" customWidth="1"/>
    <col min="2" max="2" width="10.6640625" style="1" customWidth="1"/>
    <col min="3" max="3" width="18.6640625" style="1" customWidth="1"/>
    <col min="4" max="4" width="8.6640625" style="2" customWidth="1"/>
    <col min="5" max="5" width="5.6640625" style="1" customWidth="1"/>
    <col min="6" max="6" width="8.6640625" style="15" customWidth="1"/>
    <col min="7" max="7" width="9" style="15" bestFit="1" customWidth="1"/>
    <col min="8" max="12" width="8.6640625" style="2" customWidth="1"/>
    <col min="13" max="16" width="8.6640625" style="1" customWidth="1"/>
    <col min="17" max="17" width="8.6640625" style="79" customWidth="1"/>
    <col min="18" max="18" width="8.6640625" style="78" customWidth="1"/>
    <col min="19" max="19" width="8.6640625" style="15" customWidth="1"/>
    <col min="20" max="20" width="8.6640625" style="76" customWidth="1"/>
    <col min="21" max="21" width="8.6640625" style="71" customWidth="1"/>
    <col min="22" max="22" width="8.6640625" style="1" customWidth="1"/>
    <col min="23" max="23" width="20.6640625" style="1" bestFit="1" customWidth="1"/>
    <col min="24" max="24" width="11.796875" style="3" bestFit="1" customWidth="1"/>
    <col min="25" max="25" width="8.796875" style="11"/>
    <col min="26" max="16384" width="8.796875" style="1"/>
  </cols>
  <sheetData>
    <row r="1" spans="1:25">
      <c r="A1" s="5"/>
      <c r="B1" s="6" t="s">
        <v>3</v>
      </c>
      <c r="C1" s="11"/>
      <c r="D1" s="146" t="s">
        <v>1</v>
      </c>
      <c r="E1" s="146"/>
      <c r="F1" s="146"/>
      <c r="G1" s="143"/>
      <c r="H1" s="148" t="s">
        <v>4</v>
      </c>
      <c r="I1" s="148"/>
      <c r="J1" s="148"/>
      <c r="K1" s="147" t="s">
        <v>162</v>
      </c>
      <c r="L1" s="147"/>
      <c r="M1" s="144" t="s">
        <v>8</v>
      </c>
      <c r="N1" s="144"/>
      <c r="O1" s="150" t="s">
        <v>174</v>
      </c>
      <c r="P1" s="150"/>
      <c r="Q1" s="150"/>
      <c r="R1" s="150"/>
      <c r="S1" s="149" t="s">
        <v>170</v>
      </c>
      <c r="T1" s="149"/>
      <c r="U1" s="149"/>
      <c r="V1" s="145" t="s">
        <v>48</v>
      </c>
      <c r="W1" s="145"/>
      <c r="X1" s="145"/>
      <c r="Y1" s="145"/>
    </row>
    <row r="2" spans="1:25" ht="26" customHeight="1">
      <c r="B2" s="7" t="s">
        <v>2</v>
      </c>
      <c r="C2" s="7" t="s">
        <v>0</v>
      </c>
      <c r="D2" s="8" t="s">
        <v>1</v>
      </c>
      <c r="E2" s="7" t="s">
        <v>168</v>
      </c>
      <c r="F2" s="7" t="s">
        <v>167</v>
      </c>
      <c r="G2" s="7" t="s">
        <v>142</v>
      </c>
      <c r="H2" s="8" t="s">
        <v>7</v>
      </c>
      <c r="I2" s="8" t="s">
        <v>10</v>
      </c>
      <c r="J2" s="8" t="s">
        <v>166</v>
      </c>
      <c r="K2" s="8" t="s">
        <v>161</v>
      </c>
      <c r="L2" s="8" t="s">
        <v>165</v>
      </c>
      <c r="M2" s="7" t="s">
        <v>11</v>
      </c>
      <c r="N2" s="7" t="s">
        <v>6</v>
      </c>
      <c r="O2" s="7" t="s">
        <v>171</v>
      </c>
      <c r="P2" s="7" t="s">
        <v>175</v>
      </c>
      <c r="Q2" s="7" t="s">
        <v>172</v>
      </c>
      <c r="R2" s="7" t="s">
        <v>173</v>
      </c>
      <c r="S2" s="7" t="s">
        <v>158</v>
      </c>
      <c r="T2" s="7" t="s">
        <v>160</v>
      </c>
      <c r="U2" s="7" t="s">
        <v>159</v>
      </c>
      <c r="V2" s="7" t="s">
        <v>5</v>
      </c>
      <c r="W2" s="7" t="s">
        <v>169</v>
      </c>
      <c r="X2" s="9" t="s">
        <v>9</v>
      </c>
      <c r="Y2" s="10" t="s">
        <v>47</v>
      </c>
    </row>
    <row r="3" spans="1:25">
      <c r="B3" s="11" t="s">
        <v>348</v>
      </c>
      <c r="C3" s="11" t="s">
        <v>349</v>
      </c>
      <c r="D3" s="2">
        <v>101.2</v>
      </c>
      <c r="E3" s="12" t="s">
        <v>350</v>
      </c>
      <c r="F3" s="15">
        <v>0.23274777931282981</v>
      </c>
      <c r="G3" s="15">
        <v>5.4521391120574914E-2</v>
      </c>
      <c r="H3" s="2">
        <v>86.739441984939162</v>
      </c>
      <c r="I3" s="2">
        <v>174.07668204091138</v>
      </c>
      <c r="J3" s="71">
        <v>151.90346952484109</v>
      </c>
      <c r="K3" s="2">
        <v>109.4444872921941</v>
      </c>
      <c r="L3" s="2">
        <v>146.05268014903339</v>
      </c>
      <c r="M3" s="4">
        <v>8.8483646337832192E-2</v>
      </c>
      <c r="N3" s="4">
        <v>4.0837944664031622E-2</v>
      </c>
      <c r="O3" s="4">
        <v>0.37772085893132024</v>
      </c>
      <c r="P3" s="4">
        <v>0.56520395086535147</v>
      </c>
      <c r="Q3" s="79">
        <v>0.44445275381950455</v>
      </c>
      <c r="R3" s="78">
        <v>1.5036272168761813</v>
      </c>
      <c r="S3" s="15">
        <v>5.8904840599867017E-2</v>
      </c>
      <c r="T3" s="76">
        <v>0.15503078912543219</v>
      </c>
      <c r="U3" s="71">
        <v>12.72773462292413</v>
      </c>
      <c r="V3" s="13" t="s">
        <v>351</v>
      </c>
      <c r="W3" s="11" t="s">
        <v>352</v>
      </c>
      <c r="X3" s="14">
        <v>46081</v>
      </c>
      <c r="Y3" s="16" t="s">
        <v>353</v>
      </c>
    </row>
    <row r="4" spans="1:25">
      <c r="B4" s="11" t="s">
        <v>357</v>
      </c>
      <c r="C4" s="11" t="s">
        <v>358</v>
      </c>
      <c r="D4" s="2">
        <v>101.86</v>
      </c>
      <c r="E4" s="12" t="s">
        <v>350</v>
      </c>
      <c r="F4" s="15">
        <v>0.16424302340067351</v>
      </c>
      <c r="G4" s="15">
        <v>0</v>
      </c>
      <c r="H4" s="2">
        <v>73.77572463932286</v>
      </c>
      <c r="I4" s="2">
        <v>150.70538803259237</v>
      </c>
      <c r="J4" s="71">
        <v>129.61296430141905</v>
      </c>
      <c r="K4" s="2">
        <v>93.221662055898364</v>
      </c>
      <c r="L4" s="2">
        <v>124.59667696127181</v>
      </c>
      <c r="M4" s="4">
        <v>7.537623542756218E-2</v>
      </c>
      <c r="N4" s="4">
        <v>2.8000196347928531E-2</v>
      </c>
      <c r="O4" s="4">
        <v>0.28867573532952973</v>
      </c>
      <c r="P4" s="4">
        <v>0.4665778415257858</v>
      </c>
      <c r="Q4" s="79">
        <v>0.4610552539366265</v>
      </c>
      <c r="R4" s="78">
        <v>1.3419403008261008</v>
      </c>
      <c r="S4" s="15">
        <v>1.4942693904035366E-3</v>
      </c>
      <c r="T4" s="76">
        <v>5.1971735080735887E-3</v>
      </c>
      <c r="U4" s="71">
        <v>24.855396491318039</v>
      </c>
      <c r="V4" s="13" t="s">
        <v>351</v>
      </c>
      <c r="W4" s="11" t="s">
        <v>356</v>
      </c>
      <c r="X4" s="14">
        <v>46081</v>
      </c>
      <c r="Y4" s="16" t="s">
        <v>353</v>
      </c>
    </row>
    <row r="5" spans="1:25">
      <c r="B5" s="11" t="s">
        <v>354</v>
      </c>
      <c r="C5" s="11" t="s">
        <v>355</v>
      </c>
      <c r="D5" s="2">
        <v>18.73</v>
      </c>
      <c r="E5" s="12" t="s">
        <v>350</v>
      </c>
      <c r="F5" s="15">
        <v>0.11129441592831543</v>
      </c>
      <c r="G5" s="15">
        <v>0</v>
      </c>
      <c r="H5" s="2">
        <v>12.010833823982884</v>
      </c>
      <c r="I5" s="2">
        <v>22.158401911290397</v>
      </c>
      <c r="J5" s="71">
        <v>20.730780285650923</v>
      </c>
      <c r="K5" s="2">
        <v>15.056019624589352</v>
      </c>
      <c r="L5" s="2">
        <v>19.949994757287094</v>
      </c>
      <c r="M5" s="4">
        <v>7.4549935546810039E-2</v>
      </c>
      <c r="N5" s="4">
        <v>5.6593699946609718E-2</v>
      </c>
      <c r="O5" s="4">
        <v>0.23262925318478492</v>
      </c>
      <c r="P5" s="4">
        <v>0.17509284601323677</v>
      </c>
      <c r="Q5" s="79">
        <v>0.68288968092621871</v>
      </c>
      <c r="R5" s="78">
        <v>1.9455633401039498</v>
      </c>
      <c r="S5" s="15">
        <v>4.3380350010353987E-2</v>
      </c>
      <c r="T5" s="76">
        <v>0.18538212957704164</v>
      </c>
      <c r="U5" s="71">
        <v>-0.45026820353990077</v>
      </c>
      <c r="V5" s="13" t="s">
        <v>351</v>
      </c>
      <c r="W5" s="11" t="s">
        <v>356</v>
      </c>
      <c r="X5" s="14">
        <v>46081</v>
      </c>
      <c r="Y5" s="16" t="s">
        <v>353</v>
      </c>
    </row>
    <row r="6" spans="1:25">
      <c r="B6" s="11"/>
      <c r="C6" s="11"/>
      <c r="E6" s="12"/>
      <c r="J6" s="71"/>
      <c r="M6" s="4"/>
      <c r="N6" s="4"/>
      <c r="O6" s="4"/>
      <c r="P6" s="4"/>
      <c r="V6" s="13"/>
      <c r="W6" s="11"/>
      <c r="X6" s="14"/>
      <c r="Y6" s="16"/>
    </row>
    <row r="7" spans="1:25">
      <c r="B7" s="11"/>
      <c r="C7" s="11"/>
      <c r="E7" s="12"/>
      <c r="J7" s="71"/>
      <c r="M7" s="4"/>
      <c r="N7" s="4"/>
      <c r="O7" s="4"/>
      <c r="P7" s="4"/>
      <c r="V7" s="13"/>
      <c r="W7" s="11"/>
      <c r="X7" s="14"/>
      <c r="Y7" s="16"/>
    </row>
    <row r="8" spans="1:25">
      <c r="B8" s="11"/>
      <c r="C8" s="11"/>
      <c r="E8" s="12"/>
      <c r="J8" s="71"/>
      <c r="M8" s="4"/>
      <c r="N8" s="4"/>
      <c r="O8" s="4"/>
      <c r="P8" s="4"/>
      <c r="V8" s="13"/>
      <c r="W8" s="11"/>
      <c r="X8" s="14"/>
      <c r="Y8" s="16"/>
    </row>
    <row r="9" spans="1:25">
      <c r="B9" s="11"/>
      <c r="C9" s="11"/>
      <c r="E9" s="12"/>
      <c r="J9" s="71"/>
      <c r="M9" s="4"/>
      <c r="N9" s="4"/>
      <c r="O9" s="4"/>
      <c r="P9" s="4"/>
      <c r="V9" s="13"/>
      <c r="W9" s="11"/>
      <c r="X9" s="14"/>
      <c r="Y9" s="16"/>
    </row>
    <row r="10" spans="1:25">
      <c r="B10" s="11"/>
      <c r="C10" s="11"/>
      <c r="E10" s="12"/>
      <c r="J10" s="71"/>
      <c r="M10" s="4"/>
      <c r="N10" s="4"/>
      <c r="O10" s="4"/>
      <c r="P10" s="4"/>
      <c r="V10" s="16"/>
      <c r="W10" s="11"/>
      <c r="X10" s="14"/>
      <c r="Y10" s="16"/>
    </row>
    <row r="11" spans="1:25">
      <c r="B11" s="11"/>
      <c r="C11" s="11"/>
      <c r="E11" s="12"/>
      <c r="J11" s="71"/>
      <c r="M11" s="4"/>
      <c r="N11" s="4"/>
      <c r="O11" s="4"/>
      <c r="P11" s="4"/>
      <c r="V11" s="13"/>
      <c r="W11" s="11"/>
      <c r="X11" s="14"/>
      <c r="Y11" s="16"/>
    </row>
    <row r="12" spans="1:25">
      <c r="B12" s="11"/>
      <c r="C12" s="11"/>
      <c r="E12" s="12"/>
      <c r="J12" s="71"/>
      <c r="M12" s="4"/>
      <c r="N12" s="4"/>
      <c r="O12" s="4"/>
      <c r="P12" s="4"/>
      <c r="V12" s="13"/>
      <c r="W12" s="11"/>
      <c r="X12" s="14"/>
      <c r="Y12" s="16"/>
    </row>
    <row r="13" spans="1:25">
      <c r="B13" s="11"/>
      <c r="C13" s="11"/>
      <c r="E13" s="12"/>
      <c r="M13" s="4"/>
      <c r="N13" s="4"/>
      <c r="O13" s="4"/>
      <c r="P13" s="4"/>
      <c r="V13" s="13"/>
      <c r="W13" s="11"/>
      <c r="X13" s="14"/>
      <c r="Y13" s="16"/>
    </row>
    <row r="14" spans="1:25">
      <c r="B14" s="11"/>
      <c r="C14" s="11"/>
      <c r="E14" s="12"/>
      <c r="M14" s="4"/>
      <c r="N14" s="4"/>
      <c r="O14" s="4"/>
      <c r="P14" s="4"/>
      <c r="V14" s="13"/>
      <c r="W14" s="11"/>
      <c r="X14" s="14"/>
      <c r="Y14" s="16"/>
    </row>
    <row r="15" spans="1:25">
      <c r="B15" s="11"/>
      <c r="C15" s="11"/>
      <c r="E15" s="12"/>
      <c r="M15" s="4"/>
      <c r="N15" s="4"/>
      <c r="O15" s="4"/>
      <c r="P15" s="4"/>
      <c r="V15" s="13"/>
      <c r="W15" s="11"/>
      <c r="X15" s="14"/>
      <c r="Y15" s="16"/>
    </row>
    <row r="16" spans="1:25">
      <c r="B16" s="11"/>
      <c r="C16" s="11"/>
      <c r="E16" s="12"/>
      <c r="M16" s="4"/>
      <c r="N16" s="4"/>
      <c r="O16" s="4"/>
      <c r="P16" s="4"/>
      <c r="V16" s="13"/>
      <c r="W16" s="11"/>
      <c r="X16" s="14"/>
      <c r="Y16" s="16"/>
    </row>
    <row r="17" spans="2:24">
      <c r="B17" s="11"/>
      <c r="C17" s="11"/>
      <c r="E17" s="12"/>
      <c r="M17" s="4"/>
      <c r="N17" s="4"/>
      <c r="O17" s="4"/>
      <c r="P17" s="4"/>
      <c r="V17" s="13"/>
      <c r="W17" s="11"/>
      <c r="X17" s="14"/>
    </row>
    <row r="18" spans="2:24">
      <c r="B18" s="11"/>
      <c r="C18" s="11"/>
      <c r="E18" s="12"/>
      <c r="M18" s="4"/>
      <c r="N18" s="4"/>
      <c r="O18" s="4"/>
      <c r="P18" s="4"/>
      <c r="V18" s="13"/>
      <c r="W18" s="11"/>
      <c r="X18" s="14"/>
    </row>
    <row r="19" spans="2:24">
      <c r="B19" s="11"/>
      <c r="C19" s="11"/>
      <c r="E19" s="12"/>
      <c r="M19" s="4"/>
      <c r="N19" s="4"/>
      <c r="O19" s="4"/>
      <c r="P19" s="4"/>
      <c r="V19" s="13"/>
      <c r="W19" s="11"/>
      <c r="X19" s="14"/>
    </row>
    <row r="20" spans="2:24">
      <c r="B20" s="11"/>
      <c r="C20" s="11"/>
      <c r="E20" s="12"/>
      <c r="M20" s="4"/>
      <c r="N20" s="4"/>
      <c r="O20" s="4"/>
      <c r="P20" s="4"/>
      <c r="V20" s="13"/>
      <c r="W20" s="11"/>
      <c r="X20" s="14"/>
    </row>
    <row r="21" spans="2:24">
      <c r="B21" s="11"/>
      <c r="C21" s="11"/>
      <c r="E21" s="12"/>
      <c r="M21" s="4"/>
      <c r="N21" s="4"/>
      <c r="O21" s="4"/>
      <c r="P21" s="4"/>
      <c r="V21" s="13"/>
      <c r="W21" s="11"/>
      <c r="X21" s="14"/>
    </row>
    <row r="22" spans="2:24">
      <c r="B22" s="11"/>
      <c r="C22" s="11"/>
      <c r="E22" s="12"/>
      <c r="M22" s="4"/>
      <c r="N22" s="4"/>
      <c r="O22" s="4"/>
      <c r="P22" s="4"/>
      <c r="V22" s="13"/>
      <c r="W22" s="11"/>
      <c r="X22" s="14"/>
    </row>
    <row r="23" spans="2:24">
      <c r="B23" s="11"/>
      <c r="C23" s="11"/>
      <c r="E23" s="12"/>
      <c r="M23" s="4"/>
      <c r="N23" s="4"/>
      <c r="O23" s="4"/>
      <c r="P23" s="4"/>
      <c r="V23" s="13"/>
      <c r="W23" s="11"/>
      <c r="X23" s="14"/>
    </row>
    <row r="24" spans="2:24">
      <c r="B24" s="11"/>
      <c r="C24" s="11"/>
      <c r="E24" s="12"/>
      <c r="M24" s="4"/>
      <c r="N24" s="4"/>
      <c r="O24" s="4"/>
      <c r="P24" s="4"/>
      <c r="V24" s="13"/>
      <c r="W24" s="11"/>
      <c r="X24" s="14"/>
    </row>
    <row r="25" spans="2:24">
      <c r="B25" s="11"/>
      <c r="C25" s="11"/>
      <c r="E25" s="12"/>
      <c r="M25" s="4"/>
      <c r="N25" s="4"/>
      <c r="O25" s="4"/>
      <c r="P25" s="4"/>
      <c r="V25" s="13"/>
      <c r="W25" s="11"/>
      <c r="X25" s="14"/>
    </row>
    <row r="26" spans="2:24">
      <c r="B26" s="11"/>
      <c r="C26" s="11"/>
      <c r="E26" s="12"/>
      <c r="M26" s="4"/>
      <c r="N26" s="4"/>
      <c r="O26" s="4"/>
      <c r="P26" s="4"/>
      <c r="V26" s="13"/>
      <c r="W26" s="11"/>
      <c r="X26" s="14"/>
    </row>
    <row r="27" spans="2:24">
      <c r="B27" s="11"/>
      <c r="C27" s="11"/>
      <c r="E27" s="12"/>
      <c r="M27" s="4"/>
      <c r="N27" s="4"/>
      <c r="O27" s="4"/>
      <c r="P27" s="4"/>
      <c r="V27" s="13"/>
      <c r="W27" s="11"/>
      <c r="X27" s="14"/>
    </row>
    <row r="28" spans="2:24">
      <c r="B28" s="11"/>
      <c r="C28" s="11"/>
      <c r="E28" s="12"/>
      <c r="M28" s="4"/>
      <c r="N28" s="4"/>
      <c r="O28" s="4"/>
      <c r="P28" s="4"/>
      <c r="V28" s="13"/>
      <c r="W28" s="11"/>
      <c r="X28" s="14"/>
    </row>
    <row r="29" spans="2:24">
      <c r="B29" s="11"/>
      <c r="C29" s="11"/>
      <c r="E29" s="12"/>
      <c r="M29" s="4"/>
      <c r="N29" s="4"/>
      <c r="O29" s="4"/>
      <c r="P29" s="4"/>
      <c r="V29" s="13"/>
      <c r="W29" s="11"/>
      <c r="X29" s="14"/>
    </row>
    <row r="30" spans="2:24">
      <c r="B30" s="11"/>
      <c r="C30" s="11"/>
      <c r="E30" s="12"/>
      <c r="M30" s="4"/>
      <c r="N30" s="4"/>
      <c r="O30" s="4"/>
      <c r="P30" s="4"/>
      <c r="V30" s="13"/>
      <c r="W30" s="11"/>
      <c r="X30" s="14"/>
    </row>
    <row r="31" spans="2:24">
      <c r="B31" s="11"/>
      <c r="C31" s="11"/>
      <c r="E31" s="12"/>
      <c r="M31" s="4"/>
      <c r="N31" s="4"/>
      <c r="O31" s="4"/>
      <c r="P31" s="4"/>
      <c r="V31" s="16"/>
      <c r="W31" s="11"/>
      <c r="X31" s="14"/>
    </row>
    <row r="32" spans="2:24">
      <c r="B32" s="11"/>
      <c r="C32" s="11"/>
      <c r="E32" s="12"/>
      <c r="M32" s="4"/>
      <c r="N32" s="4"/>
      <c r="O32" s="4"/>
      <c r="P32" s="4"/>
      <c r="V32" s="13"/>
      <c r="W32" s="11"/>
      <c r="X32" s="14"/>
    </row>
    <row r="33" spans="2:24">
      <c r="B33" s="11"/>
      <c r="C33" s="11"/>
      <c r="E33" s="12"/>
      <c r="M33" s="4"/>
      <c r="N33" s="4"/>
      <c r="O33" s="4"/>
      <c r="P33" s="4"/>
      <c r="V33" s="13"/>
      <c r="W33" s="11"/>
      <c r="X33" s="14"/>
    </row>
    <row r="34" spans="2:24">
      <c r="B34" s="11"/>
      <c r="C34" s="11"/>
      <c r="E34" s="12"/>
      <c r="M34" s="4"/>
      <c r="N34" s="4"/>
      <c r="O34" s="4"/>
      <c r="P34" s="4"/>
      <c r="V34" s="16"/>
      <c r="W34" s="11"/>
      <c r="X34" s="14"/>
    </row>
    <row r="35" spans="2:24">
      <c r="B35" s="11"/>
      <c r="C35" s="11"/>
      <c r="E35" s="12"/>
      <c r="M35" s="4"/>
      <c r="N35" s="4"/>
      <c r="O35" s="4"/>
      <c r="P35" s="4"/>
      <c r="V35" s="13"/>
      <c r="W35" s="11"/>
      <c r="X35" s="14"/>
    </row>
    <row r="36" spans="2:24">
      <c r="B36" s="11"/>
      <c r="C36" s="11"/>
      <c r="E36" s="12"/>
      <c r="M36" s="4"/>
      <c r="N36" s="4"/>
      <c r="O36" s="4"/>
      <c r="P36" s="4"/>
      <c r="V36" s="13"/>
      <c r="W36" s="11"/>
      <c r="X36" s="14"/>
    </row>
    <row r="37" spans="2:24">
      <c r="B37" s="11"/>
      <c r="C37" s="11"/>
      <c r="E37" s="12"/>
      <c r="M37" s="4"/>
      <c r="N37" s="4"/>
      <c r="O37" s="4"/>
      <c r="P37" s="4"/>
      <c r="V37" s="13"/>
      <c r="W37" s="11"/>
      <c r="X37" s="14"/>
    </row>
    <row r="38" spans="2:24">
      <c r="B38" s="11"/>
      <c r="C38" s="11"/>
      <c r="E38" s="12"/>
      <c r="M38" s="4"/>
      <c r="N38" s="4"/>
      <c r="O38" s="4"/>
      <c r="P38" s="4"/>
      <c r="V38" s="13"/>
      <c r="W38" s="11"/>
      <c r="X38" s="14"/>
    </row>
    <row r="39" spans="2:24">
      <c r="B39" s="11"/>
      <c r="C39" s="11"/>
      <c r="E39" s="12"/>
      <c r="M39" s="4"/>
      <c r="N39" s="4"/>
      <c r="O39" s="4"/>
      <c r="P39" s="4"/>
      <c r="V39" s="13"/>
      <c r="W39" s="11"/>
      <c r="X39" s="14"/>
    </row>
    <row r="40" spans="2:24">
      <c r="B40" s="11"/>
      <c r="C40" s="11"/>
      <c r="E40" s="12"/>
      <c r="M40" s="4"/>
      <c r="N40" s="4"/>
      <c r="O40" s="4"/>
      <c r="P40" s="4"/>
      <c r="V40" s="13"/>
      <c r="W40" s="11"/>
      <c r="X40" s="14"/>
    </row>
    <row r="41" spans="2:24">
      <c r="B41" s="11"/>
      <c r="C41" s="11"/>
      <c r="E41" s="12"/>
      <c r="M41" s="4"/>
      <c r="N41" s="4"/>
      <c r="O41" s="4"/>
      <c r="P41" s="4"/>
      <c r="V41" s="13"/>
      <c r="W41" s="11"/>
      <c r="X41" s="14"/>
    </row>
    <row r="42" spans="2:24">
      <c r="B42" s="11"/>
      <c r="C42" s="11"/>
      <c r="E42" s="12"/>
      <c r="M42" s="4"/>
      <c r="N42" s="4"/>
      <c r="O42" s="4"/>
      <c r="P42" s="4"/>
      <c r="V42" s="13"/>
      <c r="W42" s="11"/>
      <c r="X42" s="14"/>
    </row>
    <row r="43" spans="2:24">
      <c r="B43" s="11"/>
      <c r="C43" s="11"/>
      <c r="E43" s="12"/>
      <c r="M43" s="4"/>
      <c r="N43" s="4"/>
      <c r="O43" s="4"/>
      <c r="P43" s="4"/>
      <c r="V43" s="13"/>
      <c r="W43" s="11"/>
      <c r="X43" s="14"/>
    </row>
    <row r="44" spans="2:24">
      <c r="B44" s="11"/>
      <c r="C44" s="11"/>
      <c r="E44" s="12"/>
      <c r="M44" s="4"/>
      <c r="N44" s="4"/>
      <c r="O44" s="4"/>
      <c r="P44" s="4"/>
      <c r="V44" s="13"/>
      <c r="W44" s="11"/>
      <c r="X44" s="14"/>
    </row>
    <row r="45" spans="2:24">
      <c r="B45" s="11"/>
      <c r="C45" s="11"/>
      <c r="E45" s="12"/>
      <c r="M45" s="4"/>
      <c r="N45" s="4"/>
      <c r="O45" s="4"/>
      <c r="P45" s="4"/>
      <c r="V45" s="13"/>
      <c r="W45" s="11"/>
      <c r="X45" s="14"/>
    </row>
    <row r="46" spans="2:24">
      <c r="B46" s="11"/>
      <c r="C46" s="11"/>
      <c r="E46" s="12"/>
      <c r="M46" s="4"/>
      <c r="N46" s="4"/>
      <c r="O46" s="4"/>
      <c r="P46" s="4"/>
      <c r="V46" s="13"/>
      <c r="W46" s="11"/>
      <c r="X46" s="14"/>
    </row>
    <row r="47" spans="2:24">
      <c r="B47" s="11"/>
      <c r="C47" s="11"/>
      <c r="E47" s="12"/>
      <c r="M47" s="4"/>
      <c r="N47" s="4"/>
      <c r="O47" s="4"/>
      <c r="P47" s="4"/>
      <c r="V47" s="13"/>
      <c r="W47" s="11"/>
      <c r="X47" s="14"/>
    </row>
    <row r="48" spans="2:24">
      <c r="B48" s="11"/>
      <c r="C48" s="11"/>
      <c r="E48" s="12"/>
      <c r="M48" s="4"/>
      <c r="N48" s="4"/>
      <c r="O48" s="4"/>
      <c r="P48" s="4"/>
      <c r="V48" s="13"/>
      <c r="W48" s="11"/>
      <c r="X48" s="14"/>
    </row>
    <row r="49" spans="2:24">
      <c r="B49" s="11"/>
      <c r="C49" s="11"/>
      <c r="E49" s="12"/>
      <c r="M49" s="4"/>
      <c r="N49" s="4"/>
      <c r="O49" s="4"/>
      <c r="P49" s="4"/>
      <c r="V49" s="13"/>
      <c r="W49" s="11"/>
      <c r="X49" s="14"/>
    </row>
    <row r="50" spans="2:24">
      <c r="B50" s="11"/>
      <c r="C50" s="11"/>
      <c r="E50" s="12"/>
      <c r="M50" s="4"/>
      <c r="N50" s="4"/>
      <c r="O50" s="4"/>
      <c r="P50" s="4"/>
      <c r="V50" s="13"/>
      <c r="W50" s="11"/>
      <c r="X50" s="14"/>
    </row>
    <row r="51" spans="2:24">
      <c r="B51" s="11"/>
      <c r="C51" s="11"/>
      <c r="E51" s="12"/>
      <c r="M51" s="4"/>
      <c r="N51" s="4"/>
      <c r="O51" s="4"/>
      <c r="P51" s="4"/>
      <c r="V51" s="13"/>
      <c r="W51" s="11"/>
      <c r="X51" s="14"/>
    </row>
    <row r="52" spans="2:24">
      <c r="B52" s="11"/>
      <c r="C52" s="11"/>
      <c r="E52" s="12"/>
      <c r="M52" s="4"/>
      <c r="N52" s="4"/>
      <c r="O52" s="4"/>
      <c r="P52" s="4"/>
      <c r="V52" s="13"/>
      <c r="W52" s="11"/>
      <c r="X52" s="14"/>
    </row>
    <row r="53" spans="2:24">
      <c r="B53" s="11"/>
      <c r="C53" s="11"/>
      <c r="E53" s="12"/>
      <c r="M53" s="4"/>
      <c r="N53" s="4"/>
      <c r="O53" s="4"/>
      <c r="P53" s="4"/>
      <c r="V53" s="13"/>
      <c r="W53" s="11"/>
      <c r="X53" s="14"/>
    </row>
    <row r="54" spans="2:24">
      <c r="B54" s="11"/>
      <c r="C54" s="11"/>
      <c r="E54" s="12"/>
      <c r="M54" s="4"/>
      <c r="N54" s="4"/>
      <c r="O54" s="4"/>
      <c r="P54" s="4"/>
      <c r="V54" s="13"/>
      <c r="W54" s="11"/>
      <c r="X54" s="14"/>
    </row>
    <row r="55" spans="2:24">
      <c r="B55" s="11"/>
      <c r="C55" s="11"/>
      <c r="E55" s="12"/>
      <c r="M55" s="4"/>
      <c r="N55" s="4"/>
      <c r="O55" s="4"/>
      <c r="P55" s="4"/>
      <c r="V55" s="13"/>
      <c r="W55" s="11"/>
      <c r="X55" s="14"/>
    </row>
    <row r="56" spans="2:24">
      <c r="B56" s="11"/>
      <c r="C56" s="11"/>
      <c r="E56" s="12"/>
      <c r="M56" s="4"/>
      <c r="N56" s="4"/>
      <c r="O56" s="4"/>
      <c r="P56" s="4"/>
      <c r="V56" s="13"/>
      <c r="W56" s="11"/>
      <c r="X56" s="14"/>
    </row>
    <row r="57" spans="2:24">
      <c r="B57" s="11"/>
      <c r="C57" s="11"/>
      <c r="E57" s="12"/>
      <c r="M57" s="4"/>
      <c r="N57" s="4"/>
      <c r="O57" s="4"/>
      <c r="P57" s="4"/>
      <c r="V57" s="13"/>
      <c r="W57" s="11"/>
      <c r="X57" s="14"/>
    </row>
    <row r="58" spans="2:24">
      <c r="B58" s="11"/>
      <c r="C58" s="11"/>
      <c r="E58" s="12"/>
      <c r="M58" s="4"/>
      <c r="N58" s="4"/>
      <c r="O58" s="4"/>
      <c r="P58" s="4"/>
      <c r="V58" s="13"/>
      <c r="W58" s="11"/>
      <c r="X58" s="14"/>
    </row>
    <row r="59" spans="2:24">
      <c r="B59" s="11"/>
      <c r="C59" s="11"/>
      <c r="E59" s="12"/>
      <c r="M59" s="4"/>
      <c r="N59" s="4"/>
      <c r="O59" s="4"/>
      <c r="P59" s="4"/>
      <c r="V59" s="13"/>
      <c r="W59" s="11"/>
      <c r="X59" s="14"/>
    </row>
    <row r="60" spans="2:24">
      <c r="B60" s="11"/>
      <c r="C60" s="11"/>
      <c r="E60" s="12"/>
      <c r="M60" s="4"/>
      <c r="N60" s="4"/>
      <c r="O60" s="4"/>
      <c r="P60" s="4"/>
      <c r="V60" s="13"/>
      <c r="W60" s="11"/>
      <c r="X60" s="14"/>
    </row>
    <row r="61" spans="2:24">
      <c r="B61" s="11"/>
      <c r="C61" s="11"/>
      <c r="E61" s="12"/>
      <c r="M61" s="4"/>
      <c r="N61" s="4"/>
      <c r="O61" s="4"/>
      <c r="P61" s="4"/>
      <c r="V61" s="13"/>
      <c r="W61" s="11"/>
      <c r="X61" s="14"/>
    </row>
    <row r="62" spans="2:24">
      <c r="B62" s="11"/>
      <c r="C62" s="11"/>
      <c r="E62" s="12"/>
      <c r="M62" s="4"/>
      <c r="N62" s="4"/>
      <c r="O62" s="4"/>
      <c r="P62" s="4"/>
      <c r="V62" s="13"/>
      <c r="W62" s="11"/>
      <c r="X62" s="14"/>
    </row>
    <row r="63" spans="2:24">
      <c r="B63" s="11"/>
      <c r="C63" s="11"/>
      <c r="E63" s="12"/>
      <c r="M63" s="4"/>
      <c r="N63" s="4"/>
      <c r="O63" s="4"/>
      <c r="P63" s="4"/>
      <c r="V63" s="13"/>
      <c r="W63" s="11"/>
      <c r="X63" s="14"/>
    </row>
    <row r="64" spans="2:24">
      <c r="B64" s="11"/>
      <c r="C64" s="11"/>
      <c r="E64" s="12"/>
      <c r="M64" s="4"/>
      <c r="N64" s="4"/>
      <c r="O64" s="4"/>
      <c r="P64" s="4"/>
      <c r="V64" s="13"/>
      <c r="W64" s="11"/>
      <c r="X64" s="14"/>
    </row>
    <row r="65" spans="2:24">
      <c r="B65" s="11"/>
      <c r="C65" s="11"/>
      <c r="E65" s="12"/>
      <c r="M65" s="4"/>
      <c r="N65" s="4"/>
      <c r="O65" s="4"/>
      <c r="P65" s="4"/>
      <c r="V65" s="13"/>
      <c r="W65" s="11"/>
      <c r="X65" s="14"/>
    </row>
    <row r="66" spans="2:24">
      <c r="B66" s="11"/>
      <c r="C66" s="11"/>
      <c r="E66" s="12"/>
      <c r="M66" s="4"/>
      <c r="N66" s="4"/>
      <c r="O66" s="4"/>
      <c r="P66" s="4"/>
      <c r="V66" s="13"/>
      <c r="W66" s="11"/>
      <c r="X66" s="14"/>
    </row>
    <row r="67" spans="2:24">
      <c r="B67" s="11"/>
      <c r="C67" s="11"/>
      <c r="E67" s="12"/>
      <c r="M67" s="4"/>
      <c r="N67" s="4"/>
      <c r="O67" s="4"/>
      <c r="P67" s="4"/>
      <c r="V67" s="13"/>
      <c r="W67" s="11"/>
      <c r="X67" s="14"/>
    </row>
    <row r="68" spans="2:24">
      <c r="B68" s="11"/>
      <c r="C68" s="11"/>
      <c r="E68" s="12"/>
      <c r="M68" s="4"/>
      <c r="N68" s="4"/>
      <c r="O68" s="4"/>
      <c r="P68" s="4"/>
      <c r="V68" s="13"/>
      <c r="W68" s="11"/>
      <c r="X68" s="14"/>
    </row>
    <row r="69" spans="2:24">
      <c r="B69" s="11"/>
      <c r="C69" s="11"/>
      <c r="E69" s="12"/>
      <c r="M69" s="4"/>
      <c r="N69" s="4"/>
      <c r="O69" s="4"/>
      <c r="P69" s="4"/>
      <c r="V69" s="13"/>
      <c r="W69" s="11"/>
      <c r="X69" s="14"/>
    </row>
    <row r="70" spans="2:24">
      <c r="B70" s="11"/>
      <c r="C70" s="11"/>
      <c r="E70" s="12"/>
      <c r="M70" s="4"/>
      <c r="N70" s="4"/>
      <c r="O70" s="4"/>
      <c r="P70" s="4"/>
      <c r="V70" s="13"/>
      <c r="W70" s="11"/>
      <c r="X70" s="14"/>
    </row>
    <row r="71" spans="2:24">
      <c r="B71" s="11"/>
      <c r="C71" s="11"/>
      <c r="E71" s="12"/>
      <c r="M71" s="4"/>
      <c r="N71" s="4"/>
      <c r="O71" s="4"/>
      <c r="P71" s="4"/>
      <c r="V71" s="13"/>
      <c r="W71" s="11"/>
      <c r="X71" s="14"/>
    </row>
    <row r="72" spans="2:24">
      <c r="B72" s="11"/>
      <c r="C72" s="11"/>
      <c r="E72" s="12"/>
      <c r="M72" s="4"/>
      <c r="N72" s="4"/>
      <c r="O72" s="4"/>
      <c r="P72" s="4"/>
      <c r="V72" s="13"/>
      <c r="W72" s="11"/>
      <c r="X72" s="14"/>
    </row>
    <row r="73" spans="2:24">
      <c r="B73" s="11"/>
      <c r="C73" s="11"/>
      <c r="E73" s="12"/>
      <c r="M73" s="4"/>
      <c r="N73" s="4"/>
      <c r="O73" s="4"/>
      <c r="P73" s="4"/>
      <c r="V73" s="13"/>
      <c r="W73" s="11"/>
      <c r="X73" s="14"/>
    </row>
    <row r="74" spans="2:24">
      <c r="B74" s="11"/>
      <c r="C74" s="11"/>
      <c r="E74" s="12"/>
      <c r="M74" s="4"/>
      <c r="N74" s="4"/>
      <c r="O74" s="4"/>
      <c r="P74" s="4"/>
      <c r="V74" s="13"/>
      <c r="W74" s="11"/>
      <c r="X74" s="14"/>
    </row>
    <row r="75" spans="2:24">
      <c r="B75" s="11"/>
      <c r="C75" s="11"/>
      <c r="E75" s="12"/>
      <c r="M75" s="4"/>
      <c r="N75" s="4"/>
      <c r="O75" s="4"/>
      <c r="P75" s="4"/>
      <c r="V75" s="13"/>
      <c r="W75" s="11"/>
      <c r="X75" s="14"/>
    </row>
    <row r="76" spans="2:24">
      <c r="B76" s="11"/>
      <c r="C76" s="11"/>
      <c r="E76" s="12"/>
      <c r="M76" s="4"/>
      <c r="N76" s="4"/>
      <c r="O76" s="4"/>
      <c r="P76" s="4"/>
      <c r="V76" s="13"/>
      <c r="W76" s="11"/>
      <c r="X76" s="14"/>
    </row>
    <row r="77" spans="2:24">
      <c r="B77" s="11"/>
      <c r="C77" s="11"/>
      <c r="E77" s="12"/>
      <c r="M77" s="4"/>
      <c r="N77" s="4"/>
      <c r="O77" s="4"/>
      <c r="P77" s="4"/>
      <c r="V77" s="13"/>
      <c r="W77" s="11"/>
      <c r="X77" s="14"/>
    </row>
    <row r="78" spans="2:24">
      <c r="B78" s="11"/>
      <c r="C78" s="11"/>
      <c r="E78" s="12"/>
      <c r="M78" s="4"/>
      <c r="N78" s="4"/>
      <c r="O78" s="4"/>
      <c r="P78" s="4"/>
      <c r="V78" s="13"/>
      <c r="W78" s="11"/>
      <c r="X78" s="14"/>
    </row>
    <row r="79" spans="2:24">
      <c r="B79" s="11"/>
      <c r="C79" s="11"/>
      <c r="E79" s="12"/>
      <c r="M79" s="4"/>
      <c r="N79" s="4"/>
      <c r="O79" s="4"/>
      <c r="P79" s="4"/>
      <c r="V79" s="13"/>
      <c r="W79" s="11"/>
      <c r="X79" s="14"/>
    </row>
    <row r="80" spans="2:24">
      <c r="B80" s="11"/>
      <c r="C80" s="11"/>
      <c r="E80" s="12"/>
      <c r="M80" s="4"/>
      <c r="N80" s="4"/>
      <c r="O80" s="4"/>
      <c r="P80" s="4"/>
      <c r="V80" s="13"/>
      <c r="W80" s="11"/>
      <c r="X80" s="14"/>
    </row>
    <row r="81" spans="2:24">
      <c r="B81" s="11"/>
      <c r="C81" s="11"/>
      <c r="E81" s="12"/>
      <c r="M81" s="4"/>
      <c r="N81" s="4"/>
      <c r="O81" s="4"/>
      <c r="P81" s="4"/>
      <c r="V81" s="13"/>
      <c r="W81" s="11"/>
      <c r="X81" s="14"/>
    </row>
    <row r="82" spans="2:24">
      <c r="B82" s="11"/>
      <c r="C82" s="11"/>
      <c r="E82" s="12"/>
      <c r="M82" s="4"/>
      <c r="N82" s="4"/>
      <c r="O82" s="4"/>
      <c r="P82" s="4"/>
      <c r="V82" s="13"/>
      <c r="W82" s="11"/>
      <c r="X82" s="14"/>
    </row>
    <row r="83" spans="2:24">
      <c r="B83" s="11"/>
      <c r="C83" s="11"/>
      <c r="E83" s="12"/>
      <c r="M83" s="4"/>
      <c r="N83" s="4"/>
      <c r="O83" s="4"/>
      <c r="P83" s="4"/>
      <c r="V83" s="13"/>
      <c r="W83" s="11"/>
      <c r="X83" s="14"/>
    </row>
    <row r="84" spans="2:24">
      <c r="B84" s="11"/>
      <c r="C84" s="11"/>
      <c r="E84" s="12"/>
      <c r="M84" s="4"/>
      <c r="N84" s="4"/>
      <c r="O84" s="4"/>
      <c r="P84" s="4"/>
      <c r="V84" s="13"/>
      <c r="W84" s="11"/>
      <c r="X84" s="14"/>
    </row>
    <row r="85" spans="2:24">
      <c r="B85" s="11"/>
      <c r="C85" s="11"/>
      <c r="E85" s="12"/>
      <c r="M85" s="4"/>
      <c r="N85" s="4"/>
      <c r="O85" s="4"/>
      <c r="P85" s="4"/>
      <c r="V85" s="13"/>
      <c r="W85" s="11"/>
      <c r="X85" s="14"/>
    </row>
    <row r="86" spans="2:24">
      <c r="B86" s="11"/>
      <c r="C86" s="11"/>
      <c r="E86" s="12"/>
      <c r="M86" s="4"/>
      <c r="N86" s="4"/>
      <c r="O86" s="4"/>
      <c r="P86" s="4"/>
      <c r="V86" s="13"/>
      <c r="W86" s="11"/>
      <c r="X86" s="14"/>
    </row>
    <row r="87" spans="2:24">
      <c r="B87" s="11"/>
      <c r="C87" s="11"/>
      <c r="E87" s="12"/>
      <c r="M87" s="4"/>
      <c r="N87" s="4"/>
      <c r="O87" s="4"/>
      <c r="P87" s="4"/>
      <c r="V87" s="13"/>
      <c r="W87" s="11"/>
      <c r="X87" s="14"/>
    </row>
    <row r="88" spans="2:24">
      <c r="B88" s="11"/>
      <c r="C88" s="11"/>
      <c r="E88" s="12"/>
      <c r="M88" s="4"/>
      <c r="N88" s="4"/>
      <c r="O88" s="4"/>
      <c r="P88" s="4"/>
      <c r="V88" s="13"/>
      <c r="W88" s="11"/>
      <c r="X88" s="14"/>
    </row>
    <row r="89" spans="2:24">
      <c r="B89" s="11"/>
      <c r="C89" s="11"/>
      <c r="E89" s="12"/>
      <c r="M89" s="4"/>
      <c r="N89" s="4"/>
      <c r="O89" s="4"/>
      <c r="P89" s="4"/>
      <c r="V89" s="13"/>
      <c r="W89" s="11"/>
      <c r="X89" s="14"/>
    </row>
    <row r="90" spans="2:24">
      <c r="B90" s="11"/>
      <c r="C90" s="11"/>
      <c r="E90" s="12"/>
      <c r="M90" s="4"/>
      <c r="N90" s="4"/>
      <c r="O90" s="4"/>
      <c r="P90" s="4"/>
      <c r="V90" s="13"/>
      <c r="W90" s="11"/>
      <c r="X90" s="14"/>
    </row>
    <row r="91" spans="2:24">
      <c r="B91" s="11"/>
      <c r="C91" s="11"/>
      <c r="E91" s="12"/>
      <c r="M91" s="4"/>
      <c r="N91" s="4"/>
      <c r="O91" s="4"/>
      <c r="P91" s="4"/>
      <c r="V91" s="13"/>
      <c r="W91" s="11"/>
      <c r="X91" s="14"/>
    </row>
    <row r="92" spans="2:24">
      <c r="B92" s="11"/>
      <c r="C92" s="11"/>
      <c r="E92" s="12"/>
      <c r="M92" s="4"/>
      <c r="N92" s="4"/>
      <c r="O92" s="4"/>
      <c r="P92" s="4"/>
      <c r="V92" s="13"/>
      <c r="W92" s="11"/>
      <c r="X92" s="14"/>
    </row>
    <row r="93" spans="2:24">
      <c r="B93" s="11"/>
      <c r="C93" s="11"/>
      <c r="E93" s="12"/>
      <c r="M93" s="4"/>
      <c r="N93" s="4"/>
      <c r="O93" s="4"/>
      <c r="P93" s="4"/>
      <c r="V93" s="13"/>
      <c r="W93" s="11"/>
      <c r="X93" s="14"/>
    </row>
    <row r="94" spans="2:24">
      <c r="B94" s="11"/>
      <c r="C94" s="11"/>
      <c r="E94" s="12"/>
      <c r="M94" s="4"/>
      <c r="N94" s="4"/>
      <c r="O94" s="4"/>
      <c r="P94" s="4"/>
      <c r="V94" s="13"/>
      <c r="W94" s="11"/>
      <c r="X94" s="14"/>
    </row>
    <row r="95" spans="2:24">
      <c r="B95" s="11"/>
      <c r="C95" s="11"/>
      <c r="E95" s="12"/>
      <c r="M95" s="4"/>
      <c r="N95" s="4"/>
      <c r="O95" s="4"/>
      <c r="P95" s="4"/>
      <c r="V95" s="13"/>
      <c r="W95" s="11"/>
      <c r="X95" s="14"/>
    </row>
    <row r="96" spans="2:24">
      <c r="B96" s="11"/>
      <c r="C96" s="11"/>
      <c r="E96" s="12"/>
      <c r="M96" s="4"/>
      <c r="N96" s="4"/>
      <c r="O96" s="4"/>
      <c r="P96" s="4"/>
      <c r="V96" s="13"/>
      <c r="W96" s="11"/>
      <c r="X96" s="14"/>
    </row>
    <row r="97" spans="2:24">
      <c r="B97" s="11"/>
      <c r="C97" s="11"/>
      <c r="E97" s="12"/>
      <c r="M97" s="4"/>
      <c r="N97" s="4"/>
      <c r="O97" s="4"/>
      <c r="P97" s="4"/>
      <c r="V97" s="13"/>
      <c r="W97" s="11"/>
      <c r="X97" s="14"/>
    </row>
    <row r="98" spans="2:24">
      <c r="B98" s="11"/>
      <c r="C98" s="11"/>
      <c r="E98" s="12"/>
      <c r="M98" s="4"/>
      <c r="N98" s="4"/>
      <c r="O98" s="4"/>
      <c r="P98" s="4"/>
      <c r="V98" s="13"/>
      <c r="W98" s="11"/>
      <c r="X98" s="14"/>
    </row>
    <row r="99" spans="2:24">
      <c r="B99" s="11"/>
      <c r="C99" s="11"/>
      <c r="E99" s="12"/>
      <c r="M99" s="4"/>
      <c r="N99" s="4"/>
      <c r="O99" s="4"/>
      <c r="P99" s="4"/>
      <c r="V99" s="13"/>
      <c r="W99" s="11"/>
      <c r="X99" s="14"/>
    </row>
    <row r="100" spans="2:24">
      <c r="B100" s="11"/>
      <c r="C100" s="11"/>
      <c r="E100" s="12"/>
      <c r="M100" s="4"/>
      <c r="N100" s="4"/>
      <c r="O100" s="4"/>
      <c r="P100" s="4"/>
      <c r="V100" s="13"/>
      <c r="W100" s="11"/>
      <c r="X100" s="14"/>
    </row>
    <row r="101" spans="2:24">
      <c r="B101" s="11"/>
      <c r="C101" s="11"/>
      <c r="E101" s="12"/>
      <c r="M101" s="4"/>
      <c r="N101" s="4"/>
      <c r="O101" s="4"/>
      <c r="P101" s="4"/>
      <c r="V101" s="13"/>
      <c r="W101" s="11"/>
      <c r="X101" s="14"/>
    </row>
    <row r="102" spans="2:24">
      <c r="B102" s="11"/>
      <c r="C102" s="11"/>
      <c r="E102" s="12"/>
      <c r="M102" s="4"/>
      <c r="N102" s="4"/>
      <c r="O102" s="4"/>
      <c r="P102" s="4"/>
      <c r="V102" s="13"/>
      <c r="W102" s="11"/>
      <c r="X102" s="14"/>
    </row>
    <row r="103" spans="2:24">
      <c r="B103" s="11"/>
      <c r="C103" s="11"/>
      <c r="E103" s="12"/>
      <c r="M103" s="4"/>
      <c r="N103" s="4"/>
      <c r="O103" s="4"/>
      <c r="P103" s="4"/>
      <c r="V103" s="13"/>
      <c r="W103" s="11"/>
      <c r="X103" s="14"/>
    </row>
    <row r="104" spans="2:24">
      <c r="B104" s="11"/>
      <c r="C104" s="11"/>
      <c r="E104" s="12"/>
      <c r="M104" s="4"/>
      <c r="N104" s="4"/>
      <c r="O104" s="4"/>
      <c r="P104" s="4"/>
      <c r="V104" s="13"/>
      <c r="W104" s="11"/>
      <c r="X104" s="14"/>
    </row>
    <row r="105" spans="2:24">
      <c r="B105" s="11"/>
      <c r="C105" s="11"/>
      <c r="E105" s="12"/>
      <c r="M105" s="4"/>
      <c r="N105" s="4"/>
      <c r="O105" s="4"/>
      <c r="P105" s="4"/>
      <c r="V105" s="13"/>
      <c r="W105" s="11"/>
      <c r="X105" s="14"/>
    </row>
    <row r="106" spans="2:24">
      <c r="B106" s="11"/>
      <c r="C106" s="11"/>
      <c r="E106" s="12"/>
      <c r="M106" s="4"/>
      <c r="N106" s="4"/>
      <c r="O106" s="4"/>
      <c r="P106" s="4"/>
      <c r="V106" s="13"/>
      <c r="W106" s="11"/>
      <c r="X106" s="14"/>
    </row>
    <row r="107" spans="2:24">
      <c r="B107" s="11"/>
      <c r="C107" s="11"/>
      <c r="E107" s="12"/>
      <c r="M107" s="4"/>
      <c r="N107" s="4"/>
      <c r="O107" s="4"/>
      <c r="P107" s="4"/>
      <c r="V107" s="13"/>
      <c r="W107" s="11"/>
      <c r="X107" s="14"/>
    </row>
    <row r="108" spans="2:24">
      <c r="B108" s="11"/>
      <c r="C108" s="11"/>
      <c r="E108" s="12"/>
      <c r="M108" s="4"/>
      <c r="N108" s="4"/>
      <c r="O108" s="4"/>
      <c r="P108" s="4"/>
      <c r="V108" s="13"/>
      <c r="W108" s="11"/>
      <c r="X108" s="14"/>
    </row>
    <row r="109" spans="2:24">
      <c r="B109" s="11"/>
      <c r="C109" s="11"/>
      <c r="E109" s="12"/>
      <c r="M109" s="4"/>
      <c r="N109" s="4"/>
      <c r="O109" s="4"/>
      <c r="P109" s="4"/>
      <c r="V109" s="13"/>
      <c r="W109" s="11"/>
      <c r="X109" s="14"/>
    </row>
    <row r="110" spans="2:24">
      <c r="B110" s="11"/>
      <c r="C110" s="11"/>
      <c r="E110" s="12"/>
      <c r="M110" s="4"/>
      <c r="N110" s="4"/>
      <c r="O110" s="4"/>
      <c r="P110" s="4"/>
      <c r="V110" s="13"/>
      <c r="W110" s="11"/>
      <c r="X110" s="14"/>
    </row>
    <row r="111" spans="2:24">
      <c r="B111" s="11"/>
      <c r="C111" s="11"/>
      <c r="E111" s="12"/>
      <c r="M111" s="4"/>
      <c r="N111" s="4"/>
      <c r="O111" s="4"/>
      <c r="P111" s="4"/>
      <c r="V111" s="13"/>
      <c r="W111" s="11"/>
      <c r="X111" s="14"/>
    </row>
    <row r="112" spans="2:24">
      <c r="B112" s="11"/>
      <c r="C112" s="11"/>
      <c r="E112" s="12"/>
      <c r="M112" s="4"/>
      <c r="N112" s="4"/>
      <c r="O112" s="4"/>
      <c r="P112" s="4"/>
      <c r="V112" s="13"/>
      <c r="W112" s="11"/>
      <c r="X112" s="14"/>
    </row>
    <row r="113" spans="2:24">
      <c r="B113" s="11"/>
      <c r="C113" s="11"/>
      <c r="E113" s="12"/>
      <c r="M113" s="4"/>
      <c r="N113" s="4"/>
      <c r="O113" s="4"/>
      <c r="P113" s="4"/>
      <c r="V113" s="13"/>
      <c r="W113" s="11"/>
      <c r="X113" s="14"/>
    </row>
    <row r="114" spans="2:24">
      <c r="B114" s="11"/>
      <c r="C114" s="11"/>
      <c r="E114" s="12"/>
      <c r="M114" s="4"/>
      <c r="N114" s="4"/>
      <c r="O114" s="4"/>
      <c r="P114" s="4"/>
      <c r="V114" s="13"/>
      <c r="W114" s="11"/>
      <c r="X114" s="14"/>
    </row>
    <row r="115" spans="2:24">
      <c r="B115" s="11"/>
      <c r="C115" s="11"/>
      <c r="E115" s="12"/>
      <c r="M115" s="4"/>
      <c r="N115" s="4"/>
      <c r="O115" s="4"/>
      <c r="P115" s="4"/>
      <c r="V115" s="13"/>
      <c r="W115" s="11"/>
      <c r="X115" s="14"/>
    </row>
    <row r="116" spans="2:24">
      <c r="B116" s="11"/>
      <c r="C116" s="11"/>
      <c r="E116" s="12"/>
      <c r="M116" s="4"/>
      <c r="N116" s="4"/>
      <c r="O116" s="4"/>
      <c r="P116" s="4"/>
      <c r="V116" s="13"/>
      <c r="W116" s="11"/>
      <c r="X116" s="14"/>
    </row>
    <row r="117" spans="2:24">
      <c r="B117" s="11"/>
      <c r="C117" s="11"/>
      <c r="E117" s="12"/>
      <c r="M117" s="4"/>
      <c r="N117" s="4"/>
      <c r="O117" s="4"/>
      <c r="P117" s="4"/>
      <c r="V117" s="13"/>
      <c r="W117" s="11"/>
      <c r="X117" s="14"/>
    </row>
    <row r="118" spans="2:24">
      <c r="B118" s="11"/>
      <c r="C118" s="11"/>
      <c r="E118" s="12"/>
      <c r="M118" s="4"/>
      <c r="N118" s="4"/>
      <c r="O118" s="4"/>
      <c r="P118" s="4"/>
      <c r="V118" s="13"/>
      <c r="W118" s="11"/>
      <c r="X118" s="14"/>
    </row>
    <row r="119" spans="2:24">
      <c r="B119" s="11"/>
      <c r="C119" s="11"/>
      <c r="E119" s="12"/>
      <c r="M119" s="4"/>
      <c r="N119" s="4"/>
      <c r="O119" s="4"/>
      <c r="P119" s="4"/>
      <c r="V119" s="13"/>
      <c r="W119" s="11"/>
      <c r="X119" s="14"/>
    </row>
    <row r="120" spans="2:24">
      <c r="B120" s="11"/>
      <c r="C120" s="11"/>
      <c r="E120" s="12"/>
      <c r="M120" s="4"/>
      <c r="N120" s="4"/>
      <c r="O120" s="4"/>
      <c r="P120" s="4"/>
      <c r="V120" s="13"/>
      <c r="W120" s="11"/>
      <c r="X120" s="14"/>
    </row>
    <row r="121" spans="2:24">
      <c r="B121" s="11"/>
      <c r="C121" s="11"/>
      <c r="E121" s="12"/>
      <c r="M121" s="4"/>
      <c r="N121" s="4"/>
      <c r="O121" s="4"/>
      <c r="P121" s="4"/>
      <c r="V121" s="13"/>
      <c r="W121" s="11"/>
      <c r="X121" s="14"/>
    </row>
    <row r="122" spans="2:24">
      <c r="B122" s="11"/>
      <c r="C122" s="11"/>
      <c r="E122" s="12"/>
      <c r="M122" s="4"/>
      <c r="N122" s="4"/>
      <c r="O122" s="4"/>
      <c r="P122" s="4"/>
      <c r="V122" s="13"/>
      <c r="W122" s="11"/>
      <c r="X122" s="14"/>
    </row>
    <row r="123" spans="2:24">
      <c r="B123" s="11"/>
      <c r="C123" s="11"/>
      <c r="E123" s="12"/>
      <c r="M123" s="4"/>
      <c r="N123" s="4"/>
      <c r="O123" s="4"/>
      <c r="P123" s="4"/>
      <c r="V123" s="13"/>
      <c r="W123" s="11"/>
      <c r="X123" s="14"/>
    </row>
    <row r="124" spans="2:24">
      <c r="B124" s="11"/>
      <c r="C124" s="11"/>
      <c r="E124" s="12"/>
      <c r="M124" s="4"/>
      <c r="N124" s="4"/>
      <c r="O124" s="4"/>
      <c r="P124" s="4"/>
      <c r="V124" s="13"/>
      <c r="W124" s="11"/>
      <c r="X124" s="14"/>
    </row>
    <row r="125" spans="2:24">
      <c r="B125" s="11"/>
      <c r="C125" s="11"/>
      <c r="E125" s="12"/>
      <c r="M125" s="4"/>
      <c r="N125" s="4"/>
      <c r="O125" s="4"/>
      <c r="P125" s="4"/>
      <c r="V125" s="13"/>
      <c r="W125" s="11"/>
      <c r="X125" s="14"/>
    </row>
    <row r="126" spans="2:24">
      <c r="B126" s="11"/>
      <c r="C126" s="11"/>
      <c r="E126" s="12"/>
      <c r="M126" s="4"/>
      <c r="N126" s="4"/>
      <c r="O126" s="4"/>
      <c r="P126" s="4"/>
      <c r="V126" s="13"/>
      <c r="W126" s="11"/>
      <c r="X126" s="14"/>
    </row>
    <row r="127" spans="2:24">
      <c r="B127" s="11"/>
      <c r="C127" s="11"/>
      <c r="E127" s="12"/>
      <c r="M127" s="4"/>
      <c r="N127" s="4"/>
      <c r="O127" s="4"/>
      <c r="P127" s="4"/>
      <c r="V127" s="13"/>
      <c r="W127" s="11"/>
      <c r="X127" s="14"/>
    </row>
    <row r="128" spans="2:24">
      <c r="B128" s="11"/>
      <c r="C128" s="11"/>
      <c r="E128" s="12"/>
      <c r="M128" s="4"/>
      <c r="N128" s="4"/>
      <c r="O128" s="4"/>
      <c r="P128" s="4"/>
      <c r="V128" s="13"/>
      <c r="W128" s="11"/>
      <c r="X128" s="14"/>
    </row>
    <row r="129" spans="2:24">
      <c r="B129" s="11"/>
      <c r="C129" s="11"/>
      <c r="E129" s="12"/>
      <c r="M129" s="4"/>
      <c r="N129" s="4"/>
      <c r="O129" s="4"/>
      <c r="P129" s="4"/>
      <c r="V129" s="13"/>
      <c r="W129" s="11"/>
      <c r="X129" s="14"/>
    </row>
    <row r="130" spans="2:24">
      <c r="B130" s="11"/>
      <c r="C130" s="11"/>
      <c r="E130" s="12"/>
      <c r="M130" s="4"/>
      <c r="N130" s="4"/>
      <c r="O130" s="4"/>
      <c r="P130" s="4"/>
      <c r="V130" s="13"/>
      <c r="W130" s="11"/>
      <c r="X130" s="14"/>
    </row>
    <row r="131" spans="2:24">
      <c r="B131" s="11"/>
      <c r="C131" s="11"/>
      <c r="E131" s="12"/>
      <c r="M131" s="4"/>
      <c r="N131" s="4"/>
      <c r="O131" s="4"/>
      <c r="P131" s="4"/>
      <c r="V131" s="13"/>
      <c r="W131" s="11"/>
      <c r="X131" s="14"/>
    </row>
    <row r="132" spans="2:24">
      <c r="B132" s="11"/>
      <c r="C132" s="11"/>
      <c r="E132" s="12"/>
      <c r="M132" s="4"/>
      <c r="N132" s="4"/>
      <c r="O132" s="4"/>
      <c r="P132" s="4"/>
      <c r="V132" s="13"/>
      <c r="W132" s="11"/>
      <c r="X132" s="14"/>
    </row>
    <row r="133" spans="2:24">
      <c r="B133" s="11"/>
      <c r="C133" s="11"/>
      <c r="E133" s="12"/>
      <c r="M133" s="4"/>
      <c r="N133" s="4"/>
      <c r="O133" s="4"/>
      <c r="P133" s="4"/>
      <c r="V133" s="13"/>
      <c r="W133" s="11"/>
      <c r="X133" s="14"/>
    </row>
    <row r="134" spans="2:24">
      <c r="B134" s="11"/>
      <c r="C134" s="11"/>
      <c r="E134" s="12"/>
      <c r="M134" s="4"/>
      <c r="N134" s="4"/>
      <c r="O134" s="4"/>
      <c r="P134" s="4"/>
      <c r="V134" s="13"/>
      <c r="W134" s="11"/>
      <c r="X134" s="14"/>
    </row>
    <row r="135" spans="2:24">
      <c r="B135" s="11"/>
      <c r="C135" s="11"/>
      <c r="E135" s="12"/>
      <c r="M135" s="4"/>
      <c r="N135" s="4"/>
      <c r="O135" s="4"/>
      <c r="P135" s="4"/>
      <c r="V135" s="13"/>
      <c r="W135" s="11"/>
      <c r="X135" s="14"/>
    </row>
    <row r="136" spans="2:24">
      <c r="B136" s="11"/>
      <c r="C136" s="11"/>
      <c r="E136" s="12"/>
      <c r="M136" s="4"/>
      <c r="N136" s="4"/>
      <c r="O136" s="4"/>
      <c r="P136" s="4"/>
      <c r="V136" s="13"/>
      <c r="W136" s="11"/>
      <c r="X136" s="14"/>
    </row>
    <row r="137" spans="2:24">
      <c r="B137" s="11"/>
      <c r="C137" s="11"/>
      <c r="E137" s="12"/>
      <c r="M137" s="4"/>
      <c r="N137" s="4"/>
      <c r="O137" s="4"/>
      <c r="P137" s="4"/>
      <c r="V137" s="13"/>
      <c r="W137" s="11"/>
      <c r="X137" s="14"/>
    </row>
    <row r="138" spans="2:24">
      <c r="B138" s="11"/>
      <c r="C138" s="11"/>
      <c r="E138" s="12"/>
      <c r="M138" s="4"/>
      <c r="N138" s="4"/>
      <c r="O138" s="4"/>
      <c r="P138" s="4"/>
      <c r="V138" s="13"/>
      <c r="W138" s="11"/>
      <c r="X138" s="14"/>
    </row>
    <row r="139" spans="2:24">
      <c r="B139" s="11"/>
      <c r="C139" s="11"/>
      <c r="E139" s="12"/>
      <c r="M139" s="4"/>
      <c r="N139" s="4"/>
      <c r="O139" s="4"/>
      <c r="P139" s="4"/>
      <c r="V139" s="13"/>
      <c r="W139" s="11"/>
      <c r="X139" s="14"/>
    </row>
    <row r="140" spans="2:24">
      <c r="B140" s="11"/>
      <c r="C140" s="11"/>
      <c r="E140" s="12"/>
      <c r="M140" s="4"/>
      <c r="N140" s="4"/>
      <c r="O140" s="4"/>
      <c r="P140" s="4"/>
      <c r="V140" s="13"/>
      <c r="W140" s="11"/>
      <c r="X140" s="14"/>
    </row>
    <row r="141" spans="2:24">
      <c r="B141" s="11"/>
      <c r="C141" s="11"/>
      <c r="E141" s="12"/>
      <c r="M141" s="4"/>
      <c r="N141" s="4"/>
      <c r="O141" s="4"/>
      <c r="P141" s="4"/>
      <c r="V141" s="13"/>
      <c r="W141" s="11"/>
      <c r="X141" s="14"/>
    </row>
    <row r="142" spans="2:24">
      <c r="B142" s="11"/>
      <c r="C142" s="11"/>
      <c r="E142" s="12"/>
      <c r="M142" s="4"/>
      <c r="N142" s="4"/>
      <c r="O142" s="4"/>
      <c r="P142" s="4"/>
      <c r="V142" s="13"/>
      <c r="W142" s="11"/>
      <c r="X142" s="14"/>
    </row>
    <row r="143" spans="2:24">
      <c r="B143" s="11"/>
      <c r="C143" s="11"/>
      <c r="E143" s="12"/>
      <c r="M143" s="4"/>
      <c r="N143" s="4"/>
      <c r="O143" s="4"/>
      <c r="P143" s="4"/>
      <c r="V143" s="13"/>
      <c r="W143" s="11"/>
      <c r="X143" s="14"/>
    </row>
    <row r="144" spans="2:24">
      <c r="B144" s="11"/>
      <c r="C144" s="11"/>
      <c r="E144" s="12"/>
      <c r="M144" s="4"/>
      <c r="N144" s="4"/>
      <c r="O144" s="4"/>
      <c r="P144" s="4"/>
      <c r="V144" s="13"/>
      <c r="W144" s="11"/>
      <c r="X144" s="14"/>
    </row>
    <row r="145" spans="2:24">
      <c r="B145" s="11"/>
      <c r="C145" s="11"/>
      <c r="E145" s="12"/>
      <c r="M145" s="4"/>
      <c r="N145" s="4"/>
      <c r="O145" s="4"/>
      <c r="P145" s="4"/>
      <c r="V145" s="13"/>
      <c r="W145" s="11"/>
      <c r="X145" s="14"/>
    </row>
    <row r="146" spans="2:24">
      <c r="B146" s="11"/>
      <c r="C146" s="11"/>
      <c r="E146" s="12"/>
      <c r="M146" s="4"/>
      <c r="N146" s="4"/>
      <c r="O146" s="4"/>
      <c r="P146" s="4"/>
      <c r="V146" s="13"/>
      <c r="W146" s="11"/>
      <c r="X146" s="14"/>
    </row>
    <row r="147" spans="2:24">
      <c r="B147" s="11"/>
      <c r="C147" s="11"/>
      <c r="E147" s="12"/>
      <c r="M147" s="4"/>
      <c r="N147" s="4"/>
      <c r="O147" s="4"/>
      <c r="P147" s="4"/>
      <c r="V147" s="13"/>
      <c r="W147" s="11"/>
      <c r="X147" s="14"/>
    </row>
    <row r="148" spans="2:24">
      <c r="B148" s="11"/>
      <c r="C148" s="11"/>
      <c r="E148" s="12"/>
      <c r="M148" s="4"/>
      <c r="N148" s="4"/>
      <c r="O148" s="4"/>
      <c r="P148" s="4"/>
      <c r="V148" s="13"/>
      <c r="W148" s="11"/>
      <c r="X148" s="14"/>
    </row>
    <row r="149" spans="2:24">
      <c r="B149" s="11"/>
      <c r="C149" s="11"/>
      <c r="E149" s="12"/>
      <c r="M149" s="4"/>
      <c r="N149" s="4"/>
      <c r="O149" s="4"/>
      <c r="P149" s="4"/>
      <c r="V149" s="13"/>
      <c r="W149" s="11"/>
      <c r="X149" s="14"/>
    </row>
    <row r="150" spans="2:24">
      <c r="B150" s="11"/>
      <c r="C150" s="11"/>
      <c r="E150" s="12"/>
      <c r="M150" s="4"/>
      <c r="N150" s="4"/>
      <c r="O150" s="4"/>
      <c r="P150" s="4"/>
      <c r="V150" s="13"/>
      <c r="W150" s="11"/>
      <c r="X150" s="14"/>
    </row>
    <row r="151" spans="2:24">
      <c r="B151" s="11"/>
      <c r="C151" s="11"/>
      <c r="E151" s="12"/>
      <c r="M151" s="4"/>
      <c r="N151" s="4"/>
      <c r="O151" s="4"/>
      <c r="P151" s="4"/>
      <c r="V151" s="13"/>
      <c r="W151" s="11"/>
      <c r="X151" s="14"/>
    </row>
    <row r="152" spans="2:24">
      <c r="B152" s="11"/>
      <c r="C152" s="11"/>
      <c r="E152" s="12"/>
      <c r="M152" s="4"/>
      <c r="N152" s="4"/>
      <c r="O152" s="4"/>
      <c r="P152" s="4"/>
      <c r="V152" s="13"/>
      <c r="W152" s="11"/>
      <c r="X152" s="14"/>
    </row>
    <row r="153" spans="2:24">
      <c r="B153" s="11"/>
      <c r="C153" s="11"/>
      <c r="E153" s="12"/>
      <c r="M153" s="4"/>
      <c r="N153" s="4"/>
      <c r="O153" s="4"/>
      <c r="P153" s="4"/>
      <c r="V153" s="13"/>
      <c r="W153" s="11"/>
      <c r="X153" s="14"/>
    </row>
    <row r="154" spans="2:24">
      <c r="B154" s="11"/>
      <c r="C154" s="11"/>
      <c r="E154" s="12"/>
      <c r="M154" s="4"/>
      <c r="N154" s="4"/>
      <c r="O154" s="4"/>
      <c r="P154" s="4"/>
      <c r="V154" s="13"/>
      <c r="W154" s="11"/>
      <c r="X154" s="14"/>
    </row>
    <row r="155" spans="2:24">
      <c r="B155" s="11"/>
      <c r="C155" s="11"/>
      <c r="E155" s="12"/>
      <c r="M155" s="4"/>
      <c r="N155" s="4"/>
      <c r="O155" s="4"/>
      <c r="P155" s="4"/>
      <c r="V155" s="13"/>
      <c r="W155" s="11"/>
      <c r="X155" s="14"/>
    </row>
    <row r="156" spans="2:24">
      <c r="B156" s="11"/>
      <c r="C156" s="11"/>
      <c r="E156" s="12"/>
      <c r="M156" s="4"/>
      <c r="N156" s="4"/>
      <c r="O156" s="4"/>
      <c r="P156" s="4"/>
      <c r="V156" s="13"/>
      <c r="W156" s="11"/>
      <c r="X156" s="14"/>
    </row>
    <row r="157" spans="2:24">
      <c r="B157" s="11"/>
      <c r="C157" s="11"/>
      <c r="E157" s="12"/>
      <c r="M157" s="4"/>
      <c r="N157" s="4"/>
      <c r="O157" s="4"/>
      <c r="P157" s="4"/>
      <c r="V157" s="13"/>
      <c r="W157" s="11"/>
      <c r="X157" s="14"/>
    </row>
    <row r="158" spans="2:24">
      <c r="B158" s="11"/>
      <c r="C158" s="11"/>
      <c r="E158" s="12"/>
      <c r="M158" s="4"/>
      <c r="N158" s="4"/>
      <c r="O158" s="4"/>
      <c r="P158" s="4"/>
      <c r="V158" s="13"/>
      <c r="W158" s="11"/>
      <c r="X158" s="14"/>
    </row>
    <row r="159" spans="2:24">
      <c r="V159" s="17"/>
    </row>
    <row r="160" spans="2:24">
      <c r="V160" s="17"/>
    </row>
    <row r="161" spans="22:22">
      <c r="V161" s="17"/>
    </row>
    <row r="162" spans="22:22">
      <c r="V162" s="17"/>
    </row>
    <row r="163" spans="22:22">
      <c r="V163" s="17"/>
    </row>
    <row r="164" spans="22:22">
      <c r="V164" s="17"/>
    </row>
    <row r="165" spans="22:22">
      <c r="V165" s="17"/>
    </row>
    <row r="166" spans="22:22">
      <c r="V166" s="17"/>
    </row>
    <row r="167" spans="22:22">
      <c r="V167" s="17"/>
    </row>
    <row r="168" spans="22:22">
      <c r="V168" s="17"/>
    </row>
    <row r="169" spans="22:22">
      <c r="V169" s="17"/>
    </row>
    <row r="170" spans="22:22">
      <c r="V170" s="17"/>
    </row>
    <row r="171" spans="22:22">
      <c r="V171" s="17"/>
    </row>
    <row r="172" spans="22:22">
      <c r="V172" s="17"/>
    </row>
    <row r="173" spans="22:22">
      <c r="V173" s="17"/>
    </row>
    <row r="174" spans="22:22">
      <c r="V174" s="17"/>
    </row>
    <row r="175" spans="22:22">
      <c r="V175" s="17"/>
    </row>
    <row r="176" spans="22:22">
      <c r="V176" s="17"/>
    </row>
    <row r="177" spans="22:22">
      <c r="V177" s="17"/>
    </row>
    <row r="178" spans="22:22">
      <c r="V178" s="17"/>
    </row>
    <row r="179" spans="22:22">
      <c r="V179" s="17"/>
    </row>
    <row r="180" spans="22:22">
      <c r="V180" s="17"/>
    </row>
    <row r="181" spans="22:22">
      <c r="V181" s="17"/>
    </row>
    <row r="182" spans="22:22">
      <c r="V182" s="17"/>
    </row>
    <row r="183" spans="22:22">
      <c r="V183" s="17"/>
    </row>
    <row r="184" spans="22:22">
      <c r="V184" s="17"/>
    </row>
    <row r="185" spans="22:22">
      <c r="V185" s="17"/>
    </row>
    <row r="186" spans="22:22">
      <c r="V186" s="17"/>
    </row>
    <row r="187" spans="22:22">
      <c r="V187" s="17"/>
    </row>
    <row r="188" spans="22:22">
      <c r="V188" s="17"/>
    </row>
    <row r="189" spans="22:22">
      <c r="V189" s="17"/>
    </row>
    <row r="190" spans="22:22">
      <c r="V190" s="17"/>
    </row>
    <row r="191" spans="22:22">
      <c r="V191" s="17"/>
    </row>
    <row r="192" spans="22:22">
      <c r="V192" s="17"/>
    </row>
    <row r="193" spans="22:22">
      <c r="V193" s="17"/>
    </row>
    <row r="194" spans="22:22">
      <c r="V194" s="17"/>
    </row>
    <row r="195" spans="22:22">
      <c r="V195" s="17"/>
    </row>
    <row r="196" spans="22:22">
      <c r="V196" s="17"/>
    </row>
    <row r="197" spans="22:22">
      <c r="V197" s="17"/>
    </row>
    <row r="198" spans="22:22">
      <c r="V198" s="17"/>
    </row>
    <row r="199" spans="22:22">
      <c r="V199" s="17"/>
    </row>
    <row r="200" spans="22:22">
      <c r="V200" s="17"/>
    </row>
    <row r="201" spans="22:22">
      <c r="V201" s="17"/>
    </row>
    <row r="202" spans="22:22">
      <c r="V202" s="17"/>
    </row>
    <row r="203" spans="22:22">
      <c r="V203" s="17"/>
    </row>
    <row r="204" spans="22:22">
      <c r="V204" s="17"/>
    </row>
    <row r="205" spans="22:22">
      <c r="V205" s="17"/>
    </row>
    <row r="206" spans="22:22">
      <c r="V206" s="17"/>
    </row>
    <row r="207" spans="22:22">
      <c r="V207" s="17"/>
    </row>
    <row r="208" spans="22:22">
      <c r="V208" s="17"/>
    </row>
    <row r="209" spans="22:22">
      <c r="V209" s="17"/>
    </row>
    <row r="210" spans="22:22">
      <c r="V210" s="17"/>
    </row>
    <row r="211" spans="22:22">
      <c r="V211" s="17"/>
    </row>
    <row r="212" spans="22:22">
      <c r="V212" s="17"/>
    </row>
    <row r="213" spans="22:22">
      <c r="V213" s="17"/>
    </row>
    <row r="214" spans="22:22">
      <c r="V214" s="17"/>
    </row>
    <row r="215" spans="22:22">
      <c r="V215" s="17"/>
    </row>
    <row r="216" spans="22:22">
      <c r="V216" s="17"/>
    </row>
    <row r="217" spans="22:22">
      <c r="V217" s="17"/>
    </row>
    <row r="218" spans="22:22">
      <c r="V218" s="17"/>
    </row>
    <row r="219" spans="22:22">
      <c r="V219" s="17"/>
    </row>
    <row r="220" spans="22:22">
      <c r="V220" s="17"/>
    </row>
    <row r="221" spans="22:22">
      <c r="V221" s="17"/>
    </row>
    <row r="222" spans="22:22">
      <c r="V222" s="17"/>
    </row>
    <row r="223" spans="22:22">
      <c r="V223" s="17"/>
    </row>
    <row r="224" spans="22:22">
      <c r="V224" s="17"/>
    </row>
    <row r="225" spans="22:22">
      <c r="V225" s="17"/>
    </row>
    <row r="226" spans="22:22">
      <c r="V226" s="17"/>
    </row>
    <row r="227" spans="22:22">
      <c r="V227" s="17"/>
    </row>
    <row r="228" spans="22:22">
      <c r="V228" s="17"/>
    </row>
    <row r="229" spans="22:22">
      <c r="V229" s="17"/>
    </row>
    <row r="230" spans="22:22">
      <c r="V230" s="17"/>
    </row>
    <row r="231" spans="22:22">
      <c r="V231" s="17"/>
    </row>
    <row r="232" spans="22:22">
      <c r="V232" s="17"/>
    </row>
    <row r="233" spans="22:22">
      <c r="V233" s="17"/>
    </row>
    <row r="234" spans="22:22">
      <c r="V234" s="17"/>
    </row>
    <row r="235" spans="22:22">
      <c r="V235" s="17"/>
    </row>
    <row r="236" spans="22:22">
      <c r="V236" s="17"/>
    </row>
    <row r="237" spans="22:22">
      <c r="V237" s="17"/>
    </row>
    <row r="238" spans="22:22">
      <c r="V238" s="17"/>
    </row>
    <row r="239" spans="22:22">
      <c r="V239" s="17"/>
    </row>
    <row r="240" spans="22:22">
      <c r="V240" s="17"/>
    </row>
    <row r="241" spans="22:22">
      <c r="V241" s="17"/>
    </row>
    <row r="242" spans="22:22">
      <c r="V242" s="17"/>
    </row>
    <row r="243" spans="22:22">
      <c r="V243" s="17"/>
    </row>
    <row r="244" spans="22:22">
      <c r="V244" s="17"/>
    </row>
    <row r="245" spans="22:22">
      <c r="V245" s="17"/>
    </row>
    <row r="246" spans="22:22">
      <c r="V246" s="17"/>
    </row>
    <row r="247" spans="22:22">
      <c r="V247" s="17"/>
    </row>
    <row r="248" spans="22:22">
      <c r="V248" s="17"/>
    </row>
    <row r="249" spans="22:22">
      <c r="V249" s="17"/>
    </row>
    <row r="250" spans="22:22">
      <c r="V250" s="17"/>
    </row>
    <row r="251" spans="22:22">
      <c r="V251" s="17"/>
    </row>
    <row r="252" spans="22:22">
      <c r="V252" s="17"/>
    </row>
    <row r="253" spans="22:22">
      <c r="V253" s="17"/>
    </row>
    <row r="254" spans="22:22">
      <c r="V254" s="17"/>
    </row>
    <row r="255" spans="22:22">
      <c r="V255" s="17"/>
    </row>
    <row r="256" spans="22:22">
      <c r="V256" s="17"/>
    </row>
    <row r="257" spans="22:22">
      <c r="V257" s="17"/>
    </row>
    <row r="258" spans="22:22">
      <c r="V258" s="17"/>
    </row>
    <row r="259" spans="22:22">
      <c r="V259" s="17"/>
    </row>
    <row r="260" spans="22:22">
      <c r="V260" s="17"/>
    </row>
    <row r="261" spans="22:22">
      <c r="V261" s="17"/>
    </row>
    <row r="262" spans="22:22">
      <c r="V262" s="17"/>
    </row>
    <row r="263" spans="22:22">
      <c r="V263" s="17"/>
    </row>
    <row r="264" spans="22:22">
      <c r="V264" s="17"/>
    </row>
    <row r="265" spans="22:22">
      <c r="V265" s="17"/>
    </row>
    <row r="266" spans="22:22">
      <c r="V266" s="17"/>
    </row>
    <row r="267" spans="22:22">
      <c r="V267" s="17"/>
    </row>
    <row r="268" spans="22:22">
      <c r="V268" s="17"/>
    </row>
    <row r="269" spans="22:22">
      <c r="V269" s="17"/>
    </row>
    <row r="270" spans="22:22">
      <c r="V270" s="17"/>
    </row>
    <row r="271" spans="22:22">
      <c r="V271" s="17"/>
    </row>
    <row r="272" spans="22:22">
      <c r="V272" s="17"/>
    </row>
    <row r="273" spans="22:22">
      <c r="V273" s="17"/>
    </row>
    <row r="274" spans="22:22">
      <c r="V274" s="17"/>
    </row>
    <row r="275" spans="22:22">
      <c r="V275" s="17"/>
    </row>
    <row r="276" spans="22:22">
      <c r="V276" s="17"/>
    </row>
    <row r="277" spans="22:22">
      <c r="V277" s="17"/>
    </row>
    <row r="278" spans="22:22">
      <c r="V278" s="17"/>
    </row>
    <row r="279" spans="22:22">
      <c r="V279" s="17"/>
    </row>
    <row r="280" spans="22:22">
      <c r="V280" s="17"/>
    </row>
    <row r="281" spans="22:22">
      <c r="V281" s="17"/>
    </row>
    <row r="282" spans="22:22">
      <c r="V282" s="17"/>
    </row>
    <row r="283" spans="22:22">
      <c r="V283" s="17"/>
    </row>
    <row r="284" spans="22:22">
      <c r="V284" s="17"/>
    </row>
    <row r="285" spans="22:22">
      <c r="V285" s="17"/>
    </row>
    <row r="286" spans="22:22">
      <c r="V286" s="17"/>
    </row>
    <row r="287" spans="22:22">
      <c r="V287" s="17"/>
    </row>
    <row r="288" spans="22:22">
      <c r="V288" s="17"/>
    </row>
    <row r="289" spans="22:22">
      <c r="V289" s="17"/>
    </row>
    <row r="290" spans="22:22">
      <c r="V290" s="17"/>
    </row>
    <row r="291" spans="22:22">
      <c r="V291" s="17"/>
    </row>
    <row r="292" spans="22:22">
      <c r="V292" s="17"/>
    </row>
    <row r="293" spans="22:22">
      <c r="V293" s="17"/>
    </row>
    <row r="294" spans="22:22">
      <c r="V294" s="17"/>
    </row>
    <row r="295" spans="22:22">
      <c r="V295" s="17"/>
    </row>
    <row r="296" spans="22:22">
      <c r="V296" s="17"/>
    </row>
    <row r="297" spans="22:22">
      <c r="V297" s="17"/>
    </row>
    <row r="298" spans="22:22">
      <c r="V298" s="17"/>
    </row>
    <row r="299" spans="22:22">
      <c r="V299" s="17"/>
    </row>
    <row r="300" spans="22:22">
      <c r="V300" s="17"/>
    </row>
    <row r="301" spans="22:22">
      <c r="V301" s="17"/>
    </row>
    <row r="302" spans="22:22">
      <c r="V302" s="17"/>
    </row>
    <row r="303" spans="22:22">
      <c r="V303" s="17"/>
    </row>
    <row r="304" spans="22:22">
      <c r="V304" s="17"/>
    </row>
    <row r="305" spans="22:22">
      <c r="V305" s="17"/>
    </row>
    <row r="306" spans="22:22">
      <c r="V306" s="17"/>
    </row>
    <row r="307" spans="22:22">
      <c r="V307" s="17"/>
    </row>
    <row r="308" spans="22:22">
      <c r="V308" s="17"/>
    </row>
    <row r="309" spans="22:22">
      <c r="V309" s="17"/>
    </row>
    <row r="310" spans="22:22">
      <c r="V310" s="17"/>
    </row>
    <row r="311" spans="22:22">
      <c r="V311" s="17"/>
    </row>
    <row r="312" spans="22:22">
      <c r="V312" s="17"/>
    </row>
    <row r="313" spans="22:22">
      <c r="V313" s="17"/>
    </row>
    <row r="314" spans="22:22">
      <c r="V314" s="17"/>
    </row>
    <row r="315" spans="22:22">
      <c r="V315" s="17"/>
    </row>
    <row r="316" spans="22:22">
      <c r="V316" s="17"/>
    </row>
    <row r="317" spans="22:22">
      <c r="V317" s="17"/>
    </row>
    <row r="318" spans="22:22">
      <c r="V318" s="17"/>
    </row>
    <row r="319" spans="22:22">
      <c r="V319" s="17"/>
    </row>
    <row r="320" spans="22:22">
      <c r="V320" s="17"/>
    </row>
    <row r="321" spans="22:22">
      <c r="V321" s="17"/>
    </row>
    <row r="322" spans="22:22">
      <c r="V322" s="17"/>
    </row>
    <row r="323" spans="22:22">
      <c r="V323" s="17"/>
    </row>
    <row r="324" spans="22:22">
      <c r="V324" s="17"/>
    </row>
    <row r="325" spans="22:22">
      <c r="V325" s="17"/>
    </row>
    <row r="326" spans="22:22">
      <c r="V326" s="17"/>
    </row>
    <row r="327" spans="22:22">
      <c r="V327" s="17"/>
    </row>
    <row r="328" spans="22:22">
      <c r="V328" s="17"/>
    </row>
    <row r="329" spans="22:22">
      <c r="V329" s="17"/>
    </row>
    <row r="330" spans="22:22">
      <c r="V330" s="17"/>
    </row>
    <row r="331" spans="22:22">
      <c r="V331" s="17"/>
    </row>
    <row r="332" spans="22:22">
      <c r="V332" s="17"/>
    </row>
    <row r="333" spans="22:22">
      <c r="V333" s="17"/>
    </row>
    <row r="334" spans="22:22">
      <c r="V334" s="17"/>
    </row>
    <row r="335" spans="22:22">
      <c r="V335" s="17"/>
    </row>
    <row r="336" spans="22:22">
      <c r="V336" s="17"/>
    </row>
    <row r="337" spans="22:22">
      <c r="V337" s="17"/>
    </row>
    <row r="338" spans="22:22">
      <c r="V338" s="17"/>
    </row>
    <row r="339" spans="22:22">
      <c r="V339" s="17"/>
    </row>
    <row r="340" spans="22:22">
      <c r="V340" s="17"/>
    </row>
    <row r="341" spans="22:22">
      <c r="V341" s="17"/>
    </row>
    <row r="342" spans="22:22">
      <c r="V342" s="17"/>
    </row>
    <row r="343" spans="22:22">
      <c r="V343" s="17"/>
    </row>
    <row r="344" spans="22:22">
      <c r="V344" s="17"/>
    </row>
    <row r="345" spans="22:22">
      <c r="V345" s="17"/>
    </row>
    <row r="346" spans="22:22">
      <c r="V346" s="17"/>
    </row>
    <row r="347" spans="22:22">
      <c r="V347" s="17"/>
    </row>
    <row r="348" spans="22:22">
      <c r="V348" s="17"/>
    </row>
    <row r="349" spans="22:22">
      <c r="V349" s="17"/>
    </row>
    <row r="350" spans="22:22">
      <c r="V350" s="17"/>
    </row>
    <row r="351" spans="22:22">
      <c r="V351" s="17"/>
    </row>
    <row r="352" spans="22:22">
      <c r="V352" s="17"/>
    </row>
    <row r="353" spans="22:22">
      <c r="V353" s="17"/>
    </row>
    <row r="354" spans="22:22">
      <c r="V354" s="17"/>
    </row>
    <row r="355" spans="22:22">
      <c r="V355" s="17"/>
    </row>
    <row r="356" spans="22:22">
      <c r="V356" s="17"/>
    </row>
    <row r="357" spans="22:22">
      <c r="V357" s="17"/>
    </row>
    <row r="358" spans="22:22">
      <c r="V358" s="17"/>
    </row>
  </sheetData>
  <mergeCells count="7">
    <mergeCell ref="M1:N1"/>
    <mergeCell ref="V1:Y1"/>
    <mergeCell ref="D1:F1"/>
    <mergeCell ref="K1:L1"/>
    <mergeCell ref="H1:J1"/>
    <mergeCell ref="S1:U1"/>
    <mergeCell ref="O1:R1"/>
  </mergeCells>
  <phoneticPr fontId="2" type="noConversion"/>
  <conditionalFormatting sqref="H3:H1048576">
    <cfRule type="expression" dxfId="4" priority="1">
      <formula>H3&gt;D3</formula>
    </cfRule>
  </conditionalFormatting>
  <conditionalFormatting sqref="J3:J1048576">
    <cfRule type="expression" dxfId="3" priority="2">
      <formula>J3&lt;D3</formula>
    </cfRule>
  </conditionalFormatting>
  <conditionalFormatting sqref="K3:K1048576">
    <cfRule type="expression" dxfId="2" priority="9">
      <formula>K3&gt;D3</formula>
    </cfRule>
  </conditionalFormatting>
  <conditionalFormatting sqref="L3:L1048576">
    <cfRule type="expression" dxfId="1" priority="3">
      <formula>L3&lt;D3</formula>
    </cfRule>
  </conditionalFormatting>
  <conditionalFormatting sqref="X3:X1048576">
    <cfRule type="expression" dxfId="0" priority="4">
      <formula>X3&lt;TODAY()</formula>
    </cfRule>
  </conditionalFormatting>
  <pageMargins left="0.25" right="0.25" top="0.75" bottom="0.75" header="0.3" footer="0.3"/>
  <pageSetup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4C19-4ACF-4ADD-A392-633864AC3A1D}">
  <sheetPr>
    <pageSetUpPr fitToPage="1"/>
  </sheetPr>
  <dimension ref="A1:E95"/>
  <sheetViews>
    <sheetView showGridLines="0" zoomScale="105" workbookViewId="0">
      <selection activeCell="G37" sqref="G37"/>
    </sheetView>
  </sheetViews>
  <sheetFormatPr defaultColWidth="9" defaultRowHeight="11.65"/>
  <cols>
    <col min="1" max="1" width="2.6640625" style="1" customWidth="1"/>
    <col min="2" max="2" width="30" style="1" bestFit="1" customWidth="1"/>
    <col min="3" max="4" width="25.6640625" style="1" customWidth="1"/>
    <col min="5" max="5" width="10.6640625" style="1" customWidth="1"/>
    <col min="6" max="16384" width="9" style="1"/>
  </cols>
  <sheetData>
    <row r="1" spans="1:5">
      <c r="A1" s="20" t="s">
        <v>224</v>
      </c>
    </row>
    <row r="2" spans="1:5">
      <c r="A2" s="21" t="s">
        <v>225</v>
      </c>
      <c r="B2" s="21"/>
      <c r="C2" s="21"/>
      <c r="D2" s="21"/>
      <c r="E2" s="21"/>
    </row>
    <row r="4" spans="1:5">
      <c r="B4" s="152" t="s">
        <v>226</v>
      </c>
      <c r="C4" s="151"/>
      <c r="D4" s="151"/>
      <c r="E4" s="151"/>
    </row>
    <row r="6" spans="1:5">
      <c r="A6" s="20" t="s">
        <v>57</v>
      </c>
      <c r="B6" s="19" t="s">
        <v>227</v>
      </c>
      <c r="C6" s="47"/>
    </row>
    <row r="7" spans="1:5">
      <c r="B7" s="152" t="s">
        <v>317</v>
      </c>
      <c r="C7" s="151"/>
      <c r="D7" s="151"/>
      <c r="E7" s="151"/>
    </row>
    <row r="9" spans="1:5">
      <c r="B9" s="23" t="s">
        <v>228</v>
      </c>
    </row>
    <row r="10" spans="1:5">
      <c r="B10" s="1" t="s">
        <v>229</v>
      </c>
      <c r="C10" s="105">
        <f>benchmark</f>
        <v>8.6999999999999994E-2</v>
      </c>
    </row>
    <row r="11" spans="1:5">
      <c r="B11" s="1" t="s">
        <v>230</v>
      </c>
      <c r="C11" s="105">
        <f>Cash_Yield</f>
        <v>1.9E-2</v>
      </c>
    </row>
    <row r="12" spans="1:5">
      <c r="C12" s="4"/>
    </row>
    <row r="13" spans="1:5">
      <c r="B13" s="23" t="s">
        <v>231</v>
      </c>
      <c r="C13" s="4"/>
    </row>
    <row r="14" spans="1:5">
      <c r="B14" s="1" t="s">
        <v>232</v>
      </c>
      <c r="C14" s="4" t="s">
        <v>235</v>
      </c>
    </row>
    <row r="15" spans="1:5">
      <c r="B15" s="1" t="s">
        <v>233</v>
      </c>
      <c r="C15" s="24" t="s">
        <v>236</v>
      </c>
    </row>
    <row r="16" spans="1:5">
      <c r="B16" s="1" t="s">
        <v>234</v>
      </c>
      <c r="C16" s="24" t="s">
        <v>237</v>
      </c>
    </row>
    <row r="18" spans="1:5">
      <c r="B18" s="23" t="s">
        <v>238</v>
      </c>
    </row>
    <row r="19" spans="1:5">
      <c r="B19" s="24" t="s">
        <v>239</v>
      </c>
    </row>
    <row r="20" spans="1:5">
      <c r="B20" s="24" t="s">
        <v>240</v>
      </c>
    </row>
    <row r="21" spans="1:5">
      <c r="B21" s="24" t="s">
        <v>241</v>
      </c>
    </row>
    <row r="23" spans="1:5">
      <c r="A23" s="25" t="s">
        <v>58</v>
      </c>
      <c r="B23" s="19" t="s">
        <v>243</v>
      </c>
      <c r="C23" s="47"/>
    </row>
    <row r="24" spans="1:5">
      <c r="A24" s="18"/>
      <c r="B24" s="152" t="s">
        <v>242</v>
      </c>
      <c r="C24" s="151"/>
      <c r="D24" s="151"/>
      <c r="E24" s="151"/>
    </row>
    <row r="25" spans="1:5">
      <c r="A25" s="18"/>
    </row>
    <row r="26" spans="1:5">
      <c r="A26" s="18"/>
      <c r="B26" s="43" t="s">
        <v>244</v>
      </c>
      <c r="C26" s="43" t="s">
        <v>245</v>
      </c>
    </row>
    <row r="27" spans="1:5">
      <c r="B27" s="26" t="s">
        <v>246</v>
      </c>
      <c r="C27" s="106">
        <f>Portfolio_Mgmt!C30</f>
        <v>6</v>
      </c>
    </row>
    <row r="28" spans="1:5">
      <c r="B28" s="26" t="s">
        <v>247</v>
      </c>
      <c r="C28" s="107">
        <f>Portfolio_Mgmt!C31</f>
        <v>0.3</v>
      </c>
    </row>
    <row r="30" spans="1:5">
      <c r="A30" s="20" t="s">
        <v>59</v>
      </c>
      <c r="B30" s="92" t="s">
        <v>248</v>
      </c>
      <c r="C30" s="47"/>
    </row>
    <row r="31" spans="1:5">
      <c r="A31" s="20"/>
      <c r="B31" s="43" t="s">
        <v>249</v>
      </c>
      <c r="C31" s="43" t="s">
        <v>250</v>
      </c>
      <c r="D31" s="43" t="s">
        <v>251</v>
      </c>
      <c r="E31" s="43" t="s">
        <v>250</v>
      </c>
    </row>
    <row r="32" spans="1:5" ht="12" thickBot="1">
      <c r="A32" s="20"/>
      <c r="B32" s="93" t="s">
        <v>252</v>
      </c>
      <c r="C32" s="108">
        <f>Portfolio_Mgmt!C46</f>
        <v>0.3</v>
      </c>
      <c r="D32" s="93" t="s">
        <v>312</v>
      </c>
      <c r="E32" s="108">
        <f>Portfolio_Mgmt!E46</f>
        <v>0</v>
      </c>
    </row>
    <row r="33" spans="1:5">
      <c r="B33" s="95" t="s">
        <v>253</v>
      </c>
      <c r="C33" s="109">
        <f>Portfolio_Mgmt!C47</f>
        <v>0.2</v>
      </c>
      <c r="D33" s="96" t="s">
        <v>258</v>
      </c>
      <c r="E33" s="97">
        <f>(C32*C33+(1-C32)*C34)/(2*C33)</f>
        <v>0.49999999999999994</v>
      </c>
    </row>
    <row r="34" spans="1:5" ht="12" thickBot="1">
      <c r="B34" s="98" t="s">
        <v>254</v>
      </c>
      <c r="C34" s="99">
        <f>E32+C33</f>
        <v>0.2</v>
      </c>
      <c r="D34" s="100" t="s">
        <v>259</v>
      </c>
      <c r="E34" s="101">
        <f>-C33/C34</f>
        <v>-1</v>
      </c>
    </row>
    <row r="35" spans="1:5">
      <c r="B35" s="95" t="s">
        <v>255</v>
      </c>
      <c r="C35" s="109"/>
      <c r="D35" s="96" t="s">
        <v>258</v>
      </c>
      <c r="E35" s="97"/>
    </row>
    <row r="36" spans="1:5" ht="12" thickBot="1">
      <c r="B36" s="98" t="s">
        <v>256</v>
      </c>
      <c r="C36" s="99"/>
      <c r="D36" s="100" t="s">
        <v>259</v>
      </c>
      <c r="E36" s="101"/>
    </row>
    <row r="37" spans="1:5">
      <c r="B37" s="102" t="s">
        <v>257</v>
      </c>
      <c r="C37" s="110"/>
      <c r="D37" s="94" t="s">
        <v>260</v>
      </c>
      <c r="E37" s="111"/>
    </row>
    <row r="38" spans="1:5">
      <c r="C38" s="90"/>
    </row>
    <row r="39" spans="1:5">
      <c r="B39" s="20" t="s">
        <v>261</v>
      </c>
    </row>
    <row r="40" spans="1:5">
      <c r="B40" s="151" t="s">
        <v>262</v>
      </c>
      <c r="C40" s="151"/>
      <c r="D40" s="151"/>
      <c r="E40" s="151"/>
    </row>
    <row r="41" spans="1:5">
      <c r="B41" s="152" t="s">
        <v>263</v>
      </c>
      <c r="C41" s="151"/>
      <c r="D41" s="151"/>
      <c r="E41" s="151"/>
    </row>
    <row r="42" spans="1:5">
      <c r="B42" s="152" t="s">
        <v>264</v>
      </c>
      <c r="C42" s="151"/>
      <c r="D42" s="151"/>
      <c r="E42" s="151"/>
    </row>
    <row r="43" spans="1:5">
      <c r="B43" s="152" t="s">
        <v>265</v>
      </c>
      <c r="C43" s="152"/>
      <c r="D43" s="152"/>
      <c r="E43" s="152"/>
    </row>
    <row r="44" spans="1:5" ht="34.25" customHeight="1">
      <c r="B44" s="151" t="s">
        <v>316</v>
      </c>
      <c r="C44" s="151"/>
      <c r="D44" s="151"/>
      <c r="E44" s="151"/>
    </row>
    <row r="46" spans="1:5">
      <c r="A46" s="21" t="s">
        <v>266</v>
      </c>
      <c r="B46" s="21"/>
      <c r="C46" s="21"/>
      <c r="D46" s="21"/>
      <c r="E46" s="21"/>
    </row>
    <row r="48" spans="1:5">
      <c r="B48" s="151" t="s">
        <v>267</v>
      </c>
      <c r="C48" s="151"/>
      <c r="D48" s="151"/>
      <c r="E48" s="151"/>
    </row>
    <row r="50" spans="2:5">
      <c r="B50" s="23" t="s">
        <v>268</v>
      </c>
    </row>
    <row r="52" spans="2:5">
      <c r="B52" s="43" t="s">
        <v>269</v>
      </c>
      <c r="C52" s="43" t="s">
        <v>270</v>
      </c>
      <c r="D52" s="45"/>
      <c r="E52" s="45"/>
    </row>
    <row r="53" spans="2:5">
      <c r="B53" s="26" t="s">
        <v>271</v>
      </c>
      <c r="C53" s="112">
        <f>Portfolio_Mgmt!C60</f>
        <v>0.45</v>
      </c>
      <c r="D53" s="46"/>
      <c r="E53" s="44"/>
    </row>
    <row r="54" spans="2:5">
      <c r="B54" s="26" t="s">
        <v>272</v>
      </c>
      <c r="C54" s="112">
        <f>Portfolio_Mgmt!C61</f>
        <v>0.3</v>
      </c>
      <c r="D54" s="46"/>
      <c r="E54" s="44"/>
    </row>
    <row r="55" spans="2:5">
      <c r="B55" s="26" t="s">
        <v>273</v>
      </c>
      <c r="C55" s="112">
        <f>Portfolio_Mgmt!C62</f>
        <v>0.15</v>
      </c>
      <c r="D55" s="114" t="s">
        <v>314</v>
      </c>
      <c r="E55" s="44"/>
    </row>
    <row r="57" spans="2:5">
      <c r="B57" s="23" t="s">
        <v>274</v>
      </c>
    </row>
    <row r="59" spans="2:5">
      <c r="B59" s="43" t="s">
        <v>251</v>
      </c>
      <c r="C59" s="43" t="s">
        <v>275</v>
      </c>
      <c r="D59" s="43" t="s">
        <v>276</v>
      </c>
      <c r="E59" s="43" t="s">
        <v>277</v>
      </c>
    </row>
    <row r="60" spans="2:5">
      <c r="B60" s="26" t="s">
        <v>278</v>
      </c>
      <c r="C60" s="26" t="s">
        <v>283</v>
      </c>
      <c r="D60" s="26" t="s">
        <v>284</v>
      </c>
      <c r="E60" s="113">
        <f>Portfolio_Mgmt!E67</f>
        <v>1</v>
      </c>
    </row>
    <row r="61" spans="2:5">
      <c r="B61" s="26" t="s">
        <v>279</v>
      </c>
      <c r="C61" s="26" t="s">
        <v>285</v>
      </c>
      <c r="D61" s="26" t="s">
        <v>286</v>
      </c>
      <c r="E61" s="113">
        <f>Portfolio_Mgmt!E68</f>
        <v>1</v>
      </c>
    </row>
    <row r="62" spans="2:5">
      <c r="B62" s="26" t="s">
        <v>280</v>
      </c>
      <c r="C62" s="26" t="s">
        <v>287</v>
      </c>
      <c r="D62" s="26" t="s">
        <v>288</v>
      </c>
      <c r="E62" s="113">
        <f>Portfolio_Mgmt!E69</f>
        <v>1</v>
      </c>
    </row>
    <row r="63" spans="2:5">
      <c r="B63" s="26" t="s">
        <v>281</v>
      </c>
      <c r="C63" s="26" t="s">
        <v>289</v>
      </c>
      <c r="D63" s="26" t="s">
        <v>290</v>
      </c>
      <c r="E63" s="113">
        <f>Portfolio_Mgmt!E70</f>
        <v>2</v>
      </c>
    </row>
    <row r="64" spans="2:5">
      <c r="B64" s="26" t="s">
        <v>282</v>
      </c>
      <c r="C64" s="26" t="s">
        <v>291</v>
      </c>
      <c r="D64" s="26" t="s">
        <v>292</v>
      </c>
      <c r="E64" s="113">
        <f>Portfolio_Mgmt!E71</f>
        <v>1</v>
      </c>
    </row>
    <row r="65" spans="1:5">
      <c r="D65" s="27" t="s">
        <v>293</v>
      </c>
      <c r="E65" s="39">
        <f>SUM(E60:E64)</f>
        <v>6</v>
      </c>
    </row>
    <row r="66" spans="1:5" ht="12" thickBot="1">
      <c r="D66" s="41" t="s">
        <v>294</v>
      </c>
      <c r="E66" s="42">
        <f>IF(E65&lt;=4,C53,IF(E65&gt;=8,C55,C54))</f>
        <v>0.3</v>
      </c>
    </row>
    <row r="67" spans="1:5" ht="12" thickTop="1"/>
    <row r="68" spans="1:5">
      <c r="B68" s="1" t="s">
        <v>295</v>
      </c>
    </row>
    <row r="69" spans="1:5">
      <c r="B69" s="1" t="s">
        <v>296</v>
      </c>
    </row>
    <row r="70" spans="1:5">
      <c r="B70" s="1" t="s">
        <v>297</v>
      </c>
    </row>
    <row r="72" spans="1:5">
      <c r="A72" s="21" t="s">
        <v>298</v>
      </c>
      <c r="B72" s="21"/>
      <c r="C72" s="21"/>
      <c r="D72" s="21"/>
      <c r="E72" s="21"/>
    </row>
    <row r="74" spans="1:5">
      <c r="B74" s="151" t="s">
        <v>299</v>
      </c>
      <c r="C74" s="151"/>
      <c r="D74" s="151"/>
      <c r="E74" s="151"/>
    </row>
    <row r="76" spans="1:5">
      <c r="A76" s="28" t="s">
        <v>57</v>
      </c>
      <c r="B76" s="20" t="s">
        <v>301</v>
      </c>
    </row>
    <row r="77" spans="1:5">
      <c r="B77" s="24" t="s">
        <v>300</v>
      </c>
    </row>
    <row r="79" spans="1:5">
      <c r="A79" s="28" t="s">
        <v>197</v>
      </c>
      <c r="B79" s="20" t="s">
        <v>302</v>
      </c>
    </row>
    <row r="80" spans="1:5">
      <c r="B80" s="1" t="str">
        <f>B19</f>
        <v>- 仅当ERB&gt;0且市场价格≤入场价格时具备配置资格</v>
      </c>
    </row>
    <row r="81" spans="1:5">
      <c r="B81" s="104" t="s">
        <v>303</v>
      </c>
      <c r="C81" s="91" t="s">
        <v>313</v>
      </c>
    </row>
    <row r="82" spans="1:5">
      <c r="B82" s="104" t="s">
        <v>304</v>
      </c>
      <c r="C82" s="91" t="s">
        <v>188</v>
      </c>
    </row>
    <row r="83" spans="1:5">
      <c r="B83" s="103" t="str">
        <f>B20</f>
        <v xml:space="preserve">- 未入选标的获得正常配置额的50%	</v>
      </c>
    </row>
    <row r="85" spans="1:5">
      <c r="B85" s="20" t="s">
        <v>305</v>
      </c>
    </row>
    <row r="86" spans="1:5">
      <c r="B86" s="1" t="s">
        <v>315</v>
      </c>
    </row>
    <row r="87" spans="1:5">
      <c r="B87" s="1" t="s">
        <v>306</v>
      </c>
    </row>
    <row r="88" spans="1:5">
      <c r="B88" s="1" t="s">
        <v>307</v>
      </c>
    </row>
    <row r="90" spans="1:5">
      <c r="A90" s="21" t="s">
        <v>311</v>
      </c>
      <c r="B90" s="21"/>
      <c r="C90" s="21"/>
      <c r="D90" s="21"/>
      <c r="E90" s="21"/>
    </row>
    <row r="92" spans="1:5">
      <c r="B92" s="20" t="s">
        <v>308</v>
      </c>
    </row>
    <row r="93" spans="1:5">
      <c r="B93" s="24" t="s">
        <v>309</v>
      </c>
    </row>
    <row r="94" spans="1:5">
      <c r="B94" s="24" t="s">
        <v>310</v>
      </c>
    </row>
    <row r="95" spans="1:5">
      <c r="B95" s="24" t="s">
        <v>318</v>
      </c>
    </row>
  </sheetData>
  <mergeCells count="10">
    <mergeCell ref="B43:E43"/>
    <mergeCell ref="B44:E44"/>
    <mergeCell ref="B48:E48"/>
    <mergeCell ref="B74:E74"/>
    <mergeCell ref="B4:E4"/>
    <mergeCell ref="B7:E7"/>
    <mergeCell ref="B24:E24"/>
    <mergeCell ref="B40:E40"/>
    <mergeCell ref="B41:E41"/>
    <mergeCell ref="B42:E42"/>
  </mergeCells>
  <pageMargins left="0.25" right="0.25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14E1-00AB-40D7-9595-47B96C06E049}">
  <sheetPr>
    <tabColor rgb="FF0000FF"/>
  </sheetPr>
  <dimension ref="A1:E24"/>
  <sheetViews>
    <sheetView workbookViewId="0">
      <selection activeCell="D18" sqref="D18"/>
    </sheetView>
  </sheetViews>
  <sheetFormatPr defaultColWidth="9" defaultRowHeight="13.15"/>
  <cols>
    <col min="1" max="1" width="2.6640625" style="118" customWidth="1"/>
    <col min="2" max="2" width="24.6640625" style="120" customWidth="1"/>
    <col min="3" max="3" width="22.46484375" style="120" bestFit="1" customWidth="1"/>
    <col min="4" max="4" width="31.46484375" style="120" bestFit="1" customWidth="1"/>
    <col min="5" max="5" width="19.6640625" style="120" customWidth="1"/>
    <col min="6" max="16384" width="9" style="120"/>
  </cols>
  <sheetData>
    <row r="1" spans="1:4">
      <c r="B1" s="119" t="s">
        <v>336</v>
      </c>
    </row>
    <row r="3" spans="1:4">
      <c r="B3" s="120" t="s">
        <v>342</v>
      </c>
    </row>
    <row r="5" spans="1:4">
      <c r="A5" s="121" t="s">
        <v>320</v>
      </c>
      <c r="B5" s="122" t="s">
        <v>12</v>
      </c>
    </row>
    <row r="6" spans="1:4">
      <c r="B6" s="123" t="s">
        <v>203</v>
      </c>
      <c r="C6" s="123" t="s">
        <v>202</v>
      </c>
      <c r="D6" s="124"/>
    </row>
    <row r="7" spans="1:4">
      <c r="B7" s="125" t="s">
        <v>205</v>
      </c>
      <c r="C7" s="126">
        <f>Portfolio_Mgmt!C36</f>
        <v>3</v>
      </c>
    </row>
    <row r="8" spans="1:4">
      <c r="B8" s="127" t="s">
        <v>204</v>
      </c>
      <c r="C8" s="128">
        <v>0.6</v>
      </c>
      <c r="D8" s="120" t="s">
        <v>329</v>
      </c>
    </row>
    <row r="9" spans="1:4">
      <c r="B9" s="127" t="s">
        <v>335</v>
      </c>
      <c r="C9" s="128">
        <f>1-C8</f>
        <v>0.4</v>
      </c>
    </row>
    <row r="10" spans="1:4">
      <c r="B10" s="127" t="s">
        <v>333</v>
      </c>
      <c r="C10" s="141">
        <f>Portfolio_Mgmt!C38</f>
        <v>-0.75</v>
      </c>
    </row>
    <row r="12" spans="1:4">
      <c r="B12" s="119" t="s">
        <v>208</v>
      </c>
    </row>
    <row r="13" spans="1:4">
      <c r="B13" s="153" t="s">
        <v>330</v>
      </c>
      <c r="C13" s="153"/>
      <c r="D13" s="153"/>
    </row>
    <row r="14" spans="1:4">
      <c r="B14" s="154" t="s">
        <v>331</v>
      </c>
      <c r="C14" s="155"/>
      <c r="D14" s="155"/>
    </row>
    <row r="16" spans="1:4">
      <c r="A16" s="121" t="s">
        <v>197</v>
      </c>
      <c r="B16" s="122" t="s">
        <v>321</v>
      </c>
    </row>
    <row r="17" spans="1:5">
      <c r="B17" s="123" t="s">
        <v>323</v>
      </c>
      <c r="C17" s="123" t="s">
        <v>334</v>
      </c>
      <c r="D17" s="123" t="s">
        <v>340</v>
      </c>
      <c r="E17" s="123" t="s">
        <v>332</v>
      </c>
    </row>
    <row r="18" spans="1:5">
      <c r="B18" s="127" t="s">
        <v>324</v>
      </c>
      <c r="C18" s="141">
        <v>0.26</v>
      </c>
      <c r="D18" s="140">
        <f xml:space="preserve"> (1 + C18) ^ C$7-1</f>
        <v>1.0003760000000002</v>
      </c>
      <c r="E18" s="129">
        <f>-D18/C$10</f>
        <v>1.3338346666666669</v>
      </c>
    </row>
    <row r="19" spans="1:5">
      <c r="B19" s="127" t="s">
        <v>325</v>
      </c>
      <c r="C19" s="141">
        <f>Portfolio_Mgmt!C47</f>
        <v>0.2</v>
      </c>
      <c r="D19" s="140">
        <f xml:space="preserve"> (1 + C19) ^ C$7-1</f>
        <v>0.72799999999999998</v>
      </c>
      <c r="E19" s="129">
        <f>-D19/C$10</f>
        <v>0.97066666666666668</v>
      </c>
    </row>
    <row r="21" spans="1:5">
      <c r="A21" s="121" t="s">
        <v>322</v>
      </c>
    </row>
    <row r="22" spans="1:5">
      <c r="B22" s="123" t="s">
        <v>328</v>
      </c>
      <c r="C22" s="123" t="s">
        <v>343</v>
      </c>
      <c r="D22" s="123" t="s">
        <v>206</v>
      </c>
    </row>
    <row r="23" spans="1:5">
      <c r="B23" s="127" t="s">
        <v>326</v>
      </c>
      <c r="C23" s="130">
        <f>(E18*C$8-C9)/E18</f>
        <v>0.30011275760314127</v>
      </c>
      <c r="D23" s="130">
        <f>C23/2</f>
        <v>0.15005637880157063</v>
      </c>
    </row>
    <row r="24" spans="1:5">
      <c r="B24" s="127" t="s">
        <v>327</v>
      </c>
      <c r="C24" s="130">
        <f>(E19*C$8-(1-C$8))/E19</f>
        <v>0.18791208791208791</v>
      </c>
      <c r="D24" s="130">
        <f>C24/2</f>
        <v>9.3956043956043955E-2</v>
      </c>
    </row>
  </sheetData>
  <mergeCells count="2">
    <mergeCell ref="B13:D13"/>
    <mergeCell ref="B14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0D14-1F64-4D73-BBAC-22718A84BD18}">
  <dimension ref="A1:E31"/>
  <sheetViews>
    <sheetView showGridLines="0" zoomScaleNormal="100" workbookViewId="0">
      <selection activeCell="D16" sqref="D16"/>
    </sheetView>
  </sheetViews>
  <sheetFormatPr defaultColWidth="8.796875" defaultRowHeight="11.65"/>
  <cols>
    <col min="1" max="1" width="2.46484375" style="1" customWidth="1"/>
    <col min="2" max="2" width="30.1328125" style="1" bestFit="1" customWidth="1"/>
    <col min="3" max="5" width="15.6640625" style="1" customWidth="1"/>
    <col min="6" max="16384" width="8.796875" style="1"/>
  </cols>
  <sheetData>
    <row r="1" spans="1:5">
      <c r="B1" s="20" t="s">
        <v>124</v>
      </c>
    </row>
    <row r="2" spans="1:5">
      <c r="A2" s="31"/>
      <c r="B2" s="32" t="s">
        <v>13</v>
      </c>
      <c r="C2" s="18"/>
      <c r="D2" s="22"/>
      <c r="E2" s="18"/>
    </row>
    <row r="3" spans="1:5">
      <c r="C3" s="28" t="s">
        <v>14</v>
      </c>
      <c r="D3" s="28" t="s">
        <v>15</v>
      </c>
      <c r="E3" s="28" t="s">
        <v>16</v>
      </c>
    </row>
    <row r="4" spans="1:5">
      <c r="B4" s="33" t="s">
        <v>17</v>
      </c>
      <c r="C4" s="34">
        <v>4.3200000000000002E-2</v>
      </c>
      <c r="D4" s="34">
        <v>6.7500000000000004E-2</v>
      </c>
      <c r="E4" s="35">
        <f>D4-C4</f>
        <v>2.4300000000000002E-2</v>
      </c>
    </row>
    <row r="5" spans="1:5">
      <c r="B5" s="33" t="s">
        <v>18</v>
      </c>
      <c r="C5" s="34">
        <v>1.9E-2</v>
      </c>
      <c r="D5" s="34">
        <v>3.1E-2</v>
      </c>
      <c r="E5" s="35">
        <f>D5-C5</f>
        <v>1.2E-2</v>
      </c>
    </row>
    <row r="6" spans="1:5">
      <c r="B6" s="33" t="s">
        <v>19</v>
      </c>
      <c r="C6" s="34">
        <v>3.4500000000000003E-2</v>
      </c>
      <c r="D6" s="34">
        <v>5.2499999999999998E-2</v>
      </c>
      <c r="E6" s="35">
        <f>D6-C6</f>
        <v>1.7999999999999995E-2</v>
      </c>
    </row>
    <row r="8" spans="1:5">
      <c r="A8" s="31"/>
      <c r="B8" s="32" t="s">
        <v>20</v>
      </c>
    </row>
    <row r="9" spans="1:5">
      <c r="B9" s="1" t="s">
        <v>51</v>
      </c>
      <c r="C9" s="28" t="s">
        <v>21</v>
      </c>
    </row>
    <row r="10" spans="1:5">
      <c r="B10" s="26" t="s">
        <v>22</v>
      </c>
      <c r="C10" s="34">
        <v>9.9400000000000002E-2</v>
      </c>
    </row>
    <row r="11" spans="1:5">
      <c r="B11" s="26" t="s">
        <v>23</v>
      </c>
      <c r="C11" s="34">
        <v>0.1174</v>
      </c>
    </row>
    <row r="12" spans="1:5">
      <c r="B12" s="26" t="s">
        <v>24</v>
      </c>
      <c r="C12" s="34">
        <v>3.4500000000000003E-2</v>
      </c>
    </row>
    <row r="13" spans="1:5">
      <c r="B13" s="26" t="s">
        <v>25</v>
      </c>
      <c r="C13" s="34">
        <v>3.3099999999999997E-2</v>
      </c>
    </row>
    <row r="14" spans="1:5">
      <c r="B14" s="26" t="s">
        <v>26</v>
      </c>
      <c r="C14" s="34">
        <v>4.2299999999999997E-2</v>
      </c>
    </row>
    <row r="15" spans="1:5">
      <c r="B15" s="26" t="s">
        <v>27</v>
      </c>
      <c r="C15" s="34">
        <v>5.1200000000000002E-2</v>
      </c>
    </row>
    <row r="16" spans="1:5">
      <c r="B16" s="36" t="s">
        <v>56</v>
      </c>
      <c r="C16" s="37">
        <f>MAX(Portfolio_Mgmt!C12,C10:C15)</f>
        <v>0.1174</v>
      </c>
      <c r="D16" s="142">
        <v>8.6999999999999994E-2</v>
      </c>
    </row>
    <row r="18" spans="1:5">
      <c r="A18" s="31"/>
      <c r="B18" s="32" t="s">
        <v>28</v>
      </c>
      <c r="C18" s="18"/>
      <c r="D18" s="22"/>
      <c r="E18" s="18"/>
    </row>
    <row r="19" spans="1:5">
      <c r="B19" s="18" t="s">
        <v>29</v>
      </c>
      <c r="C19" s="38" t="s">
        <v>30</v>
      </c>
    </row>
    <row r="20" spans="1:5">
      <c r="B20" s="1" t="s">
        <v>31</v>
      </c>
      <c r="C20" s="38" t="s">
        <v>32</v>
      </c>
    </row>
    <row r="21" spans="1:5">
      <c r="B21" s="1" t="s">
        <v>33</v>
      </c>
      <c r="C21" s="38" t="s">
        <v>34</v>
      </c>
    </row>
    <row r="22" spans="1:5">
      <c r="C22" s="38"/>
    </row>
    <row r="23" spans="1:5">
      <c r="B23" s="1" t="s">
        <v>35</v>
      </c>
      <c r="C23" s="38" t="s">
        <v>36</v>
      </c>
    </row>
    <row r="24" spans="1:5">
      <c r="B24" s="1" t="s">
        <v>37</v>
      </c>
      <c r="C24" s="38" t="s">
        <v>38</v>
      </c>
    </row>
    <row r="25" spans="1:5">
      <c r="C25" s="38"/>
    </row>
    <row r="26" spans="1:5">
      <c r="B26" s="1" t="s">
        <v>39</v>
      </c>
      <c r="C26" s="38" t="s">
        <v>40</v>
      </c>
    </row>
    <row r="27" spans="1:5">
      <c r="B27" s="1" t="s">
        <v>41</v>
      </c>
      <c r="C27" s="38" t="s">
        <v>42</v>
      </c>
    </row>
    <row r="28" spans="1:5">
      <c r="C28" s="38"/>
    </row>
    <row r="29" spans="1:5">
      <c r="B29" s="1" t="s">
        <v>43</v>
      </c>
      <c r="C29" s="38" t="s">
        <v>44</v>
      </c>
    </row>
    <row r="31" spans="1:5">
      <c r="B31" s="1" t="s">
        <v>45</v>
      </c>
      <c r="C31" s="38" t="s">
        <v>46</v>
      </c>
    </row>
  </sheetData>
  <phoneticPr fontId="2" type="noConversion"/>
  <hyperlinks>
    <hyperlink ref="C23" r:id="rId1" xr:uid="{6B546AA7-2B0C-4428-81DD-DF73E91105ED}"/>
    <hyperlink ref="C19" r:id="rId2" xr:uid="{FBF6514A-AA7C-492E-837D-9693F4B1BF61}"/>
    <hyperlink ref="C29" r:id="rId3" xr:uid="{0B536BD0-1C9D-48D9-BE87-499C48D7A2DA}"/>
    <hyperlink ref="C20" r:id="rId4" xr:uid="{64320D73-0C91-4543-A716-CC8C239E517C}"/>
    <hyperlink ref="C24" r:id="rId5" xr:uid="{46AE8994-AE24-48A7-A28B-525FF601CDC5}"/>
    <hyperlink ref="C26" r:id="rId6" xr:uid="{93438CEE-3750-4D25-A9C7-1AB257F771BF}"/>
    <hyperlink ref="C27" r:id="rId7" xr:uid="{6BFFE2DD-44EE-4536-9535-5B23C094A18E}"/>
    <hyperlink ref="C21" r:id="rId8" xr:uid="{343B68E0-A2FF-4A26-9F49-F7D9A2BDC147}"/>
    <hyperlink ref="C31" r:id="rId9" xr:uid="{05CFC315-F57E-4B19-9DA2-2DADD0FC3616}"/>
  </hyperlinks>
  <pageMargins left="0.7" right="0.7" top="0.75" bottom="0.75" header="0.3" footer="0.3"/>
  <pageSetup orientation="portrait"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047E-EC38-4C3A-BA81-E6C9549453D6}">
  <dimension ref="A1:M28"/>
  <sheetViews>
    <sheetView showGridLines="0" zoomScaleNormal="100" workbookViewId="0">
      <selection activeCell="E11" sqref="E11"/>
    </sheetView>
  </sheetViews>
  <sheetFormatPr defaultColWidth="9" defaultRowHeight="12.75"/>
  <cols>
    <col min="1" max="1" width="2.6640625" style="51" customWidth="1"/>
    <col min="2" max="2" width="17.33203125" style="51" bestFit="1" customWidth="1"/>
    <col min="3" max="3" width="14.796875" style="51" bestFit="1" customWidth="1"/>
    <col min="4" max="4" width="13.796875" style="51" bestFit="1" customWidth="1"/>
    <col min="5" max="5" width="9" style="51"/>
    <col min="6" max="7" width="15.6640625" style="51" customWidth="1"/>
    <col min="8" max="9" width="10" style="51" customWidth="1"/>
    <col min="10" max="16384" width="9" style="51"/>
  </cols>
  <sheetData>
    <row r="1" spans="1:13" ht="13.15">
      <c r="A1" s="49"/>
      <c r="B1" s="50" t="s">
        <v>147</v>
      </c>
      <c r="C1" s="115"/>
    </row>
    <row r="2" spans="1:13" ht="29.75" customHeight="1">
      <c r="B2" s="52" t="s">
        <v>2</v>
      </c>
      <c r="C2" s="52" t="s">
        <v>319</v>
      </c>
      <c r="D2" s="52" t="s">
        <v>150</v>
      </c>
      <c r="E2" s="52" t="s">
        <v>149</v>
      </c>
      <c r="F2" s="52" t="s">
        <v>148</v>
      </c>
      <c r="G2" s="52" t="s">
        <v>153</v>
      </c>
      <c r="H2" s="52" t="s">
        <v>157</v>
      </c>
      <c r="I2" s="52" t="s">
        <v>142</v>
      </c>
      <c r="J2" s="52" t="s">
        <v>161</v>
      </c>
      <c r="K2" s="52" t="s">
        <v>176</v>
      </c>
      <c r="L2" s="52" t="s">
        <v>177</v>
      </c>
      <c r="M2" s="52" t="s">
        <v>178</v>
      </c>
    </row>
    <row r="3" spans="1:13">
      <c r="B3" s="62" t="s">
        <v>25</v>
      </c>
      <c r="C3" s="62"/>
      <c r="D3" s="60" t="s">
        <v>152</v>
      </c>
      <c r="E3" s="59" t="s">
        <v>151</v>
      </c>
      <c r="F3" s="61" t="s">
        <v>152</v>
      </c>
      <c r="G3" s="57">
        <v>500000</v>
      </c>
      <c r="H3" s="58">
        <f>G3/$G$6</f>
        <v>1</v>
      </c>
      <c r="I3" s="75">
        <f>Portfolio_Mgmt!E73</f>
        <v>0.3</v>
      </c>
      <c r="J3" s="80" t="s">
        <v>179</v>
      </c>
      <c r="K3" s="80" t="s">
        <v>179</v>
      </c>
      <c r="L3" s="80" t="s">
        <v>179</v>
      </c>
      <c r="M3" s="80" t="s">
        <v>179</v>
      </c>
    </row>
    <row r="4" spans="1:13">
      <c r="B4" s="63" t="s">
        <v>348</v>
      </c>
      <c r="C4" s="62" t="str">
        <f>VLOOKUP(B4,Opportunities!B$3:E$30,2,FALSE)</f>
        <v>泸州老窖</v>
      </c>
      <c r="D4" s="60">
        <f>VLOOKUP(B4,Opportunities!B$3:E$30,3,FALSE)</f>
        <v>101.2</v>
      </c>
      <c r="E4" s="59" t="str">
        <f>VLOOKUP(B4,Opportunities!B$3:E$30,4,FALSE)</f>
        <v>CNY</v>
      </c>
      <c r="F4" s="57">
        <v>0</v>
      </c>
      <c r="G4" s="61">
        <f>D4*F4</f>
        <v>0</v>
      </c>
      <c r="H4" s="58">
        <f>G4/$G$6</f>
        <v>0</v>
      </c>
      <c r="I4" s="58">
        <f>VLOOKUP(B4,Opportunities!B$3:G$30,6,FALSE)</f>
        <v>5.4521391120574914E-2</v>
      </c>
      <c r="J4" s="81">
        <f>VLOOKUP(B4,Opportunities!B$3:L$30,10,FALSE)</f>
        <v>109.4444872921941</v>
      </c>
      <c r="K4" s="81">
        <f>VLOOKUP(B4,Opportunities!B$3:L$30,7,FALSE)</f>
        <v>86.739441984939162</v>
      </c>
      <c r="L4" s="81">
        <f>VLOOKUP(B4,Opportunities!B$3:L$30,9,FALSE)</f>
        <v>151.90346952484109</v>
      </c>
      <c r="M4" s="81">
        <f>VLOOKUP(B4,Opportunities!B$3:L$30,11,FALSE)</f>
        <v>146.05268014903339</v>
      </c>
    </row>
    <row r="5" spans="1:13">
      <c r="B5" s="53"/>
      <c r="C5" s="53"/>
      <c r="D5" s="56"/>
      <c r="E5" s="53"/>
      <c r="I5" s="74"/>
    </row>
    <row r="6" spans="1:13" ht="13.15">
      <c r="B6" s="64"/>
      <c r="C6" s="64"/>
      <c r="D6" s="65"/>
      <c r="E6" s="64"/>
      <c r="F6" s="66" t="s">
        <v>156</v>
      </c>
      <c r="G6" s="66">
        <f>SUM(G3:G4)</f>
        <v>500000</v>
      </c>
      <c r="H6" s="67">
        <f>SUM(H3:H4)</f>
        <v>1</v>
      </c>
      <c r="I6" s="73">
        <f>SUM(I3:I4)</f>
        <v>0.3545213911205749</v>
      </c>
      <c r="J6" s="82" t="s">
        <v>179</v>
      </c>
      <c r="K6" s="82" t="s">
        <v>179</v>
      </c>
      <c r="L6" s="82" t="s">
        <v>179</v>
      </c>
      <c r="M6" s="82" t="s">
        <v>179</v>
      </c>
    </row>
    <row r="7" spans="1:13">
      <c r="B7" s="53"/>
      <c r="C7" s="53"/>
      <c r="D7" s="56"/>
      <c r="E7" s="53"/>
      <c r="F7" s="57"/>
      <c r="G7" s="57"/>
    </row>
    <row r="8" spans="1:13" ht="13.15">
      <c r="A8" s="49"/>
      <c r="B8" s="50" t="s">
        <v>154</v>
      </c>
      <c r="C8" s="115"/>
    </row>
    <row r="9" spans="1:13">
      <c r="B9" s="63" t="s">
        <v>348</v>
      </c>
      <c r="C9" s="62" t="str">
        <f>VLOOKUP(B9,Opportunities!B$3:E$30,2,FALSE)</f>
        <v>泸州老窖</v>
      </c>
      <c r="D9" s="60">
        <f>VLOOKUP(B9,Opportunities!B$3:E$30,3,FALSE)</f>
        <v>101.2</v>
      </c>
      <c r="E9" s="59" t="str">
        <f>VLOOKUP(B9,Opportunities!B$3:E$30,4,FALSE)</f>
        <v>CNY</v>
      </c>
      <c r="F9" s="57">
        <v>200</v>
      </c>
      <c r="G9" s="61">
        <f>-D9*F9</f>
        <v>-20240</v>
      </c>
      <c r="H9" s="58">
        <f>-G9/$G$6</f>
        <v>4.0480000000000002E-2</v>
      </c>
      <c r="I9" s="58">
        <f>VLOOKUP(B9,Opportunities!B$3:G$30,6,FALSE)</f>
        <v>5.4521391120574914E-2</v>
      </c>
      <c r="J9" s="81">
        <f>VLOOKUP(B9,Opportunities!B$3:L$30,10,FALSE)</f>
        <v>109.4444872921941</v>
      </c>
      <c r="K9" s="81">
        <f>VLOOKUP(B9,Opportunities!B$3:L$30,7,FALSE)</f>
        <v>86.739441984939162</v>
      </c>
      <c r="L9" s="81">
        <f>VLOOKUP(B9,Opportunities!B$3:L$30,9,FALSE)</f>
        <v>151.90346952484109</v>
      </c>
      <c r="M9" s="81">
        <f>VLOOKUP(B9,Opportunities!B$3:L$30,11,FALSE)</f>
        <v>146.05268014903339</v>
      </c>
    </row>
    <row r="10" spans="1:13">
      <c r="H10" s="72"/>
      <c r="I10" s="72"/>
    </row>
    <row r="11" spans="1:13" ht="13.15">
      <c r="B11" s="68" t="s">
        <v>155</v>
      </c>
      <c r="C11" s="68"/>
      <c r="D11" s="69" t="s">
        <v>152</v>
      </c>
      <c r="E11" s="70" t="s">
        <v>131</v>
      </c>
      <c r="F11" s="69" t="s">
        <v>152</v>
      </c>
      <c r="G11" s="66">
        <f>G3+SUM(G9:G9)</f>
        <v>479760</v>
      </c>
      <c r="H11" s="73">
        <f t="shared" ref="H11" si="0">G11/$G$6</f>
        <v>0.95952000000000004</v>
      </c>
      <c r="I11" s="73">
        <f>Portfolio_Mgmt!E73</f>
        <v>0.3</v>
      </c>
      <c r="J11" s="82" t="s">
        <v>179</v>
      </c>
      <c r="K11" s="82" t="s">
        <v>179</v>
      </c>
      <c r="L11" s="82" t="s">
        <v>179</v>
      </c>
      <c r="M11" s="82" t="s">
        <v>179</v>
      </c>
    </row>
    <row r="13" spans="1:13" ht="13.15">
      <c r="A13" s="49"/>
      <c r="B13" s="50" t="s">
        <v>180</v>
      </c>
      <c r="C13" s="115"/>
      <c r="D13" s="56"/>
      <c r="E13" s="53"/>
      <c r="F13" s="57"/>
      <c r="G13" s="57"/>
    </row>
    <row r="14" spans="1:13" ht="13.15">
      <c r="C14" s="84" t="s">
        <v>181</v>
      </c>
      <c r="D14" s="84" t="s">
        <v>184</v>
      </c>
      <c r="F14" s="84" t="s">
        <v>185</v>
      </c>
    </row>
    <row r="15" spans="1:13" ht="14.25">
      <c r="B15" s="83" t="s">
        <v>182</v>
      </c>
      <c r="C15" s="88">
        <v>200000</v>
      </c>
      <c r="D15" s="89">
        <v>7.8629699999999998</v>
      </c>
      <c r="F15" s="116">
        <f>C15/D15</f>
        <v>25435.681428264383</v>
      </c>
    </row>
    <row r="16" spans="1:13" ht="14.25">
      <c r="B16" s="83" t="s">
        <v>183</v>
      </c>
      <c r="C16" s="86">
        <f>F15</f>
        <v>25435.681428264383</v>
      </c>
      <c r="D16" s="89">
        <v>7.8387000000000002</v>
      </c>
      <c r="F16" s="117">
        <f>C16*D16</f>
        <v>199382.67601173601</v>
      </c>
    </row>
    <row r="17" spans="2:7" ht="14.25">
      <c r="C17"/>
      <c r="D17"/>
      <c r="F17"/>
    </row>
    <row r="18" spans="2:7" ht="14.25">
      <c r="C18"/>
      <c r="E18" s="87" t="s">
        <v>186</v>
      </c>
      <c r="F18" s="85">
        <f>C15-F16</f>
        <v>617.32398826399003</v>
      </c>
    </row>
    <row r="23" spans="2:7">
      <c r="B23" s="53"/>
      <c r="C23" s="53"/>
      <c r="D23" s="56"/>
      <c r="E23" s="53"/>
      <c r="F23" s="57"/>
      <c r="G23" s="57"/>
    </row>
    <row r="24" spans="2:7">
      <c r="B24" s="53"/>
      <c r="C24" s="53"/>
      <c r="D24" s="56"/>
      <c r="E24" s="53"/>
      <c r="F24" s="57"/>
      <c r="G24" s="57"/>
    </row>
    <row r="25" spans="2:7">
      <c r="B25" s="53"/>
      <c r="C25" s="53"/>
      <c r="D25" s="56"/>
      <c r="E25" s="53"/>
      <c r="F25" s="57"/>
      <c r="G25" s="57"/>
    </row>
    <row r="26" spans="2:7">
      <c r="B26" s="53"/>
      <c r="C26" s="53"/>
      <c r="D26" s="56"/>
      <c r="E26" s="53"/>
      <c r="F26" s="57"/>
      <c r="G26" s="57"/>
    </row>
    <row r="27" spans="2:7">
      <c r="B27" s="53"/>
      <c r="C27" s="53"/>
      <c r="D27" s="56"/>
      <c r="E27" s="53"/>
      <c r="F27" s="57"/>
      <c r="G27" s="57"/>
    </row>
    <row r="28" spans="2:7">
      <c r="B28" s="53"/>
      <c r="C28" s="53"/>
      <c r="D28" s="54"/>
      <c r="E28" s="53"/>
      <c r="F28" s="55"/>
      <c r="G28" s="55"/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7BDC-FAEF-412F-B13E-867203D1820E}">
  <dimension ref="A1:D41"/>
  <sheetViews>
    <sheetView showGridLines="0" workbookViewId="0">
      <selection activeCell="C52" sqref="C52"/>
    </sheetView>
  </sheetViews>
  <sheetFormatPr defaultColWidth="9" defaultRowHeight="11.65"/>
  <cols>
    <col min="1" max="1" width="2.6640625" style="1" customWidth="1"/>
    <col min="2" max="2" width="27.1328125" style="1" customWidth="1"/>
    <col min="3" max="3" width="34.33203125" style="1" customWidth="1"/>
    <col min="4" max="4" width="28.796875" style="1" customWidth="1"/>
    <col min="5" max="16384" width="9" style="1"/>
  </cols>
  <sheetData>
    <row r="1" spans="1:4">
      <c r="B1" s="20" t="s">
        <v>81</v>
      </c>
    </row>
    <row r="2" spans="1:4">
      <c r="A2" s="5"/>
      <c r="B2" s="6" t="s">
        <v>82</v>
      </c>
    </row>
    <row r="3" spans="1:4">
      <c r="B3" s="156" t="s">
        <v>83</v>
      </c>
      <c r="C3" s="156"/>
      <c r="D3" s="156"/>
    </row>
    <row r="5" spans="1:4">
      <c r="B5" s="157" t="s">
        <v>85</v>
      </c>
      <c r="C5" s="158"/>
      <c r="D5" s="158"/>
    </row>
    <row r="6" spans="1:4">
      <c r="B6" s="157" t="s">
        <v>86</v>
      </c>
      <c r="C6" s="158"/>
      <c r="D6" s="158"/>
    </row>
    <row r="8" spans="1:4">
      <c r="B8" s="1" t="s">
        <v>84</v>
      </c>
    </row>
    <row r="10" spans="1:4">
      <c r="A10" s="5"/>
      <c r="B10" s="6" t="s">
        <v>87</v>
      </c>
    </row>
    <row r="11" spans="1:4">
      <c r="B11" s="156" t="s">
        <v>88</v>
      </c>
      <c r="C11" s="156"/>
      <c r="D11" s="156"/>
    </row>
    <row r="12" spans="1:4">
      <c r="B12" s="156" t="s">
        <v>89</v>
      </c>
      <c r="C12" s="156"/>
      <c r="D12" s="156"/>
    </row>
    <row r="14" spans="1:4">
      <c r="B14" s="23" t="s">
        <v>121</v>
      </c>
    </row>
    <row r="16" spans="1:4" ht="12.4">
      <c r="B16" s="30" t="s">
        <v>98</v>
      </c>
      <c r="C16" s="30" t="s">
        <v>99</v>
      </c>
    </row>
    <row r="17" spans="1:4">
      <c r="B17" s="26" t="s">
        <v>90</v>
      </c>
      <c r="C17" s="26" t="s">
        <v>94</v>
      </c>
    </row>
    <row r="18" spans="1:4">
      <c r="B18" s="26" t="s">
        <v>91</v>
      </c>
      <c r="C18" s="26" t="s">
        <v>95</v>
      </c>
    </row>
    <row r="19" spans="1:4">
      <c r="B19" s="26" t="s">
        <v>92</v>
      </c>
      <c r="C19" s="26" t="s">
        <v>96</v>
      </c>
    </row>
    <row r="20" spans="1:4">
      <c r="B20" s="26" t="s">
        <v>93</v>
      </c>
      <c r="C20" s="26" t="s">
        <v>97</v>
      </c>
    </row>
    <row r="21" spans="1:4">
      <c r="B21" s="26" t="s">
        <v>113</v>
      </c>
      <c r="C21" s="26" t="s">
        <v>114</v>
      </c>
    </row>
    <row r="22" spans="1:4">
      <c r="B22" s="26" t="s">
        <v>115</v>
      </c>
      <c r="C22" s="26" t="s">
        <v>116</v>
      </c>
    </row>
    <row r="23" spans="1:4">
      <c r="B23" s="26" t="s">
        <v>117</v>
      </c>
      <c r="C23" s="26" t="s">
        <v>118</v>
      </c>
    </row>
    <row r="24" spans="1:4">
      <c r="B24" s="26" t="s">
        <v>122</v>
      </c>
      <c r="C24" s="26" t="s">
        <v>123</v>
      </c>
    </row>
    <row r="25" spans="1:4">
      <c r="B25" s="26" t="s">
        <v>119</v>
      </c>
      <c r="C25" s="26" t="s">
        <v>120</v>
      </c>
    </row>
    <row r="27" spans="1:4">
      <c r="A27" s="5"/>
      <c r="B27" s="6" t="s">
        <v>100</v>
      </c>
    </row>
    <row r="28" spans="1:4">
      <c r="B28" s="156" t="s">
        <v>101</v>
      </c>
      <c r="C28" s="156"/>
      <c r="D28" s="156"/>
    </row>
    <row r="29" spans="1:4">
      <c r="B29" s="156" t="s">
        <v>102</v>
      </c>
      <c r="C29" s="156"/>
      <c r="D29" s="156"/>
    </row>
    <row r="31" spans="1:4">
      <c r="A31" s="5"/>
      <c r="B31" s="6" t="s">
        <v>103</v>
      </c>
    </row>
    <row r="32" spans="1:4">
      <c r="A32" s="28" t="s">
        <v>57</v>
      </c>
      <c r="B32" s="23" t="s">
        <v>104</v>
      </c>
    </row>
    <row r="33" spans="1:2">
      <c r="B33" s="1" t="s">
        <v>105</v>
      </c>
    </row>
    <row r="35" spans="1:2">
      <c r="A35" s="28" t="s">
        <v>107</v>
      </c>
      <c r="B35" s="23" t="s">
        <v>106</v>
      </c>
    </row>
    <row r="36" spans="1:2">
      <c r="B36" s="1" t="s">
        <v>108</v>
      </c>
    </row>
    <row r="38" spans="1:2">
      <c r="A38" s="5"/>
      <c r="B38" s="6" t="s">
        <v>109</v>
      </c>
    </row>
    <row r="39" spans="1:2">
      <c r="B39" s="24" t="s">
        <v>110</v>
      </c>
    </row>
    <row r="40" spans="1:2">
      <c r="B40" s="1" t="s">
        <v>111</v>
      </c>
    </row>
    <row r="41" spans="1:2">
      <c r="B41" s="1" t="s">
        <v>112</v>
      </c>
    </row>
  </sheetData>
  <mergeCells count="7">
    <mergeCell ref="B28:D28"/>
    <mergeCell ref="B29:D29"/>
    <mergeCell ref="B3:D3"/>
    <mergeCell ref="B5:D5"/>
    <mergeCell ref="B6:D6"/>
    <mergeCell ref="B11:D11"/>
    <mergeCell ref="B12:D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2</vt:i4>
      </vt:variant>
    </vt:vector>
  </HeadingPairs>
  <TitlesOfParts>
    <vt:vector size="9" baseType="lpstr">
      <vt:lpstr>Portfolio_Mgmt</vt:lpstr>
      <vt:lpstr>Opportunities</vt:lpstr>
      <vt:lpstr>投资组合管理</vt:lpstr>
      <vt:lpstr>Aux&gt;</vt:lpstr>
      <vt:lpstr>Market_Yield</vt:lpstr>
      <vt:lpstr>Holdings</vt:lpstr>
      <vt:lpstr>Comp_Group</vt:lpstr>
      <vt:lpstr>benchmark</vt:lpstr>
      <vt:lpstr>Cash_Yield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Jerry.chen</dc:creator>
  <cp:keywords/>
  <dc:description/>
  <cp:lastModifiedBy>Jerry Chen</cp:lastModifiedBy>
  <cp:revision/>
  <cp:lastPrinted>2025-10-06T03:58:48Z</cp:lastPrinted>
  <dcterms:created xsi:type="dcterms:W3CDTF">2022-12-06T06:37:33Z</dcterms:created>
  <dcterms:modified xsi:type="dcterms:W3CDTF">2026-04-18T03:52:43Z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f64dec8e</vt:lpwstr>
  </property>
</Properties>
</file>