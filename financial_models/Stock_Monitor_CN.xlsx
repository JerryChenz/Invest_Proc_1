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362B29B-551B-4129-8A19-B334F8E07E6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<sst xmlns="http://schemas.openxmlformats.org/spreadsheetml/2006/main" count="408" uniqueCount="359">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</sst>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100.61</v>
      </c>
      <c r="E3" s="12" t="s">
        <v>350</v>
      </c>
      <c r="F3" s="15">
        <v>0.23523004608014461</v>
      </c>
      <c r="G3" s="15">
        <v>5.6172401025760453E-2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8.9002534632627167E-2</v>
      </c>
      <c r="N3" s="4">
        <v>4.1077427691084391E-2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101.18</v>
      </c>
      <c r="E4" s="12" t="s">
        <v>350</v>
      </c>
      <c r="F4" s="15">
        <v>0.16690660595789986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7.5882816175642243E-2</v>
      </c>
      <c r="N4" s="4">
        <v>2.8188377149634312E-2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18.510000000000002</v>
      </c>
      <c r="E5" s="12" t="s">
        <v>350</v>
      </c>
      <c r="F5" s="15">
        <v>0.11590812844724258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7.5435996369084393E-2</v>
      </c>
      <c r="N5" s="4">
        <v>5.7266342517558078E-2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100.61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5.6172401025760453E-2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0.35617240102576042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100.61</v>
      </c>
      <c r="E9" s="59" t="str">
        <f>VLOOKUP(B9,Opportunities!B$3:E$30,4,FALSE)</f>
        <v>CNY</v>
      </c>
      <c r="F9" s="57">
        <v>200</v>
      </c>
      <c r="G9" s="61">
        <f>-D9*F9</f>
        <v>-20122</v>
      </c>
      <c r="H9" s="58">
        <f>-G9/$G$6</f>
        <v>4.0244000000000002E-2</v>
      </c>
      <c r="I9" s="58">
        <f>VLOOKUP(B9,Opportunities!B$3:G$30,6,FALSE)</f>
        <v>5.6172401025760453E-2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479878</v>
      </c>
      <c r="H11" s="73">
        <f t="shared" ref="H11" si="0">G11/$G$6</f>
        <v>0.95975600000000005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2026-04-21T10:17:16Z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