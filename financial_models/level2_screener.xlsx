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81AE16E-DBD6-4E9E-B088-713642BD9465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" l="1"/>
  <c r="J4" i="1"/>
  <c r="J10" i="1"/>
  <c r="J8" i="1"/>
  <c r="J12" i="1"/>
  <c r="J13" i="1"/>
  <c r="J5" i="1"/>
  <c r="J15" i="1"/>
  <c r="J9" i="1"/>
  <c r="J16" i="1"/>
  <c r="J11" i="1"/>
  <c r="J17" i="1"/>
  <c r="J14" i="1"/>
  <c r="J25" i="1"/>
  <c r="J24" i="1"/>
  <c r="J31" i="1"/>
  <c r="J44" i="1"/>
  <c r="J49" i="1"/>
  <c r="J54" i="1"/>
  <c r="J53" i="1"/>
  <c r="J6" i="1"/>
  <c r="J2" i="1"/>
  <c r="J48" i="1"/>
  <c r="J20" i="1"/>
  <c r="J55" i="1"/>
  <c r="J35" i="1"/>
  <c r="J37" i="1"/>
  <c r="J45" i="1"/>
  <c r="J19" i="1"/>
  <c r="J28" i="1"/>
  <c r="J26" i="1"/>
  <c r="J41" i="1"/>
  <c r="J43" i="1"/>
  <c r="J39" i="1"/>
  <c r="J18" i="1"/>
  <c r="J27" i="1"/>
  <c r="J32" i="1"/>
  <c r="J42" i="1"/>
  <c r="J46" i="1"/>
  <c r="J47" i="1"/>
  <c r="J36" i="1"/>
  <c r="J57" i="1"/>
  <c r="J23" i="1"/>
  <c r="J51" i="1"/>
  <c r="J33" i="1"/>
  <c r="J40" i="1"/>
  <c r="J34" i="1"/>
  <c r="J30" i="1"/>
  <c r="J50" i="1"/>
  <c r="J21" i="1"/>
  <c r="J52" i="1"/>
  <c r="J38" i="1"/>
  <c r="J22" i="1"/>
  <c r="J7" i="1"/>
  <c r="J56" i="1"/>
  <c r="J29" i="1"/>
  <c r="J4" i="4"/>
  <c r="J3" i="4"/>
  <c r="J2" i="4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<sst xmlns="http://schemas.openxmlformats.org/spreadsheetml/2006/main" count="399" uniqueCount="201">
  <si>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</si>
  <si>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</si>
  <si>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</si>
  <si>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</si>
  <si>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</si>
  <si>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</si>
  <si>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</si>
  <si>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</si>
  <si>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</si>
  <si>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</si>
  <si>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</si>
  <si>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</si>
  <si>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</si>
  <si>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</si>
  <si>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</si>
  <si>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</si>
  <si>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</si>
  <si>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</si>
  <si>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</si>
  <si>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</si>
  <si>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</si>
  <si>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</si>
  <si>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</si>
  <si>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</si>
  <si>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</si>
  <si>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</si>
  <si>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</si>
  <si>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</si>
  <si>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</si>
  <si>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</si>
  <si>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</si>
  <si>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</si>
  <si>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</si>
  <si>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</si>
  <si>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</si>
  <si>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</si>
  <si>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</si>
  <si>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</si>
  <si>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</si>
  <si>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</si>
  <si>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</si>
  <si>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</si>
  <si>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</si>
  <si>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</si>
  <si>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</si>
  <si>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</si>
  <si>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</si>
  <si>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</si>
  <si>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</si>
  <si>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</si>
  <si>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</si>
  <si>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</si>
  <si>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</si>
  <si>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</si>
  <si>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</si>
  <si>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</si>
  <si>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</si>
  <si>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</si>
  <si>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</si>
  <si>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</si>
  <si>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</si>
  <si>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</si>
  <si>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</si>
  <si>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</si>
  <si>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</si>
  <si>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</si>
  <si>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</si>
  <si>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</si>
  <si>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</si>
  <si>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</si>
  <si>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</si>
  <si>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</si>
  <si>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</si>
  <si>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</si>
  <si>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</si>
  <si>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</si>
  <si>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</si>
  <si>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</si>
  <si>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</si>
  <si>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</si>
  <si>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</si>
  <si>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</si>
  <si>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</si>
  <si>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</si>
  <si>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</si>
  <si>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</si>
  <si>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</si>
  <si>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</si>
  <si>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</si>
  <si>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</si>
  <si>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</si>
  <si>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</si>
  <si>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</si>
  <si>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</si>
  <si>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</si>
  <si>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</si>
  <si>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</si>
  <si>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</si>
  <si>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</si>
  <si>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</si>
  <si>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</si>
  <si>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</si>
  <si>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</si>
  <si>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</si>
  <si>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</si>
  <si>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</si>
  <si>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</si>
  <si>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</si>
  <si>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</si>
  <si>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</si>
  <si>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</si>
  <si>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</si>
  <si>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</si>
  <si>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</si>
  <si>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</si>
  <si>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</si>
  <si>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</si>
  <si>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</si>
  <si>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</si>
  <si>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</si>
  <si>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</si>
  <si>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</si>
  <si>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</si>
  <si>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</si>
  <si>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</si>
  <si>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</si>
  <si>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</si>
  <si>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</si>
  <si>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</si>
  <si>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</si>
  <si>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</si>
  <si>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</si>
  <si>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</si>
  <si>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</si>
  <si>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</si>
  <si>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</si>
  <si>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</si>
  <si>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</si>
  <si>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</si>
  <si>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</si>
  <si>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</si>
  <si>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</si>
  <si>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</si>
  <si>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</si>
  <si>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</si>
  <si>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</si>
  <si>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</si>
  <si>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</si>
  <si>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</si>
  <si>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</si>
  <si>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</si>
  <si>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</si>
  <si>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</si>
  <si>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</si>
  <si>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</si>
  <si>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</si>
  <si>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</si>
  <si>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</si>
  <si>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</si>
  <si>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</si>
  <si>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</si>
  <si>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</si>
  <si>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</si>
  <si>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</si>
  <si>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</si>
  <si>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</si>
  <si>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</si>
  <si>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</si>
  <si>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</si>
  <si>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</si>
  <si>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</si>
  <si>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</si>
  <si>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</si>
  <si>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</si>
  <si>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</si>
  <si>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</si>
  <si>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</si>
  <si>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</si>
  <si>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</si>
  <si>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</si>
  <si>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</si>
  <si>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</si>
  <si>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</si>
  <si>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</si>
  <si>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</si>
  <si>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</si>
  <si>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</si>
  <si>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</si>
  <si>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</si>
  <si>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</si>
  <si>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</si>
  <si>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</si>
  <si>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</si>
  <si>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</si>
  <si>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</si>
  <si>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</si>
  <si>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</si>
  <si>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0341.HK</t>
  </si>
  <si>
    <t>SMIC</t>
  </si>
  <si>
    <t>Semiconductors</t>
  </si>
  <si>
    <t>CAFE DE CORAL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</si>
</sst>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57"/>
  <sheetViews>
    <sheetView tabSelected="1" zoomScale="93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4" sqref="B4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111</v>
      </c>
      <c r="C2" t="s">
        <v>148</v>
      </c>
      <c r="D2" t="s">
        <v>149</v>
      </c>
      <c r="E2">
        <v>3.11</v>
      </c>
      <c r="F2" s="9" t="s">
        <v>68</v>
      </c>
      <c r="G2" s="7">
        <v>8699354112</v>
      </c>
      <c r="H2" s="6">
        <v>3.35</v>
      </c>
      <c r="I2" s="6">
        <v>2.36</v>
      </c>
      <c r="J2" s="12">
        <f t="shared" ref="J2:J32" si="0">E2/I2-1</f>
        <v>0.31779661016949157</v>
      </c>
      <c r="K2" s="11">
        <v>4.9196141479099682E-2</v>
      </c>
      <c r="L2" s="13">
        <v>1871151000</v>
      </c>
      <c r="M2" s="13">
        <v>6461978000</v>
      </c>
      <c r="N2" s="9" t="s">
        <v>51</v>
      </c>
      <c r="O2" s="6">
        <v>1.0683760683760684</v>
      </c>
      <c r="P2" s="12">
        <v>0.44405559305801723</v>
      </c>
      <c r="Q2" s="12">
        <v>0.28956319566547578</v>
      </c>
      <c r="R2" s="14">
        <v>1</v>
      </c>
    </row>
    <row r="3" spans="2:22" x14ac:dyDescent="0.5">
      <c r="B3" s="1" t="s">
        <v>21</v>
      </c>
      <c r="C3" t="s">
        <v>76</v>
      </c>
      <c r="D3" t="s">
        <v>77</v>
      </c>
      <c r="E3">
        <v>14.74</v>
      </c>
      <c r="F3" s="9" t="s">
        <v>68</v>
      </c>
      <c r="G3" s="7">
        <v>266401906688</v>
      </c>
      <c r="H3" s="6">
        <v>15.14</v>
      </c>
      <c r="I3" s="6">
        <v>9.52</v>
      </c>
      <c r="J3" s="12">
        <f t="shared" si="0"/>
        <v>0.54831932773109249</v>
      </c>
      <c r="K3" s="11">
        <v>0.10515603799185889</v>
      </c>
      <c r="L3" s="13">
        <v>70144988000</v>
      </c>
      <c r="M3" s="13">
        <v>269343749000</v>
      </c>
      <c r="N3" s="9" t="s">
        <v>51</v>
      </c>
      <c r="O3" s="6">
        <v>1.0683760683760684</v>
      </c>
      <c r="P3" s="12">
        <v>0.49612618476500991</v>
      </c>
      <c r="Q3" s="12">
        <v>0.26042924055386191</v>
      </c>
      <c r="R3" s="14">
        <v>2</v>
      </c>
    </row>
    <row r="4" spans="2:22" x14ac:dyDescent="0.5">
      <c r="B4" s="1" t="s">
        <v>31</v>
      </c>
      <c r="C4" t="s">
        <v>94</v>
      </c>
      <c r="D4" t="s">
        <v>75</v>
      </c>
      <c r="E4">
        <v>2.88</v>
      </c>
      <c r="F4" s="9" t="s">
        <v>68</v>
      </c>
      <c r="G4" s="7">
        <v>17859514368</v>
      </c>
      <c r="H4" s="6">
        <v>5.33</v>
      </c>
      <c r="I4" s="6">
        <v>2.11</v>
      </c>
      <c r="J4" s="12">
        <f t="shared" si="0"/>
        <v>0.36492890995260674</v>
      </c>
      <c r="K4" s="11">
        <v>5.5555555555555559E-2</v>
      </c>
      <c r="L4" s="13">
        <v>2906500000</v>
      </c>
      <c r="M4" s="13">
        <v>10569000000</v>
      </c>
      <c r="N4" s="9" t="s">
        <v>51</v>
      </c>
      <c r="O4" s="6">
        <v>1.0683760683760684</v>
      </c>
      <c r="P4" s="12">
        <v>0.16638325081256819</v>
      </c>
      <c r="Q4" s="12">
        <v>0.27500236540826944</v>
      </c>
      <c r="R4" s="14">
        <v>3</v>
      </c>
    </row>
    <row r="5" spans="2:22" x14ac:dyDescent="0.5">
      <c r="B5" s="1" t="s">
        <v>24</v>
      </c>
      <c r="C5" t="s">
        <v>82</v>
      </c>
      <c r="D5" t="s">
        <v>83</v>
      </c>
      <c r="E5">
        <v>15.1</v>
      </c>
      <c r="F5" s="9" t="s">
        <v>68</v>
      </c>
      <c r="G5" s="7">
        <v>31377195008</v>
      </c>
      <c r="H5" s="6">
        <v>15.48</v>
      </c>
      <c r="I5" s="6">
        <v>7.96</v>
      </c>
      <c r="J5" s="12">
        <f t="shared" si="0"/>
        <v>0.89698492462311563</v>
      </c>
      <c r="K5" s="11">
        <v>7.4172185430463583E-2</v>
      </c>
      <c r="L5" s="13">
        <v>5451928473.2399998</v>
      </c>
      <c r="M5" s="13">
        <v>25994816572.18</v>
      </c>
      <c r="N5" s="9" t="s">
        <v>51</v>
      </c>
      <c r="O5" s="6">
        <v>1.0683760683760684</v>
      </c>
      <c r="P5" s="12">
        <v>0.16717087768969968</v>
      </c>
      <c r="Q5" s="12">
        <v>0.20973136925592797</v>
      </c>
      <c r="R5" s="14">
        <v>4</v>
      </c>
    </row>
    <row r="6" spans="2:22" x14ac:dyDescent="0.5">
      <c r="B6" s="1" t="s">
        <v>110</v>
      </c>
      <c r="C6" t="s">
        <v>146</v>
      </c>
      <c r="D6" t="s">
        <v>147</v>
      </c>
      <c r="E6">
        <v>2.63</v>
      </c>
      <c r="F6" s="9" t="s">
        <v>68</v>
      </c>
      <c r="G6" s="7">
        <v>13389514752</v>
      </c>
      <c r="H6" s="6">
        <v>3.64</v>
      </c>
      <c r="I6" s="6">
        <v>2.23</v>
      </c>
      <c r="J6" s="12">
        <f t="shared" si="0"/>
        <v>0.17937219730941689</v>
      </c>
      <c r="K6" s="11">
        <v>0.11406844106463879</v>
      </c>
      <c r="L6" s="13">
        <v>2527643000</v>
      </c>
      <c r="M6" s="13">
        <v>16480074000</v>
      </c>
      <c r="N6" s="9" t="s">
        <v>68</v>
      </c>
      <c r="O6" s="6">
        <v>1</v>
      </c>
      <c r="P6" s="12">
        <v>0.43903173388000094</v>
      </c>
      <c r="Q6" s="12">
        <v>0.15337570692947131</v>
      </c>
      <c r="R6" s="14">
        <v>5</v>
      </c>
    </row>
    <row r="7" spans="2:22" x14ac:dyDescent="0.5">
      <c r="B7" s="1" t="s">
        <v>144</v>
      </c>
      <c r="C7" t="s">
        <v>194</v>
      </c>
      <c r="D7" t="s">
        <v>182</v>
      </c>
      <c r="E7">
        <v>9.16</v>
      </c>
      <c r="F7" s="9" t="s">
        <v>68</v>
      </c>
      <c r="G7" s="7">
        <v>113627054080</v>
      </c>
      <c r="H7" s="6">
        <v>13.6</v>
      </c>
      <c r="I7" s="6">
        <v>6.57</v>
      </c>
      <c r="J7" s="12">
        <f t="shared" si="0"/>
        <v>0.39421613394216126</v>
      </c>
      <c r="K7" s="11">
        <v>5.4585152838427953E-3</v>
      </c>
      <c r="L7" s="13">
        <v>2125459000</v>
      </c>
      <c r="M7" s="13">
        <v>9202253000</v>
      </c>
      <c r="N7" s="9" t="s">
        <v>72</v>
      </c>
      <c r="O7" s="6">
        <v>7.6923076923076916</v>
      </c>
      <c r="P7" s="12">
        <v>0.14007819590180975</v>
      </c>
      <c r="Q7" s="12">
        <v>0.23097158924015673</v>
      </c>
      <c r="R7" s="14">
        <v>6</v>
      </c>
    </row>
    <row r="8" spans="2:22" x14ac:dyDescent="0.5">
      <c r="B8" s="1" t="s">
        <v>25</v>
      </c>
      <c r="C8" t="s">
        <v>84</v>
      </c>
      <c r="D8" t="s">
        <v>50</v>
      </c>
      <c r="E8">
        <v>6.28</v>
      </c>
      <c r="F8" s="9" t="s">
        <v>68</v>
      </c>
      <c r="G8" s="7">
        <v>7658523136</v>
      </c>
      <c r="H8" s="6">
        <v>8.6</v>
      </c>
      <c r="I8" s="6">
        <v>3.46</v>
      </c>
      <c r="J8" s="12">
        <f t="shared" si="0"/>
        <v>0.81502890173410414</v>
      </c>
      <c r="K8" s="11">
        <v>2.2452229299363056E-2</v>
      </c>
      <c r="L8" s="13">
        <v>921702000</v>
      </c>
      <c r="M8" s="13">
        <v>5262544000</v>
      </c>
      <c r="N8" s="9" t="s">
        <v>51</v>
      </c>
      <c r="O8" s="6">
        <v>1.0683760683760684</v>
      </c>
      <c r="P8" s="12">
        <v>0.18931080612829809</v>
      </c>
      <c r="Q8" s="12">
        <v>0.17514380877385538</v>
      </c>
      <c r="R8" s="14">
        <v>7</v>
      </c>
    </row>
    <row r="9" spans="2:22" x14ac:dyDescent="0.5">
      <c r="B9" s="1" t="s">
        <v>32</v>
      </c>
      <c r="C9" t="s">
        <v>95</v>
      </c>
      <c r="D9" t="s">
        <v>96</v>
      </c>
      <c r="E9">
        <v>14.4</v>
      </c>
      <c r="F9" s="9" t="s">
        <v>68</v>
      </c>
      <c r="G9" s="7">
        <v>11984947200</v>
      </c>
      <c r="H9" s="6">
        <v>19.440000000000001</v>
      </c>
      <c r="I9" s="6">
        <v>12.12</v>
      </c>
      <c r="J9" s="12">
        <f t="shared" si="0"/>
        <v>0.18811881188118829</v>
      </c>
      <c r="K9" s="11">
        <v>1.0277777777777776E-2</v>
      </c>
      <c r="L9" s="13">
        <v>199557000</v>
      </c>
      <c r="M9" s="13">
        <v>1108087000</v>
      </c>
      <c r="N9" s="9" t="s">
        <v>72</v>
      </c>
      <c r="O9" s="6">
        <v>7.6923076923076916</v>
      </c>
      <c r="P9" s="12">
        <v>0.17405845676300949</v>
      </c>
      <c r="Q9" s="12">
        <v>0.18009145491283626</v>
      </c>
      <c r="R9" s="14">
        <v>7</v>
      </c>
    </row>
    <row r="10" spans="2:22" x14ac:dyDescent="0.5">
      <c r="B10" s="1" t="s">
        <v>20</v>
      </c>
      <c r="C10" t="s">
        <v>73</v>
      </c>
      <c r="D10" t="s">
        <v>74</v>
      </c>
      <c r="E10">
        <v>2.5</v>
      </c>
      <c r="F10" s="9" t="s">
        <v>68</v>
      </c>
      <c r="G10" s="7">
        <v>2599524864</v>
      </c>
      <c r="H10" s="6">
        <v>3.34</v>
      </c>
      <c r="I10" s="6">
        <v>1.92</v>
      </c>
      <c r="J10" s="12">
        <f t="shared" si="0"/>
        <v>0.30208333333333348</v>
      </c>
      <c r="K10" s="11">
        <v>0.11679999999999999</v>
      </c>
      <c r="L10" s="13">
        <v>762183000</v>
      </c>
      <c r="M10" s="13">
        <v>5008319000</v>
      </c>
      <c r="N10" s="9" t="s">
        <v>68</v>
      </c>
      <c r="O10" s="6">
        <v>1</v>
      </c>
      <c r="P10" s="12">
        <v>0.2278871120399093</v>
      </c>
      <c r="Q10" s="12">
        <v>0.15218339726363278</v>
      </c>
      <c r="R10" s="14">
        <v>8</v>
      </c>
    </row>
    <row r="11" spans="2:22" x14ac:dyDescent="0.5">
      <c r="B11" s="1" t="s">
        <v>34</v>
      </c>
      <c r="C11" t="s">
        <v>99</v>
      </c>
      <c r="D11" t="s">
        <v>71</v>
      </c>
      <c r="E11">
        <v>4.53</v>
      </c>
      <c r="F11" s="9" t="s">
        <v>68</v>
      </c>
      <c r="G11" s="7">
        <v>52238151680</v>
      </c>
      <c r="H11" s="6">
        <v>5.14</v>
      </c>
      <c r="I11" s="6">
        <v>3.46</v>
      </c>
      <c r="J11" s="12">
        <f t="shared" si="0"/>
        <v>0.30924855491329484</v>
      </c>
      <c r="K11" s="11">
        <v>5.2097130242825598E-2</v>
      </c>
      <c r="L11" s="13">
        <v>4734613000</v>
      </c>
      <c r="M11" s="13">
        <v>16213395000</v>
      </c>
      <c r="N11" s="9" t="s">
        <v>51</v>
      </c>
      <c r="O11" s="6">
        <v>1.0683760683760684</v>
      </c>
      <c r="P11" s="12">
        <v>0.10318129921430115</v>
      </c>
      <c r="Q11" s="12">
        <v>0.29201860560357656</v>
      </c>
      <c r="R11" s="14">
        <v>8</v>
      </c>
    </row>
    <row r="12" spans="2:22" x14ac:dyDescent="0.5">
      <c r="B12" s="1" t="s">
        <v>22</v>
      </c>
      <c r="C12" t="s">
        <v>78</v>
      </c>
      <c r="D12" t="s">
        <v>79</v>
      </c>
      <c r="E12">
        <v>8.85</v>
      </c>
      <c r="F12" s="9" t="s">
        <v>68</v>
      </c>
      <c r="G12" s="7">
        <v>142903607296</v>
      </c>
      <c r="H12" s="6">
        <v>10.76</v>
      </c>
      <c r="I12" s="6">
        <v>7.16</v>
      </c>
      <c r="J12" s="12">
        <f t="shared" si="0"/>
        <v>0.2360335195530725</v>
      </c>
      <c r="K12" s="11">
        <v>5.4124293785310737E-2</v>
      </c>
      <c r="L12" s="13">
        <v>32866046000</v>
      </c>
      <c r="M12" s="13">
        <v>215280386000</v>
      </c>
      <c r="N12" s="9" t="s">
        <v>51</v>
      </c>
      <c r="O12" s="6">
        <v>1.0683760683760684</v>
      </c>
      <c r="P12" s="12">
        <v>0.19525105677556878</v>
      </c>
      <c r="Q12" s="12">
        <v>0.15266623500015464</v>
      </c>
      <c r="R12" s="14">
        <v>9</v>
      </c>
    </row>
    <row r="13" spans="2:22" x14ac:dyDescent="0.5">
      <c r="B13" s="1" t="s">
        <v>23</v>
      </c>
      <c r="C13" t="s">
        <v>80</v>
      </c>
      <c r="D13" t="s">
        <v>81</v>
      </c>
      <c r="E13">
        <v>8.27</v>
      </c>
      <c r="F13" s="9" t="s">
        <v>68</v>
      </c>
      <c r="G13" s="7">
        <v>71609933824</v>
      </c>
      <c r="H13" s="6">
        <v>9.23</v>
      </c>
      <c r="I13" s="6">
        <v>6.81</v>
      </c>
      <c r="J13" s="12">
        <f t="shared" si="0"/>
        <v>0.21439060205580041</v>
      </c>
      <c r="K13" s="11">
        <v>3.8210399032648126E-2</v>
      </c>
      <c r="L13" s="13">
        <v>13438000000</v>
      </c>
      <c r="M13" s="13">
        <v>88611000000</v>
      </c>
      <c r="N13" s="9" t="s">
        <v>51</v>
      </c>
      <c r="O13" s="6">
        <v>1.0683760683760684</v>
      </c>
      <c r="P13" s="12">
        <v>0.21169239559663214</v>
      </c>
      <c r="Q13" s="12">
        <v>0.15165160081705431</v>
      </c>
      <c r="R13" s="14">
        <v>10</v>
      </c>
    </row>
    <row r="14" spans="2:22" x14ac:dyDescent="0.5">
      <c r="B14" s="1" t="s">
        <v>29</v>
      </c>
      <c r="C14" t="s">
        <v>91</v>
      </c>
      <c r="D14" t="s">
        <v>87</v>
      </c>
      <c r="E14">
        <v>5.24</v>
      </c>
      <c r="F14" s="9" t="s">
        <v>68</v>
      </c>
      <c r="G14" s="7">
        <v>61848240128</v>
      </c>
      <c r="H14" s="6">
        <v>5.77</v>
      </c>
      <c r="I14" s="6">
        <v>4.12</v>
      </c>
      <c r="J14" s="12">
        <f t="shared" si="0"/>
        <v>0.27184466019417486</v>
      </c>
      <c r="K14" s="11">
        <v>4.5419847328244271E-2</v>
      </c>
      <c r="L14" s="13">
        <v>5687261000</v>
      </c>
      <c r="M14" s="13">
        <v>21716551000</v>
      </c>
      <c r="N14" s="9" t="s">
        <v>51</v>
      </c>
      <c r="O14" s="6">
        <v>1.0683760683760684</v>
      </c>
      <c r="P14" s="12">
        <v>0.10339478616831782</v>
      </c>
      <c r="Q14" s="12">
        <v>0.26188601495697911</v>
      </c>
      <c r="R14" s="14">
        <v>11</v>
      </c>
    </row>
    <row r="15" spans="2:22" x14ac:dyDescent="0.5">
      <c r="B15" s="1" t="s">
        <v>27</v>
      </c>
      <c r="C15" t="s">
        <v>88</v>
      </c>
      <c r="D15" t="s">
        <v>89</v>
      </c>
      <c r="E15">
        <v>4.7699999999999996</v>
      </c>
      <c r="F15" s="9" t="s">
        <v>68</v>
      </c>
      <c r="G15" s="7">
        <v>5054196736</v>
      </c>
      <c r="H15" s="6">
        <v>6.26</v>
      </c>
      <c r="I15" s="6">
        <v>3.97</v>
      </c>
      <c r="J15" s="12">
        <f t="shared" si="0"/>
        <v>0.20151133501259433</v>
      </c>
      <c r="K15" s="11">
        <v>0.10272536687631029</v>
      </c>
      <c r="L15" s="13">
        <v>866801000</v>
      </c>
      <c r="M15" s="13">
        <v>7530053000</v>
      </c>
      <c r="N15" s="9" t="s">
        <v>68</v>
      </c>
      <c r="O15" s="6">
        <v>1</v>
      </c>
      <c r="P15" s="12">
        <v>0.42109939991480938</v>
      </c>
      <c r="Q15" s="12">
        <v>0.11511220438953086</v>
      </c>
      <c r="R15" s="14">
        <v>12</v>
      </c>
    </row>
    <row r="16" spans="2:22" x14ac:dyDescent="0.5">
      <c r="B16" s="1" t="s">
        <v>19</v>
      </c>
      <c r="C16" t="s">
        <v>70</v>
      </c>
      <c r="D16" t="s">
        <v>71</v>
      </c>
      <c r="E16">
        <v>5.0199999999999996</v>
      </c>
      <c r="F16" s="9" t="s">
        <v>68</v>
      </c>
      <c r="G16" s="7">
        <v>14321156096</v>
      </c>
      <c r="H16" s="6">
        <v>6.21</v>
      </c>
      <c r="I16" s="6">
        <v>3.22</v>
      </c>
      <c r="J16" s="12">
        <f t="shared" si="0"/>
        <v>0.55900621118012395</v>
      </c>
      <c r="K16" s="11">
        <v>8.3665338645418346E-3</v>
      </c>
      <c r="L16" s="13">
        <v>259348000</v>
      </c>
      <c r="M16" s="13">
        <v>1677627000</v>
      </c>
      <c r="N16" s="9" t="s">
        <v>72</v>
      </c>
      <c r="O16" s="6">
        <v>7.6923076923076916</v>
      </c>
      <c r="P16" s="12">
        <v>0.16111230357181586</v>
      </c>
      <c r="Q16" s="12">
        <v>0.15459217096529801</v>
      </c>
      <c r="R16" s="14">
        <v>13</v>
      </c>
    </row>
    <row r="17" spans="2:18" x14ac:dyDescent="0.5">
      <c r="B17" s="1" t="s">
        <v>28</v>
      </c>
      <c r="C17" t="s">
        <v>90</v>
      </c>
      <c r="D17" t="s">
        <v>87</v>
      </c>
      <c r="E17">
        <v>6.24</v>
      </c>
      <c r="F17" s="9" t="s">
        <v>68</v>
      </c>
      <c r="G17" s="7">
        <v>56579637248</v>
      </c>
      <c r="H17" s="6">
        <v>7.38</v>
      </c>
      <c r="I17" s="6">
        <v>3.39</v>
      </c>
      <c r="J17" s="12">
        <f t="shared" si="0"/>
        <v>0.84070796460176989</v>
      </c>
      <c r="K17" s="11">
        <v>4.9198717948717947E-2</v>
      </c>
      <c r="L17" s="13">
        <v>5594372000</v>
      </c>
      <c r="M17" s="13">
        <v>26933044000</v>
      </c>
      <c r="N17" s="9" t="s">
        <v>51</v>
      </c>
      <c r="O17" s="6">
        <v>1.0683760683760684</v>
      </c>
      <c r="P17" s="12">
        <v>0.12510216016396158</v>
      </c>
      <c r="Q17" s="12">
        <v>0.20771406306691512</v>
      </c>
      <c r="R17" s="14">
        <v>14</v>
      </c>
    </row>
    <row r="18" spans="2:18" x14ac:dyDescent="0.5">
      <c r="B18" s="1" t="s">
        <v>124</v>
      </c>
      <c r="C18" t="s">
        <v>166</v>
      </c>
      <c r="D18" t="s">
        <v>77</v>
      </c>
      <c r="E18">
        <v>4.93</v>
      </c>
      <c r="F18" s="9" t="s">
        <v>68</v>
      </c>
      <c r="G18" s="7">
        <v>7227232256</v>
      </c>
      <c r="H18" s="6">
        <v>5.04</v>
      </c>
      <c r="I18" s="6">
        <v>3.45</v>
      </c>
      <c r="J18" s="12">
        <f t="shared" si="0"/>
        <v>0.42898550724637663</v>
      </c>
      <c r="K18" s="11">
        <v>9.7363083164300201E-2</v>
      </c>
      <c r="L18" s="13">
        <v>784607000</v>
      </c>
      <c r="M18" s="13">
        <v>7872586000</v>
      </c>
      <c r="N18" s="9" t="s">
        <v>68</v>
      </c>
      <c r="O18" s="6">
        <v>1</v>
      </c>
      <c r="P18" s="12">
        <v>0.52073488063015305</v>
      </c>
      <c r="Q18" s="12">
        <v>9.9663185641922489E-2</v>
      </c>
      <c r="R18" s="14">
        <v>14</v>
      </c>
    </row>
    <row r="19" spans="2:18" x14ac:dyDescent="0.5">
      <c r="B19" s="1" t="s">
        <v>118</v>
      </c>
      <c r="C19" t="s">
        <v>159</v>
      </c>
      <c r="D19" t="s">
        <v>85</v>
      </c>
      <c r="E19">
        <v>95.6</v>
      </c>
      <c r="F19" s="9" t="s">
        <v>68</v>
      </c>
      <c r="G19" s="7">
        <v>266533748736</v>
      </c>
      <c r="H19" s="6">
        <v>107.5</v>
      </c>
      <c r="I19" s="6">
        <v>65.55</v>
      </c>
      <c r="J19" s="12">
        <f t="shared" si="0"/>
        <v>0.45842868039664375</v>
      </c>
      <c r="K19" s="11">
        <v>2.3200836820083684E-2</v>
      </c>
      <c r="L19" s="13">
        <v>22510000000</v>
      </c>
      <c r="M19" s="13">
        <v>82545000000</v>
      </c>
      <c r="N19" s="9" t="s">
        <v>51</v>
      </c>
      <c r="O19" s="6">
        <v>1.0683760683760684</v>
      </c>
      <c r="P19" s="12">
        <v>8.4558705548000476E-2</v>
      </c>
      <c r="Q19" s="12">
        <v>0.27269973953601068</v>
      </c>
      <c r="R19" s="14">
        <v>15</v>
      </c>
    </row>
    <row r="20" spans="2:18" x14ac:dyDescent="0.5">
      <c r="B20" s="1" t="s">
        <v>113</v>
      </c>
      <c r="C20" t="s">
        <v>151</v>
      </c>
      <c r="D20" t="s">
        <v>152</v>
      </c>
      <c r="E20">
        <v>3.83</v>
      </c>
      <c r="F20" s="9" t="s">
        <v>68</v>
      </c>
      <c r="G20" s="7">
        <v>5497620480</v>
      </c>
      <c r="H20" s="6">
        <v>7.92</v>
      </c>
      <c r="I20" s="6">
        <v>2.36</v>
      </c>
      <c r="J20" s="12">
        <f t="shared" si="0"/>
        <v>0.62288135593220351</v>
      </c>
      <c r="K20" s="11">
        <v>6.6318537859007834E-2</v>
      </c>
      <c r="L20" s="13">
        <v>811880000</v>
      </c>
      <c r="M20" s="13">
        <v>5532140000</v>
      </c>
      <c r="N20" s="9" t="s">
        <v>51</v>
      </c>
      <c r="O20" s="6">
        <v>1.0683760683760684</v>
      </c>
      <c r="P20" s="12">
        <v>0.16416567610994109</v>
      </c>
      <c r="Q20" s="12">
        <v>0.14675695119790894</v>
      </c>
      <c r="R20" s="14">
        <v>16</v>
      </c>
    </row>
    <row r="21" spans="2:18" x14ac:dyDescent="0.5">
      <c r="B21" s="1" t="s">
        <v>140</v>
      </c>
      <c r="C21" t="s">
        <v>188</v>
      </c>
      <c r="D21" t="s">
        <v>87</v>
      </c>
      <c r="E21">
        <v>13.54</v>
      </c>
      <c r="F21" s="9" t="s">
        <v>68</v>
      </c>
      <c r="G21" s="7">
        <v>76290318336</v>
      </c>
      <c r="H21" s="6">
        <v>14.24</v>
      </c>
      <c r="I21" s="6">
        <v>8.81</v>
      </c>
      <c r="J21" s="12">
        <f t="shared" si="0"/>
        <v>0.53688989784335961</v>
      </c>
      <c r="K21" s="11">
        <v>2.4446085672082722E-2</v>
      </c>
      <c r="L21" s="13">
        <v>6482967000</v>
      </c>
      <c r="M21" s="13">
        <v>27483863000</v>
      </c>
      <c r="N21" s="9" t="s">
        <v>51</v>
      </c>
      <c r="O21" s="6">
        <v>1.0683760683760684</v>
      </c>
      <c r="P21" s="12">
        <v>8.3751586377721829E-2</v>
      </c>
      <c r="Q21" s="12">
        <v>0.23588267049650188</v>
      </c>
      <c r="R21" s="14">
        <v>17</v>
      </c>
    </row>
    <row r="22" spans="2:18" x14ac:dyDescent="0.5">
      <c r="B22" s="1" t="s">
        <v>143</v>
      </c>
      <c r="C22" t="s">
        <v>192</v>
      </c>
      <c r="D22" t="s">
        <v>109</v>
      </c>
      <c r="E22">
        <v>51.25</v>
      </c>
      <c r="F22" s="9" t="s">
        <v>68</v>
      </c>
      <c r="G22" s="7">
        <v>131139526656</v>
      </c>
      <c r="H22" s="6">
        <v>71.7</v>
      </c>
      <c r="I22" s="6">
        <v>43.55</v>
      </c>
      <c r="J22" s="12">
        <f t="shared" si="0"/>
        <v>0.17680826636050528</v>
      </c>
      <c r="K22" s="11">
        <v>3.2000000000000002E-3</v>
      </c>
      <c r="L22" s="13">
        <v>1279098000</v>
      </c>
      <c r="M22" s="13">
        <v>4811702000</v>
      </c>
      <c r="N22" s="9" t="s">
        <v>193</v>
      </c>
      <c r="O22" s="6">
        <v>8.7546153846153842</v>
      </c>
      <c r="P22" s="12">
        <v>7.6339630042846232E-2</v>
      </c>
      <c r="Q22" s="12">
        <v>0.26583067696212276</v>
      </c>
      <c r="R22" s="14">
        <v>17</v>
      </c>
    </row>
    <row r="23" spans="2:18" x14ac:dyDescent="0.5">
      <c r="B23" s="1" t="s">
        <v>133</v>
      </c>
      <c r="C23" t="s">
        <v>177</v>
      </c>
      <c r="D23" t="s">
        <v>178</v>
      </c>
      <c r="E23">
        <v>17.899999999999999</v>
      </c>
      <c r="F23" s="9" t="s">
        <v>68</v>
      </c>
      <c r="G23" s="7">
        <v>508519284736</v>
      </c>
      <c r="H23" s="6">
        <v>19.260000000000002</v>
      </c>
      <c r="I23" s="6">
        <v>13.52</v>
      </c>
      <c r="J23" s="12">
        <f t="shared" si="0"/>
        <v>0.32396449704142016</v>
      </c>
      <c r="K23" s="11">
        <v>2.1229050279329611E-2</v>
      </c>
      <c r="L23" s="13">
        <v>52374992116</v>
      </c>
      <c r="M23" s="13">
        <v>269573093476</v>
      </c>
      <c r="N23" s="9" t="s">
        <v>51</v>
      </c>
      <c r="O23" s="6">
        <v>1.0683760683760684</v>
      </c>
      <c r="P23" s="12">
        <v>8.8425637480669741E-2</v>
      </c>
      <c r="Q23" s="12">
        <v>0.19428864891763736</v>
      </c>
      <c r="R23" s="14">
        <v>18</v>
      </c>
    </row>
    <row r="24" spans="2:18" x14ac:dyDescent="0.5">
      <c r="B24" s="1" t="s">
        <v>37</v>
      </c>
      <c r="C24" t="s">
        <v>103</v>
      </c>
      <c r="D24" t="s">
        <v>104</v>
      </c>
      <c r="E24">
        <v>5.86</v>
      </c>
      <c r="F24" s="9" t="s">
        <v>68</v>
      </c>
      <c r="G24" s="7">
        <v>4566123520</v>
      </c>
      <c r="H24" s="6">
        <v>8.09</v>
      </c>
      <c r="I24" s="6">
        <v>4.0199999999999996</v>
      </c>
      <c r="J24" s="12">
        <f t="shared" si="0"/>
        <v>0.45771144278606979</v>
      </c>
      <c r="K24" s="11">
        <v>2.9010238907849831E-2</v>
      </c>
      <c r="L24" s="13">
        <v>437453000</v>
      </c>
      <c r="M24" s="13">
        <v>4911072000</v>
      </c>
      <c r="N24" s="9" t="s">
        <v>68</v>
      </c>
      <c r="O24" s="6">
        <v>1</v>
      </c>
      <c r="P24" s="12">
        <v>0.19214560366758091</v>
      </c>
      <c r="Q24" s="12">
        <v>8.9074849645861431E-2</v>
      </c>
      <c r="R24" s="14">
        <v>19</v>
      </c>
    </row>
    <row r="25" spans="2:18" x14ac:dyDescent="0.5">
      <c r="B25" s="1" t="s">
        <v>35</v>
      </c>
      <c r="C25" t="s">
        <v>100</v>
      </c>
      <c r="D25" t="s">
        <v>101</v>
      </c>
      <c r="E25">
        <v>391</v>
      </c>
      <c r="F25" s="9" t="s">
        <v>68</v>
      </c>
      <c r="G25" s="7">
        <v>494161428480</v>
      </c>
      <c r="H25" s="6">
        <v>399.6</v>
      </c>
      <c r="I25" s="6">
        <v>218.4</v>
      </c>
      <c r="J25" s="12">
        <f t="shared" si="0"/>
        <v>0.79029304029304015</v>
      </c>
      <c r="K25" s="11">
        <v>2.3682864450127877E-2</v>
      </c>
      <c r="L25" s="13">
        <v>20744000000</v>
      </c>
      <c r="M25" s="13">
        <v>53852000000</v>
      </c>
      <c r="N25" s="9" t="s">
        <v>68</v>
      </c>
      <c r="O25" s="6">
        <v>1</v>
      </c>
      <c r="P25" s="12">
        <v>5.7448213422109484E-2</v>
      </c>
      <c r="Q25" s="12">
        <v>0.38520389214885242</v>
      </c>
      <c r="R25" s="14">
        <v>20</v>
      </c>
    </row>
    <row r="26" spans="2:18" x14ac:dyDescent="0.5">
      <c r="B26" s="1" t="s">
        <v>120</v>
      </c>
      <c r="C26" t="s">
        <v>161</v>
      </c>
      <c r="D26" t="s">
        <v>69</v>
      </c>
      <c r="E26">
        <v>5.99</v>
      </c>
      <c r="F26" s="9" t="s">
        <v>68</v>
      </c>
      <c r="G26" s="7">
        <v>9743992832</v>
      </c>
      <c r="H26" s="6">
        <v>7.05</v>
      </c>
      <c r="I26" s="6">
        <v>4.2699999999999996</v>
      </c>
      <c r="J26" s="12">
        <f t="shared" si="0"/>
        <v>0.40281030444964894</v>
      </c>
      <c r="K26" s="11">
        <v>4.6744574290484141E-2</v>
      </c>
      <c r="L26" s="13">
        <v>4094312000</v>
      </c>
      <c r="M26" s="13">
        <v>37637054000</v>
      </c>
      <c r="N26" s="9" t="s">
        <v>68</v>
      </c>
      <c r="O26" s="6">
        <v>1</v>
      </c>
      <c r="P26" s="12">
        <v>0.1357513317572113</v>
      </c>
      <c r="Q26" s="12">
        <v>0.10878407220713927</v>
      </c>
      <c r="R26" s="14">
        <v>20</v>
      </c>
    </row>
    <row r="27" spans="2:18" x14ac:dyDescent="0.5">
      <c r="B27" s="1" t="s">
        <v>125</v>
      </c>
      <c r="C27" t="s">
        <v>167</v>
      </c>
      <c r="D27" t="s">
        <v>168</v>
      </c>
      <c r="E27">
        <v>21.8</v>
      </c>
      <c r="F27" s="9" t="s">
        <v>68</v>
      </c>
      <c r="G27" s="7">
        <v>24828452864</v>
      </c>
      <c r="H27" s="6">
        <v>28.75</v>
      </c>
      <c r="I27" s="6">
        <v>19.52</v>
      </c>
      <c r="J27" s="12">
        <f t="shared" si="0"/>
        <v>0.11680327868852469</v>
      </c>
      <c r="K27" s="11">
        <v>6.4220183486238522E-2</v>
      </c>
      <c r="L27" s="13">
        <v>3446618000</v>
      </c>
      <c r="M27" s="13">
        <v>34010798000</v>
      </c>
      <c r="N27" s="9" t="s">
        <v>51</v>
      </c>
      <c r="O27" s="6">
        <v>1.0683760683760684</v>
      </c>
      <c r="P27" s="12">
        <v>0.15602168152308715</v>
      </c>
      <c r="Q27" s="12">
        <v>0.10133893359397213</v>
      </c>
      <c r="R27" s="14">
        <v>20</v>
      </c>
    </row>
    <row r="28" spans="2:18" x14ac:dyDescent="0.5">
      <c r="B28" s="1" t="s">
        <v>119</v>
      </c>
      <c r="C28" t="s">
        <v>160</v>
      </c>
      <c r="D28" t="s">
        <v>85</v>
      </c>
      <c r="E28">
        <v>216.6</v>
      </c>
      <c r="F28" s="9" t="s">
        <v>68</v>
      </c>
      <c r="G28" s="7">
        <v>287679479808</v>
      </c>
      <c r="H28" s="6">
        <v>235</v>
      </c>
      <c r="I28" s="6">
        <v>34.4</v>
      </c>
      <c r="J28" s="12">
        <f t="shared" si="0"/>
        <v>5.2965116279069768</v>
      </c>
      <c r="K28" s="11">
        <v>3.7626962142197598E-3</v>
      </c>
      <c r="L28" s="13">
        <v>4414795000</v>
      </c>
      <c r="M28" s="13">
        <v>10683505000</v>
      </c>
      <c r="N28" s="9" t="s">
        <v>51</v>
      </c>
      <c r="O28" s="6">
        <v>1.0683760683760684</v>
      </c>
      <c r="P28" s="12">
        <v>1.6714886709713026E-2</v>
      </c>
      <c r="Q28" s="12">
        <v>0.41323470153287706</v>
      </c>
      <c r="R28" s="14">
        <v>21</v>
      </c>
    </row>
    <row r="29" spans="2:18" x14ac:dyDescent="0.5">
      <c r="B29" s="1" t="s">
        <v>197</v>
      </c>
      <c r="C29" t="s">
        <v>200</v>
      </c>
      <c r="D29" t="s">
        <v>186</v>
      </c>
      <c r="E29">
        <v>6.94</v>
      </c>
      <c r="F29" s="9" t="s">
        <v>68</v>
      </c>
      <c r="G29" s="7">
        <v>3981505792</v>
      </c>
      <c r="H29" s="6">
        <v>9.24</v>
      </c>
      <c r="I29" s="6">
        <v>6.85</v>
      </c>
      <c r="J29" s="12">
        <f t="shared" si="0"/>
        <v>1.3138686131386912E-2</v>
      </c>
      <c r="K29" s="11">
        <v>8.2132564841498543E-2</v>
      </c>
      <c r="L29" s="13">
        <v>498120000</v>
      </c>
      <c r="M29" s="13">
        <v>3284848000</v>
      </c>
      <c r="N29" s="9" t="s">
        <v>68</v>
      </c>
      <c r="O29" s="6">
        <v>1</v>
      </c>
      <c r="P29" s="12">
        <v>9.6372678939714296E-2</v>
      </c>
      <c r="Q29" s="12">
        <v>0.15164171979951585</v>
      </c>
      <c r="R29" s="14">
        <v>21</v>
      </c>
    </row>
    <row r="30" spans="2:18" x14ac:dyDescent="0.5">
      <c r="B30" s="1" t="s">
        <v>138</v>
      </c>
      <c r="C30" t="s">
        <v>185</v>
      </c>
      <c r="D30" t="s">
        <v>186</v>
      </c>
      <c r="E30">
        <v>341.8</v>
      </c>
      <c r="F30" s="9" t="s">
        <v>68</v>
      </c>
      <c r="G30" s="7">
        <v>127261024256</v>
      </c>
      <c r="H30" s="6">
        <v>421.4</v>
      </c>
      <c r="I30" s="6">
        <v>225.2</v>
      </c>
      <c r="J30" s="12">
        <f t="shared" si="0"/>
        <v>0.51776198934280648</v>
      </c>
      <c r="K30" s="11">
        <v>2.1064950263311876E-3</v>
      </c>
      <c r="L30" s="13">
        <v>1200000000</v>
      </c>
      <c r="M30" s="13">
        <v>5855000000</v>
      </c>
      <c r="N30" s="9" t="s">
        <v>72</v>
      </c>
      <c r="O30" s="6">
        <v>7.6923076923076916</v>
      </c>
      <c r="P30" s="12">
        <v>6.5825803633519697E-2</v>
      </c>
      <c r="Q30" s="12">
        <v>0.20495303159692571</v>
      </c>
      <c r="R30" s="14">
        <v>22</v>
      </c>
    </row>
    <row r="31" spans="2:18" x14ac:dyDescent="0.5">
      <c r="B31" s="1" t="s">
        <v>36</v>
      </c>
      <c r="C31" t="s">
        <v>102</v>
      </c>
      <c r="D31" t="s">
        <v>50</v>
      </c>
      <c r="E31">
        <v>12.34</v>
      </c>
      <c r="F31" s="9" t="s">
        <v>68</v>
      </c>
      <c r="G31" s="7">
        <v>57997750272</v>
      </c>
      <c r="H31" s="6">
        <v>13.56</v>
      </c>
      <c r="I31" s="6">
        <v>7.51</v>
      </c>
      <c r="J31" s="12">
        <f t="shared" si="0"/>
        <v>0.64314247669773628</v>
      </c>
      <c r="K31" s="11">
        <v>3.5494327390599677E-2</v>
      </c>
      <c r="L31" s="13">
        <v>3967214824.1399999</v>
      </c>
      <c r="M31" s="13">
        <v>41038539262.660004</v>
      </c>
      <c r="N31" s="9" t="s">
        <v>51</v>
      </c>
      <c r="O31" s="6">
        <v>1.0683760683760684</v>
      </c>
      <c r="P31" s="12">
        <v>0.13041654887075355</v>
      </c>
      <c r="Q31" s="12">
        <v>9.6670468672106824E-2</v>
      </c>
      <c r="R31" s="14">
        <v>23</v>
      </c>
    </row>
    <row r="32" spans="2:18" x14ac:dyDescent="0.5">
      <c r="B32" s="1" t="s">
        <v>126</v>
      </c>
      <c r="C32" t="s">
        <v>169</v>
      </c>
      <c r="D32" t="s">
        <v>109</v>
      </c>
      <c r="E32">
        <v>11.22</v>
      </c>
      <c r="F32" s="9" t="s">
        <v>68</v>
      </c>
      <c r="G32" s="7">
        <v>112057614336</v>
      </c>
      <c r="H32" s="6">
        <v>11.56</v>
      </c>
      <c r="I32" s="6">
        <v>5.83</v>
      </c>
      <c r="J32" s="12">
        <f t="shared" si="0"/>
        <v>0.92452830188679247</v>
      </c>
      <c r="K32" s="11">
        <v>4.4563279857397504E-2</v>
      </c>
      <c r="L32" s="13">
        <v>9432900000</v>
      </c>
      <c r="M32" s="13">
        <v>54338700000</v>
      </c>
      <c r="N32" s="9" t="s">
        <v>68</v>
      </c>
      <c r="O32" s="6">
        <v>1</v>
      </c>
      <c r="P32" s="12">
        <v>7.0262057209279694E-2</v>
      </c>
      <c r="Q32" s="12">
        <v>0.17359450999011755</v>
      </c>
      <c r="R32" s="14">
        <v>24</v>
      </c>
    </row>
    <row r="33" spans="2:18" x14ac:dyDescent="0.5">
      <c r="B33" s="1" t="s">
        <v>135</v>
      </c>
      <c r="C33" t="s">
        <v>180</v>
      </c>
      <c r="D33" t="s">
        <v>77</v>
      </c>
      <c r="E33">
        <v>15.02</v>
      </c>
      <c r="F33" s="9" t="s">
        <v>68</v>
      </c>
      <c r="G33" s="7">
        <v>63054114816</v>
      </c>
      <c r="H33" s="6">
        <v>15.08</v>
      </c>
      <c r="I33" s="6">
        <v>10.98</v>
      </c>
      <c r="J33" s="12">
        <f t="shared" ref="J33:J64" si="1">E33/I33-1</f>
        <v>0.36794171220400718</v>
      </c>
      <c r="K33" s="11">
        <v>5.8988015978695074E-2</v>
      </c>
      <c r="L33" s="13">
        <v>11996000000</v>
      </c>
      <c r="M33" s="13">
        <v>138296000000</v>
      </c>
      <c r="N33" s="9" t="s">
        <v>68</v>
      </c>
      <c r="O33" s="6">
        <v>1</v>
      </c>
      <c r="P33" s="12">
        <v>0.13917746450018836</v>
      </c>
      <c r="Q33" s="12">
        <v>8.6741482038526066E-2</v>
      </c>
      <c r="R33" s="14">
        <v>24</v>
      </c>
    </row>
    <row r="34" spans="2:18" x14ac:dyDescent="0.5">
      <c r="B34" s="1" t="s">
        <v>137</v>
      </c>
      <c r="C34" t="s">
        <v>183</v>
      </c>
      <c r="D34" t="s">
        <v>184</v>
      </c>
      <c r="E34">
        <v>33.299999999999997</v>
      </c>
      <c r="F34" s="9" t="s">
        <v>68</v>
      </c>
      <c r="G34" s="7">
        <v>23032942592</v>
      </c>
      <c r="H34" s="6">
        <v>35.75</v>
      </c>
      <c r="I34" s="6">
        <v>13.2</v>
      </c>
      <c r="J34" s="12">
        <f t="shared" si="1"/>
        <v>1.5227272727272725</v>
      </c>
      <c r="K34" s="11">
        <v>1.3813813813813816E-2</v>
      </c>
      <c r="L34" s="13">
        <v>1323087000</v>
      </c>
      <c r="M34" s="13">
        <v>5952918000</v>
      </c>
      <c r="N34" s="9" t="s">
        <v>68</v>
      </c>
      <c r="O34" s="6">
        <v>1</v>
      </c>
      <c r="P34" s="12">
        <v>5.1894320976402654E-2</v>
      </c>
      <c r="Q34" s="12">
        <v>0.222258562943417</v>
      </c>
      <c r="R34" s="14">
        <v>25</v>
      </c>
    </row>
    <row r="35" spans="2:18" x14ac:dyDescent="0.5">
      <c r="B35" s="1" t="s">
        <v>115</v>
      </c>
      <c r="C35" t="s">
        <v>155</v>
      </c>
      <c r="D35" t="s">
        <v>156</v>
      </c>
      <c r="E35">
        <v>58.05</v>
      </c>
      <c r="F35" s="9" t="s">
        <v>68</v>
      </c>
      <c r="G35" s="7">
        <v>162675261440</v>
      </c>
      <c r="H35" s="6">
        <v>60</v>
      </c>
      <c r="I35" s="6">
        <v>38.4</v>
      </c>
      <c r="J35" s="12">
        <f t="shared" si="1"/>
        <v>0.51171875</v>
      </c>
      <c r="K35" s="11">
        <v>3.1007751937984499E-2</v>
      </c>
      <c r="L35" s="13">
        <v>8955723006</v>
      </c>
      <c r="M35" s="13">
        <v>47495870210</v>
      </c>
      <c r="N35" s="9" t="s">
        <v>51</v>
      </c>
      <c r="O35" s="6">
        <v>1.0683760683760684</v>
      </c>
      <c r="P35" s="12">
        <v>6.0318143253415502E-2</v>
      </c>
      <c r="Q35" s="12">
        <v>0.18855793075067021</v>
      </c>
      <c r="R35" s="14">
        <v>26</v>
      </c>
    </row>
    <row r="36" spans="2:18" x14ac:dyDescent="0.5">
      <c r="B36" s="1" t="s">
        <v>130</v>
      </c>
      <c r="C36" t="s">
        <v>174</v>
      </c>
      <c r="D36" t="s">
        <v>175</v>
      </c>
      <c r="E36">
        <v>506</v>
      </c>
      <c r="F36" s="9" t="s">
        <v>68</v>
      </c>
      <c r="G36" s="7">
        <v>4605217341440</v>
      </c>
      <c r="H36" s="6">
        <v>547</v>
      </c>
      <c r="I36" s="6">
        <v>349</v>
      </c>
      <c r="J36" s="12">
        <f t="shared" si="1"/>
        <v>0.44985673352435529</v>
      </c>
      <c r="K36" s="11">
        <v>8.3577075098814225E-3</v>
      </c>
      <c r="L36" s="13">
        <v>253932000000</v>
      </c>
      <c r="M36" s="13">
        <v>1312163000000</v>
      </c>
      <c r="N36" s="9" t="s">
        <v>51</v>
      </c>
      <c r="O36" s="6">
        <v>1.0683760683760684</v>
      </c>
      <c r="P36" s="12">
        <v>5.5980538209562711E-2</v>
      </c>
      <c r="Q36" s="12">
        <v>0.19352168899747973</v>
      </c>
      <c r="R36" s="14">
        <v>27</v>
      </c>
    </row>
    <row r="37" spans="2:18" x14ac:dyDescent="0.5">
      <c r="B37" s="1" t="s">
        <v>116</v>
      </c>
      <c r="C37" t="s">
        <v>157</v>
      </c>
      <c r="D37" t="s">
        <v>93</v>
      </c>
      <c r="E37">
        <v>20.65</v>
      </c>
      <c r="F37" s="9" t="s">
        <v>68</v>
      </c>
      <c r="G37" s="7">
        <v>128567304192</v>
      </c>
      <c r="H37" s="6">
        <v>26.6</v>
      </c>
      <c r="I37" s="6">
        <v>16.02</v>
      </c>
      <c r="J37" s="12">
        <f t="shared" si="1"/>
        <v>0.28901373283395748</v>
      </c>
      <c r="K37" s="11">
        <v>3.4382566585956419E-2</v>
      </c>
      <c r="L37" s="13">
        <v>10795274825</v>
      </c>
      <c r="M37" s="13">
        <v>215275428010</v>
      </c>
      <c r="N37" s="9" t="s">
        <v>51</v>
      </c>
      <c r="O37" s="6">
        <v>1.0683760683760684</v>
      </c>
      <c r="P37" s="12">
        <v>0.13552022486560977</v>
      </c>
      <c r="Q37" s="12">
        <v>5.0146340085309396E-2</v>
      </c>
      <c r="R37" s="14">
        <v>28</v>
      </c>
    </row>
    <row r="38" spans="2:18" x14ac:dyDescent="0.5">
      <c r="B38" s="1" t="s">
        <v>142</v>
      </c>
      <c r="C38" t="s">
        <v>191</v>
      </c>
      <c r="D38" t="s">
        <v>104</v>
      </c>
      <c r="E38">
        <v>32</v>
      </c>
      <c r="F38" s="9" t="s">
        <v>68</v>
      </c>
      <c r="G38" s="7">
        <v>72102395904</v>
      </c>
      <c r="H38" s="6">
        <v>61.55</v>
      </c>
      <c r="I38" s="6">
        <v>24.85</v>
      </c>
      <c r="J38" s="12">
        <f t="shared" si="1"/>
        <v>0.28772635814889336</v>
      </c>
      <c r="K38" s="11">
        <v>1.7749999999999998E-2</v>
      </c>
      <c r="L38" s="13">
        <v>5261270000</v>
      </c>
      <c r="M38" s="13">
        <v>43208997000</v>
      </c>
      <c r="N38" s="9" t="s">
        <v>51</v>
      </c>
      <c r="O38" s="6">
        <v>1.0683760683760684</v>
      </c>
      <c r="P38" s="12">
        <v>7.2175686211558024E-2</v>
      </c>
      <c r="Q38" s="12">
        <v>0.12176329850933591</v>
      </c>
      <c r="R38" s="14">
        <v>28</v>
      </c>
    </row>
    <row r="39" spans="2:18" x14ac:dyDescent="0.5">
      <c r="B39" s="1" t="s">
        <v>123</v>
      </c>
      <c r="C39" t="s">
        <v>164</v>
      </c>
      <c r="D39" t="s">
        <v>165</v>
      </c>
      <c r="E39">
        <v>6.21</v>
      </c>
      <c r="F39" s="9" t="s">
        <v>68</v>
      </c>
      <c r="G39" s="7">
        <v>47413411840</v>
      </c>
      <c r="H39" s="6">
        <v>11.72</v>
      </c>
      <c r="I39" s="6">
        <v>5</v>
      </c>
      <c r="J39" s="12">
        <f t="shared" si="1"/>
        <v>0.24199999999999999</v>
      </c>
      <c r="K39" s="11">
        <v>6.9243156199677941E-2</v>
      </c>
      <c r="L39" s="13">
        <v>6749146000</v>
      </c>
      <c r="M39" s="13">
        <v>70848374000</v>
      </c>
      <c r="N39" s="9" t="s">
        <v>51</v>
      </c>
      <c r="O39" s="6">
        <v>1.0683760683760684</v>
      </c>
      <c r="P39" s="12">
        <v>9.0129403293835897E-2</v>
      </c>
      <c r="Q39" s="12">
        <v>9.5261833390841127E-2</v>
      </c>
      <c r="R39" s="14">
        <v>29</v>
      </c>
    </row>
    <row r="40" spans="2:18" x14ac:dyDescent="0.5">
      <c r="B40" s="1" t="s">
        <v>136</v>
      </c>
      <c r="C40" t="s">
        <v>181</v>
      </c>
      <c r="D40" t="s">
        <v>182</v>
      </c>
      <c r="E40">
        <v>8.01</v>
      </c>
      <c r="F40" s="9" t="s">
        <v>68</v>
      </c>
      <c r="G40" s="7">
        <v>18873401344</v>
      </c>
      <c r="H40" s="6">
        <v>11.68</v>
      </c>
      <c r="I40" s="6">
        <v>5.19</v>
      </c>
      <c r="J40" s="12">
        <f t="shared" si="1"/>
        <v>0.5433526011560692</v>
      </c>
      <c r="K40" s="11">
        <v>0</v>
      </c>
      <c r="L40" s="13">
        <v>13493113000</v>
      </c>
      <c r="M40" s="13">
        <v>208027754000</v>
      </c>
      <c r="N40" s="9" t="s">
        <v>51</v>
      </c>
      <c r="O40" s="6">
        <v>1.0683760683760684</v>
      </c>
      <c r="P40" s="12">
        <v>0.122132471770363</v>
      </c>
      <c r="Q40" s="12">
        <v>6.4862080854845933E-2</v>
      </c>
      <c r="R40" s="14">
        <v>29</v>
      </c>
    </row>
    <row r="41" spans="2:18" x14ac:dyDescent="0.5">
      <c r="B41" s="1" t="s">
        <v>121</v>
      </c>
      <c r="C41" t="s">
        <v>162</v>
      </c>
      <c r="D41" t="s">
        <v>98</v>
      </c>
      <c r="E41">
        <v>9.67</v>
      </c>
      <c r="F41" s="9" t="s">
        <v>68</v>
      </c>
      <c r="G41" s="7">
        <v>295882653696</v>
      </c>
      <c r="H41" s="6">
        <v>11.56</v>
      </c>
      <c r="I41" s="6">
        <v>5.88</v>
      </c>
      <c r="J41" s="12">
        <f t="shared" si="1"/>
        <v>0.64455782312925169</v>
      </c>
      <c r="K41" s="11">
        <v>0</v>
      </c>
      <c r="L41" s="13">
        <v>26994000000</v>
      </c>
      <c r="M41" s="13">
        <v>363169000000</v>
      </c>
      <c r="N41" s="9" t="s">
        <v>51</v>
      </c>
      <c r="O41" s="6">
        <v>1.0683760683760684</v>
      </c>
      <c r="P41" s="12">
        <v>9.3653995073074411E-2</v>
      </c>
      <c r="Q41" s="12">
        <v>7.4329031387590908E-2</v>
      </c>
      <c r="R41" s="14">
        <v>30</v>
      </c>
    </row>
    <row r="42" spans="2:18" x14ac:dyDescent="0.5">
      <c r="B42" s="1" t="s">
        <v>127</v>
      </c>
      <c r="C42" t="s">
        <v>170</v>
      </c>
      <c r="D42" t="s">
        <v>104</v>
      </c>
      <c r="E42">
        <v>8.4700000000000006</v>
      </c>
      <c r="F42" s="9" t="s">
        <v>68</v>
      </c>
      <c r="G42" s="7">
        <v>26426400768</v>
      </c>
      <c r="H42" s="6">
        <v>10.1</v>
      </c>
      <c r="I42" s="6">
        <v>5.6</v>
      </c>
      <c r="J42" s="12">
        <f t="shared" si="1"/>
        <v>0.51250000000000018</v>
      </c>
      <c r="K42" s="11">
        <v>3.7780401416765051E-2</v>
      </c>
      <c r="L42" s="13">
        <v>1990539000</v>
      </c>
      <c r="M42" s="13">
        <v>18620709000</v>
      </c>
      <c r="N42" s="9" t="s">
        <v>68</v>
      </c>
      <c r="O42" s="6">
        <v>1</v>
      </c>
      <c r="P42" s="12">
        <v>6.8216437993046053E-2</v>
      </c>
      <c r="Q42" s="12">
        <v>0.10689920561026972</v>
      </c>
      <c r="R42" s="14">
        <v>30</v>
      </c>
    </row>
    <row r="43" spans="2:18" x14ac:dyDescent="0.5">
      <c r="B43" s="1" t="s">
        <v>122</v>
      </c>
      <c r="C43" t="s">
        <v>163</v>
      </c>
      <c r="D43" t="s">
        <v>152</v>
      </c>
      <c r="E43">
        <v>31.9</v>
      </c>
      <c r="F43" s="9" t="s">
        <v>68</v>
      </c>
      <c r="G43" s="7">
        <v>111642984448</v>
      </c>
      <c r="H43" s="6">
        <v>37.25</v>
      </c>
      <c r="I43" s="6">
        <v>28.1</v>
      </c>
      <c r="J43" s="12">
        <f t="shared" si="1"/>
        <v>0.13523131672597843</v>
      </c>
      <c r="K43" s="11">
        <v>5.454545454545455E-2</v>
      </c>
      <c r="L43" s="13">
        <v>16863000000</v>
      </c>
      <c r="M43" s="13">
        <v>448320000000</v>
      </c>
      <c r="N43" s="9" t="s">
        <v>68</v>
      </c>
      <c r="O43" s="6">
        <v>1</v>
      </c>
      <c r="P43" s="12">
        <v>0.12659341147381301</v>
      </c>
      <c r="Q43" s="12">
        <v>3.7613758029978586E-2</v>
      </c>
      <c r="R43" s="14">
        <v>31</v>
      </c>
    </row>
    <row r="44" spans="2:18" x14ac:dyDescent="0.5">
      <c r="B44" s="1" t="s">
        <v>18</v>
      </c>
      <c r="C44" t="s">
        <v>67</v>
      </c>
      <c r="D44" t="s">
        <v>66</v>
      </c>
      <c r="E44">
        <v>50.45</v>
      </c>
      <c r="F44" s="9" t="s">
        <v>68</v>
      </c>
      <c r="G44" s="7">
        <v>137104433152</v>
      </c>
      <c r="H44" s="6">
        <v>82.25</v>
      </c>
      <c r="I44" s="6">
        <v>37.85</v>
      </c>
      <c r="J44" s="12">
        <f t="shared" si="1"/>
        <v>0.33289299867899613</v>
      </c>
      <c r="K44" s="11">
        <v>2.0812685827552031E-2</v>
      </c>
      <c r="L44" s="13">
        <v>6350637223.7200003</v>
      </c>
      <c r="M44" s="13">
        <v>57896384836.860001</v>
      </c>
      <c r="N44" s="9" t="s">
        <v>51</v>
      </c>
      <c r="O44" s="6">
        <v>1.0683760683760684</v>
      </c>
      <c r="P44" s="12">
        <v>6.4361071109758666E-2</v>
      </c>
      <c r="Q44" s="12">
        <v>0.10968970241604512</v>
      </c>
      <c r="R44" s="14">
        <v>32</v>
      </c>
    </row>
    <row r="45" spans="2:18" x14ac:dyDescent="0.5">
      <c r="B45" s="1" t="s">
        <v>117</v>
      </c>
      <c r="C45" t="s">
        <v>158</v>
      </c>
      <c r="D45" t="s">
        <v>152</v>
      </c>
      <c r="E45">
        <v>1.71</v>
      </c>
      <c r="F45" s="9" t="s">
        <v>68</v>
      </c>
      <c r="G45" s="7">
        <v>6086522880</v>
      </c>
      <c r="H45" s="6">
        <v>2.95</v>
      </c>
      <c r="I45" s="6">
        <v>1.37</v>
      </c>
      <c r="J45" s="12">
        <f t="shared" si="1"/>
        <v>0.24817518248175174</v>
      </c>
      <c r="K45" s="11">
        <v>5.4970760233918128E-2</v>
      </c>
      <c r="L45" s="13">
        <v>2220197000</v>
      </c>
      <c r="M45" s="13">
        <v>71097505000</v>
      </c>
      <c r="N45" s="9" t="s">
        <v>51</v>
      </c>
      <c r="O45" s="6">
        <v>1.0683760683760684</v>
      </c>
      <c r="P45" s="12">
        <v>0.12244255356679254</v>
      </c>
      <c r="Q45" s="12">
        <v>3.1227495254580313E-2</v>
      </c>
      <c r="R45" s="14">
        <v>33</v>
      </c>
    </row>
    <row r="46" spans="2:18" x14ac:dyDescent="0.5">
      <c r="B46" s="1" t="s">
        <v>128</v>
      </c>
      <c r="C46" t="s">
        <v>171</v>
      </c>
      <c r="D46" t="s">
        <v>172</v>
      </c>
      <c r="E46">
        <v>22.05</v>
      </c>
      <c r="F46" s="9" t="s">
        <v>68</v>
      </c>
      <c r="G46" s="7">
        <v>24438235136</v>
      </c>
      <c r="H46" s="6">
        <v>24.55</v>
      </c>
      <c r="I46" s="6">
        <v>14.52</v>
      </c>
      <c r="J46" s="12">
        <f t="shared" si="1"/>
        <v>0.51859504132231415</v>
      </c>
      <c r="K46" s="11">
        <v>4.2630385487528344E-2</v>
      </c>
      <c r="L46" s="13">
        <v>3838344000</v>
      </c>
      <c r="M46" s="13">
        <v>81520873000</v>
      </c>
      <c r="N46" s="9" t="s">
        <v>68</v>
      </c>
      <c r="O46" s="6">
        <v>1</v>
      </c>
      <c r="P46" s="12">
        <v>9.0835070261810882E-2</v>
      </c>
      <c r="Q46" s="12">
        <v>4.7084186647510511E-2</v>
      </c>
      <c r="R46" s="14">
        <v>34</v>
      </c>
    </row>
    <row r="47" spans="2:18" x14ac:dyDescent="0.5">
      <c r="B47" s="1" t="s">
        <v>129</v>
      </c>
      <c r="C47" t="s">
        <v>173</v>
      </c>
      <c r="D47" t="s">
        <v>98</v>
      </c>
      <c r="E47">
        <v>11.36</v>
      </c>
      <c r="F47" s="9" t="s">
        <v>68</v>
      </c>
      <c r="G47" s="7">
        <v>86056083456</v>
      </c>
      <c r="H47" s="6">
        <v>11.5</v>
      </c>
      <c r="I47" s="6">
        <v>8.48</v>
      </c>
      <c r="J47" s="12">
        <f t="shared" si="1"/>
        <v>0.33962264150943389</v>
      </c>
      <c r="K47" s="11">
        <v>6.9366197183098596E-2</v>
      </c>
      <c r="L47" s="13">
        <v>8154000000</v>
      </c>
      <c r="M47" s="13">
        <v>79588000000</v>
      </c>
      <c r="N47" s="9" t="s">
        <v>68</v>
      </c>
      <c r="O47" s="6">
        <v>1</v>
      </c>
      <c r="P47" s="12">
        <v>6.4020685879869976E-2</v>
      </c>
      <c r="Q47" s="12">
        <v>0.10245263104990703</v>
      </c>
      <c r="R47" s="14">
        <v>34</v>
      </c>
    </row>
    <row r="48" spans="2:18" x14ac:dyDescent="0.5">
      <c r="B48" s="1" t="s">
        <v>112</v>
      </c>
      <c r="C48" t="s">
        <v>150</v>
      </c>
      <c r="D48" t="s">
        <v>98</v>
      </c>
      <c r="E48">
        <v>5.96</v>
      </c>
      <c r="F48" s="9" t="s">
        <v>68</v>
      </c>
      <c r="G48" s="7">
        <v>754577702912</v>
      </c>
      <c r="H48" s="6">
        <v>6.98</v>
      </c>
      <c r="I48" s="6">
        <v>4.08</v>
      </c>
      <c r="J48" s="12">
        <f t="shared" si="1"/>
        <v>0.46078431372549011</v>
      </c>
      <c r="K48" s="11">
        <v>4.3624161073825503E-2</v>
      </c>
      <c r="L48" s="13">
        <v>44563000000</v>
      </c>
      <c r="M48" s="13">
        <v>463922000000</v>
      </c>
      <c r="N48" s="9" t="s">
        <v>51</v>
      </c>
      <c r="O48" s="6">
        <v>1.0683760683760684</v>
      </c>
      <c r="P48" s="12">
        <v>6.5072504456515662E-2</v>
      </c>
      <c r="Q48" s="12">
        <v>9.605709580489824E-2</v>
      </c>
      <c r="R48" s="14">
        <v>35</v>
      </c>
    </row>
    <row r="49" spans="2:18" x14ac:dyDescent="0.5">
      <c r="B49" s="1" t="s">
        <v>30</v>
      </c>
      <c r="C49" t="s">
        <v>92</v>
      </c>
      <c r="D49" t="s">
        <v>93</v>
      </c>
      <c r="E49">
        <v>1.46</v>
      </c>
      <c r="F49" s="9" t="s">
        <v>68</v>
      </c>
      <c r="G49" s="7">
        <v>7975293952</v>
      </c>
      <c r="H49" s="6">
        <v>1.82</v>
      </c>
      <c r="I49" s="6">
        <v>0.81</v>
      </c>
      <c r="J49" s="12">
        <f t="shared" si="1"/>
        <v>0.80246913580246892</v>
      </c>
      <c r="K49" s="11">
        <v>2.3287671232876714E-2</v>
      </c>
      <c r="L49" s="13">
        <v>1384865000</v>
      </c>
      <c r="M49" s="13">
        <v>23827484000</v>
      </c>
      <c r="N49" s="9" t="s">
        <v>51</v>
      </c>
      <c r="O49" s="6">
        <v>1.0683760683760684</v>
      </c>
      <c r="P49" s="12">
        <v>7.7509454513107826E-2</v>
      </c>
      <c r="Q49" s="12">
        <v>5.8120488088461209E-2</v>
      </c>
      <c r="R49" s="14">
        <v>36</v>
      </c>
    </row>
    <row r="50" spans="2:18" x14ac:dyDescent="0.5">
      <c r="B50" s="1" t="s">
        <v>139</v>
      </c>
      <c r="C50" t="s">
        <v>187</v>
      </c>
      <c r="D50" t="s">
        <v>87</v>
      </c>
      <c r="E50">
        <v>2</v>
      </c>
      <c r="F50" s="9" t="s">
        <v>68</v>
      </c>
      <c r="G50" s="7">
        <v>3556699904</v>
      </c>
      <c r="H50" s="6">
        <v>2.73</v>
      </c>
      <c r="I50" s="6">
        <v>1.79</v>
      </c>
      <c r="J50" s="12">
        <f t="shared" si="1"/>
        <v>0.11731843575418988</v>
      </c>
      <c r="K50" s="11">
        <v>2.8000000000000001E-2</v>
      </c>
      <c r="L50" s="13">
        <v>364157000</v>
      </c>
      <c r="M50" s="13">
        <v>7859317000</v>
      </c>
      <c r="N50" s="9" t="s">
        <v>51</v>
      </c>
      <c r="O50" s="6">
        <v>1.0683760683760684</v>
      </c>
      <c r="P50" s="12">
        <v>8.3392871887460709E-2</v>
      </c>
      <c r="Q50" s="12">
        <v>4.6334433386514377E-2</v>
      </c>
      <c r="R50" s="14">
        <v>37</v>
      </c>
    </row>
    <row r="51" spans="2:18" x14ac:dyDescent="0.5">
      <c r="B51" s="1" t="s">
        <v>134</v>
      </c>
      <c r="C51" t="s">
        <v>179</v>
      </c>
      <c r="D51" t="s">
        <v>98</v>
      </c>
      <c r="E51">
        <v>5.14</v>
      </c>
      <c r="F51" s="9" t="s">
        <v>68</v>
      </c>
      <c r="G51" s="7">
        <v>39789047808</v>
      </c>
      <c r="H51" s="6">
        <v>5.49</v>
      </c>
      <c r="I51" s="6">
        <v>3.8</v>
      </c>
      <c r="J51" s="12">
        <f t="shared" si="1"/>
        <v>0.35263157894736841</v>
      </c>
      <c r="K51" s="11">
        <v>7.4513618677042814E-2</v>
      </c>
      <c r="L51" s="13">
        <v>5474000000</v>
      </c>
      <c r="M51" s="13">
        <v>59407000000</v>
      </c>
      <c r="N51" s="9" t="s">
        <v>68</v>
      </c>
      <c r="O51" s="6">
        <v>1</v>
      </c>
      <c r="P51" s="12">
        <v>5.986305131194903E-2</v>
      </c>
      <c r="Q51" s="12">
        <v>9.2144023431582137E-2</v>
      </c>
      <c r="R51" s="14">
        <v>38</v>
      </c>
    </row>
    <row r="52" spans="2:18" x14ac:dyDescent="0.5">
      <c r="B52" s="1" t="s">
        <v>141</v>
      </c>
      <c r="C52" t="s">
        <v>189</v>
      </c>
      <c r="D52" t="s">
        <v>190</v>
      </c>
      <c r="E52">
        <v>2.12</v>
      </c>
      <c r="F52" s="9" t="s">
        <v>68</v>
      </c>
      <c r="G52" s="7">
        <v>9105399808</v>
      </c>
      <c r="H52" s="6">
        <v>3.04</v>
      </c>
      <c r="I52" s="6">
        <v>1.93</v>
      </c>
      <c r="J52" s="12">
        <f t="shared" si="1"/>
        <v>9.8445595854922407E-2</v>
      </c>
      <c r="K52" s="11">
        <v>5.0471698113207543E-2</v>
      </c>
      <c r="L52" s="13">
        <v>1938532000</v>
      </c>
      <c r="M52" s="13">
        <v>49986396000</v>
      </c>
      <c r="N52" s="9" t="s">
        <v>68</v>
      </c>
      <c r="O52" s="6">
        <v>1</v>
      </c>
      <c r="P52" s="12">
        <v>6.5415965529776049E-2</v>
      </c>
      <c r="Q52" s="12">
        <v>3.8781191586606881E-2</v>
      </c>
      <c r="R52" s="14">
        <v>39</v>
      </c>
    </row>
    <row r="53" spans="2:18" x14ac:dyDescent="0.5">
      <c r="B53" s="1" t="s">
        <v>33</v>
      </c>
      <c r="C53" t="s">
        <v>97</v>
      </c>
      <c r="D53" t="s">
        <v>98</v>
      </c>
      <c r="E53">
        <v>11.72</v>
      </c>
      <c r="F53" s="9" t="s">
        <v>68</v>
      </c>
      <c r="G53" s="7">
        <v>206281392128</v>
      </c>
      <c r="H53" s="6">
        <v>12.46</v>
      </c>
      <c r="I53" s="6">
        <v>9.1</v>
      </c>
      <c r="J53" s="12">
        <f t="shared" si="1"/>
        <v>0.287912087912088</v>
      </c>
      <c r="K53" s="11">
        <v>3.5580204778156994E-2</v>
      </c>
      <c r="L53" s="13">
        <v>16758000000</v>
      </c>
      <c r="M53" s="13">
        <v>269590000000</v>
      </c>
      <c r="N53" s="9" t="s">
        <v>51</v>
      </c>
      <c r="O53" s="6">
        <v>1.0683760683760684</v>
      </c>
      <c r="P53" s="12">
        <v>5.9210027773688667E-2</v>
      </c>
      <c r="Q53" s="12">
        <v>6.2161059386475759E-2</v>
      </c>
      <c r="R53" s="14">
        <v>40</v>
      </c>
    </row>
    <row r="54" spans="2:18" x14ac:dyDescent="0.5">
      <c r="B54" s="1" t="s">
        <v>26</v>
      </c>
      <c r="C54" t="s">
        <v>86</v>
      </c>
      <c r="D54" t="s">
        <v>87</v>
      </c>
      <c r="E54">
        <v>6.85</v>
      </c>
      <c r="F54" s="9" t="s">
        <v>68</v>
      </c>
      <c r="G54" s="7">
        <v>7148248576</v>
      </c>
      <c r="H54" s="6">
        <v>6.93</v>
      </c>
      <c r="I54" s="6">
        <v>4.0199999999999996</v>
      </c>
      <c r="J54" s="12">
        <f t="shared" si="1"/>
        <v>0.70398009950248763</v>
      </c>
      <c r="K54" s="11">
        <v>0</v>
      </c>
      <c r="L54" s="13">
        <v>303335000</v>
      </c>
      <c r="M54" s="13">
        <v>3620162000</v>
      </c>
      <c r="N54" s="9" t="s">
        <v>68</v>
      </c>
      <c r="O54" s="6">
        <v>1</v>
      </c>
      <c r="P54" s="12">
        <v>5.0102476266993719E-2</v>
      </c>
      <c r="Q54" s="12">
        <v>8.3790449156695201E-2</v>
      </c>
      <c r="R54" s="14">
        <v>41</v>
      </c>
    </row>
    <row r="55" spans="2:18" x14ac:dyDescent="0.5">
      <c r="B55" s="1" t="s">
        <v>114</v>
      </c>
      <c r="C55" t="s">
        <v>153</v>
      </c>
      <c r="D55" t="s">
        <v>154</v>
      </c>
      <c r="E55">
        <v>12.68</v>
      </c>
      <c r="F55" s="9" t="s">
        <v>68</v>
      </c>
      <c r="G55" s="7">
        <v>13022486528</v>
      </c>
      <c r="H55" s="6">
        <v>14.5</v>
      </c>
      <c r="I55" s="6">
        <v>10.36</v>
      </c>
      <c r="J55" s="12">
        <f t="shared" si="1"/>
        <v>0.22393822393822393</v>
      </c>
      <c r="K55" s="11">
        <v>8.5173501577287078E-2</v>
      </c>
      <c r="L55" s="13">
        <v>984000000</v>
      </c>
      <c r="M55" s="13">
        <v>101944000000</v>
      </c>
      <c r="N55" s="9" t="s">
        <v>68</v>
      </c>
      <c r="O55" s="6">
        <v>1</v>
      </c>
      <c r="P55" s="12">
        <v>2.59134992193472E-2</v>
      </c>
      <c r="Q55" s="12">
        <v>9.6523581574197593E-3</v>
      </c>
      <c r="R55" s="14">
        <v>42</v>
      </c>
    </row>
    <row r="56" spans="2:18" x14ac:dyDescent="0.5">
      <c r="B56" s="1" t="s">
        <v>196</v>
      </c>
      <c r="C56" t="s">
        <v>198</v>
      </c>
      <c r="D56" t="s">
        <v>199</v>
      </c>
      <c r="E56">
        <v>40.799999999999997</v>
      </c>
      <c r="F56" s="9" t="s">
        <v>68</v>
      </c>
      <c r="G56" s="7">
        <v>419697328128</v>
      </c>
      <c r="H56" s="6">
        <v>59.7</v>
      </c>
      <c r="I56" s="6">
        <v>15.24</v>
      </c>
      <c r="J56" s="12">
        <f t="shared" si="1"/>
        <v>1.6771653543307083</v>
      </c>
      <c r="K56" s="11">
        <v>0</v>
      </c>
      <c r="L56" s="13">
        <v>984027000</v>
      </c>
      <c r="M56" s="13">
        <v>32183526000</v>
      </c>
      <c r="N56" s="9" t="s">
        <v>72</v>
      </c>
      <c r="O56" s="6">
        <v>7.6923076923076916</v>
      </c>
      <c r="P56" s="12">
        <v>1.6457375883070016E-2</v>
      </c>
      <c r="Q56" s="12">
        <v>3.0575487595734537E-2</v>
      </c>
      <c r="R56" s="14">
        <v>43</v>
      </c>
    </row>
    <row r="57" spans="2:18" x14ac:dyDescent="0.5">
      <c r="B57" s="1" t="s">
        <v>131</v>
      </c>
      <c r="C57" t="s">
        <v>176</v>
      </c>
      <c r="D57" t="s">
        <v>175</v>
      </c>
      <c r="E57">
        <v>27.1</v>
      </c>
      <c r="F57" s="9" t="s">
        <v>68</v>
      </c>
      <c r="G57" s="7">
        <v>27676958720</v>
      </c>
      <c r="H57" s="6">
        <v>36</v>
      </c>
      <c r="I57" s="6">
        <v>22.4</v>
      </c>
      <c r="J57" s="12">
        <f t="shared" si="1"/>
        <v>0.2098214285714286</v>
      </c>
      <c r="K57" s="11">
        <v>0</v>
      </c>
      <c r="L57" s="13">
        <v>-90314000</v>
      </c>
      <c r="M57" s="13">
        <v>18374441000</v>
      </c>
      <c r="N57" s="9" t="s">
        <v>51</v>
      </c>
      <c r="O57" s="6">
        <v>1.0683760683760684</v>
      </c>
      <c r="P57" s="12">
        <v>-3.9598102780594776E-3</v>
      </c>
      <c r="Q57" s="12">
        <v>-4.9151971480384084E-3</v>
      </c>
      <c r="R57" s="14">
        <v>44</v>
      </c>
    </row>
  </sheetData>
  <autoFilter ref="B1:R21" xr:uid="{7A9EDF16-08C4-B24B-A5E4-CFD78B458569}">
    <sortState xmlns:xlrd2="http://schemas.microsoft.com/office/spreadsheetml/2017/richdata2" ref="B2:R58">
      <sortCondition ref="R1:R21"/>
    </sortState>
  </autoFilter>
  <conditionalFormatting sqref="J2:J1048576">
    <cfRule type="cellIs" dxfId="1" priority="1" operator="between">
      <formula>0.001%</formula>
      <formula>0.1</formula>
    </cfRule>
    <cfRule type="cellIs" dxfId="0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1"/>
  <sheetViews>
    <sheetView zoomScale="110" workbookViewId="0">
      <selection activeCell="A11" sqref="A1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58</v>
      </c>
      <c r="D2" t="s">
        <v>59</v>
      </c>
      <c r="E2">
        <v>128.15</v>
      </c>
      <c r="F2" s="9" t="s">
        <v>51</v>
      </c>
      <c r="G2" s="7">
        <v>497428299776</v>
      </c>
      <c r="H2" s="6">
        <v>178.76</v>
      </c>
      <c r="I2" s="6">
        <v>106.33</v>
      </c>
      <c r="J2" s="12">
        <f t="shared" ref="J2:J11" si="0">E2/I2-1</f>
        <v>0.20521019467694912</v>
      </c>
      <c r="K2" s="11">
        <v>4.4830277019118223E-2</v>
      </c>
      <c r="L2" s="13">
        <v>44203762134.690002</v>
      </c>
      <c r="M2" s="13">
        <v>133285282015.97</v>
      </c>
      <c r="N2" s="9" t="s">
        <v>51</v>
      </c>
      <c r="O2" s="6">
        <v>1</v>
      </c>
      <c r="P2" s="12">
        <v>0.11920159066804709</v>
      </c>
      <c r="Q2" s="12">
        <v>0.33164773684009302</v>
      </c>
      <c r="R2" s="14">
        <v>5</v>
      </c>
    </row>
    <row r="3" spans="2:22" x14ac:dyDescent="0.5">
      <c r="B3" s="1" t="s">
        <v>11</v>
      </c>
      <c r="C3" t="s">
        <v>57</v>
      </c>
      <c r="D3" t="s">
        <v>50</v>
      </c>
      <c r="E3">
        <v>8.5</v>
      </c>
      <c r="F3" s="9" t="s">
        <v>51</v>
      </c>
      <c r="G3" s="7">
        <v>14667599872</v>
      </c>
      <c r="H3" s="6">
        <v>9.76</v>
      </c>
      <c r="I3" s="6">
        <v>7.06</v>
      </c>
      <c r="J3" s="12">
        <f t="shared" si="0"/>
        <v>0.20396600566572243</v>
      </c>
      <c r="K3" s="11">
        <v>0</v>
      </c>
      <c r="L3" s="13">
        <v>1541495041.8099999</v>
      </c>
      <c r="M3" s="13">
        <v>11970268017.99</v>
      </c>
      <c r="N3" s="9" t="s">
        <v>51</v>
      </c>
      <c r="O3" s="6">
        <v>1</v>
      </c>
      <c r="P3" s="12">
        <v>0.19930343721694993</v>
      </c>
      <c r="Q3" s="12">
        <v>0.1287769864044232</v>
      </c>
      <c r="R3" s="14">
        <v>7</v>
      </c>
    </row>
    <row r="4" spans="2:22" x14ac:dyDescent="0.5">
      <c r="B4" s="1" t="s">
        <v>14</v>
      </c>
      <c r="C4" t="s">
        <v>62</v>
      </c>
      <c r="D4" t="s">
        <v>61</v>
      </c>
      <c r="E4">
        <v>12.28</v>
      </c>
      <c r="F4" s="9" t="s">
        <v>51</v>
      </c>
      <c r="G4" s="7">
        <v>12564895744</v>
      </c>
      <c r="H4" s="6">
        <v>13.58</v>
      </c>
      <c r="I4" s="6">
        <v>9.18</v>
      </c>
      <c r="J4" s="12">
        <f t="shared" si="0"/>
        <v>0.33769063180827885</v>
      </c>
      <c r="K4" s="11">
        <v>4.8859934853420196E-2</v>
      </c>
      <c r="L4" s="13">
        <v>1324661161.8800001</v>
      </c>
      <c r="M4" s="13">
        <v>11491269147.950001</v>
      </c>
      <c r="N4" s="9" t="s">
        <v>51</v>
      </c>
      <c r="O4" s="6">
        <v>1</v>
      </c>
      <c r="P4" s="12">
        <v>0.17844935968956624</v>
      </c>
      <c r="Q4" s="12">
        <v>0.11527544475940803</v>
      </c>
      <c r="R4" s="14">
        <v>12</v>
      </c>
    </row>
    <row r="5" spans="2:22" x14ac:dyDescent="0.5">
      <c r="B5" s="1" t="s">
        <v>13</v>
      </c>
      <c r="C5" t="s">
        <v>60</v>
      </c>
      <c r="D5" t="s">
        <v>61</v>
      </c>
      <c r="E5">
        <v>13.89</v>
      </c>
      <c r="F5" s="9" t="s">
        <v>51</v>
      </c>
      <c r="G5" s="7">
        <v>24946440192</v>
      </c>
      <c r="H5" s="6">
        <v>15.58</v>
      </c>
      <c r="I5" s="6">
        <v>11.47</v>
      </c>
      <c r="J5" s="12">
        <f t="shared" si="0"/>
        <v>0.2109851787271142</v>
      </c>
      <c r="K5" s="11">
        <v>3.9596832253419728E-2</v>
      </c>
      <c r="L5" s="13">
        <v>1789808265.4000001</v>
      </c>
      <c r="M5" s="13">
        <v>15580673812.24</v>
      </c>
      <c r="N5" s="9" t="s">
        <v>51</v>
      </c>
      <c r="O5" s="6">
        <v>1</v>
      </c>
      <c r="P5" s="12">
        <v>0.14270391389248785</v>
      </c>
      <c r="Q5" s="12">
        <v>0.11487361117809598</v>
      </c>
      <c r="R5" s="14">
        <v>16</v>
      </c>
    </row>
    <row r="6" spans="2:22" x14ac:dyDescent="0.5">
      <c r="B6" s="1" t="s">
        <v>10</v>
      </c>
      <c r="C6" t="s">
        <v>55</v>
      </c>
      <c r="D6" t="s">
        <v>56</v>
      </c>
      <c r="E6">
        <v>104.24</v>
      </c>
      <c r="F6" s="9" t="s">
        <v>51</v>
      </c>
      <c r="G6" s="7">
        <v>55394283520</v>
      </c>
      <c r="H6" s="6">
        <v>121.53</v>
      </c>
      <c r="I6" s="6">
        <v>50.21</v>
      </c>
      <c r="J6" s="12">
        <f t="shared" si="0"/>
        <v>1.0760804620593505</v>
      </c>
      <c r="K6" s="11">
        <v>2.0145817344589412E-2</v>
      </c>
      <c r="L6" s="13">
        <v>2351242906.4000001</v>
      </c>
      <c r="M6" s="13">
        <v>10336332783.18</v>
      </c>
      <c r="N6" s="9" t="s">
        <v>51</v>
      </c>
      <c r="O6" s="6">
        <v>1</v>
      </c>
      <c r="P6" s="12">
        <v>4.3143262796750632E-2</v>
      </c>
      <c r="Q6" s="12">
        <v>0.22747360748931247</v>
      </c>
      <c r="R6" s="14">
        <v>17</v>
      </c>
    </row>
    <row r="7" spans="2:22" x14ac:dyDescent="0.5">
      <c r="B7" s="1" t="s">
        <v>8</v>
      </c>
      <c r="C7" t="s">
        <v>49</v>
      </c>
      <c r="D7" t="s">
        <v>50</v>
      </c>
      <c r="E7">
        <v>243.01</v>
      </c>
      <c r="F7" s="9" t="s">
        <v>51</v>
      </c>
      <c r="G7" s="7">
        <v>44889538560</v>
      </c>
      <c r="H7" s="6">
        <v>333.5</v>
      </c>
      <c r="I7" s="6">
        <v>173</v>
      </c>
      <c r="J7" s="12">
        <f t="shared" si="0"/>
        <v>0.40468208092485547</v>
      </c>
      <c r="K7" s="11">
        <v>4.4031109830871161E-3</v>
      </c>
      <c r="L7" s="13">
        <v>2107869808</v>
      </c>
      <c r="M7" s="13">
        <v>12869225664</v>
      </c>
      <c r="N7" s="9" t="s">
        <v>51</v>
      </c>
      <c r="O7" s="6">
        <v>1</v>
      </c>
      <c r="P7" s="12">
        <v>4.8320112585649305E-2</v>
      </c>
      <c r="Q7" s="12">
        <v>0.16379150253744434</v>
      </c>
      <c r="R7" s="14">
        <v>19</v>
      </c>
    </row>
    <row r="8" spans="2:22" x14ac:dyDescent="0.5">
      <c r="B8" s="1" t="s">
        <v>15</v>
      </c>
      <c r="C8" t="s">
        <v>63</v>
      </c>
      <c r="D8" t="s">
        <v>61</v>
      </c>
      <c r="E8">
        <v>9.3800000000000008</v>
      </c>
      <c r="F8" s="9" t="s">
        <v>51</v>
      </c>
      <c r="G8" s="7">
        <v>11384037376</v>
      </c>
      <c r="H8" s="6">
        <v>10.27</v>
      </c>
      <c r="I8" s="6">
        <v>7.54</v>
      </c>
      <c r="J8" s="12">
        <f t="shared" si="0"/>
        <v>0.24403183023872699</v>
      </c>
      <c r="K8" s="11">
        <v>4.2643923240938165E-2</v>
      </c>
      <c r="L8" s="13">
        <v>1074859531.29</v>
      </c>
      <c r="M8" s="13">
        <v>9527311896.5100002</v>
      </c>
      <c r="N8" s="9" t="s">
        <v>51</v>
      </c>
      <c r="O8" s="6">
        <v>1</v>
      </c>
      <c r="P8" s="12">
        <v>0.11054322414135855</v>
      </c>
      <c r="Q8" s="12">
        <v>0.1128187617835559</v>
      </c>
      <c r="R8" s="14">
        <v>19</v>
      </c>
    </row>
    <row r="9" spans="2:22" x14ac:dyDescent="0.5">
      <c r="B9" s="1" t="s">
        <v>17</v>
      </c>
      <c r="C9" t="s">
        <v>65</v>
      </c>
      <c r="D9" t="s">
        <v>66</v>
      </c>
      <c r="E9">
        <v>12.53</v>
      </c>
      <c r="F9" s="9" t="s">
        <v>51</v>
      </c>
      <c r="G9" s="7">
        <v>4429643264</v>
      </c>
      <c r="H9" s="6">
        <v>14.68</v>
      </c>
      <c r="I9" s="6">
        <v>9.73</v>
      </c>
      <c r="J9" s="12">
        <f t="shared" si="0"/>
        <v>0.28776978417266186</v>
      </c>
      <c r="K9" s="11">
        <v>3.830806065442937E-2</v>
      </c>
      <c r="L9" s="13">
        <v>339663210.94999999</v>
      </c>
      <c r="M9" s="13">
        <v>2751572515.0799999</v>
      </c>
      <c r="N9" s="9" t="s">
        <v>51</v>
      </c>
      <c r="O9" s="6">
        <v>1</v>
      </c>
      <c r="P9" s="12">
        <v>9.6853042007053705E-2</v>
      </c>
      <c r="Q9" s="12">
        <v>0.12344330708657501</v>
      </c>
      <c r="R9" s="14">
        <v>19</v>
      </c>
    </row>
    <row r="10" spans="2:22" x14ac:dyDescent="0.5">
      <c r="B10" s="1" t="s">
        <v>16</v>
      </c>
      <c r="C10" t="s">
        <v>64</v>
      </c>
      <c r="D10" t="s">
        <v>61</v>
      </c>
      <c r="E10">
        <v>8.0299999999999994</v>
      </c>
      <c r="F10" s="9" t="s">
        <v>51</v>
      </c>
      <c r="G10" s="7">
        <v>17844426752</v>
      </c>
      <c r="H10" s="6">
        <v>10.53</v>
      </c>
      <c r="I10" s="6">
        <v>7.15</v>
      </c>
      <c r="J10" s="12">
        <f t="shared" si="0"/>
        <v>0.12307692307692286</v>
      </c>
      <c r="K10" s="11">
        <v>3.7359900373599007E-2</v>
      </c>
      <c r="L10" s="13">
        <v>1357643494.6700001</v>
      </c>
      <c r="M10" s="13">
        <v>13696300546.360001</v>
      </c>
      <c r="N10" s="9" t="s">
        <v>51</v>
      </c>
      <c r="O10" s="6">
        <v>1</v>
      </c>
      <c r="P10" s="12">
        <v>0.11452436086299177</v>
      </c>
      <c r="Q10" s="12">
        <v>9.9124832291360196E-2</v>
      </c>
      <c r="R10" s="14">
        <v>20</v>
      </c>
    </row>
    <row r="11" spans="2:22" x14ac:dyDescent="0.5">
      <c r="B11" s="1" t="s">
        <v>9</v>
      </c>
      <c r="C11" t="s">
        <v>53</v>
      </c>
      <c r="D11" t="s">
        <v>54</v>
      </c>
      <c r="E11">
        <v>57.36</v>
      </c>
      <c r="F11" s="9" t="s">
        <v>51</v>
      </c>
      <c r="G11" s="7">
        <v>32998920192</v>
      </c>
      <c r="H11" s="6">
        <v>68.39</v>
      </c>
      <c r="I11" s="6">
        <v>36.25</v>
      </c>
      <c r="J11" s="12">
        <f t="shared" si="0"/>
        <v>0.58234482758620687</v>
      </c>
      <c r="K11" s="11">
        <v>7.8451882845188281E-3</v>
      </c>
      <c r="L11" s="13">
        <v>939613185.05999994</v>
      </c>
      <c r="M11" s="13">
        <v>9067794807.8099995</v>
      </c>
      <c r="N11" s="9" t="s">
        <v>51</v>
      </c>
      <c r="O11" s="6">
        <v>1</v>
      </c>
      <c r="P11" s="12">
        <v>3.1437021734972918E-2</v>
      </c>
      <c r="Q11" s="12">
        <v>0.10362091390188061</v>
      </c>
      <c r="R11" s="14">
        <v>23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4"/>
  <sheetViews>
    <sheetView zoomScale="110" workbookViewId="0">
      <selection activeCell="D18" sqref="D18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40</v>
      </c>
      <c r="C2" t="s">
        <v>108</v>
      </c>
      <c r="D2" t="s">
        <v>109</v>
      </c>
      <c r="E2">
        <v>63.07</v>
      </c>
      <c r="F2" s="9" t="s">
        <v>72</v>
      </c>
      <c r="G2" s="7">
        <v>2609899776</v>
      </c>
      <c r="H2" s="6">
        <v>112.06</v>
      </c>
      <c r="I2" s="6">
        <v>45.55</v>
      </c>
      <c r="J2" s="12">
        <f t="shared" ref="J2:J4" si="0">E2/I2-1</f>
        <v>0.38463227222832064</v>
      </c>
      <c r="K2" s="11">
        <v>1.8392262565403519E-2</v>
      </c>
      <c r="L2" s="13">
        <v>503000000</v>
      </c>
      <c r="M2" s="13">
        <v>1851800000</v>
      </c>
      <c r="N2" s="9" t="s">
        <v>72</v>
      </c>
      <c r="O2" s="6">
        <v>1</v>
      </c>
      <c r="P2" s="12">
        <v>0.15788813967196411</v>
      </c>
      <c r="Q2" s="12">
        <v>0.27162760557295607</v>
      </c>
      <c r="R2" s="14">
        <v>3</v>
      </c>
    </row>
    <row r="3" spans="2:22" x14ac:dyDescent="0.5">
      <c r="B3" s="1" t="s">
        <v>39</v>
      </c>
      <c r="C3" t="s">
        <v>106</v>
      </c>
      <c r="D3" t="s">
        <v>107</v>
      </c>
      <c r="E3">
        <v>206.61</v>
      </c>
      <c r="F3" s="9" t="s">
        <v>72</v>
      </c>
      <c r="G3" s="7">
        <v>87313793024</v>
      </c>
      <c r="H3" s="6">
        <v>236.53</v>
      </c>
      <c r="I3" s="6">
        <v>103.69</v>
      </c>
      <c r="J3" s="12">
        <f t="shared" si="0"/>
        <v>0.99257401870961548</v>
      </c>
      <c r="K3" s="11">
        <v>4.8400367842795604E-3</v>
      </c>
      <c r="L3" s="13">
        <v>7886000000</v>
      </c>
      <c r="M3" s="13">
        <v>4294000000</v>
      </c>
      <c r="N3" s="9" t="s">
        <v>72</v>
      </c>
      <c r="O3" s="6">
        <v>1</v>
      </c>
      <c r="P3" s="12">
        <v>9.42233048803722E-2</v>
      </c>
      <c r="Q3" s="12">
        <v>1.8365160689333955</v>
      </c>
      <c r="R3" s="14">
        <v>8</v>
      </c>
    </row>
    <row r="4" spans="2:22" x14ac:dyDescent="0.5">
      <c r="B4" s="1" t="s">
        <v>38</v>
      </c>
      <c r="C4" t="s">
        <v>105</v>
      </c>
      <c r="D4" t="s">
        <v>87</v>
      </c>
      <c r="E4">
        <v>164</v>
      </c>
      <c r="F4" s="9" t="s">
        <v>72</v>
      </c>
      <c r="G4" s="7">
        <v>4521332224</v>
      </c>
      <c r="H4" s="6">
        <v>202.63</v>
      </c>
      <c r="I4" s="6">
        <v>156.13999999999999</v>
      </c>
      <c r="J4" s="12">
        <f t="shared" si="0"/>
        <v>5.0339438965031569E-2</v>
      </c>
      <c r="K4" s="11">
        <v>2.25609756097561E-2</v>
      </c>
      <c r="L4" s="13">
        <v>214237000</v>
      </c>
      <c r="M4" s="13">
        <v>925772000</v>
      </c>
      <c r="N4" s="9" t="s">
        <v>72</v>
      </c>
      <c r="O4" s="6">
        <v>1</v>
      </c>
      <c r="P4" s="12">
        <v>4.8518689182475233E-2</v>
      </c>
      <c r="Q4" s="12">
        <v>0.23141443033489886</v>
      </c>
      <c r="R4" s="14">
        <v>15</v>
      </c>
    </row>
  </sheetData>
  <autoFilter ref="B1:R4" xr:uid="{7A9EDF16-08C4-B24B-A5E4-CFD78B458569}">
    <sortState xmlns:xlrd2="http://schemas.microsoft.com/office/spreadsheetml/2017/richdata2" ref="B2:R4">
      <sortCondition ref="R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195</v>
      </c>
    </row>
    <row r="4" spans="2:2" x14ac:dyDescent="0.5">
      <c r="B4" t="s">
        <v>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2025-05-30T00:36:15Z</dcterms:modified>
</cp:coreProperties>
</file>