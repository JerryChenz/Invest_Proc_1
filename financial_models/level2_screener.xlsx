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DD897822-C852-4F25-BCBE-38DF87D4D60E}" xr6:coauthVersionLast="47" xr6:coauthVersionMax="47" xr10:uidLastSave="{00000000-0000-0000-0000-000000000000}"/>
  <bookViews>
    <workbookView xWindow="-28920" yWindow="6150" windowWidth="29040" windowHeight="15720" activeTab="2" xr2:uid="{F6774656-057E-A240-BF5A-628B92823BF8}"/>
  </bookViews>
  <sheets>
    <sheet name="hk_screener" sheetId="1" r:id="rId1"/>
    <sheet name="cn_screener" sheetId="3" r:id="rId2"/>
    <sheet name="us_screener" sheetId="4" r:id="rId3"/>
    <sheet name="Selected" sheetId="6" r:id="rId4"/>
    <sheet name="Note" sheetId="5" r:id="rId5"/>
  </sheets>
  <definedNames>
    <definedName name="_xlnm._FilterDatabase" localSheetId="1" hidden="1">cn_screener!$B$1:$R$11</definedName>
    <definedName name="_xlnm._FilterDatabase" localSheetId="0" hidden="1">hk_screener!$B$1:$R$19</definedName>
    <definedName name="_xlnm._FilterDatabase" localSheetId="2" hidden="1">us_screener!$B$1:$R$4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4" l="1"/>
  <c r="J4" i="4"/>
  <c r="J5" i="4"/>
  <c r="J8" i="4"/>
  <c r="J12" i="4"/>
  <c r="J19" i="4"/>
  <c r="J16" i="4"/>
  <c r="J7" i="4"/>
  <c r="J22" i="4"/>
  <c r="J27" i="4"/>
  <c r="J21" i="4"/>
  <c r="J13" i="4"/>
  <c r="J49" i="4"/>
  <c r="J33" i="4"/>
  <c r="J37" i="4"/>
  <c r="J58" i="4"/>
  <c r="J29" i="4"/>
  <c r="J32" i="4"/>
  <c r="J52" i="4"/>
  <c r="J46" i="4"/>
  <c r="J36" i="4"/>
  <c r="J73" i="4"/>
  <c r="J41" i="4"/>
  <c r="J55" i="4"/>
  <c r="J62" i="4"/>
  <c r="J59" i="4"/>
  <c r="J60" i="4"/>
  <c r="J63" i="4"/>
  <c r="J68" i="4"/>
  <c r="J97" i="4"/>
  <c r="J91" i="4"/>
  <c r="J101" i="4"/>
  <c r="J108" i="4"/>
  <c r="J109" i="4"/>
  <c r="J110" i="4"/>
  <c r="J64" i="4"/>
  <c r="J54" i="4"/>
  <c r="J50" i="4"/>
  <c r="J69" i="4"/>
  <c r="J92" i="4"/>
  <c r="J85" i="4"/>
  <c r="J102" i="4"/>
  <c r="J100" i="4"/>
  <c r="J87" i="4"/>
  <c r="J67" i="4"/>
  <c r="J94" i="4"/>
  <c r="J106" i="4"/>
  <c r="J78" i="4"/>
  <c r="J25" i="4"/>
  <c r="J34" i="4"/>
  <c r="J90" i="4"/>
  <c r="J17" i="4"/>
  <c r="J40" i="4"/>
  <c r="J38" i="4"/>
  <c r="J28" i="4"/>
  <c r="J65" i="4"/>
  <c r="J66" i="4"/>
  <c r="J61" i="4"/>
  <c r="J74" i="4"/>
  <c r="J93" i="4"/>
  <c r="J86" i="4"/>
  <c r="J80" i="4"/>
  <c r="J111" i="4"/>
  <c r="J98" i="4"/>
  <c r="J18" i="4"/>
  <c r="J71" i="4"/>
  <c r="J81" i="4"/>
  <c r="J53" i="4"/>
  <c r="J84" i="4"/>
  <c r="J10" i="4"/>
  <c r="J24" i="4"/>
  <c r="J42" i="4"/>
  <c r="J112" i="4"/>
  <c r="J83" i="4"/>
  <c r="J20" i="4"/>
  <c r="J89" i="4"/>
  <c r="J107" i="4"/>
  <c r="J88" i="4"/>
  <c r="J11" i="4"/>
  <c r="J56" i="4"/>
  <c r="J113" i="4"/>
  <c r="J30" i="4"/>
  <c r="J51" i="4"/>
  <c r="J82" i="4"/>
  <c r="J114" i="4"/>
  <c r="J75" i="4"/>
  <c r="J104" i="4"/>
  <c r="J79" i="4"/>
  <c r="J15" i="4"/>
  <c r="J57" i="4"/>
  <c r="J77" i="4"/>
  <c r="J31" i="4"/>
  <c r="J14" i="4"/>
  <c r="J43" i="4"/>
  <c r="J23" i="4"/>
  <c r="J47" i="4"/>
  <c r="J76" i="4"/>
  <c r="J44" i="4"/>
  <c r="J3" i="4"/>
  <c r="J103" i="4"/>
  <c r="J70" i="4"/>
  <c r="J72" i="4"/>
  <c r="J39" i="4"/>
  <c r="J96" i="4"/>
  <c r="J115" i="4"/>
  <c r="J6" i="4"/>
  <c r="J26" i="4"/>
  <c r="J95" i="4"/>
  <c r="J48" i="4"/>
  <c r="J45" i="4"/>
  <c r="J9" i="4"/>
  <c r="J99" i="4"/>
  <c r="J35" i="4"/>
  <c r="J105" i="4"/>
  <c r="J2" i="3"/>
  <c r="J3" i="3"/>
  <c r="J4" i="3"/>
  <c r="J5" i="3"/>
  <c r="J6" i="3"/>
  <c r="J7" i="3"/>
  <c r="J8" i="3"/>
  <c r="J10" i="3"/>
  <c r="J9" i="3"/>
  <c r="J11" i="3"/>
  <c r="J12" i="3"/>
  <c r="J13" i="3"/>
  <c r="J14" i="3"/>
  <c r="J15" i="3"/>
  <c r="J16" i="3"/>
  <c r="J17" i="3"/>
  <c r="J18" i="3"/>
  <c r="J19" i="3"/>
  <c r="J20" i="3"/>
  <c r="J23" i="3"/>
  <c r="J21" i="3"/>
  <c r="J22" i="3"/>
  <c r="J24" i="3"/>
  <c r="J25" i="3"/>
  <c r="J28" i="3"/>
  <c r="J27" i="3"/>
  <c r="J29" i="3"/>
  <c r="J30" i="3"/>
  <c r="J31" i="3"/>
  <c r="J32" i="3"/>
  <c r="J34" i="3"/>
  <c r="J33" i="3"/>
  <c r="J35" i="3"/>
  <c r="J37" i="3"/>
  <c r="J38" i="3"/>
  <c r="J39" i="3"/>
  <c r="J40" i="3"/>
  <c r="J42" i="3"/>
  <c r="J43" i="3"/>
  <c r="J44" i="3"/>
  <c r="J45" i="3"/>
  <c r="J48" i="3"/>
  <c r="J46" i="3"/>
  <c r="J47" i="3"/>
  <c r="J49" i="3"/>
  <c r="J50" i="3"/>
  <c r="J51" i="3"/>
  <c r="J52" i="3"/>
  <c r="J53" i="3"/>
  <c r="J54" i="3"/>
  <c r="J57" i="3"/>
  <c r="J59" i="3"/>
  <c r="J60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41" i="3"/>
  <c r="J26" i="3"/>
  <c r="J58" i="3"/>
  <c r="J56" i="3"/>
  <c r="J55" i="3"/>
  <c r="J63" i="3"/>
  <c r="J61" i="3"/>
  <c r="J36" i="3"/>
  <c r="J62" i="3"/>
  <c r="J2" i="1"/>
  <c r="J3" i="1"/>
  <c r="J4" i="1"/>
  <c r="J5" i="1"/>
  <c r="J6" i="1"/>
  <c r="J7" i="1"/>
  <c r="J9" i="1"/>
  <c r="J8" i="1"/>
  <c r="J10" i="1"/>
  <c r="J11" i="1"/>
  <c r="J13" i="1"/>
  <c r="J12" i="1"/>
  <c r="J14" i="1"/>
  <c r="J17" i="1"/>
  <c r="J15" i="1"/>
  <c r="J16" i="1"/>
  <c r="J18" i="1"/>
  <c r="J21" i="1"/>
  <c r="J19" i="1"/>
  <c r="J22" i="1"/>
  <c r="J24" i="1"/>
  <c r="J23" i="1"/>
  <c r="J20" i="1"/>
  <c r="J26" i="1"/>
  <c r="J25" i="1"/>
  <c r="J27" i="1"/>
  <c r="J28" i="1"/>
  <c r="J29" i="1"/>
  <c r="J32" i="1"/>
  <c r="J30" i="1"/>
  <c r="J31" i="1"/>
  <c r="J33" i="1"/>
  <c r="J39" i="1"/>
  <c r="J35" i="1"/>
  <c r="J36" i="1"/>
  <c r="J34" i="1"/>
  <c r="J37" i="1"/>
  <c r="J38" i="1"/>
  <c r="J41" i="1"/>
  <c r="J40" i="1"/>
  <c r="J42" i="1"/>
  <c r="J43" i="1"/>
  <c r="J44" i="1"/>
  <c r="J45" i="1"/>
  <c r="J47" i="1"/>
  <c r="J49" i="1"/>
  <c r="J48" i="1"/>
  <c r="J51" i="1"/>
  <c r="J50" i="1"/>
  <c r="J53" i="1"/>
  <c r="J46" i="1"/>
  <c r="J52" i="1"/>
  <c r="J54" i="1"/>
  <c r="J55" i="1"/>
  <c r="J56" i="1"/>
  <c r="J57" i="1"/>
  <c r="J58" i="1"/>
  <c r="J60" i="1"/>
  <c r="J59" i="1"/>
  <c r="J61" i="1"/>
  <c r="J62" i="1"/>
  <c r="J63" i="1"/>
  <c r="J64" i="1"/>
  <c r="J65" i="1"/>
  <c r="J66" i="1"/>
  <c r="J67" i="1"/>
  <c r="J68" i="1"/>
  <c r="J69" i="1"/>
  <c r="J71" i="1"/>
  <c r="J70" i="1"/>
  <c r="J72" i="1"/>
  <c r="J73" i="1"/>
  <c r="J74" i="1"/>
  <c r="J76" i="1"/>
  <c r="J77" i="1"/>
  <c r="J78" i="1"/>
  <c r="J80" i="1"/>
  <c r="J75" i="1"/>
  <c r="J79" i="1"/>
  <c r="J81" i="1"/>
  <c r="J82" i="1"/>
  <c r="J83" i="1"/>
  <c r="J84" i="1"/>
  <c r="J85" i="1"/>
  <c r="J87" i="1"/>
  <c r="J86" i="1"/>
  <c r="J88" i="1"/>
  <c r="J89" i="1"/>
  <c r="J90" i="1"/>
  <c r="J91" i="1"/>
  <c r="J92" i="1"/>
  <c r="J93" i="1"/>
  <c r="J94" i="1"/>
  <c r="J96" i="1"/>
  <c r="J100" i="1"/>
  <c r="J97" i="1"/>
  <c r="J98" i="1"/>
  <c r="J95" i="1"/>
  <c r="J99" i="1"/>
  <c r="J101" i="1"/>
  <c r="J102" i="1"/>
  <c r="J103" i="1"/>
  <c r="J104" i="1"/>
  <c r="J105" i="1"/>
  <c r="J106" i="1"/>
  <c r="J107" i="1"/>
  <c r="J108" i="1"/>
  <c r="J109" i="1"/>
  <c r="J110" i="1"/>
  <c r="J112" i="1"/>
  <c r="J111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</calcChain>
</file>

<file path=xl/sharedStrings.xml><?xml version="1.0" encoding="utf-8"?>
<sst xmlns="http://schemas.openxmlformats.org/spreadsheetml/2006/main" count="1655" uniqueCount="762">
  <si>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</si>
  <si>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</si>
  <si>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</si>
  <si>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</si>
  <si>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</si>
  <si>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</si>
  <si>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</si>
  <si>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</si>
  <si>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</si>
  <si>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</si>
  <si>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</si>
  <si>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</si>
  <si>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</si>
  <si>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</si>
  <si>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</si>
  <si>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</si>
  <si>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</si>
  <si>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</si>
  <si>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</si>
  <si>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</si>
  <si>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</si>
  <si>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</si>
  <si>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</si>
  <si>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</si>
  <si>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</si>
  <si>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</si>
  <si>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</si>
  <si>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</si>
  <si>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</si>
  <si>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</si>
  <si>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</si>
  <si>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</si>
  <si>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</si>
  <si>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</si>
  <si>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</si>
  <si>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</si>
  <si>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</si>
  <si>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</si>
  <si>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</si>
  <si>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</si>
  <si>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</si>
  <si>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</si>
  <si>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</si>
  <si>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</si>
  <si>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</si>
  <si>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</si>
  <si>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</si>
  <si>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</si>
  <si>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</si>
  <si>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</si>
  <si>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</si>
  <si>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</si>
  <si>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</si>
  <si>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</si>
  <si>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</si>
  <si>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</si>
  <si>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</si>
  <si>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</si>
  <si>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</si>
  <si>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</si>
  <si>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</si>
  <si>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</si>
  <si>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</si>
  <si>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</si>
  <si>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</si>
  <si>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</si>
  <si>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</si>
  <si>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</si>
  <si>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</si>
  <si>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</si>
  <si>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</si>
  <si>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</si>
  <si>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</si>
  <si>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</si>
  <si>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</si>
  <si>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</si>
  <si>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</si>
  <si>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</si>
  <si>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</si>
  <si>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</si>
  <si>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</si>
  <si>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ZMJ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</si>
  <si>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</si>
  <si>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</si>
  <si>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</si>
  <si>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</si>
  <si>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</si>
  <si>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</si>
  <si>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</si>
  <si>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</si>
  <si>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</si>
  <si>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</si>
  <si>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</si>
  <si>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</si>
  <si>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</si>
  <si>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</si>
  <si>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</si>
  <si>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</si>
  <si>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</si>
  <si>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</si>
  <si>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</si>
  <si>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</si>
  <si>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</si>
  <si>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</si>
  <si>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</si>
  <si>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</si>
  <si>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</si>
  <si>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</si>
  <si>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</si>
  <si>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</si>
  <si>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</si>
  <si>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</si>
  <si>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</si>
  <si>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</si>
  <si>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</si>
  <si>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</si>
  <si>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</si>
  <si>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</si>
  <si>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</si>
  <si>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</si>
  <si>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</si>
  <si>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</si>
  <si>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</si>
  <si>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</si>
  <si>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</si>
  <si>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</si>
  <si>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</si>
  <si>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</si>
  <si>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</si>
  <si>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</si>
  <si>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</si>
  <si>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</si>
  <si>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</si>
  <si>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</si>
  <si>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</si>
  <si>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</si>
  <si>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</si>
  <si>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</si>
  <si>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</si>
  <si>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</si>
  <si>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</si>
  <si>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</si>
  <si>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</si>
  <si>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</si>
  <si>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</si>
  <si>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</si>
  <si>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</si>
  <si>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</si>
  <si>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</si>
  <si>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</si>
  <si>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</si>
  <si>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</si>
  <si>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</si>
  <si>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</si>
  <si>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</si>
  <si>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</si>
  <si>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</si>
  <si>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</si>
  <si>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</si>
  <si>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</si>
  <si>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</si>
  <si>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</si>
  <si>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</si>
  <si>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</si>
  <si>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</si>
  <si>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</si>
  <si>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</si>
  <si>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</si>
  <si>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</si>
  <si>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</si>
  <si>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</si>
  <si>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</si>
  <si>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</si>
  <si>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</si>
  <si>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</si>
  <si>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</si>
  <si>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</si>
  <si>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</si>
  <si>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</si>
  <si>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</si>
  <si>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</si>
  <si>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</si>
  <si>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</si>
  <si>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</si>
  <si>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</si>
  <si>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</si>
  <si>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</si>
  <si>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</si>
  <si>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</si>
  <si>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</si>
  <si>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</si>
  <si>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</si>
  <si>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</si>
  <si>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</si>
  <si>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</si>
  <si>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</si>
  <si>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</si>
  <si>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</si>
  <si>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</si>
  <si>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</si>
  <si>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</si>
  <si>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</si>
  <si>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</si>
  <si>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</si>
  <si>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</si>
  <si>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</si>
  <si>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</si>
  <si>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</si>
  <si>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</si>
  <si>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</si>
  <si>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</si>
  <si>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</si>
  <si>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</si>
  <si>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</si>
  <si>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</si>
  <si>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</si>
  <si>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</si>
  <si>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</si>
  <si>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</si>
  <si>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</si>
  <si>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</si>
  <si>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</si>
  <si>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</si>
  <si>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</si>
  <si>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</si>
  <si>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</si>
  <si>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</si>
  <si>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</si>
  <si>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</si>
  <si>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</si>
  <si>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</si>
  <si>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</si>
  <si>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</si>
  <si>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</si>
  <si>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</si>
  <si>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</si>
  <si>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</si>
  <si>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</si>
  <si>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</si>
  <si>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</si>
  <si>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</si>
  <si>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</si>
  <si>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</si>
  <si>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</si>
  <si>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</si>
  <si>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</si>
  <si>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</si>
  <si>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</si>
  <si>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</si>
  <si>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</si>
  <si>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</si>
  <si>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</si>
  <si>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</si>
  <si>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</si>
  <si>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</si>
  <si>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</si>
  <si>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</si>
  <si>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</si>
  <si>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</si>
  <si>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</si>
  <si>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</si>
  <si>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</si>
  <si>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</si>
  <si>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</si>
  <si>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</si>
  <si>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</si>
  <si>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</si>
  <si>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</si>
  <si>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</si>
  <si>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</si>
  <si>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</si>
  <si>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</si>
  <si>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</si>
  <si>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</si>
  <si>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</si>
  <si>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</si>
  <si>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</si>
  <si>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</si>
  <si>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</si>
  <si>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</si>
  <si>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</si>
  <si>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1263.HK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</si>
  <si>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</si>
  <si>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</si>
  <si>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</si>
  <si>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</si>
  <si>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</si>
  <si>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</si>
  <si>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</si>
  <si>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</si>
  <si>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</si>
  <si>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</si>
  <si>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0816.HK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</si>
  <si>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</si>
  <si>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</si>
  <si>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</si>
  <si>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</si>
  <si>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</si>
  <si>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</si>
  <si>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</si>
  <si>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</si>
  <si>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</si>
  <si>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</si>
  <si>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</si>
  <si>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</si>
  <si>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</si>
  <si>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</si>
  <si>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</si>
  <si>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</si>
  <si>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</si>
  <si>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</si>
  <si>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</si>
  <si>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</si>
  <si>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</si>
  <si>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</si>
  <si>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</si>
  <si>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</si>
  <si>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</si>
  <si>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</si>
  <si>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</si>
  <si>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</si>
  <si>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</si>
  <si>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</si>
  <si>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</si>
  <si>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</si>
  <si>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</si>
  <si>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</si>
  <si>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</si>
  <si>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</si>
  <si>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</si>
  <si>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</si>
  <si>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</si>
  <si>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</si>
  <si>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</si>
  <si>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</si>
  <si>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</si>
  <si>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PC PARTNER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</si>
  <si>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</si>
  <si>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</si>
  <si>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</si>
  <si>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</si>
  <si>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</si>
  <si>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</si>
  <si>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</si>
  <si>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</si>
  <si>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</si>
  <si>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</si>
  <si>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JINMAO SERVICES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</si>
  <si>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</si>
  <si>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</si>
  <si>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</si>
  <si>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</si>
  <si>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</si>
  <si>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</si>
  <si>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</si>
  <si>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</si>
  <si>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</si>
  <si>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</si>
  <si>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</si>
  <si>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</si>
  <si>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</si>
  <si>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</si>
  <si>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</si>
  <si>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</si>
  <si>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</si>
  <si>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</si>
  <si>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</si>
  <si>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</si>
  <si>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</si>
  <si>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</si>
  <si>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</si>
  <si>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</si>
  <si>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</si>
  <si>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</si>
  <si>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</si>
  <si>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</si>
  <si>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</si>
  <si>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</si>
  <si>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</si>
  <si>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</si>
  <si>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</si>
  <si>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</si>
  <si>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</si>
  <si>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</si>
  <si>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</si>
  <si>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</si>
  <si>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</si>
  <si>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</si>
  <si>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</si>
  <si>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</si>
  <si>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</si>
  <si>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</si>
  <si>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</si>
  <si>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</si>
  <si>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</si>
  <si>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</si>
  <si>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</si>
  <si>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</si>
  <si>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</si>
  <si>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</si>
  <si>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</si>
  <si>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</si>
  <si>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</si>
  <si>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</si>
  <si>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</si>
  <si>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</si>
  <si>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</si>
  <si>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</si>
  <si>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</si>
  <si>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</si>
  <si>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</si>
  <si>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</si>
  <si>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</si>
  <si>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</si>
  <si>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</si>
  <si>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</si>
  <si>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</si>
  <si>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</si>
  <si>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</si>
  <si>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</si>
  <si>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</si>
  <si>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</si>
  <si>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</si>
  <si>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</si>
  <si>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</si>
  <si>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</si>
  <si>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</si>
  <si>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</si>
  <si>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</si>
  <si>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</si>
  <si>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</si>
  <si>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</si>
  <si>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</si>
  <si>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</si>
  <si>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</si>
  <si>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</si>
  <si>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</si>
  <si>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</si>
  <si>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</si>
  <si>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Code</t>
  </si>
  <si>
    <t>中国海油</t>
  </si>
  <si>
    <t>0883.HK</t>
  </si>
  <si>
    <t>600938.SS</t>
  </si>
  <si>
    <t>80883.HK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</si>
  <si>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</si>
  <si>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</si>
  <si>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</si>
  <si>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</si>
  <si>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</si>
  <si>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</si>
  <si>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</si>
  <si>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</si>
  <si>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</si>
  <si>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</si>
  <si>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</si>
  <si>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</si>
  <si>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</si>
  <si>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</si>
  <si>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</si>
  <si>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</si>
  <si>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</si>
  <si>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</si>
  <si>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</si>
  <si>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</si>
  <si>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</si>
  <si>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</si>
  <si>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</si>
  <si>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</si>
  <si>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</si>
  <si>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</si>
  <si>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</si>
  <si>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</si>
  <si>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</si>
  <si>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</si>
  <si>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</si>
  <si>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</si>
  <si>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</si>
  <si>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</si>
  <si>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</si>
  <si>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</si>
  <si>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</si>
  <si>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</si>
  <si>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</si>
  <si>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</si>
  <si>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</si>
  <si>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</si>
  <si>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</si>
  <si>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</si>
  <si>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</si>
  <si>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</si>
  <si>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</si>
  <si>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</si>
  <si>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</si>
  <si>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</si>
  <si>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</si>
  <si>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</si>
  <si>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</si>
  <si>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</si>
  <si>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</si>
  <si>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</si>
  <si>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</si>
  <si>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</si>
  <si>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</si>
  <si>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</si>
  <si>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</si>
  <si>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</si>
  <si>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</si>
  <si>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</si>
  <si>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</si>
  <si>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</si>
  <si>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</si>
  <si>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</si>
  <si>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</si>
  <si>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</si>
  <si>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</si>
  <si>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</si>
  <si>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600328.SS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</si>
  <si>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</si>
  <si>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</si>
  <si>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</si>
  <si>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</si>
  <si>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</si>
  <si>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</si>
  <si>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</si>
  <si>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</si>
  <si>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</si>
  <si>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</si>
  <si>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</si>
  <si>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</si>
  <si>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</si>
  <si>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</si>
  <si>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</si>
  <si>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</si>
  <si>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</si>
  <si>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</si>
  <si>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</si>
  <si>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</si>
  <si>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</si>
  <si>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</si>
  <si>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</si>
  <si>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</si>
  <si>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</si>
  <si>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</si>
  <si>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</si>
  <si>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</si>
  <si>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</si>
  <si>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LIFE INSURANCE CO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</si>
  <si>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</si>
  <si>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</si>
  <si>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</si>
  <si>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</si>
  <si>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</si>
  <si>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</si>
  <si>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</si>
  <si>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</si>
  <si>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&amp;#20013;&amp;#30416;&amp;#21270;&amp;#24037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</si>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</sst>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2" fillId="0" borderId="0" xfId="0" applyFont="1" applyAlignment="1">
      <alignment horizontal="center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28"/>
  <sheetViews>
    <sheetView zoomScale="70" zoomScaleNormal="7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134" sqref="G134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292</v>
      </c>
      <c r="C2" t="s">
        <v>347</v>
      </c>
      <c r="D2" t="s">
        <v>151</v>
      </c>
      <c r="E2">
        <v>2.76</v>
      </c>
      <c r="F2" s="9" t="s">
        <v>67</v>
      </c>
      <c r="G2" s="7">
        <v>2495561728</v>
      </c>
      <c r="H2" s="6">
        <v>3.5</v>
      </c>
      <c r="I2" s="6">
        <v>2.39</v>
      </c>
      <c r="J2" s="12">
        <f t="shared" ref="J2:J33" si="0">E2/I2-1</f>
        <v>0.15481171548117145</v>
      </c>
      <c r="K2" s="11">
        <v>6.1594202898550734E-2</v>
      </c>
      <c r="L2" s="13">
        <v>504294000</v>
      </c>
      <c r="M2" s="13">
        <v>1704754000</v>
      </c>
      <c r="N2" s="9" t="s">
        <v>50</v>
      </c>
      <c r="O2" s="6">
        <v>1.0683760683760684</v>
      </c>
      <c r="P2" s="12">
        <v>0.43510913390596101</v>
      </c>
      <c r="Q2" s="12">
        <v>0.29581628786323422</v>
      </c>
      <c r="R2" s="14">
        <v>1</v>
      </c>
    </row>
    <row r="3" spans="2:22" x14ac:dyDescent="0.5">
      <c r="B3" s="1" t="s">
        <v>21</v>
      </c>
      <c r="C3" t="s">
        <v>75</v>
      </c>
      <c r="D3" t="s">
        <v>76</v>
      </c>
      <c r="E3">
        <v>13.66</v>
      </c>
      <c r="F3" s="9" t="s">
        <v>67</v>
      </c>
      <c r="G3" s="7">
        <v>249036750848</v>
      </c>
      <c r="H3" s="6">
        <v>15.6</v>
      </c>
      <c r="I3" s="6">
        <v>9.8000000000000007</v>
      </c>
      <c r="J3" s="12">
        <f t="shared" si="0"/>
        <v>0.393877551020408</v>
      </c>
      <c r="K3" s="11">
        <v>0.116398243045388</v>
      </c>
      <c r="L3" s="13">
        <v>70144988000</v>
      </c>
      <c r="M3" s="13">
        <v>269343749000</v>
      </c>
      <c r="N3" s="9" t="s">
        <v>50</v>
      </c>
      <c r="O3" s="6">
        <v>1.0683760683760684</v>
      </c>
      <c r="P3" s="12">
        <v>0.56056977294454813</v>
      </c>
      <c r="Q3" s="12">
        <v>0.26042924055386191</v>
      </c>
      <c r="R3" s="14">
        <v>2</v>
      </c>
    </row>
    <row r="4" spans="2:22" x14ac:dyDescent="0.5">
      <c r="B4" s="1" t="s">
        <v>109</v>
      </c>
      <c r="C4" t="s">
        <v>145</v>
      </c>
      <c r="D4" t="s">
        <v>146</v>
      </c>
      <c r="E4">
        <v>4.2</v>
      </c>
      <c r="F4" s="9" t="s">
        <v>67</v>
      </c>
      <c r="G4" s="7">
        <v>11748337664</v>
      </c>
      <c r="H4" s="6">
        <v>5.2</v>
      </c>
      <c r="I4" s="6">
        <v>2.36</v>
      </c>
      <c r="J4" s="12">
        <f t="shared" si="0"/>
        <v>0.77966101694915269</v>
      </c>
      <c r="K4" s="11">
        <v>3.6428571428571428E-2</v>
      </c>
      <c r="L4" s="13">
        <v>1871151000</v>
      </c>
      <c r="M4" s="13">
        <v>6461978000</v>
      </c>
      <c r="N4" s="9" t="s">
        <v>50</v>
      </c>
      <c r="O4" s="6">
        <v>1.0683760683760684</v>
      </c>
      <c r="P4" s="12">
        <v>0.26474961331916119</v>
      </c>
      <c r="Q4" s="12">
        <v>0.28956319566547578</v>
      </c>
      <c r="R4" s="14">
        <v>3</v>
      </c>
    </row>
    <row r="5" spans="2:22" x14ac:dyDescent="0.5">
      <c r="B5" s="1" t="s">
        <v>196</v>
      </c>
      <c r="C5" t="s">
        <v>218</v>
      </c>
      <c r="D5" t="s">
        <v>76</v>
      </c>
      <c r="E5">
        <v>136</v>
      </c>
      <c r="F5" s="9" t="s">
        <v>67</v>
      </c>
      <c r="G5" s="7">
        <v>89810771968</v>
      </c>
      <c r="H5" s="6">
        <v>149.5</v>
      </c>
      <c r="I5" s="6">
        <v>93</v>
      </c>
      <c r="J5" s="12">
        <f t="shared" si="0"/>
        <v>0.4623655913978495</v>
      </c>
      <c r="K5" s="11">
        <v>1.4999999999999999E-2</v>
      </c>
      <c r="L5" s="13">
        <v>2635100000</v>
      </c>
      <c r="M5" s="13">
        <v>13245550000</v>
      </c>
      <c r="N5" s="9" t="s">
        <v>71</v>
      </c>
      <c r="O5" s="6">
        <v>7.6923076923076916</v>
      </c>
      <c r="P5" s="12">
        <v>0.51215218560309539</v>
      </c>
      <c r="Q5" s="12">
        <v>0.19894228627727803</v>
      </c>
      <c r="R5" s="14">
        <v>4</v>
      </c>
    </row>
    <row r="6" spans="2:22" x14ac:dyDescent="0.5">
      <c r="B6" s="1" t="s">
        <v>28</v>
      </c>
      <c r="C6" t="s">
        <v>89</v>
      </c>
      <c r="D6" t="s">
        <v>86</v>
      </c>
      <c r="E6">
        <v>4.1900000000000004</v>
      </c>
      <c r="F6" s="9" t="s">
        <v>67</v>
      </c>
      <c r="G6" s="7">
        <v>37912403968</v>
      </c>
      <c r="H6" s="6">
        <v>7.38</v>
      </c>
      <c r="I6" s="6">
        <v>3.8</v>
      </c>
      <c r="J6" s="12">
        <f t="shared" si="0"/>
        <v>0.10263157894736863</v>
      </c>
      <c r="K6" s="11">
        <v>6.3245823389021474E-2</v>
      </c>
      <c r="L6" s="13">
        <v>5594372000</v>
      </c>
      <c r="M6" s="13">
        <v>26933044000</v>
      </c>
      <c r="N6" s="9" t="s">
        <v>50</v>
      </c>
      <c r="O6" s="6">
        <v>1.0683760683760684</v>
      </c>
      <c r="P6" s="12">
        <v>0.20532896278855051</v>
      </c>
      <c r="Q6" s="12">
        <v>0.20771406306691512</v>
      </c>
      <c r="R6" s="14">
        <v>5</v>
      </c>
    </row>
    <row r="7" spans="2:22" x14ac:dyDescent="0.5">
      <c r="B7" s="1" t="s">
        <v>198</v>
      </c>
      <c r="C7" t="s">
        <v>221</v>
      </c>
      <c r="D7" t="s">
        <v>222</v>
      </c>
      <c r="E7">
        <v>16.440000000000001</v>
      </c>
      <c r="F7" s="9" t="s">
        <v>67</v>
      </c>
      <c r="G7" s="7">
        <v>146491179008</v>
      </c>
      <c r="H7" s="6">
        <v>18.100000000000001</v>
      </c>
      <c r="I7" s="6">
        <v>10.6</v>
      </c>
      <c r="J7" s="12">
        <f t="shared" si="0"/>
        <v>0.55094339622641519</v>
      </c>
      <c r="K7" s="11">
        <v>4.2883211678832113E-2</v>
      </c>
      <c r="L7" s="13">
        <v>21175963859.630001</v>
      </c>
      <c r="M7" s="13">
        <v>104071284594.97</v>
      </c>
      <c r="N7" s="9" t="s">
        <v>50</v>
      </c>
      <c r="O7" s="6">
        <v>1.0683760683760684</v>
      </c>
      <c r="P7" s="12">
        <v>0.19555591298490183</v>
      </c>
      <c r="Q7" s="12">
        <v>0.20347556909712136</v>
      </c>
      <c r="R7" s="14">
        <v>6</v>
      </c>
    </row>
    <row r="8" spans="2:22" x14ac:dyDescent="0.5">
      <c r="B8" s="1" t="s">
        <v>250</v>
      </c>
      <c r="C8" t="s">
        <v>298</v>
      </c>
      <c r="D8" t="s">
        <v>299</v>
      </c>
      <c r="E8">
        <v>7.21</v>
      </c>
      <c r="F8" s="9" t="s">
        <v>67</v>
      </c>
      <c r="G8" s="7">
        <v>391860158464</v>
      </c>
      <c r="H8" s="6">
        <v>7.57</v>
      </c>
      <c r="I8" s="6">
        <v>3.5</v>
      </c>
      <c r="J8" s="12">
        <f t="shared" si="0"/>
        <v>1.06</v>
      </c>
      <c r="K8" s="11">
        <v>2.6629680998613039E-2</v>
      </c>
      <c r="L8" s="13">
        <v>72477000000</v>
      </c>
      <c r="M8" s="13">
        <v>319355000000</v>
      </c>
      <c r="N8" s="9" t="s">
        <v>50</v>
      </c>
      <c r="O8" s="6">
        <v>1.0683760683760684</v>
      </c>
      <c r="P8" s="12">
        <v>0.18372742945343765</v>
      </c>
      <c r="Q8" s="12">
        <v>0.22694806719794586</v>
      </c>
      <c r="R8" s="14">
        <v>6</v>
      </c>
    </row>
    <row r="9" spans="2:22" x14ac:dyDescent="0.5">
      <c r="B9" s="1" t="s">
        <v>197</v>
      </c>
      <c r="C9" t="s">
        <v>219</v>
      </c>
      <c r="D9" t="s">
        <v>220</v>
      </c>
      <c r="E9">
        <v>2.08</v>
      </c>
      <c r="F9" s="9" t="s">
        <v>67</v>
      </c>
      <c r="G9" s="7">
        <v>2079999872</v>
      </c>
      <c r="H9" s="6">
        <v>2.42</v>
      </c>
      <c r="I9" s="6">
        <v>1.55</v>
      </c>
      <c r="J9" s="12">
        <f t="shared" si="0"/>
        <v>0.34193548387096784</v>
      </c>
      <c r="K9" s="11">
        <v>0.10096153846153845</v>
      </c>
      <c r="L9" s="13">
        <v>315190000</v>
      </c>
      <c r="M9" s="13">
        <v>607806000</v>
      </c>
      <c r="N9" s="9" t="s">
        <v>67</v>
      </c>
      <c r="O9" s="6">
        <v>1</v>
      </c>
      <c r="P9" s="12">
        <v>0.14016898989374066</v>
      </c>
      <c r="Q9" s="12">
        <v>0.51857007005524791</v>
      </c>
      <c r="R9" s="14">
        <v>7</v>
      </c>
    </row>
    <row r="10" spans="2:22" x14ac:dyDescent="0.5">
      <c r="B10" s="1" t="s">
        <v>248</v>
      </c>
      <c r="C10" t="s">
        <v>295</v>
      </c>
      <c r="D10" t="s">
        <v>294</v>
      </c>
      <c r="E10">
        <v>1.48</v>
      </c>
      <c r="F10" s="9" t="s">
        <v>67</v>
      </c>
      <c r="G10" s="7">
        <v>2981088000</v>
      </c>
      <c r="H10" s="6">
        <v>1.85</v>
      </c>
      <c r="I10" s="6">
        <v>1.1299999999999999</v>
      </c>
      <c r="J10" s="12">
        <f t="shared" si="0"/>
        <v>0.30973451327433632</v>
      </c>
      <c r="K10" s="11">
        <v>8.0405405405405403E-2</v>
      </c>
      <c r="L10" s="13">
        <v>929863000</v>
      </c>
      <c r="M10" s="13">
        <v>6026676000</v>
      </c>
      <c r="N10" s="9" t="s">
        <v>50</v>
      </c>
      <c r="O10" s="6">
        <v>1.0683760683760684</v>
      </c>
      <c r="P10" s="12">
        <v>0.35839619416152035</v>
      </c>
      <c r="Q10" s="12">
        <v>0.15429118804462028</v>
      </c>
      <c r="R10" s="14">
        <v>8</v>
      </c>
    </row>
    <row r="11" spans="2:22" x14ac:dyDescent="0.5">
      <c r="B11" s="1" t="s">
        <v>108</v>
      </c>
      <c r="C11" t="s">
        <v>143</v>
      </c>
      <c r="D11" t="s">
        <v>144</v>
      </c>
      <c r="E11">
        <v>3.04</v>
      </c>
      <c r="F11" s="9" t="s">
        <v>67</v>
      </c>
      <c r="G11" s="7">
        <v>15476840448</v>
      </c>
      <c r="H11" s="6">
        <v>3.3</v>
      </c>
      <c r="I11" s="6">
        <v>2.23</v>
      </c>
      <c r="J11" s="12">
        <f t="shared" si="0"/>
        <v>0.36322869955156944</v>
      </c>
      <c r="K11" s="11">
        <v>8.8815789473684209E-2</v>
      </c>
      <c r="L11" s="13">
        <v>2527643000</v>
      </c>
      <c r="M11" s="13">
        <v>16480074000</v>
      </c>
      <c r="N11" s="9" t="s">
        <v>67</v>
      </c>
      <c r="O11" s="6">
        <v>1</v>
      </c>
      <c r="P11" s="12">
        <v>0.3222128102850203</v>
      </c>
      <c r="Q11" s="12">
        <v>0.15337570692947131</v>
      </c>
      <c r="R11" s="14">
        <v>9</v>
      </c>
    </row>
    <row r="12" spans="2:22" x14ac:dyDescent="0.5">
      <c r="B12" s="1" t="s">
        <v>293</v>
      </c>
      <c r="C12" t="s">
        <v>348</v>
      </c>
      <c r="D12" t="s">
        <v>95</v>
      </c>
      <c r="E12">
        <v>5.93</v>
      </c>
      <c r="F12" s="9" t="s">
        <v>67</v>
      </c>
      <c r="G12" s="7">
        <v>12261354496</v>
      </c>
      <c r="H12" s="6">
        <v>6.7</v>
      </c>
      <c r="I12" s="6">
        <v>3.67</v>
      </c>
      <c r="J12" s="12">
        <f t="shared" si="0"/>
        <v>0.61580381471389645</v>
      </c>
      <c r="K12" s="11">
        <v>4.7723440134907251E-2</v>
      </c>
      <c r="L12" s="13">
        <v>1576240000</v>
      </c>
      <c r="M12" s="13">
        <v>9636462000</v>
      </c>
      <c r="N12" s="9" t="s">
        <v>50</v>
      </c>
      <c r="O12" s="6">
        <v>1.0683760683760684</v>
      </c>
      <c r="P12" s="12">
        <v>0.21053306981106371</v>
      </c>
      <c r="Q12" s="12">
        <v>0.16357040581906512</v>
      </c>
      <c r="R12" s="14">
        <v>11</v>
      </c>
    </row>
    <row r="13" spans="2:22" x14ac:dyDescent="0.5">
      <c r="B13" s="1" t="s">
        <v>287</v>
      </c>
      <c r="C13" t="s">
        <v>342</v>
      </c>
      <c r="D13" t="s">
        <v>86</v>
      </c>
      <c r="E13">
        <v>7.46</v>
      </c>
      <c r="F13" s="9" t="s">
        <v>67</v>
      </c>
      <c r="G13" s="7">
        <v>95713435648</v>
      </c>
      <c r="H13" s="6">
        <v>8.9700000000000006</v>
      </c>
      <c r="I13" s="6">
        <v>5.73</v>
      </c>
      <c r="J13" s="12">
        <f t="shared" si="0"/>
        <v>0.30191972076788831</v>
      </c>
      <c r="K13" s="11">
        <v>1.0321715817694369E-2</v>
      </c>
      <c r="L13" s="13">
        <v>2553000000</v>
      </c>
      <c r="M13" s="13">
        <v>13971000000</v>
      </c>
      <c r="N13" s="9" t="s">
        <v>71</v>
      </c>
      <c r="O13" s="6">
        <v>7.6923076923076916</v>
      </c>
      <c r="P13" s="12">
        <v>0.18091311204564395</v>
      </c>
      <c r="Q13" s="12">
        <v>0.18273566673824351</v>
      </c>
      <c r="R13" s="14">
        <v>12</v>
      </c>
    </row>
    <row r="14" spans="2:22" x14ac:dyDescent="0.5">
      <c r="B14" s="1" t="s">
        <v>251</v>
      </c>
      <c r="C14" t="s">
        <v>300</v>
      </c>
      <c r="D14" t="s">
        <v>301</v>
      </c>
      <c r="E14">
        <v>17.79</v>
      </c>
      <c r="F14" s="9" t="s">
        <v>67</v>
      </c>
      <c r="G14" s="7">
        <v>63937593344</v>
      </c>
      <c r="H14" s="6">
        <v>19.600000000000001</v>
      </c>
      <c r="I14" s="6">
        <v>9.56</v>
      </c>
      <c r="J14" s="12">
        <f t="shared" si="0"/>
        <v>0.86087866108786582</v>
      </c>
      <c r="K14" s="11">
        <v>1.9673974142776839E-2</v>
      </c>
      <c r="L14" s="13">
        <v>25585077000</v>
      </c>
      <c r="M14" s="13">
        <v>167756547000</v>
      </c>
      <c r="N14" s="9" t="s">
        <v>67</v>
      </c>
      <c r="O14" s="6">
        <v>1</v>
      </c>
      <c r="P14" s="12">
        <v>0.25164189982537555</v>
      </c>
      <c r="Q14" s="12">
        <v>0.15251313559762292</v>
      </c>
      <c r="R14" s="14">
        <v>13</v>
      </c>
    </row>
    <row r="15" spans="2:22" x14ac:dyDescent="0.5">
      <c r="B15" s="1" t="s">
        <v>195</v>
      </c>
      <c r="C15" t="s">
        <v>216</v>
      </c>
      <c r="D15" t="s">
        <v>217</v>
      </c>
      <c r="E15">
        <v>14.89</v>
      </c>
      <c r="F15" s="9" t="s">
        <v>67</v>
      </c>
      <c r="G15" s="7">
        <v>58140336128</v>
      </c>
      <c r="H15" s="6">
        <v>16.52</v>
      </c>
      <c r="I15" s="6">
        <v>4.22</v>
      </c>
      <c r="J15" s="12">
        <f t="shared" si="0"/>
        <v>2.5284360189573465</v>
      </c>
      <c r="K15" s="11">
        <v>2.8878441907320344E-3</v>
      </c>
      <c r="L15" s="13">
        <v>786762000</v>
      </c>
      <c r="M15" s="13">
        <v>2279244000</v>
      </c>
      <c r="N15" s="9" t="s">
        <v>71</v>
      </c>
      <c r="O15" s="6">
        <v>7.6923076923076916</v>
      </c>
      <c r="P15" s="12">
        <v>0.11943519610402978</v>
      </c>
      <c r="Q15" s="12">
        <v>0.34518550887925997</v>
      </c>
      <c r="R15" s="14">
        <v>14</v>
      </c>
    </row>
    <row r="16" spans="2:22" x14ac:dyDescent="0.5">
      <c r="B16" s="1" t="s">
        <v>23</v>
      </c>
      <c r="C16" t="s">
        <v>79</v>
      </c>
      <c r="D16" t="s">
        <v>80</v>
      </c>
      <c r="E16">
        <v>7.21</v>
      </c>
      <c r="F16" s="9" t="s">
        <v>67</v>
      </c>
      <c r="G16" s="7">
        <v>62431391744</v>
      </c>
      <c r="H16" s="6">
        <v>8.48</v>
      </c>
      <c r="I16" s="6">
        <v>6.8</v>
      </c>
      <c r="J16" s="12">
        <f t="shared" si="0"/>
        <v>6.0294117647058831E-2</v>
      </c>
      <c r="K16" s="11">
        <v>4.4105409153952842E-2</v>
      </c>
      <c r="L16" s="13">
        <v>13438000000</v>
      </c>
      <c r="M16" s="13">
        <v>88611000000</v>
      </c>
      <c r="N16" s="9" t="s">
        <v>50</v>
      </c>
      <c r="O16" s="6">
        <v>1.0683760683760684</v>
      </c>
      <c r="P16" s="12">
        <v>0.24482679652426795</v>
      </c>
      <c r="Q16" s="12">
        <v>0.15165160081705431</v>
      </c>
      <c r="R16" s="14">
        <v>15</v>
      </c>
    </row>
    <row r="17" spans="2:18" x14ac:dyDescent="0.5">
      <c r="B17" s="1" t="s">
        <v>290</v>
      </c>
      <c r="C17" t="s">
        <v>345</v>
      </c>
      <c r="D17" t="s">
        <v>76</v>
      </c>
      <c r="E17">
        <v>28.6</v>
      </c>
      <c r="F17" s="9" t="s">
        <v>67</v>
      </c>
      <c r="G17" s="7">
        <v>76620308480</v>
      </c>
      <c r="H17" s="6">
        <v>31.8</v>
      </c>
      <c r="I17" s="6">
        <v>15.7</v>
      </c>
      <c r="J17" s="12">
        <f t="shared" si="0"/>
        <v>0.82165605095541427</v>
      </c>
      <c r="K17" s="11">
        <v>1.2307692307692306E-2</v>
      </c>
      <c r="L17" s="13">
        <v>1069250000</v>
      </c>
      <c r="M17" s="13">
        <v>2571093000</v>
      </c>
      <c r="N17" s="9" t="s">
        <v>71</v>
      </c>
      <c r="O17" s="6">
        <v>7.6923076923076916</v>
      </c>
      <c r="P17" s="12">
        <v>0.11132260929168883</v>
      </c>
      <c r="Q17" s="12">
        <v>0.41587371596437778</v>
      </c>
      <c r="R17" s="14">
        <v>16</v>
      </c>
    </row>
    <row r="18" spans="2:18" x14ac:dyDescent="0.5">
      <c r="B18" s="1" t="s">
        <v>32</v>
      </c>
      <c r="C18" t="s">
        <v>94</v>
      </c>
      <c r="D18" t="s">
        <v>95</v>
      </c>
      <c r="E18">
        <v>16.47</v>
      </c>
      <c r="F18" s="9" t="s">
        <v>67</v>
      </c>
      <c r="G18" s="7">
        <v>13787160576</v>
      </c>
      <c r="H18" s="6">
        <v>19.440000000000001</v>
      </c>
      <c r="I18" s="6">
        <v>12.5</v>
      </c>
      <c r="J18" s="12">
        <f t="shared" si="0"/>
        <v>0.31759999999999988</v>
      </c>
      <c r="K18" s="11">
        <v>7.953855494839103E-3</v>
      </c>
      <c r="L18" s="13">
        <v>199557000</v>
      </c>
      <c r="M18" s="13">
        <v>1108087000</v>
      </c>
      <c r="N18" s="9" t="s">
        <v>71</v>
      </c>
      <c r="O18" s="6">
        <v>7.6923076923076916</v>
      </c>
      <c r="P18" s="12">
        <v>0.14452463754808695</v>
      </c>
      <c r="Q18" s="12">
        <v>0.18009145491283626</v>
      </c>
      <c r="R18" s="14">
        <v>17</v>
      </c>
    </row>
    <row r="19" spans="2:18" x14ac:dyDescent="0.5">
      <c r="B19" s="1" t="s">
        <v>20</v>
      </c>
      <c r="C19" t="s">
        <v>72</v>
      </c>
      <c r="D19" t="s">
        <v>73</v>
      </c>
      <c r="E19">
        <v>3.27</v>
      </c>
      <c r="F19" s="9" t="s">
        <v>67</v>
      </c>
      <c r="G19" s="7">
        <v>3400172032</v>
      </c>
      <c r="H19" s="6">
        <v>3.74</v>
      </c>
      <c r="I19" s="6">
        <v>1.92</v>
      </c>
      <c r="J19" s="12">
        <f t="shared" si="0"/>
        <v>0.703125</v>
      </c>
      <c r="K19" s="11">
        <v>8.6850152905198763E-2</v>
      </c>
      <c r="L19" s="13">
        <v>762183000</v>
      </c>
      <c r="M19" s="13">
        <v>5008319000</v>
      </c>
      <c r="N19" s="9" t="s">
        <v>67</v>
      </c>
      <c r="O19" s="6">
        <v>1</v>
      </c>
      <c r="P19" s="12">
        <v>0.18387073519686609</v>
      </c>
      <c r="Q19" s="12">
        <v>0.15218339726363278</v>
      </c>
      <c r="R19" s="14">
        <v>18</v>
      </c>
    </row>
    <row r="20" spans="2:18" x14ac:dyDescent="0.5">
      <c r="B20" s="1" t="s">
        <v>29</v>
      </c>
      <c r="C20" t="s">
        <v>90</v>
      </c>
      <c r="D20" t="s">
        <v>86</v>
      </c>
      <c r="E20">
        <v>5.07</v>
      </c>
      <c r="F20" s="9" t="s">
        <v>67</v>
      </c>
      <c r="G20" s="7">
        <v>59841572864</v>
      </c>
      <c r="H20" s="6">
        <v>5.97</v>
      </c>
      <c r="I20" s="6">
        <v>4.34</v>
      </c>
      <c r="J20" s="12">
        <f t="shared" si="0"/>
        <v>0.16820276497695863</v>
      </c>
      <c r="K20" s="11">
        <v>2.9191321499013805E-2</v>
      </c>
      <c r="L20" s="13">
        <v>5915895000</v>
      </c>
      <c r="M20" s="13">
        <v>21902003000</v>
      </c>
      <c r="N20" s="9" t="s">
        <v>50</v>
      </c>
      <c r="O20" s="6">
        <v>1.0683760683760684</v>
      </c>
      <c r="P20" s="12">
        <v>0.11364554916845719</v>
      </c>
      <c r="Q20" s="12">
        <v>0.27010748742934609</v>
      </c>
      <c r="R20" s="14">
        <v>18</v>
      </c>
    </row>
    <row r="21" spans="2:18" x14ac:dyDescent="0.5">
      <c r="B21" s="1" t="s">
        <v>438</v>
      </c>
      <c r="C21" t="s">
        <v>446</v>
      </c>
      <c r="D21" t="s">
        <v>183</v>
      </c>
      <c r="E21">
        <v>12.89</v>
      </c>
      <c r="F21" s="9" t="s">
        <v>67</v>
      </c>
      <c r="G21" s="7">
        <v>69799354368</v>
      </c>
      <c r="H21" s="6">
        <v>18.88</v>
      </c>
      <c r="I21" s="6">
        <v>12.43</v>
      </c>
      <c r="J21" s="12">
        <f t="shared" si="0"/>
        <v>3.7007240547063613E-2</v>
      </c>
      <c r="K21" s="11">
        <v>6.0279286268425138E-2</v>
      </c>
      <c r="L21" s="13">
        <v>6898733000</v>
      </c>
      <c r="M21" s="13">
        <v>12604518000</v>
      </c>
      <c r="N21" s="9" t="s">
        <v>50</v>
      </c>
      <c r="O21" s="6">
        <v>1.0683760683760684</v>
      </c>
      <c r="P21" s="12">
        <v>0.10774956678389774</v>
      </c>
      <c r="Q21" s="12">
        <v>0.54732223794674262</v>
      </c>
      <c r="R21" s="14">
        <v>19</v>
      </c>
    </row>
    <row r="22" spans="2:18" x14ac:dyDescent="0.5">
      <c r="B22" s="1" t="s">
        <v>283</v>
      </c>
      <c r="C22" t="s">
        <v>338</v>
      </c>
      <c r="D22" t="s">
        <v>74</v>
      </c>
      <c r="E22">
        <v>5.59</v>
      </c>
      <c r="F22" s="9" t="s">
        <v>67</v>
      </c>
      <c r="G22" s="7">
        <v>15071421440</v>
      </c>
      <c r="H22" s="6">
        <v>6.83</v>
      </c>
      <c r="I22" s="6">
        <v>4.46</v>
      </c>
      <c r="J22" s="12">
        <f t="shared" si="0"/>
        <v>0.25336322869955152</v>
      </c>
      <c r="K22" s="11">
        <v>4.45438282647585E-2</v>
      </c>
      <c r="L22" s="13">
        <v>2030839000</v>
      </c>
      <c r="M22" s="13">
        <v>11587361000</v>
      </c>
      <c r="N22" s="9" t="s">
        <v>50</v>
      </c>
      <c r="O22" s="6">
        <v>1.0683760683760684</v>
      </c>
      <c r="P22" s="12">
        <v>0.14347181377436857</v>
      </c>
      <c r="Q22" s="12">
        <v>0.17526328902672489</v>
      </c>
      <c r="R22" s="14">
        <v>19</v>
      </c>
    </row>
    <row r="23" spans="2:18" x14ac:dyDescent="0.5">
      <c r="B23" s="1" t="s">
        <v>27</v>
      </c>
      <c r="C23" t="s">
        <v>87</v>
      </c>
      <c r="D23" t="s">
        <v>88</v>
      </c>
      <c r="E23">
        <v>5.35</v>
      </c>
      <c r="F23" s="9" t="s">
        <v>67</v>
      </c>
      <c r="G23" s="7">
        <v>5670154752</v>
      </c>
      <c r="H23" s="6">
        <v>7.12</v>
      </c>
      <c r="I23" s="6">
        <v>3.98</v>
      </c>
      <c r="J23" s="12">
        <f t="shared" si="0"/>
        <v>0.34422110552763807</v>
      </c>
      <c r="K23" s="11">
        <v>9.3457943925233655E-2</v>
      </c>
      <c r="L23" s="13">
        <v>866801000</v>
      </c>
      <c r="M23" s="13">
        <v>7530053000</v>
      </c>
      <c r="N23" s="9" t="s">
        <v>67</v>
      </c>
      <c r="O23" s="6">
        <v>1</v>
      </c>
      <c r="P23" s="12">
        <v>0.32411266617107848</v>
      </c>
      <c r="Q23" s="12">
        <v>0.11511220438953086</v>
      </c>
      <c r="R23" s="14">
        <v>19</v>
      </c>
    </row>
    <row r="24" spans="2:18" x14ac:dyDescent="0.5">
      <c r="B24" s="1" t="s">
        <v>24</v>
      </c>
      <c r="C24" t="s">
        <v>81</v>
      </c>
      <c r="D24" t="s">
        <v>82</v>
      </c>
      <c r="E24">
        <v>21.56</v>
      </c>
      <c r="F24" s="9" t="s">
        <v>67</v>
      </c>
      <c r="G24" s="7">
        <v>46010019840</v>
      </c>
      <c r="H24" s="6">
        <v>26</v>
      </c>
      <c r="I24" s="6">
        <v>9.3000000000000007</v>
      </c>
      <c r="J24" s="12">
        <f t="shared" si="0"/>
        <v>1.3182795698924727</v>
      </c>
      <c r="K24" s="11">
        <v>5.1948051948051958E-2</v>
      </c>
      <c r="L24" s="13">
        <v>5451928473.2399998</v>
      </c>
      <c r="M24" s="13">
        <v>25994816572.18</v>
      </c>
      <c r="N24" s="9" t="s">
        <v>50</v>
      </c>
      <c r="O24" s="6">
        <v>1.0683760683760684</v>
      </c>
      <c r="P24" s="12">
        <v>0.1177287598922009</v>
      </c>
      <c r="Q24" s="12">
        <v>0.20973136925592797</v>
      </c>
      <c r="R24" s="14">
        <v>20</v>
      </c>
    </row>
    <row r="25" spans="2:18" x14ac:dyDescent="0.5">
      <c r="B25" s="1" t="s">
        <v>289</v>
      </c>
      <c r="C25" t="s">
        <v>344</v>
      </c>
      <c r="D25" t="s">
        <v>53</v>
      </c>
      <c r="E25">
        <v>4.75</v>
      </c>
      <c r="F25" s="9" t="s">
        <v>67</v>
      </c>
      <c r="G25" s="7">
        <v>18420893696</v>
      </c>
      <c r="H25" s="6">
        <v>5.93</v>
      </c>
      <c r="I25" s="6">
        <v>3.33</v>
      </c>
      <c r="J25" s="12">
        <f t="shared" si="0"/>
        <v>0.42642642642642636</v>
      </c>
      <c r="K25" s="11">
        <v>5.6842105263157895E-2</v>
      </c>
      <c r="L25" s="13">
        <v>2823432000</v>
      </c>
      <c r="M25" s="13">
        <v>16925205000</v>
      </c>
      <c r="N25" s="9" t="s">
        <v>67</v>
      </c>
      <c r="O25" s="6">
        <v>1</v>
      </c>
      <c r="P25" s="12">
        <v>0.14520642407152839</v>
      </c>
      <c r="Q25" s="12">
        <v>0.16681818624944278</v>
      </c>
      <c r="R25" s="14">
        <v>20</v>
      </c>
    </row>
    <row r="26" spans="2:18" x14ac:dyDescent="0.5">
      <c r="B26" s="1" t="s">
        <v>34</v>
      </c>
      <c r="C26" t="s">
        <v>98</v>
      </c>
      <c r="D26" t="s">
        <v>70</v>
      </c>
      <c r="E26">
        <v>4.72</v>
      </c>
      <c r="F26" s="9" t="s">
        <v>67</v>
      </c>
      <c r="G26" s="7">
        <v>54421385216</v>
      </c>
      <c r="H26" s="6">
        <v>5.09</v>
      </c>
      <c r="I26" s="6">
        <v>3.46</v>
      </c>
      <c r="J26" s="12">
        <f t="shared" si="0"/>
        <v>0.36416184971098264</v>
      </c>
      <c r="K26" s="11">
        <v>5.5296610169491528E-2</v>
      </c>
      <c r="L26" s="13">
        <v>5294586000</v>
      </c>
      <c r="M26" s="13">
        <v>17815083000</v>
      </c>
      <c r="N26" s="9" t="s">
        <v>50</v>
      </c>
      <c r="O26" s="6">
        <v>1.0683760683760684</v>
      </c>
      <c r="P26" s="12">
        <v>0.10891511076145574</v>
      </c>
      <c r="Q26" s="12">
        <v>0.29719681912231338</v>
      </c>
      <c r="R26" s="14">
        <v>22</v>
      </c>
    </row>
    <row r="27" spans="2:18" x14ac:dyDescent="0.5">
      <c r="B27" s="1" t="s">
        <v>22</v>
      </c>
      <c r="C27" t="s">
        <v>77</v>
      </c>
      <c r="D27" t="s">
        <v>78</v>
      </c>
      <c r="E27">
        <v>11.03</v>
      </c>
      <c r="F27" s="9" t="s">
        <v>67</v>
      </c>
      <c r="G27" s="7">
        <v>181088960512</v>
      </c>
      <c r="H27" s="6">
        <v>11.32</v>
      </c>
      <c r="I27" s="6">
        <v>7.16</v>
      </c>
      <c r="J27" s="12">
        <f t="shared" si="0"/>
        <v>0.5405027932960893</v>
      </c>
      <c r="K27" s="11">
        <v>3.8440616500453308E-2</v>
      </c>
      <c r="L27" s="13">
        <v>32866046000</v>
      </c>
      <c r="M27" s="13">
        <v>215280386000</v>
      </c>
      <c r="N27" s="9" t="s">
        <v>50</v>
      </c>
      <c r="O27" s="6">
        <v>1.0683760683760684</v>
      </c>
      <c r="P27" s="12">
        <v>0.16105391027174942</v>
      </c>
      <c r="Q27" s="12">
        <v>0.15266623500015464</v>
      </c>
      <c r="R27" s="14">
        <v>23</v>
      </c>
    </row>
    <row r="28" spans="2:18" x14ac:dyDescent="0.5">
      <c r="B28" s="1" t="s">
        <v>278</v>
      </c>
      <c r="C28" t="s">
        <v>333</v>
      </c>
      <c r="D28" t="s">
        <v>55</v>
      </c>
      <c r="E28">
        <v>9.41</v>
      </c>
      <c r="F28" s="9" t="s">
        <v>67</v>
      </c>
      <c r="G28" s="7">
        <v>23721080832</v>
      </c>
      <c r="H28" s="6">
        <v>11.37</v>
      </c>
      <c r="I28" s="6">
        <v>4.8499999999999996</v>
      </c>
      <c r="J28" s="12">
        <f t="shared" si="0"/>
        <v>0.94020618556701052</v>
      </c>
      <c r="K28" s="11">
        <v>3.3793836344314557E-2</v>
      </c>
      <c r="L28" s="13">
        <v>3301437000</v>
      </c>
      <c r="M28" s="13">
        <v>21814427000</v>
      </c>
      <c r="N28" s="9" t="s">
        <v>67</v>
      </c>
      <c r="O28" s="6">
        <v>1</v>
      </c>
      <c r="P28" s="12">
        <v>0.16576091121225545</v>
      </c>
      <c r="Q28" s="12">
        <v>0.15134190781174311</v>
      </c>
      <c r="R28" s="14">
        <v>24</v>
      </c>
    </row>
    <row r="29" spans="2:18" x14ac:dyDescent="0.5">
      <c r="B29" s="1" t="s">
        <v>280</v>
      </c>
      <c r="C29" t="s">
        <v>335</v>
      </c>
      <c r="D29" t="s">
        <v>60</v>
      </c>
      <c r="E29">
        <v>10.29</v>
      </c>
      <c r="F29" s="9" t="s">
        <v>67</v>
      </c>
      <c r="G29" s="7">
        <v>16929121280</v>
      </c>
      <c r="H29" s="6">
        <v>12.4</v>
      </c>
      <c r="I29" s="6">
        <v>9.1</v>
      </c>
      <c r="J29" s="12">
        <f t="shared" si="0"/>
        <v>0.13076923076923075</v>
      </c>
      <c r="K29" s="11">
        <v>5.830903790087464E-2</v>
      </c>
      <c r="L29" s="13">
        <v>1721368005.75</v>
      </c>
      <c r="M29" s="13">
        <v>14620942286.52</v>
      </c>
      <c r="N29" s="9" t="s">
        <v>50</v>
      </c>
      <c r="O29" s="6">
        <v>1.0683760683760684</v>
      </c>
      <c r="P29" s="12">
        <v>0.24945175894276184</v>
      </c>
      <c r="Q29" s="12">
        <v>0.11773304155211949</v>
      </c>
      <c r="R29" s="14">
        <v>25</v>
      </c>
    </row>
    <row r="30" spans="2:18" x14ac:dyDescent="0.5">
      <c r="B30" s="1" t="s">
        <v>271</v>
      </c>
      <c r="C30" t="s">
        <v>325</v>
      </c>
      <c r="D30" t="s">
        <v>95</v>
      </c>
      <c r="E30">
        <v>14.24</v>
      </c>
      <c r="F30" s="9" t="s">
        <v>67</v>
      </c>
      <c r="G30" s="7">
        <v>22847088640</v>
      </c>
      <c r="H30" s="6">
        <v>18.399999999999999</v>
      </c>
      <c r="I30" s="6">
        <v>9.6300000000000008</v>
      </c>
      <c r="J30" s="12">
        <f t="shared" si="0"/>
        <v>0.47871235721702998</v>
      </c>
      <c r="K30" s="11">
        <v>1.1727528089887642E-2</v>
      </c>
      <c r="L30" s="13">
        <v>634792000</v>
      </c>
      <c r="M30" s="13">
        <v>5195491000</v>
      </c>
      <c r="N30" s="9" t="s">
        <v>71</v>
      </c>
      <c r="O30" s="6">
        <v>7.6923076923076916</v>
      </c>
      <c r="P30" s="12">
        <v>0.19940131587488802</v>
      </c>
      <c r="Q30" s="12">
        <v>0.12218132992627646</v>
      </c>
      <c r="R30" s="14">
        <v>26</v>
      </c>
    </row>
    <row r="31" spans="2:18" x14ac:dyDescent="0.5">
      <c r="B31" s="1" t="s">
        <v>141</v>
      </c>
      <c r="C31" t="s">
        <v>190</v>
      </c>
      <c r="D31" t="s">
        <v>179</v>
      </c>
      <c r="E31">
        <v>11.53</v>
      </c>
      <c r="F31" s="9" t="s">
        <v>67</v>
      </c>
      <c r="G31" s="7">
        <v>143025717248</v>
      </c>
      <c r="H31" s="6">
        <v>13.6</v>
      </c>
      <c r="I31" s="6">
        <v>6.57</v>
      </c>
      <c r="J31" s="12">
        <f t="shared" si="0"/>
        <v>0.75494672754946701</v>
      </c>
      <c r="K31" s="11">
        <v>4.3365134431916745E-3</v>
      </c>
      <c r="L31" s="13">
        <v>2250990000</v>
      </c>
      <c r="M31" s="13">
        <v>11437145000</v>
      </c>
      <c r="N31" s="9" t="s">
        <v>71</v>
      </c>
      <c r="O31" s="6">
        <v>7.6923076923076916</v>
      </c>
      <c r="P31" s="12">
        <v>0.11485711003513305</v>
      </c>
      <c r="Q31" s="12">
        <v>0.19681397761416858</v>
      </c>
      <c r="R31" s="14">
        <v>26</v>
      </c>
    </row>
    <row r="32" spans="2:18" x14ac:dyDescent="0.5">
      <c r="B32" s="1" t="s">
        <v>284</v>
      </c>
      <c r="C32" t="s">
        <v>339</v>
      </c>
      <c r="D32" t="s">
        <v>97</v>
      </c>
      <c r="E32">
        <v>4.8600000000000003</v>
      </c>
      <c r="F32" s="9" t="s">
        <v>67</v>
      </c>
      <c r="G32" s="7">
        <v>5350624768</v>
      </c>
      <c r="H32" s="6">
        <v>4.88</v>
      </c>
      <c r="I32" s="6">
        <v>3.91</v>
      </c>
      <c r="J32" s="12">
        <f t="shared" si="0"/>
        <v>0.24296675191815864</v>
      </c>
      <c r="K32" s="11">
        <v>6.5843621399176946E-2</v>
      </c>
      <c r="L32" s="13">
        <v>765224000</v>
      </c>
      <c r="M32" s="13">
        <v>5249449000</v>
      </c>
      <c r="N32" s="9" t="s">
        <v>67</v>
      </c>
      <c r="O32" s="6">
        <v>1</v>
      </c>
      <c r="P32" s="12">
        <v>0.16154579980996495</v>
      </c>
      <c r="Q32" s="12">
        <v>0.14577225152582682</v>
      </c>
      <c r="R32" s="14">
        <v>27</v>
      </c>
    </row>
    <row r="33" spans="2:18" x14ac:dyDescent="0.5">
      <c r="B33" s="1" t="s">
        <v>199</v>
      </c>
      <c r="C33" t="s">
        <v>223</v>
      </c>
      <c r="D33" t="s">
        <v>224</v>
      </c>
      <c r="E33">
        <v>0.65</v>
      </c>
      <c r="F33" s="9" t="s">
        <v>67</v>
      </c>
      <c r="G33" s="7">
        <v>1548433792</v>
      </c>
      <c r="H33" s="6">
        <v>0.75</v>
      </c>
      <c r="I33" s="6">
        <v>0.55000000000000004</v>
      </c>
      <c r="J33" s="12">
        <f t="shared" si="0"/>
        <v>0.18181818181818166</v>
      </c>
      <c r="K33" s="11">
        <v>1.5384615384615384E-2</v>
      </c>
      <c r="L33" s="13">
        <v>54195000</v>
      </c>
      <c r="M33" s="13">
        <v>586711000</v>
      </c>
      <c r="N33" s="9" t="s">
        <v>71</v>
      </c>
      <c r="O33" s="6">
        <v>7.6923076923076916</v>
      </c>
      <c r="P33" s="12">
        <v>1.6717361673932885</v>
      </c>
      <c r="Q33" s="12">
        <v>9.2370860611101543E-2</v>
      </c>
      <c r="R33" s="14">
        <v>28</v>
      </c>
    </row>
    <row r="34" spans="2:18" x14ac:dyDescent="0.5">
      <c r="B34" s="1" t="s">
        <v>116</v>
      </c>
      <c r="C34" t="s">
        <v>156</v>
      </c>
      <c r="D34" t="s">
        <v>84</v>
      </c>
      <c r="E34">
        <v>82.05</v>
      </c>
      <c r="F34" s="9" t="s">
        <v>67</v>
      </c>
      <c r="G34" s="7">
        <v>227319496704</v>
      </c>
      <c r="H34" s="6">
        <v>106.3</v>
      </c>
      <c r="I34" s="6">
        <v>73.55</v>
      </c>
      <c r="J34" s="12">
        <f t="shared" ref="J34:J65" si="1">E34/I34-1</f>
        <v>0.1155676410605031</v>
      </c>
      <c r="K34" s="11">
        <v>2.8884826325411336E-2</v>
      </c>
      <c r="L34" s="13">
        <v>22510000000</v>
      </c>
      <c r="M34" s="13">
        <v>82545000000</v>
      </c>
      <c r="N34" s="9" t="s">
        <v>50</v>
      </c>
      <c r="O34" s="6">
        <v>1.0683760683760684</v>
      </c>
      <c r="P34" s="12">
        <v>9.8082340392014897E-2</v>
      </c>
      <c r="Q34" s="12">
        <v>0.27269973953601068</v>
      </c>
      <c r="R34" s="14">
        <v>29</v>
      </c>
    </row>
    <row r="35" spans="2:18" x14ac:dyDescent="0.5">
      <c r="B35" s="1" t="s">
        <v>279</v>
      </c>
      <c r="C35" t="s">
        <v>334</v>
      </c>
      <c r="D35" t="s">
        <v>49</v>
      </c>
      <c r="E35">
        <v>21.46</v>
      </c>
      <c r="F35" s="9" t="s">
        <v>67</v>
      </c>
      <c r="G35" s="7">
        <v>34250158080</v>
      </c>
      <c r="H35" s="6">
        <v>24.25</v>
      </c>
      <c r="I35" s="6">
        <v>16.18</v>
      </c>
      <c r="J35" s="12">
        <f t="shared" si="1"/>
        <v>0.32632880098887518</v>
      </c>
      <c r="K35" s="11">
        <v>3.1966449207828519E-2</v>
      </c>
      <c r="L35" s="13">
        <v>3811007000</v>
      </c>
      <c r="M35" s="13">
        <v>22856317000</v>
      </c>
      <c r="N35" s="9" t="s">
        <v>50</v>
      </c>
      <c r="O35" s="6">
        <v>1.0683760683760684</v>
      </c>
      <c r="P35" s="12">
        <v>0.12137392110472039</v>
      </c>
      <c r="Q35" s="12">
        <v>0.1667375806872122</v>
      </c>
      <c r="R35" s="14">
        <v>30</v>
      </c>
    </row>
    <row r="36" spans="2:18" x14ac:dyDescent="0.5">
      <c r="B36" s="1" t="s">
        <v>137</v>
      </c>
      <c r="C36" t="s">
        <v>184</v>
      </c>
      <c r="D36" t="s">
        <v>86</v>
      </c>
      <c r="E36">
        <v>10.81</v>
      </c>
      <c r="F36" s="9" t="s">
        <v>67</v>
      </c>
      <c r="G36" s="7">
        <v>60930744320</v>
      </c>
      <c r="H36" s="6">
        <v>14.24</v>
      </c>
      <c r="I36" s="6">
        <v>9.6199999999999992</v>
      </c>
      <c r="J36" s="12">
        <f t="shared" si="1"/>
        <v>0.12370062370062374</v>
      </c>
      <c r="K36" s="11">
        <v>3.0619796484736356E-2</v>
      </c>
      <c r="L36" s="13">
        <v>6482967000</v>
      </c>
      <c r="M36" s="13">
        <v>27483863000</v>
      </c>
      <c r="N36" s="9" t="s">
        <v>50</v>
      </c>
      <c r="O36" s="6">
        <v>1.0683760683760684</v>
      </c>
      <c r="P36" s="12">
        <v>0.1028543885182911</v>
      </c>
      <c r="Q36" s="12">
        <v>0.23588267049650188</v>
      </c>
      <c r="R36" s="14">
        <v>31</v>
      </c>
    </row>
    <row r="37" spans="2:18" x14ac:dyDescent="0.5">
      <c r="B37" s="1" t="s">
        <v>385</v>
      </c>
      <c r="C37" t="s">
        <v>388</v>
      </c>
      <c r="D37" t="s">
        <v>84</v>
      </c>
      <c r="E37">
        <v>16.66</v>
      </c>
      <c r="F37" s="9" t="s">
        <v>67</v>
      </c>
      <c r="G37" s="7">
        <v>42899853312</v>
      </c>
      <c r="H37" s="6">
        <v>20.9</v>
      </c>
      <c r="I37" s="6">
        <v>13.5</v>
      </c>
      <c r="J37" s="12">
        <f t="shared" si="1"/>
        <v>0.2340740740740741</v>
      </c>
      <c r="K37" s="11">
        <v>3.2593037214885955E-2</v>
      </c>
      <c r="L37" s="13">
        <v>4264779000</v>
      </c>
      <c r="M37" s="13">
        <v>26103689000</v>
      </c>
      <c r="N37" s="9" t="s">
        <v>50</v>
      </c>
      <c r="O37" s="6">
        <v>1.0683760683760684</v>
      </c>
      <c r="P37" s="12">
        <v>0.12328871419896656</v>
      </c>
      <c r="Q37" s="12">
        <v>0.16337840218675606</v>
      </c>
      <c r="R37" s="14">
        <v>31</v>
      </c>
    </row>
    <row r="38" spans="2:18" x14ac:dyDescent="0.5">
      <c r="B38" s="1" t="s">
        <v>276</v>
      </c>
      <c r="C38" t="s">
        <v>331</v>
      </c>
      <c r="D38" t="s">
        <v>149</v>
      </c>
      <c r="E38">
        <v>28.42</v>
      </c>
      <c r="F38" s="9" t="s">
        <v>67</v>
      </c>
      <c r="G38" s="7">
        <v>202661298176</v>
      </c>
      <c r="H38" s="6">
        <v>34.119999999999997</v>
      </c>
      <c r="I38" s="6">
        <v>21</v>
      </c>
      <c r="J38" s="12">
        <f t="shared" si="1"/>
        <v>0.3533333333333335</v>
      </c>
      <c r="K38" s="11">
        <v>4.6410978184377193E-2</v>
      </c>
      <c r="L38" s="13">
        <v>61181051000</v>
      </c>
      <c r="M38" s="13">
        <v>532289194000</v>
      </c>
      <c r="N38" s="9" t="s">
        <v>50</v>
      </c>
      <c r="O38" s="6">
        <v>1.0683760683760684</v>
      </c>
      <c r="P38" s="12">
        <v>0.18842847644012914</v>
      </c>
      <c r="Q38" s="12">
        <v>0.11493949471384535</v>
      </c>
      <c r="R38" s="14">
        <v>32</v>
      </c>
    </row>
    <row r="39" spans="2:18" x14ac:dyDescent="0.5">
      <c r="B39" s="1" t="s">
        <v>277</v>
      </c>
      <c r="C39" t="s">
        <v>332</v>
      </c>
      <c r="D39" t="s">
        <v>53</v>
      </c>
      <c r="E39">
        <v>25.04</v>
      </c>
      <c r="F39" s="9" t="s">
        <v>67</v>
      </c>
      <c r="G39" s="7">
        <v>256298074112</v>
      </c>
      <c r="H39" s="6">
        <v>30</v>
      </c>
      <c r="I39" s="6">
        <v>19.239999999999998</v>
      </c>
      <c r="J39" s="12">
        <f t="shared" si="1"/>
        <v>0.30145530145530142</v>
      </c>
      <c r="K39" s="11">
        <v>4.9281150159744408E-2</v>
      </c>
      <c r="L39" s="13">
        <v>25459748125.549999</v>
      </c>
      <c r="M39" s="13">
        <v>134815560756.77</v>
      </c>
      <c r="N39" s="9" t="s">
        <v>50</v>
      </c>
      <c r="O39" s="6">
        <v>1.0683760683760684</v>
      </c>
      <c r="P39" s="12">
        <v>0.11128956413863934</v>
      </c>
      <c r="Q39" s="12">
        <v>0.18884873513587705</v>
      </c>
      <c r="R39" s="14">
        <v>33</v>
      </c>
    </row>
    <row r="40" spans="2:18" x14ac:dyDescent="0.5">
      <c r="B40" s="1" t="s">
        <v>273</v>
      </c>
      <c r="C40" t="s">
        <v>327</v>
      </c>
      <c r="D40" t="s">
        <v>299</v>
      </c>
      <c r="E40">
        <v>3.69</v>
      </c>
      <c r="F40" s="9" t="s">
        <v>67</v>
      </c>
      <c r="G40" s="7">
        <v>42440622080</v>
      </c>
      <c r="H40" s="6">
        <v>4.54</v>
      </c>
      <c r="I40" s="6">
        <v>2.5</v>
      </c>
      <c r="J40" s="12">
        <f t="shared" si="1"/>
        <v>0.47599999999999998</v>
      </c>
      <c r="K40" s="11">
        <v>5.1490514905149054E-2</v>
      </c>
      <c r="L40" s="13">
        <v>9414000000</v>
      </c>
      <c r="M40" s="13">
        <v>81589000000</v>
      </c>
      <c r="N40" s="9" t="s">
        <v>50</v>
      </c>
      <c r="O40" s="6">
        <v>1.0683760683760684</v>
      </c>
      <c r="P40" s="12">
        <v>0.17722331302292113</v>
      </c>
      <c r="Q40" s="12">
        <v>0.11538320116682396</v>
      </c>
      <c r="R40" s="14">
        <v>34</v>
      </c>
    </row>
    <row r="41" spans="2:18" x14ac:dyDescent="0.5">
      <c r="B41" s="1" t="s">
        <v>122</v>
      </c>
      <c r="C41" t="s">
        <v>163</v>
      </c>
      <c r="D41" t="s">
        <v>76</v>
      </c>
      <c r="E41">
        <v>6.03</v>
      </c>
      <c r="F41" s="9" t="s">
        <v>67</v>
      </c>
      <c r="G41" s="7">
        <v>8839808000</v>
      </c>
      <c r="H41" s="6">
        <v>6.57</v>
      </c>
      <c r="I41" s="6">
        <v>4.0199999999999996</v>
      </c>
      <c r="J41" s="12">
        <f t="shared" si="1"/>
        <v>0.50000000000000022</v>
      </c>
      <c r="K41" s="11">
        <v>9.038142620232173E-2</v>
      </c>
      <c r="L41" s="13">
        <v>784607000</v>
      </c>
      <c r="M41" s="13">
        <v>7872586000</v>
      </c>
      <c r="N41" s="9" t="s">
        <v>67</v>
      </c>
      <c r="O41" s="6">
        <v>1</v>
      </c>
      <c r="P41" s="12">
        <v>0.25153255243313738</v>
      </c>
      <c r="Q41" s="12">
        <v>9.9663185641922489E-2</v>
      </c>
      <c r="R41" s="14">
        <v>35</v>
      </c>
    </row>
    <row r="42" spans="2:18" x14ac:dyDescent="0.5">
      <c r="B42" s="1" t="s">
        <v>281</v>
      </c>
      <c r="C42" t="s">
        <v>336</v>
      </c>
      <c r="D42" t="s">
        <v>179</v>
      </c>
      <c r="E42">
        <v>6.27</v>
      </c>
      <c r="F42" s="9" t="s">
        <v>67</v>
      </c>
      <c r="G42" s="7">
        <v>2538576128</v>
      </c>
      <c r="H42" s="6">
        <v>14.18</v>
      </c>
      <c r="I42" s="6">
        <v>4.42</v>
      </c>
      <c r="J42" s="12">
        <f t="shared" si="1"/>
        <v>0.41855203619909487</v>
      </c>
      <c r="K42" s="11">
        <v>6.3795853269537489E-2</v>
      </c>
      <c r="L42" s="13">
        <v>348303000</v>
      </c>
      <c r="M42" s="13">
        <v>3681615000</v>
      </c>
      <c r="N42" s="9" t="s">
        <v>67</v>
      </c>
      <c r="O42" s="6">
        <v>1</v>
      </c>
      <c r="P42" s="12">
        <v>0.30676620327771659</v>
      </c>
      <c r="Q42" s="12">
        <v>9.4606035666412708E-2</v>
      </c>
      <c r="R42" s="14">
        <v>35</v>
      </c>
    </row>
    <row r="43" spans="2:18" x14ac:dyDescent="0.5">
      <c r="B43" s="1" t="s">
        <v>291</v>
      </c>
      <c r="C43" t="s">
        <v>346</v>
      </c>
      <c r="D43" t="s">
        <v>86</v>
      </c>
      <c r="E43">
        <v>1.1599999999999999</v>
      </c>
      <c r="F43" s="9" t="s">
        <v>67</v>
      </c>
      <c r="G43" s="7">
        <v>2538676224</v>
      </c>
      <c r="H43" s="6">
        <v>1.29</v>
      </c>
      <c r="I43" s="6">
        <v>0.46</v>
      </c>
      <c r="J43" s="12">
        <f t="shared" si="1"/>
        <v>1.5217391304347823</v>
      </c>
      <c r="K43" s="11">
        <v>3.1896551724137932E-2</v>
      </c>
      <c r="L43" s="13">
        <v>219938000</v>
      </c>
      <c r="M43" s="13">
        <v>1520292000</v>
      </c>
      <c r="N43" s="9" t="s">
        <v>50</v>
      </c>
      <c r="O43" s="6">
        <v>1.0683760683760684</v>
      </c>
      <c r="P43" s="12">
        <v>0.14163542791487538</v>
      </c>
      <c r="Q43" s="12">
        <v>0.14466826109721026</v>
      </c>
      <c r="R43" s="14">
        <v>35</v>
      </c>
    </row>
    <row r="44" spans="2:18" x14ac:dyDescent="0.5">
      <c r="B44" s="1" t="s">
        <v>140</v>
      </c>
      <c r="C44" t="s">
        <v>188</v>
      </c>
      <c r="D44" t="s">
        <v>107</v>
      </c>
      <c r="E44">
        <v>46.04</v>
      </c>
      <c r="F44" s="9" t="s">
        <v>67</v>
      </c>
      <c r="G44" s="7">
        <v>117808259072</v>
      </c>
      <c r="H44" s="6">
        <v>71.7</v>
      </c>
      <c r="I44" s="6">
        <v>39.549999999999997</v>
      </c>
      <c r="J44" s="12">
        <f t="shared" si="1"/>
        <v>0.16409608091024031</v>
      </c>
      <c r="K44" s="11">
        <v>3.5621198957428326E-3</v>
      </c>
      <c r="L44" s="13">
        <v>1279098000</v>
      </c>
      <c r="M44" s="13">
        <v>4811702000</v>
      </c>
      <c r="N44" s="9" t="s">
        <v>189</v>
      </c>
      <c r="O44" s="6">
        <v>8.7546153846153842</v>
      </c>
      <c r="P44" s="12">
        <v>8.3971143473597215E-2</v>
      </c>
      <c r="Q44" s="12">
        <v>0.26583067696212276</v>
      </c>
      <c r="R44" s="14">
        <v>36</v>
      </c>
    </row>
    <row r="45" spans="2:18" x14ac:dyDescent="0.5">
      <c r="B45" s="1" t="s">
        <v>111</v>
      </c>
      <c r="C45" t="s">
        <v>148</v>
      </c>
      <c r="D45" t="s">
        <v>149</v>
      </c>
      <c r="E45">
        <v>4.75</v>
      </c>
      <c r="F45" s="9" t="s">
        <v>67</v>
      </c>
      <c r="G45" s="7">
        <v>6818204672</v>
      </c>
      <c r="H45" s="6">
        <v>6.5</v>
      </c>
      <c r="I45" s="6">
        <v>2.73</v>
      </c>
      <c r="J45" s="12">
        <f t="shared" si="1"/>
        <v>0.73992673992673996</v>
      </c>
      <c r="K45" s="11">
        <v>8.2315789473684217E-2</v>
      </c>
      <c r="L45" s="13">
        <v>811880000</v>
      </c>
      <c r="M45" s="13">
        <v>5532140000</v>
      </c>
      <c r="N45" s="9" t="s">
        <v>50</v>
      </c>
      <c r="O45" s="6">
        <v>1.0683760683760684</v>
      </c>
      <c r="P45" s="12">
        <v>0.13133904506659613</v>
      </c>
      <c r="Q45" s="12">
        <v>0.14675695119790894</v>
      </c>
      <c r="R45" s="14">
        <v>37</v>
      </c>
    </row>
    <row r="46" spans="2:18" x14ac:dyDescent="0.5">
      <c r="B46" s="1" t="s">
        <v>288</v>
      </c>
      <c r="C46" t="s">
        <v>343</v>
      </c>
      <c r="D46" t="s">
        <v>237</v>
      </c>
      <c r="E46">
        <v>12.89</v>
      </c>
      <c r="F46" s="9" t="s">
        <v>67</v>
      </c>
      <c r="G46" s="7">
        <v>12772104192</v>
      </c>
      <c r="H46" s="6">
        <v>14.08</v>
      </c>
      <c r="I46" s="6">
        <v>5.65</v>
      </c>
      <c r="J46" s="12">
        <f t="shared" si="1"/>
        <v>1.2814159292035399</v>
      </c>
      <c r="K46" s="11">
        <v>2.7463149728471681E-2</v>
      </c>
      <c r="L46" s="13">
        <v>1333116000</v>
      </c>
      <c r="M46" s="13">
        <v>8019803000</v>
      </c>
      <c r="N46" s="9" t="s">
        <v>50</v>
      </c>
      <c r="O46" s="6">
        <v>1.0683760683760684</v>
      </c>
      <c r="P46" s="12">
        <v>0.11310224705770928</v>
      </c>
      <c r="Q46" s="12">
        <v>0.16622802330680692</v>
      </c>
      <c r="R46" s="14">
        <v>38</v>
      </c>
    </row>
    <row r="47" spans="2:18" x14ac:dyDescent="0.5">
      <c r="B47" s="1" t="s">
        <v>249</v>
      </c>
      <c r="C47" t="s">
        <v>296</v>
      </c>
      <c r="D47" t="s">
        <v>297</v>
      </c>
      <c r="E47">
        <v>17.350000000000001</v>
      </c>
      <c r="F47" s="9" t="s">
        <v>67</v>
      </c>
      <c r="G47" s="7">
        <v>405119172608</v>
      </c>
      <c r="H47" s="6">
        <v>17.829999999999998</v>
      </c>
      <c r="I47" s="6">
        <v>4.58</v>
      </c>
      <c r="J47" s="12">
        <f t="shared" si="1"/>
        <v>2.7882096069869</v>
      </c>
      <c r="K47" s="11">
        <v>1.4697406340057636E-2</v>
      </c>
      <c r="L47" s="13">
        <v>29168443138.220001</v>
      </c>
      <c r="M47" s="13">
        <v>100996030941.41</v>
      </c>
      <c r="N47" s="9" t="s">
        <v>50</v>
      </c>
      <c r="O47" s="6">
        <v>1.0683760683760684</v>
      </c>
      <c r="P47" s="12">
        <v>7.6959052348770485E-2</v>
      </c>
      <c r="Q47" s="12">
        <v>0.2888078161719172</v>
      </c>
      <c r="R47" s="14">
        <v>39</v>
      </c>
    </row>
    <row r="48" spans="2:18" x14ac:dyDescent="0.5">
      <c r="B48" s="1" t="s">
        <v>282</v>
      </c>
      <c r="C48" t="s">
        <v>337</v>
      </c>
      <c r="D48" t="s">
        <v>97</v>
      </c>
      <c r="E48">
        <v>4.76</v>
      </c>
      <c r="F48" s="9" t="s">
        <v>67</v>
      </c>
      <c r="G48" s="7">
        <v>32967849984</v>
      </c>
      <c r="H48" s="6">
        <v>6.15</v>
      </c>
      <c r="I48" s="6">
        <v>3.78</v>
      </c>
      <c r="J48" s="12">
        <f t="shared" si="1"/>
        <v>0.2592592592592593</v>
      </c>
      <c r="K48" s="11">
        <v>4.6008403361344541E-2</v>
      </c>
      <c r="L48" s="13">
        <v>4216348000</v>
      </c>
      <c r="M48" s="13">
        <v>46142120000</v>
      </c>
      <c r="N48" s="9" t="s">
        <v>50</v>
      </c>
      <c r="O48" s="6">
        <v>1.0683760683760684</v>
      </c>
      <c r="P48" s="12">
        <v>0.31822998822871235</v>
      </c>
      <c r="Q48" s="12">
        <v>9.1377422623841298E-2</v>
      </c>
      <c r="R48" s="14">
        <v>39</v>
      </c>
    </row>
    <row r="49" spans="2:18" x14ac:dyDescent="0.5">
      <c r="B49" s="1" t="s">
        <v>275</v>
      </c>
      <c r="C49" t="s">
        <v>329</v>
      </c>
      <c r="D49" t="s">
        <v>330</v>
      </c>
      <c r="E49">
        <v>7.35</v>
      </c>
      <c r="F49" s="9" t="s">
        <v>67</v>
      </c>
      <c r="G49" s="7">
        <v>9414998016</v>
      </c>
      <c r="H49" s="6">
        <v>8.31</v>
      </c>
      <c r="I49" s="6">
        <v>3.73</v>
      </c>
      <c r="J49" s="12">
        <f t="shared" si="1"/>
        <v>0.97050938337801607</v>
      </c>
      <c r="K49" s="11">
        <v>3.5374149659863949E-2</v>
      </c>
      <c r="L49" s="13">
        <v>2871477000</v>
      </c>
      <c r="M49" s="13">
        <v>21784665000</v>
      </c>
      <c r="N49" s="9" t="s">
        <v>50</v>
      </c>
      <c r="O49" s="6">
        <v>1.0683760683760684</v>
      </c>
      <c r="P49" s="12">
        <v>0.13677374561511418</v>
      </c>
      <c r="Q49" s="12">
        <v>0.1318118502166547</v>
      </c>
      <c r="R49" s="14">
        <v>40</v>
      </c>
    </row>
    <row r="50" spans="2:18" x14ac:dyDescent="0.5">
      <c r="B50" s="1" t="s">
        <v>262</v>
      </c>
      <c r="C50" t="s">
        <v>313</v>
      </c>
      <c r="D50" t="s">
        <v>314</v>
      </c>
      <c r="E50">
        <v>7.23</v>
      </c>
      <c r="F50" s="9" t="s">
        <v>67</v>
      </c>
      <c r="G50" s="7">
        <v>13067714560</v>
      </c>
      <c r="H50" s="6">
        <v>9.7899999999999991</v>
      </c>
      <c r="I50" s="6">
        <v>5.49</v>
      </c>
      <c r="J50" s="12">
        <f t="shared" si="1"/>
        <v>0.31693989071038264</v>
      </c>
      <c r="K50" s="11">
        <v>3.5961272475795295E-2</v>
      </c>
      <c r="L50" s="13">
        <v>2897428000</v>
      </c>
      <c r="M50" s="13">
        <v>25970601000</v>
      </c>
      <c r="N50" s="9" t="s">
        <v>67</v>
      </c>
      <c r="O50" s="6">
        <v>1</v>
      </c>
      <c r="P50" s="12">
        <v>0.1611282444107508</v>
      </c>
      <c r="Q50" s="12">
        <v>0.11156568921912897</v>
      </c>
      <c r="R50" s="14">
        <v>40</v>
      </c>
    </row>
    <row r="51" spans="2:18" x14ac:dyDescent="0.5">
      <c r="B51" s="1" t="s">
        <v>19</v>
      </c>
      <c r="C51" t="s">
        <v>69</v>
      </c>
      <c r="D51" t="s">
        <v>70</v>
      </c>
      <c r="E51">
        <v>6.87</v>
      </c>
      <c r="F51" s="9" t="s">
        <v>67</v>
      </c>
      <c r="G51" s="7">
        <v>19598886912</v>
      </c>
      <c r="H51" s="6">
        <v>7.3</v>
      </c>
      <c r="I51" s="6">
        <v>3.6</v>
      </c>
      <c r="J51" s="12">
        <f t="shared" si="1"/>
        <v>0.90833333333333321</v>
      </c>
      <c r="K51" s="11">
        <v>6.5502183406113534E-3</v>
      </c>
      <c r="L51" s="13">
        <v>259348000</v>
      </c>
      <c r="M51" s="13">
        <v>1677627000</v>
      </c>
      <c r="N51" s="9" t="s">
        <v>71</v>
      </c>
      <c r="O51" s="6">
        <v>7.6923076923076916</v>
      </c>
      <c r="P51" s="12">
        <v>0.11296435258455095</v>
      </c>
      <c r="Q51" s="12">
        <v>0.15459217096529801</v>
      </c>
      <c r="R51" s="14">
        <v>41</v>
      </c>
    </row>
    <row r="52" spans="2:18" x14ac:dyDescent="0.5">
      <c r="B52" s="1" t="s">
        <v>268</v>
      </c>
      <c r="C52" t="s">
        <v>321</v>
      </c>
      <c r="D52" t="s">
        <v>172</v>
      </c>
      <c r="E52">
        <v>85.35</v>
      </c>
      <c r="F52" s="9" t="s">
        <v>67</v>
      </c>
      <c r="G52" s="7">
        <v>20895838208</v>
      </c>
      <c r="H52" s="6">
        <v>103.1</v>
      </c>
      <c r="I52" s="6">
        <v>58.2</v>
      </c>
      <c r="J52" s="12">
        <f t="shared" si="1"/>
        <v>0.46649484536082464</v>
      </c>
      <c r="K52" s="11">
        <v>0</v>
      </c>
      <c r="L52" s="13">
        <v>526052000</v>
      </c>
      <c r="M52" s="13">
        <v>5343547000</v>
      </c>
      <c r="N52" s="9" t="s">
        <v>71</v>
      </c>
      <c r="O52" s="6">
        <v>7.6923076923076916</v>
      </c>
      <c r="P52" s="12">
        <v>0.19259815451656057</v>
      </c>
      <c r="Q52" s="12">
        <v>9.8446219337080781E-2</v>
      </c>
      <c r="R52" s="14">
        <v>42</v>
      </c>
    </row>
    <row r="53" spans="2:18" x14ac:dyDescent="0.5">
      <c r="B53" s="1" t="s">
        <v>272</v>
      </c>
      <c r="C53" t="s">
        <v>326</v>
      </c>
      <c r="D53" t="s">
        <v>95</v>
      </c>
      <c r="E53">
        <v>0.48</v>
      </c>
      <c r="F53" s="9" t="s">
        <v>67</v>
      </c>
      <c r="G53" s="7">
        <v>2488183040</v>
      </c>
      <c r="H53" s="6">
        <v>0.68</v>
      </c>
      <c r="I53" s="6">
        <v>0.46</v>
      </c>
      <c r="J53" s="12">
        <f t="shared" si="1"/>
        <v>4.3478260869565188E-2</v>
      </c>
      <c r="K53" s="11">
        <v>4.1666666666666671E-2</v>
      </c>
      <c r="L53" s="13">
        <v>756004000</v>
      </c>
      <c r="M53" s="13">
        <v>8813758000</v>
      </c>
      <c r="N53" s="9" t="s">
        <v>50</v>
      </c>
      <c r="O53" s="6">
        <v>1.0683760683760684</v>
      </c>
      <c r="P53" s="12">
        <v>0.31273171324163412</v>
      </c>
      <c r="Q53" s="12">
        <v>8.5775443346640556E-2</v>
      </c>
      <c r="R53" s="14">
        <v>43</v>
      </c>
    </row>
    <row r="54" spans="2:18" x14ac:dyDescent="0.5">
      <c r="B54" s="1" t="s">
        <v>266</v>
      </c>
      <c r="C54" t="s">
        <v>319</v>
      </c>
      <c r="D54" t="s">
        <v>301</v>
      </c>
      <c r="E54">
        <v>4.41</v>
      </c>
      <c r="F54" s="9" t="s">
        <v>67</v>
      </c>
      <c r="G54" s="7">
        <v>4075466240</v>
      </c>
      <c r="H54" s="6">
        <v>5.59</v>
      </c>
      <c r="I54" s="6">
        <v>3.5</v>
      </c>
      <c r="J54" s="12">
        <f t="shared" si="1"/>
        <v>0.26</v>
      </c>
      <c r="K54" s="11">
        <v>3.5147392290249435E-2</v>
      </c>
      <c r="L54" s="13">
        <v>754477000</v>
      </c>
      <c r="M54" s="13">
        <v>11677999000</v>
      </c>
      <c r="N54" s="9" t="s">
        <v>67</v>
      </c>
      <c r="O54" s="6">
        <v>1</v>
      </c>
      <c r="P54" s="12">
        <v>0.4849268818519622</v>
      </c>
      <c r="Q54" s="12">
        <v>6.460670188445812E-2</v>
      </c>
      <c r="R54" s="14">
        <v>44</v>
      </c>
    </row>
    <row r="55" spans="2:18" x14ac:dyDescent="0.5">
      <c r="B55" s="1" t="s">
        <v>37</v>
      </c>
      <c r="C55" t="s">
        <v>102</v>
      </c>
      <c r="D55" t="s">
        <v>103</v>
      </c>
      <c r="E55">
        <v>5.14</v>
      </c>
      <c r="F55" s="9" t="s">
        <v>67</v>
      </c>
      <c r="G55" s="7">
        <v>3986564608</v>
      </c>
      <c r="H55" s="6">
        <v>8.83</v>
      </c>
      <c r="I55" s="6">
        <v>4.28</v>
      </c>
      <c r="J55" s="12">
        <f t="shared" si="1"/>
        <v>0.20093457943925208</v>
      </c>
      <c r="K55" s="11">
        <v>3.3073929961089502E-2</v>
      </c>
      <c r="L55" s="13">
        <v>437453000</v>
      </c>
      <c r="M55" s="13">
        <v>4911072000</v>
      </c>
      <c r="N55" s="9" t="s">
        <v>67</v>
      </c>
      <c r="O55" s="6">
        <v>1</v>
      </c>
      <c r="P55" s="12">
        <v>0.25776264029268181</v>
      </c>
      <c r="Q55" s="12">
        <v>8.9074849645861431E-2</v>
      </c>
      <c r="R55" s="14">
        <v>44</v>
      </c>
    </row>
    <row r="56" spans="2:18" x14ac:dyDescent="0.5">
      <c r="B56" s="1" t="s">
        <v>285</v>
      </c>
      <c r="C56" t="s">
        <v>340</v>
      </c>
      <c r="D56" t="s">
        <v>70</v>
      </c>
      <c r="E56">
        <v>3.62</v>
      </c>
      <c r="F56" s="9" t="s">
        <v>67</v>
      </c>
      <c r="G56" s="7">
        <v>2078531456</v>
      </c>
      <c r="H56" s="6">
        <v>4.84</v>
      </c>
      <c r="I56" s="6">
        <v>2.8</v>
      </c>
      <c r="J56" s="12">
        <f t="shared" si="1"/>
        <v>0.29285714285714293</v>
      </c>
      <c r="K56" s="11">
        <v>7.18232044198895E-2</v>
      </c>
      <c r="L56" s="13">
        <v>392836000</v>
      </c>
      <c r="M56" s="13">
        <v>3201831000</v>
      </c>
      <c r="N56" s="9" t="s">
        <v>67</v>
      </c>
      <c r="O56" s="6">
        <v>1</v>
      </c>
      <c r="P56" s="12">
        <v>0.12445490799434364</v>
      </c>
      <c r="Q56" s="12">
        <v>0.12269104771613493</v>
      </c>
      <c r="R56" s="14">
        <v>45</v>
      </c>
    </row>
    <row r="57" spans="2:18" x14ac:dyDescent="0.5">
      <c r="B57" s="1" t="s">
        <v>270</v>
      </c>
      <c r="C57" t="s">
        <v>324</v>
      </c>
      <c r="D57" t="s">
        <v>86</v>
      </c>
      <c r="E57">
        <v>11.3</v>
      </c>
      <c r="F57" s="9" t="s">
        <v>67</v>
      </c>
      <c r="G57" s="7">
        <v>2652064768</v>
      </c>
      <c r="H57" s="6">
        <v>17</v>
      </c>
      <c r="I57" s="6">
        <v>8</v>
      </c>
      <c r="J57" s="12">
        <f t="shared" si="1"/>
        <v>0.41250000000000009</v>
      </c>
      <c r="K57" s="11">
        <v>4.2477876106194683E-2</v>
      </c>
      <c r="L57" s="13">
        <v>244811000</v>
      </c>
      <c r="M57" s="13">
        <v>2904223000</v>
      </c>
      <c r="N57" s="9" t="s">
        <v>67</v>
      </c>
      <c r="O57" s="6">
        <v>1</v>
      </c>
      <c r="P57" s="12">
        <v>0.25781281803910383</v>
      </c>
      <c r="Q57" s="12">
        <v>8.4294835486117978E-2</v>
      </c>
      <c r="R57" s="14">
        <v>45</v>
      </c>
    </row>
    <row r="58" spans="2:18" x14ac:dyDescent="0.5">
      <c r="B58" s="1" t="s">
        <v>269</v>
      </c>
      <c r="C58" t="s">
        <v>322</v>
      </c>
      <c r="D58" t="s">
        <v>323</v>
      </c>
      <c r="E58">
        <v>7.53</v>
      </c>
      <c r="F58" s="9" t="s">
        <v>67</v>
      </c>
      <c r="G58" s="7">
        <v>15272931328</v>
      </c>
      <c r="H58" s="6">
        <v>8.3000000000000007</v>
      </c>
      <c r="I58" s="6">
        <v>5.31</v>
      </c>
      <c r="J58" s="12">
        <f t="shared" si="1"/>
        <v>0.41807909604519788</v>
      </c>
      <c r="K58" s="11">
        <v>3.5856573705179286E-2</v>
      </c>
      <c r="L58" s="13">
        <v>1537565000</v>
      </c>
      <c r="M58" s="13">
        <v>14484935000</v>
      </c>
      <c r="N58" s="9" t="s">
        <v>50</v>
      </c>
      <c r="O58" s="6">
        <v>1.0683760683760684</v>
      </c>
      <c r="P58" s="12">
        <v>0.1508842711929447</v>
      </c>
      <c r="Q58" s="12">
        <v>0.10614925092863724</v>
      </c>
      <c r="R58" s="14">
        <v>45</v>
      </c>
    </row>
    <row r="59" spans="2:18" x14ac:dyDescent="0.5">
      <c r="B59" s="1" t="s">
        <v>136</v>
      </c>
      <c r="C59" t="s">
        <v>182</v>
      </c>
      <c r="D59" t="s">
        <v>183</v>
      </c>
      <c r="E59">
        <v>341.4</v>
      </c>
      <c r="F59" s="9" t="s">
        <v>67</v>
      </c>
      <c r="G59" s="7">
        <v>123568283648</v>
      </c>
      <c r="H59" s="6">
        <v>421.4</v>
      </c>
      <c r="I59" s="6">
        <v>324</v>
      </c>
      <c r="J59" s="12">
        <f t="shared" si="1"/>
        <v>5.3703703703703587E-2</v>
      </c>
      <c r="K59" s="11">
        <v>2.3432923257176337E-3</v>
      </c>
      <c r="L59" s="13">
        <v>1200000000</v>
      </c>
      <c r="M59" s="13">
        <v>5855000000</v>
      </c>
      <c r="N59" s="9" t="s">
        <v>71</v>
      </c>
      <c r="O59" s="6">
        <v>7.6923076923076916</v>
      </c>
      <c r="P59" s="12">
        <v>6.7606102763537096E-2</v>
      </c>
      <c r="Q59" s="12">
        <v>0.20495303159692571</v>
      </c>
      <c r="R59" s="14">
        <v>46</v>
      </c>
    </row>
    <row r="60" spans="2:18" x14ac:dyDescent="0.5">
      <c r="B60" s="1" t="s">
        <v>25</v>
      </c>
      <c r="C60" t="s">
        <v>83</v>
      </c>
      <c r="D60" t="s">
        <v>49</v>
      </c>
      <c r="E60">
        <v>10.36</v>
      </c>
      <c r="F60" s="9" t="s">
        <v>67</v>
      </c>
      <c r="G60" s="7">
        <v>12902540288</v>
      </c>
      <c r="H60" s="6">
        <v>11.68</v>
      </c>
      <c r="I60" s="6">
        <v>3.89</v>
      </c>
      <c r="J60" s="12">
        <f t="shared" si="1"/>
        <v>1.6632390745501282</v>
      </c>
      <c r="K60" s="11">
        <v>1.361003861003861E-2</v>
      </c>
      <c r="L60" s="13">
        <v>921702000</v>
      </c>
      <c r="M60" s="13">
        <v>5262544000</v>
      </c>
      <c r="N60" s="9" t="s">
        <v>50</v>
      </c>
      <c r="O60" s="6">
        <v>1.0683760683760684</v>
      </c>
      <c r="P60" s="12">
        <v>9.4271283393705288E-2</v>
      </c>
      <c r="Q60" s="12">
        <v>0.17514380877385538</v>
      </c>
      <c r="R60" s="14">
        <v>47</v>
      </c>
    </row>
    <row r="61" spans="2:18" x14ac:dyDescent="0.5">
      <c r="B61" s="1" t="s">
        <v>35</v>
      </c>
      <c r="C61" t="s">
        <v>99</v>
      </c>
      <c r="D61" t="s">
        <v>100</v>
      </c>
      <c r="E61">
        <v>428.6</v>
      </c>
      <c r="F61" s="9" t="s">
        <v>67</v>
      </c>
      <c r="G61" s="7">
        <v>541710680064</v>
      </c>
      <c r="H61" s="6">
        <v>466</v>
      </c>
      <c r="I61" s="6">
        <v>271</v>
      </c>
      <c r="J61" s="12">
        <f t="shared" si="1"/>
        <v>0.5815498154981551</v>
      </c>
      <c r="K61" s="11">
        <v>2.5431637890807279E-2</v>
      </c>
      <c r="L61" s="13">
        <v>20744000000</v>
      </c>
      <c r="M61" s="13">
        <v>53852000000</v>
      </c>
      <c r="N61" s="9" t="s">
        <v>67</v>
      </c>
      <c r="O61" s="6">
        <v>1</v>
      </c>
      <c r="P61" s="12">
        <v>5.0763547966636853E-2</v>
      </c>
      <c r="Q61" s="12">
        <v>0.38520389214885242</v>
      </c>
      <c r="R61" s="14">
        <v>48</v>
      </c>
    </row>
    <row r="62" spans="2:18" x14ac:dyDescent="0.5">
      <c r="B62" s="1" t="s">
        <v>264</v>
      </c>
      <c r="C62" t="s">
        <v>316</v>
      </c>
      <c r="D62" t="s">
        <v>317</v>
      </c>
      <c r="E62">
        <v>8.23</v>
      </c>
      <c r="F62" s="9" t="s">
        <v>67</v>
      </c>
      <c r="G62" s="7">
        <v>20633399296</v>
      </c>
      <c r="H62" s="6">
        <v>10.14</v>
      </c>
      <c r="I62" s="6">
        <v>4.32</v>
      </c>
      <c r="J62" s="12">
        <f t="shared" si="1"/>
        <v>0.90509259259259256</v>
      </c>
      <c r="K62" s="11">
        <v>4.8359659781287971E-2</v>
      </c>
      <c r="L62" s="13">
        <v>3040816000</v>
      </c>
      <c r="M62" s="13">
        <v>29707522000</v>
      </c>
      <c r="N62" s="9" t="s">
        <v>50</v>
      </c>
      <c r="O62" s="6">
        <v>1.0683760683760684</v>
      </c>
      <c r="P62" s="12">
        <v>0.14635294823240413</v>
      </c>
      <c r="Q62" s="12">
        <v>0.102358453189061</v>
      </c>
      <c r="R62" s="14">
        <v>48</v>
      </c>
    </row>
    <row r="63" spans="2:18" x14ac:dyDescent="0.5">
      <c r="B63" s="1" t="s">
        <v>117</v>
      </c>
      <c r="C63" t="s">
        <v>157</v>
      </c>
      <c r="D63" t="s">
        <v>84</v>
      </c>
      <c r="E63">
        <v>226.8</v>
      </c>
      <c r="F63" s="9" t="s">
        <v>67</v>
      </c>
      <c r="G63" s="7">
        <v>301652574208</v>
      </c>
      <c r="H63" s="6">
        <v>339.8</v>
      </c>
      <c r="I63" s="6">
        <v>67.5</v>
      </c>
      <c r="J63" s="12">
        <f t="shared" si="1"/>
        <v>2.3600000000000003</v>
      </c>
      <c r="K63" s="11">
        <v>3.5934744268077599E-3</v>
      </c>
      <c r="L63" s="13">
        <v>4408440000</v>
      </c>
      <c r="M63" s="13">
        <v>10683505000</v>
      </c>
      <c r="N63" s="9" t="s">
        <v>50</v>
      </c>
      <c r="O63" s="6">
        <v>1.0683760683760684</v>
      </c>
      <c r="P63" s="12">
        <v>1.590332818244632E-2</v>
      </c>
      <c r="Q63" s="12">
        <v>0.41263985929711272</v>
      </c>
      <c r="R63" s="14">
        <v>49</v>
      </c>
    </row>
    <row r="64" spans="2:18" x14ac:dyDescent="0.5">
      <c r="B64" s="1" t="s">
        <v>267</v>
      </c>
      <c r="C64" t="s">
        <v>320</v>
      </c>
      <c r="D64" t="s">
        <v>303</v>
      </c>
      <c r="E64">
        <v>7.45</v>
      </c>
      <c r="F64" s="9" t="s">
        <v>67</v>
      </c>
      <c r="G64" s="7">
        <v>32735477760</v>
      </c>
      <c r="H64" s="6">
        <v>7.52</v>
      </c>
      <c r="I64" s="6">
        <v>4.8</v>
      </c>
      <c r="J64" s="12">
        <f t="shared" si="1"/>
        <v>0.55208333333333348</v>
      </c>
      <c r="K64" s="11">
        <v>4.9395973154362414E-2</v>
      </c>
      <c r="L64" s="13">
        <v>2919921000</v>
      </c>
      <c r="M64" s="13">
        <v>31662140000</v>
      </c>
      <c r="N64" s="9" t="s">
        <v>50</v>
      </c>
      <c r="O64" s="6">
        <v>1.0683760683760684</v>
      </c>
      <c r="P64" s="12">
        <v>0.14767350895270023</v>
      </c>
      <c r="Q64" s="12">
        <v>9.2221214358852555E-2</v>
      </c>
      <c r="R64" s="14">
        <v>50</v>
      </c>
    </row>
    <row r="65" spans="2:18" x14ac:dyDescent="0.5">
      <c r="B65" s="1" t="s">
        <v>131</v>
      </c>
      <c r="C65" t="s">
        <v>174</v>
      </c>
      <c r="D65" t="s">
        <v>175</v>
      </c>
      <c r="E65">
        <v>32.68</v>
      </c>
      <c r="F65" s="9" t="s">
        <v>67</v>
      </c>
      <c r="G65" s="7">
        <v>900754309120</v>
      </c>
      <c r="H65" s="6">
        <v>36.92</v>
      </c>
      <c r="I65" s="6">
        <v>13.86</v>
      </c>
      <c r="J65" s="12">
        <f t="shared" si="1"/>
        <v>1.3578643578643579</v>
      </c>
      <c r="K65" s="11">
        <v>1.5299877600979192E-2</v>
      </c>
      <c r="L65" s="13">
        <v>52374992116</v>
      </c>
      <c r="M65" s="13">
        <v>269573093476</v>
      </c>
      <c r="N65" s="9" t="s">
        <v>50</v>
      </c>
      <c r="O65" s="6">
        <v>1.0683760683760684</v>
      </c>
      <c r="P65" s="12">
        <v>5.4589269884157729E-2</v>
      </c>
      <c r="Q65" s="12">
        <v>0.19428864891763736</v>
      </c>
      <c r="R65" s="14">
        <v>51</v>
      </c>
    </row>
    <row r="66" spans="2:18" x14ac:dyDescent="0.5">
      <c r="B66" s="1" t="s">
        <v>437</v>
      </c>
      <c r="C66" t="s">
        <v>444</v>
      </c>
      <c r="D66" t="s">
        <v>445</v>
      </c>
      <c r="E66">
        <v>103.9</v>
      </c>
      <c r="F66" s="9" t="s">
        <v>67</v>
      </c>
      <c r="G66" s="7">
        <v>634503561216</v>
      </c>
      <c r="H66" s="6">
        <v>205.4</v>
      </c>
      <c r="I66" s="6">
        <v>94.05</v>
      </c>
      <c r="J66" s="12">
        <f t="shared" ref="J66:J97" si="2">E66/I66-1</f>
        <v>0.10473152578415745</v>
      </c>
      <c r="K66" s="11">
        <v>0</v>
      </c>
      <c r="L66" s="13">
        <v>39322363000</v>
      </c>
      <c r="M66" s="13">
        <v>228415685000</v>
      </c>
      <c r="N66" s="9" t="s">
        <v>50</v>
      </c>
      <c r="O66" s="6">
        <v>1.0683760683760684</v>
      </c>
      <c r="P66" s="12">
        <v>6.7267066329931943E-2</v>
      </c>
      <c r="Q66" s="12">
        <v>0.17215263916748974</v>
      </c>
      <c r="R66" s="14">
        <v>52</v>
      </c>
    </row>
    <row r="67" spans="2:18" x14ac:dyDescent="0.5">
      <c r="B67" s="1" t="s">
        <v>135</v>
      </c>
      <c r="C67" t="s">
        <v>180</v>
      </c>
      <c r="D67" t="s">
        <v>181</v>
      </c>
      <c r="E67">
        <v>38.18</v>
      </c>
      <c r="F67" s="9" t="s">
        <v>67</v>
      </c>
      <c r="G67" s="7">
        <v>26408343552</v>
      </c>
      <c r="H67" s="6">
        <v>48.1</v>
      </c>
      <c r="I67" s="6">
        <v>19.82</v>
      </c>
      <c r="J67" s="12">
        <f t="shared" si="2"/>
        <v>0.92633703329969719</v>
      </c>
      <c r="K67" s="11">
        <v>1.3095861707700367E-2</v>
      </c>
      <c r="L67" s="13">
        <v>1323087000</v>
      </c>
      <c r="M67" s="13">
        <v>5952918000</v>
      </c>
      <c r="N67" s="9" t="s">
        <v>67</v>
      </c>
      <c r="O67" s="6">
        <v>1</v>
      </c>
      <c r="P67" s="12">
        <v>4.5827231220465142E-2</v>
      </c>
      <c r="Q67" s="12">
        <v>0.222258562943417</v>
      </c>
      <c r="R67" s="14">
        <v>53</v>
      </c>
    </row>
    <row r="68" spans="2:18" x14ac:dyDescent="0.5">
      <c r="B68" s="1" t="s">
        <v>364</v>
      </c>
      <c r="C68" t="s">
        <v>366</v>
      </c>
      <c r="D68" t="s">
        <v>172</v>
      </c>
      <c r="E68">
        <v>11</v>
      </c>
      <c r="F68" s="9" t="s">
        <v>67</v>
      </c>
      <c r="G68" s="7">
        <v>2959862272</v>
      </c>
      <c r="H68" s="6">
        <v>15.58</v>
      </c>
      <c r="I68" s="6">
        <v>8.3000000000000007</v>
      </c>
      <c r="J68" s="12">
        <f t="shared" si="2"/>
        <v>0.32530120481927693</v>
      </c>
      <c r="K68" s="11">
        <v>0</v>
      </c>
      <c r="L68" s="13">
        <v>-481083000</v>
      </c>
      <c r="M68" s="13">
        <v>4136123000</v>
      </c>
      <c r="N68" s="9" t="s">
        <v>50</v>
      </c>
      <c r="O68" s="6">
        <v>1.0683760683760684</v>
      </c>
      <c r="P68" s="12">
        <v>0.39772142020695567</v>
      </c>
      <c r="Q68" s="12">
        <v>-0.11631254679805218</v>
      </c>
      <c r="R68" s="14">
        <v>54</v>
      </c>
    </row>
    <row r="69" spans="2:18" x14ac:dyDescent="0.5">
      <c r="B69" s="1" t="s">
        <v>31</v>
      </c>
      <c r="C69" t="s">
        <v>93</v>
      </c>
      <c r="D69" t="s">
        <v>74</v>
      </c>
      <c r="E69">
        <v>3.13</v>
      </c>
      <c r="F69" s="9" t="s">
        <v>67</v>
      </c>
      <c r="G69" s="7">
        <v>19409825792</v>
      </c>
      <c r="H69" s="6">
        <v>4.13</v>
      </c>
      <c r="I69" s="6">
        <v>2.2200000000000002</v>
      </c>
      <c r="J69" s="12">
        <f t="shared" si="2"/>
        <v>0.40990990990990972</v>
      </c>
      <c r="K69" s="11">
        <v>4.7923322683706068E-2</v>
      </c>
      <c r="L69" s="13">
        <v>1677300000</v>
      </c>
      <c r="M69" s="13">
        <v>11188800000</v>
      </c>
      <c r="N69" s="9" t="s">
        <v>50</v>
      </c>
      <c r="O69" s="6">
        <v>1.0683760683760684</v>
      </c>
      <c r="P69" s="12">
        <v>8.5380082623709427E-2</v>
      </c>
      <c r="Q69" s="12">
        <v>0.1499088374088374</v>
      </c>
      <c r="R69" s="14">
        <v>55</v>
      </c>
    </row>
    <row r="70" spans="2:18" x14ac:dyDescent="0.5">
      <c r="B70" s="1" t="s">
        <v>123</v>
      </c>
      <c r="C70" t="s">
        <v>164</v>
      </c>
      <c r="D70" t="s">
        <v>165</v>
      </c>
      <c r="E70">
        <v>27.44</v>
      </c>
      <c r="F70" s="9" t="s">
        <v>67</v>
      </c>
      <c r="G70" s="7">
        <v>31216316416</v>
      </c>
      <c r="H70" s="6">
        <v>28.26</v>
      </c>
      <c r="I70" s="6">
        <v>19.52</v>
      </c>
      <c r="J70" s="12">
        <f t="shared" si="2"/>
        <v>0.40573770491803285</v>
      </c>
      <c r="K70" s="11">
        <v>5.10204081632653E-2</v>
      </c>
      <c r="L70" s="13">
        <v>3446618000</v>
      </c>
      <c r="M70" s="13">
        <v>34010798000</v>
      </c>
      <c r="N70" s="9" t="s">
        <v>50</v>
      </c>
      <c r="O70" s="6">
        <v>1.0683760683760684</v>
      </c>
      <c r="P70" s="12">
        <v>0.1227879546055955</v>
      </c>
      <c r="Q70" s="12">
        <v>0.10133893359397213</v>
      </c>
      <c r="R70" s="14">
        <v>55</v>
      </c>
    </row>
    <row r="71" spans="2:18" x14ac:dyDescent="0.5">
      <c r="B71" s="1" t="s">
        <v>261</v>
      </c>
      <c r="C71" t="s">
        <v>312</v>
      </c>
      <c r="D71" t="s">
        <v>74</v>
      </c>
      <c r="E71">
        <v>7.79</v>
      </c>
      <c r="F71" s="9" t="s">
        <v>67</v>
      </c>
      <c r="G71" s="7">
        <v>5311721984</v>
      </c>
      <c r="H71" s="6">
        <v>10.98</v>
      </c>
      <c r="I71" s="6">
        <v>6.56</v>
      </c>
      <c r="J71" s="12">
        <f t="shared" si="2"/>
        <v>0.1875</v>
      </c>
      <c r="K71" s="11">
        <v>4.5827984595635425E-2</v>
      </c>
      <c r="L71" s="13">
        <v>618033000</v>
      </c>
      <c r="M71" s="13">
        <v>5033024000</v>
      </c>
      <c r="N71" s="9" t="s">
        <v>50</v>
      </c>
      <c r="O71" s="6">
        <v>1.0683760683760684</v>
      </c>
      <c r="P71" s="12">
        <v>0.1043169064803612</v>
      </c>
      <c r="Q71" s="12">
        <v>0.12279555988606453</v>
      </c>
      <c r="R71" s="14">
        <v>56</v>
      </c>
    </row>
    <row r="72" spans="2:18" x14ac:dyDescent="0.5">
      <c r="B72" s="1" t="s">
        <v>113</v>
      </c>
      <c r="C72" t="s">
        <v>152</v>
      </c>
      <c r="D72" t="s">
        <v>153</v>
      </c>
      <c r="E72">
        <v>69.95</v>
      </c>
      <c r="F72" s="9" t="s">
        <v>67</v>
      </c>
      <c r="G72" s="7">
        <v>190971691008</v>
      </c>
      <c r="H72" s="6">
        <v>86</v>
      </c>
      <c r="I72" s="6">
        <v>44.25</v>
      </c>
      <c r="J72" s="12">
        <f t="shared" si="2"/>
        <v>0.58079096045197742</v>
      </c>
      <c r="K72" s="11">
        <v>3.8598999285203717E-2</v>
      </c>
      <c r="L72" s="13">
        <v>8955723006</v>
      </c>
      <c r="M72" s="13">
        <v>47495870210</v>
      </c>
      <c r="N72" s="9" t="s">
        <v>50</v>
      </c>
      <c r="O72" s="6">
        <v>1.0683760683760684</v>
      </c>
      <c r="P72" s="12">
        <v>5.1187190538076049E-2</v>
      </c>
      <c r="Q72" s="12">
        <v>0.18855793075067021</v>
      </c>
      <c r="R72" s="14">
        <v>57</v>
      </c>
    </row>
    <row r="73" spans="2:18" x14ac:dyDescent="0.5">
      <c r="B73" s="1" t="s">
        <v>113</v>
      </c>
      <c r="C73" t="s">
        <v>152</v>
      </c>
      <c r="D73" t="s">
        <v>153</v>
      </c>
      <c r="E73">
        <v>69.95</v>
      </c>
      <c r="F73" s="9" t="s">
        <v>67</v>
      </c>
      <c r="G73" s="7">
        <v>190971691008</v>
      </c>
      <c r="H73" s="6">
        <v>86</v>
      </c>
      <c r="I73" s="6">
        <v>44.25</v>
      </c>
      <c r="J73" s="12">
        <f t="shared" si="2"/>
        <v>0.58079096045197742</v>
      </c>
      <c r="K73" s="11">
        <v>3.8598999285203717E-2</v>
      </c>
      <c r="L73" s="13">
        <v>8955723006</v>
      </c>
      <c r="M73" s="13">
        <v>47495870210</v>
      </c>
      <c r="N73" s="9" t="s">
        <v>50</v>
      </c>
      <c r="O73" s="6">
        <v>1.0683760683760684</v>
      </c>
      <c r="P73" s="12">
        <v>5.1187190538076049E-2</v>
      </c>
      <c r="Q73" s="12">
        <v>0.18855793075067021</v>
      </c>
      <c r="R73" s="14">
        <v>57</v>
      </c>
    </row>
    <row r="74" spans="2:18" x14ac:dyDescent="0.5">
      <c r="B74" s="1" t="s">
        <v>124</v>
      </c>
      <c r="C74" t="s">
        <v>166</v>
      </c>
      <c r="D74" t="s">
        <v>107</v>
      </c>
      <c r="E74">
        <v>15.51</v>
      </c>
      <c r="F74" s="9" t="s">
        <v>67</v>
      </c>
      <c r="G74" s="7">
        <v>153005293568</v>
      </c>
      <c r="H74" s="6">
        <v>16.95</v>
      </c>
      <c r="I74" s="6">
        <v>6.43</v>
      </c>
      <c r="J74" s="12">
        <f t="shared" si="2"/>
        <v>1.4121306376360812</v>
      </c>
      <c r="K74" s="11">
        <v>3.3526756931012251E-2</v>
      </c>
      <c r="L74" s="13">
        <v>8510100000</v>
      </c>
      <c r="M74" s="13">
        <v>46117200000</v>
      </c>
      <c r="N74" s="9" t="s">
        <v>67</v>
      </c>
      <c r="O74" s="6">
        <v>1</v>
      </c>
      <c r="P74" s="12">
        <v>5.120027632974862E-2</v>
      </c>
      <c r="Q74" s="12">
        <v>0.18453201842262756</v>
      </c>
      <c r="R74" s="14">
        <v>58</v>
      </c>
    </row>
    <row r="75" spans="2:18" x14ac:dyDescent="0.5">
      <c r="B75" s="1" t="s">
        <v>260</v>
      </c>
      <c r="C75" t="s">
        <v>311</v>
      </c>
      <c r="D75" t="s">
        <v>239</v>
      </c>
      <c r="E75">
        <v>7.95</v>
      </c>
      <c r="F75" s="9" t="s">
        <v>67</v>
      </c>
      <c r="G75" s="7">
        <v>105081765888</v>
      </c>
      <c r="H75" s="6">
        <v>9.83</v>
      </c>
      <c r="I75" s="6">
        <v>6.84</v>
      </c>
      <c r="J75" s="12">
        <f t="shared" si="2"/>
        <v>0.16228070175438591</v>
      </c>
      <c r="K75" s="11">
        <v>7.169811320754717E-3</v>
      </c>
      <c r="L75" s="13">
        <v>1187000000</v>
      </c>
      <c r="M75" s="13">
        <v>10278000000</v>
      </c>
      <c r="N75" s="9" t="s">
        <v>71</v>
      </c>
      <c r="O75" s="6">
        <v>7.6923076923076916</v>
      </c>
      <c r="P75" s="12">
        <v>0.10793234968834937</v>
      </c>
      <c r="Q75" s="12">
        <v>0.1154893948238957</v>
      </c>
      <c r="R75" s="14">
        <v>59</v>
      </c>
    </row>
    <row r="76" spans="2:18" x14ac:dyDescent="0.5">
      <c r="B76" s="1" t="s">
        <v>133</v>
      </c>
      <c r="C76" t="s">
        <v>177</v>
      </c>
      <c r="D76" t="s">
        <v>76</v>
      </c>
      <c r="E76">
        <v>15.21</v>
      </c>
      <c r="F76" s="9" t="s">
        <v>67</v>
      </c>
      <c r="G76" s="7">
        <v>63851716608</v>
      </c>
      <c r="H76" s="6">
        <v>16.3</v>
      </c>
      <c r="I76" s="6">
        <v>11.42</v>
      </c>
      <c r="J76" s="12">
        <f t="shared" si="2"/>
        <v>0.3318739054290718</v>
      </c>
      <c r="K76" s="11">
        <v>5.8251150558842862E-2</v>
      </c>
      <c r="L76" s="13">
        <v>11996000000</v>
      </c>
      <c r="M76" s="13">
        <v>138296000000</v>
      </c>
      <c r="N76" s="9" t="s">
        <v>67</v>
      </c>
      <c r="O76" s="6">
        <v>1</v>
      </c>
      <c r="P76" s="12">
        <v>0.13790135739902834</v>
      </c>
      <c r="Q76" s="12">
        <v>8.6741482038526066E-2</v>
      </c>
      <c r="R76" s="14">
        <v>60</v>
      </c>
    </row>
    <row r="77" spans="2:18" x14ac:dyDescent="0.5">
      <c r="B77" s="1" t="s">
        <v>133</v>
      </c>
      <c r="C77" t="s">
        <v>177</v>
      </c>
      <c r="D77" t="s">
        <v>76</v>
      </c>
      <c r="E77">
        <v>15.21</v>
      </c>
      <c r="F77" s="9" t="s">
        <v>67</v>
      </c>
      <c r="G77" s="7">
        <v>63851716608</v>
      </c>
      <c r="H77" s="6">
        <v>16.3</v>
      </c>
      <c r="I77" s="6">
        <v>11.42</v>
      </c>
      <c r="J77" s="12">
        <f t="shared" si="2"/>
        <v>0.3318739054290718</v>
      </c>
      <c r="K77" s="11">
        <v>5.8251150558842862E-2</v>
      </c>
      <c r="L77" s="13">
        <v>11996000000</v>
      </c>
      <c r="M77" s="13">
        <v>138296000000</v>
      </c>
      <c r="N77" s="9" t="s">
        <v>67</v>
      </c>
      <c r="O77" s="6">
        <v>1</v>
      </c>
      <c r="P77" s="12">
        <v>0.13790135739902834</v>
      </c>
      <c r="Q77" s="12">
        <v>8.6741482038526066E-2</v>
      </c>
      <c r="R77" s="14">
        <v>60</v>
      </c>
    </row>
    <row r="78" spans="2:18" x14ac:dyDescent="0.5">
      <c r="B78" s="1" t="s">
        <v>128</v>
      </c>
      <c r="C78" t="s">
        <v>171</v>
      </c>
      <c r="D78" t="s">
        <v>172</v>
      </c>
      <c r="E78">
        <v>646.5</v>
      </c>
      <c r="F78" s="9" t="s">
        <v>67</v>
      </c>
      <c r="G78" s="7">
        <v>5856882065408</v>
      </c>
      <c r="H78" s="6">
        <v>683</v>
      </c>
      <c r="I78" s="6">
        <v>364.8</v>
      </c>
      <c r="J78" s="12">
        <f t="shared" si="2"/>
        <v>0.77220394736842102</v>
      </c>
      <c r="K78" s="11">
        <v>6.5413766434648107E-3</v>
      </c>
      <c r="L78" s="13">
        <v>253932000000</v>
      </c>
      <c r="M78" s="13">
        <v>1312163000000</v>
      </c>
      <c r="N78" s="9" t="s">
        <v>50</v>
      </c>
      <c r="O78" s="6">
        <v>1.0683760683760684</v>
      </c>
      <c r="P78" s="12">
        <v>4.4489883674711711E-2</v>
      </c>
      <c r="Q78" s="12">
        <v>0.19352168899747973</v>
      </c>
      <c r="R78" s="14">
        <v>61</v>
      </c>
    </row>
    <row r="79" spans="2:18" x14ac:dyDescent="0.5">
      <c r="B79" s="1" t="s">
        <v>265</v>
      </c>
      <c r="C79" t="s">
        <v>318</v>
      </c>
      <c r="D79" t="s">
        <v>49</v>
      </c>
      <c r="E79">
        <v>4.7</v>
      </c>
      <c r="F79" s="9" t="s">
        <v>67</v>
      </c>
      <c r="G79" s="7">
        <v>8870242304</v>
      </c>
      <c r="H79" s="6">
        <v>5.18</v>
      </c>
      <c r="I79" s="6">
        <v>1.88</v>
      </c>
      <c r="J79" s="12">
        <f t="shared" si="2"/>
        <v>1.5000000000000004</v>
      </c>
      <c r="K79" s="11">
        <v>3.4042553191489362E-2</v>
      </c>
      <c r="L79" s="13">
        <v>896597000</v>
      </c>
      <c r="M79" s="13">
        <v>6906279000</v>
      </c>
      <c r="N79" s="9" t="s">
        <v>67</v>
      </c>
      <c r="O79" s="6">
        <v>1</v>
      </c>
      <c r="P79" s="12">
        <v>8.5678950538596088E-2</v>
      </c>
      <c r="Q79" s="12">
        <v>0.12982345485897689</v>
      </c>
      <c r="R79" s="14">
        <v>61</v>
      </c>
    </row>
    <row r="80" spans="2:18" x14ac:dyDescent="0.5">
      <c r="B80" s="1" t="s">
        <v>274</v>
      </c>
      <c r="C80" t="s">
        <v>328</v>
      </c>
      <c r="D80" t="s">
        <v>82</v>
      </c>
      <c r="E80">
        <v>3.18</v>
      </c>
      <c r="F80" s="9" t="s">
        <v>67</v>
      </c>
      <c r="G80" s="7">
        <v>13610718208</v>
      </c>
      <c r="H80" s="6">
        <v>3.55</v>
      </c>
      <c r="I80" s="6">
        <v>1.39</v>
      </c>
      <c r="J80" s="12">
        <f t="shared" si="2"/>
        <v>1.2877697841726623</v>
      </c>
      <c r="K80" s="11">
        <v>3.8364779874213835E-2</v>
      </c>
      <c r="L80" s="13">
        <v>1230913000</v>
      </c>
      <c r="M80" s="13">
        <v>10701340000</v>
      </c>
      <c r="N80" s="9" t="s">
        <v>50</v>
      </c>
      <c r="O80" s="6">
        <v>1.0683760683760684</v>
      </c>
      <c r="P80" s="12">
        <v>0.10678156638426067</v>
      </c>
      <c r="Q80" s="12">
        <v>0.11502419323187564</v>
      </c>
      <c r="R80" s="14">
        <v>62</v>
      </c>
    </row>
    <row r="81" spans="2:18" x14ac:dyDescent="0.5">
      <c r="B81" s="1" t="s">
        <v>118</v>
      </c>
      <c r="C81" t="s">
        <v>158</v>
      </c>
      <c r="D81" t="s">
        <v>68</v>
      </c>
      <c r="E81">
        <v>6.34</v>
      </c>
      <c r="F81" s="9" t="s">
        <v>67</v>
      </c>
      <c r="G81" s="7">
        <v>10313356288</v>
      </c>
      <c r="H81" s="6">
        <v>7.05</v>
      </c>
      <c r="I81" s="6">
        <v>4.3</v>
      </c>
      <c r="J81" s="12">
        <f t="shared" si="2"/>
        <v>0.47441860465116292</v>
      </c>
      <c r="K81" s="11">
        <v>4.4164037854889593E-2</v>
      </c>
      <c r="L81" s="13">
        <v>3597261000</v>
      </c>
      <c r="M81" s="13">
        <v>38357165000</v>
      </c>
      <c r="N81" s="9" t="s">
        <v>67</v>
      </c>
      <c r="O81" s="6">
        <v>1</v>
      </c>
      <c r="P81" s="12">
        <v>0.11536297839172656</v>
      </c>
      <c r="Q81" s="12">
        <v>9.3783286642795421E-2</v>
      </c>
      <c r="R81" s="14">
        <v>63</v>
      </c>
    </row>
    <row r="82" spans="2:18" x14ac:dyDescent="0.5">
      <c r="B82" s="1" t="s">
        <v>258</v>
      </c>
      <c r="C82" t="s">
        <v>309</v>
      </c>
      <c r="D82" t="s">
        <v>301</v>
      </c>
      <c r="E82">
        <v>57.35</v>
      </c>
      <c r="F82" s="9" t="s">
        <v>67</v>
      </c>
      <c r="G82" s="7">
        <v>1114519240704</v>
      </c>
      <c r="H82" s="6">
        <v>59.2</v>
      </c>
      <c r="I82" s="6">
        <v>39.6</v>
      </c>
      <c r="J82" s="12">
        <f t="shared" si="2"/>
        <v>0.44823232323232332</v>
      </c>
      <c r="K82" s="11">
        <v>4.4812554489973844E-2</v>
      </c>
      <c r="L82" s="13">
        <v>189900000000</v>
      </c>
      <c r="M82" s="13">
        <v>2315380000000</v>
      </c>
      <c r="N82" s="9" t="s">
        <v>50</v>
      </c>
      <c r="O82" s="6">
        <v>1.0683760683760684</v>
      </c>
      <c r="P82" s="12">
        <v>0.12758666945282096</v>
      </c>
      <c r="Q82" s="12">
        <v>8.2016774784268678E-2</v>
      </c>
      <c r="R82" s="14">
        <v>64</v>
      </c>
    </row>
    <row r="83" spans="2:18" x14ac:dyDescent="0.5">
      <c r="B83" s="1" t="s">
        <v>382</v>
      </c>
      <c r="C83" t="s">
        <v>383</v>
      </c>
      <c r="D83" t="s">
        <v>183</v>
      </c>
      <c r="E83">
        <v>6.28</v>
      </c>
      <c r="F83" s="9" t="s">
        <v>67</v>
      </c>
      <c r="G83" s="7">
        <v>3603112448</v>
      </c>
      <c r="H83" s="6">
        <v>8.6199999999999992</v>
      </c>
      <c r="I83" s="6">
        <v>6.18</v>
      </c>
      <c r="J83" s="12">
        <f t="shared" si="2"/>
        <v>1.6181229773462924E-2</v>
      </c>
      <c r="K83" s="11">
        <v>6.3694267515923567E-2</v>
      </c>
      <c r="L83" s="13">
        <v>371538000</v>
      </c>
      <c r="M83" s="13">
        <v>3037286000</v>
      </c>
      <c r="N83" s="9" t="s">
        <v>67</v>
      </c>
      <c r="O83" s="6">
        <v>1</v>
      </c>
      <c r="P83" s="12">
        <v>7.9324231826571209E-2</v>
      </c>
      <c r="Q83" s="12">
        <v>0.12232565520665489</v>
      </c>
      <c r="R83" s="14">
        <v>65</v>
      </c>
    </row>
    <row r="84" spans="2:18" x14ac:dyDescent="0.5">
      <c r="B84" s="1" t="s">
        <v>255</v>
      </c>
      <c r="C84" t="s">
        <v>306</v>
      </c>
      <c r="D84" t="s">
        <v>97</v>
      </c>
      <c r="E84">
        <v>2.0699999999999998</v>
      </c>
      <c r="F84" s="9" t="s">
        <v>67</v>
      </c>
      <c r="G84" s="7">
        <v>1922145024</v>
      </c>
      <c r="H84" s="6">
        <v>2.4</v>
      </c>
      <c r="I84" s="6">
        <v>1.72</v>
      </c>
      <c r="J84" s="12">
        <f t="shared" si="2"/>
        <v>0.20348837209302317</v>
      </c>
      <c r="K84" s="11">
        <v>4.3478260869565216E-2</v>
      </c>
      <c r="L84" s="13">
        <v>238321000</v>
      </c>
      <c r="M84" s="13">
        <v>6087917000</v>
      </c>
      <c r="N84" s="9" t="s">
        <v>67</v>
      </c>
      <c r="O84" s="6">
        <v>1</v>
      </c>
      <c r="P84" s="12">
        <v>0.152032123829385</v>
      </c>
      <c r="Q84" s="12">
        <v>3.9146558666946343E-2</v>
      </c>
      <c r="R84" s="14">
        <v>65</v>
      </c>
    </row>
    <row r="85" spans="2:18" x14ac:dyDescent="0.5">
      <c r="B85" s="1" t="s">
        <v>447</v>
      </c>
      <c r="C85" t="s">
        <v>451</v>
      </c>
      <c r="D85" t="s">
        <v>165</v>
      </c>
      <c r="E85">
        <v>2.25</v>
      </c>
      <c r="F85" s="9" t="s">
        <v>67</v>
      </c>
      <c r="G85" s="7">
        <v>3000000512</v>
      </c>
      <c r="H85" s="6">
        <v>3.21</v>
      </c>
      <c r="I85" s="6">
        <v>1.73</v>
      </c>
      <c r="J85" s="12">
        <f t="shared" si="2"/>
        <v>0.300578034682081</v>
      </c>
      <c r="K85" s="11">
        <v>5.333333333333333E-2</v>
      </c>
      <c r="L85" s="13">
        <v>244399000</v>
      </c>
      <c r="M85" s="13">
        <v>2990882000</v>
      </c>
      <c r="N85" s="9" t="s">
        <v>50</v>
      </c>
      <c r="O85" s="6">
        <v>1.0683760683760684</v>
      </c>
      <c r="P85" s="12">
        <v>0.12430905706650816</v>
      </c>
      <c r="Q85" s="12">
        <v>8.171469151909036E-2</v>
      </c>
      <c r="R85" s="14">
        <v>66</v>
      </c>
    </row>
    <row r="86" spans="2:18" x14ac:dyDescent="0.5">
      <c r="B86" s="1" t="s">
        <v>286</v>
      </c>
      <c r="C86" t="s">
        <v>341</v>
      </c>
      <c r="D86" t="s">
        <v>49</v>
      </c>
      <c r="E86">
        <v>13.1</v>
      </c>
      <c r="F86" s="9" t="s">
        <v>67</v>
      </c>
      <c r="G86" s="7">
        <v>29295216640</v>
      </c>
      <c r="H86" s="6">
        <v>13.92</v>
      </c>
      <c r="I86" s="6">
        <v>2.36</v>
      </c>
      <c r="J86" s="12">
        <f t="shared" si="2"/>
        <v>4.5508474576271185</v>
      </c>
      <c r="K86" s="11">
        <v>1.7633587786259543E-2</v>
      </c>
      <c r="L86" s="13">
        <v>2184074765.02</v>
      </c>
      <c r="M86" s="13">
        <v>23493408528.349998</v>
      </c>
      <c r="N86" s="9" t="s">
        <v>50</v>
      </c>
      <c r="O86" s="6">
        <v>1.0683760683760684</v>
      </c>
      <c r="P86" s="12">
        <v>0.11260413115407783</v>
      </c>
      <c r="Q86" s="12">
        <v>9.29654274042198E-2</v>
      </c>
      <c r="R86" s="14">
        <v>66</v>
      </c>
    </row>
    <row r="87" spans="2:18" x14ac:dyDescent="0.5">
      <c r="B87" s="1" t="s">
        <v>259</v>
      </c>
      <c r="C87" t="s">
        <v>310</v>
      </c>
      <c r="D87" t="s">
        <v>153</v>
      </c>
      <c r="E87">
        <v>37.24</v>
      </c>
      <c r="F87" s="9" t="s">
        <v>67</v>
      </c>
      <c r="G87" s="7">
        <v>34292234240</v>
      </c>
      <c r="H87" s="6">
        <v>45.78</v>
      </c>
      <c r="I87" s="6">
        <v>9.9</v>
      </c>
      <c r="J87" s="12">
        <f t="shared" si="2"/>
        <v>2.7616161616161619</v>
      </c>
      <c r="K87" s="11">
        <v>2.0945220193340493E-3</v>
      </c>
      <c r="L87" s="13">
        <v>334940000</v>
      </c>
      <c r="M87" s="13">
        <v>3025375000</v>
      </c>
      <c r="N87" s="9" t="s">
        <v>71</v>
      </c>
      <c r="O87" s="6">
        <v>7.6923076923076916</v>
      </c>
      <c r="P87" s="12">
        <v>8.1874435162708731E-2</v>
      </c>
      <c r="Q87" s="12">
        <v>0.11071024253191752</v>
      </c>
      <c r="R87" s="14">
        <v>67</v>
      </c>
    </row>
    <row r="88" spans="2:18" x14ac:dyDescent="0.5">
      <c r="B88" s="1" t="s">
        <v>134</v>
      </c>
      <c r="C88" t="s">
        <v>178</v>
      </c>
      <c r="D88" t="s">
        <v>179</v>
      </c>
      <c r="E88">
        <v>10.25</v>
      </c>
      <c r="F88" s="9" t="s">
        <v>67</v>
      </c>
      <c r="G88" s="7">
        <v>24151367680</v>
      </c>
      <c r="H88" s="6">
        <v>12.7</v>
      </c>
      <c r="I88" s="6">
        <v>6.33</v>
      </c>
      <c r="J88" s="12">
        <f t="shared" si="2"/>
        <v>0.61927330173775674</v>
      </c>
      <c r="K88" s="11">
        <v>0</v>
      </c>
      <c r="L88" s="13">
        <v>13493113000</v>
      </c>
      <c r="M88" s="13">
        <v>208027754000</v>
      </c>
      <c r="N88" s="9" t="s">
        <v>50</v>
      </c>
      <c r="O88" s="6">
        <v>1.0683760683760684</v>
      </c>
      <c r="P88" s="12">
        <v>0.11690496723462658</v>
      </c>
      <c r="Q88" s="12">
        <v>6.4862080854845933E-2</v>
      </c>
      <c r="R88" s="14">
        <v>68</v>
      </c>
    </row>
    <row r="89" spans="2:18" x14ac:dyDescent="0.5">
      <c r="B89" s="1" t="s">
        <v>114</v>
      </c>
      <c r="C89" t="s">
        <v>154</v>
      </c>
      <c r="D89" t="s">
        <v>92</v>
      </c>
      <c r="E89">
        <v>23.46</v>
      </c>
      <c r="F89" s="9" t="s">
        <v>67</v>
      </c>
      <c r="G89" s="7">
        <v>131434201088</v>
      </c>
      <c r="H89" s="6">
        <v>25.9</v>
      </c>
      <c r="I89" s="6">
        <v>18.7</v>
      </c>
      <c r="J89" s="12">
        <f t="shared" si="2"/>
        <v>0.25454545454545463</v>
      </c>
      <c r="K89" s="11">
        <v>4.0494458653026422E-2</v>
      </c>
      <c r="L89" s="13">
        <v>10795274825</v>
      </c>
      <c r="M89" s="13">
        <v>215275428010</v>
      </c>
      <c r="N89" s="9" t="s">
        <v>50</v>
      </c>
      <c r="O89" s="6">
        <v>1.0683760683760684</v>
      </c>
      <c r="P89" s="12">
        <v>0.13110377277797788</v>
      </c>
      <c r="Q89" s="12">
        <v>5.0146340085309396E-2</v>
      </c>
      <c r="R89" s="14">
        <v>68</v>
      </c>
    </row>
    <row r="90" spans="2:18" x14ac:dyDescent="0.5">
      <c r="B90" s="1" t="s">
        <v>139</v>
      </c>
      <c r="C90" t="s">
        <v>187</v>
      </c>
      <c r="D90" t="s">
        <v>103</v>
      </c>
      <c r="E90">
        <v>37.5</v>
      </c>
      <c r="F90" s="9" t="s">
        <v>67</v>
      </c>
      <c r="G90" s="7">
        <v>84495171584</v>
      </c>
      <c r="H90" s="6">
        <v>61.55</v>
      </c>
      <c r="I90" s="6">
        <v>26.65</v>
      </c>
      <c r="J90" s="12">
        <f t="shared" si="2"/>
        <v>0.40712945590994387</v>
      </c>
      <c r="K90" s="11">
        <v>1.5146666666666666E-2</v>
      </c>
      <c r="L90" s="13">
        <v>5261270000</v>
      </c>
      <c r="M90" s="13">
        <v>43208997000</v>
      </c>
      <c r="N90" s="9" t="s">
        <v>50</v>
      </c>
      <c r="O90" s="6">
        <v>1.0683760683760684</v>
      </c>
      <c r="P90" s="12">
        <v>6.2267263043961317E-2</v>
      </c>
      <c r="Q90" s="12">
        <v>0.12176329850933591</v>
      </c>
      <c r="R90" s="14">
        <v>68</v>
      </c>
    </row>
    <row r="91" spans="2:18" x14ac:dyDescent="0.5">
      <c r="B91" s="1" t="s">
        <v>36</v>
      </c>
      <c r="C91" t="s">
        <v>101</v>
      </c>
      <c r="D91" t="s">
        <v>49</v>
      </c>
      <c r="E91">
        <v>19.3</v>
      </c>
      <c r="F91" s="9" t="s">
        <v>67</v>
      </c>
      <c r="G91" s="7">
        <v>76872867840</v>
      </c>
      <c r="H91" s="6">
        <v>119.9</v>
      </c>
      <c r="I91" s="6">
        <v>8.4700000000000006</v>
      </c>
      <c r="J91" s="12">
        <f t="shared" si="2"/>
        <v>1.278630460448642</v>
      </c>
      <c r="K91" s="11">
        <v>2.2694300518134713E-2</v>
      </c>
      <c r="L91" s="13">
        <v>3967214824.1399999</v>
      </c>
      <c r="M91" s="13">
        <v>41038539262.660004</v>
      </c>
      <c r="N91" s="9" t="s">
        <v>50</v>
      </c>
      <c r="O91" s="6">
        <v>1.0683760683760684</v>
      </c>
      <c r="P91" s="12">
        <v>8.2501331872157954E-2</v>
      </c>
      <c r="Q91" s="12">
        <v>9.6670468672106824E-2</v>
      </c>
      <c r="R91" s="14">
        <v>69</v>
      </c>
    </row>
    <row r="92" spans="2:18" x14ac:dyDescent="0.5">
      <c r="B92" s="1" t="s">
        <v>391</v>
      </c>
      <c r="C92" t="s">
        <v>392</v>
      </c>
      <c r="D92" t="s">
        <v>55</v>
      </c>
      <c r="E92">
        <v>43.86</v>
      </c>
      <c r="F92" s="9" t="s">
        <v>67</v>
      </c>
      <c r="G92" s="7">
        <v>1142201122816</v>
      </c>
      <c r="H92" s="6">
        <v>61.45</v>
      </c>
      <c r="I92" s="6">
        <v>26.55</v>
      </c>
      <c r="J92" s="12">
        <f t="shared" si="2"/>
        <v>0.65197740112994351</v>
      </c>
      <c r="K92" s="11">
        <v>0</v>
      </c>
      <c r="L92" s="13">
        <v>29458798000</v>
      </c>
      <c r="M92" s="13">
        <v>219340795000</v>
      </c>
      <c r="N92" s="9" t="s">
        <v>50</v>
      </c>
      <c r="O92" s="6">
        <v>1.0683760683760684</v>
      </c>
      <c r="P92" s="12">
        <v>2.7494323551966682E-2</v>
      </c>
      <c r="Q92" s="12">
        <v>0.13430606011982404</v>
      </c>
      <c r="R92" s="14">
        <v>70</v>
      </c>
    </row>
    <row r="93" spans="2:18" x14ac:dyDescent="0.5">
      <c r="B93" s="1" t="s">
        <v>127</v>
      </c>
      <c r="C93" t="s">
        <v>170</v>
      </c>
      <c r="D93" t="s">
        <v>97</v>
      </c>
      <c r="E93">
        <v>11.43</v>
      </c>
      <c r="F93" s="9" t="s">
        <v>67</v>
      </c>
      <c r="G93" s="7">
        <v>86612025344</v>
      </c>
      <c r="H93" s="6">
        <v>12.95</v>
      </c>
      <c r="I93" s="6">
        <v>9.39</v>
      </c>
      <c r="J93" s="12">
        <f t="shared" si="2"/>
        <v>0.21725239616613412</v>
      </c>
      <c r="K93" s="11">
        <v>6.9728783902012259E-2</v>
      </c>
      <c r="L93" s="13">
        <v>8154000000</v>
      </c>
      <c r="M93" s="13">
        <v>79588000000</v>
      </c>
      <c r="N93" s="9" t="s">
        <v>67</v>
      </c>
      <c r="O93" s="6">
        <v>1</v>
      </c>
      <c r="P93" s="12">
        <v>6.3742453424467133E-2</v>
      </c>
      <c r="Q93" s="12">
        <v>0.10245263104990703</v>
      </c>
      <c r="R93" s="14">
        <v>71</v>
      </c>
    </row>
    <row r="94" spans="2:18" x14ac:dyDescent="0.5">
      <c r="B94" s="1" t="s">
        <v>110</v>
      </c>
      <c r="C94" t="s">
        <v>147</v>
      </c>
      <c r="D94" t="s">
        <v>97</v>
      </c>
      <c r="E94">
        <v>5.51</v>
      </c>
      <c r="F94" s="9" t="s">
        <v>67</v>
      </c>
      <c r="G94" s="7">
        <v>655620374528</v>
      </c>
      <c r="H94" s="6">
        <v>6.98</v>
      </c>
      <c r="I94" s="6">
        <v>4.2300000000000004</v>
      </c>
      <c r="J94" s="12">
        <f t="shared" si="2"/>
        <v>0.30260047281323854</v>
      </c>
      <c r="K94" s="11">
        <v>8.0036297640653356E-2</v>
      </c>
      <c r="L94" s="13">
        <v>44563000000</v>
      </c>
      <c r="M94" s="13">
        <v>463922000000</v>
      </c>
      <c r="N94" s="9" t="s">
        <v>50</v>
      </c>
      <c r="O94" s="6">
        <v>1.0683760683760684</v>
      </c>
      <c r="P94" s="12">
        <v>7.5250338638335565E-2</v>
      </c>
      <c r="Q94" s="12">
        <v>9.605709580489824E-2</v>
      </c>
      <c r="R94" s="14">
        <v>72</v>
      </c>
    </row>
    <row r="95" spans="2:18" x14ac:dyDescent="0.5">
      <c r="B95" s="1" t="s">
        <v>256</v>
      </c>
      <c r="C95" t="s">
        <v>307</v>
      </c>
      <c r="D95" t="s">
        <v>303</v>
      </c>
      <c r="E95">
        <v>2.5099999999999998</v>
      </c>
      <c r="F95" s="9" t="s">
        <v>67</v>
      </c>
      <c r="G95" s="7">
        <v>76744130560</v>
      </c>
      <c r="H95" s="6">
        <v>3.17</v>
      </c>
      <c r="I95" s="6">
        <v>1.35</v>
      </c>
      <c r="J95" s="12">
        <f t="shared" si="2"/>
        <v>0.85925925925925895</v>
      </c>
      <c r="K95" s="11">
        <v>2.2310756972111555E-2</v>
      </c>
      <c r="L95" s="13">
        <v>12616717000</v>
      </c>
      <c r="M95" s="13">
        <v>231208465000</v>
      </c>
      <c r="N95" s="9" t="s">
        <v>50</v>
      </c>
      <c r="O95" s="6">
        <v>1.0683760683760684</v>
      </c>
      <c r="P95" s="12">
        <v>0.11162761587437908</v>
      </c>
      <c r="Q95" s="12">
        <v>5.4568577322633927E-2</v>
      </c>
      <c r="R95" s="14">
        <v>72</v>
      </c>
    </row>
    <row r="96" spans="2:18" x14ac:dyDescent="0.5">
      <c r="B96" s="1" t="s">
        <v>254</v>
      </c>
      <c r="C96" t="s">
        <v>305</v>
      </c>
      <c r="D96" t="s">
        <v>149</v>
      </c>
      <c r="E96">
        <v>8.26</v>
      </c>
      <c r="F96" s="9" t="s">
        <v>67</v>
      </c>
      <c r="G96" s="7">
        <v>20977084416</v>
      </c>
      <c r="H96" s="6">
        <v>13.78</v>
      </c>
      <c r="I96" s="6">
        <v>8.0399999999999991</v>
      </c>
      <c r="J96" s="12">
        <f t="shared" si="2"/>
        <v>2.7363184079602032E-2</v>
      </c>
      <c r="K96" s="11">
        <v>3.6319612590799029E-2</v>
      </c>
      <c r="L96" s="13">
        <v>9652467000</v>
      </c>
      <c r="M96" s="13">
        <v>173514401000</v>
      </c>
      <c r="N96" s="9" t="s">
        <v>50</v>
      </c>
      <c r="O96" s="6">
        <v>1.0683760683760684</v>
      </c>
      <c r="P96" s="12">
        <v>0.10910634323943863</v>
      </c>
      <c r="Q96" s="12">
        <v>5.5629198178196171E-2</v>
      </c>
      <c r="R96" s="14">
        <v>73</v>
      </c>
    </row>
    <row r="97" spans="2:18" x14ac:dyDescent="0.5">
      <c r="B97" s="1" t="s">
        <v>449</v>
      </c>
      <c r="C97" t="s">
        <v>453</v>
      </c>
      <c r="D97" t="s">
        <v>454</v>
      </c>
      <c r="E97">
        <v>552</v>
      </c>
      <c r="F97" s="9" t="s">
        <v>67</v>
      </c>
      <c r="G97" s="7">
        <v>360789114880</v>
      </c>
      <c r="H97" s="6">
        <v>613</v>
      </c>
      <c r="I97" s="6">
        <v>402.6</v>
      </c>
      <c r="J97" s="12">
        <f t="shared" si="2"/>
        <v>0.37108792846497751</v>
      </c>
      <c r="K97" s="11">
        <v>0</v>
      </c>
      <c r="L97" s="13">
        <v>18738000000</v>
      </c>
      <c r="M97" s="13">
        <v>182117000000</v>
      </c>
      <c r="N97" s="9" t="s">
        <v>50</v>
      </c>
      <c r="O97" s="6">
        <v>1.0683760683760684</v>
      </c>
      <c r="P97" s="12">
        <v>5.6853900049658214E-2</v>
      </c>
      <c r="Q97" s="12">
        <v>0.10288990044861271</v>
      </c>
      <c r="R97" s="14">
        <v>74</v>
      </c>
    </row>
    <row r="98" spans="2:18" x14ac:dyDescent="0.5">
      <c r="B98" s="1" t="s">
        <v>121</v>
      </c>
      <c r="C98" t="s">
        <v>161</v>
      </c>
      <c r="D98" t="s">
        <v>162</v>
      </c>
      <c r="E98">
        <v>11.28</v>
      </c>
      <c r="F98" s="9" t="s">
        <v>67</v>
      </c>
      <c r="G98" s="7">
        <v>76699172864</v>
      </c>
      <c r="H98" s="6">
        <v>11.43</v>
      </c>
      <c r="I98" s="6">
        <v>5</v>
      </c>
      <c r="J98" s="12">
        <f t="shared" ref="J98:J128" si="3">E98/I98-1</f>
        <v>1.2559999999999998</v>
      </c>
      <c r="K98" s="11">
        <v>1.8617021276595744E-2</v>
      </c>
      <c r="L98" s="13">
        <v>6749146000</v>
      </c>
      <c r="M98" s="13">
        <v>70848374000</v>
      </c>
      <c r="N98" s="9" t="s">
        <v>50</v>
      </c>
      <c r="O98" s="6">
        <v>1.0683760683760684</v>
      </c>
      <c r="P98" s="12">
        <v>6.5977722683527168E-2</v>
      </c>
      <c r="Q98" s="12">
        <v>9.5261833390841127E-2</v>
      </c>
      <c r="R98" s="14">
        <v>75</v>
      </c>
    </row>
    <row r="99" spans="2:18" x14ac:dyDescent="0.5">
      <c r="B99" s="1" t="s">
        <v>119</v>
      </c>
      <c r="C99" t="s">
        <v>159</v>
      </c>
      <c r="D99" t="s">
        <v>97</v>
      </c>
      <c r="E99">
        <v>9.26</v>
      </c>
      <c r="F99" s="9" t="s">
        <v>67</v>
      </c>
      <c r="G99" s="7">
        <v>283337490432</v>
      </c>
      <c r="H99" s="6">
        <v>11.56</v>
      </c>
      <c r="I99" s="6">
        <v>6.22</v>
      </c>
      <c r="J99" s="12">
        <f t="shared" si="3"/>
        <v>0.4887459807073955</v>
      </c>
      <c r="K99" s="11">
        <v>4.7516198704103674E-2</v>
      </c>
      <c r="L99" s="13">
        <v>26994000000</v>
      </c>
      <c r="M99" s="13">
        <v>363169000000</v>
      </c>
      <c r="N99" s="9" t="s">
        <v>50</v>
      </c>
      <c r="O99" s="6">
        <v>1.0683760683760684</v>
      </c>
      <c r="P99" s="12">
        <v>9.7631408980080311E-2</v>
      </c>
      <c r="Q99" s="12">
        <v>7.4329031387590908E-2</v>
      </c>
      <c r="R99" s="14">
        <v>76</v>
      </c>
    </row>
    <row r="100" spans="2:18" x14ac:dyDescent="0.5">
      <c r="B100" s="1" t="s">
        <v>18</v>
      </c>
      <c r="C100" t="s">
        <v>66</v>
      </c>
      <c r="D100" t="s">
        <v>65</v>
      </c>
      <c r="E100">
        <v>63.65</v>
      </c>
      <c r="F100" s="9" t="s">
        <v>67</v>
      </c>
      <c r="G100" s="7">
        <v>164883251200</v>
      </c>
      <c r="H100" s="6">
        <v>68.45</v>
      </c>
      <c r="I100" s="6">
        <v>43.15</v>
      </c>
      <c r="J100" s="12">
        <f t="shared" si="3"/>
        <v>0.47508690614136739</v>
      </c>
      <c r="K100" s="11">
        <v>1.6496465043205028E-2</v>
      </c>
      <c r="L100" s="13">
        <v>6350637223.7200003</v>
      </c>
      <c r="M100" s="13">
        <v>57896384836.860001</v>
      </c>
      <c r="N100" s="9" t="s">
        <v>50</v>
      </c>
      <c r="O100" s="6">
        <v>1.0683760683760684</v>
      </c>
      <c r="P100" s="12">
        <v>5.0938353014941609E-2</v>
      </c>
      <c r="Q100" s="12">
        <v>0.10968970241604512</v>
      </c>
      <c r="R100" s="14">
        <v>77</v>
      </c>
    </row>
    <row r="101" spans="2:18" x14ac:dyDescent="0.5">
      <c r="B101" s="1" t="s">
        <v>115</v>
      </c>
      <c r="C101" t="s">
        <v>155</v>
      </c>
      <c r="D101" t="s">
        <v>149</v>
      </c>
      <c r="E101">
        <v>2.2000000000000002</v>
      </c>
      <c r="F101" s="9" t="s">
        <v>67</v>
      </c>
      <c r="G101" s="7">
        <v>7830624768</v>
      </c>
      <c r="H101" s="6">
        <v>2.64</v>
      </c>
      <c r="I101" s="6">
        <v>1.6</v>
      </c>
      <c r="J101" s="12">
        <f t="shared" si="3"/>
        <v>0.375</v>
      </c>
      <c r="K101" s="11">
        <v>3.4090909090909088E-2</v>
      </c>
      <c r="L101" s="13">
        <v>2220197000</v>
      </c>
      <c r="M101" s="13">
        <v>71097505000</v>
      </c>
      <c r="N101" s="9" t="s">
        <v>50</v>
      </c>
      <c r="O101" s="6">
        <v>1.0683760683760684</v>
      </c>
      <c r="P101" s="12">
        <v>0.11232949816406015</v>
      </c>
      <c r="Q101" s="12">
        <v>3.1227495254580313E-2</v>
      </c>
      <c r="R101" s="14">
        <v>77</v>
      </c>
    </row>
    <row r="102" spans="2:18" x14ac:dyDescent="0.5">
      <c r="B102" s="1" t="s">
        <v>252</v>
      </c>
      <c r="C102" t="s">
        <v>302</v>
      </c>
      <c r="D102" t="s">
        <v>303</v>
      </c>
      <c r="E102">
        <v>5.53</v>
      </c>
      <c r="F102" s="9" t="s">
        <v>67</v>
      </c>
      <c r="G102" s="7">
        <v>112666984448</v>
      </c>
      <c r="H102" s="6">
        <v>6.07</v>
      </c>
      <c r="I102" s="6">
        <v>4.58</v>
      </c>
      <c r="J102" s="12">
        <f t="shared" si="3"/>
        <v>0.2074235807860263</v>
      </c>
      <c r="K102" s="11">
        <v>5.4249547920433995E-2</v>
      </c>
      <c r="L102" s="13">
        <v>42109966000</v>
      </c>
      <c r="M102" s="13">
        <v>746176876000</v>
      </c>
      <c r="N102" s="9" t="s">
        <v>50</v>
      </c>
      <c r="O102" s="6">
        <v>1.0683760683760684</v>
      </c>
      <c r="P102" s="12">
        <v>0.10064929569332658</v>
      </c>
      <c r="Q102" s="12">
        <v>5.643429507724386E-2</v>
      </c>
      <c r="R102" s="14">
        <v>78</v>
      </c>
    </row>
    <row r="103" spans="2:18" x14ac:dyDescent="0.5">
      <c r="B103" s="1" t="s">
        <v>120</v>
      </c>
      <c r="C103" t="s">
        <v>160</v>
      </c>
      <c r="D103" t="s">
        <v>149</v>
      </c>
      <c r="E103">
        <v>38.4</v>
      </c>
      <c r="F103" s="9" t="s">
        <v>67</v>
      </c>
      <c r="G103" s="7">
        <v>134391488512</v>
      </c>
      <c r="H103" s="6">
        <v>39.08</v>
      </c>
      <c r="I103" s="6">
        <v>28.1</v>
      </c>
      <c r="J103" s="12">
        <f t="shared" si="3"/>
        <v>0.36654804270462615</v>
      </c>
      <c r="K103" s="11">
        <v>4.5312499999999999E-2</v>
      </c>
      <c r="L103" s="13">
        <v>16863000000</v>
      </c>
      <c r="M103" s="13">
        <v>448320000000</v>
      </c>
      <c r="N103" s="9" t="s">
        <v>67</v>
      </c>
      <c r="O103" s="6">
        <v>1</v>
      </c>
      <c r="P103" s="12">
        <v>0.10812769905434602</v>
      </c>
      <c r="Q103" s="12">
        <v>3.7613758029978586E-2</v>
      </c>
      <c r="R103" s="14">
        <v>79</v>
      </c>
    </row>
    <row r="104" spans="2:18" x14ac:dyDescent="0.5">
      <c r="B104" s="1" t="s">
        <v>253</v>
      </c>
      <c r="C104" t="s">
        <v>304</v>
      </c>
      <c r="D104" t="s">
        <v>169</v>
      </c>
      <c r="E104">
        <v>51.35</v>
      </c>
      <c r="F104" s="9" t="s">
        <v>67</v>
      </c>
      <c r="G104" s="7">
        <v>196672782336</v>
      </c>
      <c r="H104" s="6">
        <v>54.6</v>
      </c>
      <c r="I104" s="6">
        <v>37.450000000000003</v>
      </c>
      <c r="J104" s="12">
        <f t="shared" si="3"/>
        <v>0.3711615487316422</v>
      </c>
      <c r="K104" s="11">
        <v>4.3310613437195715E-2</v>
      </c>
      <c r="L104" s="13">
        <v>41737000000</v>
      </c>
      <c r="M104" s="13">
        <v>794927000000</v>
      </c>
      <c r="N104" s="9" t="s">
        <v>67</v>
      </c>
      <c r="O104" s="6">
        <v>1</v>
      </c>
      <c r="P104" s="12">
        <v>0.10431621691994031</v>
      </c>
      <c r="Q104" s="12">
        <v>5.2504192208844336E-2</v>
      </c>
      <c r="R104" s="14">
        <v>79</v>
      </c>
    </row>
    <row r="105" spans="2:18" x14ac:dyDescent="0.5">
      <c r="B105" s="1" t="s">
        <v>263</v>
      </c>
      <c r="C105" t="s">
        <v>315</v>
      </c>
      <c r="D105" t="s">
        <v>86</v>
      </c>
      <c r="E105">
        <v>7.58</v>
      </c>
      <c r="F105" s="9" t="s">
        <v>67</v>
      </c>
      <c r="G105" s="7">
        <v>7899762688</v>
      </c>
      <c r="H105" s="6">
        <v>12.88</v>
      </c>
      <c r="I105" s="6">
        <v>7.55</v>
      </c>
      <c r="J105" s="12">
        <f t="shared" si="3"/>
        <v>3.9735099337747659E-3</v>
      </c>
      <c r="K105" s="11">
        <v>1.8733509234828496E-2</v>
      </c>
      <c r="L105" s="13">
        <v>350106000</v>
      </c>
      <c r="M105" s="13">
        <v>3348556000</v>
      </c>
      <c r="N105" s="9" t="s">
        <v>67</v>
      </c>
      <c r="O105" s="6">
        <v>1</v>
      </c>
      <c r="P105" s="12">
        <v>4.8660059683913605E-2</v>
      </c>
      <c r="Q105" s="12">
        <v>0.10455432132537129</v>
      </c>
      <c r="R105" s="14">
        <v>79</v>
      </c>
    </row>
    <row r="106" spans="2:18" x14ac:dyDescent="0.5">
      <c r="B106" s="1" t="s">
        <v>257</v>
      </c>
      <c r="C106" t="s">
        <v>308</v>
      </c>
      <c r="D106" t="s">
        <v>107</v>
      </c>
      <c r="E106">
        <v>14.33</v>
      </c>
      <c r="F106" s="9" t="s">
        <v>67</v>
      </c>
      <c r="G106" s="7">
        <v>9625632768</v>
      </c>
      <c r="H106" s="6">
        <v>15.74</v>
      </c>
      <c r="I106" s="6">
        <v>6.25</v>
      </c>
      <c r="J106" s="12">
        <f t="shared" si="3"/>
        <v>1.2928000000000002</v>
      </c>
      <c r="K106" s="11">
        <v>3.9776692254012556E-2</v>
      </c>
      <c r="L106" s="13">
        <v>1136392000</v>
      </c>
      <c r="M106" s="13">
        <v>17458813000</v>
      </c>
      <c r="N106" s="9" t="s">
        <v>67</v>
      </c>
      <c r="O106" s="6">
        <v>1</v>
      </c>
      <c r="P106" s="12">
        <v>7.9775566708358753E-2</v>
      </c>
      <c r="Q106" s="12">
        <v>6.5089877530620205E-2</v>
      </c>
      <c r="R106" s="14">
        <v>80</v>
      </c>
    </row>
    <row r="107" spans="2:18" x14ac:dyDescent="0.5">
      <c r="B107" s="1" t="s">
        <v>125</v>
      </c>
      <c r="C107" t="s">
        <v>167</v>
      </c>
      <c r="D107" t="s">
        <v>103</v>
      </c>
      <c r="E107">
        <v>13.85</v>
      </c>
      <c r="F107" s="9" t="s">
        <v>67</v>
      </c>
      <c r="G107" s="7">
        <v>43212001280</v>
      </c>
      <c r="H107" s="6">
        <v>14.3</v>
      </c>
      <c r="I107" s="6">
        <v>6.52</v>
      </c>
      <c r="J107" s="12">
        <f t="shared" si="3"/>
        <v>1.1242331288343559</v>
      </c>
      <c r="K107" s="11">
        <v>2.5270758122743681E-2</v>
      </c>
      <c r="L107" s="13">
        <v>1990539000</v>
      </c>
      <c r="M107" s="13">
        <v>18620709000</v>
      </c>
      <c r="N107" s="9" t="s">
        <v>67</v>
      </c>
      <c r="O107" s="6">
        <v>1</v>
      </c>
      <c r="P107" s="12">
        <v>4.3305201157901263E-2</v>
      </c>
      <c r="Q107" s="12">
        <v>0.10689920561026972</v>
      </c>
      <c r="R107" s="14">
        <v>80</v>
      </c>
    </row>
    <row r="108" spans="2:18" x14ac:dyDescent="0.5">
      <c r="B108" s="1" t="s">
        <v>132</v>
      </c>
      <c r="C108" t="s">
        <v>176</v>
      </c>
      <c r="D108" t="s">
        <v>97</v>
      </c>
      <c r="E108">
        <v>5.56</v>
      </c>
      <c r="F108" s="9" t="s">
        <v>67</v>
      </c>
      <c r="G108" s="7">
        <v>43040309248</v>
      </c>
      <c r="H108" s="6">
        <v>5.83</v>
      </c>
      <c r="I108" s="6">
        <v>4.2</v>
      </c>
      <c r="J108" s="12">
        <f t="shared" si="3"/>
        <v>0.32380952380952377</v>
      </c>
      <c r="K108" s="11">
        <v>6.8884892086330946E-2</v>
      </c>
      <c r="L108" s="13">
        <v>5474000000</v>
      </c>
      <c r="M108" s="13">
        <v>59407000000</v>
      </c>
      <c r="N108" s="9" t="s">
        <v>67</v>
      </c>
      <c r="O108" s="6">
        <v>1</v>
      </c>
      <c r="P108" s="12">
        <v>5.7807674517570157E-2</v>
      </c>
      <c r="Q108" s="12">
        <v>9.2144023431582137E-2</v>
      </c>
      <c r="R108" s="14">
        <v>81</v>
      </c>
    </row>
    <row r="109" spans="2:18" x14ac:dyDescent="0.5">
      <c r="B109" s="1" t="s">
        <v>126</v>
      </c>
      <c r="C109" t="s">
        <v>168</v>
      </c>
      <c r="D109" t="s">
        <v>169</v>
      </c>
      <c r="E109">
        <v>28.5</v>
      </c>
      <c r="F109" s="9" t="s">
        <v>67</v>
      </c>
      <c r="G109" s="7">
        <v>31586883584</v>
      </c>
      <c r="H109" s="6">
        <v>32.4</v>
      </c>
      <c r="I109" s="6">
        <v>17.600000000000001</v>
      </c>
      <c r="J109" s="12">
        <f t="shared" si="3"/>
        <v>0.61931818181818166</v>
      </c>
      <c r="K109" s="11">
        <v>4.3157894736842103E-2</v>
      </c>
      <c r="L109" s="13">
        <v>3838344000</v>
      </c>
      <c r="M109" s="13">
        <v>81520873000</v>
      </c>
      <c r="N109" s="9" t="s">
        <v>67</v>
      </c>
      <c r="O109" s="6">
        <v>1</v>
      </c>
      <c r="P109" s="12">
        <v>7.7691661586423377E-2</v>
      </c>
      <c r="Q109" s="12">
        <v>4.7084186647510511E-2</v>
      </c>
      <c r="R109" s="14">
        <v>82</v>
      </c>
    </row>
    <row r="110" spans="2:18" x14ac:dyDescent="0.5">
      <c r="B110" s="1" t="s">
        <v>26</v>
      </c>
      <c r="C110" t="s">
        <v>85</v>
      </c>
      <c r="D110" t="s">
        <v>86</v>
      </c>
      <c r="E110">
        <v>6.56</v>
      </c>
      <c r="F110" s="9" t="s">
        <v>67</v>
      </c>
      <c r="G110" s="7">
        <v>6846570496</v>
      </c>
      <c r="H110" s="6">
        <v>9.6</v>
      </c>
      <c r="I110" s="6">
        <v>4.3499999999999996</v>
      </c>
      <c r="J110" s="12">
        <f t="shared" si="3"/>
        <v>0.50804597701149423</v>
      </c>
      <c r="K110" s="11">
        <v>1.4634146341463415E-2</v>
      </c>
      <c r="L110" s="13">
        <v>303335000</v>
      </c>
      <c r="M110" s="13">
        <v>3620162000</v>
      </c>
      <c r="N110" s="9" t="s">
        <v>67</v>
      </c>
      <c r="O110" s="6">
        <v>1</v>
      </c>
      <c r="P110" s="12">
        <v>5.272994617332101E-2</v>
      </c>
      <c r="Q110" s="12">
        <v>8.3790449156695201E-2</v>
      </c>
      <c r="R110" s="14">
        <v>82</v>
      </c>
    </row>
    <row r="111" spans="2:18" x14ac:dyDescent="0.5">
      <c r="B111" s="1" t="s">
        <v>450</v>
      </c>
      <c r="C111" t="s">
        <v>455</v>
      </c>
      <c r="D111" t="s">
        <v>456</v>
      </c>
      <c r="E111">
        <v>2.31</v>
      </c>
      <c r="F111" s="9" t="s">
        <v>67</v>
      </c>
      <c r="G111" s="7">
        <v>22382807040</v>
      </c>
      <c r="H111" s="6">
        <v>2.64</v>
      </c>
      <c r="I111" s="6">
        <v>1.57</v>
      </c>
      <c r="J111" s="12">
        <f t="shared" si="3"/>
        <v>0.47133757961783429</v>
      </c>
      <c r="K111" s="11">
        <v>3.0303030303030304E-2</v>
      </c>
      <c r="L111" s="13">
        <v>1507922451</v>
      </c>
      <c r="M111" s="13">
        <v>27909411974</v>
      </c>
      <c r="N111" s="9" t="s">
        <v>50</v>
      </c>
      <c r="O111" s="6">
        <v>1.0683760683760684</v>
      </c>
      <c r="P111" s="12">
        <v>7.1091480498002166E-2</v>
      </c>
      <c r="Q111" s="12">
        <v>5.4029173112094174E-2</v>
      </c>
      <c r="R111" s="14">
        <v>82</v>
      </c>
    </row>
    <row r="112" spans="2:18" x14ac:dyDescent="0.5">
      <c r="B112" s="1" t="s">
        <v>33</v>
      </c>
      <c r="C112" t="s">
        <v>96</v>
      </c>
      <c r="D112" t="s">
        <v>97</v>
      </c>
      <c r="E112">
        <v>11.25</v>
      </c>
      <c r="F112" s="9" t="s">
        <v>67</v>
      </c>
      <c r="G112" s="7">
        <v>196663492608</v>
      </c>
      <c r="H112" s="6">
        <v>12.46</v>
      </c>
      <c r="I112" s="6">
        <v>9.89</v>
      </c>
      <c r="J112" s="12">
        <f t="shared" si="3"/>
        <v>0.13751263902932243</v>
      </c>
      <c r="K112" s="11">
        <v>3.911111111111111E-2</v>
      </c>
      <c r="L112" s="13">
        <v>16758000000</v>
      </c>
      <c r="M112" s="13">
        <v>269590000000</v>
      </c>
      <c r="N112" s="9" t="s">
        <v>50</v>
      </c>
      <c r="O112" s="6">
        <v>1.0683760683760684</v>
      </c>
      <c r="P112" s="12">
        <v>6.1155220789199639E-2</v>
      </c>
      <c r="Q112" s="12">
        <v>6.2161059386475759E-2</v>
      </c>
      <c r="R112" s="14">
        <v>83</v>
      </c>
    </row>
    <row r="113" spans="2:18" x14ac:dyDescent="0.5">
      <c r="B113" s="1" t="s">
        <v>30</v>
      </c>
      <c r="C113" t="s">
        <v>91</v>
      </c>
      <c r="D113" t="s">
        <v>92</v>
      </c>
      <c r="E113">
        <v>3.05</v>
      </c>
      <c r="F113" s="9" t="s">
        <v>67</v>
      </c>
      <c r="G113" s="7">
        <v>16660723712</v>
      </c>
      <c r="H113" s="6">
        <v>3.68</v>
      </c>
      <c r="I113" s="6">
        <v>1.1599999999999999</v>
      </c>
      <c r="J113" s="12">
        <f t="shared" si="3"/>
        <v>1.6293103448275863</v>
      </c>
      <c r="K113" s="11">
        <v>1.1147540983606558E-2</v>
      </c>
      <c r="L113" s="13">
        <v>1384865000</v>
      </c>
      <c r="M113" s="13">
        <v>23827484000</v>
      </c>
      <c r="N113" s="9" t="s">
        <v>50</v>
      </c>
      <c r="O113" s="6">
        <v>1.0683760683760684</v>
      </c>
      <c r="P113" s="12">
        <v>5.3270987468373485E-2</v>
      </c>
      <c r="Q113" s="12">
        <v>5.8120488088461209E-2</v>
      </c>
      <c r="R113" s="14">
        <v>84</v>
      </c>
    </row>
    <row r="114" spans="2:18" x14ac:dyDescent="0.5">
      <c r="B114" s="1" t="s">
        <v>138</v>
      </c>
      <c r="C114" t="s">
        <v>185</v>
      </c>
      <c r="D114" t="s">
        <v>186</v>
      </c>
      <c r="E114">
        <v>2.8</v>
      </c>
      <c r="F114" s="9" t="s">
        <v>67</v>
      </c>
      <c r="G114" s="7">
        <v>12026000384</v>
      </c>
      <c r="H114" s="6">
        <v>3.16</v>
      </c>
      <c r="I114" s="6">
        <v>1.93</v>
      </c>
      <c r="J114" s="12">
        <f t="shared" si="3"/>
        <v>0.45077720207253891</v>
      </c>
      <c r="K114" s="11">
        <v>3.9642857142857146E-2</v>
      </c>
      <c r="L114" s="13">
        <v>1938532000</v>
      </c>
      <c r="M114" s="13">
        <v>49986396000</v>
      </c>
      <c r="N114" s="9" t="s">
        <v>67</v>
      </c>
      <c r="O114" s="6">
        <v>1</v>
      </c>
      <c r="P114" s="12">
        <v>5.9547230331026872E-2</v>
      </c>
      <c r="Q114" s="12">
        <v>3.8781191586606881E-2</v>
      </c>
      <c r="R114" s="14">
        <v>85</v>
      </c>
    </row>
    <row r="115" spans="2:18" x14ac:dyDescent="0.5">
      <c r="B115" s="1" t="s">
        <v>384</v>
      </c>
      <c r="C115" t="s">
        <v>387</v>
      </c>
      <c r="D115" t="s">
        <v>149</v>
      </c>
      <c r="E115">
        <v>9.64</v>
      </c>
      <c r="F115" s="9" t="s">
        <v>67</v>
      </c>
      <c r="G115" s="7">
        <v>88206999552</v>
      </c>
      <c r="H115" s="6">
        <v>10.37</v>
      </c>
      <c r="I115" s="6">
        <v>7.31</v>
      </c>
      <c r="J115" s="12">
        <f t="shared" si="3"/>
        <v>0.3187414500683996</v>
      </c>
      <c r="K115" s="11">
        <v>6.0165975103734434E-2</v>
      </c>
      <c r="L115" s="13">
        <v>4532000000</v>
      </c>
      <c r="M115" s="13">
        <v>172303000000</v>
      </c>
      <c r="N115" s="9" t="s">
        <v>67</v>
      </c>
      <c r="O115" s="6">
        <v>1</v>
      </c>
      <c r="P115" s="12">
        <v>5.1010186536693834E-2</v>
      </c>
      <c r="Q115" s="12">
        <v>2.6302501987777345E-2</v>
      </c>
      <c r="R115" s="14">
        <v>86</v>
      </c>
    </row>
    <row r="116" spans="2:18" x14ac:dyDescent="0.5">
      <c r="B116" s="1" t="s">
        <v>380</v>
      </c>
      <c r="C116" t="s">
        <v>381</v>
      </c>
      <c r="D116" t="s">
        <v>84</v>
      </c>
      <c r="E116">
        <v>1.73</v>
      </c>
      <c r="F116" s="9" t="s">
        <v>67</v>
      </c>
      <c r="G116" s="7">
        <v>9578376192</v>
      </c>
      <c r="H116" s="6">
        <v>2.99</v>
      </c>
      <c r="I116" s="6">
        <v>0.91</v>
      </c>
      <c r="J116" s="12">
        <f t="shared" si="3"/>
        <v>0.90109890109890101</v>
      </c>
      <c r="K116" s="11">
        <v>0</v>
      </c>
      <c r="L116" s="13">
        <v>429393000</v>
      </c>
      <c r="M116" s="13">
        <v>18333659000</v>
      </c>
      <c r="N116" s="9" t="s">
        <v>67</v>
      </c>
      <c r="O116" s="6">
        <v>1</v>
      </c>
      <c r="P116" s="12">
        <v>4.4287494632534244E-2</v>
      </c>
      <c r="Q116" s="12">
        <v>2.3421020321148112E-2</v>
      </c>
      <c r="R116" s="14">
        <v>87</v>
      </c>
    </row>
    <row r="117" spans="2:18" x14ac:dyDescent="0.5">
      <c r="B117" s="1" t="s">
        <v>192</v>
      </c>
      <c r="C117" t="s">
        <v>193</v>
      </c>
      <c r="D117" t="s">
        <v>194</v>
      </c>
      <c r="E117">
        <v>76.8</v>
      </c>
      <c r="F117" s="9" t="s">
        <v>67</v>
      </c>
      <c r="G117" s="7">
        <v>733691510784</v>
      </c>
      <c r="H117" s="6">
        <v>93.5</v>
      </c>
      <c r="I117" s="6">
        <v>24.15</v>
      </c>
      <c r="J117" s="12">
        <f t="shared" si="3"/>
        <v>2.1801242236024847</v>
      </c>
      <c r="K117" s="11">
        <v>0</v>
      </c>
      <c r="L117" s="13">
        <v>984027000</v>
      </c>
      <c r="M117" s="13">
        <v>32183526000</v>
      </c>
      <c r="N117" s="9" t="s">
        <v>71</v>
      </c>
      <c r="O117" s="6">
        <v>7.6923076923076916</v>
      </c>
      <c r="P117" s="12">
        <v>9.7804426020758426E-3</v>
      </c>
      <c r="Q117" s="12">
        <v>3.0575487595734537E-2</v>
      </c>
      <c r="R117" s="14">
        <v>88</v>
      </c>
    </row>
    <row r="118" spans="2:18" x14ac:dyDescent="0.5">
      <c r="B118" s="1" t="s">
        <v>112</v>
      </c>
      <c r="C118" t="s">
        <v>150</v>
      </c>
      <c r="D118" t="s">
        <v>151</v>
      </c>
      <c r="E118">
        <v>16</v>
      </c>
      <c r="F118" s="9" t="s">
        <v>67</v>
      </c>
      <c r="G118" s="7">
        <v>16432131072</v>
      </c>
      <c r="H118" s="6">
        <v>16.690000000000001</v>
      </c>
      <c r="I118" s="6">
        <v>10.94</v>
      </c>
      <c r="J118" s="12">
        <f t="shared" si="3"/>
        <v>0.46252285191956122</v>
      </c>
      <c r="K118" s="11">
        <v>6.7500000000000004E-2</v>
      </c>
      <c r="L118" s="13">
        <v>984000000</v>
      </c>
      <c r="M118" s="13">
        <v>101944000000</v>
      </c>
      <c r="N118" s="9" t="s">
        <v>67</v>
      </c>
      <c r="O118" s="6">
        <v>1</v>
      </c>
      <c r="P118" s="12">
        <v>2.3778379085599936E-2</v>
      </c>
      <c r="Q118" s="12">
        <v>9.6523581574197593E-3</v>
      </c>
      <c r="R118" s="14">
        <v>89</v>
      </c>
    </row>
    <row r="119" spans="2:18" x14ac:dyDescent="0.5">
      <c r="B119" s="1" t="s">
        <v>129</v>
      </c>
      <c r="C119" t="s">
        <v>173</v>
      </c>
      <c r="D119" t="s">
        <v>172</v>
      </c>
      <c r="E119">
        <v>44.12</v>
      </c>
      <c r="F119" s="9" t="s">
        <v>67</v>
      </c>
      <c r="G119" s="7">
        <v>45067325440</v>
      </c>
      <c r="H119" s="6">
        <v>46.88</v>
      </c>
      <c r="I119" s="6">
        <v>22.4</v>
      </c>
      <c r="J119" s="12">
        <f t="shared" si="3"/>
        <v>0.96964285714285725</v>
      </c>
      <c r="K119" s="11">
        <v>0</v>
      </c>
      <c r="L119" s="13">
        <v>-90314000</v>
      </c>
      <c r="M119" s="13">
        <v>18374441000</v>
      </c>
      <c r="N119" s="9" t="s">
        <v>50</v>
      </c>
      <c r="O119" s="6">
        <v>1.0683760683760684</v>
      </c>
      <c r="P119" s="12">
        <v>-2.3107049724271308E-3</v>
      </c>
      <c r="Q119" s="12">
        <v>-4.9151971480384084E-3</v>
      </c>
      <c r="R119" s="14">
        <v>90</v>
      </c>
    </row>
    <row r="120" spans="2:18" x14ac:dyDescent="0.5">
      <c r="B120" s="1" t="s">
        <v>386</v>
      </c>
      <c r="C120" t="s">
        <v>389</v>
      </c>
      <c r="D120" t="s">
        <v>390</v>
      </c>
      <c r="E120">
        <v>40.68</v>
      </c>
      <c r="F120" s="9" t="s">
        <v>67</v>
      </c>
      <c r="G120" s="7">
        <v>105253388288</v>
      </c>
      <c r="H120" s="6">
        <v>45.05</v>
      </c>
      <c r="I120" s="6">
        <v>31.1</v>
      </c>
      <c r="J120" s="12">
        <f t="shared" si="3"/>
        <v>0.30803858520900307</v>
      </c>
      <c r="K120" s="11">
        <v>6.6937069813176001E-2</v>
      </c>
      <c r="L120" s="13">
        <v>-6742000000</v>
      </c>
      <c r="M120" s="13">
        <v>216378000000</v>
      </c>
      <c r="N120" s="9" t="s">
        <v>67</v>
      </c>
      <c r="O120" s="6">
        <v>1</v>
      </c>
      <c r="P120" s="12">
        <v>-4.3480395188150972E-2</v>
      </c>
      <c r="Q120" s="12">
        <v>-3.1158435700487111E-2</v>
      </c>
      <c r="R120" s="14">
        <v>91</v>
      </c>
    </row>
    <row r="121" spans="2:18" x14ac:dyDescent="0.5">
      <c r="B121" s="1" t="s">
        <v>448</v>
      </c>
      <c r="C121" t="s">
        <v>452</v>
      </c>
      <c r="D121" t="s">
        <v>165</v>
      </c>
      <c r="E121">
        <v>2.95</v>
      </c>
      <c r="F121" s="9" t="s">
        <v>67</v>
      </c>
      <c r="G121" s="7">
        <v>17296549888</v>
      </c>
      <c r="H121" s="6">
        <v>4.4400000000000004</v>
      </c>
      <c r="I121" s="6">
        <v>2.84</v>
      </c>
      <c r="J121" s="12">
        <f t="shared" si="3"/>
        <v>3.8732394366197243E-2</v>
      </c>
      <c r="K121" s="11">
        <v>4.7457627118644069E-2</v>
      </c>
      <c r="L121" s="13">
        <v>-780356000</v>
      </c>
      <c r="M121" s="13">
        <v>8664599000</v>
      </c>
      <c r="N121" s="9" t="s">
        <v>67</v>
      </c>
      <c r="O121" s="6">
        <v>1</v>
      </c>
      <c r="P121" s="12">
        <v>-6.4069505635813997E-2</v>
      </c>
      <c r="Q121" s="12">
        <v>-9.0062563772426163E-2</v>
      </c>
      <c r="R121" s="14">
        <v>92</v>
      </c>
    </row>
    <row r="122" spans="2:18" x14ac:dyDescent="0.5">
      <c r="B122" s="1" t="s">
        <v>365</v>
      </c>
      <c r="C122" t="s">
        <v>367</v>
      </c>
      <c r="D122" t="s">
        <v>368</v>
      </c>
      <c r="E122">
        <v>3.21</v>
      </c>
      <c r="F122" s="9" t="s">
        <v>67</v>
      </c>
      <c r="G122" s="7">
        <v>6608742912</v>
      </c>
      <c r="H122" s="6">
        <v>3.64</v>
      </c>
      <c r="I122" s="6">
        <v>0.99</v>
      </c>
      <c r="J122" s="12">
        <f t="shared" si="3"/>
        <v>2.2424242424242422</v>
      </c>
      <c r="K122" s="11">
        <v>0</v>
      </c>
      <c r="L122" s="13">
        <v>-732033000</v>
      </c>
      <c r="M122" s="13">
        <v>7864121000</v>
      </c>
      <c r="N122" s="9" t="s">
        <v>50</v>
      </c>
      <c r="O122" s="6">
        <v>1.0683760683760684</v>
      </c>
      <c r="P122" s="12">
        <v>-0.52166509836548469</v>
      </c>
      <c r="Q122" s="12">
        <v>-9.3085164890011229E-2</v>
      </c>
      <c r="R122" s="14">
        <v>93</v>
      </c>
    </row>
    <row r="123" spans="2:18" x14ac:dyDescent="0.5">
      <c r="B123" s="1" t="s">
        <v>201</v>
      </c>
      <c r="C123" t="s">
        <v>227</v>
      </c>
      <c r="D123" t="s">
        <v>228</v>
      </c>
      <c r="E123">
        <v>6.96</v>
      </c>
      <c r="F123" s="9" t="s">
        <v>67</v>
      </c>
      <c r="G123" s="7">
        <v>663184146432</v>
      </c>
      <c r="H123" s="6">
        <v>7.62</v>
      </c>
      <c r="I123" s="6">
        <v>5.57</v>
      </c>
      <c r="J123" s="12">
        <f t="shared" si="3"/>
        <v>0.24955116696588853</v>
      </c>
      <c r="K123" s="11">
        <v>5.0718390804597696E-2</v>
      </c>
      <c r="M123" s="13">
        <v>2314289000000</v>
      </c>
      <c r="N123" s="9" t="s">
        <v>50</v>
      </c>
      <c r="O123" s="6">
        <v>1.0683760683760684</v>
      </c>
    </row>
    <row r="124" spans="2:18" x14ac:dyDescent="0.5">
      <c r="B124" s="1" t="s">
        <v>203</v>
      </c>
      <c r="C124" t="s">
        <v>230</v>
      </c>
      <c r="D124" t="s">
        <v>226</v>
      </c>
      <c r="E124">
        <v>5.47</v>
      </c>
      <c r="F124" s="9" t="s">
        <v>67</v>
      </c>
      <c r="G124" s="7">
        <v>727685267456</v>
      </c>
      <c r="H124" s="6">
        <v>5.95</v>
      </c>
      <c r="I124" s="6">
        <v>4.34</v>
      </c>
      <c r="J124" s="12">
        <f t="shared" si="3"/>
        <v>0.26036866359446997</v>
      </c>
      <c r="K124" s="11">
        <v>4.3327239488117002E-2</v>
      </c>
      <c r="M124" s="13">
        <v>1271649000000</v>
      </c>
      <c r="N124" s="9" t="s">
        <v>50</v>
      </c>
      <c r="O124" s="6">
        <v>1.0683760683760684</v>
      </c>
    </row>
    <row r="125" spans="2:18" x14ac:dyDescent="0.5">
      <c r="B125" s="1" t="s">
        <v>202</v>
      </c>
      <c r="C125" t="s">
        <v>229</v>
      </c>
      <c r="D125" t="s">
        <v>228</v>
      </c>
      <c r="E125">
        <v>6.06</v>
      </c>
      <c r="F125" s="9" t="s">
        <v>67</v>
      </c>
      <c r="G125" s="7">
        <v>2843674411008</v>
      </c>
      <c r="H125" s="6">
        <v>6.48</v>
      </c>
      <c r="I125" s="6">
        <v>4.5199999999999996</v>
      </c>
      <c r="J125" s="12">
        <f t="shared" si="3"/>
        <v>0.34070796460176989</v>
      </c>
      <c r="K125" s="11">
        <v>5.0495049504950498E-2</v>
      </c>
      <c r="M125" s="13">
        <v>6434377000000</v>
      </c>
      <c r="N125" s="9" t="s">
        <v>50</v>
      </c>
      <c r="O125" s="6">
        <v>1.0683760683760684</v>
      </c>
    </row>
    <row r="126" spans="2:18" x14ac:dyDescent="0.5">
      <c r="B126" s="1" t="s">
        <v>204</v>
      </c>
      <c r="C126" t="s">
        <v>231</v>
      </c>
      <c r="D126" t="s">
        <v>228</v>
      </c>
      <c r="E126">
        <v>7.79</v>
      </c>
      <c r="F126" s="9" t="s">
        <v>67</v>
      </c>
      <c r="G126" s="7">
        <v>2085204918272</v>
      </c>
      <c r="H126" s="6">
        <v>8.56</v>
      </c>
      <c r="I126" s="6">
        <v>5.8</v>
      </c>
      <c r="J126" s="12">
        <f t="shared" si="3"/>
        <v>0.34310344827586214</v>
      </c>
      <c r="K126" s="11">
        <v>5.0320924261874199E-2</v>
      </c>
      <c r="M126" s="13">
        <v>6128626000000</v>
      </c>
      <c r="N126" s="9" t="s">
        <v>50</v>
      </c>
      <c r="O126" s="6">
        <v>1.0683760683760684</v>
      </c>
    </row>
    <row r="127" spans="2:18" x14ac:dyDescent="0.5">
      <c r="B127" s="1" t="s">
        <v>205</v>
      </c>
      <c r="C127" t="s">
        <v>232</v>
      </c>
      <c r="D127" t="s">
        <v>226</v>
      </c>
      <c r="E127">
        <v>7.38</v>
      </c>
      <c r="F127" s="9" t="s">
        <v>67</v>
      </c>
      <c r="G127" s="7">
        <v>454070960128</v>
      </c>
      <c r="H127" s="6">
        <v>8.1199999999999992</v>
      </c>
      <c r="I127" s="6">
        <v>4.83</v>
      </c>
      <c r="J127" s="12">
        <f t="shared" si="3"/>
        <v>0.52795031055900621</v>
      </c>
      <c r="K127" s="11">
        <v>4.8509485094850945E-2</v>
      </c>
      <c r="M127" s="13">
        <v>2066897000000</v>
      </c>
      <c r="N127" s="9" t="s">
        <v>50</v>
      </c>
      <c r="O127" s="6">
        <v>1.0683760683760684</v>
      </c>
    </row>
    <row r="128" spans="2:18" x14ac:dyDescent="0.5">
      <c r="B128" s="1" t="s">
        <v>200</v>
      </c>
      <c r="C128" t="s">
        <v>225</v>
      </c>
      <c r="D128" t="s">
        <v>226</v>
      </c>
      <c r="E128">
        <v>38.119999999999997</v>
      </c>
      <c r="F128" s="9" t="s">
        <v>67</v>
      </c>
      <c r="G128" s="7">
        <v>403034374144</v>
      </c>
      <c r="H128" s="6">
        <v>39.24</v>
      </c>
      <c r="I128" s="6">
        <v>23.75</v>
      </c>
      <c r="J128" s="12">
        <f t="shared" si="3"/>
        <v>0.60505263157894729</v>
      </c>
      <c r="K128" s="11">
        <v>5.2439664218258138E-2</v>
      </c>
      <c r="M128" s="13">
        <v>415994000000</v>
      </c>
      <c r="N128" s="9" t="s">
        <v>67</v>
      </c>
      <c r="O128" s="6">
        <v>1</v>
      </c>
    </row>
  </sheetData>
  <autoFilter ref="B1:R19" xr:uid="{7A9EDF16-08C4-B24B-A5E4-CFD78B458569}">
    <sortState xmlns:xlrd2="http://schemas.microsoft.com/office/spreadsheetml/2017/richdata2" ref="B2:R129">
      <sortCondition ref="R1:R19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79"/>
  <sheetViews>
    <sheetView topLeftCell="A16" zoomScale="70" zoomScaleNormal="70" workbookViewId="0">
      <selection activeCell="G22" sqref="G2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505</v>
      </c>
      <c r="C2" t="s">
        <v>543</v>
      </c>
      <c r="D2" t="s">
        <v>76</v>
      </c>
      <c r="E2">
        <v>15.01</v>
      </c>
      <c r="F2" s="9" t="s">
        <v>50</v>
      </c>
      <c r="G2" s="7">
        <v>224782155776</v>
      </c>
      <c r="H2" s="6">
        <v>16.88</v>
      </c>
      <c r="I2" s="6">
        <v>12.74</v>
      </c>
      <c r="J2" s="12">
        <f t="shared" ref="J2:J33" si="0">E2/I2-1</f>
        <v>0.17817896389324961</v>
      </c>
      <c r="K2" s="11">
        <v>0</v>
      </c>
      <c r="L2" s="13">
        <v>70144988000</v>
      </c>
      <c r="M2" s="13">
        <v>269343749000</v>
      </c>
      <c r="N2" s="9" t="s">
        <v>50</v>
      </c>
      <c r="O2" s="6">
        <v>1</v>
      </c>
      <c r="P2" s="12">
        <v>0.60047749490956848</v>
      </c>
      <c r="Q2" s="12">
        <v>0.26042924055386191</v>
      </c>
      <c r="R2" s="14">
        <v>1</v>
      </c>
    </row>
    <row r="3" spans="2:22" x14ac:dyDescent="0.5">
      <c r="B3" s="1" t="s">
        <v>349</v>
      </c>
      <c r="C3" t="s">
        <v>369</v>
      </c>
      <c r="D3" t="s">
        <v>370</v>
      </c>
      <c r="E3">
        <v>15.25</v>
      </c>
      <c r="F3" s="9" t="s">
        <v>50</v>
      </c>
      <c r="G3" s="7">
        <v>8790969344</v>
      </c>
      <c r="H3" s="6">
        <v>20.5</v>
      </c>
      <c r="I3" s="6">
        <v>14.43</v>
      </c>
      <c r="J3" s="12">
        <f t="shared" si="0"/>
        <v>5.6826056826056792E-2</v>
      </c>
      <c r="K3" s="11">
        <v>6.9508196721311477E-2</v>
      </c>
      <c r="L3" s="13">
        <v>1115194928.8599999</v>
      </c>
      <c r="M3" s="13">
        <v>4734235892.8000002</v>
      </c>
      <c r="N3" s="9" t="s">
        <v>50</v>
      </c>
      <c r="O3" s="6">
        <v>1</v>
      </c>
      <c r="P3" s="12">
        <v>0.151552060557399</v>
      </c>
      <c r="Q3" s="12">
        <v>0.23555964555041065</v>
      </c>
      <c r="R3" s="14">
        <v>2</v>
      </c>
    </row>
    <row r="4" spans="2:22" x14ac:dyDescent="0.5">
      <c r="B4" s="1" t="s">
        <v>12</v>
      </c>
      <c r="C4" t="s">
        <v>57</v>
      </c>
      <c r="D4" t="s">
        <v>58</v>
      </c>
      <c r="E4">
        <v>118.99</v>
      </c>
      <c r="F4" s="9" t="s">
        <v>50</v>
      </c>
      <c r="G4" s="7">
        <v>461872529408</v>
      </c>
      <c r="H4" s="6">
        <v>164.6</v>
      </c>
      <c r="I4" s="6">
        <v>115.4</v>
      </c>
      <c r="J4" s="12">
        <f t="shared" si="0"/>
        <v>3.1109185441940967E-2</v>
      </c>
      <c r="K4" s="11">
        <v>4.8281368182200191E-2</v>
      </c>
      <c r="L4" s="13">
        <v>44203762134.690002</v>
      </c>
      <c r="M4" s="13">
        <v>133285282015.97</v>
      </c>
      <c r="N4" s="9" t="s">
        <v>50</v>
      </c>
      <c r="O4" s="6">
        <v>1</v>
      </c>
      <c r="P4" s="12">
        <v>0.13184282269472047</v>
      </c>
      <c r="Q4" s="12">
        <v>0.33164773684009302</v>
      </c>
      <c r="R4" s="14">
        <v>3</v>
      </c>
    </row>
    <row r="5" spans="2:22" x14ac:dyDescent="0.5">
      <c r="B5" s="1" t="s">
        <v>350</v>
      </c>
      <c r="C5" t="s">
        <v>371</v>
      </c>
      <c r="D5" t="s">
        <v>239</v>
      </c>
      <c r="E5">
        <v>53.7</v>
      </c>
      <c r="F5" s="9" t="s">
        <v>50</v>
      </c>
      <c r="G5" s="7">
        <v>25989253120</v>
      </c>
      <c r="H5" s="6">
        <v>68.94</v>
      </c>
      <c r="I5" s="6">
        <v>52.7</v>
      </c>
      <c r="J5" s="12">
        <f t="shared" si="0"/>
        <v>1.8975332068311257E-2</v>
      </c>
      <c r="K5" s="11">
        <v>1.6759776536312849E-2</v>
      </c>
      <c r="L5" s="13">
        <v>2927600473.4699998</v>
      </c>
      <c r="M5" s="13">
        <v>1185220264.01</v>
      </c>
      <c r="N5" s="9" t="s">
        <v>50</v>
      </c>
      <c r="O5" s="6">
        <v>1</v>
      </c>
      <c r="P5" s="12">
        <v>0.11673112799526854</v>
      </c>
      <c r="Q5" s="12">
        <v>2.4700897903693781</v>
      </c>
      <c r="R5" s="14">
        <v>4</v>
      </c>
    </row>
    <row r="6" spans="2:22" x14ac:dyDescent="0.5">
      <c r="B6" s="1" t="s">
        <v>498</v>
      </c>
      <c r="C6" t="s">
        <v>533</v>
      </c>
      <c r="D6" t="s">
        <v>78</v>
      </c>
      <c r="E6">
        <v>13.58</v>
      </c>
      <c r="F6" s="9" t="s">
        <v>50</v>
      </c>
      <c r="G6" s="7">
        <v>165741821952</v>
      </c>
      <c r="H6" s="6">
        <v>14.19</v>
      </c>
      <c r="I6" s="6">
        <v>9.42</v>
      </c>
      <c r="J6" s="12">
        <f t="shared" si="0"/>
        <v>0.44161358811040352</v>
      </c>
      <c r="K6" s="11">
        <v>3.1222385861561119E-2</v>
      </c>
      <c r="L6" s="13">
        <v>32866046000</v>
      </c>
      <c r="M6" s="13">
        <v>215280386000</v>
      </c>
      <c r="N6" s="9" t="s">
        <v>50</v>
      </c>
      <c r="O6" s="6">
        <v>1</v>
      </c>
      <c r="P6" s="12">
        <v>0.16407496630866913</v>
      </c>
      <c r="Q6" s="12">
        <v>0.15266623500015464</v>
      </c>
      <c r="R6" s="14">
        <v>5</v>
      </c>
    </row>
    <row r="7" spans="2:22" x14ac:dyDescent="0.5">
      <c r="B7" s="1" t="s">
        <v>495</v>
      </c>
      <c r="C7" t="s">
        <v>530</v>
      </c>
      <c r="D7" t="s">
        <v>234</v>
      </c>
      <c r="E7">
        <v>9.15</v>
      </c>
      <c r="F7" s="9" t="s">
        <v>50</v>
      </c>
      <c r="G7" s="7">
        <v>1636045815808</v>
      </c>
      <c r="H7" s="6">
        <v>9.2799999999999994</v>
      </c>
      <c r="I7" s="6">
        <v>7.33</v>
      </c>
      <c r="J7" s="12">
        <f t="shared" si="0"/>
        <v>0.24829467939972716</v>
      </c>
      <c r="K7" s="11">
        <v>2.7322404371584699E-2</v>
      </c>
      <c r="L7" s="13">
        <v>262233000000</v>
      </c>
      <c r="M7" s="13">
        <v>1659398000000</v>
      </c>
      <c r="N7" s="9" t="s">
        <v>50</v>
      </c>
      <c r="O7" s="6">
        <v>1</v>
      </c>
      <c r="P7" s="12">
        <v>0.14769098691758858</v>
      </c>
      <c r="Q7" s="12">
        <v>0.15802899605760642</v>
      </c>
      <c r="R7" s="14">
        <v>6</v>
      </c>
    </row>
    <row r="8" spans="2:22" x14ac:dyDescent="0.5">
      <c r="B8" s="1" t="s">
        <v>11</v>
      </c>
      <c r="C8" t="s">
        <v>56</v>
      </c>
      <c r="D8" t="s">
        <v>49</v>
      </c>
      <c r="E8">
        <v>8.6999999999999993</v>
      </c>
      <c r="F8" s="9" t="s">
        <v>50</v>
      </c>
      <c r="G8" s="7">
        <v>14994227200</v>
      </c>
      <c r="H8" s="6">
        <v>9.5500000000000007</v>
      </c>
      <c r="I8" s="6">
        <v>7.65</v>
      </c>
      <c r="J8" s="12">
        <f t="shared" si="0"/>
        <v>0.13725490196078427</v>
      </c>
      <c r="K8" s="11">
        <v>4.9425287356321845E-2</v>
      </c>
      <c r="L8" s="13">
        <v>1541495041.8099999</v>
      </c>
      <c r="M8" s="13">
        <v>11970268017.99</v>
      </c>
      <c r="N8" s="9" t="s">
        <v>50</v>
      </c>
      <c r="O8" s="6">
        <v>1</v>
      </c>
      <c r="P8" s="12">
        <v>0.19122781066052391</v>
      </c>
      <c r="Q8" s="12">
        <v>0.1287769864044232</v>
      </c>
      <c r="R8" s="14">
        <v>7</v>
      </c>
    </row>
    <row r="9" spans="2:22" x14ac:dyDescent="0.5">
      <c r="B9" s="1" t="s">
        <v>521</v>
      </c>
      <c r="C9" t="s">
        <v>561</v>
      </c>
      <c r="D9" t="s">
        <v>97</v>
      </c>
      <c r="E9">
        <v>5.42</v>
      </c>
      <c r="F9" s="9" t="s">
        <v>50</v>
      </c>
      <c r="G9" s="7">
        <v>169453191168</v>
      </c>
      <c r="H9" s="6">
        <v>6.93</v>
      </c>
      <c r="I9" s="6">
        <v>4.7</v>
      </c>
      <c r="J9" s="12">
        <f t="shared" si="0"/>
        <v>0.15319148936170213</v>
      </c>
      <c r="K9" s="11">
        <v>3.2103321033210327E-2</v>
      </c>
      <c r="L9" s="13">
        <v>25203382526</v>
      </c>
      <c r="M9" s="13">
        <v>167684980370</v>
      </c>
      <c r="N9" s="9" t="s">
        <v>50</v>
      </c>
      <c r="O9" s="6">
        <v>1</v>
      </c>
      <c r="P9" s="12">
        <v>0.16161330460762804</v>
      </c>
      <c r="Q9" s="12">
        <v>0.15030196783509336</v>
      </c>
      <c r="R9" s="14">
        <v>7</v>
      </c>
    </row>
    <row r="10" spans="2:22" x14ac:dyDescent="0.5">
      <c r="B10" s="1" t="s">
        <v>497</v>
      </c>
      <c r="C10" t="s">
        <v>532</v>
      </c>
      <c r="D10" t="s">
        <v>78</v>
      </c>
      <c r="E10">
        <v>42.51</v>
      </c>
      <c r="F10" s="9" t="s">
        <v>50</v>
      </c>
      <c r="G10" s="7">
        <v>828231712768</v>
      </c>
      <c r="H10" s="6">
        <v>44.2</v>
      </c>
      <c r="I10" s="6">
        <v>34.78</v>
      </c>
      <c r="J10" s="12">
        <f t="shared" si="0"/>
        <v>0.22225416906267959</v>
      </c>
      <c r="K10" s="11">
        <v>5.3163961420842155E-2</v>
      </c>
      <c r="L10" s="13">
        <v>88468000000</v>
      </c>
      <c r="M10" s="13">
        <v>456835000000</v>
      </c>
      <c r="N10" s="9" t="s">
        <v>50</v>
      </c>
      <c r="O10" s="6">
        <v>1</v>
      </c>
      <c r="P10" s="12">
        <v>0.12132454020350163</v>
      </c>
      <c r="Q10" s="12">
        <v>0.19365416397605262</v>
      </c>
      <c r="R10" s="14">
        <v>8</v>
      </c>
    </row>
    <row r="11" spans="2:22" x14ac:dyDescent="0.5">
      <c r="B11" s="1" t="s">
        <v>13</v>
      </c>
      <c r="C11" t="s">
        <v>59</v>
      </c>
      <c r="D11" t="s">
        <v>60</v>
      </c>
      <c r="E11">
        <v>12.11</v>
      </c>
      <c r="F11" s="9" t="s">
        <v>50</v>
      </c>
      <c r="G11" s="7">
        <v>21749559296</v>
      </c>
      <c r="H11" s="6">
        <v>15.58</v>
      </c>
      <c r="I11" s="6">
        <v>11.91</v>
      </c>
      <c r="J11" s="12">
        <f t="shared" si="0"/>
        <v>1.6792611251049472E-2</v>
      </c>
      <c r="K11" s="11">
        <v>3.7159372419488031E-2</v>
      </c>
      <c r="L11" s="13">
        <v>1789808265.4000001</v>
      </c>
      <c r="M11" s="13">
        <v>15580673812.24</v>
      </c>
      <c r="N11" s="9" t="s">
        <v>50</v>
      </c>
      <c r="O11" s="6">
        <v>1</v>
      </c>
      <c r="P11" s="12">
        <v>0.19152105723775742</v>
      </c>
      <c r="Q11" s="12">
        <v>0.11487361117809598</v>
      </c>
      <c r="R11" s="14">
        <v>9</v>
      </c>
    </row>
    <row r="12" spans="2:22" x14ac:dyDescent="0.5">
      <c r="B12" s="1" t="s">
        <v>14</v>
      </c>
      <c r="C12" t="s">
        <v>61</v>
      </c>
      <c r="D12" t="s">
        <v>60</v>
      </c>
      <c r="E12">
        <v>12.09</v>
      </c>
      <c r="F12" s="9" t="s">
        <v>50</v>
      </c>
      <c r="G12" s="7">
        <v>12370533376</v>
      </c>
      <c r="H12" s="6">
        <v>14.08</v>
      </c>
      <c r="I12" s="6">
        <v>10.33</v>
      </c>
      <c r="J12" s="12">
        <f t="shared" si="0"/>
        <v>0.17037754114230386</v>
      </c>
      <c r="K12" s="11">
        <v>4.9627791563275431E-2</v>
      </c>
      <c r="L12" s="13">
        <v>1324661161.8800001</v>
      </c>
      <c r="M12" s="13">
        <v>11491269147.950001</v>
      </c>
      <c r="N12" s="9" t="s">
        <v>50</v>
      </c>
      <c r="O12" s="6">
        <v>1</v>
      </c>
      <c r="P12" s="12">
        <v>0.18324735803891615</v>
      </c>
      <c r="Q12" s="12">
        <v>0.11527544475940803</v>
      </c>
      <c r="R12" s="14">
        <v>10</v>
      </c>
    </row>
    <row r="13" spans="2:22" x14ac:dyDescent="0.5">
      <c r="B13" s="1" t="s">
        <v>514</v>
      </c>
      <c r="C13" t="s">
        <v>553</v>
      </c>
      <c r="D13" t="s">
        <v>303</v>
      </c>
      <c r="E13">
        <v>7.73</v>
      </c>
      <c r="F13" s="9" t="s">
        <v>50</v>
      </c>
      <c r="G13" s="7">
        <v>47206162432</v>
      </c>
      <c r="H13" s="6">
        <v>9.08</v>
      </c>
      <c r="I13" s="6">
        <v>6.57</v>
      </c>
      <c r="J13" s="12">
        <f t="shared" si="0"/>
        <v>0.17656012176560121</v>
      </c>
      <c r="K13" s="11">
        <v>2.4062095730918498E-2</v>
      </c>
      <c r="L13" s="13">
        <v>7711333496.6800003</v>
      </c>
      <c r="M13" s="13">
        <v>72343923041.960007</v>
      </c>
      <c r="N13" s="9" t="s">
        <v>50</v>
      </c>
      <c r="O13" s="6">
        <v>1</v>
      </c>
      <c r="P13" s="12">
        <v>0.75400981681758816</v>
      </c>
      <c r="Q13" s="12">
        <v>0.10659269185896057</v>
      </c>
      <c r="R13" s="14">
        <v>11</v>
      </c>
    </row>
    <row r="14" spans="2:22" x14ac:dyDescent="0.5">
      <c r="B14" s="1" t="s">
        <v>518</v>
      </c>
      <c r="C14" t="s">
        <v>557</v>
      </c>
      <c r="D14" t="s">
        <v>558</v>
      </c>
      <c r="E14">
        <v>9.99</v>
      </c>
      <c r="F14" s="9" t="s">
        <v>50</v>
      </c>
      <c r="G14" s="7">
        <v>167348797440</v>
      </c>
      <c r="H14" s="6">
        <v>10.5</v>
      </c>
      <c r="I14" s="6">
        <v>5.96</v>
      </c>
      <c r="J14" s="12">
        <f t="shared" si="0"/>
        <v>0.6761744966442953</v>
      </c>
      <c r="K14" s="11">
        <v>1.3513513513513514E-2</v>
      </c>
      <c r="L14" s="13">
        <v>22993550000</v>
      </c>
      <c r="M14" s="13">
        <v>116111506000</v>
      </c>
      <c r="N14" s="9" t="s">
        <v>50</v>
      </c>
      <c r="O14" s="6">
        <v>1</v>
      </c>
      <c r="P14" s="12">
        <v>0.11015718071859981</v>
      </c>
      <c r="Q14" s="12">
        <v>0.19802990067151485</v>
      </c>
      <c r="R14" s="14">
        <v>12</v>
      </c>
    </row>
    <row r="15" spans="2:22" x14ac:dyDescent="0.5">
      <c r="B15" s="1" t="s">
        <v>355</v>
      </c>
      <c r="C15" t="s">
        <v>376</v>
      </c>
      <c r="D15" t="s">
        <v>86</v>
      </c>
      <c r="E15">
        <v>22.07</v>
      </c>
      <c r="F15" s="9" t="s">
        <v>50</v>
      </c>
      <c r="G15" s="7">
        <v>11164223488</v>
      </c>
      <c r="H15" s="6">
        <v>34.1</v>
      </c>
      <c r="I15" s="6">
        <v>20.87</v>
      </c>
      <c r="J15" s="12">
        <f t="shared" si="0"/>
        <v>5.7498802108289393E-2</v>
      </c>
      <c r="K15" s="11">
        <v>4.5310376076121428E-2</v>
      </c>
      <c r="L15" s="13">
        <v>1139111857.1300001</v>
      </c>
      <c r="M15" s="13">
        <v>7932700024.4300003</v>
      </c>
      <c r="N15" s="9" t="s">
        <v>50</v>
      </c>
      <c r="O15" s="6">
        <v>1</v>
      </c>
      <c r="P15" s="12">
        <v>0.12810419110036572</v>
      </c>
      <c r="Q15" s="12">
        <v>0.14359699139283291</v>
      </c>
      <c r="R15" s="14">
        <v>13</v>
      </c>
    </row>
    <row r="16" spans="2:22" x14ac:dyDescent="0.5">
      <c r="B16" s="1" t="s">
        <v>353</v>
      </c>
      <c r="C16" t="s">
        <v>374</v>
      </c>
      <c r="D16" t="s">
        <v>58</v>
      </c>
      <c r="E16">
        <v>70.8</v>
      </c>
      <c r="F16" s="9" t="s">
        <v>50</v>
      </c>
      <c r="G16" s="7">
        <v>106656317440</v>
      </c>
      <c r="H16" s="6">
        <v>95</v>
      </c>
      <c r="I16" s="6">
        <v>63.17</v>
      </c>
      <c r="J16" s="12">
        <f t="shared" si="0"/>
        <v>0.12078518283995554</v>
      </c>
      <c r="K16" s="11">
        <v>3.2725988700564979E-2</v>
      </c>
      <c r="L16" s="13">
        <v>9147980437.1399994</v>
      </c>
      <c r="M16" s="13">
        <v>51588243128.650002</v>
      </c>
      <c r="N16" s="9" t="s">
        <v>50</v>
      </c>
      <c r="O16" s="6">
        <v>1</v>
      </c>
      <c r="P16" s="12">
        <v>0.10765908950905868</v>
      </c>
      <c r="Q16" s="12">
        <v>0.177326845853752</v>
      </c>
      <c r="R16" s="14">
        <v>14</v>
      </c>
    </row>
    <row r="17" spans="2:18" x14ac:dyDescent="0.5">
      <c r="B17" s="1" t="s">
        <v>519</v>
      </c>
      <c r="C17" t="s">
        <v>559</v>
      </c>
      <c r="D17" t="s">
        <v>97</v>
      </c>
      <c r="E17">
        <v>105.79</v>
      </c>
      <c r="F17" s="9" t="s">
        <v>50</v>
      </c>
      <c r="G17" s="7">
        <v>1710616346624</v>
      </c>
      <c r="H17" s="6">
        <v>119.51</v>
      </c>
      <c r="I17" s="6">
        <v>100.5</v>
      </c>
      <c r="J17" s="12">
        <f t="shared" si="0"/>
        <v>5.2636815920398039E-2</v>
      </c>
      <c r="K17" s="11">
        <v>4.680971736459022E-2</v>
      </c>
      <c r="L17" s="13">
        <v>181466000000</v>
      </c>
      <c r="M17" s="13">
        <v>1392032000000</v>
      </c>
      <c r="N17" s="9" t="s">
        <v>50</v>
      </c>
      <c r="O17" s="6">
        <v>1</v>
      </c>
      <c r="P17" s="12">
        <v>0.11120948225010367</v>
      </c>
      <c r="Q17" s="12">
        <v>0.13036050895381715</v>
      </c>
      <c r="R17" s="14">
        <v>15</v>
      </c>
    </row>
    <row r="18" spans="2:18" x14ac:dyDescent="0.5">
      <c r="B18" s="1" t="s">
        <v>351</v>
      </c>
      <c r="C18" t="s">
        <v>372</v>
      </c>
      <c r="D18" t="s">
        <v>82</v>
      </c>
      <c r="E18">
        <v>53.14</v>
      </c>
      <c r="F18" s="9" t="s">
        <v>50</v>
      </c>
      <c r="G18" s="7">
        <v>26907326464</v>
      </c>
      <c r="H18" s="6">
        <v>71.2</v>
      </c>
      <c r="I18" s="6">
        <v>39.03</v>
      </c>
      <c r="J18" s="12">
        <f t="shared" si="0"/>
        <v>0.36151678196259285</v>
      </c>
      <c r="K18" s="11">
        <v>0</v>
      </c>
      <c r="L18" s="13">
        <v>1949016683.5799999</v>
      </c>
      <c r="M18" s="13">
        <v>10523421872.709999</v>
      </c>
      <c r="N18" s="9" t="s">
        <v>50</v>
      </c>
      <c r="O18" s="6">
        <v>1</v>
      </c>
      <c r="P18" s="12">
        <v>8.5014180663487121E-2</v>
      </c>
      <c r="Q18" s="12">
        <v>0.18520750257426369</v>
      </c>
      <c r="R18" s="14">
        <v>16</v>
      </c>
    </row>
    <row r="19" spans="2:18" x14ac:dyDescent="0.5">
      <c r="B19" s="1" t="s">
        <v>357</v>
      </c>
      <c r="C19" t="s">
        <v>378</v>
      </c>
      <c r="D19" t="s">
        <v>151</v>
      </c>
      <c r="E19">
        <v>20.18</v>
      </c>
      <c r="F19" s="9" t="s">
        <v>50</v>
      </c>
      <c r="G19" s="7">
        <v>20326963200</v>
      </c>
      <c r="H19" s="6">
        <v>25.2</v>
      </c>
      <c r="I19" s="6">
        <v>19.93</v>
      </c>
      <c r="J19" s="12">
        <f t="shared" si="0"/>
        <v>1.2543903662819877E-2</v>
      </c>
      <c r="K19" s="11">
        <v>5.4509415262636279E-2</v>
      </c>
      <c r="L19" s="13">
        <v>1686709166</v>
      </c>
      <c r="M19" s="13">
        <v>10738080107</v>
      </c>
      <c r="N19" s="9" t="s">
        <v>50</v>
      </c>
      <c r="O19" s="6">
        <v>1</v>
      </c>
      <c r="P19" s="12">
        <v>9.657747920840716E-2</v>
      </c>
      <c r="Q19" s="12">
        <v>0.15707734987937541</v>
      </c>
      <c r="R19" s="14">
        <v>17</v>
      </c>
    </row>
    <row r="20" spans="2:18" x14ac:dyDescent="0.5">
      <c r="B20" s="1" t="s">
        <v>504</v>
      </c>
      <c r="C20" t="s">
        <v>542</v>
      </c>
      <c r="D20" t="s">
        <v>314</v>
      </c>
      <c r="E20">
        <v>6.73</v>
      </c>
      <c r="F20" s="9" t="s">
        <v>50</v>
      </c>
      <c r="G20" s="7">
        <v>44652376064</v>
      </c>
      <c r="H20" s="6">
        <v>7.95</v>
      </c>
      <c r="I20" s="6">
        <v>4.62</v>
      </c>
      <c r="J20" s="12">
        <f t="shared" si="0"/>
        <v>0.45670995670995684</v>
      </c>
      <c r="K20" s="11">
        <v>2.154531946508172E-2</v>
      </c>
      <c r="L20" s="13">
        <v>5417853662.29</v>
      </c>
      <c r="M20" s="13">
        <v>48593502362.830002</v>
      </c>
      <c r="N20" s="9" t="s">
        <v>50</v>
      </c>
      <c r="O20" s="6">
        <v>1</v>
      </c>
      <c r="P20" s="12">
        <v>0.12616569509743139</v>
      </c>
      <c r="Q20" s="12">
        <v>0.11149337666251874</v>
      </c>
      <c r="R20" s="14">
        <v>17</v>
      </c>
    </row>
    <row r="21" spans="2:18" x14ac:dyDescent="0.5">
      <c r="B21" s="1" t="s">
        <v>352</v>
      </c>
      <c r="C21" t="s">
        <v>373</v>
      </c>
      <c r="D21" t="s">
        <v>323</v>
      </c>
      <c r="E21">
        <v>5.44</v>
      </c>
      <c r="F21" s="9" t="s">
        <v>50</v>
      </c>
      <c r="G21" s="7">
        <v>24052170752</v>
      </c>
      <c r="H21" s="6">
        <v>6.39</v>
      </c>
      <c r="I21" s="6">
        <v>4.96</v>
      </c>
      <c r="J21" s="12">
        <f t="shared" si="0"/>
        <v>9.6774193548387233E-2</v>
      </c>
      <c r="K21" s="11">
        <v>3.6948529411764706E-2</v>
      </c>
      <c r="L21" s="13">
        <v>2697498300</v>
      </c>
      <c r="M21" s="13">
        <v>26396524300</v>
      </c>
      <c r="N21" s="9" t="s">
        <v>50</v>
      </c>
      <c r="O21" s="6">
        <v>1</v>
      </c>
      <c r="P21" s="12">
        <v>0.14037075390693404</v>
      </c>
      <c r="Q21" s="12">
        <v>0.10219141995145171</v>
      </c>
      <c r="R21" s="14">
        <v>17</v>
      </c>
    </row>
    <row r="22" spans="2:18" x14ac:dyDescent="0.5">
      <c r="B22" s="1" t="s">
        <v>15</v>
      </c>
      <c r="C22" t="s">
        <v>62</v>
      </c>
      <c r="D22" t="s">
        <v>60</v>
      </c>
      <c r="E22">
        <v>8.76</v>
      </c>
      <c r="F22" s="9" t="s">
        <v>50</v>
      </c>
      <c r="G22" s="7">
        <v>10631576576</v>
      </c>
      <c r="H22" s="6">
        <v>10.07</v>
      </c>
      <c r="I22" s="6">
        <v>8.15</v>
      </c>
      <c r="J22" s="12">
        <f t="shared" si="0"/>
        <v>7.4846625766871178E-2</v>
      </c>
      <c r="K22" s="11">
        <v>4.6803652968036527E-2</v>
      </c>
      <c r="L22" s="13">
        <v>1074859531.29</v>
      </c>
      <c r="M22" s="13">
        <v>9527311896.5100002</v>
      </c>
      <c r="N22" s="9" t="s">
        <v>50</v>
      </c>
      <c r="O22" s="6">
        <v>1</v>
      </c>
      <c r="P22" s="12">
        <v>0.11981529071276621</v>
      </c>
      <c r="Q22" s="12">
        <v>0.1128187617835559</v>
      </c>
      <c r="R22" s="14">
        <v>18</v>
      </c>
    </row>
    <row r="23" spans="2:18" x14ac:dyDescent="0.5">
      <c r="B23" s="1" t="s">
        <v>354</v>
      </c>
      <c r="C23" t="s">
        <v>375</v>
      </c>
      <c r="D23" t="s">
        <v>60</v>
      </c>
      <c r="E23">
        <v>10.38</v>
      </c>
      <c r="F23" s="9" t="s">
        <v>50</v>
      </c>
      <c r="G23" s="7">
        <v>14194703360</v>
      </c>
      <c r="H23" s="6">
        <v>14.2</v>
      </c>
      <c r="I23" s="6">
        <v>9.91</v>
      </c>
      <c r="J23" s="12">
        <f t="shared" si="0"/>
        <v>4.7426841574167655E-2</v>
      </c>
      <c r="K23" s="11">
        <v>3.8535645472061654E-2</v>
      </c>
      <c r="L23" s="13">
        <v>1310024443.6900001</v>
      </c>
      <c r="M23" s="13">
        <v>19473263524.830002</v>
      </c>
      <c r="N23" s="9" t="s">
        <v>50</v>
      </c>
      <c r="O23" s="6">
        <v>1</v>
      </c>
      <c r="P23" s="12">
        <v>0.20528455508049007</v>
      </c>
      <c r="Q23" s="12">
        <v>6.7272978770076819E-2</v>
      </c>
      <c r="R23" s="14">
        <v>19</v>
      </c>
    </row>
    <row r="24" spans="2:18" x14ac:dyDescent="0.5">
      <c r="B24" s="1" t="s">
        <v>489</v>
      </c>
      <c r="C24" t="s">
        <v>524</v>
      </c>
      <c r="D24" t="s">
        <v>303</v>
      </c>
      <c r="E24">
        <v>5.43</v>
      </c>
      <c r="F24" s="9" t="s">
        <v>50</v>
      </c>
      <c r="G24" s="7">
        <v>224369721344</v>
      </c>
      <c r="H24" s="6">
        <v>6.63</v>
      </c>
      <c r="I24" s="6">
        <v>4.96</v>
      </c>
      <c r="J24" s="12">
        <f t="shared" si="0"/>
        <v>9.4758064516129004E-2</v>
      </c>
      <c r="K24" s="11">
        <v>5.0092081031307557E-2</v>
      </c>
      <c r="L24" s="13">
        <v>101828438000</v>
      </c>
      <c r="M24" s="13">
        <v>1200367605000</v>
      </c>
      <c r="N24" s="9" t="s">
        <v>50</v>
      </c>
      <c r="O24" s="6">
        <v>1</v>
      </c>
      <c r="P24" s="12">
        <v>0.1535051412109987</v>
      </c>
      <c r="Q24" s="12">
        <v>8.4831044736499703E-2</v>
      </c>
      <c r="R24" s="14">
        <v>20</v>
      </c>
    </row>
    <row r="25" spans="2:18" x14ac:dyDescent="0.5">
      <c r="B25" s="1" t="s">
        <v>17</v>
      </c>
      <c r="C25" t="s">
        <v>64</v>
      </c>
      <c r="D25" t="s">
        <v>65</v>
      </c>
      <c r="E25">
        <v>12.13</v>
      </c>
      <c r="F25" s="9" t="s">
        <v>50</v>
      </c>
      <c r="G25" s="7">
        <v>4288234240</v>
      </c>
      <c r="H25" s="6">
        <v>15.53</v>
      </c>
      <c r="I25" s="6">
        <v>10.66</v>
      </c>
      <c r="J25" s="12">
        <f t="shared" si="0"/>
        <v>0.13789868667917449</v>
      </c>
      <c r="K25" s="11">
        <v>0</v>
      </c>
      <c r="L25" s="13">
        <v>339663210.94999999</v>
      </c>
      <c r="M25" s="13">
        <v>2751572515.0799999</v>
      </c>
      <c r="N25" s="9" t="s">
        <v>50</v>
      </c>
      <c r="O25" s="6">
        <v>1</v>
      </c>
      <c r="P25" s="12">
        <v>0.10092243467995511</v>
      </c>
      <c r="Q25" s="12">
        <v>0.12344330708657501</v>
      </c>
      <c r="R25" s="14">
        <v>21</v>
      </c>
    </row>
    <row r="26" spans="2:18" x14ac:dyDescent="0.5">
      <c r="B26" s="1" t="s">
        <v>565</v>
      </c>
      <c r="C26" t="s">
        <v>574</v>
      </c>
      <c r="D26" t="s">
        <v>456</v>
      </c>
      <c r="E26">
        <v>5.31</v>
      </c>
      <c r="F26" s="9" t="s">
        <v>50</v>
      </c>
      <c r="G26" s="7">
        <v>51979022336</v>
      </c>
      <c r="H26" s="6">
        <v>7.1</v>
      </c>
      <c r="I26" s="6">
        <v>4.8499999999999996</v>
      </c>
      <c r="J26" s="12">
        <f t="shared" si="0"/>
        <v>9.4845360824742375E-2</v>
      </c>
      <c r="K26" s="11">
        <v>3.2015065913371006E-2</v>
      </c>
      <c r="L26" s="13">
        <v>4783630821.25</v>
      </c>
      <c r="M26" s="13">
        <v>53393138493.459999</v>
      </c>
      <c r="N26" s="9" t="s">
        <v>50</v>
      </c>
      <c r="O26" s="6">
        <v>1</v>
      </c>
      <c r="P26" s="12">
        <v>0.13712871828102322</v>
      </c>
      <c r="Q26" s="12">
        <v>8.9592613512238767E-2</v>
      </c>
      <c r="R26" s="14">
        <v>22</v>
      </c>
    </row>
    <row r="27" spans="2:18" x14ac:dyDescent="0.5">
      <c r="B27" s="1" t="s">
        <v>16</v>
      </c>
      <c r="C27" t="s">
        <v>63</v>
      </c>
      <c r="D27" t="s">
        <v>60</v>
      </c>
      <c r="E27">
        <v>8.01</v>
      </c>
      <c r="F27" s="9" t="s">
        <v>50</v>
      </c>
      <c r="G27" s="7">
        <v>17800001536</v>
      </c>
      <c r="H27" s="6">
        <v>10.28</v>
      </c>
      <c r="I27" s="6">
        <v>7.15</v>
      </c>
      <c r="J27" s="12">
        <f t="shared" si="0"/>
        <v>0.12027972027972011</v>
      </c>
      <c r="K27" s="11">
        <v>3.7453183520599252E-2</v>
      </c>
      <c r="L27" s="13">
        <v>1357643494.6700001</v>
      </c>
      <c r="M27" s="13">
        <v>13696300546.360001</v>
      </c>
      <c r="N27" s="9" t="s">
        <v>50</v>
      </c>
      <c r="O27" s="6">
        <v>1</v>
      </c>
      <c r="P27" s="12">
        <v>0.11495515534765001</v>
      </c>
      <c r="Q27" s="12">
        <v>9.9124832291360196E-2</v>
      </c>
      <c r="R27" s="14">
        <v>23</v>
      </c>
    </row>
    <row r="28" spans="2:18" x14ac:dyDescent="0.5">
      <c r="B28" s="1" t="s">
        <v>10</v>
      </c>
      <c r="C28" t="s">
        <v>54</v>
      </c>
      <c r="D28" t="s">
        <v>55</v>
      </c>
      <c r="E28">
        <v>116.9</v>
      </c>
      <c r="F28" s="9" t="s">
        <v>50</v>
      </c>
      <c r="G28" s="7">
        <v>62676824064</v>
      </c>
      <c r="H28" s="6">
        <v>149.5</v>
      </c>
      <c r="I28" s="6">
        <v>69.98</v>
      </c>
      <c r="J28" s="12">
        <f t="shared" si="0"/>
        <v>0.670477279222635</v>
      </c>
      <c r="K28" s="11">
        <v>1.7964071856287425E-2</v>
      </c>
      <c r="L28" s="13">
        <v>2351242906.4000001</v>
      </c>
      <c r="M28" s="13">
        <v>10336332783.18</v>
      </c>
      <c r="N28" s="9" t="s">
        <v>50</v>
      </c>
      <c r="O28" s="6">
        <v>1</v>
      </c>
      <c r="P28" s="12">
        <v>3.8057680206046392E-2</v>
      </c>
      <c r="Q28" s="12">
        <v>0.22747360748931247</v>
      </c>
      <c r="R28" s="14">
        <v>24</v>
      </c>
    </row>
    <row r="29" spans="2:18" x14ac:dyDescent="0.5">
      <c r="B29" s="1" t="s">
        <v>8</v>
      </c>
      <c r="C29" t="s">
        <v>48</v>
      </c>
      <c r="D29" t="s">
        <v>49</v>
      </c>
      <c r="E29">
        <v>163.4</v>
      </c>
      <c r="F29" s="9" t="s">
        <v>50</v>
      </c>
      <c r="G29" s="7">
        <v>42337980416</v>
      </c>
      <c r="H29" s="6">
        <v>222.1</v>
      </c>
      <c r="I29" s="6">
        <v>123.57143000000001</v>
      </c>
      <c r="J29" s="12">
        <f t="shared" si="0"/>
        <v>0.3223121234414783</v>
      </c>
      <c r="K29" s="11">
        <v>4.6756425948592407E-3</v>
      </c>
      <c r="L29" s="13">
        <v>2107869808</v>
      </c>
      <c r="M29" s="13">
        <v>12869225664</v>
      </c>
      <c r="N29" s="9" t="s">
        <v>50</v>
      </c>
      <c r="O29" s="6">
        <v>1</v>
      </c>
      <c r="P29" s="12">
        <v>5.1321991159901416E-2</v>
      </c>
      <c r="Q29" s="12">
        <v>0.16379150253744434</v>
      </c>
      <c r="R29" s="14">
        <v>25</v>
      </c>
    </row>
    <row r="30" spans="2:18" x14ac:dyDescent="0.5">
      <c r="B30" s="1" t="s">
        <v>510</v>
      </c>
      <c r="C30" t="s">
        <v>549</v>
      </c>
      <c r="D30" t="s">
        <v>545</v>
      </c>
      <c r="E30">
        <v>61.08</v>
      </c>
      <c r="F30" s="9" t="s">
        <v>50</v>
      </c>
      <c r="G30" s="7">
        <v>173167591424</v>
      </c>
      <c r="H30" s="6">
        <v>73.66</v>
      </c>
      <c r="I30" s="6">
        <v>39.06</v>
      </c>
      <c r="J30" s="12">
        <f t="shared" si="0"/>
        <v>0.56374807987711195</v>
      </c>
      <c r="K30" s="11">
        <v>0</v>
      </c>
      <c r="L30" s="13">
        <v>3918841276.4000001</v>
      </c>
      <c r="M30" s="13">
        <v>17076522943.65</v>
      </c>
      <c r="N30" s="9" t="s">
        <v>50</v>
      </c>
      <c r="O30" s="6">
        <v>1</v>
      </c>
      <c r="P30" s="12">
        <v>2.399497191303749E-2</v>
      </c>
      <c r="Q30" s="12">
        <v>0.22948707352964048</v>
      </c>
      <c r="R30" s="14">
        <v>25</v>
      </c>
    </row>
    <row r="31" spans="2:18" x14ac:dyDescent="0.5">
      <c r="B31" s="1" t="s">
        <v>513</v>
      </c>
      <c r="C31" t="s">
        <v>552</v>
      </c>
      <c r="D31" t="s">
        <v>103</v>
      </c>
      <c r="E31">
        <v>35.1</v>
      </c>
      <c r="F31" s="9" t="s">
        <v>50</v>
      </c>
      <c r="G31" s="7">
        <v>74351312896</v>
      </c>
      <c r="H31" s="6">
        <v>46.37</v>
      </c>
      <c r="I31" s="6">
        <v>34.56</v>
      </c>
      <c r="J31" s="12">
        <f t="shared" si="0"/>
        <v>1.5625E-2</v>
      </c>
      <c r="K31" s="11">
        <v>2.2792022792022793E-2</v>
      </c>
      <c r="L31" s="13">
        <v>3792362642.79</v>
      </c>
      <c r="M31" s="13">
        <v>24727711046.299999</v>
      </c>
      <c r="N31" s="9" t="s">
        <v>50</v>
      </c>
      <c r="O31" s="6">
        <v>1</v>
      </c>
      <c r="P31" s="12">
        <v>5.700192909153861E-2</v>
      </c>
      <c r="Q31" s="12">
        <v>0.1533648883104953</v>
      </c>
      <c r="R31" s="14">
        <v>26</v>
      </c>
    </row>
    <row r="32" spans="2:18" x14ac:dyDescent="0.5">
      <c r="B32" s="1" t="s">
        <v>502</v>
      </c>
      <c r="C32" t="s">
        <v>539</v>
      </c>
      <c r="D32" t="s">
        <v>456</v>
      </c>
      <c r="E32">
        <v>7.67</v>
      </c>
      <c r="F32" s="9" t="s">
        <v>50</v>
      </c>
      <c r="G32" s="7">
        <v>211697303552</v>
      </c>
      <c r="H32" s="6">
        <v>8.92</v>
      </c>
      <c r="I32" s="6">
        <v>6.26</v>
      </c>
      <c r="J32" s="12">
        <f t="shared" si="0"/>
        <v>0.22523961661341851</v>
      </c>
      <c r="K32" s="11">
        <v>2.7379400260756193E-2</v>
      </c>
      <c r="L32" s="13">
        <v>17484674000</v>
      </c>
      <c r="M32" s="13">
        <v>181488019000</v>
      </c>
      <c r="N32" s="9" t="s">
        <v>50</v>
      </c>
      <c r="O32" s="6">
        <v>1</v>
      </c>
      <c r="P32" s="12">
        <v>0.10663549754576253</v>
      </c>
      <c r="Q32" s="12">
        <v>9.6340651555626933E-2</v>
      </c>
      <c r="R32" s="14">
        <v>27</v>
      </c>
    </row>
    <row r="33" spans="2:18" x14ac:dyDescent="0.5">
      <c r="B33" s="1" t="s">
        <v>520</v>
      </c>
      <c r="C33" t="s">
        <v>560</v>
      </c>
      <c r="D33" t="s">
        <v>97</v>
      </c>
      <c r="E33">
        <v>6.69</v>
      </c>
      <c r="F33" s="9" t="s">
        <v>50</v>
      </c>
      <c r="G33" s="7">
        <v>587910479872</v>
      </c>
      <c r="H33" s="6">
        <v>8.61</v>
      </c>
      <c r="I33" s="6">
        <v>6.33</v>
      </c>
      <c r="J33" s="12">
        <f t="shared" si="0"/>
        <v>5.6872037914692086E-2</v>
      </c>
      <c r="K33" s="11">
        <v>6.5919282511210764E-2</v>
      </c>
      <c r="L33" s="13">
        <v>44563000000</v>
      </c>
      <c r="M33" s="13">
        <v>463922000000</v>
      </c>
      <c r="N33" s="9" t="s">
        <v>50</v>
      </c>
      <c r="O33" s="6">
        <v>1</v>
      </c>
      <c r="P33" s="12">
        <v>7.8671157088079896E-2</v>
      </c>
      <c r="Q33" s="12">
        <v>9.605709580489824E-2</v>
      </c>
      <c r="R33" s="14">
        <v>28</v>
      </c>
    </row>
    <row r="34" spans="2:18" x14ac:dyDescent="0.5">
      <c r="B34" s="1" t="s">
        <v>496</v>
      </c>
      <c r="C34" t="s">
        <v>531</v>
      </c>
      <c r="D34" t="s">
        <v>234</v>
      </c>
      <c r="E34">
        <v>5.47</v>
      </c>
      <c r="F34" s="9" t="s">
        <v>50</v>
      </c>
      <c r="G34" s="7">
        <v>620691259392</v>
      </c>
      <c r="H34" s="6">
        <v>6.78</v>
      </c>
      <c r="I34" s="6">
        <v>5.25</v>
      </c>
      <c r="J34" s="12">
        <f t="shared" ref="J34:J65" si="1">E34/I34-1</f>
        <v>4.1904761904761889E-2</v>
      </c>
      <c r="K34" s="11">
        <v>4.1681901279707501E-2</v>
      </c>
      <c r="L34" s="13">
        <v>86964000000</v>
      </c>
      <c r="M34" s="13">
        <v>1118775000000</v>
      </c>
      <c r="N34" s="9" t="s">
        <v>50</v>
      </c>
      <c r="O34" s="6">
        <v>1</v>
      </c>
      <c r="P34" s="12">
        <v>8.6523486486795517E-2</v>
      </c>
      <c r="Q34" s="12">
        <v>7.7731447341958845E-2</v>
      </c>
      <c r="R34" s="14">
        <v>29</v>
      </c>
    </row>
    <row r="35" spans="2:18" x14ac:dyDescent="0.5">
      <c r="B35" s="1" t="s">
        <v>516</v>
      </c>
      <c r="C35" t="s">
        <v>555</v>
      </c>
      <c r="D35" t="s">
        <v>247</v>
      </c>
      <c r="E35">
        <v>7.93</v>
      </c>
      <c r="F35" s="9" t="s">
        <v>50</v>
      </c>
      <c r="G35" s="7">
        <v>11627834368</v>
      </c>
      <c r="H35" s="6">
        <v>8.92</v>
      </c>
      <c r="I35" s="6">
        <v>6.71</v>
      </c>
      <c r="J35" s="12">
        <f t="shared" si="1"/>
        <v>0.18181818181818188</v>
      </c>
      <c r="K35" s="11">
        <v>1.5510718789407314E-2</v>
      </c>
      <c r="L35" s="13">
        <v>973843110.71000004</v>
      </c>
      <c r="M35" s="13">
        <v>12878932291.200001</v>
      </c>
      <c r="N35" s="9" t="s">
        <v>50</v>
      </c>
      <c r="O35" s="6">
        <v>1</v>
      </c>
      <c r="P35" s="12">
        <v>8.519740769487566E-2</v>
      </c>
      <c r="Q35" s="12">
        <v>7.5615205413838052E-2</v>
      </c>
      <c r="R35" s="14">
        <v>30</v>
      </c>
    </row>
    <row r="36" spans="2:18" x14ac:dyDescent="0.5">
      <c r="B36" s="1" t="s">
        <v>571</v>
      </c>
      <c r="C36" t="s">
        <v>582</v>
      </c>
      <c r="D36" t="s">
        <v>428</v>
      </c>
      <c r="E36">
        <v>43.46</v>
      </c>
      <c r="F36" s="9" t="s">
        <v>50</v>
      </c>
      <c r="G36" s="7">
        <v>198515900416</v>
      </c>
      <c r="H36" s="6">
        <v>55.85</v>
      </c>
      <c r="I36" s="6">
        <v>28.67</v>
      </c>
      <c r="J36" s="12">
        <f t="shared" si="1"/>
        <v>0.5158702476456225</v>
      </c>
      <c r="K36" s="11">
        <v>1.4196962724344224E-2</v>
      </c>
      <c r="L36" s="13">
        <v>12676627000</v>
      </c>
      <c r="M36" s="13">
        <v>124899348000</v>
      </c>
      <c r="N36" s="9" t="s">
        <v>50</v>
      </c>
      <c r="O36" s="6">
        <v>1</v>
      </c>
      <c r="P36" s="12">
        <v>5.9434569532218401E-2</v>
      </c>
      <c r="Q36" s="12">
        <v>0.10149474118952166</v>
      </c>
      <c r="R36" s="14">
        <v>30</v>
      </c>
    </row>
    <row r="37" spans="2:18" x14ac:dyDescent="0.5">
      <c r="B37" s="1" t="s">
        <v>492</v>
      </c>
      <c r="C37" t="s">
        <v>527</v>
      </c>
      <c r="D37" t="s">
        <v>303</v>
      </c>
      <c r="E37">
        <v>8.7200000000000006</v>
      </c>
      <c r="F37" s="9" t="s">
        <v>50</v>
      </c>
      <c r="G37" s="7">
        <v>123896332288</v>
      </c>
      <c r="H37" s="6">
        <v>12.28</v>
      </c>
      <c r="I37" s="6">
        <v>8.39</v>
      </c>
      <c r="J37" s="12">
        <f t="shared" si="1"/>
        <v>3.933253873659126E-2</v>
      </c>
      <c r="K37" s="11">
        <v>1.8577981651376144E-2</v>
      </c>
      <c r="L37" s="13">
        <v>59165000000</v>
      </c>
      <c r="M37" s="13">
        <v>924142000000</v>
      </c>
      <c r="N37" s="9" t="s">
        <v>50</v>
      </c>
      <c r="O37" s="6">
        <v>1</v>
      </c>
      <c r="P37" s="12">
        <v>9.8065324012831648E-2</v>
      </c>
      <c r="Q37" s="12">
        <v>6.4021546472295382E-2</v>
      </c>
      <c r="R37" s="14">
        <v>31</v>
      </c>
    </row>
    <row r="38" spans="2:18" x14ac:dyDescent="0.5">
      <c r="B38" s="1" t="s">
        <v>501</v>
      </c>
      <c r="C38" t="s">
        <v>537</v>
      </c>
      <c r="D38" t="s">
        <v>538</v>
      </c>
      <c r="E38">
        <v>28.1</v>
      </c>
      <c r="F38" s="9" t="s">
        <v>50</v>
      </c>
      <c r="G38" s="7">
        <v>687556919296</v>
      </c>
      <c r="H38" s="6">
        <v>31.19</v>
      </c>
      <c r="I38" s="6">
        <v>26.78</v>
      </c>
      <c r="J38" s="12">
        <f t="shared" si="1"/>
        <v>4.9290515309932781E-2</v>
      </c>
      <c r="K38" s="11">
        <v>2.6085409252669039E-2</v>
      </c>
      <c r="L38" s="13">
        <v>50189673691.849998</v>
      </c>
      <c r="M38" s="13">
        <v>460310037215.31</v>
      </c>
      <c r="N38" s="9" t="s">
        <v>50</v>
      </c>
      <c r="O38" s="6">
        <v>1</v>
      </c>
      <c r="P38" s="12">
        <v>5.1294323502348686E-2</v>
      </c>
      <c r="Q38" s="12">
        <v>0.10903449769524313</v>
      </c>
      <c r="R38" s="14">
        <v>31</v>
      </c>
    </row>
    <row r="39" spans="2:18" x14ac:dyDescent="0.5">
      <c r="B39" s="1" t="s">
        <v>358</v>
      </c>
      <c r="C39" t="s">
        <v>379</v>
      </c>
      <c r="D39" t="s">
        <v>247</v>
      </c>
      <c r="E39">
        <v>15.2</v>
      </c>
      <c r="F39" s="9" t="s">
        <v>50</v>
      </c>
      <c r="G39" s="7">
        <v>4436202496</v>
      </c>
      <c r="H39" s="6">
        <v>18.489999999999998</v>
      </c>
      <c r="I39" s="6">
        <v>11.95</v>
      </c>
      <c r="J39" s="12">
        <f t="shared" si="1"/>
        <v>0.27196652719665271</v>
      </c>
      <c r="K39" s="11">
        <v>2.6315789473684213E-2</v>
      </c>
      <c r="L39" s="13">
        <v>225008130.19999999</v>
      </c>
      <c r="M39" s="13">
        <v>2512019918.8400002</v>
      </c>
      <c r="N39" s="9" t="s">
        <v>50</v>
      </c>
      <c r="O39" s="6">
        <v>1</v>
      </c>
      <c r="P39" s="12">
        <v>6.207483271989301E-2</v>
      </c>
      <c r="Q39" s="12">
        <v>8.957258997528339E-2</v>
      </c>
      <c r="R39" s="14">
        <v>32</v>
      </c>
    </row>
    <row r="40" spans="2:18" x14ac:dyDescent="0.5">
      <c r="B40" s="1" t="s">
        <v>491</v>
      </c>
      <c r="C40" t="s">
        <v>526</v>
      </c>
      <c r="D40" t="s">
        <v>303</v>
      </c>
      <c r="E40">
        <v>7.95</v>
      </c>
      <c r="F40" s="9" t="s">
        <v>50</v>
      </c>
      <c r="G40" s="7">
        <v>101828124672</v>
      </c>
      <c r="H40" s="6">
        <v>10.31</v>
      </c>
      <c r="I40" s="6">
        <v>7.29</v>
      </c>
      <c r="J40" s="12">
        <f t="shared" si="1"/>
        <v>9.0534979423868345E-2</v>
      </c>
      <c r="K40" s="11">
        <v>3.7735849056603772E-2</v>
      </c>
      <c r="L40" s="13">
        <v>42109966000</v>
      </c>
      <c r="M40" s="13">
        <v>746176876000</v>
      </c>
      <c r="N40" s="9" t="s">
        <v>50</v>
      </c>
      <c r="O40" s="6">
        <v>1</v>
      </c>
      <c r="P40" s="12">
        <v>0.10152975062137357</v>
      </c>
      <c r="Q40" s="12">
        <v>5.643429507724386E-2</v>
      </c>
      <c r="R40" s="14">
        <v>32</v>
      </c>
    </row>
    <row r="41" spans="2:18" x14ac:dyDescent="0.5">
      <c r="B41" s="1" t="s">
        <v>564</v>
      </c>
      <c r="C41" t="s">
        <v>573</v>
      </c>
      <c r="D41" t="s">
        <v>535</v>
      </c>
      <c r="E41">
        <v>3.94</v>
      </c>
      <c r="F41" s="9" t="s">
        <v>50</v>
      </c>
      <c r="G41" s="7">
        <v>185979142144</v>
      </c>
      <c r="H41" s="6">
        <v>4.22</v>
      </c>
      <c r="I41" s="6">
        <v>3.33</v>
      </c>
      <c r="J41" s="12">
        <f t="shared" si="1"/>
        <v>0.18318318318318316</v>
      </c>
      <c r="K41" s="11">
        <v>2.4111675126903553E-2</v>
      </c>
      <c r="L41" s="13">
        <v>26751928946.529999</v>
      </c>
      <c r="M41" s="13">
        <v>324659027578.44</v>
      </c>
      <c r="N41" s="9" t="s">
        <v>50</v>
      </c>
      <c r="O41" s="6">
        <v>1</v>
      </c>
      <c r="P41" s="12">
        <v>7.1175466522205355E-2</v>
      </c>
      <c r="Q41" s="12">
        <v>8.2400077232001614E-2</v>
      </c>
      <c r="R41" s="14">
        <v>32</v>
      </c>
    </row>
    <row r="42" spans="2:18" x14ac:dyDescent="0.5">
      <c r="B42" s="1" t="s">
        <v>522</v>
      </c>
      <c r="C42" t="s">
        <v>562</v>
      </c>
      <c r="D42" t="s">
        <v>179</v>
      </c>
      <c r="E42">
        <v>106.45</v>
      </c>
      <c r="F42" s="9" t="s">
        <v>50</v>
      </c>
      <c r="G42" s="7">
        <v>155748663296</v>
      </c>
      <c r="H42" s="6">
        <v>128.12</v>
      </c>
      <c r="I42" s="6">
        <v>58.7</v>
      </c>
      <c r="J42" s="12">
        <f t="shared" si="1"/>
        <v>0.81345826235093699</v>
      </c>
      <c r="K42" s="11">
        <v>2.5364020666979806E-3</v>
      </c>
      <c r="L42" s="13">
        <v>2349708213.3800001</v>
      </c>
      <c r="M42" s="13">
        <v>20522336937.23</v>
      </c>
      <c r="N42" s="9" t="s">
        <v>50</v>
      </c>
      <c r="O42" s="6">
        <v>1</v>
      </c>
      <c r="P42" s="12">
        <v>1.5649040360845284E-2</v>
      </c>
      <c r="Q42" s="12">
        <v>0.11449515815702964</v>
      </c>
      <c r="R42" s="14">
        <v>33</v>
      </c>
    </row>
    <row r="43" spans="2:18" x14ac:dyDescent="0.5">
      <c r="B43" s="1" t="s">
        <v>499</v>
      </c>
      <c r="C43" t="s">
        <v>534</v>
      </c>
      <c r="D43" t="s">
        <v>535</v>
      </c>
      <c r="E43">
        <v>8.1300000000000008</v>
      </c>
      <c r="F43" s="9" t="s">
        <v>50</v>
      </c>
      <c r="G43" s="7">
        <v>116530528256</v>
      </c>
      <c r="H43" s="6">
        <v>8.49</v>
      </c>
      <c r="I43" s="6">
        <v>6.15</v>
      </c>
      <c r="J43" s="12">
        <f t="shared" si="1"/>
        <v>0.32195121951219519</v>
      </c>
      <c r="K43" s="11">
        <v>3.3210332103321034E-2</v>
      </c>
      <c r="L43" s="13">
        <v>25872572232</v>
      </c>
      <c r="M43" s="13">
        <v>387656475215</v>
      </c>
      <c r="N43" s="9" t="s">
        <v>50</v>
      </c>
      <c r="O43" s="6">
        <v>1</v>
      </c>
      <c r="P43" s="12">
        <v>6.5553862484211661E-2</v>
      </c>
      <c r="Q43" s="12">
        <v>6.6740977866165369E-2</v>
      </c>
      <c r="R43" s="14">
        <v>34</v>
      </c>
    </row>
    <row r="44" spans="2:18" x14ac:dyDescent="0.5">
      <c r="B44" s="1" t="s">
        <v>493</v>
      </c>
      <c r="C44" t="s">
        <v>528</v>
      </c>
      <c r="D44" t="s">
        <v>303</v>
      </c>
      <c r="E44">
        <v>5.64</v>
      </c>
      <c r="F44" s="9" t="s">
        <v>50</v>
      </c>
      <c r="G44" s="7">
        <v>97155538944</v>
      </c>
      <c r="H44" s="6">
        <v>7.84</v>
      </c>
      <c r="I44" s="6">
        <v>4.38</v>
      </c>
      <c r="J44" s="12">
        <f t="shared" si="1"/>
        <v>0.28767123287671237</v>
      </c>
      <c r="K44" s="11">
        <v>2.2517730496453902E-2</v>
      </c>
      <c r="L44" s="13">
        <v>34317184820.950001</v>
      </c>
      <c r="M44" s="13">
        <v>588966357094.34998</v>
      </c>
      <c r="N44" s="9" t="s">
        <v>50</v>
      </c>
      <c r="O44" s="6">
        <v>1</v>
      </c>
      <c r="P44" s="12">
        <v>7.5846974875146148E-2</v>
      </c>
      <c r="Q44" s="12">
        <v>5.8266799805430196E-2</v>
      </c>
      <c r="R44" s="14">
        <v>35</v>
      </c>
    </row>
    <row r="45" spans="2:18" x14ac:dyDescent="0.5">
      <c r="B45" s="1" t="s">
        <v>9</v>
      </c>
      <c r="C45" t="s">
        <v>52</v>
      </c>
      <c r="D45" t="s">
        <v>53</v>
      </c>
      <c r="E45">
        <v>89.4</v>
      </c>
      <c r="F45" s="9" t="s">
        <v>50</v>
      </c>
      <c r="G45" s="7">
        <v>51765563392</v>
      </c>
      <c r="H45" s="6">
        <v>111.69</v>
      </c>
      <c r="I45" s="6">
        <v>42.3</v>
      </c>
      <c r="J45" s="12">
        <f t="shared" si="1"/>
        <v>1.1134751773049647</v>
      </c>
      <c r="K45" s="11">
        <v>5.0335570469798654E-3</v>
      </c>
      <c r="L45" s="13">
        <v>939613185.05999994</v>
      </c>
      <c r="M45" s="13">
        <v>9067794807.8099995</v>
      </c>
      <c r="N45" s="9" t="s">
        <v>50</v>
      </c>
      <c r="O45" s="6">
        <v>1</v>
      </c>
      <c r="P45" s="12">
        <v>1.9311594946851071E-2</v>
      </c>
      <c r="Q45" s="12">
        <v>0.10362091390188061</v>
      </c>
      <c r="R45" s="14">
        <v>36</v>
      </c>
    </row>
    <row r="46" spans="2:18" x14ac:dyDescent="0.5">
      <c r="B46" s="1" t="s">
        <v>490</v>
      </c>
      <c r="C46" t="s">
        <v>525</v>
      </c>
      <c r="D46" t="s">
        <v>303</v>
      </c>
      <c r="E46">
        <v>5.62</v>
      </c>
      <c r="F46" s="9" t="s">
        <v>50</v>
      </c>
      <c r="G46" s="7">
        <v>130940780544</v>
      </c>
      <c r="H46" s="6">
        <v>7.2</v>
      </c>
      <c r="I46" s="6">
        <v>5.16</v>
      </c>
      <c r="J46" s="12">
        <f t="shared" si="1"/>
        <v>8.9147286821705363E-2</v>
      </c>
      <c r="K46" s="11">
        <v>3.1672597864768684E-2</v>
      </c>
      <c r="L46" s="13">
        <v>33501619000</v>
      </c>
      <c r="M46" s="13">
        <v>818795014000</v>
      </c>
      <c r="N46" s="9" t="s">
        <v>50</v>
      </c>
      <c r="O46" s="6">
        <v>1</v>
      </c>
      <c r="P46" s="12">
        <v>8.4431903221029184E-2</v>
      </c>
      <c r="Q46" s="12">
        <v>4.0915758434259347E-2</v>
      </c>
      <c r="R46" s="14">
        <v>37</v>
      </c>
    </row>
    <row r="47" spans="2:18" x14ac:dyDescent="0.5">
      <c r="B47" s="1" t="s">
        <v>494</v>
      </c>
      <c r="C47" t="s">
        <v>529</v>
      </c>
      <c r="D47" t="s">
        <v>303</v>
      </c>
      <c r="E47">
        <v>2.41</v>
      </c>
      <c r="F47" s="9" t="s">
        <v>50</v>
      </c>
      <c r="G47" s="7">
        <v>88390459392</v>
      </c>
      <c r="H47" s="6">
        <v>3.09</v>
      </c>
      <c r="I47" s="6">
        <v>2.13</v>
      </c>
      <c r="J47" s="12">
        <f t="shared" si="1"/>
        <v>0.13145539906103298</v>
      </c>
      <c r="K47" s="11">
        <v>0</v>
      </c>
      <c r="L47" s="13">
        <v>21889640000</v>
      </c>
      <c r="M47" s="13">
        <v>403626754000</v>
      </c>
      <c r="N47" s="9" t="s">
        <v>50</v>
      </c>
      <c r="O47" s="6">
        <v>1</v>
      </c>
      <c r="P47" s="12">
        <v>7.6120743443923305E-2</v>
      </c>
      <c r="Q47" s="12">
        <v>5.4232381236056518E-2</v>
      </c>
      <c r="R47" s="14">
        <v>37</v>
      </c>
    </row>
    <row r="48" spans="2:18" x14ac:dyDescent="0.5">
      <c r="B48" s="1" t="s">
        <v>500</v>
      </c>
      <c r="C48" t="s">
        <v>536</v>
      </c>
      <c r="D48" t="s">
        <v>535</v>
      </c>
      <c r="E48">
        <v>3.64</v>
      </c>
      <c r="F48" s="9" t="s">
        <v>50</v>
      </c>
      <c r="G48" s="7">
        <v>58847887360</v>
      </c>
      <c r="H48" s="6">
        <v>4.1399999999999997</v>
      </c>
      <c r="I48" s="6">
        <v>2.58</v>
      </c>
      <c r="J48" s="12">
        <f t="shared" si="1"/>
        <v>0.41085271317829464</v>
      </c>
      <c r="K48" s="11">
        <v>3.2142857142857147E-2</v>
      </c>
      <c r="L48" s="13">
        <v>13880855000</v>
      </c>
      <c r="M48" s="13">
        <v>234487155000</v>
      </c>
      <c r="N48" s="9" t="s">
        <v>50</v>
      </c>
      <c r="O48" s="6">
        <v>1</v>
      </c>
      <c r="P48" s="12">
        <v>5.9080275089807344E-2</v>
      </c>
      <c r="Q48" s="12">
        <v>5.9196654076851249E-2</v>
      </c>
      <c r="R48" s="14">
        <v>38</v>
      </c>
    </row>
    <row r="49" spans="2:18" x14ac:dyDescent="0.5">
      <c r="B49" s="1" t="s">
        <v>506</v>
      </c>
      <c r="C49" t="s">
        <v>544</v>
      </c>
      <c r="D49" t="s">
        <v>545</v>
      </c>
      <c r="E49">
        <v>2.62</v>
      </c>
      <c r="F49" s="9" t="s">
        <v>50</v>
      </c>
      <c r="G49" s="7">
        <v>29253519360</v>
      </c>
      <c r="H49" s="6">
        <v>2.87</v>
      </c>
      <c r="I49" s="6">
        <v>2.11</v>
      </c>
      <c r="J49" s="12">
        <f t="shared" si="1"/>
        <v>0.24170616113744092</v>
      </c>
      <c r="K49" s="11">
        <v>0</v>
      </c>
      <c r="L49" s="13">
        <v>5814662389.1800003</v>
      </c>
      <c r="M49" s="13">
        <v>102256651904.24001</v>
      </c>
      <c r="N49" s="9" t="s">
        <v>50</v>
      </c>
      <c r="O49" s="6">
        <v>1</v>
      </c>
      <c r="P49" s="12">
        <v>5.3149563419344542E-2</v>
      </c>
      <c r="Q49" s="12">
        <v>5.686341456422063E-2</v>
      </c>
      <c r="R49" s="14">
        <v>39</v>
      </c>
    </row>
    <row r="50" spans="2:18" x14ac:dyDescent="0.5">
      <c r="B50" s="1" t="s">
        <v>509</v>
      </c>
      <c r="C50" t="s">
        <v>548</v>
      </c>
      <c r="D50" t="s">
        <v>545</v>
      </c>
      <c r="E50">
        <v>35.9</v>
      </c>
      <c r="F50" s="9" t="s">
        <v>50</v>
      </c>
      <c r="G50" s="7">
        <v>270169817088</v>
      </c>
      <c r="H50" s="6">
        <v>40.98</v>
      </c>
      <c r="I50" s="6">
        <v>26.93</v>
      </c>
      <c r="J50" s="12">
        <f t="shared" si="1"/>
        <v>0.33308577794281469</v>
      </c>
      <c r="K50" s="11">
        <v>6.9637883008356553E-3</v>
      </c>
      <c r="L50" s="13">
        <v>4449656593.3100004</v>
      </c>
      <c r="M50" s="13">
        <v>63010033611.870003</v>
      </c>
      <c r="N50" s="9" t="s">
        <v>50</v>
      </c>
      <c r="O50" s="6">
        <v>1</v>
      </c>
      <c r="P50" s="12">
        <v>1.9982053661249097E-2</v>
      </c>
      <c r="Q50" s="12">
        <v>7.0618222817004847E-2</v>
      </c>
      <c r="R50" s="14">
        <v>40</v>
      </c>
    </row>
    <row r="51" spans="2:18" x14ac:dyDescent="0.5">
      <c r="B51" s="1" t="s">
        <v>512</v>
      </c>
      <c r="C51" t="s">
        <v>551</v>
      </c>
      <c r="D51" t="s">
        <v>49</v>
      </c>
      <c r="E51">
        <v>15.83</v>
      </c>
      <c r="F51" s="9" t="s">
        <v>50</v>
      </c>
      <c r="G51" s="7">
        <v>24940040192</v>
      </c>
      <c r="H51" s="6">
        <v>24.83</v>
      </c>
      <c r="I51" s="6">
        <v>14.35</v>
      </c>
      <c r="J51" s="12">
        <f t="shared" si="1"/>
        <v>0.10313588850174216</v>
      </c>
      <c r="K51" s="11">
        <v>7.7068856601389766E-3</v>
      </c>
      <c r="L51" s="13">
        <v>968110478.09000003</v>
      </c>
      <c r="M51" s="13">
        <v>17054713794</v>
      </c>
      <c r="N51" s="9" t="s">
        <v>50</v>
      </c>
      <c r="O51" s="6">
        <v>1</v>
      </c>
      <c r="P51" s="12">
        <v>4.2044249009650016E-2</v>
      </c>
      <c r="Q51" s="12">
        <v>5.6764979452812038E-2</v>
      </c>
      <c r="R51" s="14">
        <v>40</v>
      </c>
    </row>
    <row r="52" spans="2:18" x14ac:dyDescent="0.5">
      <c r="B52" s="1" t="s">
        <v>517</v>
      </c>
      <c r="C52" t="s">
        <v>556</v>
      </c>
      <c r="D52" t="s">
        <v>303</v>
      </c>
      <c r="E52">
        <v>5.29</v>
      </c>
      <c r="F52" s="9" t="s">
        <v>50</v>
      </c>
      <c r="G52" s="7">
        <v>14645168128</v>
      </c>
      <c r="H52" s="6">
        <v>6.52</v>
      </c>
      <c r="I52" s="6">
        <v>3.95</v>
      </c>
      <c r="J52" s="12">
        <f t="shared" si="1"/>
        <v>0.33924050632911396</v>
      </c>
      <c r="K52" s="11">
        <v>0</v>
      </c>
      <c r="L52" s="13">
        <v>798742000</v>
      </c>
      <c r="M52" s="13">
        <v>19715428000</v>
      </c>
      <c r="N52" s="9" t="s">
        <v>50</v>
      </c>
      <c r="O52" s="6">
        <v>1</v>
      </c>
      <c r="P52" s="12">
        <v>3.2409522999329692E-2</v>
      </c>
      <c r="Q52" s="12">
        <v>4.0513551113371724E-2</v>
      </c>
      <c r="R52" s="14">
        <v>41</v>
      </c>
    </row>
    <row r="53" spans="2:18" x14ac:dyDescent="0.5">
      <c r="B53" s="1" t="s">
        <v>515</v>
      </c>
      <c r="C53" t="s">
        <v>554</v>
      </c>
      <c r="D53" t="s">
        <v>247</v>
      </c>
      <c r="E53">
        <v>34.65</v>
      </c>
      <c r="F53" s="9" t="s">
        <v>50</v>
      </c>
      <c r="G53" s="7">
        <v>58146983936</v>
      </c>
      <c r="H53" s="6">
        <v>40.479999999999997</v>
      </c>
      <c r="I53" s="6">
        <v>11.86</v>
      </c>
      <c r="J53" s="12">
        <f t="shared" si="1"/>
        <v>1.921585160202361</v>
      </c>
      <c r="K53" s="11">
        <v>6.4935064935064939E-3</v>
      </c>
      <c r="L53" s="13">
        <v>1617339292.8699999</v>
      </c>
      <c r="M53" s="13">
        <v>31007772337.259998</v>
      </c>
      <c r="N53" s="9" t="s">
        <v>50</v>
      </c>
      <c r="O53" s="6">
        <v>1</v>
      </c>
      <c r="P53" s="12">
        <v>2.267315585472985E-2</v>
      </c>
      <c r="Q53" s="12">
        <v>5.2159157880766228E-2</v>
      </c>
      <c r="R53" s="14">
        <v>42</v>
      </c>
    </row>
    <row r="54" spans="2:18" x14ac:dyDescent="0.5">
      <c r="B54" s="1" t="s">
        <v>511</v>
      </c>
      <c r="C54" t="s">
        <v>550</v>
      </c>
      <c r="D54" t="s">
        <v>545</v>
      </c>
      <c r="E54">
        <v>36.04</v>
      </c>
      <c r="F54" s="9" t="s">
        <v>50</v>
      </c>
      <c r="G54" s="7">
        <v>29548951552</v>
      </c>
      <c r="H54" s="6">
        <v>45.85</v>
      </c>
      <c r="I54" s="6">
        <v>33.39</v>
      </c>
      <c r="J54" s="12">
        <f t="shared" si="1"/>
        <v>7.9365079365079305E-2</v>
      </c>
      <c r="K54" s="11">
        <v>5.6603773584905656E-3</v>
      </c>
      <c r="L54" s="13">
        <v>605951793.63999999</v>
      </c>
      <c r="M54" s="13">
        <v>19290166367.68</v>
      </c>
      <c r="N54" s="9" t="s">
        <v>50</v>
      </c>
      <c r="O54" s="6">
        <v>1</v>
      </c>
      <c r="P54" s="12">
        <v>3.0757725506092824E-2</v>
      </c>
      <c r="Q54" s="12">
        <v>3.141247110523894E-2</v>
      </c>
      <c r="R54" s="14">
        <v>43</v>
      </c>
    </row>
    <row r="55" spans="2:18" x14ac:dyDescent="0.5">
      <c r="B55" s="1" t="s">
        <v>568</v>
      </c>
      <c r="C55" t="s">
        <v>578</v>
      </c>
      <c r="D55" t="s">
        <v>545</v>
      </c>
      <c r="E55">
        <v>10.98</v>
      </c>
      <c r="F55" s="9" t="s">
        <v>50</v>
      </c>
      <c r="G55" s="7">
        <v>36226306048</v>
      </c>
      <c r="H55" s="6">
        <v>12.16</v>
      </c>
      <c r="I55" s="6">
        <v>8.02</v>
      </c>
      <c r="J55" s="12">
        <f t="shared" si="1"/>
        <v>0.36907730673316719</v>
      </c>
      <c r="K55" s="11">
        <v>4.5537340619307837E-3</v>
      </c>
      <c r="L55" s="13">
        <v>823353214.80999994</v>
      </c>
      <c r="M55" s="13">
        <v>24600134953.169998</v>
      </c>
      <c r="N55" s="9" t="s">
        <v>50</v>
      </c>
      <c r="O55" s="6">
        <v>1</v>
      </c>
      <c r="P55" s="12">
        <v>2.312322375675499E-2</v>
      </c>
      <c r="Q55" s="12">
        <v>3.3469459268307869E-2</v>
      </c>
      <c r="R55" s="14">
        <v>43</v>
      </c>
    </row>
    <row r="56" spans="2:18" x14ac:dyDescent="0.5">
      <c r="B56" s="1" t="s">
        <v>567</v>
      </c>
      <c r="C56" t="s">
        <v>576</v>
      </c>
      <c r="D56" t="s">
        <v>577</v>
      </c>
      <c r="E56">
        <v>30.54</v>
      </c>
      <c r="F56" s="9" t="s">
        <v>50</v>
      </c>
      <c r="G56" s="7">
        <v>21702621184</v>
      </c>
      <c r="H56" s="6">
        <v>39</v>
      </c>
      <c r="I56" s="6">
        <v>23.98</v>
      </c>
      <c r="J56" s="12">
        <f t="shared" si="1"/>
        <v>0.27356130108423682</v>
      </c>
      <c r="K56" s="11">
        <v>1.9318925998690242E-3</v>
      </c>
      <c r="L56" s="13">
        <v>299280592.93000001</v>
      </c>
      <c r="M56" s="13">
        <v>8835084844.8099995</v>
      </c>
      <c r="N56" s="9" t="s">
        <v>50</v>
      </c>
      <c r="O56" s="6">
        <v>1</v>
      </c>
      <c r="P56" s="12">
        <v>1.4948860061937425E-2</v>
      </c>
      <c r="Q56" s="12">
        <v>3.3874105137293234E-2</v>
      </c>
      <c r="R56" s="14">
        <v>44</v>
      </c>
    </row>
    <row r="57" spans="2:18" x14ac:dyDescent="0.5">
      <c r="B57" s="1" t="s">
        <v>503</v>
      </c>
      <c r="C57" t="s">
        <v>540</v>
      </c>
      <c r="D57" t="s">
        <v>541</v>
      </c>
      <c r="E57">
        <v>7.86</v>
      </c>
      <c r="F57" s="9" t="s">
        <v>50</v>
      </c>
      <c r="G57" s="7">
        <v>123621367808</v>
      </c>
      <c r="H57" s="6">
        <v>9.1199999999999992</v>
      </c>
      <c r="I57" s="6">
        <v>6.71</v>
      </c>
      <c r="J57" s="12">
        <f t="shared" si="1"/>
        <v>0.17138599105812236</v>
      </c>
      <c r="K57" s="11">
        <v>0</v>
      </c>
      <c r="L57" s="13">
        <v>4793550000</v>
      </c>
      <c r="M57" s="13">
        <v>148871512000</v>
      </c>
      <c r="N57" s="9" t="s">
        <v>50</v>
      </c>
      <c r="O57" s="6">
        <v>1</v>
      </c>
      <c r="P57" s="12">
        <v>1.4321158198553213E-2</v>
      </c>
      <c r="Q57" s="12">
        <v>3.2199243062702283E-2</v>
      </c>
      <c r="R57" s="14">
        <v>45</v>
      </c>
    </row>
    <row r="58" spans="2:18" x14ac:dyDescent="0.5">
      <c r="B58" s="1" t="s">
        <v>566</v>
      </c>
      <c r="C58" t="s">
        <v>575</v>
      </c>
      <c r="D58" t="s">
        <v>545</v>
      </c>
      <c r="E58">
        <v>42.96</v>
      </c>
      <c r="F58" s="9" t="s">
        <v>50</v>
      </c>
      <c r="G58" s="7">
        <v>50799730688</v>
      </c>
      <c r="H58" s="6">
        <v>45.59</v>
      </c>
      <c r="I58" s="6">
        <v>23.87</v>
      </c>
      <c r="J58" s="12">
        <f t="shared" si="1"/>
        <v>0.7997486384583159</v>
      </c>
      <c r="K58" s="11">
        <v>2.3277467411545624E-4</v>
      </c>
      <c r="L58" s="13">
        <v>-41030373.009999998</v>
      </c>
      <c r="M58" s="13">
        <v>6579370456.6700001</v>
      </c>
      <c r="N58" s="9" t="s">
        <v>50</v>
      </c>
      <c r="O58" s="6">
        <v>1</v>
      </c>
      <c r="P58" s="12">
        <v>-8.2656593247322735E-4</v>
      </c>
      <c r="Q58" s="12">
        <v>-6.2362156501469587E-3</v>
      </c>
      <c r="R58" s="14">
        <v>46</v>
      </c>
    </row>
    <row r="59" spans="2:18" x14ac:dyDescent="0.5">
      <c r="B59" s="1" t="s">
        <v>474</v>
      </c>
      <c r="C59" t="s">
        <v>488</v>
      </c>
      <c r="D59" t="s">
        <v>368</v>
      </c>
      <c r="E59">
        <v>11.97</v>
      </c>
      <c r="F59" s="9" t="s">
        <v>50</v>
      </c>
      <c r="G59" s="7">
        <v>83784704000</v>
      </c>
      <c r="H59" s="6">
        <v>15.24</v>
      </c>
      <c r="I59" s="6">
        <v>8.98</v>
      </c>
      <c r="J59" s="12">
        <f t="shared" si="1"/>
        <v>0.3329621380846326</v>
      </c>
      <c r="K59" s="11">
        <v>1.6708437761069339E-2</v>
      </c>
      <c r="L59" s="13">
        <v>-931377000</v>
      </c>
      <c r="M59" s="13">
        <v>31106254000</v>
      </c>
      <c r="N59" s="9" t="s">
        <v>50</v>
      </c>
      <c r="O59" s="6">
        <v>1</v>
      </c>
      <c r="P59" s="12">
        <v>-1.5145366176726202E-2</v>
      </c>
      <c r="Q59" s="12">
        <v>-2.9941792412548292E-2</v>
      </c>
      <c r="R59" s="14">
        <v>47</v>
      </c>
    </row>
    <row r="60" spans="2:18" x14ac:dyDescent="0.5">
      <c r="B60" s="1" t="s">
        <v>523</v>
      </c>
      <c r="C60" t="s">
        <v>563</v>
      </c>
      <c r="D60" t="s">
        <v>406</v>
      </c>
      <c r="E60">
        <v>52.29</v>
      </c>
      <c r="F60" s="9" t="s">
        <v>50</v>
      </c>
      <c r="G60" s="7">
        <v>48827699200</v>
      </c>
      <c r="H60" s="6">
        <v>73</v>
      </c>
      <c r="I60" s="6">
        <v>41.37</v>
      </c>
      <c r="J60" s="12">
        <f t="shared" si="1"/>
        <v>0.26395939086294429</v>
      </c>
      <c r="K60" s="11">
        <v>0</v>
      </c>
      <c r="L60" s="13">
        <v>-243865509.30000001</v>
      </c>
      <c r="M60" s="13">
        <v>3088241018.6100001</v>
      </c>
      <c r="N60" s="9" t="s">
        <v>50</v>
      </c>
      <c r="O60" s="6">
        <v>1</v>
      </c>
      <c r="P60" s="12">
        <v>-5.1053738774906642E-3</v>
      </c>
      <c r="Q60" s="12">
        <v>-7.8965828065376359E-2</v>
      </c>
      <c r="R60" s="14">
        <v>48</v>
      </c>
    </row>
    <row r="61" spans="2:18" x14ac:dyDescent="0.5">
      <c r="B61" s="1" t="s">
        <v>570</v>
      </c>
      <c r="C61" t="s">
        <v>580</v>
      </c>
      <c r="D61" t="s">
        <v>581</v>
      </c>
      <c r="E61">
        <v>20.98</v>
      </c>
      <c r="F61" s="9" t="s">
        <v>50</v>
      </c>
      <c r="G61" s="7">
        <v>1717460992</v>
      </c>
      <c r="H61" s="6">
        <v>33</v>
      </c>
      <c r="I61" s="6">
        <v>16.600000000000001</v>
      </c>
      <c r="J61" s="12">
        <f t="shared" si="1"/>
        <v>0.2638554216867468</v>
      </c>
      <c r="K61" s="11">
        <v>0</v>
      </c>
      <c r="L61" s="13">
        <v>-44822598.270000003</v>
      </c>
      <c r="M61" s="13">
        <v>1000072896.86</v>
      </c>
      <c r="N61" s="9" t="s">
        <v>50</v>
      </c>
      <c r="O61" s="6">
        <v>1</v>
      </c>
      <c r="P61" s="12">
        <v>-2.6071331635387596E-2</v>
      </c>
      <c r="Q61" s="12">
        <v>-4.4819331081496862E-2</v>
      </c>
      <c r="R61" s="14">
        <v>49</v>
      </c>
    </row>
    <row r="62" spans="2:18" x14ac:dyDescent="0.5">
      <c r="B62" s="1" t="s">
        <v>572</v>
      </c>
      <c r="C62" t="s">
        <v>583</v>
      </c>
      <c r="D62" t="s">
        <v>179</v>
      </c>
      <c r="E62">
        <v>16.91</v>
      </c>
      <c r="F62" s="9" t="s">
        <v>50</v>
      </c>
      <c r="G62" s="7">
        <v>54548262912</v>
      </c>
      <c r="H62" s="6">
        <v>24.49</v>
      </c>
      <c r="I62" s="6">
        <v>12.91</v>
      </c>
      <c r="J62" s="12">
        <f t="shared" si="1"/>
        <v>0.30983733539891567</v>
      </c>
      <c r="K62" s="11">
        <v>0</v>
      </c>
      <c r="L62" s="13">
        <v>-1185481187.71</v>
      </c>
      <c r="M62" s="13">
        <v>18993088958.560001</v>
      </c>
      <c r="N62" s="9" t="s">
        <v>50</v>
      </c>
      <c r="O62" s="6">
        <v>1</v>
      </c>
      <c r="P62" s="12">
        <v>-1.9458386062211095E-2</v>
      </c>
      <c r="Q62" s="12">
        <v>-6.241645002013825E-2</v>
      </c>
      <c r="R62" s="14">
        <v>49</v>
      </c>
    </row>
    <row r="63" spans="2:18" x14ac:dyDescent="0.5">
      <c r="B63" s="1" t="s">
        <v>569</v>
      </c>
      <c r="C63" t="s">
        <v>579</v>
      </c>
      <c r="D63" t="s">
        <v>169</v>
      </c>
      <c r="E63">
        <v>4.18</v>
      </c>
      <c r="F63" s="9" t="s">
        <v>50</v>
      </c>
      <c r="G63" s="7">
        <v>15000028160</v>
      </c>
      <c r="H63" s="6">
        <v>4.84</v>
      </c>
      <c r="I63" s="6">
        <v>3.46</v>
      </c>
      <c r="J63" s="12">
        <f t="shared" si="1"/>
        <v>0.20809248554913284</v>
      </c>
      <c r="K63" s="11">
        <v>0</v>
      </c>
      <c r="L63" s="13">
        <v>-2407942158.9699998</v>
      </c>
      <c r="M63" s="13">
        <v>29426622086.59</v>
      </c>
      <c r="N63" s="9" t="s">
        <v>50</v>
      </c>
      <c r="O63" s="6">
        <v>1</v>
      </c>
      <c r="P63" s="12">
        <v>-6.928473453715199E-2</v>
      </c>
      <c r="Q63" s="12">
        <v>-8.182869756115578E-2</v>
      </c>
      <c r="R63" s="14">
        <v>50</v>
      </c>
    </row>
    <row r="64" spans="2:18" x14ac:dyDescent="0.5">
      <c r="B64" s="1" t="s">
        <v>356</v>
      </c>
      <c r="C64" t="s">
        <v>377</v>
      </c>
      <c r="D64" t="s">
        <v>226</v>
      </c>
      <c r="E64">
        <v>20.23</v>
      </c>
      <c r="F64" s="9" t="s">
        <v>50</v>
      </c>
      <c r="G64" s="7">
        <v>428124504064</v>
      </c>
      <c r="H64" s="6">
        <v>25.45</v>
      </c>
      <c r="I64" s="6">
        <v>17.670000000000002</v>
      </c>
      <c r="J64" s="12">
        <f t="shared" si="1"/>
        <v>0.1448783248443688</v>
      </c>
      <c r="K64" s="11">
        <v>5.2397429560059321E-2</v>
      </c>
      <c r="M64" s="13">
        <v>2415915000000</v>
      </c>
      <c r="N64" s="9" t="s">
        <v>50</v>
      </c>
      <c r="O64" s="6">
        <v>1</v>
      </c>
    </row>
    <row r="65" spans="2:15" x14ac:dyDescent="0.5">
      <c r="B65" s="1" t="s">
        <v>461</v>
      </c>
      <c r="C65" t="s">
        <v>475</v>
      </c>
      <c r="D65" t="s">
        <v>228</v>
      </c>
      <c r="E65">
        <v>7.78</v>
      </c>
      <c r="F65" s="9" t="s">
        <v>50</v>
      </c>
      <c r="G65" s="7">
        <v>2573601865728</v>
      </c>
      <c r="H65" s="6">
        <v>8.36</v>
      </c>
      <c r="I65" s="6">
        <v>5.98</v>
      </c>
      <c r="J65" s="12">
        <f t="shared" si="1"/>
        <v>0.30100334448160537</v>
      </c>
      <c r="K65" s="11">
        <v>2.6992287917737791E-3</v>
      </c>
      <c r="M65" s="13">
        <v>6434377000000</v>
      </c>
      <c r="N65" s="9" t="s">
        <v>50</v>
      </c>
      <c r="O65" s="6">
        <v>1</v>
      </c>
    </row>
    <row r="66" spans="2:15" x14ac:dyDescent="0.5">
      <c r="B66" s="1" t="s">
        <v>462</v>
      </c>
      <c r="C66" t="s">
        <v>476</v>
      </c>
      <c r="D66" t="s">
        <v>226</v>
      </c>
      <c r="E66">
        <v>40.89</v>
      </c>
      <c r="F66" s="9" t="s">
        <v>50</v>
      </c>
      <c r="G66" s="7">
        <v>1045638610944</v>
      </c>
      <c r="H66" s="6">
        <v>48.55</v>
      </c>
      <c r="I66" s="6">
        <v>35.840000000000003</v>
      </c>
      <c r="J66" s="12">
        <f t="shared" ref="J66:J79" si="2">E66/I66-1</f>
        <v>0.14090401785714279</v>
      </c>
      <c r="K66" s="11">
        <v>4.8911714355588165E-2</v>
      </c>
      <c r="M66" s="13">
        <v>1656843000000</v>
      </c>
      <c r="N66" s="9" t="s">
        <v>50</v>
      </c>
      <c r="O66" s="6">
        <v>1</v>
      </c>
    </row>
    <row r="67" spans="2:15" x14ac:dyDescent="0.5">
      <c r="B67" s="1" t="s">
        <v>463</v>
      </c>
      <c r="C67" t="s">
        <v>477</v>
      </c>
      <c r="D67" t="s">
        <v>226</v>
      </c>
      <c r="E67">
        <v>11.32</v>
      </c>
      <c r="F67" s="9" t="s">
        <v>50</v>
      </c>
      <c r="G67" s="7">
        <v>219674984448</v>
      </c>
      <c r="H67" s="6">
        <v>13.33</v>
      </c>
      <c r="I67" s="6">
        <v>10.48</v>
      </c>
      <c r="J67" s="12">
        <f t="shared" si="2"/>
        <v>8.0152671755725269E-2</v>
      </c>
      <c r="K67" s="11">
        <v>5.282685512367491E-2</v>
      </c>
      <c r="M67" s="13">
        <v>1225730000000</v>
      </c>
      <c r="N67" s="9" t="s">
        <v>50</v>
      </c>
      <c r="O67" s="6">
        <v>1</v>
      </c>
    </row>
    <row r="68" spans="2:15" x14ac:dyDescent="0.5">
      <c r="B68" s="1" t="s">
        <v>464</v>
      </c>
      <c r="C68" t="s">
        <v>478</v>
      </c>
      <c r="D68" t="s">
        <v>228</v>
      </c>
      <c r="E68">
        <v>7.96</v>
      </c>
      <c r="F68" s="9" t="s">
        <v>50</v>
      </c>
      <c r="G68" s="7">
        <v>2708130234368</v>
      </c>
      <c r="H68" s="6">
        <v>8.34</v>
      </c>
      <c r="I68" s="6">
        <v>4.63</v>
      </c>
      <c r="J68" s="12">
        <f t="shared" si="2"/>
        <v>0.71922246220302388</v>
      </c>
      <c r="K68" s="11">
        <v>1.1306532663316582E-3</v>
      </c>
      <c r="M68" s="13">
        <v>6053339000000</v>
      </c>
      <c r="N68" s="9" t="s">
        <v>50</v>
      </c>
      <c r="O68" s="6">
        <v>1</v>
      </c>
    </row>
    <row r="69" spans="2:15" x14ac:dyDescent="0.5">
      <c r="B69" s="1" t="s">
        <v>465</v>
      </c>
      <c r="C69" t="s">
        <v>479</v>
      </c>
      <c r="D69" t="s">
        <v>228</v>
      </c>
      <c r="E69">
        <v>5.61</v>
      </c>
      <c r="F69" s="9" t="s">
        <v>50</v>
      </c>
      <c r="G69" s="7">
        <v>1676020154368</v>
      </c>
      <c r="H69" s="6">
        <v>5.9</v>
      </c>
      <c r="I69" s="6">
        <v>4.78</v>
      </c>
      <c r="J69" s="12">
        <f t="shared" si="2"/>
        <v>0.17364016736401666</v>
      </c>
      <c r="K69" s="11">
        <v>4.1176470588235294E-2</v>
      </c>
      <c r="M69" s="13">
        <v>5199928000000</v>
      </c>
      <c r="N69" s="9" t="s">
        <v>50</v>
      </c>
      <c r="O69" s="6">
        <v>1</v>
      </c>
    </row>
    <row r="70" spans="2:15" x14ac:dyDescent="0.5">
      <c r="B70" s="1" t="s">
        <v>466</v>
      </c>
      <c r="C70" t="s">
        <v>480</v>
      </c>
      <c r="D70" t="s">
        <v>228</v>
      </c>
      <c r="E70">
        <v>9.1300000000000008</v>
      </c>
      <c r="F70" s="9" t="s">
        <v>50</v>
      </c>
      <c r="G70" s="7">
        <v>1899100110848</v>
      </c>
      <c r="H70" s="6">
        <v>10.029999999999999</v>
      </c>
      <c r="I70" s="6">
        <v>7.81</v>
      </c>
      <c r="J70" s="12">
        <f t="shared" si="2"/>
        <v>0.16901408450704247</v>
      </c>
      <c r="K70" s="11">
        <v>4.4140197152245347E-2</v>
      </c>
      <c r="M70" s="13">
        <v>6128626000000</v>
      </c>
      <c r="N70" s="9" t="s">
        <v>50</v>
      </c>
      <c r="O70" s="6">
        <v>1</v>
      </c>
    </row>
    <row r="71" spans="2:15" x14ac:dyDescent="0.5">
      <c r="B71" s="1" t="s">
        <v>467</v>
      </c>
      <c r="C71" t="s">
        <v>481</v>
      </c>
      <c r="D71" t="s">
        <v>228</v>
      </c>
      <c r="E71">
        <v>7.18</v>
      </c>
      <c r="F71" s="9" t="s">
        <v>50</v>
      </c>
      <c r="G71" s="7">
        <v>605584883712</v>
      </c>
      <c r="H71" s="6">
        <v>8.34</v>
      </c>
      <c r="I71" s="6">
        <v>6.65</v>
      </c>
      <c r="J71" s="12">
        <f t="shared" si="2"/>
        <v>7.9699248120300714E-2</v>
      </c>
      <c r="K71" s="11">
        <v>4.9164345403899717E-2</v>
      </c>
      <c r="M71" s="13">
        <v>2314289000000</v>
      </c>
      <c r="N71" s="9" t="s">
        <v>50</v>
      </c>
      <c r="O71" s="6">
        <v>1</v>
      </c>
    </row>
    <row r="72" spans="2:15" x14ac:dyDescent="0.5">
      <c r="B72" s="1" t="s">
        <v>468</v>
      </c>
      <c r="C72" t="s">
        <v>482</v>
      </c>
      <c r="D72" t="s">
        <v>226</v>
      </c>
      <c r="E72">
        <v>5.75</v>
      </c>
      <c r="F72" s="9" t="s">
        <v>50</v>
      </c>
      <c r="G72" s="7">
        <v>677495635968</v>
      </c>
      <c r="H72" s="6">
        <v>6.44</v>
      </c>
      <c r="I72" s="6">
        <v>4.9400000000000004</v>
      </c>
      <c r="J72" s="12">
        <f t="shared" si="2"/>
        <v>0.16396761133603222</v>
      </c>
      <c r="K72" s="11">
        <v>0</v>
      </c>
      <c r="M72" s="13">
        <v>1271649000000</v>
      </c>
      <c r="N72" s="9" t="s">
        <v>50</v>
      </c>
      <c r="O72" s="6">
        <v>1</v>
      </c>
    </row>
    <row r="73" spans="2:15" x14ac:dyDescent="0.5">
      <c r="B73" s="1" t="s">
        <v>469</v>
      </c>
      <c r="C73" t="s">
        <v>483</v>
      </c>
      <c r="D73" t="s">
        <v>226</v>
      </c>
      <c r="E73">
        <v>11.49</v>
      </c>
      <c r="F73" s="9" t="s">
        <v>50</v>
      </c>
      <c r="G73" s="7">
        <v>382684069888</v>
      </c>
      <c r="H73" s="6">
        <v>14.8</v>
      </c>
      <c r="I73" s="6">
        <v>9.18</v>
      </c>
      <c r="J73" s="12">
        <f t="shared" si="2"/>
        <v>0.25163398692810457</v>
      </c>
      <c r="K73" s="11">
        <v>3.5683202785030461E-2</v>
      </c>
      <c r="M73" s="13">
        <v>2505906000000</v>
      </c>
      <c r="N73" s="9" t="s">
        <v>50</v>
      </c>
      <c r="O73" s="6">
        <v>1</v>
      </c>
    </row>
    <row r="74" spans="2:15" x14ac:dyDescent="0.5">
      <c r="B74" s="1" t="s">
        <v>470</v>
      </c>
      <c r="C74" t="s">
        <v>484</v>
      </c>
      <c r="D74" t="s">
        <v>226</v>
      </c>
      <c r="E74">
        <v>3.34</v>
      </c>
      <c r="F74" s="9" t="s">
        <v>50</v>
      </c>
      <c r="G74" s="7">
        <v>192786284544</v>
      </c>
      <c r="H74" s="6">
        <v>4.5</v>
      </c>
      <c r="I74" s="6">
        <v>3.28</v>
      </c>
      <c r="J74" s="12">
        <f t="shared" si="2"/>
        <v>1.8292682926829285E-2</v>
      </c>
      <c r="K74" s="11">
        <v>0</v>
      </c>
      <c r="M74" s="13">
        <v>1970468000000</v>
      </c>
      <c r="N74" s="9" t="s">
        <v>50</v>
      </c>
      <c r="O74" s="6">
        <v>1</v>
      </c>
    </row>
    <row r="75" spans="2:15" x14ac:dyDescent="0.5">
      <c r="B75" s="1" t="s">
        <v>471</v>
      </c>
      <c r="C75" t="s">
        <v>485</v>
      </c>
      <c r="D75" t="s">
        <v>226</v>
      </c>
      <c r="E75">
        <v>7.74</v>
      </c>
      <c r="F75" s="9" t="s">
        <v>50</v>
      </c>
      <c r="G75" s="7">
        <v>416168050688</v>
      </c>
      <c r="H75" s="6">
        <v>9.07</v>
      </c>
      <c r="I75" s="6">
        <v>6.38</v>
      </c>
      <c r="J75" s="12">
        <f t="shared" si="2"/>
        <v>0.21316614420062696</v>
      </c>
      <c r="K75" s="11">
        <v>0</v>
      </c>
      <c r="M75" s="13">
        <v>2066897000000</v>
      </c>
      <c r="N75" s="9" t="s">
        <v>50</v>
      </c>
      <c r="O75" s="6">
        <v>1</v>
      </c>
    </row>
    <row r="76" spans="2:15" x14ac:dyDescent="0.5">
      <c r="B76" s="1" t="s">
        <v>472</v>
      </c>
      <c r="C76" t="s">
        <v>486</v>
      </c>
      <c r="D76" t="s">
        <v>226</v>
      </c>
      <c r="E76">
        <v>3.91</v>
      </c>
      <c r="F76" s="9" t="s">
        <v>50</v>
      </c>
      <c r="G76" s="7">
        <v>169579462656</v>
      </c>
      <c r="H76" s="6">
        <v>5.68</v>
      </c>
      <c r="I76" s="6">
        <v>3.71</v>
      </c>
      <c r="J76" s="12">
        <f t="shared" si="2"/>
        <v>5.3908355795148299E-2</v>
      </c>
      <c r="K76" s="11">
        <v>0</v>
      </c>
      <c r="M76" s="13">
        <v>1646749000000</v>
      </c>
      <c r="N76" s="9" t="s">
        <v>50</v>
      </c>
      <c r="O76" s="6">
        <v>1</v>
      </c>
    </row>
    <row r="77" spans="2:15" x14ac:dyDescent="0.5">
      <c r="B77" s="1" t="s">
        <v>473</v>
      </c>
      <c r="C77" t="s">
        <v>487</v>
      </c>
      <c r="D77" t="s">
        <v>226</v>
      </c>
      <c r="E77">
        <v>6.81</v>
      </c>
      <c r="F77" s="9" t="s">
        <v>50</v>
      </c>
      <c r="G77" s="7">
        <v>108380659712</v>
      </c>
      <c r="H77" s="6">
        <v>8.7200000000000006</v>
      </c>
      <c r="I77" s="6">
        <v>6.43</v>
      </c>
      <c r="J77" s="12">
        <f t="shared" si="2"/>
        <v>5.9097978227060644E-2</v>
      </c>
      <c r="K77" s="11">
        <v>5.9471365638766524E-2</v>
      </c>
      <c r="M77" s="13">
        <v>1231745000000</v>
      </c>
      <c r="N77" s="9" t="s">
        <v>50</v>
      </c>
      <c r="O77" s="6">
        <v>1</v>
      </c>
    </row>
    <row r="78" spans="2:15" x14ac:dyDescent="0.5">
      <c r="B78" s="1" t="s">
        <v>507</v>
      </c>
      <c r="C78" t="s">
        <v>546</v>
      </c>
      <c r="D78" t="s">
        <v>301</v>
      </c>
      <c r="E78">
        <v>43.97</v>
      </c>
      <c r="F78" s="9" t="s">
        <v>50</v>
      </c>
      <c r="G78" s="7">
        <v>1082095370240</v>
      </c>
      <c r="H78" s="6">
        <v>50.88</v>
      </c>
      <c r="I78" s="6">
        <v>33.61</v>
      </c>
      <c r="J78" s="12">
        <f t="shared" si="2"/>
        <v>0.30824159476346313</v>
      </c>
      <c r="K78" s="11">
        <v>1.0234250625426428E-2</v>
      </c>
      <c r="M78" s="13">
        <v>557627000000</v>
      </c>
      <c r="N78" s="9" t="s">
        <v>50</v>
      </c>
      <c r="O78" s="6">
        <v>1</v>
      </c>
    </row>
    <row r="79" spans="2:15" x14ac:dyDescent="0.5">
      <c r="B79" s="1" t="s">
        <v>508</v>
      </c>
      <c r="C79" t="s">
        <v>547</v>
      </c>
      <c r="D79" t="s">
        <v>301</v>
      </c>
      <c r="E79">
        <v>35.5</v>
      </c>
      <c r="F79" s="9" t="s">
        <v>50</v>
      </c>
      <c r="G79" s="7">
        <v>322248671232</v>
      </c>
      <c r="H79" s="6">
        <v>42.23</v>
      </c>
      <c r="I79" s="6">
        <v>28.7</v>
      </c>
      <c r="J79" s="12">
        <f t="shared" si="2"/>
        <v>0.23693379790940772</v>
      </c>
      <c r="K79" s="11">
        <v>0</v>
      </c>
      <c r="M79" s="13">
        <v>301703000000</v>
      </c>
      <c r="N79" s="9" t="s">
        <v>50</v>
      </c>
      <c r="O79" s="6">
        <v>1</v>
      </c>
    </row>
  </sheetData>
  <autoFilter ref="B1:R11" xr:uid="{7A9EDF16-08C4-B24B-A5E4-CFD78B458569}">
    <sortState xmlns:xlrd2="http://schemas.microsoft.com/office/spreadsheetml/2017/richdata2" ref="B2:R79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B1:V115"/>
  <sheetViews>
    <sheetView tabSelected="1" zoomScaleNormal="100" workbookViewId="0">
      <selection activeCell="I22" sqref="I2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8.56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215</v>
      </c>
      <c r="C2" t="s">
        <v>246</v>
      </c>
      <c r="D2" t="s">
        <v>247</v>
      </c>
      <c r="E2">
        <v>18.86</v>
      </c>
      <c r="F2" s="9" t="s">
        <v>71</v>
      </c>
      <c r="G2" s="7">
        <v>664599168</v>
      </c>
      <c r="H2" s="6">
        <v>25.04</v>
      </c>
      <c r="I2" s="6">
        <v>18.114000000000001</v>
      </c>
      <c r="J2" s="12">
        <f>E2/I2-1</f>
        <v>4.1183614883515407E-2</v>
      </c>
      <c r="K2" s="11">
        <v>9.9999999999999992E-2</v>
      </c>
      <c r="L2" s="13">
        <v>395695000</v>
      </c>
      <c r="M2" s="13">
        <v>675803000</v>
      </c>
      <c r="N2" s="9" t="s">
        <v>71</v>
      </c>
      <c r="O2" s="6">
        <v>1</v>
      </c>
      <c r="P2" s="12">
        <v>0.39335173761593001</v>
      </c>
      <c r="Q2" s="12">
        <v>0.58551826493815506</v>
      </c>
      <c r="R2" s="14">
        <v>1</v>
      </c>
    </row>
    <row r="3" spans="2:22" x14ac:dyDescent="0.5">
      <c r="B3" s="1" t="s">
        <v>647</v>
      </c>
      <c r="C3" t="s">
        <v>741</v>
      </c>
      <c r="D3" t="s">
        <v>181</v>
      </c>
      <c r="E3">
        <v>56.38</v>
      </c>
      <c r="F3" s="9" t="s">
        <v>71</v>
      </c>
      <c r="G3" s="7">
        <v>94643511296</v>
      </c>
      <c r="H3" s="6">
        <v>68.599999999999994</v>
      </c>
      <c r="I3" s="6">
        <v>50.08</v>
      </c>
      <c r="J3" s="12">
        <f>E3/I3-1</f>
        <v>0.12579872204472853</v>
      </c>
      <c r="K3" s="11">
        <v>7.2366087264987583E-2</v>
      </c>
      <c r="L3" s="13">
        <v>14782000000</v>
      </c>
      <c r="M3" s="13">
        <v>22688000000</v>
      </c>
      <c r="N3" s="9" t="s">
        <v>71</v>
      </c>
      <c r="O3" s="6">
        <v>1</v>
      </c>
      <c r="P3" s="12">
        <v>0.12694676399089125</v>
      </c>
      <c r="Q3" s="12">
        <v>0.65153385049365298</v>
      </c>
      <c r="R3" s="14">
        <v>2</v>
      </c>
    </row>
    <row r="4" spans="2:22" x14ac:dyDescent="0.5">
      <c r="B4" s="1" t="s">
        <v>206</v>
      </c>
      <c r="C4" t="s">
        <v>233</v>
      </c>
      <c r="D4" t="s">
        <v>234</v>
      </c>
      <c r="E4">
        <v>23.96</v>
      </c>
      <c r="F4" s="9" t="s">
        <v>71</v>
      </c>
      <c r="G4" s="7">
        <v>60481642496</v>
      </c>
      <c r="H4" s="6">
        <v>28.27</v>
      </c>
      <c r="I4" s="6">
        <v>21.41</v>
      </c>
      <c r="J4" s="12">
        <f>E4/I4-1</f>
        <v>0.11910322279308727</v>
      </c>
      <c r="K4" s="11">
        <v>6.1769616026711181E-2</v>
      </c>
      <c r="L4" s="13">
        <v>32043000000</v>
      </c>
      <c r="M4" s="13">
        <v>68927000000</v>
      </c>
      <c r="N4" s="9" t="s">
        <v>71</v>
      </c>
      <c r="O4" s="6">
        <v>1</v>
      </c>
      <c r="P4" s="12">
        <v>0.37842945048116616</v>
      </c>
      <c r="Q4" s="12">
        <v>0.46488313723214414</v>
      </c>
      <c r="R4" s="14">
        <v>3</v>
      </c>
    </row>
    <row r="5" spans="2:22" x14ac:dyDescent="0.5">
      <c r="B5" s="1" t="s">
        <v>394</v>
      </c>
      <c r="C5" t="s">
        <v>407</v>
      </c>
      <c r="D5" t="s">
        <v>74</v>
      </c>
      <c r="E5">
        <v>170.54</v>
      </c>
      <c r="F5" s="9" t="s">
        <v>71</v>
      </c>
      <c r="G5" s="7">
        <v>20224194560</v>
      </c>
      <c r="H5" s="6">
        <v>423.32</v>
      </c>
      <c r="I5" s="6">
        <v>159.25</v>
      </c>
      <c r="J5" s="12">
        <f>E5/I5-1</f>
        <v>7.0894819466247982E-2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0.12645040943083777</v>
      </c>
      <c r="Q5" s="12">
        <v>0.57947959400071281</v>
      </c>
      <c r="R5" s="14">
        <v>4</v>
      </c>
    </row>
    <row r="6" spans="2:22" x14ac:dyDescent="0.5">
      <c r="B6" s="1" t="s">
        <v>654</v>
      </c>
      <c r="C6" t="s">
        <v>750</v>
      </c>
      <c r="D6" t="s">
        <v>751</v>
      </c>
      <c r="E6">
        <v>7210.82</v>
      </c>
      <c r="F6" s="9" t="s">
        <v>71</v>
      </c>
      <c r="G6" s="7">
        <v>19860054016</v>
      </c>
      <c r="H6" s="6">
        <v>9527.85</v>
      </c>
      <c r="I6" s="6">
        <v>6562.85</v>
      </c>
      <c r="J6" s="12">
        <f>E6/I6-1</f>
        <v>9.8733019953221479E-2</v>
      </c>
      <c r="K6" s="11">
        <v>0</v>
      </c>
      <c r="L6" s="13">
        <v>2143289000</v>
      </c>
      <c r="M6" s="13">
        <v>5121190000</v>
      </c>
      <c r="N6" s="9" t="s">
        <v>71</v>
      </c>
      <c r="O6" s="6">
        <v>1</v>
      </c>
      <c r="P6" s="12">
        <v>0.11731473165549897</v>
      </c>
      <c r="Q6" s="12">
        <v>0.41851386103620447</v>
      </c>
      <c r="R6" s="14">
        <v>5</v>
      </c>
    </row>
    <row r="7" spans="2:22" x14ac:dyDescent="0.5">
      <c r="B7" s="1" t="s">
        <v>38</v>
      </c>
      <c r="C7" t="s">
        <v>104</v>
      </c>
      <c r="D7" t="s">
        <v>105</v>
      </c>
      <c r="E7">
        <v>70.36</v>
      </c>
      <c r="F7" s="9" t="s">
        <v>71</v>
      </c>
      <c r="G7" s="7">
        <v>119599390720</v>
      </c>
      <c r="H7" s="6">
        <v>73.349999999999994</v>
      </c>
      <c r="I7" s="6">
        <v>32.82</v>
      </c>
      <c r="J7" s="12">
        <f>E7/I7-1</f>
        <v>1.1438147471054236</v>
      </c>
      <c r="K7" s="11">
        <v>4.0505969300739051E-3</v>
      </c>
      <c r="L7" s="13">
        <v>7886000000</v>
      </c>
      <c r="M7" s="13">
        <v>4294000000</v>
      </c>
      <c r="N7" s="9" t="s">
        <v>71</v>
      </c>
      <c r="O7" s="6">
        <v>1</v>
      </c>
      <c r="P7" s="12">
        <v>6.7994252744314254E-2</v>
      </c>
      <c r="Q7" s="12">
        <v>1.8365160689333955</v>
      </c>
      <c r="R7" s="14">
        <v>6</v>
      </c>
    </row>
    <row r="8" spans="2:22" x14ac:dyDescent="0.5">
      <c r="B8" s="1" t="s">
        <v>208</v>
      </c>
      <c r="C8" t="s">
        <v>236</v>
      </c>
      <c r="D8" t="s">
        <v>237</v>
      </c>
      <c r="E8">
        <v>69.25</v>
      </c>
      <c r="F8" s="9" t="s">
        <v>71</v>
      </c>
      <c r="G8" s="7">
        <v>2330660352</v>
      </c>
      <c r="H8" s="6">
        <v>105.27500000000001</v>
      </c>
      <c r="I8" s="6">
        <v>49.92</v>
      </c>
      <c r="J8" s="12">
        <f>E8/I8-1</f>
        <v>0.38721955128205132</v>
      </c>
      <c r="K8" s="11">
        <v>1.8628158844765343E-2</v>
      </c>
      <c r="L8" s="13">
        <v>622821000</v>
      </c>
      <c r="M8" s="13">
        <v>2304738000</v>
      </c>
      <c r="N8" s="9" t="s">
        <v>71</v>
      </c>
      <c r="O8" s="6">
        <v>1</v>
      </c>
      <c r="P8" s="12">
        <v>0.21253212365237645</v>
      </c>
      <c r="Q8" s="12">
        <v>0.27023505491730515</v>
      </c>
      <c r="R8" s="14">
        <v>7</v>
      </c>
    </row>
    <row r="9" spans="2:22" x14ac:dyDescent="0.5">
      <c r="B9" s="1" t="s">
        <v>658</v>
      </c>
      <c r="C9" t="s">
        <v>756</v>
      </c>
      <c r="D9" t="s">
        <v>299</v>
      </c>
      <c r="E9">
        <v>206</v>
      </c>
      <c r="F9" s="9" t="s">
        <v>71</v>
      </c>
      <c r="G9" s="7">
        <v>120798396416</v>
      </c>
      <c r="H9" s="6">
        <v>292.99</v>
      </c>
      <c r="I9" s="6">
        <v>205.55</v>
      </c>
      <c r="J9" s="12">
        <f>E9/I9-1</f>
        <v>2.1892483580636668E-3</v>
      </c>
      <c r="K9" s="11">
        <v>2.3786407766990293E-2</v>
      </c>
      <c r="L9" s="13">
        <v>10992000000</v>
      </c>
      <c r="M9" s="13">
        <v>32484000000</v>
      </c>
      <c r="N9" s="9" t="s">
        <v>71</v>
      </c>
      <c r="O9" s="6">
        <v>1</v>
      </c>
      <c r="P9" s="12">
        <v>8.6179052883969737E-2</v>
      </c>
      <c r="Q9" s="12">
        <v>0.33838197266346509</v>
      </c>
      <c r="R9" s="14">
        <v>8</v>
      </c>
    </row>
    <row r="10" spans="2:22" x14ac:dyDescent="0.5">
      <c r="B10" s="1" t="s">
        <v>619</v>
      </c>
      <c r="C10" t="s">
        <v>709</v>
      </c>
      <c r="D10" t="s">
        <v>165</v>
      </c>
      <c r="E10">
        <v>112.46</v>
      </c>
      <c r="F10" s="9" t="s">
        <v>71</v>
      </c>
      <c r="G10" s="7">
        <v>13694656512</v>
      </c>
      <c r="H10" s="6">
        <v>171.37</v>
      </c>
      <c r="I10" s="6">
        <v>110.61</v>
      </c>
      <c r="J10" s="12">
        <f>E10/I10-1</f>
        <v>1.6725431696953175E-2</v>
      </c>
      <c r="K10" s="11">
        <v>4.3571047483549709E-2</v>
      </c>
      <c r="L10" s="13">
        <v>1166000000</v>
      </c>
      <c r="M10" s="13">
        <v>2809000000</v>
      </c>
      <c r="N10" s="9" t="s">
        <v>71</v>
      </c>
      <c r="O10" s="6">
        <v>1</v>
      </c>
      <c r="P10" s="12">
        <v>7.1064383822712726E-2</v>
      </c>
      <c r="Q10" s="12">
        <v>0.41509433962264153</v>
      </c>
      <c r="R10" s="14">
        <v>9</v>
      </c>
    </row>
    <row r="11" spans="2:22" x14ac:dyDescent="0.5">
      <c r="B11" s="1" t="s">
        <v>627</v>
      </c>
      <c r="C11" t="s">
        <v>717</v>
      </c>
      <c r="D11" t="s">
        <v>314</v>
      </c>
      <c r="E11">
        <v>121.9</v>
      </c>
      <c r="F11" s="9" t="s">
        <v>71</v>
      </c>
      <c r="G11" s="7">
        <v>16544089088</v>
      </c>
      <c r="H11" s="6">
        <v>129.15</v>
      </c>
      <c r="I11" s="6">
        <v>100.47</v>
      </c>
      <c r="J11" s="12">
        <f>E11/I11-1</f>
        <v>0.2132975017418135</v>
      </c>
      <c r="K11" s="11">
        <v>1.2305168170631665E-2</v>
      </c>
      <c r="L11" s="13">
        <v>1041323000</v>
      </c>
      <c r="M11" s="13">
        <v>2223012000</v>
      </c>
      <c r="N11" s="9" t="s">
        <v>71</v>
      </c>
      <c r="O11" s="6">
        <v>1</v>
      </c>
      <c r="P11" s="12">
        <v>6.5226568798702714E-2</v>
      </c>
      <c r="Q11" s="12">
        <v>0.46842887037946712</v>
      </c>
      <c r="R11" s="14">
        <v>9</v>
      </c>
    </row>
    <row r="12" spans="2:22" x14ac:dyDescent="0.5">
      <c r="B12" s="1" t="s">
        <v>39</v>
      </c>
      <c r="C12" t="s">
        <v>106</v>
      </c>
      <c r="D12" t="s">
        <v>107</v>
      </c>
      <c r="E12">
        <v>98.85</v>
      </c>
      <c r="F12" s="9" t="s">
        <v>71</v>
      </c>
      <c r="G12" s="7">
        <v>4047794688</v>
      </c>
      <c r="H12" s="6">
        <v>110.2</v>
      </c>
      <c r="I12" s="6">
        <v>45.55</v>
      </c>
      <c r="J12" s="12">
        <f>E12/I12-1</f>
        <v>1.1701427003293086</v>
      </c>
      <c r="K12" s="11">
        <v>1.2341932220536166E-2</v>
      </c>
      <c r="L12" s="13">
        <v>503000000</v>
      </c>
      <c r="M12" s="13">
        <v>1851800000</v>
      </c>
      <c r="N12" s="9" t="s">
        <v>71</v>
      </c>
      <c r="O12" s="6">
        <v>1</v>
      </c>
      <c r="P12" s="12">
        <v>0.1087874598003734</v>
      </c>
      <c r="Q12" s="12">
        <v>0.27162760557295607</v>
      </c>
      <c r="R12" s="14">
        <v>10</v>
      </c>
    </row>
    <row r="13" spans="2:22" x14ac:dyDescent="0.5">
      <c r="B13" s="1" t="s">
        <v>401</v>
      </c>
      <c r="C13" t="s">
        <v>414</v>
      </c>
      <c r="D13" t="s">
        <v>165</v>
      </c>
      <c r="E13">
        <v>77.05</v>
      </c>
      <c r="F13" s="9" t="s">
        <v>71</v>
      </c>
      <c r="G13" s="7">
        <v>62273413120</v>
      </c>
      <c r="H13" s="6">
        <v>100.18</v>
      </c>
      <c r="I13" s="6">
        <v>74.62</v>
      </c>
      <c r="J13" s="12">
        <f>E13/I13-1</f>
        <v>3.2564995979629918E-2</v>
      </c>
      <c r="K13" s="11">
        <v>2.6476314081765089E-2</v>
      </c>
      <c r="L13" s="13">
        <v>4248000000</v>
      </c>
      <c r="M13" s="13">
        <v>8161000000</v>
      </c>
      <c r="N13" s="9" t="s">
        <v>71</v>
      </c>
      <c r="O13" s="6">
        <v>1</v>
      </c>
      <c r="P13" s="12">
        <v>6.0956174113351469E-2</v>
      </c>
      <c r="Q13" s="12">
        <v>0.52052444553363564</v>
      </c>
      <c r="R13" s="14">
        <v>10</v>
      </c>
    </row>
    <row r="14" spans="2:22" x14ac:dyDescent="0.5">
      <c r="B14" s="1" t="s">
        <v>641</v>
      </c>
      <c r="C14" t="s">
        <v>733</v>
      </c>
      <c r="D14" t="s">
        <v>721</v>
      </c>
      <c r="E14">
        <v>238.13</v>
      </c>
      <c r="F14" s="9" t="s">
        <v>71</v>
      </c>
      <c r="G14" s="7">
        <v>133549236224</v>
      </c>
      <c r="H14" s="6">
        <v>280.64</v>
      </c>
      <c r="I14" s="6">
        <v>206.39</v>
      </c>
      <c r="J14" s="12">
        <f>E14/I14-1</f>
        <v>0.15378652066476084</v>
      </c>
      <c r="K14" s="11">
        <v>1.9527149036240712E-2</v>
      </c>
      <c r="L14" s="13">
        <v>10625000000</v>
      </c>
      <c r="M14" s="13">
        <v>21256000000</v>
      </c>
      <c r="N14" s="9" t="s">
        <v>71</v>
      </c>
      <c r="O14" s="6">
        <v>1</v>
      </c>
      <c r="P14" s="12">
        <v>6.1965552134238933E-2</v>
      </c>
      <c r="Q14" s="12">
        <v>0.49985886337975161</v>
      </c>
      <c r="R14" s="14">
        <v>10</v>
      </c>
    </row>
    <row r="15" spans="2:22" x14ac:dyDescent="0.5">
      <c r="B15" s="1" t="s">
        <v>637</v>
      </c>
      <c r="C15" t="s">
        <v>729</v>
      </c>
      <c r="D15" t="s">
        <v>165</v>
      </c>
      <c r="E15">
        <v>119.71</v>
      </c>
      <c r="F15" s="9" t="s">
        <v>71</v>
      </c>
      <c r="G15" s="7">
        <v>39726772224</v>
      </c>
      <c r="H15" s="6">
        <v>150.44999999999999</v>
      </c>
      <c r="I15" s="6">
        <v>116.26</v>
      </c>
      <c r="J15" s="12">
        <f>E15/I15-1</f>
        <v>2.9674866678135015E-2</v>
      </c>
      <c r="K15" s="11">
        <v>4.1767605045526693E-2</v>
      </c>
      <c r="L15" s="13">
        <v>3197000000</v>
      </c>
      <c r="M15" s="13">
        <v>8283000000</v>
      </c>
      <c r="N15" s="9" t="s">
        <v>71</v>
      </c>
      <c r="O15" s="6">
        <v>1</v>
      </c>
      <c r="P15" s="12">
        <v>6.9079855979543553E-2</v>
      </c>
      <c r="Q15" s="12">
        <v>0.38597126644935409</v>
      </c>
      <c r="R15" s="14">
        <v>11</v>
      </c>
    </row>
    <row r="16" spans="2:22" x14ac:dyDescent="0.5">
      <c r="B16" s="1" t="s">
        <v>210</v>
      </c>
      <c r="C16" t="s">
        <v>240</v>
      </c>
      <c r="D16" t="s">
        <v>241</v>
      </c>
      <c r="E16">
        <v>9.33</v>
      </c>
      <c r="F16" s="9" t="s">
        <v>71</v>
      </c>
      <c r="G16" s="7">
        <v>2965492736</v>
      </c>
      <c r="H16" s="6">
        <v>11.95</v>
      </c>
      <c r="I16" s="6">
        <v>7.85</v>
      </c>
      <c r="J16" s="12">
        <f>E16/I16-1</f>
        <v>0.18853503184713372</v>
      </c>
      <c r="K16" s="11">
        <v>0.1007502679528403</v>
      </c>
      <c r="L16" s="13">
        <v>738400000</v>
      </c>
      <c r="M16" s="13">
        <v>3909700000</v>
      </c>
      <c r="N16" s="9" t="s">
        <v>71</v>
      </c>
      <c r="O16" s="6">
        <v>1</v>
      </c>
      <c r="P16" s="12">
        <v>0.18497491010740424</v>
      </c>
      <c r="Q16" s="12">
        <v>0.18886359567230221</v>
      </c>
      <c r="R16" s="14">
        <v>12</v>
      </c>
    </row>
    <row r="17" spans="2:18" x14ac:dyDescent="0.5">
      <c r="B17" s="1" t="s">
        <v>601</v>
      </c>
      <c r="C17" t="s">
        <v>685</v>
      </c>
      <c r="D17" t="s">
        <v>49</v>
      </c>
      <c r="E17">
        <v>243.92</v>
      </c>
      <c r="F17" s="9" t="s">
        <v>71</v>
      </c>
      <c r="G17" s="7">
        <v>70761193472</v>
      </c>
      <c r="H17" s="6">
        <v>279.13</v>
      </c>
      <c r="I17" s="6">
        <v>214.66</v>
      </c>
      <c r="J17" s="12">
        <f>E17/I17-1</f>
        <v>0.13630858101183252</v>
      </c>
      <c r="K17" s="11">
        <v>2.5049196457855038E-2</v>
      </c>
      <c r="L17" s="13">
        <v>4705000000</v>
      </c>
      <c r="M17" s="13">
        <v>11179000000</v>
      </c>
      <c r="N17" s="9" t="s">
        <v>71</v>
      </c>
      <c r="O17" s="6">
        <v>1</v>
      </c>
      <c r="P17" s="12">
        <v>6.0404774792561546E-2</v>
      </c>
      <c r="Q17" s="12">
        <v>0.42087843277574022</v>
      </c>
      <c r="R17" s="14">
        <v>13</v>
      </c>
    </row>
    <row r="18" spans="2:18" x14ac:dyDescent="0.5">
      <c r="B18" s="1" t="s">
        <v>614</v>
      </c>
      <c r="C18" t="s">
        <v>702</v>
      </c>
      <c r="D18" t="s">
        <v>454</v>
      </c>
      <c r="E18">
        <v>5077.74</v>
      </c>
      <c r="F18" s="9" t="s">
        <v>71</v>
      </c>
      <c r="G18" s="7">
        <v>163674947584</v>
      </c>
      <c r="H18" s="6">
        <v>5839.41</v>
      </c>
      <c r="I18" s="6">
        <v>4096.2299999999996</v>
      </c>
      <c r="J18" s="12">
        <f>E18/I18-1</f>
        <v>0.23961301001164492</v>
      </c>
      <c r="K18" s="11">
        <v>7.3950221949134849E-3</v>
      </c>
      <c r="L18" s="13">
        <v>8587000000</v>
      </c>
      <c r="M18" s="13">
        <v>12578000000</v>
      </c>
      <c r="N18" s="9" t="s">
        <v>71</v>
      </c>
      <c r="O18" s="6">
        <v>1</v>
      </c>
      <c r="P18" s="12">
        <v>5.2171446574672792E-2</v>
      </c>
      <c r="Q18" s="12">
        <v>0.68269995229766256</v>
      </c>
      <c r="R18" s="14">
        <v>13</v>
      </c>
    </row>
    <row r="19" spans="2:18" x14ac:dyDescent="0.5">
      <c r="B19" s="1" t="s">
        <v>207</v>
      </c>
      <c r="C19" t="s">
        <v>235</v>
      </c>
      <c r="D19" t="s">
        <v>76</v>
      </c>
      <c r="E19">
        <v>31.53</v>
      </c>
      <c r="F19" s="9" t="s">
        <v>71</v>
      </c>
      <c r="G19" s="7">
        <v>1127848704</v>
      </c>
      <c r="H19" s="6">
        <v>33.08</v>
      </c>
      <c r="I19" s="6">
        <v>17.73</v>
      </c>
      <c r="J19" s="12">
        <f>E19/I19-1</f>
        <v>0.77834179357021993</v>
      </c>
      <c r="K19" s="11">
        <v>6.184586108468125E-2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0.23603576938505644</v>
      </c>
      <c r="Q19" s="12">
        <v>0.18435624112536766</v>
      </c>
      <c r="R19" s="14">
        <v>14</v>
      </c>
    </row>
    <row r="20" spans="2:18" x14ac:dyDescent="0.5">
      <c r="B20" s="1" t="s">
        <v>623</v>
      </c>
      <c r="C20" t="s">
        <v>713</v>
      </c>
      <c r="D20" t="s">
        <v>183</v>
      </c>
      <c r="E20">
        <v>398.46</v>
      </c>
      <c r="F20" s="9" t="s">
        <v>71</v>
      </c>
      <c r="G20" s="7">
        <v>13462455296</v>
      </c>
      <c r="H20" s="6">
        <v>500.55</v>
      </c>
      <c r="I20" s="6">
        <v>394.3</v>
      </c>
      <c r="J20" s="12">
        <f>E20/I20-1</f>
        <v>1.0550342378899291E-2</v>
      </c>
      <c r="K20" s="11">
        <v>1.6890026602419315E-2</v>
      </c>
      <c r="L20" s="13">
        <v>918085000</v>
      </c>
      <c r="M20" s="13">
        <v>1013047000</v>
      </c>
      <c r="N20" s="9" t="s">
        <v>71</v>
      </c>
      <c r="O20" s="6">
        <v>1</v>
      </c>
      <c r="P20" s="12">
        <v>4.969721528051288E-2</v>
      </c>
      <c r="Q20" s="12">
        <v>0.90626101256901215</v>
      </c>
      <c r="R20" s="14">
        <v>15</v>
      </c>
    </row>
    <row r="21" spans="2:18" x14ac:dyDescent="0.5">
      <c r="B21" s="1" t="s">
        <v>399</v>
      </c>
      <c r="C21" t="s">
        <v>412</v>
      </c>
      <c r="D21" t="s">
        <v>314</v>
      </c>
      <c r="E21">
        <v>96.42</v>
      </c>
      <c r="F21" s="9" t="s">
        <v>71</v>
      </c>
      <c r="G21" s="7">
        <v>81722662912</v>
      </c>
      <c r="H21" s="6">
        <v>138.66999999999999</v>
      </c>
      <c r="I21" s="6">
        <v>82</v>
      </c>
      <c r="J21" s="12">
        <f>E21/I21-1</f>
        <v>0.1758536585365853</v>
      </c>
      <c r="K21" s="11">
        <v>6.7931964322754612E-2</v>
      </c>
      <c r="L21" s="13">
        <v>8308000000</v>
      </c>
      <c r="M21" s="13">
        <v>38002000000</v>
      </c>
      <c r="N21" s="9" t="s">
        <v>71</v>
      </c>
      <c r="O21" s="6">
        <v>1</v>
      </c>
      <c r="P21" s="12">
        <v>8.2044060081847517E-2</v>
      </c>
      <c r="Q21" s="12">
        <v>0.21862007262775643</v>
      </c>
      <c r="R21" s="14">
        <v>16</v>
      </c>
    </row>
    <row r="22" spans="2:18" x14ac:dyDescent="0.5">
      <c r="B22" s="1" t="s">
        <v>211</v>
      </c>
      <c r="C22" t="s">
        <v>242</v>
      </c>
      <c r="D22" t="s">
        <v>86</v>
      </c>
      <c r="E22">
        <v>62.78</v>
      </c>
      <c r="F22" s="9" t="s">
        <v>71</v>
      </c>
      <c r="G22" s="7">
        <v>731026560</v>
      </c>
      <c r="H22" s="6">
        <v>91.98</v>
      </c>
      <c r="I22" s="6">
        <v>58.47</v>
      </c>
      <c r="J22" s="12">
        <f>E22/I22-1</f>
        <v>7.3713015221481104E-2</v>
      </c>
      <c r="K22" s="11">
        <v>1.4335775724753107E-2</v>
      </c>
      <c r="L22" s="13">
        <v>81417000</v>
      </c>
      <c r="M22" s="13">
        <v>434080000</v>
      </c>
      <c r="N22" s="9" t="s">
        <v>71</v>
      </c>
      <c r="O22" s="6">
        <v>1</v>
      </c>
      <c r="P22" s="12">
        <v>9.8323943706876318E-2</v>
      </c>
      <c r="Q22" s="12">
        <v>0.18756220051603392</v>
      </c>
      <c r="R22" s="14">
        <v>17</v>
      </c>
    </row>
    <row r="23" spans="2:18" x14ac:dyDescent="0.5">
      <c r="B23" s="1" t="s">
        <v>643</v>
      </c>
      <c r="C23" t="s">
        <v>735</v>
      </c>
      <c r="D23" t="s">
        <v>736</v>
      </c>
      <c r="E23">
        <v>811.34</v>
      </c>
      <c r="F23" s="9" t="s">
        <v>71</v>
      </c>
      <c r="G23" s="7">
        <v>100918034432</v>
      </c>
      <c r="H23" s="6">
        <v>846.32</v>
      </c>
      <c r="I23" s="6">
        <v>520.20000000000005</v>
      </c>
      <c r="J23" s="12">
        <f>E23/I23-1</f>
        <v>0.55966935793925399</v>
      </c>
      <c r="K23" s="11">
        <v>3.5003820839598684E-3</v>
      </c>
      <c r="L23" s="13">
        <v>4624000000</v>
      </c>
      <c r="M23" s="13">
        <v>3580000000</v>
      </c>
      <c r="N23" s="9" t="s">
        <v>71</v>
      </c>
      <c r="O23" s="6">
        <v>1</v>
      </c>
      <c r="P23" s="12">
        <v>4.5060744793440029E-2</v>
      </c>
      <c r="Q23" s="12">
        <v>1.2916201117318435</v>
      </c>
      <c r="R23" s="14">
        <v>18</v>
      </c>
    </row>
    <row r="24" spans="2:18" x14ac:dyDescent="0.5">
      <c r="B24" s="1" t="s">
        <v>620</v>
      </c>
      <c r="C24" t="s">
        <v>710</v>
      </c>
      <c r="D24" t="s">
        <v>434</v>
      </c>
      <c r="E24">
        <v>88.86</v>
      </c>
      <c r="F24" s="9" t="s">
        <v>71</v>
      </c>
      <c r="G24" s="7">
        <v>110981013504</v>
      </c>
      <c r="H24" s="6">
        <v>115.38</v>
      </c>
      <c r="I24" s="6">
        <v>79.88</v>
      </c>
      <c r="J24" s="12">
        <f>E24/I24-1</f>
        <v>0.11241862794191282</v>
      </c>
      <c r="K24" s="11">
        <v>3.5111411208642813E-2</v>
      </c>
      <c r="L24" s="13">
        <v>14780000000</v>
      </c>
      <c r="M24" s="13">
        <v>88180000000</v>
      </c>
      <c r="N24" s="9" t="s">
        <v>71</v>
      </c>
      <c r="O24" s="6">
        <v>1</v>
      </c>
      <c r="P24" s="12">
        <v>0.11395702679396992</v>
      </c>
      <c r="Q24" s="12">
        <v>0.16761170333408937</v>
      </c>
      <c r="R24" s="14">
        <v>19</v>
      </c>
    </row>
    <row r="25" spans="2:18" x14ac:dyDescent="0.5">
      <c r="B25" s="1" t="s">
        <v>598</v>
      </c>
      <c r="C25" t="s">
        <v>682</v>
      </c>
      <c r="D25" t="s">
        <v>406</v>
      </c>
      <c r="E25">
        <v>260.3</v>
      </c>
      <c r="F25" s="9" t="s">
        <v>71</v>
      </c>
      <c r="G25" s="7">
        <v>105395462144</v>
      </c>
      <c r="H25" s="6">
        <v>329.93</v>
      </c>
      <c r="I25" s="6">
        <v>258.19</v>
      </c>
      <c r="J25" s="12">
        <f>E25/I25-1</f>
        <v>8.17227623068284E-3</v>
      </c>
      <c r="K25" s="11">
        <v>2.3665001920860546E-2</v>
      </c>
      <c r="L25" s="13">
        <v>5766000000</v>
      </c>
      <c r="M25" s="13">
        <v>14932200000</v>
      </c>
      <c r="N25" s="9" t="s">
        <v>71</v>
      </c>
      <c r="O25" s="6">
        <v>1</v>
      </c>
      <c r="P25" s="12">
        <v>5.189308879389351E-2</v>
      </c>
      <c r="Q25" s="12">
        <v>0.38614537710451241</v>
      </c>
      <c r="R25" s="14">
        <v>20</v>
      </c>
    </row>
    <row r="26" spans="2:18" x14ac:dyDescent="0.5">
      <c r="B26" s="1" t="s">
        <v>655</v>
      </c>
      <c r="C26" t="s">
        <v>752</v>
      </c>
      <c r="D26" t="s">
        <v>753</v>
      </c>
      <c r="E26">
        <v>140.41999999999999</v>
      </c>
      <c r="F26" s="9" t="s">
        <v>71</v>
      </c>
      <c r="G26" s="7">
        <v>29511811072</v>
      </c>
      <c r="H26" s="6">
        <v>233.26</v>
      </c>
      <c r="I26" s="6">
        <v>133.69</v>
      </c>
      <c r="J26" s="12">
        <f>E26/I26-1</f>
        <v>5.0340339591592453E-2</v>
      </c>
      <c r="K26" s="11">
        <v>7.8336419313488129E-3</v>
      </c>
      <c r="L26" s="13">
        <v>1557809000</v>
      </c>
      <c r="M26" s="13">
        <v>4304575000</v>
      </c>
      <c r="N26" s="9" t="s">
        <v>71</v>
      </c>
      <c r="O26" s="6">
        <v>1</v>
      </c>
      <c r="P26" s="12">
        <v>5.2873181470488119E-2</v>
      </c>
      <c r="Q26" s="12">
        <v>0.36189612214910882</v>
      </c>
      <c r="R26" s="14">
        <v>20</v>
      </c>
    </row>
    <row r="27" spans="2:18" x14ac:dyDescent="0.5">
      <c r="B27" s="1" t="s">
        <v>418</v>
      </c>
      <c r="C27" t="s">
        <v>425</v>
      </c>
      <c r="D27" t="s">
        <v>234</v>
      </c>
      <c r="E27">
        <v>114.36</v>
      </c>
      <c r="F27" s="9" t="s">
        <v>71</v>
      </c>
      <c r="G27" s="7">
        <v>487544946688</v>
      </c>
      <c r="H27" s="6">
        <v>123.21</v>
      </c>
      <c r="I27" s="6">
        <v>97.8</v>
      </c>
      <c r="J27" s="12">
        <f>E27/I27-1</f>
        <v>0.16932515337423326</v>
      </c>
      <c r="K27" s="11">
        <v>3.4627492130115428E-2</v>
      </c>
      <c r="L27" s="13">
        <v>49869000000</v>
      </c>
      <c r="M27" s="13">
        <v>301464000000</v>
      </c>
      <c r="N27" s="9" t="s">
        <v>71</v>
      </c>
      <c r="O27" s="6">
        <v>1</v>
      </c>
      <c r="P27" s="12">
        <v>9.8511347208236913E-2</v>
      </c>
      <c r="Q27" s="12">
        <v>0.16542273704322905</v>
      </c>
      <c r="R27" s="14">
        <v>21</v>
      </c>
    </row>
    <row r="28" spans="2:18" x14ac:dyDescent="0.5">
      <c r="B28" s="1" t="s">
        <v>604</v>
      </c>
      <c r="C28" t="s">
        <v>689</v>
      </c>
      <c r="D28" t="s">
        <v>690</v>
      </c>
      <c r="E28">
        <v>267.06</v>
      </c>
      <c r="F28" s="9" t="s">
        <v>71</v>
      </c>
      <c r="G28" s="7">
        <v>9947846656</v>
      </c>
      <c r="H28" s="6">
        <v>395.6</v>
      </c>
      <c r="I28" s="6">
        <v>266</v>
      </c>
      <c r="J28" s="12">
        <f>E28/I28-1</f>
        <v>3.9849624060150912E-3</v>
      </c>
      <c r="K28" s="11">
        <v>1.8347936793229987E-2</v>
      </c>
      <c r="L28" s="13">
        <v>617204000</v>
      </c>
      <c r="M28" s="13">
        <v>2223821000</v>
      </c>
      <c r="N28" s="9" t="s">
        <v>71</v>
      </c>
      <c r="O28" s="6">
        <v>1</v>
      </c>
      <c r="P28" s="12">
        <v>5.5394822776836702E-2</v>
      </c>
      <c r="Q28" s="12">
        <v>0.27754212232009678</v>
      </c>
      <c r="R28" s="14">
        <v>22</v>
      </c>
    </row>
    <row r="29" spans="2:18" x14ac:dyDescent="0.5">
      <c r="B29" s="1" t="s">
        <v>396</v>
      </c>
      <c r="C29" t="s">
        <v>409</v>
      </c>
      <c r="D29" t="s">
        <v>406</v>
      </c>
      <c r="E29">
        <v>340.31</v>
      </c>
      <c r="F29" s="9" t="s">
        <v>71</v>
      </c>
      <c r="G29" s="7">
        <v>142453768192</v>
      </c>
      <c r="H29" s="6">
        <v>557.9</v>
      </c>
      <c r="I29" s="6">
        <v>327.5</v>
      </c>
      <c r="J29" s="12">
        <f>E29/I29-1</f>
        <v>3.9114503816793933E-2</v>
      </c>
      <c r="K29" s="11">
        <v>0</v>
      </c>
      <c r="L29" s="13">
        <v>7100000000</v>
      </c>
      <c r="M29" s="13">
        <v>19733000000</v>
      </c>
      <c r="N29" s="9" t="s">
        <v>71</v>
      </c>
      <c r="O29" s="6">
        <v>1</v>
      </c>
      <c r="P29" s="12">
        <v>5.0391503588817818E-2</v>
      </c>
      <c r="Q29" s="12">
        <v>0.3598033750570111</v>
      </c>
      <c r="R29" s="14">
        <v>23</v>
      </c>
    </row>
    <row r="30" spans="2:18" x14ac:dyDescent="0.5">
      <c r="B30" s="1" t="s">
        <v>630</v>
      </c>
      <c r="C30" t="s">
        <v>720</v>
      </c>
      <c r="D30" t="s">
        <v>721</v>
      </c>
      <c r="E30">
        <v>379.59</v>
      </c>
      <c r="F30" s="9" t="s">
        <v>71</v>
      </c>
      <c r="G30" s="7">
        <v>377838796800</v>
      </c>
      <c r="H30" s="6">
        <v>439.37</v>
      </c>
      <c r="I30" s="6">
        <v>326.31</v>
      </c>
      <c r="J30" s="12">
        <f>E30/I30-1</f>
        <v>0.16328031626367556</v>
      </c>
      <c r="K30" s="11">
        <v>2.410495534655813E-2</v>
      </c>
      <c r="L30" s="13">
        <v>21727000000</v>
      </c>
      <c r="M30" s="13">
        <v>60023000000</v>
      </c>
      <c r="N30" s="9" t="s">
        <v>71</v>
      </c>
      <c r="O30" s="6">
        <v>1</v>
      </c>
      <c r="P30" s="12">
        <v>4.9551873717565031E-2</v>
      </c>
      <c r="Q30" s="12">
        <v>0.36197790846842043</v>
      </c>
      <c r="R30" s="14">
        <v>24</v>
      </c>
    </row>
    <row r="31" spans="2:18" x14ac:dyDescent="0.5">
      <c r="B31" s="1" t="s">
        <v>640</v>
      </c>
      <c r="C31" t="s">
        <v>732</v>
      </c>
      <c r="D31" t="s">
        <v>545</v>
      </c>
      <c r="E31">
        <v>491.88</v>
      </c>
      <c r="F31" s="9" t="s">
        <v>71</v>
      </c>
      <c r="G31" s="7">
        <v>113819951104</v>
      </c>
      <c r="H31" s="6">
        <v>576.42999999999995</v>
      </c>
      <c r="I31" s="6">
        <v>410.11</v>
      </c>
      <c r="J31" s="12">
        <f>E31/I31-1</f>
        <v>0.19938553071127263</v>
      </c>
      <c r="K31" s="11">
        <v>2.6835813613076361E-2</v>
      </c>
      <c r="L31" s="13">
        <v>7256000000</v>
      </c>
      <c r="M31" s="13">
        <v>26603000000</v>
      </c>
      <c r="N31" s="9" t="s">
        <v>71</v>
      </c>
      <c r="O31" s="6">
        <v>1</v>
      </c>
      <c r="P31" s="12">
        <v>5.5133865948053744E-2</v>
      </c>
      <c r="Q31" s="12">
        <v>0.27275119347442017</v>
      </c>
      <c r="R31" s="14">
        <v>24</v>
      </c>
    </row>
    <row r="32" spans="2:18" x14ac:dyDescent="0.5">
      <c r="B32" s="1" t="s">
        <v>403</v>
      </c>
      <c r="C32" t="s">
        <v>416</v>
      </c>
      <c r="D32" t="s">
        <v>165</v>
      </c>
      <c r="E32">
        <v>150.37</v>
      </c>
      <c r="F32" s="9" t="s">
        <v>71</v>
      </c>
      <c r="G32" s="7">
        <v>351374606336</v>
      </c>
      <c r="H32" s="6">
        <v>180.43</v>
      </c>
      <c r="I32" s="6">
        <v>146.97</v>
      </c>
      <c r="J32" s="12">
        <f>E32/I32-1</f>
        <v>2.3133972919643586E-2</v>
      </c>
      <c r="K32" s="11">
        <v>2.7445634102547047E-2</v>
      </c>
      <c r="L32" s="13">
        <v>21074000000</v>
      </c>
      <c r="M32" s="13">
        <v>85742000000</v>
      </c>
      <c r="N32" s="9" t="s">
        <v>71</v>
      </c>
      <c r="O32" s="6">
        <v>1</v>
      </c>
      <c r="P32" s="12">
        <v>5.5857480582374025E-2</v>
      </c>
      <c r="Q32" s="12">
        <v>0.24578386321755966</v>
      </c>
      <c r="R32" s="14">
        <v>25</v>
      </c>
    </row>
    <row r="33" spans="2:18" x14ac:dyDescent="0.5">
      <c r="B33" s="1" t="s">
        <v>212</v>
      </c>
      <c r="C33" t="s">
        <v>243</v>
      </c>
      <c r="D33" t="s">
        <v>234</v>
      </c>
      <c r="E33">
        <v>157.72</v>
      </c>
      <c r="F33" s="9" t="s">
        <v>71</v>
      </c>
      <c r="G33" s="7">
        <v>317777805312</v>
      </c>
      <c r="H33" s="6">
        <v>168.96</v>
      </c>
      <c r="I33" s="6">
        <v>132.04</v>
      </c>
      <c r="J33" s="12">
        <f>E33/I33-1</f>
        <v>0.19448651923659499</v>
      </c>
      <c r="K33" s="11">
        <v>4.2860765914278467E-2</v>
      </c>
      <c r="L33" s="13">
        <v>28100000000</v>
      </c>
      <c r="M33" s="13">
        <v>176255000000</v>
      </c>
      <c r="N33" s="9" t="s">
        <v>71</v>
      </c>
      <c r="O33" s="6">
        <v>1</v>
      </c>
      <c r="P33" s="12">
        <v>8.3746151864679458E-2</v>
      </c>
      <c r="Q33" s="12">
        <v>0.1594281013304587</v>
      </c>
      <c r="R33" s="14">
        <v>26</v>
      </c>
    </row>
    <row r="34" spans="2:18" x14ac:dyDescent="0.5">
      <c r="B34" s="1" t="s">
        <v>599</v>
      </c>
      <c r="C34" t="s">
        <v>683</v>
      </c>
      <c r="D34" t="s">
        <v>74</v>
      </c>
      <c r="E34">
        <v>140.13999999999999</v>
      </c>
      <c r="F34" s="9" t="s">
        <v>71</v>
      </c>
      <c r="G34" s="7">
        <v>155967242240</v>
      </c>
      <c r="H34" s="6">
        <v>146.46</v>
      </c>
      <c r="I34" s="6">
        <v>111.73</v>
      </c>
      <c r="J34" s="12">
        <f>E34/I34-1</f>
        <v>0.25427369551597589</v>
      </c>
      <c r="K34" s="11">
        <v>1.1417154274297132E-2</v>
      </c>
      <c r="L34" s="13">
        <v>6559000000</v>
      </c>
      <c r="M34" s="13">
        <v>11259000000</v>
      </c>
      <c r="N34" s="9" t="s">
        <v>71</v>
      </c>
      <c r="O34" s="6">
        <v>1</v>
      </c>
      <c r="P34" s="12">
        <v>4.0138242928291004E-2</v>
      </c>
      <c r="Q34" s="12">
        <v>0.58255617728039788</v>
      </c>
      <c r="R34" s="14">
        <v>26</v>
      </c>
    </row>
    <row r="35" spans="2:18" x14ac:dyDescent="0.5">
      <c r="B35" s="1" t="s">
        <v>660</v>
      </c>
      <c r="C35" t="s">
        <v>759</v>
      </c>
      <c r="D35" t="s">
        <v>194</v>
      </c>
      <c r="E35">
        <v>180.9</v>
      </c>
      <c r="F35" s="9" t="s">
        <v>71</v>
      </c>
      <c r="G35" s="7">
        <v>195191111680</v>
      </c>
      <c r="H35" s="6">
        <v>205.95</v>
      </c>
      <c r="I35" s="6">
        <v>120.8</v>
      </c>
      <c r="J35" s="12">
        <f>E35/I35-1</f>
        <v>0.4975165562913908</v>
      </c>
      <c r="K35" s="11">
        <v>1.9016030956329463E-2</v>
      </c>
      <c r="L35" s="13">
        <v>11033000000</v>
      </c>
      <c r="M35" s="13">
        <v>40908000000</v>
      </c>
      <c r="N35" s="9" t="s">
        <v>71</v>
      </c>
      <c r="O35" s="6">
        <v>1</v>
      </c>
      <c r="P35" s="12">
        <v>5.4625271811748151E-2</v>
      </c>
      <c r="Q35" s="12">
        <v>0.26970274762882568</v>
      </c>
      <c r="R35" s="14">
        <v>26</v>
      </c>
    </row>
    <row r="36" spans="2:18" x14ac:dyDescent="0.5">
      <c r="B36" s="1" t="s">
        <v>459</v>
      </c>
      <c r="C36" t="s">
        <v>460</v>
      </c>
      <c r="D36" t="s">
        <v>317</v>
      </c>
      <c r="E36">
        <v>242.59</v>
      </c>
      <c r="F36" s="9" t="s">
        <v>71</v>
      </c>
      <c r="G36" s="7">
        <v>53989285888</v>
      </c>
      <c r="H36" s="6">
        <v>341.14</v>
      </c>
      <c r="I36" s="6">
        <v>239.03</v>
      </c>
      <c r="J36" s="12">
        <f>E36/I36-1</f>
        <v>1.4893528009036539E-2</v>
      </c>
      <c r="K36" s="11">
        <v>2.9349931984005935E-2</v>
      </c>
      <c r="L36" s="13">
        <v>5040000000</v>
      </c>
      <c r="M36" s="13">
        <v>31264400000</v>
      </c>
      <c r="N36" s="9" t="s">
        <v>71</v>
      </c>
      <c r="O36" s="6">
        <v>1</v>
      </c>
      <c r="P36" s="12">
        <v>7.6345491714661498E-2</v>
      </c>
      <c r="Q36" s="12">
        <v>0.16120571640588016</v>
      </c>
      <c r="R36" s="14">
        <v>27</v>
      </c>
    </row>
    <row r="37" spans="2:18" x14ac:dyDescent="0.5">
      <c r="B37" s="1" t="s">
        <v>421</v>
      </c>
      <c r="C37" t="s">
        <v>429</v>
      </c>
      <c r="D37" t="s">
        <v>430</v>
      </c>
      <c r="E37">
        <v>217.01</v>
      </c>
      <c r="F37" s="9" t="s">
        <v>71</v>
      </c>
      <c r="G37" s="7">
        <v>13810231296</v>
      </c>
      <c r="H37" s="6">
        <v>227.22</v>
      </c>
      <c r="I37" s="6">
        <v>152.33000000000001</v>
      </c>
      <c r="J37" s="12">
        <f>E37/I37-1</f>
        <v>0.42460447712203742</v>
      </c>
      <c r="K37" s="11">
        <v>3.6864660614718218E-3</v>
      </c>
      <c r="L37" s="13">
        <v>1680449000</v>
      </c>
      <c r="M37" s="13">
        <v>11170748000</v>
      </c>
      <c r="N37" s="9" t="s">
        <v>71</v>
      </c>
      <c r="O37" s="6">
        <v>1</v>
      </c>
      <c r="P37" s="12">
        <v>9.0154404140924571E-2</v>
      </c>
      <c r="Q37" s="12">
        <v>0.15043298801476856</v>
      </c>
      <c r="R37" s="14">
        <v>28</v>
      </c>
    </row>
    <row r="38" spans="2:18" x14ac:dyDescent="0.5">
      <c r="B38" s="1" t="s">
        <v>603</v>
      </c>
      <c r="C38" t="s">
        <v>687</v>
      </c>
      <c r="D38" t="s">
        <v>688</v>
      </c>
      <c r="E38">
        <v>218.76</v>
      </c>
      <c r="F38" s="9" t="s">
        <v>71</v>
      </c>
      <c r="G38" s="7">
        <v>30489143296</v>
      </c>
      <c r="H38" s="6">
        <v>322.92</v>
      </c>
      <c r="I38" s="6">
        <v>197</v>
      </c>
      <c r="J38" s="12">
        <f>E38/I38-1</f>
        <v>0.11045685279187811</v>
      </c>
      <c r="K38" s="11">
        <v>7.9539221064179929E-3</v>
      </c>
      <c r="L38" s="13">
        <v>1353200000</v>
      </c>
      <c r="M38" s="13">
        <v>3119800000</v>
      </c>
      <c r="N38" s="9" t="s">
        <v>71</v>
      </c>
      <c r="O38" s="6">
        <v>1</v>
      </c>
      <c r="P38" s="12">
        <v>4.04619778361308E-2</v>
      </c>
      <c r="Q38" s="12">
        <v>0.43374575293288031</v>
      </c>
      <c r="R38" s="14">
        <v>29</v>
      </c>
    </row>
    <row r="39" spans="2:18" x14ac:dyDescent="0.5">
      <c r="B39" s="1" t="s">
        <v>651</v>
      </c>
      <c r="C39" t="s">
        <v>746</v>
      </c>
      <c r="D39" t="s">
        <v>545</v>
      </c>
      <c r="E39">
        <v>583.45000000000005</v>
      </c>
      <c r="F39" s="9" t="s">
        <v>71</v>
      </c>
      <c r="G39" s="7">
        <v>83270025216</v>
      </c>
      <c r="H39" s="6">
        <v>640.9</v>
      </c>
      <c r="I39" s="6">
        <v>426.24</v>
      </c>
      <c r="J39" s="12">
        <f>E39/I39-1</f>
        <v>0.36882976726726735</v>
      </c>
      <c r="K39" s="11">
        <v>1.4979861170623018E-2</v>
      </c>
      <c r="L39" s="13">
        <v>5637000000</v>
      </c>
      <c r="M39" s="13">
        <v>29982000000</v>
      </c>
      <c r="N39" s="9" t="s">
        <v>71</v>
      </c>
      <c r="O39" s="6">
        <v>1</v>
      </c>
      <c r="P39" s="12">
        <v>5.9083699415613485E-2</v>
      </c>
      <c r="Q39" s="12">
        <v>0.18801280768461076</v>
      </c>
      <c r="R39" s="14">
        <v>29</v>
      </c>
    </row>
    <row r="40" spans="2:18" x14ac:dyDescent="0.5">
      <c r="B40" s="1" t="s">
        <v>602</v>
      </c>
      <c r="C40" t="s">
        <v>686</v>
      </c>
      <c r="D40" t="s">
        <v>456</v>
      </c>
      <c r="E40">
        <v>36.020000000000003</v>
      </c>
      <c r="F40" s="9" t="s">
        <v>71</v>
      </c>
      <c r="G40" s="7">
        <v>67074174976</v>
      </c>
      <c r="H40" s="6">
        <v>37.25</v>
      </c>
      <c r="I40" s="6">
        <v>26.22</v>
      </c>
      <c r="J40" s="12">
        <f>E40/I40-1</f>
        <v>0.37376048817696428</v>
      </c>
      <c r="K40" s="11">
        <v>1.4158800666296502E-2</v>
      </c>
      <c r="L40" s="13">
        <v>5387000000</v>
      </c>
      <c r="M40" s="13">
        <v>31005000000</v>
      </c>
      <c r="N40" s="9" t="s">
        <v>71</v>
      </c>
      <c r="O40" s="6">
        <v>1</v>
      </c>
      <c r="P40" s="12">
        <v>6.3279559821399517E-2</v>
      </c>
      <c r="Q40" s="12">
        <v>0.17374616997258507</v>
      </c>
      <c r="R40" s="14">
        <v>30</v>
      </c>
    </row>
    <row r="41" spans="2:18" x14ac:dyDescent="0.5">
      <c r="B41" s="1" t="s">
        <v>404</v>
      </c>
      <c r="C41" t="s">
        <v>417</v>
      </c>
      <c r="D41" t="s">
        <v>146</v>
      </c>
      <c r="E41">
        <v>146.09</v>
      </c>
      <c r="F41" s="9" t="s">
        <v>71</v>
      </c>
      <c r="G41" s="7">
        <v>199754711040</v>
      </c>
      <c r="H41" s="6">
        <v>167.96</v>
      </c>
      <c r="I41" s="6">
        <v>127.6</v>
      </c>
      <c r="J41" s="12">
        <f>E41/I41-1</f>
        <v>0.14490595611285273</v>
      </c>
      <c r="K41" s="11">
        <v>3.802450544185091E-2</v>
      </c>
      <c r="L41" s="13">
        <v>12865000000</v>
      </c>
      <c r="M41" s="13">
        <v>62347000000</v>
      </c>
      <c r="N41" s="9" t="s">
        <v>71</v>
      </c>
      <c r="O41" s="6">
        <v>1</v>
      </c>
      <c r="P41" s="12">
        <v>5.4467081595982597E-2</v>
      </c>
      <c r="Q41" s="12">
        <v>0.20634513288530323</v>
      </c>
      <c r="R41" s="14">
        <v>31</v>
      </c>
    </row>
    <row r="42" spans="2:18" x14ac:dyDescent="0.5">
      <c r="B42" s="1" t="s">
        <v>621</v>
      </c>
      <c r="C42" t="s">
        <v>711</v>
      </c>
      <c r="D42" t="s">
        <v>368</v>
      </c>
      <c r="E42">
        <v>260.35000000000002</v>
      </c>
      <c r="F42" s="9" t="s">
        <v>71</v>
      </c>
      <c r="G42" s="7">
        <v>18384455680</v>
      </c>
      <c r="H42" s="6">
        <v>400.81</v>
      </c>
      <c r="I42" s="6">
        <v>252.84</v>
      </c>
      <c r="J42" s="12">
        <f>E42/I42-1</f>
        <v>2.9702578705901095E-2</v>
      </c>
      <c r="K42" s="11">
        <v>0</v>
      </c>
      <c r="L42" s="13">
        <v>1768156000</v>
      </c>
      <c r="M42" s="13">
        <v>11118422000</v>
      </c>
      <c r="N42" s="9" t="s">
        <v>71</v>
      </c>
      <c r="O42" s="6">
        <v>1</v>
      </c>
      <c r="P42" s="12">
        <v>7.1219380998291684E-2</v>
      </c>
      <c r="Q42" s="12">
        <v>0.15902940183418116</v>
      </c>
      <c r="R42" s="14">
        <v>31</v>
      </c>
    </row>
    <row r="43" spans="2:18" x14ac:dyDescent="0.5">
      <c r="B43" s="1" t="s">
        <v>642</v>
      </c>
      <c r="C43" t="s">
        <v>734</v>
      </c>
      <c r="D43" t="s">
        <v>183</v>
      </c>
      <c r="E43">
        <v>298.43</v>
      </c>
      <c r="F43" s="9" t="s">
        <v>71</v>
      </c>
      <c r="G43" s="7">
        <v>212960968704</v>
      </c>
      <c r="H43" s="6">
        <v>326.32</v>
      </c>
      <c r="I43" s="6">
        <v>276.52999999999997</v>
      </c>
      <c r="J43" s="12">
        <f>E43/I43-1</f>
        <v>7.9195747296857633E-2</v>
      </c>
      <c r="K43" s="11">
        <v>2.3389069463525786E-2</v>
      </c>
      <c r="L43" s="13">
        <v>11851000000</v>
      </c>
      <c r="M43" s="13">
        <v>34628000000</v>
      </c>
      <c r="N43" s="9" t="s">
        <v>71</v>
      </c>
      <c r="O43" s="6">
        <v>1</v>
      </c>
      <c r="P43" s="12">
        <v>4.4920103575942907E-2</v>
      </c>
      <c r="Q43" s="12">
        <v>0.34223749566824535</v>
      </c>
      <c r="R43" s="14">
        <v>31</v>
      </c>
    </row>
    <row r="44" spans="2:18" x14ac:dyDescent="0.5">
      <c r="B44" s="1" t="s">
        <v>646</v>
      </c>
      <c r="C44" t="s">
        <v>740</v>
      </c>
      <c r="D44" t="s">
        <v>704</v>
      </c>
      <c r="E44">
        <v>178.15</v>
      </c>
      <c r="F44" s="9" t="s">
        <v>71</v>
      </c>
      <c r="G44" s="7">
        <v>87277412352</v>
      </c>
      <c r="H44" s="6">
        <v>248</v>
      </c>
      <c r="I44" s="6">
        <v>176.1</v>
      </c>
      <c r="J44" s="12">
        <f>E44/I44-1</f>
        <v>1.1641113003975079E-2</v>
      </c>
      <c r="K44" s="11">
        <v>1.9253438113948921E-2</v>
      </c>
      <c r="L44" s="13">
        <v>6180000000</v>
      </c>
      <c r="M44" s="13">
        <v>33289000000</v>
      </c>
      <c r="N44" s="9" t="s">
        <v>71</v>
      </c>
      <c r="O44" s="6">
        <v>1</v>
      </c>
      <c r="P44" s="12">
        <v>5.7896929259473172E-2</v>
      </c>
      <c r="Q44" s="12">
        <v>0.18564691039081979</v>
      </c>
      <c r="R44" s="14">
        <v>31</v>
      </c>
    </row>
    <row r="45" spans="2:18" x14ac:dyDescent="0.5">
      <c r="B45" s="1" t="s">
        <v>404</v>
      </c>
      <c r="C45" t="s">
        <v>417</v>
      </c>
      <c r="D45" t="s">
        <v>146</v>
      </c>
      <c r="E45">
        <v>146.09</v>
      </c>
      <c r="F45" s="9" t="s">
        <v>71</v>
      </c>
      <c r="G45" s="7">
        <v>199754711040</v>
      </c>
      <c r="H45" s="6">
        <v>167.96</v>
      </c>
      <c r="I45" s="6">
        <v>127.6</v>
      </c>
      <c r="J45" s="12">
        <f>E45/I45-1</f>
        <v>0.14490595611285273</v>
      </c>
      <c r="K45" s="11">
        <v>3.802450544185091E-2</v>
      </c>
      <c r="L45" s="13">
        <v>12865000000</v>
      </c>
      <c r="M45" s="13">
        <v>62347000000</v>
      </c>
      <c r="N45" s="9" t="s">
        <v>71</v>
      </c>
      <c r="O45" s="6">
        <v>1</v>
      </c>
      <c r="P45" s="12">
        <v>5.4467081595982597E-2</v>
      </c>
      <c r="Q45" s="12">
        <v>0.20634513288530323</v>
      </c>
      <c r="R45" s="14">
        <v>31</v>
      </c>
    </row>
    <row r="46" spans="2:18" x14ac:dyDescent="0.5">
      <c r="B46" s="1" t="s">
        <v>402</v>
      </c>
      <c r="C46" t="s">
        <v>415</v>
      </c>
      <c r="D46" t="s">
        <v>86</v>
      </c>
      <c r="E46">
        <v>46.61</v>
      </c>
      <c r="F46" s="9" t="s">
        <v>71</v>
      </c>
      <c r="G46" s="7">
        <v>24862539776</v>
      </c>
      <c r="H46" s="6">
        <v>68.739999999999995</v>
      </c>
      <c r="I46" s="6">
        <v>46.21</v>
      </c>
      <c r="J46" s="12">
        <f>E46/I46-1</f>
        <v>8.6561350357066136E-3</v>
      </c>
      <c r="K46" s="11">
        <v>5.1705642565972973E-2</v>
      </c>
      <c r="L46" s="13">
        <v>3383800000</v>
      </c>
      <c r="M46" s="13">
        <v>24077800000</v>
      </c>
      <c r="N46" s="9" t="s">
        <v>71</v>
      </c>
      <c r="O46" s="6">
        <v>1</v>
      </c>
      <c r="P46" s="12">
        <v>8.5030056761588993E-2</v>
      </c>
      <c r="Q46" s="12">
        <v>0.14053609549045179</v>
      </c>
      <c r="R46" s="14">
        <v>32</v>
      </c>
    </row>
    <row r="47" spans="2:18" x14ac:dyDescent="0.5">
      <c r="B47" s="1" t="s">
        <v>644</v>
      </c>
      <c r="C47" t="s">
        <v>737</v>
      </c>
      <c r="D47" t="s">
        <v>738</v>
      </c>
      <c r="E47">
        <v>57.46</v>
      </c>
      <c r="F47" s="9" t="s">
        <v>71</v>
      </c>
      <c r="G47" s="7">
        <v>74143997952</v>
      </c>
      <c r="H47" s="6">
        <v>71.150000000000006</v>
      </c>
      <c r="I47" s="6">
        <v>53.95</v>
      </c>
      <c r="J47" s="12">
        <f>E47/I47-1</f>
        <v>6.5060240963855431E-2</v>
      </c>
      <c r="K47" s="11">
        <v>3.3240515140967625E-2</v>
      </c>
      <c r="L47" s="13">
        <v>6769000000</v>
      </c>
      <c r="M47" s="13">
        <v>44681000000</v>
      </c>
      <c r="N47" s="9" t="s">
        <v>71</v>
      </c>
      <c r="O47" s="6">
        <v>1</v>
      </c>
      <c r="P47" s="12">
        <v>7.4249987956605881E-2</v>
      </c>
      <c r="Q47" s="12">
        <v>0.15149616167946106</v>
      </c>
      <c r="R47" s="14">
        <v>33</v>
      </c>
    </row>
    <row r="48" spans="2:18" x14ac:dyDescent="0.5">
      <c r="B48" s="1" t="s">
        <v>657</v>
      </c>
      <c r="C48" t="s">
        <v>755</v>
      </c>
      <c r="D48" t="s">
        <v>406</v>
      </c>
      <c r="E48">
        <v>117.03</v>
      </c>
      <c r="F48" s="9" t="s">
        <v>71</v>
      </c>
      <c r="G48" s="7">
        <v>42118410240</v>
      </c>
      <c r="H48" s="6">
        <v>161.24</v>
      </c>
      <c r="I48" s="6">
        <v>116.0752</v>
      </c>
      <c r="J48" s="12">
        <f>E48/I48-1</f>
        <v>8.2257019587301805E-3</v>
      </c>
      <c r="K48" s="11">
        <v>3.520464838075707E-2</v>
      </c>
      <c r="L48" s="13">
        <v>2281300000</v>
      </c>
      <c r="M48" s="13">
        <v>9094800000</v>
      </c>
      <c r="N48" s="9" t="s">
        <v>71</v>
      </c>
      <c r="O48" s="6">
        <v>1</v>
      </c>
      <c r="P48" s="12">
        <v>5.0125120280513719E-2</v>
      </c>
      <c r="Q48" s="12">
        <v>0.25083564234507633</v>
      </c>
      <c r="R48" s="14">
        <v>33</v>
      </c>
    </row>
    <row r="49" spans="2:18" x14ac:dyDescent="0.5">
      <c r="B49" s="1" t="s">
        <v>209</v>
      </c>
      <c r="C49" t="s">
        <v>238</v>
      </c>
      <c r="D49" t="s">
        <v>239</v>
      </c>
      <c r="E49">
        <v>43.72</v>
      </c>
      <c r="F49" s="9" t="s">
        <v>71</v>
      </c>
      <c r="G49" s="7">
        <v>8649802752</v>
      </c>
      <c r="H49" s="6">
        <v>64.66</v>
      </c>
      <c r="I49" s="6">
        <v>42.94</v>
      </c>
      <c r="J49" s="12">
        <f>E49/I49-1</f>
        <v>1.8164881229622676E-2</v>
      </c>
      <c r="K49" s="11">
        <v>4.1628545288197621E-2</v>
      </c>
      <c r="L49" s="13">
        <v>1785700000</v>
      </c>
      <c r="M49" s="13">
        <v>19238500000</v>
      </c>
      <c r="N49" s="9" t="s">
        <v>71</v>
      </c>
      <c r="O49" s="6">
        <v>1</v>
      </c>
      <c r="P49" s="12">
        <v>0.12871484403687292</v>
      </c>
      <c r="Q49" s="12">
        <v>9.2819086727135694E-2</v>
      </c>
      <c r="R49" s="14">
        <v>34</v>
      </c>
    </row>
    <row r="50" spans="2:18" x14ac:dyDescent="0.5">
      <c r="B50" s="1" t="s">
        <v>587</v>
      </c>
      <c r="C50" t="s">
        <v>666</v>
      </c>
      <c r="D50" t="s">
        <v>241</v>
      </c>
      <c r="E50">
        <v>551.99</v>
      </c>
      <c r="F50" s="9" t="s">
        <v>71</v>
      </c>
      <c r="G50" s="7">
        <v>495684714496</v>
      </c>
      <c r="H50" s="6">
        <v>601.77</v>
      </c>
      <c r="I50" s="6">
        <v>465.59</v>
      </c>
      <c r="J50" s="12">
        <f>E50/I50-1</f>
        <v>0.18557099594063464</v>
      </c>
      <c r="K50" s="11">
        <v>5.5073461475751368E-3</v>
      </c>
      <c r="L50" s="13">
        <v>15900000000</v>
      </c>
      <c r="M50" s="13">
        <v>24711000000</v>
      </c>
      <c r="N50" s="9" t="s">
        <v>71</v>
      </c>
      <c r="O50" s="6">
        <v>1</v>
      </c>
      <c r="P50" s="12">
        <v>3.1455952750416613E-2</v>
      </c>
      <c r="Q50" s="12">
        <v>0.64343814495568774</v>
      </c>
      <c r="R50" s="14">
        <v>35</v>
      </c>
    </row>
    <row r="51" spans="2:18" x14ac:dyDescent="0.5">
      <c r="B51" s="1" t="s">
        <v>631</v>
      </c>
      <c r="C51" t="s">
        <v>722</v>
      </c>
      <c r="D51" t="s">
        <v>169</v>
      </c>
      <c r="E51">
        <v>201.33</v>
      </c>
      <c r="F51" s="9" t="s">
        <v>71</v>
      </c>
      <c r="G51" s="7">
        <v>127821848576</v>
      </c>
      <c r="H51" s="6">
        <v>228.81244000000001</v>
      </c>
      <c r="I51" s="6">
        <v>169.04807</v>
      </c>
      <c r="J51" s="12">
        <f>E51/I51-1</f>
        <v>0.19096302016343647</v>
      </c>
      <c r="K51" s="11">
        <v>2.2450702826205728E-2</v>
      </c>
      <c r="L51" s="13">
        <v>8271000000</v>
      </c>
      <c r="M51" s="13">
        <v>49718000000</v>
      </c>
      <c r="N51" s="9" t="s">
        <v>71</v>
      </c>
      <c r="O51" s="6">
        <v>1</v>
      </c>
      <c r="P51" s="12">
        <v>5.5331873016949022E-2</v>
      </c>
      <c r="Q51" s="12">
        <v>0.16635826058972605</v>
      </c>
      <c r="R51" s="14">
        <v>36</v>
      </c>
    </row>
    <row r="52" spans="2:18" x14ac:dyDescent="0.5">
      <c r="B52" s="1" t="s">
        <v>213</v>
      </c>
      <c r="C52" t="s">
        <v>244</v>
      </c>
      <c r="D52" t="s">
        <v>86</v>
      </c>
      <c r="E52">
        <v>11.3</v>
      </c>
      <c r="F52" s="9" t="s">
        <v>71</v>
      </c>
      <c r="G52" s="7">
        <v>1697661184</v>
      </c>
      <c r="H52" s="6">
        <v>20.81</v>
      </c>
      <c r="I52" s="6">
        <v>11.1</v>
      </c>
      <c r="J52" s="12">
        <f>E52/I52-1</f>
        <v>1.8018018018018056E-2</v>
      </c>
      <c r="K52" s="11">
        <v>5.3805309734513272E-2</v>
      </c>
      <c r="L52" s="13">
        <v>408200000</v>
      </c>
      <c r="M52" s="13">
        <v>4745800000</v>
      </c>
      <c r="N52" s="9" t="s">
        <v>189</v>
      </c>
      <c r="O52" s="6">
        <v>1.1380999999999999</v>
      </c>
      <c r="P52" s="12">
        <v>0.12498229590355618</v>
      </c>
      <c r="Q52" s="12">
        <v>8.6012895612963047E-2</v>
      </c>
      <c r="R52" s="14">
        <v>37</v>
      </c>
    </row>
    <row r="53" spans="2:18" x14ac:dyDescent="0.5">
      <c r="B53" s="1" t="s">
        <v>617</v>
      </c>
      <c r="C53" t="s">
        <v>707</v>
      </c>
      <c r="D53" t="s">
        <v>82</v>
      </c>
      <c r="E53">
        <v>577.26</v>
      </c>
      <c r="F53" s="9" t="s">
        <v>71</v>
      </c>
      <c r="G53" s="7">
        <v>270434140160</v>
      </c>
      <c r="H53" s="6">
        <v>596.21</v>
      </c>
      <c r="I53" s="6">
        <v>267.3</v>
      </c>
      <c r="J53" s="12">
        <f>E53/I53-1</f>
        <v>1.1595959595959595</v>
      </c>
      <c r="K53" s="11">
        <v>1.0116758479714513E-2</v>
      </c>
      <c r="L53" s="13">
        <v>13885000000</v>
      </c>
      <c r="M53" s="13">
        <v>58003000000</v>
      </c>
      <c r="N53" s="9" t="s">
        <v>71</v>
      </c>
      <c r="O53" s="6">
        <v>1</v>
      </c>
      <c r="P53" s="12">
        <v>4.5983804006272583E-2</v>
      </c>
      <c r="Q53" s="12">
        <v>0.2393841697843215</v>
      </c>
      <c r="R53" s="14">
        <v>38</v>
      </c>
    </row>
    <row r="54" spans="2:18" x14ac:dyDescent="0.5">
      <c r="B54" s="1" t="s">
        <v>586</v>
      </c>
      <c r="C54" t="s">
        <v>664</v>
      </c>
      <c r="D54" t="s">
        <v>665</v>
      </c>
      <c r="E54">
        <v>341.56</v>
      </c>
      <c r="F54" s="9" t="s">
        <v>71</v>
      </c>
      <c r="G54" s="7">
        <v>309398241280</v>
      </c>
      <c r="H54" s="6">
        <v>630.73</v>
      </c>
      <c r="I54" s="6">
        <v>234.6</v>
      </c>
      <c r="J54" s="12">
        <f>E54/I54-1</f>
        <v>0.45592497868712711</v>
      </c>
      <c r="K54" s="11">
        <v>2.5237147206932892E-2</v>
      </c>
      <c r="L54" s="13">
        <v>23977000000</v>
      </c>
      <c r="M54" s="13">
        <v>169562000000</v>
      </c>
      <c r="N54" s="9" t="s">
        <v>71</v>
      </c>
      <c r="O54" s="6">
        <v>1</v>
      </c>
      <c r="P54" s="12">
        <v>6.6420078046936393E-2</v>
      </c>
      <c r="Q54" s="12">
        <v>0.14140550359160661</v>
      </c>
      <c r="R54" s="14">
        <v>39</v>
      </c>
    </row>
    <row r="55" spans="2:18" x14ac:dyDescent="0.5">
      <c r="B55" s="1" t="s">
        <v>419</v>
      </c>
      <c r="C55" t="s">
        <v>426</v>
      </c>
      <c r="D55" t="s">
        <v>86</v>
      </c>
      <c r="E55">
        <v>21.59</v>
      </c>
      <c r="F55" s="9" t="s">
        <v>71</v>
      </c>
      <c r="G55" s="7">
        <v>11874466816</v>
      </c>
      <c r="H55" s="6">
        <v>33.799999999999997</v>
      </c>
      <c r="I55" s="6">
        <v>21.03</v>
      </c>
      <c r="J55" s="12">
        <f>E55/I55-1</f>
        <v>2.6628625772705528E-2</v>
      </c>
      <c r="K55" s="11">
        <v>5.3404353867531264E-2</v>
      </c>
      <c r="L55" s="13">
        <v>1116328000</v>
      </c>
      <c r="M55" s="13">
        <v>10852177000</v>
      </c>
      <c r="N55" s="9" t="s">
        <v>71</v>
      </c>
      <c r="O55" s="6">
        <v>1</v>
      </c>
      <c r="P55" s="12">
        <v>7.9787052227996813E-2</v>
      </c>
      <c r="Q55" s="12">
        <v>0.10286673355954294</v>
      </c>
      <c r="R55" s="14">
        <v>40</v>
      </c>
    </row>
    <row r="56" spans="2:18" x14ac:dyDescent="0.5">
      <c r="B56" s="1" t="s">
        <v>628</v>
      </c>
      <c r="C56" t="s">
        <v>718</v>
      </c>
      <c r="D56" t="s">
        <v>172</v>
      </c>
      <c r="E56">
        <v>281.19</v>
      </c>
      <c r="F56" s="9" t="s">
        <v>71</v>
      </c>
      <c r="G56" s="7">
        <v>3396526145536</v>
      </c>
      <c r="H56" s="6">
        <v>291.58999999999997</v>
      </c>
      <c r="I56" s="6">
        <v>140.53</v>
      </c>
      <c r="J56" s="12">
        <f>E56/I56-1</f>
        <v>1.0009250693802034</v>
      </c>
      <c r="K56" s="11">
        <v>3.6274405206444043E-3</v>
      </c>
      <c r="L56" s="13">
        <v>120083000000</v>
      </c>
      <c r="M56" s="13">
        <v>335967000000</v>
      </c>
      <c r="N56" s="9" t="s">
        <v>71</v>
      </c>
      <c r="O56" s="6">
        <v>1</v>
      </c>
      <c r="P56" s="12">
        <v>3.5333898145000667E-2</v>
      </c>
      <c r="Q56" s="12">
        <v>0.357424985191998</v>
      </c>
      <c r="R56" s="14">
        <v>41</v>
      </c>
    </row>
    <row r="57" spans="2:18" x14ac:dyDescent="0.5">
      <c r="B57" s="1" t="s">
        <v>638</v>
      </c>
      <c r="C57" t="s">
        <v>730</v>
      </c>
      <c r="D57" t="s">
        <v>146</v>
      </c>
      <c r="E57">
        <v>68.900000000000006</v>
      </c>
      <c r="F57" s="9" t="s">
        <v>71</v>
      </c>
      <c r="G57" s="7">
        <v>296380858368</v>
      </c>
      <c r="H57" s="6">
        <v>74.38</v>
      </c>
      <c r="I57" s="6">
        <v>60.62</v>
      </c>
      <c r="J57" s="12">
        <f>E57/I57-1</f>
        <v>0.13658858462553636</v>
      </c>
      <c r="K57" s="11">
        <v>2.9245283018867925E-2</v>
      </c>
      <c r="L57" s="13">
        <v>14742000000</v>
      </c>
      <c r="M57" s="13">
        <v>69378000000</v>
      </c>
      <c r="N57" s="9" t="s">
        <v>71</v>
      </c>
      <c r="O57" s="6">
        <v>1</v>
      </c>
      <c r="P57" s="12">
        <v>4.466259585140582E-2</v>
      </c>
      <c r="Q57" s="12">
        <v>0.21248810862232984</v>
      </c>
      <c r="R57" s="14">
        <v>41</v>
      </c>
    </row>
    <row r="58" spans="2:18" x14ac:dyDescent="0.5">
      <c r="B58" s="1" t="s">
        <v>393</v>
      </c>
      <c r="C58" t="s">
        <v>405</v>
      </c>
      <c r="D58" t="s">
        <v>406</v>
      </c>
      <c r="E58">
        <v>1659.53</v>
      </c>
      <c r="F58" s="9" t="s">
        <v>71</v>
      </c>
      <c r="G58" s="7">
        <v>39834787840</v>
      </c>
      <c r="H58" s="6">
        <v>2402.52</v>
      </c>
      <c r="I58" s="6">
        <v>1300</v>
      </c>
      <c r="J58" s="12">
        <f>E58/I58-1</f>
        <v>0.27656153846153853</v>
      </c>
      <c r="K58" s="11">
        <v>0</v>
      </c>
      <c r="L58" s="13">
        <v>747663000</v>
      </c>
      <c r="M58" s="13">
        <v>1246342000</v>
      </c>
      <c r="N58" s="9" t="s">
        <v>71</v>
      </c>
      <c r="O58" s="6">
        <v>1</v>
      </c>
      <c r="P58" s="12">
        <v>1.7832639252762378E-2</v>
      </c>
      <c r="Q58" s="12">
        <v>0.59988590611565684</v>
      </c>
      <c r="R58" s="14">
        <v>42</v>
      </c>
    </row>
    <row r="59" spans="2:18" x14ac:dyDescent="0.5">
      <c r="B59" s="1" t="s">
        <v>420</v>
      </c>
      <c r="C59" t="s">
        <v>427</v>
      </c>
      <c r="D59" t="s">
        <v>428</v>
      </c>
      <c r="E59">
        <v>6.91</v>
      </c>
      <c r="F59" s="9" t="s">
        <v>71</v>
      </c>
      <c r="G59" s="7">
        <v>37169545216</v>
      </c>
      <c r="H59" s="6">
        <v>8.19</v>
      </c>
      <c r="I59" s="6">
        <v>3.91</v>
      </c>
      <c r="J59" s="12">
        <f>E59/I59-1</f>
        <v>0.76726342710997431</v>
      </c>
      <c r="K59" s="11">
        <v>2.0260492040520984E-2</v>
      </c>
      <c r="L59" s="13">
        <v>2418000000</v>
      </c>
      <c r="M59" s="13">
        <v>24544000000</v>
      </c>
      <c r="N59" s="9" t="s">
        <v>189</v>
      </c>
      <c r="O59" s="6">
        <v>1.1380999999999999</v>
      </c>
      <c r="P59" s="12">
        <v>7.8541438364185479E-2</v>
      </c>
      <c r="Q59" s="12">
        <v>9.8516949152542374E-2</v>
      </c>
      <c r="R59" s="14">
        <v>42</v>
      </c>
    </row>
    <row r="60" spans="2:18" x14ac:dyDescent="0.5">
      <c r="B60" s="1" t="s">
        <v>400</v>
      </c>
      <c r="C60" t="s">
        <v>413</v>
      </c>
      <c r="D60" t="s">
        <v>58</v>
      </c>
      <c r="E60">
        <v>92.09</v>
      </c>
      <c r="F60" s="9" t="s">
        <v>71</v>
      </c>
      <c r="G60" s="7">
        <v>51187941376</v>
      </c>
      <c r="H60" s="6">
        <v>132.34</v>
      </c>
      <c r="I60" s="6">
        <v>90.5</v>
      </c>
      <c r="J60" s="12">
        <f>E60/I60-1</f>
        <v>1.7569060773480638E-2</v>
      </c>
      <c r="K60" s="11">
        <v>1.1239005320881745E-2</v>
      </c>
      <c r="L60" s="13">
        <v>4641000000</v>
      </c>
      <c r="M60" s="13">
        <v>34838000000</v>
      </c>
      <c r="N60" s="9" t="s">
        <v>71</v>
      </c>
      <c r="O60" s="6">
        <v>1</v>
      </c>
      <c r="P60" s="12">
        <v>6.3238410487792121E-2</v>
      </c>
      <c r="Q60" s="12">
        <v>0.13321660256042253</v>
      </c>
      <c r="R60" s="14">
        <v>42</v>
      </c>
    </row>
    <row r="61" spans="2:18" x14ac:dyDescent="0.5">
      <c r="B61" s="1" t="s">
        <v>607</v>
      </c>
      <c r="C61" t="s">
        <v>693</v>
      </c>
      <c r="D61" t="s">
        <v>690</v>
      </c>
      <c r="E61">
        <v>41.15</v>
      </c>
      <c r="F61" s="9" t="s">
        <v>71</v>
      </c>
      <c r="G61" s="7">
        <v>47241670656</v>
      </c>
      <c r="H61" s="6">
        <v>50.63</v>
      </c>
      <c r="I61" s="6">
        <v>35.305</v>
      </c>
      <c r="J61" s="12">
        <f>E61/I61-1</f>
        <v>0.16555728650332813</v>
      </c>
      <c r="K61" s="11">
        <v>2.0656136087484813E-2</v>
      </c>
      <c r="L61" s="13">
        <v>1515400000</v>
      </c>
      <c r="M61" s="13">
        <v>3816300000</v>
      </c>
      <c r="N61" s="9" t="s">
        <v>71</v>
      </c>
      <c r="O61" s="6">
        <v>1</v>
      </c>
      <c r="P61" s="12">
        <v>3.1922465505112095E-2</v>
      </c>
      <c r="Q61" s="12">
        <v>0.39708618295207398</v>
      </c>
      <c r="R61" s="14">
        <v>42</v>
      </c>
    </row>
    <row r="62" spans="2:18" x14ac:dyDescent="0.5">
      <c r="B62" s="1" t="s">
        <v>214</v>
      </c>
      <c r="C62" t="s">
        <v>245</v>
      </c>
      <c r="D62" t="s">
        <v>107</v>
      </c>
      <c r="E62">
        <v>18.21</v>
      </c>
      <c r="F62" s="9" t="s">
        <v>71</v>
      </c>
      <c r="G62" s="7">
        <v>403127456</v>
      </c>
      <c r="H62" s="6">
        <v>22.2</v>
      </c>
      <c r="I62" s="6">
        <v>12.85</v>
      </c>
      <c r="J62" s="12">
        <f>E62/I62-1</f>
        <v>0.41712062256809346</v>
      </c>
      <c r="K62" s="11">
        <v>7.6880834706205367E-2</v>
      </c>
      <c r="L62" s="13">
        <v>27140000</v>
      </c>
      <c r="M62" s="13">
        <v>481329000</v>
      </c>
      <c r="N62" s="9" t="s">
        <v>71</v>
      </c>
      <c r="O62" s="6">
        <v>1</v>
      </c>
      <c r="P62" s="12">
        <v>9.3781059360798252E-2</v>
      </c>
      <c r="Q62" s="12">
        <v>5.638554917738179E-2</v>
      </c>
      <c r="R62" s="14">
        <v>43</v>
      </c>
    </row>
    <row r="63" spans="2:18" x14ac:dyDescent="0.5">
      <c r="B63" s="1" t="s">
        <v>423</v>
      </c>
      <c r="C63" t="s">
        <v>433</v>
      </c>
      <c r="D63" t="s">
        <v>434</v>
      </c>
      <c r="E63">
        <v>23.66</v>
      </c>
      <c r="F63" s="9" t="s">
        <v>71</v>
      </c>
      <c r="G63" s="7">
        <v>18055890944</v>
      </c>
      <c r="H63" s="6">
        <v>29.95</v>
      </c>
      <c r="I63" s="6">
        <v>22.33</v>
      </c>
      <c r="J63" s="12">
        <f>E63/I63-1</f>
        <v>5.9561128526645746E-2</v>
      </c>
      <c r="K63" s="11">
        <v>3.6348267117497883E-2</v>
      </c>
      <c r="L63" s="13">
        <v>1463000000</v>
      </c>
      <c r="M63" s="13">
        <v>16657000000</v>
      </c>
      <c r="N63" s="9" t="s">
        <v>71</v>
      </c>
      <c r="O63" s="6">
        <v>1</v>
      </c>
      <c r="P63" s="12">
        <v>7.3814735113004667E-2</v>
      </c>
      <c r="Q63" s="12">
        <v>8.7830941946328872E-2</v>
      </c>
      <c r="R63" s="14">
        <v>43</v>
      </c>
    </row>
    <row r="64" spans="2:18" x14ac:dyDescent="0.5">
      <c r="B64" s="1" t="s">
        <v>585</v>
      </c>
      <c r="C64" t="s">
        <v>663</v>
      </c>
      <c r="D64" t="s">
        <v>368</v>
      </c>
      <c r="E64">
        <v>517.80999999999995</v>
      </c>
      <c r="F64" s="9" t="s">
        <v>71</v>
      </c>
      <c r="G64" s="7">
        <v>3848559656960</v>
      </c>
      <c r="H64" s="6">
        <v>555.45000000000005</v>
      </c>
      <c r="I64" s="6">
        <v>344.79</v>
      </c>
      <c r="J64" s="12">
        <f>E64/I64-1</f>
        <v>0.50181269758403646</v>
      </c>
      <c r="K64" s="11">
        <v>6.566114984260637E-3</v>
      </c>
      <c r="L64" s="13">
        <v>126012000000</v>
      </c>
      <c r="M64" s="13">
        <v>386630000000</v>
      </c>
      <c r="N64" s="9" t="s">
        <v>71</v>
      </c>
      <c r="O64" s="6">
        <v>1</v>
      </c>
      <c r="P64" s="12">
        <v>3.248648230819795E-2</v>
      </c>
      <c r="Q64" s="12">
        <v>0.32592401003543442</v>
      </c>
      <c r="R64" s="14">
        <v>44</v>
      </c>
    </row>
    <row r="65" spans="2:18" x14ac:dyDescent="0.5">
      <c r="B65" s="1" t="s">
        <v>605</v>
      </c>
      <c r="C65" t="s">
        <v>691</v>
      </c>
      <c r="D65" t="s">
        <v>678</v>
      </c>
      <c r="E65">
        <v>43.01</v>
      </c>
      <c r="F65" s="9" t="s">
        <v>71</v>
      </c>
      <c r="G65" s="7">
        <v>41626554368</v>
      </c>
      <c r="H65" s="6">
        <v>64.38</v>
      </c>
      <c r="I65" s="6">
        <v>41.96</v>
      </c>
      <c r="J65" s="12">
        <f>E65/I65-1</f>
        <v>2.5023832221162889E-2</v>
      </c>
      <c r="K65" s="11">
        <v>0</v>
      </c>
      <c r="L65" s="13">
        <v>1696714000</v>
      </c>
      <c r="M65" s="13">
        <v>9187033000</v>
      </c>
      <c r="N65" s="9" t="s">
        <v>71</v>
      </c>
      <c r="O65" s="6">
        <v>1</v>
      </c>
      <c r="P65" s="12">
        <v>4.3561600812075073E-2</v>
      </c>
      <c r="Q65" s="12">
        <v>0.18468574130516349</v>
      </c>
      <c r="R65" s="14">
        <v>44</v>
      </c>
    </row>
    <row r="66" spans="2:18" x14ac:dyDescent="0.5">
      <c r="B66" s="1" t="s">
        <v>606</v>
      </c>
      <c r="C66" t="s">
        <v>692</v>
      </c>
      <c r="D66" t="s">
        <v>545</v>
      </c>
      <c r="E66">
        <v>344.9</v>
      </c>
      <c r="F66" s="9" t="s">
        <v>71</v>
      </c>
      <c r="G66" s="7">
        <v>93164544000</v>
      </c>
      <c r="H66" s="6">
        <v>360.5</v>
      </c>
      <c r="I66" s="6">
        <v>239.2</v>
      </c>
      <c r="J66" s="12">
        <f>E66/I66-1</f>
        <v>0.44188963210702337</v>
      </c>
      <c r="K66" s="11">
        <v>1.7164395476949843E-2</v>
      </c>
      <c r="L66" s="13">
        <v>4933000000</v>
      </c>
      <c r="M66" s="13">
        <v>30825000000</v>
      </c>
      <c r="N66" s="9" t="s">
        <v>71</v>
      </c>
      <c r="O66" s="6">
        <v>1</v>
      </c>
      <c r="P66" s="12">
        <v>4.8294780138037896E-2</v>
      </c>
      <c r="Q66" s="12">
        <v>0.16003244120032442</v>
      </c>
      <c r="R66" s="14">
        <v>45</v>
      </c>
    </row>
    <row r="67" spans="2:18" x14ac:dyDescent="0.5">
      <c r="B67" s="1" t="s">
        <v>594</v>
      </c>
      <c r="C67" t="s">
        <v>677</v>
      </c>
      <c r="D67" t="s">
        <v>678</v>
      </c>
      <c r="E67">
        <v>183.27</v>
      </c>
      <c r="F67" s="9" t="s">
        <v>71</v>
      </c>
      <c r="G67" s="7">
        <v>73650110464</v>
      </c>
      <c r="H67" s="6">
        <v>229.24</v>
      </c>
      <c r="I67" s="6">
        <v>180.78</v>
      </c>
      <c r="J67" s="12">
        <f>E67/I67-1</f>
        <v>1.3773647527381305E-2</v>
      </c>
      <c r="K67" s="11">
        <v>8.8394172532329351E-3</v>
      </c>
      <c r="L67" s="13">
        <v>2365310000</v>
      </c>
      <c r="M67" s="13">
        <v>7109480000</v>
      </c>
      <c r="N67" s="9" t="s">
        <v>71</v>
      </c>
      <c r="O67" s="6">
        <v>1</v>
      </c>
      <c r="P67" s="12">
        <v>3.1105875356863537E-2</v>
      </c>
      <c r="Q67" s="12">
        <v>0.33269803136094339</v>
      </c>
      <c r="R67" s="14">
        <v>46</v>
      </c>
    </row>
    <row r="68" spans="2:18" x14ac:dyDescent="0.5">
      <c r="B68" s="1" t="s">
        <v>424</v>
      </c>
      <c r="C68" t="s">
        <v>435</v>
      </c>
      <c r="D68" t="s">
        <v>239</v>
      </c>
      <c r="E68">
        <v>14.11</v>
      </c>
      <c r="F68" s="9" t="s">
        <v>71</v>
      </c>
      <c r="G68" s="7">
        <v>11431249920</v>
      </c>
      <c r="H68" s="6">
        <v>15.7</v>
      </c>
      <c r="I68" s="6">
        <v>12.25</v>
      </c>
      <c r="J68" s="12">
        <f>E68/I68-1</f>
        <v>0.1518367346938776</v>
      </c>
      <c r="K68" s="11">
        <v>5.1381998582565558</v>
      </c>
      <c r="L68" s="13">
        <v>157715000000</v>
      </c>
      <c r="M68" s="13">
        <v>2039094000000</v>
      </c>
      <c r="N68" s="9" t="s">
        <v>436</v>
      </c>
      <c r="O68" s="6">
        <v>7.0111477248825634E-3</v>
      </c>
      <c r="P68" s="12">
        <v>6.6563512851554527E-2</v>
      </c>
      <c r="Q68" s="12">
        <v>7.7345625066818885E-2</v>
      </c>
      <c r="R68" s="14">
        <v>47</v>
      </c>
    </row>
    <row r="69" spans="2:18" x14ac:dyDescent="0.5">
      <c r="B69" s="1" t="s">
        <v>588</v>
      </c>
      <c r="C69" t="s">
        <v>667</v>
      </c>
      <c r="D69" t="s">
        <v>668</v>
      </c>
      <c r="E69">
        <v>911.45</v>
      </c>
      <c r="F69" s="9" t="s">
        <v>71</v>
      </c>
      <c r="G69" s="7">
        <v>403935657984</v>
      </c>
      <c r="H69" s="6">
        <v>1078.23</v>
      </c>
      <c r="I69" s="6">
        <v>871.71</v>
      </c>
      <c r="J69" s="12">
        <f>E69/I69-1</f>
        <v>4.5588555827052568E-2</v>
      </c>
      <c r="K69" s="11">
        <v>5.3979922102144933E-3</v>
      </c>
      <c r="L69" s="13">
        <v>9909000000</v>
      </c>
      <c r="M69" s="13">
        <v>29519000000</v>
      </c>
      <c r="N69" s="9" t="s">
        <v>71</v>
      </c>
      <c r="O69" s="6">
        <v>1</v>
      </c>
      <c r="P69" s="12">
        <v>2.4630770973342826E-2</v>
      </c>
      <c r="Q69" s="12">
        <v>0.33568210305227142</v>
      </c>
      <c r="R69" s="14">
        <v>48</v>
      </c>
    </row>
    <row r="70" spans="2:18" x14ac:dyDescent="0.5">
      <c r="B70" s="1" t="s">
        <v>649</v>
      </c>
      <c r="C70" t="s">
        <v>744</v>
      </c>
      <c r="D70" t="s">
        <v>175</v>
      </c>
      <c r="E70">
        <v>80.97</v>
      </c>
      <c r="F70" s="9" t="s">
        <v>71</v>
      </c>
      <c r="G70" s="7">
        <v>88359567360</v>
      </c>
      <c r="H70" s="6">
        <v>98.58</v>
      </c>
      <c r="I70" s="6">
        <v>36.86</v>
      </c>
      <c r="J70" s="12">
        <f>E70/I70-1</f>
        <v>1.1966901790558873</v>
      </c>
      <c r="K70" s="11">
        <v>1.2350253180190195E-2</v>
      </c>
      <c r="L70" s="13">
        <v>4952000000</v>
      </c>
      <c r="M70" s="13">
        <v>38404000000</v>
      </c>
      <c r="N70" s="9" t="s">
        <v>71</v>
      </c>
      <c r="O70" s="6">
        <v>1</v>
      </c>
      <c r="P70" s="12">
        <v>5.284243233862887E-2</v>
      </c>
      <c r="Q70" s="12">
        <v>0.12894490157275285</v>
      </c>
      <c r="R70" s="14">
        <v>48</v>
      </c>
    </row>
    <row r="71" spans="2:18" x14ac:dyDescent="0.5">
      <c r="B71" s="1" t="s">
        <v>615</v>
      </c>
      <c r="C71" t="s">
        <v>703</v>
      </c>
      <c r="D71" t="s">
        <v>704</v>
      </c>
      <c r="E71">
        <v>79.739999999999995</v>
      </c>
      <c r="F71" s="9" t="s">
        <v>71</v>
      </c>
      <c r="G71" s="7">
        <v>27224893440</v>
      </c>
      <c r="H71" s="6">
        <v>125.68</v>
      </c>
      <c r="I71" s="6">
        <v>79.3</v>
      </c>
      <c r="J71" s="12">
        <f>E71/I71-1</f>
        <v>5.5485498108449605E-3</v>
      </c>
      <c r="K71" s="11">
        <v>7.5244544770504138E-3</v>
      </c>
      <c r="L71" s="13">
        <v>1504000000</v>
      </c>
      <c r="M71" s="13">
        <v>10244000000</v>
      </c>
      <c r="N71" s="9" t="s">
        <v>71</v>
      </c>
      <c r="O71" s="6">
        <v>1</v>
      </c>
      <c r="P71" s="12">
        <v>4.9134440894022267E-2</v>
      </c>
      <c r="Q71" s="12">
        <v>0.14681764935572042</v>
      </c>
      <c r="R71" s="14">
        <v>49</v>
      </c>
    </row>
    <row r="72" spans="2:18" x14ac:dyDescent="0.5">
      <c r="B72" s="1" t="s">
        <v>650</v>
      </c>
      <c r="C72" t="s">
        <v>745</v>
      </c>
      <c r="D72" t="s">
        <v>95</v>
      </c>
      <c r="E72">
        <v>64.59</v>
      </c>
      <c r="F72" s="9" t="s">
        <v>71</v>
      </c>
      <c r="G72" s="7">
        <v>95477022720</v>
      </c>
      <c r="H72" s="6">
        <v>82.44</v>
      </c>
      <c r="I72" s="6">
        <v>52.28</v>
      </c>
      <c r="J72" s="12">
        <f>E72/I72-1</f>
        <v>0.23546289211935734</v>
      </c>
      <c r="K72" s="11">
        <v>2.4771636476234711E-2</v>
      </c>
      <c r="L72" s="13">
        <v>3702000000</v>
      </c>
      <c r="M72" s="13">
        <v>21179000000</v>
      </c>
      <c r="N72" s="9" t="s">
        <v>71</v>
      </c>
      <c r="O72" s="6">
        <v>1</v>
      </c>
      <c r="P72" s="12">
        <v>3.7382225269621046E-2</v>
      </c>
      <c r="Q72" s="12">
        <v>0.17479578828084424</v>
      </c>
      <c r="R72" s="14">
        <v>50</v>
      </c>
    </row>
    <row r="73" spans="2:18" x14ac:dyDescent="0.5">
      <c r="B73" s="1" t="s">
        <v>398</v>
      </c>
      <c r="C73" t="s">
        <v>411</v>
      </c>
      <c r="D73" t="s">
        <v>406</v>
      </c>
      <c r="E73">
        <v>301.33999999999997</v>
      </c>
      <c r="F73" s="9" t="s">
        <v>71</v>
      </c>
      <c r="G73" s="7">
        <v>64185417728</v>
      </c>
      <c r="H73" s="6">
        <v>329.09</v>
      </c>
      <c r="I73" s="6">
        <v>232.67</v>
      </c>
      <c r="J73" s="12">
        <f>E73/I73-1</f>
        <v>0.29513903812266307</v>
      </c>
      <c r="K73" s="11">
        <v>0</v>
      </c>
      <c r="L73" s="13">
        <v>1369000000</v>
      </c>
      <c r="M73" s="13">
        <v>4908000000</v>
      </c>
      <c r="N73" s="9" t="s">
        <v>71</v>
      </c>
      <c r="O73" s="6">
        <v>1</v>
      </c>
      <c r="P73" s="12">
        <v>2.1014524854471743E-2</v>
      </c>
      <c r="Q73" s="12">
        <v>0.2789323553382233</v>
      </c>
      <c r="R73" s="14">
        <v>51</v>
      </c>
    </row>
    <row r="74" spans="2:18" x14ac:dyDescent="0.5">
      <c r="B74" s="1" t="s">
        <v>608</v>
      </c>
      <c r="C74" t="s">
        <v>694</v>
      </c>
      <c r="D74" t="s">
        <v>695</v>
      </c>
      <c r="E74">
        <v>146.36000000000001</v>
      </c>
      <c r="F74" s="9" t="s">
        <v>71</v>
      </c>
      <c r="G74" s="7">
        <v>41493123072</v>
      </c>
      <c r="H74" s="6">
        <v>153.84</v>
      </c>
      <c r="I74" s="6">
        <v>96.43</v>
      </c>
      <c r="J74" s="12">
        <f>E74/I74-1</f>
        <v>0.51778492170486357</v>
      </c>
      <c r="K74" s="11">
        <v>6.6958185296529102E-3</v>
      </c>
      <c r="L74" s="13">
        <v>1617000000</v>
      </c>
      <c r="M74" s="13">
        <v>9288000000</v>
      </c>
      <c r="N74" s="9" t="s">
        <v>71</v>
      </c>
      <c r="O74" s="6">
        <v>1</v>
      </c>
      <c r="P74" s="12">
        <v>3.7126221031402978E-2</v>
      </c>
      <c r="Q74" s="12">
        <v>0.17409560723514211</v>
      </c>
      <c r="R74" s="14">
        <v>51</v>
      </c>
    </row>
    <row r="75" spans="2:18" x14ac:dyDescent="0.5">
      <c r="B75" s="1" t="s">
        <v>634</v>
      </c>
      <c r="C75" t="s">
        <v>725</v>
      </c>
      <c r="D75" t="s">
        <v>303</v>
      </c>
      <c r="E75">
        <v>155.81</v>
      </c>
      <c r="F75" s="9" t="s">
        <v>71</v>
      </c>
      <c r="G75" s="7">
        <v>18624976896</v>
      </c>
      <c r="H75" s="6">
        <v>168.44</v>
      </c>
      <c r="I75" s="6">
        <v>105.17821499999999</v>
      </c>
      <c r="J75" s="12">
        <f>E75/I75-1</f>
        <v>0.48139041910912828</v>
      </c>
      <c r="K75" s="11">
        <v>7.8300494191643668E-3</v>
      </c>
      <c r="L75" s="13">
        <v>946344000</v>
      </c>
      <c r="M75" s="13">
        <v>6773821000</v>
      </c>
      <c r="N75" s="9" t="s">
        <v>71</v>
      </c>
      <c r="O75" s="6">
        <v>1</v>
      </c>
      <c r="P75" s="12">
        <v>4.6773805557163442E-2</v>
      </c>
      <c r="Q75" s="12">
        <v>0.13970608316930724</v>
      </c>
      <c r="R75" s="14">
        <v>51</v>
      </c>
    </row>
    <row r="76" spans="2:18" x14ac:dyDescent="0.5">
      <c r="B76" s="1" t="s">
        <v>645</v>
      </c>
      <c r="C76" t="s">
        <v>739</v>
      </c>
      <c r="D76" t="s">
        <v>86</v>
      </c>
      <c r="E76">
        <v>64.16</v>
      </c>
      <c r="F76" s="9" t="s">
        <v>71</v>
      </c>
      <c r="G76" s="7">
        <v>17216032768</v>
      </c>
      <c r="H76" s="6">
        <v>86.24</v>
      </c>
      <c r="I76" s="6">
        <v>63.15</v>
      </c>
      <c r="J76" s="12">
        <f>E76/I76-1</f>
        <v>1.599366587490092E-2</v>
      </c>
      <c r="K76" s="11">
        <v>2.7587281795511225E-2</v>
      </c>
      <c r="L76" s="13">
        <v>1107700000</v>
      </c>
      <c r="M76" s="13">
        <v>9632900000</v>
      </c>
      <c r="N76" s="9" t="s">
        <v>71</v>
      </c>
      <c r="O76" s="6">
        <v>1</v>
      </c>
      <c r="P76" s="12">
        <v>5.1428997268813725E-2</v>
      </c>
      <c r="Q76" s="12">
        <v>0.11499133179001131</v>
      </c>
      <c r="R76" s="14">
        <v>51</v>
      </c>
    </row>
    <row r="77" spans="2:18" x14ac:dyDescent="0.5">
      <c r="B77" s="1" t="s">
        <v>639</v>
      </c>
      <c r="C77" t="s">
        <v>731</v>
      </c>
      <c r="D77" t="s">
        <v>728</v>
      </c>
      <c r="E77">
        <v>862.86</v>
      </c>
      <c r="F77" s="9" t="s">
        <v>71</v>
      </c>
      <c r="G77" s="7">
        <v>772275896320</v>
      </c>
      <c r="H77" s="6">
        <v>935.63</v>
      </c>
      <c r="I77" s="6">
        <v>623.78</v>
      </c>
      <c r="J77" s="12">
        <f>E77/I77-1</f>
        <v>0.38327615505466683</v>
      </c>
      <c r="K77" s="11">
        <v>6.721832046913752E-3</v>
      </c>
      <c r="L77" s="13">
        <v>13461000000</v>
      </c>
      <c r="M77" s="13">
        <v>47836300000</v>
      </c>
      <c r="N77" s="9" t="s">
        <v>71</v>
      </c>
      <c r="O77" s="6">
        <v>1</v>
      </c>
      <c r="P77" s="12">
        <v>1.6770661622863361E-2</v>
      </c>
      <c r="Q77" s="12">
        <v>0.28139718163821198</v>
      </c>
      <c r="R77" s="14">
        <v>52</v>
      </c>
    </row>
    <row r="78" spans="2:18" x14ac:dyDescent="0.5">
      <c r="B78" s="1" t="s">
        <v>597</v>
      </c>
      <c r="C78" t="s">
        <v>681</v>
      </c>
      <c r="D78" t="s">
        <v>317</v>
      </c>
      <c r="E78">
        <v>418.3</v>
      </c>
      <c r="F78" s="9" t="s">
        <v>71</v>
      </c>
      <c r="G78" s="7">
        <v>196144857088</v>
      </c>
      <c r="H78" s="6">
        <v>486.38</v>
      </c>
      <c r="I78" s="6">
        <v>408.65</v>
      </c>
      <c r="J78" s="12">
        <f>E78/I78-1</f>
        <v>2.3614339899669767E-2</v>
      </c>
      <c r="K78" s="11">
        <v>1.4080803251255079E-2</v>
      </c>
      <c r="L78" s="13">
        <v>9056000000</v>
      </c>
      <c r="M78" s="13">
        <v>59715000000</v>
      </c>
      <c r="N78" s="9" t="s">
        <v>71</v>
      </c>
      <c r="O78" s="6">
        <v>1</v>
      </c>
      <c r="P78" s="12">
        <v>4.2336777481643835E-2</v>
      </c>
      <c r="Q78" s="12">
        <v>0.15165368835301013</v>
      </c>
      <c r="R78" s="14">
        <v>53</v>
      </c>
    </row>
    <row r="79" spans="2:18" x14ac:dyDescent="0.5">
      <c r="B79" s="1" t="s">
        <v>636</v>
      </c>
      <c r="C79" t="s">
        <v>727</v>
      </c>
      <c r="D79" t="s">
        <v>728</v>
      </c>
      <c r="E79">
        <v>188.87</v>
      </c>
      <c r="F79" s="9" t="s">
        <v>71</v>
      </c>
      <c r="G79" s="7">
        <v>455043547136</v>
      </c>
      <c r="H79" s="6">
        <v>194.48</v>
      </c>
      <c r="I79" s="6">
        <v>140.68</v>
      </c>
      <c r="J79" s="12">
        <f>E79/I79-1</f>
        <v>0.34255046914984355</v>
      </c>
      <c r="K79" s="11">
        <v>2.6896807327791601E-2</v>
      </c>
      <c r="L79" s="13">
        <v>17442000000</v>
      </c>
      <c r="M79" s="13">
        <v>108124000000</v>
      </c>
      <c r="N79" s="9" t="s">
        <v>71</v>
      </c>
      <c r="O79" s="6">
        <v>1</v>
      </c>
      <c r="P79" s="12">
        <v>3.7303302143884748E-2</v>
      </c>
      <c r="Q79" s="12">
        <v>0.16131478672635122</v>
      </c>
      <c r="R79" s="14">
        <v>54</v>
      </c>
    </row>
    <row r="80" spans="2:18" x14ac:dyDescent="0.5">
      <c r="B80" s="1" t="s">
        <v>611</v>
      </c>
      <c r="C80" t="s">
        <v>699</v>
      </c>
      <c r="D80" t="s">
        <v>445</v>
      </c>
      <c r="E80">
        <v>244.22</v>
      </c>
      <c r="F80" s="9" t="s">
        <v>71</v>
      </c>
      <c r="G80" s="7">
        <v>2610764447744</v>
      </c>
      <c r="H80" s="6">
        <v>250.5</v>
      </c>
      <c r="I80" s="6">
        <v>161.38</v>
      </c>
      <c r="J80" s="12">
        <f>E80/I80-1</f>
        <v>0.513322592638493</v>
      </c>
      <c r="K80" s="11">
        <v>0</v>
      </c>
      <c r="L80" s="13">
        <v>71020000000</v>
      </c>
      <c r="M80" s="13">
        <v>338593000000</v>
      </c>
      <c r="N80" s="9" t="s">
        <v>71</v>
      </c>
      <c r="O80" s="6">
        <v>1</v>
      </c>
      <c r="P80" s="12">
        <v>2.6670317365761354E-2</v>
      </c>
      <c r="Q80" s="12">
        <v>0.20975034923935226</v>
      </c>
      <c r="R80" s="14">
        <v>55</v>
      </c>
    </row>
    <row r="81" spans="2:18" x14ac:dyDescent="0.5">
      <c r="B81" s="1" t="s">
        <v>616</v>
      </c>
      <c r="C81" t="s">
        <v>705</v>
      </c>
      <c r="D81" t="s">
        <v>706</v>
      </c>
      <c r="E81">
        <v>59.49</v>
      </c>
      <c r="F81" s="9" t="s">
        <v>71</v>
      </c>
      <c r="G81" s="7">
        <v>50103062528</v>
      </c>
      <c r="H81" s="6">
        <v>81.09</v>
      </c>
      <c r="I81" s="6">
        <v>54.22</v>
      </c>
      <c r="J81" s="12">
        <f>E81/I81-1</f>
        <v>9.7196606418295861E-2</v>
      </c>
      <c r="K81" s="11">
        <v>1.5128593040847202E-2</v>
      </c>
      <c r="L81" s="13">
        <v>2854000000</v>
      </c>
      <c r="M81" s="13">
        <v>26359000000</v>
      </c>
      <c r="N81" s="9" t="s">
        <v>71</v>
      </c>
      <c r="O81" s="6">
        <v>1</v>
      </c>
      <c r="P81" s="12">
        <v>4.8501070072141432E-2</v>
      </c>
      <c r="Q81" s="12">
        <v>0.10827421374103721</v>
      </c>
      <c r="R81" s="14">
        <v>56</v>
      </c>
    </row>
    <row r="82" spans="2:18" x14ac:dyDescent="0.5">
      <c r="B82" s="1" t="s">
        <v>632</v>
      </c>
      <c r="C82" t="s">
        <v>723</v>
      </c>
      <c r="D82" t="s">
        <v>406</v>
      </c>
      <c r="E82">
        <v>667.55</v>
      </c>
      <c r="F82" s="9" t="s">
        <v>71</v>
      </c>
      <c r="G82" s="7">
        <v>186116276224</v>
      </c>
      <c r="H82" s="6">
        <v>813.7</v>
      </c>
      <c r="I82" s="6">
        <v>532.65</v>
      </c>
      <c r="J82" s="12">
        <f>E82/I82-1</f>
        <v>0.25326199192715659</v>
      </c>
      <c r="K82" s="11">
        <v>6.231742940603701E-3</v>
      </c>
      <c r="L82" s="13">
        <v>5081000000</v>
      </c>
      <c r="M82" s="13">
        <v>25683000000</v>
      </c>
      <c r="N82" s="9" t="s">
        <v>71</v>
      </c>
      <c r="O82" s="6">
        <v>1</v>
      </c>
      <c r="P82" s="12">
        <v>2.6760235150079824E-2</v>
      </c>
      <c r="Q82" s="12">
        <v>0.19783514386948564</v>
      </c>
      <c r="R82" s="14">
        <v>56</v>
      </c>
    </row>
    <row r="83" spans="2:18" x14ac:dyDescent="0.5">
      <c r="B83" s="1" t="s">
        <v>622</v>
      </c>
      <c r="C83" t="s">
        <v>712</v>
      </c>
      <c r="D83" t="s">
        <v>668</v>
      </c>
      <c r="E83">
        <v>98.66</v>
      </c>
      <c r="F83" s="9" t="s">
        <v>71</v>
      </c>
      <c r="G83" s="7">
        <v>21715662848</v>
      </c>
      <c r="H83" s="6">
        <v>117.95</v>
      </c>
      <c r="I83" s="6">
        <v>66.430000000000007</v>
      </c>
      <c r="J83" s="12">
        <f>E83/I83-1</f>
        <v>0.48517236188469037</v>
      </c>
      <c r="K83" s="11">
        <v>2.3920535171295356E-2</v>
      </c>
      <c r="L83" s="13">
        <v>1714074000</v>
      </c>
      <c r="M83" s="13">
        <v>13652195000</v>
      </c>
      <c r="N83" s="9" t="s">
        <v>71</v>
      </c>
      <c r="O83" s="6">
        <v>1</v>
      </c>
      <c r="P83" s="12">
        <v>4.4816526000414157E-2</v>
      </c>
      <c r="Q83" s="12">
        <v>0.1255529971554025</v>
      </c>
      <c r="R83" s="14">
        <v>57</v>
      </c>
    </row>
    <row r="84" spans="2:18" x14ac:dyDescent="0.5">
      <c r="B84" s="1" t="s">
        <v>618</v>
      </c>
      <c r="C84" t="s">
        <v>708</v>
      </c>
      <c r="D84" t="s">
        <v>165</v>
      </c>
      <c r="E84">
        <v>87.69</v>
      </c>
      <c r="F84" s="9" t="s">
        <v>71</v>
      </c>
      <c r="G84" s="7">
        <v>21362046976</v>
      </c>
      <c r="H84" s="6">
        <v>116.46</v>
      </c>
      <c r="I84" s="6">
        <v>81.33</v>
      </c>
      <c r="J84" s="12">
        <f>E84/I84-1</f>
        <v>7.8199926226484751E-2</v>
      </c>
      <c r="K84" s="11">
        <v>1.3342456380431064E-2</v>
      </c>
      <c r="L84" s="13">
        <v>851300000</v>
      </c>
      <c r="M84" s="13">
        <v>6565400000</v>
      </c>
      <c r="N84" s="9" t="s">
        <v>71</v>
      </c>
      <c r="O84" s="6">
        <v>1</v>
      </c>
      <c r="P84" s="12">
        <v>3.7663896945062586E-2</v>
      </c>
      <c r="Q84" s="12">
        <v>0.12966460535534774</v>
      </c>
      <c r="R84" s="14">
        <v>58</v>
      </c>
    </row>
    <row r="85" spans="2:18" x14ac:dyDescent="0.5">
      <c r="B85" s="1" t="s">
        <v>590</v>
      </c>
      <c r="C85" t="s">
        <v>671</v>
      </c>
      <c r="D85" t="s">
        <v>672</v>
      </c>
      <c r="E85">
        <v>199.77</v>
      </c>
      <c r="F85" s="9" t="s">
        <v>71</v>
      </c>
      <c r="G85" s="7">
        <v>80480747520</v>
      </c>
      <c r="H85" s="6">
        <v>242.58</v>
      </c>
      <c r="I85" s="6">
        <v>197.02</v>
      </c>
      <c r="J85" s="12">
        <f>E85/I85-1</f>
        <v>1.3957973809765489E-2</v>
      </c>
      <c r="K85" s="11">
        <v>1.6143565099864844E-2</v>
      </c>
      <c r="L85" s="13">
        <v>4056000000</v>
      </c>
      <c r="M85" s="13">
        <v>32152000000</v>
      </c>
      <c r="N85" s="9" t="s">
        <v>71</v>
      </c>
      <c r="O85" s="6">
        <v>1</v>
      </c>
      <c r="P85" s="12">
        <v>3.9012473668273123E-2</v>
      </c>
      <c r="Q85" s="12">
        <v>0.12615078377705896</v>
      </c>
      <c r="R85" s="14">
        <v>59</v>
      </c>
    </row>
    <row r="86" spans="2:18" x14ac:dyDescent="0.5">
      <c r="B86" s="1" t="s">
        <v>610</v>
      </c>
      <c r="C86" t="s">
        <v>697</v>
      </c>
      <c r="D86" t="s">
        <v>698</v>
      </c>
      <c r="E86">
        <v>178.98</v>
      </c>
      <c r="F86" s="9" t="s">
        <v>71</v>
      </c>
      <c r="G86" s="7">
        <v>83788881920</v>
      </c>
      <c r="H86" s="6">
        <v>234.33</v>
      </c>
      <c r="I86" s="6">
        <v>172.51</v>
      </c>
      <c r="J86" s="12">
        <f>E86/I86-1</f>
        <v>3.7505072169729203E-2</v>
      </c>
      <c r="K86" s="11">
        <v>3.7546094535702311E-2</v>
      </c>
      <c r="L86" s="13">
        <v>5029300000</v>
      </c>
      <c r="M86" s="13">
        <v>39884000000</v>
      </c>
      <c r="N86" s="9" t="s">
        <v>71</v>
      </c>
      <c r="O86" s="6">
        <v>1</v>
      </c>
      <c r="P86" s="12">
        <v>3.9996538372092799E-2</v>
      </c>
      <c r="Q86" s="12">
        <v>0.12609818473573361</v>
      </c>
      <c r="R86" s="14">
        <v>59</v>
      </c>
    </row>
    <row r="87" spans="2:18" x14ac:dyDescent="0.5">
      <c r="B87" s="1" t="s">
        <v>593</v>
      </c>
      <c r="C87" t="s">
        <v>676</v>
      </c>
      <c r="D87" t="s">
        <v>100</v>
      </c>
      <c r="E87">
        <v>146.29</v>
      </c>
      <c r="F87" s="9" t="s">
        <v>71</v>
      </c>
      <c r="G87" s="7">
        <v>83411419136</v>
      </c>
      <c r="H87" s="6">
        <v>189.35</v>
      </c>
      <c r="I87" s="6">
        <v>142.29</v>
      </c>
      <c r="J87" s="12">
        <f>E87/I87-1</f>
        <v>2.8111603064164825E-2</v>
      </c>
      <c r="K87" s="11">
        <v>1.2919543372752751E-2</v>
      </c>
      <c r="L87" s="13">
        <v>4538000000</v>
      </c>
      <c r="M87" s="13">
        <v>48015000000</v>
      </c>
      <c r="N87" s="9" t="s">
        <v>71</v>
      </c>
      <c r="O87" s="6">
        <v>1</v>
      </c>
      <c r="P87" s="12">
        <v>4.3942883528184075E-2</v>
      </c>
      <c r="Q87" s="12">
        <v>9.4512131625533694E-2</v>
      </c>
      <c r="R87" s="14">
        <v>60</v>
      </c>
    </row>
    <row r="88" spans="2:18" x14ac:dyDescent="0.5">
      <c r="B88" s="1" t="s">
        <v>626</v>
      </c>
      <c r="C88" t="s">
        <v>716</v>
      </c>
      <c r="D88" t="s">
        <v>670</v>
      </c>
      <c r="E88">
        <v>82.45</v>
      </c>
      <c r="F88" s="9" t="s">
        <v>71</v>
      </c>
      <c r="G88" s="7">
        <v>48406396928</v>
      </c>
      <c r="H88" s="6">
        <v>87.09</v>
      </c>
      <c r="I88" s="6">
        <v>64.89</v>
      </c>
      <c r="J88" s="12">
        <f>E88/I88-1</f>
        <v>0.2706118045923871</v>
      </c>
      <c r="K88" s="11">
        <v>0</v>
      </c>
      <c r="L88" s="13">
        <v>1567900000</v>
      </c>
      <c r="M88" s="13">
        <v>10596100000</v>
      </c>
      <c r="N88" s="9" t="s">
        <v>71</v>
      </c>
      <c r="O88" s="6">
        <v>1</v>
      </c>
      <c r="P88" s="12">
        <v>3.4039497550418497E-2</v>
      </c>
      <c r="Q88" s="12">
        <v>0.14796953596134427</v>
      </c>
      <c r="R88" s="14">
        <v>60</v>
      </c>
    </row>
    <row r="89" spans="2:18" x14ac:dyDescent="0.5">
      <c r="B89" s="1" t="s">
        <v>624</v>
      </c>
      <c r="C89" t="s">
        <v>714</v>
      </c>
      <c r="D89" t="s">
        <v>675</v>
      </c>
      <c r="E89">
        <v>124.3</v>
      </c>
      <c r="F89" s="9" t="s">
        <v>71</v>
      </c>
      <c r="G89" s="7">
        <v>96658718720</v>
      </c>
      <c r="H89" s="6">
        <v>130.03</v>
      </c>
      <c r="I89" s="6">
        <v>105.2</v>
      </c>
      <c r="J89" s="12">
        <f>E89/I89-1</f>
        <v>0.18155893536121659</v>
      </c>
      <c r="K89" s="11">
        <v>3.3628318584070796E-2</v>
      </c>
      <c r="L89" s="13">
        <v>8578000000</v>
      </c>
      <c r="M89" s="13">
        <v>133426000000</v>
      </c>
      <c r="N89" s="9" t="s">
        <v>71</v>
      </c>
      <c r="O89" s="6">
        <v>1</v>
      </c>
      <c r="P89" s="12">
        <v>4.7242259607890857E-2</v>
      </c>
      <c r="Q89" s="12">
        <v>6.4290318228830967E-2</v>
      </c>
      <c r="R89" s="14">
        <v>61</v>
      </c>
    </row>
    <row r="90" spans="2:18" x14ac:dyDescent="0.5">
      <c r="B90" s="1" t="s">
        <v>600</v>
      </c>
      <c r="C90" t="s">
        <v>684</v>
      </c>
      <c r="D90" t="s">
        <v>670</v>
      </c>
      <c r="E90">
        <v>356.24</v>
      </c>
      <c r="F90" s="9" t="s">
        <v>71</v>
      </c>
      <c r="G90" s="7">
        <v>136193146880</v>
      </c>
      <c r="H90" s="6">
        <v>406.19</v>
      </c>
      <c r="I90" s="6">
        <v>329.16</v>
      </c>
      <c r="J90" s="12">
        <f>E90/I90-1</f>
        <v>8.2270020658646192E-2</v>
      </c>
      <c r="K90" s="11">
        <v>9.4318437008758128E-3</v>
      </c>
      <c r="L90" s="13">
        <v>4666000000</v>
      </c>
      <c r="M90" s="13">
        <v>34231000000</v>
      </c>
      <c r="N90" s="9" t="s">
        <v>71</v>
      </c>
      <c r="O90" s="6">
        <v>1</v>
      </c>
      <c r="P90" s="12">
        <v>3.1928692813050677E-2</v>
      </c>
      <c r="Q90" s="12">
        <v>0.13630919342116796</v>
      </c>
      <c r="R90" s="14">
        <v>62</v>
      </c>
    </row>
    <row r="91" spans="2:18" x14ac:dyDescent="0.5">
      <c r="B91" s="1" t="s">
        <v>422</v>
      </c>
      <c r="C91" t="s">
        <v>431</v>
      </c>
      <c r="D91" t="s">
        <v>432</v>
      </c>
      <c r="E91">
        <v>69.91</v>
      </c>
      <c r="F91" s="9" t="s">
        <v>71</v>
      </c>
      <c r="G91" s="7">
        <v>13898732544</v>
      </c>
      <c r="H91" s="6">
        <v>107.84</v>
      </c>
      <c r="I91" s="6">
        <v>61.78</v>
      </c>
      <c r="J91" s="12">
        <f>E91/I91-1</f>
        <v>0.13159598575590792</v>
      </c>
      <c r="K91" s="11">
        <v>0</v>
      </c>
      <c r="L91" s="13">
        <v>696600000</v>
      </c>
      <c r="M91" s="13">
        <v>10663600000</v>
      </c>
      <c r="N91" s="9" t="s">
        <v>71</v>
      </c>
      <c r="O91" s="6">
        <v>1</v>
      </c>
      <c r="P91" s="12">
        <v>4.2540893052078588E-2</v>
      </c>
      <c r="Q91" s="12">
        <v>6.5325030946397092E-2</v>
      </c>
      <c r="R91" s="14">
        <v>63</v>
      </c>
    </row>
    <row r="92" spans="2:18" x14ac:dyDescent="0.5">
      <c r="B92" s="1" t="s">
        <v>589</v>
      </c>
      <c r="C92" t="s">
        <v>669</v>
      </c>
      <c r="D92" t="s">
        <v>670</v>
      </c>
      <c r="E92">
        <v>123.62</v>
      </c>
      <c r="F92" s="9" t="s">
        <v>71</v>
      </c>
      <c r="G92" s="7">
        <v>214959357952</v>
      </c>
      <c r="H92" s="6">
        <v>141.22999999999999</v>
      </c>
      <c r="I92" s="6">
        <v>110.86</v>
      </c>
      <c r="J92" s="12">
        <f>E92/I92-1</f>
        <v>0.115100126285405</v>
      </c>
      <c r="K92" s="11">
        <v>1.9090762012619316E-2</v>
      </c>
      <c r="L92" s="13">
        <v>7572000000</v>
      </c>
      <c r="M92" s="13">
        <v>61789000000</v>
      </c>
      <c r="N92" s="9" t="s">
        <v>71</v>
      </c>
      <c r="O92" s="6">
        <v>1</v>
      </c>
      <c r="P92" s="12">
        <v>3.405221983297569E-2</v>
      </c>
      <c r="Q92" s="12">
        <v>0.12254608425447895</v>
      </c>
      <c r="R92" s="14">
        <v>63</v>
      </c>
    </row>
    <row r="93" spans="2:18" x14ac:dyDescent="0.5">
      <c r="B93" s="1" t="s">
        <v>609</v>
      </c>
      <c r="C93" t="s">
        <v>696</v>
      </c>
      <c r="D93" t="s">
        <v>675</v>
      </c>
      <c r="E93">
        <v>120.26</v>
      </c>
      <c r="F93" s="9" t="s">
        <v>71</v>
      </c>
      <c r="G93" s="7">
        <v>64371040256</v>
      </c>
      <c r="H93" s="6">
        <v>122.85</v>
      </c>
      <c r="I93" s="6">
        <v>89.91</v>
      </c>
      <c r="J93" s="12">
        <f>E93/I93-1</f>
        <v>0.33755978200422665</v>
      </c>
      <c r="K93" s="11">
        <v>3.0932978546482623E-2</v>
      </c>
      <c r="L93" s="13">
        <v>4705700000</v>
      </c>
      <c r="M93" s="13">
        <v>72110400000</v>
      </c>
      <c r="N93" s="9" t="s">
        <v>71</v>
      </c>
      <c r="O93" s="6">
        <v>1</v>
      </c>
      <c r="P93" s="12">
        <v>4.280596517269545E-2</v>
      </c>
      <c r="Q93" s="12">
        <v>6.5256883889147757E-2</v>
      </c>
      <c r="R93" s="14">
        <v>63</v>
      </c>
    </row>
    <row r="94" spans="2:18" x14ac:dyDescent="0.5">
      <c r="B94" s="1" t="s">
        <v>595</v>
      </c>
      <c r="C94" t="s">
        <v>679</v>
      </c>
      <c r="D94" t="s">
        <v>406</v>
      </c>
      <c r="E94">
        <v>446.15</v>
      </c>
      <c r="F94" s="9" t="s">
        <v>71</v>
      </c>
      <c r="G94" s="7">
        <v>48011907072</v>
      </c>
      <c r="H94" s="6">
        <v>595.16999999999996</v>
      </c>
      <c r="I94" s="6">
        <v>435.42</v>
      </c>
      <c r="J94" s="12">
        <f>E94/I94-1</f>
        <v>2.4642873547379374E-2</v>
      </c>
      <c r="K94" s="11">
        <v>7.3966154880645519E-3</v>
      </c>
      <c r="L94" s="13">
        <v>2226400000</v>
      </c>
      <c r="M94" s="13">
        <v>26490600000</v>
      </c>
      <c r="N94" s="9" t="s">
        <v>71</v>
      </c>
      <c r="O94" s="6">
        <v>1</v>
      </c>
      <c r="P94" s="12">
        <v>4.0120442728136918E-2</v>
      </c>
      <c r="Q94" s="12">
        <v>8.4044906495134117E-2</v>
      </c>
      <c r="R94" s="14">
        <v>64</v>
      </c>
    </row>
    <row r="95" spans="2:18" x14ac:dyDescent="0.5">
      <c r="B95" s="1" t="s">
        <v>656</v>
      </c>
      <c r="C95" t="s">
        <v>754</v>
      </c>
      <c r="D95" t="s">
        <v>368</v>
      </c>
      <c r="E95">
        <v>262.61</v>
      </c>
      <c r="F95" s="9" t="s">
        <v>71</v>
      </c>
      <c r="G95" s="7">
        <v>748646629376</v>
      </c>
      <c r="H95" s="6">
        <v>345.72</v>
      </c>
      <c r="I95" s="6">
        <v>118.86</v>
      </c>
      <c r="J95" s="12">
        <f>E95/I95-1</f>
        <v>1.2094060238936564</v>
      </c>
      <c r="K95" s="11">
        <v>7.2350634020029699E-3</v>
      </c>
      <c r="L95" s="13">
        <v>17738000000</v>
      </c>
      <c r="M95" s="13">
        <v>113019000000</v>
      </c>
      <c r="N95" s="9" t="s">
        <v>71</v>
      </c>
      <c r="O95" s="6">
        <v>1</v>
      </c>
      <c r="P95" s="12">
        <v>2.1067393309795037E-2</v>
      </c>
      <c r="Q95" s="12">
        <v>0.15694706199842504</v>
      </c>
      <c r="R95" s="14">
        <v>64</v>
      </c>
    </row>
    <row r="96" spans="2:18" x14ac:dyDescent="0.5">
      <c r="B96" s="1" t="s">
        <v>652</v>
      </c>
      <c r="C96" t="s">
        <v>747</v>
      </c>
      <c r="D96" t="s">
        <v>406</v>
      </c>
      <c r="E96">
        <v>919.28</v>
      </c>
      <c r="F96" s="9" t="s">
        <v>71</v>
      </c>
      <c r="G96" s="7">
        <v>191349063680</v>
      </c>
      <c r="H96" s="6">
        <v>1198.0899999999999</v>
      </c>
      <c r="I96" s="6">
        <v>678.66</v>
      </c>
      <c r="J96" s="12">
        <f>E96/I96-1</f>
        <v>0.35455161642059352</v>
      </c>
      <c r="K96" s="11">
        <v>0</v>
      </c>
      <c r="L96" s="13">
        <v>1761000000</v>
      </c>
      <c r="M96" s="13">
        <v>11098000000</v>
      </c>
      <c r="N96" s="9" t="s">
        <v>71</v>
      </c>
      <c r="O96" s="6">
        <v>1</v>
      </c>
      <c r="P96" s="12">
        <v>9.2043267869961806E-3</v>
      </c>
      <c r="Q96" s="12">
        <v>0.15867723914218779</v>
      </c>
      <c r="R96" s="14">
        <v>65</v>
      </c>
    </row>
    <row r="97" spans="2:18" x14ac:dyDescent="0.5">
      <c r="B97" s="1" t="s">
        <v>395</v>
      </c>
      <c r="C97" t="s">
        <v>408</v>
      </c>
      <c r="D97" t="s">
        <v>406</v>
      </c>
      <c r="E97">
        <v>260.41000000000003</v>
      </c>
      <c r="F97" s="9" t="s">
        <v>71</v>
      </c>
      <c r="G97" s="7">
        <v>247910318080</v>
      </c>
      <c r="H97" s="6">
        <v>369</v>
      </c>
      <c r="I97" s="6">
        <v>226.48</v>
      </c>
      <c r="J97" s="12">
        <f>E97/I97-1</f>
        <v>0.14981455316142722</v>
      </c>
      <c r="K97" s="11">
        <v>6.2670404362351667E-3</v>
      </c>
      <c r="L97" s="13">
        <v>7666000000</v>
      </c>
      <c r="M97" s="13">
        <v>69606000000</v>
      </c>
      <c r="N97" s="9" t="s">
        <v>71</v>
      </c>
      <c r="O97" s="6">
        <v>1</v>
      </c>
      <c r="P97" s="12">
        <v>3.0608376245089653E-2</v>
      </c>
      <c r="Q97" s="12">
        <v>0.1101341838347269</v>
      </c>
      <c r="R97" s="14">
        <v>66</v>
      </c>
    </row>
    <row r="98" spans="2:18" x14ac:dyDescent="0.5">
      <c r="B98" s="1" t="s">
        <v>613</v>
      </c>
      <c r="C98" t="s">
        <v>701</v>
      </c>
      <c r="D98" t="s">
        <v>432</v>
      </c>
      <c r="E98">
        <v>178.71</v>
      </c>
      <c r="F98" s="9" t="s">
        <v>71</v>
      </c>
      <c r="G98" s="7">
        <v>51223195648</v>
      </c>
      <c r="H98" s="6">
        <v>251.99</v>
      </c>
      <c r="I98" s="6">
        <v>163.33000000000001</v>
      </c>
      <c r="J98" s="12">
        <f>E98/I98-1</f>
        <v>9.4165187044633614E-2</v>
      </c>
      <c r="K98" s="11">
        <v>2.2774327122153208E-2</v>
      </c>
      <c r="L98" s="13">
        <v>2533000000</v>
      </c>
      <c r="M98" s="13">
        <v>45999000000</v>
      </c>
      <c r="N98" s="9" t="s">
        <v>71</v>
      </c>
      <c r="O98" s="6">
        <v>1</v>
      </c>
      <c r="P98" s="12">
        <v>3.6385211464406854E-2</v>
      </c>
      <c r="Q98" s="12">
        <v>5.506641448727146E-2</v>
      </c>
      <c r="R98" s="14">
        <v>67</v>
      </c>
    </row>
    <row r="99" spans="2:18" x14ac:dyDescent="0.5">
      <c r="B99" s="1" t="s">
        <v>659</v>
      </c>
      <c r="C99" t="s">
        <v>757</v>
      </c>
      <c r="D99" t="s">
        <v>758</v>
      </c>
      <c r="E99">
        <v>124.09</v>
      </c>
      <c r="F99" s="9" t="s">
        <v>71</v>
      </c>
      <c r="G99" s="7">
        <v>115263102976</v>
      </c>
      <c r="H99" s="6">
        <v>127.5</v>
      </c>
      <c r="I99" s="6">
        <v>85.35</v>
      </c>
      <c r="J99" s="12">
        <f>E99/I99-1</f>
        <v>0.45389572349150575</v>
      </c>
      <c r="K99" s="11">
        <v>3.2154081714884361E-2</v>
      </c>
      <c r="L99" s="13">
        <v>4952174000</v>
      </c>
      <c r="M99" s="13">
        <v>84766453000</v>
      </c>
      <c r="N99" s="9" t="s">
        <v>71</v>
      </c>
      <c r="O99" s="6">
        <v>1</v>
      </c>
      <c r="P99" s="12">
        <v>3.4049816602368464E-2</v>
      </c>
      <c r="Q99" s="12">
        <v>5.8421389886397626E-2</v>
      </c>
      <c r="R99" s="14">
        <v>68</v>
      </c>
    </row>
    <row r="100" spans="2:18" x14ac:dyDescent="0.5">
      <c r="B100" s="1" t="s">
        <v>592</v>
      </c>
      <c r="C100" t="s">
        <v>674</v>
      </c>
      <c r="D100" t="s">
        <v>675</v>
      </c>
      <c r="E100">
        <v>81.400000000000006</v>
      </c>
      <c r="F100" s="9" t="s">
        <v>71</v>
      </c>
      <c r="G100" s="7">
        <v>169524428800</v>
      </c>
      <c r="H100" s="6">
        <v>87.53</v>
      </c>
      <c r="I100" s="6">
        <v>61.72</v>
      </c>
      <c r="J100" s="12">
        <f>E100/I100-1</f>
        <v>0.31885936487362287</v>
      </c>
      <c r="K100" s="11">
        <v>2.7211302211302208E-2</v>
      </c>
      <c r="L100" s="13">
        <v>8272000000</v>
      </c>
      <c r="M100" s="13">
        <v>132434000000</v>
      </c>
      <c r="N100" s="9" t="s">
        <v>71</v>
      </c>
      <c r="O100" s="6">
        <v>1</v>
      </c>
      <c r="P100" s="12">
        <v>3.3039045544023926E-2</v>
      </c>
      <c r="Q100" s="12">
        <v>6.2461301478472293E-2</v>
      </c>
      <c r="R100" s="14">
        <v>69</v>
      </c>
    </row>
    <row r="101" spans="2:18" x14ac:dyDescent="0.5">
      <c r="B101" s="1" t="s">
        <v>359</v>
      </c>
      <c r="C101" t="s">
        <v>361</v>
      </c>
      <c r="D101" t="s">
        <v>86</v>
      </c>
      <c r="E101">
        <v>24.73</v>
      </c>
      <c r="F101" s="9" t="s">
        <v>71</v>
      </c>
      <c r="G101" s="7">
        <v>29271801856</v>
      </c>
      <c r="H101" s="6">
        <v>34.08</v>
      </c>
      <c r="I101" s="6">
        <v>24.1</v>
      </c>
      <c r="J101" s="12">
        <f>E101/I101-1</f>
        <v>2.6141078838174181E-2</v>
      </c>
      <c r="K101" s="11">
        <v>6.4698746461787304E-2</v>
      </c>
      <c r="L101" s="13">
        <v>1768000000</v>
      </c>
      <c r="M101" s="13">
        <v>69054000000</v>
      </c>
      <c r="N101" s="9" t="s">
        <v>71</v>
      </c>
      <c r="O101" s="6">
        <v>1</v>
      </c>
      <c r="P101" s="12">
        <v>3.6982185198780597E-2</v>
      </c>
      <c r="Q101" s="12">
        <v>2.5603151157065487E-2</v>
      </c>
      <c r="R101" s="14">
        <v>70</v>
      </c>
    </row>
    <row r="102" spans="2:18" x14ac:dyDescent="0.5">
      <c r="B102" s="1" t="s">
        <v>591</v>
      </c>
      <c r="C102" t="s">
        <v>673</v>
      </c>
      <c r="D102" t="s">
        <v>194</v>
      </c>
      <c r="E102">
        <v>369.63</v>
      </c>
      <c r="F102" s="9" t="s">
        <v>71</v>
      </c>
      <c r="G102" s="7">
        <v>1745527767040</v>
      </c>
      <c r="H102" s="6">
        <v>386.48</v>
      </c>
      <c r="I102" s="6">
        <v>138.1</v>
      </c>
      <c r="J102" s="12">
        <f>E102/I102-1</f>
        <v>1.6765387400434468</v>
      </c>
      <c r="K102" s="11">
        <v>6.3847631415198981E-3</v>
      </c>
      <c r="L102" s="13">
        <v>13869000000</v>
      </c>
      <c r="M102" s="13">
        <v>135205000000</v>
      </c>
      <c r="N102" s="9" t="s">
        <v>71</v>
      </c>
      <c r="O102" s="6">
        <v>1</v>
      </c>
      <c r="P102" s="12">
        <v>7.6889993331817697E-3</v>
      </c>
      <c r="Q102" s="12">
        <v>0.10257756739765542</v>
      </c>
      <c r="R102" s="14">
        <v>71</v>
      </c>
    </row>
    <row r="103" spans="2:18" x14ac:dyDescent="0.5">
      <c r="B103" s="1" t="s">
        <v>648</v>
      </c>
      <c r="C103" t="s">
        <v>742</v>
      </c>
      <c r="D103" t="s">
        <v>743</v>
      </c>
      <c r="E103">
        <v>5.17</v>
      </c>
      <c r="F103" s="9" t="s">
        <v>71</v>
      </c>
      <c r="G103" s="7">
        <v>3107873280</v>
      </c>
      <c r="H103" s="6">
        <v>6.34</v>
      </c>
      <c r="I103" s="6">
        <v>3.51</v>
      </c>
      <c r="J103" s="12">
        <f>E103/I103-1</f>
        <v>0.4729344729344731</v>
      </c>
      <c r="K103" s="11">
        <v>6.1895551257253385E-2</v>
      </c>
      <c r="L103" s="13">
        <v>386846000</v>
      </c>
      <c r="M103" s="13">
        <v>13680841000</v>
      </c>
      <c r="N103" s="9" t="s">
        <v>71</v>
      </c>
      <c r="O103" s="6">
        <v>1</v>
      </c>
      <c r="P103" s="12">
        <v>3.2915513487217718E-2</v>
      </c>
      <c r="Q103" s="12">
        <v>2.8276478032308101E-2</v>
      </c>
      <c r="R103" s="14">
        <v>71</v>
      </c>
    </row>
    <row r="104" spans="2:18" x14ac:dyDescent="0.5">
      <c r="B104" s="1" t="s">
        <v>635</v>
      </c>
      <c r="C104" t="s">
        <v>726</v>
      </c>
      <c r="D104" t="s">
        <v>706</v>
      </c>
      <c r="E104">
        <v>114.39</v>
      </c>
      <c r="F104" s="9" t="s">
        <v>71</v>
      </c>
      <c r="G104" s="7">
        <v>74855145472</v>
      </c>
      <c r="H104" s="6">
        <v>116.48</v>
      </c>
      <c r="I104" s="6">
        <v>68.03</v>
      </c>
      <c r="J104" s="12">
        <f>E104/I104-1</f>
        <v>0.68146405997354109</v>
      </c>
      <c r="K104" s="11">
        <v>1.2938193898068013E-2</v>
      </c>
      <c r="L104" s="13">
        <v>1903000000</v>
      </c>
      <c r="M104" s="13">
        <v>25591000000</v>
      </c>
      <c r="N104" s="9" t="s">
        <v>71</v>
      </c>
      <c r="O104" s="6">
        <v>1</v>
      </c>
      <c r="P104" s="12">
        <v>2.2724519288036232E-2</v>
      </c>
      <c r="Q104" s="12">
        <v>7.4362080418897275E-2</v>
      </c>
      <c r="R104" s="14">
        <v>72</v>
      </c>
    </row>
    <row r="105" spans="2:18" x14ac:dyDescent="0.5">
      <c r="B105" s="1" t="s">
        <v>661</v>
      </c>
      <c r="C105" t="s">
        <v>760</v>
      </c>
      <c r="D105" t="s">
        <v>758</v>
      </c>
      <c r="E105">
        <v>41.32</v>
      </c>
      <c r="F105" s="9" t="s">
        <v>71</v>
      </c>
      <c r="G105" s="7">
        <v>9853559808</v>
      </c>
      <c r="H105" s="6">
        <v>44.38</v>
      </c>
      <c r="I105" s="6">
        <v>29.68</v>
      </c>
      <c r="J105" s="12">
        <f>E105/I105-1</f>
        <v>0.39218328840970362</v>
      </c>
      <c r="K105" s="11">
        <v>4.1335914811229425E-2</v>
      </c>
      <c r="L105" s="13">
        <v>384522000</v>
      </c>
      <c r="M105" s="13">
        <v>11514356000</v>
      </c>
      <c r="N105" s="9" t="s">
        <v>71</v>
      </c>
      <c r="O105" s="6">
        <v>1</v>
      </c>
      <c r="P105" s="12">
        <v>2.9255564620023038E-2</v>
      </c>
      <c r="Q105" s="12">
        <v>3.3395007067698795E-2</v>
      </c>
      <c r="R105" s="14">
        <v>73</v>
      </c>
    </row>
    <row r="106" spans="2:18" x14ac:dyDescent="0.5">
      <c r="B106" s="1" t="s">
        <v>596</v>
      </c>
      <c r="C106" t="s">
        <v>680</v>
      </c>
      <c r="D106" t="s">
        <v>390</v>
      </c>
      <c r="E106">
        <v>57.98</v>
      </c>
      <c r="F106" s="9" t="s">
        <v>71</v>
      </c>
      <c r="G106" s="7">
        <v>53011468288</v>
      </c>
      <c r="H106" s="6">
        <v>61.09</v>
      </c>
      <c r="I106" s="6">
        <v>50.71</v>
      </c>
      <c r="J106" s="12">
        <f>E106/I106-1</f>
        <v>0.14336422796292636</v>
      </c>
      <c r="K106" s="11">
        <v>5.4967230079337702E-2</v>
      </c>
      <c r="L106" s="13">
        <v>1932046000</v>
      </c>
      <c r="M106" s="13">
        <v>65067732000</v>
      </c>
      <c r="N106" s="9" t="s">
        <v>71</v>
      </c>
      <c r="O106" s="6">
        <v>1</v>
      </c>
      <c r="P106" s="12">
        <v>2.4356495073175652E-2</v>
      </c>
      <c r="Q106" s="12">
        <v>2.969284375856223E-2</v>
      </c>
      <c r="R106" s="14">
        <v>74</v>
      </c>
    </row>
    <row r="107" spans="2:18" x14ac:dyDescent="0.5">
      <c r="B107" s="1" t="s">
        <v>625</v>
      </c>
      <c r="C107" t="s">
        <v>715</v>
      </c>
      <c r="D107" t="s">
        <v>165</v>
      </c>
      <c r="E107">
        <v>96.69</v>
      </c>
      <c r="F107" s="9" t="s">
        <v>71</v>
      </c>
      <c r="G107" s="7">
        <v>34843234304</v>
      </c>
      <c r="H107" s="6">
        <v>104.53</v>
      </c>
      <c r="I107" s="6">
        <v>48.37</v>
      </c>
      <c r="J107" s="12">
        <f>E107/I107-1</f>
        <v>0.998966301426504</v>
      </c>
      <c r="K107" s="11">
        <v>1.4479263626021305E-2</v>
      </c>
      <c r="L107" s="13">
        <v>-683000000</v>
      </c>
      <c r="M107" s="13">
        <v>11182000000</v>
      </c>
      <c r="N107" s="9" t="s">
        <v>71</v>
      </c>
      <c r="O107" s="6">
        <v>1</v>
      </c>
      <c r="P107" s="12">
        <v>-1.6501875704764909E-2</v>
      </c>
      <c r="Q107" s="12">
        <v>-6.1080307637274192E-2</v>
      </c>
      <c r="R107" s="14">
        <v>75</v>
      </c>
    </row>
    <row r="108" spans="2:18" x14ac:dyDescent="0.5">
      <c r="B108" s="1" t="s">
        <v>360</v>
      </c>
      <c r="C108" t="s">
        <v>362</v>
      </c>
      <c r="D108" t="s">
        <v>363</v>
      </c>
      <c r="E108">
        <v>21.69</v>
      </c>
      <c r="F108" s="9" t="s">
        <v>71</v>
      </c>
      <c r="G108" s="7">
        <v>7303900672</v>
      </c>
      <c r="H108" s="6">
        <v>29.18</v>
      </c>
      <c r="I108" s="6">
        <v>18.690000000000001</v>
      </c>
      <c r="J108" s="12">
        <f>E108/I108-1</f>
        <v>0.16051364365971099</v>
      </c>
      <c r="K108" s="11">
        <v>4.9792531120331954E-2</v>
      </c>
      <c r="L108" s="13">
        <v>-1369000000</v>
      </c>
      <c r="M108" s="13">
        <v>21449000000</v>
      </c>
      <c r="N108" s="9" t="s">
        <v>71</v>
      </c>
      <c r="O108" s="6">
        <v>1</v>
      </c>
      <c r="P108" s="12">
        <v>-7.8153094867306441E-2</v>
      </c>
      <c r="Q108" s="12">
        <v>-6.3825819385519136E-2</v>
      </c>
      <c r="R108" s="14">
        <v>76</v>
      </c>
    </row>
    <row r="109" spans="2:18" x14ac:dyDescent="0.5">
      <c r="B109" s="1" t="s">
        <v>397</v>
      </c>
      <c r="C109" t="s">
        <v>410</v>
      </c>
      <c r="D109" t="s">
        <v>194</v>
      </c>
      <c r="E109">
        <v>39.99</v>
      </c>
      <c r="F109" s="9" t="s">
        <v>71</v>
      </c>
      <c r="G109" s="7">
        <v>190592352256</v>
      </c>
      <c r="H109" s="6">
        <v>42.48</v>
      </c>
      <c r="I109" s="6">
        <v>17.670000000000002</v>
      </c>
      <c r="J109" s="12">
        <f>E109/I109-1</f>
        <v>1.263157894736842</v>
      </c>
      <c r="K109" s="11">
        <v>0</v>
      </c>
      <c r="L109" s="13">
        <v>-10176000000</v>
      </c>
      <c r="M109" s="13">
        <v>149281000000</v>
      </c>
      <c r="N109" s="9" t="s">
        <v>71</v>
      </c>
      <c r="O109" s="6">
        <v>1</v>
      </c>
      <c r="P109" s="12">
        <v>-4.3795177069842164E-2</v>
      </c>
      <c r="Q109" s="12">
        <v>-6.8166745935517581E-2</v>
      </c>
      <c r="R109" s="14">
        <v>76</v>
      </c>
    </row>
    <row r="110" spans="2:18" x14ac:dyDescent="0.5">
      <c r="B110" s="1" t="s">
        <v>584</v>
      </c>
      <c r="C110" t="s">
        <v>662</v>
      </c>
      <c r="D110" t="s">
        <v>363</v>
      </c>
      <c r="E110">
        <v>22.45</v>
      </c>
      <c r="F110" s="9" t="s">
        <v>71</v>
      </c>
      <c r="G110" s="7">
        <v>55581085696</v>
      </c>
      <c r="H110" s="6">
        <v>22.560199999999998</v>
      </c>
      <c r="I110" s="6">
        <v>7.52</v>
      </c>
      <c r="J110" s="12">
        <f>E110/I110-1</f>
        <v>1.9853723404255321</v>
      </c>
      <c r="K110" s="11">
        <v>0</v>
      </c>
      <c r="L110" s="13">
        <v>-9371000000</v>
      </c>
      <c r="M110" s="13">
        <v>73542000000</v>
      </c>
      <c r="N110" s="9" t="s">
        <v>71</v>
      </c>
      <c r="O110" s="6">
        <v>1</v>
      </c>
      <c r="P110" s="12">
        <v>-0.10438424326294796</v>
      </c>
      <c r="Q110" s="12">
        <v>-0.12742378504799978</v>
      </c>
      <c r="R110" s="14">
        <v>77</v>
      </c>
    </row>
    <row r="111" spans="2:18" x14ac:dyDescent="0.5">
      <c r="B111" s="1" t="s">
        <v>612</v>
      </c>
      <c r="C111" t="s">
        <v>700</v>
      </c>
      <c r="D111" t="s">
        <v>241</v>
      </c>
      <c r="E111">
        <v>360.73</v>
      </c>
      <c r="F111" s="9" t="s">
        <v>71</v>
      </c>
      <c r="G111" s="7">
        <v>248489459712</v>
      </c>
      <c r="H111" s="6">
        <v>365.75</v>
      </c>
      <c r="I111" s="6">
        <v>220.43</v>
      </c>
      <c r="J111" s="12">
        <f>E111/I111-1</f>
        <v>0.63648323730889622</v>
      </c>
      <c r="K111" s="11">
        <v>8.7600144152135944E-3</v>
      </c>
      <c r="M111" s="13">
        <v>81353000000</v>
      </c>
      <c r="N111" s="9" t="s">
        <v>71</v>
      </c>
      <c r="O111" s="6">
        <v>1</v>
      </c>
    </row>
    <row r="112" spans="2:18" x14ac:dyDescent="0.5">
      <c r="B112" s="1" t="s">
        <v>761</v>
      </c>
      <c r="J112" s="12" t="e">
        <f>E112/I112-1</f>
        <v>#DIV/0!</v>
      </c>
    </row>
    <row r="113" spans="2:17" x14ac:dyDescent="0.5">
      <c r="B113" s="1" t="s">
        <v>629</v>
      </c>
      <c r="C113" t="s">
        <v>719</v>
      </c>
      <c r="D113" t="s">
        <v>105</v>
      </c>
      <c r="E113">
        <v>789.37</v>
      </c>
      <c r="F113" s="9" t="s">
        <v>71</v>
      </c>
      <c r="G113" s="7">
        <v>243757449216</v>
      </c>
      <c r="H113" s="6">
        <v>825.25</v>
      </c>
      <c r="I113" s="6">
        <v>439.38</v>
      </c>
      <c r="J113" s="12">
        <f>E113/I113-1</f>
        <v>0.79655423551367832</v>
      </c>
      <c r="K113" s="11">
        <v>1.646882957295058E-2</v>
      </c>
      <c r="M113" s="13">
        <v>449236000000</v>
      </c>
      <c r="N113" s="9" t="s">
        <v>71</v>
      </c>
      <c r="O113" s="6">
        <v>1</v>
      </c>
    </row>
    <row r="114" spans="2:17" x14ac:dyDescent="0.5">
      <c r="B114" s="1" t="s">
        <v>633</v>
      </c>
      <c r="C114" t="s">
        <v>724</v>
      </c>
      <c r="D114" t="s">
        <v>432</v>
      </c>
      <c r="E114">
        <v>534.28</v>
      </c>
      <c r="F114" s="9" t="s">
        <v>71</v>
      </c>
      <c r="G114" s="7">
        <v>189400170496</v>
      </c>
      <c r="H114" s="6">
        <v>616</v>
      </c>
      <c r="I114" s="6">
        <v>425</v>
      </c>
      <c r="J114" s="12">
        <f>E114/I114-1</f>
        <v>0.25712941176470583</v>
      </c>
      <c r="K114" s="11">
        <v>0</v>
      </c>
      <c r="L114" s="13">
        <v>2348900000</v>
      </c>
      <c r="M114" s="13">
        <v>16433700000</v>
      </c>
      <c r="N114" s="9" t="s">
        <v>71</v>
      </c>
      <c r="O114" s="6">
        <v>1</v>
      </c>
      <c r="Q114" s="12">
        <v>0.1429319021279444</v>
      </c>
    </row>
    <row r="115" spans="2:17" x14ac:dyDescent="0.5">
      <c r="B115" s="1" t="s">
        <v>653</v>
      </c>
      <c r="C115" t="s">
        <v>748</v>
      </c>
      <c r="D115" t="s">
        <v>728</v>
      </c>
      <c r="E115">
        <v>49.46</v>
      </c>
      <c r="F115" s="9" t="s">
        <v>71</v>
      </c>
      <c r="G115" s="7">
        <v>217536069632</v>
      </c>
      <c r="H115" s="6">
        <v>112.52</v>
      </c>
      <c r="I115" s="6">
        <v>45.05</v>
      </c>
      <c r="J115" s="12">
        <f>E115/I115-1</f>
        <v>9.7891231964484016E-2</v>
      </c>
      <c r="K115" s="11">
        <v>0.23554387383744441</v>
      </c>
      <c r="L115" s="13">
        <v>128831000000</v>
      </c>
      <c r="M115" s="13">
        <v>239507000000</v>
      </c>
      <c r="N115" s="9" t="s">
        <v>749</v>
      </c>
      <c r="Q115" s="12">
        <v>0.53790077116743973</v>
      </c>
    </row>
  </sheetData>
  <autoFilter ref="B1:R4" xr:uid="{7A9EDF16-08C4-B24B-A5E4-CFD78B458569}">
    <sortState xmlns:xlrd2="http://schemas.microsoft.com/office/spreadsheetml/2017/richdata2" ref="B2:R115">
      <sortCondition ref="R1:R4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C0F4F-FCAC-47CD-AAE6-697314930540}">
  <dimension ref="A1:B4"/>
  <sheetViews>
    <sheetView workbookViewId="0">
      <selection activeCell="B4" sqref="B4"/>
    </sheetView>
  </sheetViews>
  <sheetFormatPr defaultRowHeight="15.75" x14ac:dyDescent="0.5"/>
  <sheetData>
    <row r="1" spans="1:2" x14ac:dyDescent="0.5">
      <c r="A1" s="16" t="s">
        <v>439</v>
      </c>
      <c r="B1" s="16" t="s">
        <v>5</v>
      </c>
    </row>
    <row r="2" spans="1:2" x14ac:dyDescent="0.5">
      <c r="A2" t="s">
        <v>441</v>
      </c>
      <c r="B2" t="s">
        <v>440</v>
      </c>
    </row>
    <row r="3" spans="1:2" x14ac:dyDescent="0.5">
      <c r="A3" t="s">
        <v>443</v>
      </c>
      <c r="B3" t="s">
        <v>440</v>
      </c>
    </row>
    <row r="4" spans="1:2" x14ac:dyDescent="0.5">
      <c r="A4" t="s">
        <v>442</v>
      </c>
      <c r="B4" t="s">
        <v>440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7" workbookViewId="0">
      <selection activeCell="B10" sqref="B10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130</v>
      </c>
    </row>
    <row r="3" spans="2:2" ht="409.5" x14ac:dyDescent="0.5">
      <c r="B3" s="15" t="s">
        <v>191</v>
      </c>
    </row>
    <row r="4" spans="2:2" x14ac:dyDescent="0.5">
      <c r="B4" t="s">
        <v>142</v>
      </c>
    </row>
    <row r="5" spans="2:2" ht="220.5" x14ac:dyDescent="0.5">
      <c r="B5" s="17" t="s">
        <v>457</v>
      </c>
    </row>
    <row r="7" spans="2:2" ht="236.25" x14ac:dyDescent="0.5">
      <c r="B7" s="17" t="s">
        <v>458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hk_screener</vt:lpstr>
      <vt:lpstr>cn_screener</vt:lpstr>
      <vt:lpstr>us_screener</vt:lpstr>
      <vt:lpstr>Selected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2025-11-03T02:22:44Z</dcterms:modified>
</cp:coreProperties>
</file>