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F1C8BE0-22D1-495F-9BFE-07DC0E200733}" xr6:coauthVersionLast="47" xr6:coauthVersionMax="47" xr10:uidLastSave="{00000000-0000-0000-0000-000000000000}"/>
  <bookViews>
    <workbookView xWindow="-98" yWindow="-98" windowWidth="17115" windowHeight="10755" firstSheet="2" activeTab="2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<sst xmlns="http://schemas.openxmlformats.org/spreadsheetml/2006/main" count="934" uniqueCount="444">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</sst>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3"/>
  <sheetViews>
    <sheetView zoomScaleNormal="100" workbookViewId="0">
      <pane xSplit="3" ySplit="1" topLeftCell="D83" activePane="bottomRight" state="frozen"/>
      <selection pane="topRight" activeCell="D1" sqref="D1"/>
      <selection pane="bottomLeft" activeCell="A2" sqref="A2"/>
      <selection pane="bottomRight" activeCell="C116" sqref="C1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14.68</v>
      </c>
      <c r="F2" s="9" t="s">
        <v>68</v>
      </c>
      <c r="G2" s="7">
        <v>262484279296</v>
      </c>
      <c r="H2" s="6">
        <v>15.6</v>
      </c>
      <c r="I2" s="6">
        <v>9.52</v>
      </c>
      <c r="J2" s="12">
        <f t="shared" ref="J2:J33" si="0">E2/I2-1</f>
        <v>0.54201680672268915</v>
      </c>
      <c r="K2" s="11">
        <v>0.1055858310626703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0.50933606589481029</v>
      </c>
      <c r="Q2" s="12">
        <v>0.26042924055386191</v>
      </c>
      <c r="R2" s="14">
        <v>2</v>
      </c>
    </row>
    <row r="3" spans="2:22" x14ac:dyDescent="0.5">
      <c r="B3" s="1" t="s">
        <v>296</v>
      </c>
      <c r="C3" t="s">
        <v>354</v>
      </c>
      <c r="D3" t="s">
        <v>153</v>
      </c>
      <c r="E3">
        <v>3.3</v>
      </c>
      <c r="F3" s="9" t="s">
        <v>68</v>
      </c>
      <c r="G3" s="7">
        <v>2983823616</v>
      </c>
      <c r="H3" s="6">
        <v>3.55</v>
      </c>
      <c r="I3" s="6">
        <v>2.3199999999999998</v>
      </c>
      <c r="J3" s="12">
        <f t="shared" si="0"/>
        <v>0.4224137931034484</v>
      </c>
      <c r="K3" s="11">
        <v>5.1212121212121216E-2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0.31205946822281339</v>
      </c>
      <c r="Q3" s="12">
        <v>0.29581628786323422</v>
      </c>
      <c r="R3" s="14">
        <v>1</v>
      </c>
    </row>
    <row r="4" spans="2:22" x14ac:dyDescent="0.5">
      <c r="B4" s="1" t="s">
        <v>111</v>
      </c>
      <c r="C4" t="s">
        <v>147</v>
      </c>
      <c r="D4" t="s">
        <v>148</v>
      </c>
      <c r="E4">
        <v>4.07</v>
      </c>
      <c r="F4" s="9" t="s">
        <v>68</v>
      </c>
      <c r="G4" s="7">
        <v>11384686592</v>
      </c>
      <c r="H4" s="6">
        <v>4.33</v>
      </c>
      <c r="I4" s="6">
        <v>2.36</v>
      </c>
      <c r="J4" s="12">
        <f t="shared" si="0"/>
        <v>0.72457627118644097</v>
      </c>
      <c r="K4" s="11">
        <v>3.7592137592137587E-2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0.27814510440519424</v>
      </c>
      <c r="Q4" s="12">
        <v>0.28956319566547578</v>
      </c>
      <c r="R4" s="14">
        <v>3</v>
      </c>
    </row>
    <row r="5" spans="2:22" x14ac:dyDescent="0.5">
      <c r="B5" s="1" t="s">
        <v>197</v>
      </c>
      <c r="C5" t="s">
        <v>218</v>
      </c>
      <c r="D5" t="s">
        <v>219</v>
      </c>
      <c r="E5">
        <v>9.44</v>
      </c>
      <c r="F5" s="9" t="s">
        <v>68</v>
      </c>
      <c r="G5" s="7">
        <v>36835258368</v>
      </c>
      <c r="H5" s="6">
        <v>9.81</v>
      </c>
      <c r="I5" s="6">
        <v>4.22</v>
      </c>
      <c r="J5" s="12">
        <f t="shared" si="0"/>
        <v>1.2369668246445498</v>
      </c>
      <c r="K5" s="11">
        <v>4.555084745762712E-3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0.20608301211573324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220</v>
      </c>
      <c r="D6" t="s">
        <v>77</v>
      </c>
      <c r="E6">
        <v>143.30000000000001</v>
      </c>
      <c r="F6" s="9" t="s">
        <v>68</v>
      </c>
      <c r="G6" s="7">
        <v>94631452672</v>
      </c>
      <c r="H6" s="6">
        <v>149.5</v>
      </c>
      <c r="I6" s="6">
        <v>91</v>
      </c>
      <c r="J6" s="12">
        <f t="shared" si="0"/>
        <v>0.5747252747252749</v>
      </c>
      <c r="K6" s="11">
        <v>1.4235868806699232E-2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0.45654427812122245</v>
      </c>
      <c r="Q6" s="12">
        <v>0.19894228627727803</v>
      </c>
      <c r="R6" s="14">
        <v>4</v>
      </c>
    </row>
    <row r="7" spans="2:22" x14ac:dyDescent="0.5">
      <c r="B7" s="1" t="s">
        <v>253</v>
      </c>
      <c r="C7" t="s">
        <v>303</v>
      </c>
      <c r="D7" t="s">
        <v>304</v>
      </c>
      <c r="E7">
        <v>6.76</v>
      </c>
      <c r="F7" s="9" t="s">
        <v>68</v>
      </c>
      <c r="G7" s="7">
        <v>397142556672</v>
      </c>
      <c r="H7" s="6">
        <v>6.94</v>
      </c>
      <c r="I7" s="6">
        <v>2.75</v>
      </c>
      <c r="J7" s="12">
        <f t="shared" si="0"/>
        <v>1.458181818181818</v>
      </c>
      <c r="K7" s="11">
        <v>2.6627218934911243E-2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0.18145314244883365</v>
      </c>
      <c r="Q7" s="12">
        <v>0.22694806719794586</v>
      </c>
      <c r="R7" s="14">
        <v>5</v>
      </c>
    </row>
    <row r="8" spans="2:22" x14ac:dyDescent="0.5">
      <c r="B8" s="1" t="s">
        <v>110</v>
      </c>
      <c r="C8" t="s">
        <v>145</v>
      </c>
      <c r="D8" t="s">
        <v>146</v>
      </c>
      <c r="E8">
        <v>2.85</v>
      </c>
      <c r="F8" s="9" t="s">
        <v>68</v>
      </c>
      <c r="G8" s="7">
        <v>14509548544</v>
      </c>
      <c r="H8" s="6">
        <v>3.12</v>
      </c>
      <c r="I8" s="6">
        <v>2.23</v>
      </c>
      <c r="J8" s="12">
        <f t="shared" si="0"/>
        <v>0.27802690582959655</v>
      </c>
      <c r="K8" s="11">
        <v>0.10526315789473684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0.36753171936714318</v>
      </c>
      <c r="Q8" s="12">
        <v>0.15337570692947131</v>
      </c>
      <c r="R8" s="14">
        <v>8</v>
      </c>
    </row>
    <row r="9" spans="2:22" x14ac:dyDescent="0.5">
      <c r="B9" s="1" t="s">
        <v>200</v>
      </c>
      <c r="C9" t="s">
        <v>223</v>
      </c>
      <c r="D9" t="s">
        <v>224</v>
      </c>
      <c r="E9">
        <v>17.07</v>
      </c>
      <c r="F9" s="9" t="s">
        <v>68</v>
      </c>
      <c r="G9" s="7">
        <v>148675608576</v>
      </c>
      <c r="H9" s="6">
        <v>18.100000000000001</v>
      </c>
      <c r="I9" s="6">
        <v>10.6</v>
      </c>
      <c r="J9" s="12">
        <f t="shared" si="0"/>
        <v>0.61037735849056607</v>
      </c>
      <c r="K9" s="11">
        <v>4.2120679554774457E-2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0.19193190755365377</v>
      </c>
      <c r="Q9" s="12">
        <v>0.20347556909712136</v>
      </c>
      <c r="R9" s="14">
        <v>6</v>
      </c>
    </row>
    <row r="10" spans="2:22" x14ac:dyDescent="0.5">
      <c r="B10" s="1" t="s">
        <v>252</v>
      </c>
      <c r="C10" t="s">
        <v>301</v>
      </c>
      <c r="D10" t="s">
        <v>302</v>
      </c>
      <c r="E10">
        <v>11.81</v>
      </c>
      <c r="F10" s="9" t="s">
        <v>68</v>
      </c>
      <c r="G10" s="7">
        <v>275687931904</v>
      </c>
      <c r="H10" s="6">
        <v>12.13</v>
      </c>
      <c r="I10" s="6">
        <v>4.58</v>
      </c>
      <c r="J10" s="12">
        <f t="shared" si="0"/>
        <v>1.5786026200873362</v>
      </c>
      <c r="K10" s="11">
        <v>2.1591871295512276E-2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0.11311522954187343</v>
      </c>
      <c r="Q10" s="12">
        <v>0.2888078161719172</v>
      </c>
      <c r="R10" s="14">
        <v>18</v>
      </c>
    </row>
    <row r="11" spans="2:22" x14ac:dyDescent="0.5">
      <c r="B11" s="1" t="s">
        <v>199</v>
      </c>
      <c r="C11" t="s">
        <v>221</v>
      </c>
      <c r="D11" t="s">
        <v>222</v>
      </c>
      <c r="E11">
        <v>2.15</v>
      </c>
      <c r="F11" s="9" t="s">
        <v>68</v>
      </c>
      <c r="G11" s="7">
        <v>2150000128</v>
      </c>
      <c r="H11" s="6">
        <v>2.42</v>
      </c>
      <c r="I11" s="6">
        <v>1.55</v>
      </c>
      <c r="J11" s="12">
        <f t="shared" si="0"/>
        <v>0.38709677419354827</v>
      </c>
      <c r="K11" s="11">
        <v>9.7674418604651161E-2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0.13593726270065309</v>
      </c>
      <c r="Q11" s="12">
        <v>0.51857007005524791</v>
      </c>
      <c r="R11" s="14">
        <v>7</v>
      </c>
    </row>
    <row r="12" spans="2:22" x14ac:dyDescent="0.5">
      <c r="B12" s="1" t="s">
        <v>251</v>
      </c>
      <c r="C12" t="s">
        <v>300</v>
      </c>
      <c r="D12" t="s">
        <v>299</v>
      </c>
      <c r="E12">
        <v>1.55</v>
      </c>
      <c r="F12" s="9" t="s">
        <v>68</v>
      </c>
      <c r="G12" s="7">
        <v>3122087424</v>
      </c>
      <c r="H12" s="6">
        <v>1.66</v>
      </c>
      <c r="I12" s="6">
        <v>1.1299999999999999</v>
      </c>
      <c r="J12" s="12">
        <f t="shared" si="0"/>
        <v>0.37168141592920367</v>
      </c>
      <c r="K12" s="11">
        <v>7.677419354838709E-2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0.34104804400886485</v>
      </c>
      <c r="Q12" s="12">
        <v>0.15429118804462028</v>
      </c>
      <c r="R12" s="14">
        <v>8</v>
      </c>
    </row>
    <row r="13" spans="2:22" x14ac:dyDescent="0.5">
      <c r="B13" s="1" t="s">
        <v>28</v>
      </c>
      <c r="C13" t="s">
        <v>90</v>
      </c>
      <c r="D13" t="s">
        <v>87</v>
      </c>
      <c r="E13">
        <v>4.55</v>
      </c>
      <c r="F13" s="9" t="s">
        <v>68</v>
      </c>
      <c r="G13" s="7">
        <v>41246887936</v>
      </c>
      <c r="H13" s="6">
        <v>7.38</v>
      </c>
      <c r="I13" s="6">
        <v>3.46</v>
      </c>
      <c r="J13" s="12">
        <f t="shared" si="0"/>
        <v>0.31502890173410392</v>
      </c>
      <c r="K13" s="11">
        <v>6.747252747252748E-2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0.18422552724089106</v>
      </c>
      <c r="Q13" s="12">
        <v>0.20771406306691512</v>
      </c>
      <c r="R13" s="14">
        <v>6</v>
      </c>
    </row>
    <row r="14" spans="2:22" x14ac:dyDescent="0.5">
      <c r="B14" s="1" t="s">
        <v>250</v>
      </c>
      <c r="C14" t="s">
        <v>298</v>
      </c>
      <c r="D14" t="s">
        <v>299</v>
      </c>
      <c r="E14">
        <v>1.65</v>
      </c>
      <c r="F14" s="9" t="s">
        <v>68</v>
      </c>
      <c r="G14" s="7">
        <v>1951619968</v>
      </c>
      <c r="H14" s="6">
        <v>2.77</v>
      </c>
      <c r="I14" s="6">
        <v>1.36</v>
      </c>
      <c r="J14" s="12">
        <f t="shared" si="0"/>
        <v>0.21323529411764697</v>
      </c>
      <c r="K14" s="11">
        <v>3.6969696969696972E-2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0.57165144975756232</v>
      </c>
      <c r="Q14" s="12">
        <v>0.14567921288909008</v>
      </c>
      <c r="R14" s="14">
        <v>9</v>
      </c>
    </row>
    <row r="15" spans="2:22" x14ac:dyDescent="0.5">
      <c r="B15" s="1" t="s">
        <v>297</v>
      </c>
      <c r="C15" t="s">
        <v>355</v>
      </c>
      <c r="D15" t="s">
        <v>96</v>
      </c>
      <c r="E15">
        <v>6.02</v>
      </c>
      <c r="F15" s="9" t="s">
        <v>68</v>
      </c>
      <c r="G15" s="7">
        <v>12447433728</v>
      </c>
      <c r="H15" s="6">
        <v>6.7</v>
      </c>
      <c r="I15" s="6">
        <v>3.15</v>
      </c>
      <c r="J15" s="12">
        <f t="shared" si="0"/>
        <v>0.91111111111111098</v>
      </c>
      <c r="K15" s="11">
        <v>4.7009966777408638E-2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0.20574671766400823</v>
      </c>
      <c r="Q15" s="12">
        <v>0.16357040581906512</v>
      </c>
      <c r="R15" s="14">
        <v>11</v>
      </c>
    </row>
    <row r="16" spans="2:22" x14ac:dyDescent="0.5">
      <c r="B16" s="1" t="s">
        <v>254</v>
      </c>
      <c r="C16" t="s">
        <v>305</v>
      </c>
      <c r="D16" t="s">
        <v>306</v>
      </c>
      <c r="E16">
        <v>18.95</v>
      </c>
      <c r="F16" s="9" t="s">
        <v>68</v>
      </c>
      <c r="G16" s="7">
        <v>68106682368</v>
      </c>
      <c r="H16" s="6">
        <v>19.600000000000001</v>
      </c>
      <c r="I16" s="6">
        <v>8.5</v>
      </c>
      <c r="J16" s="12">
        <f t="shared" si="0"/>
        <v>1.2294117647058824</v>
      </c>
      <c r="K16" s="11">
        <v>1.8469656992084433E-2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0.24172975787493803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16.71</v>
      </c>
      <c r="F17" s="9" t="s">
        <v>68</v>
      </c>
      <c r="G17" s="7">
        <v>35186409472</v>
      </c>
      <c r="H17" s="6">
        <v>17.059999999999999</v>
      </c>
      <c r="I17" s="6">
        <v>8.0500000000000007</v>
      </c>
      <c r="J17" s="12">
        <f t="shared" si="0"/>
        <v>1.0757763975155279</v>
      </c>
      <c r="K17" s="11">
        <v>6.7025733093955722E-2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0.15069595649056808</v>
      </c>
      <c r="Q17" s="12">
        <v>0.20973136925592797</v>
      </c>
      <c r="R17" s="14">
        <v>10</v>
      </c>
    </row>
    <row r="18" spans="2:18" x14ac:dyDescent="0.5">
      <c r="B18" s="1" t="s">
        <v>294</v>
      </c>
      <c r="C18" t="s">
        <v>352</v>
      </c>
      <c r="D18" t="s">
        <v>77</v>
      </c>
      <c r="E18">
        <v>30.9</v>
      </c>
      <c r="F18" s="9" t="s">
        <v>68</v>
      </c>
      <c r="G18" s="7">
        <v>81982021632</v>
      </c>
      <c r="H18" s="6">
        <v>30.9</v>
      </c>
      <c r="I18" s="6">
        <v>15.7</v>
      </c>
      <c r="J18" s="12">
        <f t="shared" si="0"/>
        <v>0.96815286624203822</v>
      </c>
      <c r="K18" s="11">
        <v>1.1391585760517799E-2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0.1037906287519238</v>
      </c>
      <c r="Q18" s="12">
        <v>0.41587371596437778</v>
      </c>
      <c r="R18" s="14">
        <v>20</v>
      </c>
    </row>
    <row r="19" spans="2:18" x14ac:dyDescent="0.5">
      <c r="B19" s="1" t="s">
        <v>291</v>
      </c>
      <c r="C19" t="s">
        <v>349</v>
      </c>
      <c r="D19" t="s">
        <v>87</v>
      </c>
      <c r="E19">
        <v>8.11</v>
      </c>
      <c r="F19" s="9" t="s">
        <v>68</v>
      </c>
      <c r="G19" s="7">
        <v>104052916224</v>
      </c>
      <c r="H19" s="6">
        <v>8.3800000000000008</v>
      </c>
      <c r="I19" s="6">
        <v>5.39</v>
      </c>
      <c r="J19" s="12">
        <f t="shared" si="0"/>
        <v>0.50463821892393312</v>
      </c>
      <c r="K19" s="11">
        <v>9.4944512946979042E-3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0.16800607465136944</v>
      </c>
      <c r="Q19" s="12">
        <v>0.18273566673824351</v>
      </c>
      <c r="R19" s="14">
        <v>13</v>
      </c>
    </row>
    <row r="20" spans="2:18" x14ac:dyDescent="0.5">
      <c r="B20" s="1" t="s">
        <v>295</v>
      </c>
      <c r="C20" t="s">
        <v>353</v>
      </c>
      <c r="D20" t="s">
        <v>87</v>
      </c>
      <c r="E20">
        <v>0.89</v>
      </c>
      <c r="F20" s="9" t="s">
        <v>68</v>
      </c>
      <c r="G20" s="7">
        <v>1947773824</v>
      </c>
      <c r="H20" s="6">
        <v>0.9</v>
      </c>
      <c r="I20" s="6">
        <v>0.42</v>
      </c>
      <c r="J20" s="12">
        <f t="shared" si="0"/>
        <v>1.1190476190476191</v>
      </c>
      <c r="K20" s="11">
        <v>4.1573033707865165E-2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0.21999051189710284</v>
      </c>
      <c r="Q20" s="12">
        <v>0.14466826109721026</v>
      </c>
      <c r="R20" s="14">
        <v>16</v>
      </c>
    </row>
    <row r="21" spans="2:18" x14ac:dyDescent="0.5">
      <c r="B21" s="1" t="s">
        <v>32</v>
      </c>
      <c r="C21" t="s">
        <v>95</v>
      </c>
      <c r="D21" t="s">
        <v>96</v>
      </c>
      <c r="E21">
        <v>16.62</v>
      </c>
      <c r="F21" s="9" t="s">
        <v>68</v>
      </c>
      <c r="G21" s="7">
        <v>13832627200</v>
      </c>
      <c r="H21" s="6">
        <v>19.440000000000001</v>
      </c>
      <c r="I21" s="6">
        <v>12.5</v>
      </c>
      <c r="J21" s="12">
        <f t="shared" si="0"/>
        <v>0.32960000000000012</v>
      </c>
      <c r="K21" s="11">
        <v>7.8820697954271966E-3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0.14390861335104205</v>
      </c>
      <c r="Q21" s="12">
        <v>0.18009145491283626</v>
      </c>
      <c r="R21" s="14">
        <v>17</v>
      </c>
    </row>
    <row r="22" spans="2:18" x14ac:dyDescent="0.5">
      <c r="B22" s="1" t="s">
        <v>20</v>
      </c>
      <c r="C22" t="s">
        <v>73</v>
      </c>
      <c r="D22" t="s">
        <v>74</v>
      </c>
      <c r="E22">
        <v>3.48</v>
      </c>
      <c r="F22" s="9" t="s">
        <v>68</v>
      </c>
      <c r="G22" s="7">
        <v>3618538752</v>
      </c>
      <c r="H22" s="6">
        <v>3.54</v>
      </c>
      <c r="I22" s="6">
        <v>1.92</v>
      </c>
      <c r="J22" s="12">
        <f t="shared" si="0"/>
        <v>0.8125</v>
      </c>
      <c r="K22" s="11">
        <v>0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0.17466928362870615</v>
      </c>
      <c r="Q22" s="12">
        <v>0.15218339726363278</v>
      </c>
      <c r="R22" s="14">
        <v>19</v>
      </c>
    </row>
    <row r="23" spans="2:18" x14ac:dyDescent="0.5">
      <c r="B23" s="1" t="s">
        <v>23</v>
      </c>
      <c r="C23" t="s">
        <v>80</v>
      </c>
      <c r="D23" t="s">
        <v>81</v>
      </c>
      <c r="E23">
        <v>7.3</v>
      </c>
      <c r="F23" s="9" t="s">
        <v>68</v>
      </c>
      <c r="G23" s="7">
        <v>63210704896</v>
      </c>
      <c r="H23" s="6">
        <v>8.6199999999999992</v>
      </c>
      <c r="I23" s="6">
        <v>7.08</v>
      </c>
      <c r="J23" s="12">
        <f t="shared" si="0"/>
        <v>3.1073446327683607E-2</v>
      </c>
      <c r="K23" s="11">
        <v>4.3561643835616441E-2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0.24161581705295132</v>
      </c>
      <c r="Q23" s="12">
        <v>0.15165160081705431</v>
      </c>
      <c r="R23" s="14">
        <v>14</v>
      </c>
    </row>
    <row r="24" spans="2:18" x14ac:dyDescent="0.5">
      <c r="B24" s="1" t="s">
        <v>22</v>
      </c>
      <c r="C24" t="s">
        <v>78</v>
      </c>
      <c r="D24" t="s">
        <v>79</v>
      </c>
      <c r="E24">
        <v>9.68</v>
      </c>
      <c r="F24" s="9" t="s">
        <v>68</v>
      </c>
      <c r="G24" s="7">
        <v>159641600000</v>
      </c>
      <c r="H24" s="6">
        <v>10.76</v>
      </c>
      <c r="I24" s="6">
        <v>7.16</v>
      </c>
      <c r="J24" s="12">
        <f t="shared" si="0"/>
        <v>0.35195530726256985</v>
      </c>
      <c r="K24" s="11">
        <v>4.3801652892561986E-2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0.1786257655911283</v>
      </c>
      <c r="Q24" s="12">
        <v>0.15266623500015464</v>
      </c>
      <c r="R24" s="14">
        <v>16</v>
      </c>
    </row>
    <row r="25" spans="2:18" x14ac:dyDescent="0.5">
      <c r="B25" s="1" t="s">
        <v>289</v>
      </c>
      <c r="C25" t="s">
        <v>347</v>
      </c>
      <c r="D25" t="s">
        <v>71</v>
      </c>
      <c r="E25">
        <v>3.97</v>
      </c>
      <c r="F25" s="9" t="s">
        <v>68</v>
      </c>
      <c r="G25" s="7">
        <v>2279494400</v>
      </c>
      <c r="H25" s="6">
        <v>4.84</v>
      </c>
      <c r="I25" s="6">
        <v>2.8</v>
      </c>
      <c r="J25" s="12">
        <f t="shared" si="0"/>
        <v>0.41785714285714293</v>
      </c>
      <c r="K25" s="11">
        <v>6.5491183879093195E-2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0.11700547987002144</v>
      </c>
      <c r="Q25" s="12">
        <v>0.12269104771613493</v>
      </c>
      <c r="R25" s="14">
        <v>42</v>
      </c>
    </row>
    <row r="26" spans="2:18" x14ac:dyDescent="0.5">
      <c r="B26" s="1" t="s">
        <v>274</v>
      </c>
      <c r="C26" t="s">
        <v>330</v>
      </c>
      <c r="D26" t="s">
        <v>96</v>
      </c>
      <c r="E26">
        <v>14.11</v>
      </c>
      <c r="F26" s="9" t="s">
        <v>68</v>
      </c>
      <c r="G26" s="7">
        <v>22640199680</v>
      </c>
      <c r="H26" s="6">
        <v>18.399999999999999</v>
      </c>
      <c r="I26" s="6">
        <v>9.6300000000000008</v>
      </c>
      <c r="J26" s="12">
        <f t="shared" si="0"/>
        <v>0.4652128764278296</v>
      </c>
      <c r="K26" s="11">
        <v>1.1835577604535791E-2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0.20110030253044023</v>
      </c>
      <c r="Q26" s="12">
        <v>0.12218132992627646</v>
      </c>
      <c r="R26" s="14">
        <v>22</v>
      </c>
    </row>
    <row r="27" spans="2:18" x14ac:dyDescent="0.5">
      <c r="B27" s="1" t="s">
        <v>287</v>
      </c>
      <c r="C27" t="s">
        <v>345</v>
      </c>
      <c r="D27" t="s">
        <v>75</v>
      </c>
      <c r="E27">
        <v>6.72</v>
      </c>
      <c r="F27" s="9" t="s">
        <v>68</v>
      </c>
      <c r="G27" s="7">
        <v>17983660032</v>
      </c>
      <c r="H27" s="6">
        <v>7.13</v>
      </c>
      <c r="I27" s="6">
        <v>4.1500000000000004</v>
      </c>
      <c r="J27" s="12">
        <f t="shared" si="0"/>
        <v>0.61927710843373474</v>
      </c>
      <c r="K27" s="11">
        <v>3.7053571428571429E-2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0.12030449611166603</v>
      </c>
      <c r="Q27" s="12">
        <v>0.17526328902672489</v>
      </c>
      <c r="R27" s="14">
        <v>27</v>
      </c>
    </row>
    <row r="28" spans="2:18" x14ac:dyDescent="0.5">
      <c r="B28" s="1" t="s">
        <v>284</v>
      </c>
      <c r="C28" t="s">
        <v>342</v>
      </c>
      <c r="D28" t="s">
        <v>61</v>
      </c>
      <c r="E28">
        <v>12.18</v>
      </c>
      <c r="F28" s="9" t="s">
        <v>68</v>
      </c>
      <c r="G28" s="7">
        <v>19179358208</v>
      </c>
      <c r="H28" s="6">
        <v>12.4</v>
      </c>
      <c r="I28" s="6">
        <v>8.67</v>
      </c>
      <c r="J28" s="12">
        <f t="shared" si="0"/>
        <v>0.40484429065743943</v>
      </c>
      <c r="K28" s="11">
        <v>4.9261083743842367E-2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0.19111814721049139</v>
      </c>
      <c r="Q28" s="12">
        <v>0.11773304155211949</v>
      </c>
      <c r="R28" s="14">
        <v>26</v>
      </c>
    </row>
    <row r="29" spans="2:18" x14ac:dyDescent="0.5">
      <c r="B29" s="1" t="s">
        <v>293</v>
      </c>
      <c r="C29" t="s">
        <v>351</v>
      </c>
      <c r="D29" t="s">
        <v>54</v>
      </c>
      <c r="E29">
        <v>4.72</v>
      </c>
      <c r="F29" s="9" t="s">
        <v>68</v>
      </c>
      <c r="G29" s="7">
        <v>18304536576</v>
      </c>
      <c r="H29" s="6">
        <v>6.97</v>
      </c>
      <c r="I29" s="6">
        <v>3.33</v>
      </c>
      <c r="J29" s="12">
        <f t="shared" si="0"/>
        <v>0.41741741741741722</v>
      </c>
      <c r="K29" s="11">
        <v>5.7203389830508482E-2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0.14608059020245545</v>
      </c>
      <c r="Q29" s="12">
        <v>0.16681818624944278</v>
      </c>
      <c r="R29" s="14">
        <v>19</v>
      </c>
    </row>
    <row r="30" spans="2:18" x14ac:dyDescent="0.5">
      <c r="B30" s="1" t="s">
        <v>292</v>
      </c>
      <c r="C30" t="s">
        <v>350</v>
      </c>
      <c r="D30" t="s">
        <v>239</v>
      </c>
      <c r="E30">
        <v>9.58</v>
      </c>
      <c r="F30" s="9" t="s">
        <v>68</v>
      </c>
      <c r="G30" s="7">
        <v>9460576256</v>
      </c>
      <c r="H30" s="6">
        <v>9.65</v>
      </c>
      <c r="I30" s="6">
        <v>5</v>
      </c>
      <c r="J30" s="12">
        <f t="shared" si="0"/>
        <v>0.91599999999999993</v>
      </c>
      <c r="K30" s="11">
        <v>3.6951983298538618E-2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0.15345694644923286</v>
      </c>
      <c r="Q30" s="12">
        <v>0.16622802330680692</v>
      </c>
      <c r="R30" s="14">
        <v>17</v>
      </c>
    </row>
    <row r="31" spans="2:18" x14ac:dyDescent="0.5">
      <c r="B31" s="1" t="s">
        <v>201</v>
      </c>
      <c r="C31" t="s">
        <v>225</v>
      </c>
      <c r="D31" t="s">
        <v>226</v>
      </c>
      <c r="E31">
        <v>0.73</v>
      </c>
      <c r="F31" s="9" t="s">
        <v>68</v>
      </c>
      <c r="G31" s="7">
        <v>1739013376</v>
      </c>
      <c r="H31" s="6">
        <v>0.79</v>
      </c>
      <c r="I31" s="6">
        <v>0.55000000000000004</v>
      </c>
      <c r="J31" s="12">
        <f t="shared" si="0"/>
        <v>0.32727272727272716</v>
      </c>
      <c r="K31" s="11">
        <v>1.3698630136986302E-2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0.94756875597359058</v>
      </c>
      <c r="Q31" s="12">
        <v>9.2370860611101543E-2</v>
      </c>
      <c r="R31" s="14">
        <v>25</v>
      </c>
    </row>
    <row r="32" spans="2:18" x14ac:dyDescent="0.5">
      <c r="B32" s="1" t="s">
        <v>27</v>
      </c>
      <c r="C32" t="s">
        <v>88</v>
      </c>
      <c r="D32" t="s">
        <v>89</v>
      </c>
      <c r="E32">
        <v>6.79</v>
      </c>
      <c r="F32" s="9" t="s">
        <v>68</v>
      </c>
      <c r="G32" s="7">
        <v>7196313600</v>
      </c>
      <c r="H32" s="6">
        <v>7.12</v>
      </c>
      <c r="I32" s="6">
        <v>3.98</v>
      </c>
      <c r="J32" s="12">
        <f t="shared" si="0"/>
        <v>0.70603015075376896</v>
      </c>
      <c r="K32" s="11">
        <v>7.3637702503681887E-2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0.20635462968742643</v>
      </c>
      <c r="Q32" s="12">
        <v>0.11511220438953086</v>
      </c>
      <c r="R32" s="14">
        <v>24</v>
      </c>
    </row>
    <row r="33" spans="2:18" x14ac:dyDescent="0.5">
      <c r="B33" s="1" t="s">
        <v>25</v>
      </c>
      <c r="C33" t="s">
        <v>84</v>
      </c>
      <c r="D33" t="s">
        <v>50</v>
      </c>
      <c r="E33">
        <v>10.77</v>
      </c>
      <c r="F33" s="9" t="s">
        <v>68</v>
      </c>
      <c r="G33" s="7">
        <v>13413174272</v>
      </c>
      <c r="H33" s="6">
        <v>11.23</v>
      </c>
      <c r="I33" s="6">
        <v>3.46</v>
      </c>
      <c r="J33" s="12">
        <f t="shared" si="0"/>
        <v>2.1127167630057802</v>
      </c>
      <c r="K33" s="11">
        <v>1.309192200557103E-2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8.987762737824713E-2</v>
      </c>
      <c r="Q33" s="12">
        <v>0.17514380877385538</v>
      </c>
      <c r="R33" s="14">
        <v>42</v>
      </c>
    </row>
    <row r="34" spans="2:18" x14ac:dyDescent="0.5">
      <c r="B34" s="1" t="s">
        <v>34</v>
      </c>
      <c r="C34" t="s">
        <v>99</v>
      </c>
      <c r="D34" t="s">
        <v>71</v>
      </c>
      <c r="E34">
        <v>4.49</v>
      </c>
      <c r="F34" s="9" t="s">
        <v>68</v>
      </c>
      <c r="G34" s="7">
        <v>51652956160</v>
      </c>
      <c r="H34" s="6">
        <v>5.14</v>
      </c>
      <c r="I34" s="6">
        <v>3.46</v>
      </c>
      <c r="J34" s="12">
        <f t="shared" ref="J34:J65" si="1">E34/I34-1</f>
        <v>0.29768786127167646</v>
      </c>
      <c r="K34" s="11">
        <v>5.8129175946547887E-2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0.11504769168013322</v>
      </c>
      <c r="Q34" s="12">
        <v>0.29719681912231338</v>
      </c>
      <c r="R34" s="14">
        <v>15</v>
      </c>
    </row>
    <row r="35" spans="2:18" x14ac:dyDescent="0.5">
      <c r="B35" s="1" t="s">
        <v>290</v>
      </c>
      <c r="C35" t="s">
        <v>348</v>
      </c>
      <c r="D35" t="s">
        <v>50</v>
      </c>
      <c r="E35">
        <v>7.31</v>
      </c>
      <c r="F35" s="9" t="s">
        <v>68</v>
      </c>
      <c r="G35" s="7">
        <v>16347206656</v>
      </c>
      <c r="H35" s="6">
        <v>8.6999999999999993</v>
      </c>
      <c r="I35" s="6">
        <v>2.16</v>
      </c>
      <c r="J35" s="12">
        <f t="shared" si="1"/>
        <v>2.3842592592592586</v>
      </c>
      <c r="K35" s="11">
        <v>3.1600547195622442E-2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0.30014602051140743</v>
      </c>
      <c r="Q35" s="12">
        <v>9.29654274042198E-2</v>
      </c>
      <c r="R35" s="14">
        <v>30</v>
      </c>
    </row>
    <row r="36" spans="2:18" x14ac:dyDescent="0.5">
      <c r="B36" s="1" t="s">
        <v>143</v>
      </c>
      <c r="C36" t="s">
        <v>192</v>
      </c>
      <c r="D36" t="s">
        <v>181</v>
      </c>
      <c r="E36">
        <v>11.11</v>
      </c>
      <c r="F36" s="9" t="s">
        <v>68</v>
      </c>
      <c r="G36" s="7">
        <v>137816211456</v>
      </c>
      <c r="H36" s="6">
        <v>13.6</v>
      </c>
      <c r="I36" s="6">
        <v>6.57</v>
      </c>
      <c r="J36" s="12">
        <f t="shared" si="1"/>
        <v>0.69101978691019772</v>
      </c>
      <c r="K36" s="11">
        <v>4.5004500450045006E-3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0.11896818143406547</v>
      </c>
      <c r="Q36" s="12">
        <v>0.19681397761416858</v>
      </c>
      <c r="R36" s="14">
        <v>21</v>
      </c>
    </row>
    <row r="37" spans="2:18" x14ac:dyDescent="0.5">
      <c r="B37" s="1" t="s">
        <v>288</v>
      </c>
      <c r="C37" t="s">
        <v>346</v>
      </c>
      <c r="D37" t="s">
        <v>98</v>
      </c>
      <c r="E37">
        <v>4.76</v>
      </c>
      <c r="F37" s="9" t="s">
        <v>68</v>
      </c>
      <c r="G37" s="7">
        <v>5240522240</v>
      </c>
      <c r="H37" s="6">
        <v>4.8</v>
      </c>
      <c r="I37" s="6">
        <v>3.74</v>
      </c>
      <c r="J37" s="12">
        <f t="shared" si="1"/>
        <v>0.27272727272727271</v>
      </c>
      <c r="K37" s="11">
        <v>6.7226890756302532E-2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0.16539006914877646</v>
      </c>
      <c r="Q37" s="12">
        <v>0.14577225152582682</v>
      </c>
      <c r="R37" s="14">
        <v>23</v>
      </c>
    </row>
    <row r="38" spans="2:18" x14ac:dyDescent="0.5">
      <c r="B38" s="1" t="s">
        <v>124</v>
      </c>
      <c r="C38" t="s">
        <v>165</v>
      </c>
      <c r="D38" t="s">
        <v>77</v>
      </c>
      <c r="E38">
        <v>5.79</v>
      </c>
      <c r="F38" s="9" t="s">
        <v>68</v>
      </c>
      <c r="G38" s="7">
        <v>8487966720</v>
      </c>
      <c r="H38" s="6">
        <v>6.07</v>
      </c>
      <c r="I38" s="6">
        <v>3.91</v>
      </c>
      <c r="J38" s="12">
        <f t="shared" si="1"/>
        <v>0.4808184143222507</v>
      </c>
      <c r="K38" s="11">
        <v>8.2901554404145081E-2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0.28351111193207912</v>
      </c>
      <c r="Q38" s="12">
        <v>9.9663185641922489E-2</v>
      </c>
      <c r="R38" s="14">
        <v>28</v>
      </c>
    </row>
    <row r="39" spans="2:18" x14ac:dyDescent="0.5">
      <c r="B39" s="1" t="s">
        <v>19</v>
      </c>
      <c r="C39" t="s">
        <v>70</v>
      </c>
      <c r="D39" t="s">
        <v>71</v>
      </c>
      <c r="E39">
        <v>7.21</v>
      </c>
      <c r="F39" s="9" t="s">
        <v>68</v>
      </c>
      <c r="G39" s="7">
        <v>20568832000</v>
      </c>
      <c r="H39" s="6">
        <v>7.26</v>
      </c>
      <c r="I39" s="6">
        <v>3.3</v>
      </c>
      <c r="J39" s="12">
        <f t="shared" si="1"/>
        <v>1.184848484848485</v>
      </c>
      <c r="K39" s="11">
        <v>6.2413314840499305E-3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0.10708309847952141</v>
      </c>
      <c r="Q39" s="12">
        <v>0.15459217096529801</v>
      </c>
      <c r="R39" s="14">
        <v>39</v>
      </c>
    </row>
    <row r="40" spans="2:18" x14ac:dyDescent="0.5">
      <c r="B40" s="1" t="s">
        <v>286</v>
      </c>
      <c r="C40" t="s">
        <v>344</v>
      </c>
      <c r="D40" t="s">
        <v>98</v>
      </c>
      <c r="E40">
        <v>4.8099999999999996</v>
      </c>
      <c r="F40" s="9" t="s">
        <v>68</v>
      </c>
      <c r="G40" s="7">
        <v>33314156544</v>
      </c>
      <c r="H40" s="6">
        <v>6.15</v>
      </c>
      <c r="I40" s="6">
        <v>3.71</v>
      </c>
      <c r="J40" s="12">
        <f t="shared" si="1"/>
        <v>0.2964959568733152</v>
      </c>
      <c r="K40" s="11">
        <v>4.5530145530145533E-2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0.31063048342535859</v>
      </c>
      <c r="Q40" s="12">
        <v>9.1377422623841298E-2</v>
      </c>
      <c r="R40" s="14">
        <v>33</v>
      </c>
    </row>
    <row r="41" spans="2:18" x14ac:dyDescent="0.5">
      <c r="B41" s="1" t="s">
        <v>276</v>
      </c>
      <c r="C41" t="s">
        <v>332</v>
      </c>
      <c r="D41" t="s">
        <v>304</v>
      </c>
      <c r="E41">
        <v>4.37</v>
      </c>
      <c r="F41" s="9" t="s">
        <v>68</v>
      </c>
      <c r="G41" s="7">
        <v>50261557248</v>
      </c>
      <c r="H41" s="6">
        <v>4.54</v>
      </c>
      <c r="I41" s="6">
        <v>2.35</v>
      </c>
      <c r="J41" s="12">
        <f t="shared" si="1"/>
        <v>0.85957446808510629</v>
      </c>
      <c r="K41" s="11">
        <v>4.3478260869565216E-2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0.15575824640596195</v>
      </c>
      <c r="Q41" s="12">
        <v>0.11538320116682396</v>
      </c>
      <c r="R41" s="14">
        <v>34</v>
      </c>
    </row>
    <row r="42" spans="2:18" x14ac:dyDescent="0.5">
      <c r="B42" s="1" t="s">
        <v>280</v>
      </c>
      <c r="C42" t="s">
        <v>338</v>
      </c>
      <c r="D42" t="s">
        <v>151</v>
      </c>
      <c r="E42">
        <v>31.1</v>
      </c>
      <c r="F42" s="9" t="s">
        <v>68</v>
      </c>
      <c r="G42" s="7">
        <v>221772234752</v>
      </c>
      <c r="H42" s="6">
        <v>34.119999999999997</v>
      </c>
      <c r="I42" s="6">
        <v>18.559999999999999</v>
      </c>
      <c r="J42" s="12">
        <f t="shared" si="1"/>
        <v>0.67564655172413812</v>
      </c>
      <c r="K42" s="11">
        <v>4.2411575562700962E-2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0.17858964119937262</v>
      </c>
      <c r="Q42" s="12">
        <v>0.11493949471384535</v>
      </c>
      <c r="R42" s="14">
        <v>32</v>
      </c>
    </row>
    <row r="43" spans="2:18" x14ac:dyDescent="0.5">
      <c r="B43" s="1" t="s">
        <v>139</v>
      </c>
      <c r="C43" t="s">
        <v>186</v>
      </c>
      <c r="D43" t="s">
        <v>87</v>
      </c>
      <c r="E43">
        <v>11.53</v>
      </c>
      <c r="F43" s="9" t="s">
        <v>68</v>
      </c>
      <c r="G43" s="7">
        <v>64989073408</v>
      </c>
      <c r="H43" s="6">
        <v>14.24</v>
      </c>
      <c r="I43" s="6">
        <v>9.3000000000000007</v>
      </c>
      <c r="J43" s="12">
        <f t="shared" si="1"/>
        <v>0.23978494623655888</v>
      </c>
      <c r="K43" s="11">
        <v>0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9.7008101529126811E-2</v>
      </c>
      <c r="Q43" s="12">
        <v>0.23588267049650188</v>
      </c>
      <c r="R43" s="14">
        <v>31</v>
      </c>
    </row>
    <row r="44" spans="2:18" x14ac:dyDescent="0.5">
      <c r="B44" s="1" t="s">
        <v>29</v>
      </c>
      <c r="C44" t="s">
        <v>91</v>
      </c>
      <c r="D44" t="s">
        <v>87</v>
      </c>
      <c r="E44">
        <v>5.7</v>
      </c>
      <c r="F44" s="9" t="s">
        <v>68</v>
      </c>
      <c r="G44" s="7">
        <v>67277668352</v>
      </c>
      <c r="H44" s="6">
        <v>5.86</v>
      </c>
      <c r="I44" s="6">
        <v>4.34</v>
      </c>
      <c r="J44" s="12">
        <f t="shared" si="1"/>
        <v>0.31336405529953915</v>
      </c>
      <c r="K44" s="11">
        <v>2.5964912280701753E-2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0.10024247115622946</v>
      </c>
      <c r="Q44" s="12">
        <v>0.27010748742934609</v>
      </c>
      <c r="R44" s="14">
        <v>27</v>
      </c>
    </row>
    <row r="45" spans="2:18" x14ac:dyDescent="0.5">
      <c r="B45" s="1" t="s">
        <v>118</v>
      </c>
      <c r="C45" t="s">
        <v>158</v>
      </c>
      <c r="D45" t="s">
        <v>85</v>
      </c>
      <c r="E45">
        <v>103.4</v>
      </c>
      <c r="F45" s="9" t="s">
        <v>68</v>
      </c>
      <c r="G45" s="7">
        <v>288280248320</v>
      </c>
      <c r="H45" s="6">
        <v>107.5</v>
      </c>
      <c r="I45" s="6">
        <v>68.349999999999994</v>
      </c>
      <c r="J45" s="12">
        <f t="shared" si="1"/>
        <v>0.51280175566934916</v>
      </c>
      <c r="K45" s="11">
        <v>2.1450676982591874E-2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7.8552399002194268E-2</v>
      </c>
      <c r="Q45" s="12">
        <v>0.27269973953601068</v>
      </c>
      <c r="R45" s="14">
        <v>34</v>
      </c>
    </row>
    <row r="46" spans="2:18" x14ac:dyDescent="0.5">
      <c r="B46" s="1" t="s">
        <v>282</v>
      </c>
      <c r="C46" t="s">
        <v>340</v>
      </c>
      <c r="D46" t="s">
        <v>56</v>
      </c>
      <c r="E46">
        <v>10.18</v>
      </c>
      <c r="F46" s="9" t="s">
        <v>68</v>
      </c>
      <c r="G46" s="7">
        <v>25662150656</v>
      </c>
      <c r="H46" s="6">
        <v>11.22</v>
      </c>
      <c r="I46" s="6">
        <v>4.3499999999999996</v>
      </c>
      <c r="J46" s="12">
        <f t="shared" si="1"/>
        <v>1.3402298850574712</v>
      </c>
      <c r="K46" s="11">
        <v>0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0.15104069328236047</v>
      </c>
      <c r="Q46" s="12">
        <v>0.15134190781174311</v>
      </c>
      <c r="R46" s="14">
        <v>24</v>
      </c>
    </row>
    <row r="47" spans="2:18" x14ac:dyDescent="0.5">
      <c r="B47" s="1" t="s">
        <v>281</v>
      </c>
      <c r="C47" t="s">
        <v>339</v>
      </c>
      <c r="D47" t="s">
        <v>54</v>
      </c>
      <c r="E47">
        <v>26</v>
      </c>
      <c r="F47" s="9" t="s">
        <v>68</v>
      </c>
      <c r="G47" s="7">
        <v>253036675072</v>
      </c>
      <c r="H47" s="6">
        <v>36.450000000000003</v>
      </c>
      <c r="I47" s="6">
        <v>19.239999999999998</v>
      </c>
      <c r="J47" s="12">
        <f t="shared" si="1"/>
        <v>0.35135135135135154</v>
      </c>
      <c r="K47" s="11">
        <v>3.7115384615384613E-2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0.11279467582159475</v>
      </c>
      <c r="Q47" s="12">
        <v>0.18884873513587705</v>
      </c>
      <c r="R47" s="14">
        <v>29</v>
      </c>
    </row>
    <row r="48" spans="2:18" x14ac:dyDescent="0.5">
      <c r="B48" s="1" t="s">
        <v>278</v>
      </c>
      <c r="C48" t="s">
        <v>334</v>
      </c>
      <c r="D48" t="s">
        <v>335</v>
      </c>
      <c r="E48">
        <v>7.61</v>
      </c>
      <c r="F48" s="9" t="s">
        <v>68</v>
      </c>
      <c r="G48" s="7">
        <v>9757846528</v>
      </c>
      <c r="H48" s="6">
        <v>7.69</v>
      </c>
      <c r="I48" s="6">
        <v>3.54</v>
      </c>
      <c r="J48" s="12">
        <f t="shared" si="1"/>
        <v>1.1497175141242937</v>
      </c>
      <c r="K48" s="11">
        <v>3.4165571616294348E-2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0.13471458541737388</v>
      </c>
      <c r="Q48" s="12">
        <v>0.1318118502166547</v>
      </c>
      <c r="R48" s="14">
        <v>35</v>
      </c>
    </row>
    <row r="49" spans="2:18" x14ac:dyDescent="0.5">
      <c r="B49" s="1" t="s">
        <v>273</v>
      </c>
      <c r="C49" t="s">
        <v>329</v>
      </c>
      <c r="D49" t="s">
        <v>87</v>
      </c>
      <c r="E49">
        <v>11.1</v>
      </c>
      <c r="F49" s="9" t="s">
        <v>68</v>
      </c>
      <c r="G49" s="7">
        <v>2605414400</v>
      </c>
      <c r="H49" s="6">
        <v>17</v>
      </c>
      <c r="I49" s="6">
        <v>7.67</v>
      </c>
      <c r="J49" s="12">
        <f t="shared" si="1"/>
        <v>0.44719687092568439</v>
      </c>
      <c r="K49" s="11">
        <v>3.783783783783784E-2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0.27113302818947982</v>
      </c>
      <c r="Q49" s="12">
        <v>8.4294835486117978E-2</v>
      </c>
      <c r="R49" s="14">
        <v>38</v>
      </c>
    </row>
    <row r="50" spans="2:18" x14ac:dyDescent="0.5">
      <c r="B50" s="1" t="s">
        <v>142</v>
      </c>
      <c r="C50" t="s">
        <v>190</v>
      </c>
      <c r="D50" t="s">
        <v>109</v>
      </c>
      <c r="E50">
        <v>41.78</v>
      </c>
      <c r="F50" s="9" t="s">
        <v>68</v>
      </c>
      <c r="G50" s="7">
        <v>106907500544</v>
      </c>
      <c r="H50" s="6">
        <v>71.7</v>
      </c>
      <c r="I50" s="6">
        <v>39.549999999999997</v>
      </c>
      <c r="J50" s="12">
        <f t="shared" si="1"/>
        <v>5.6384323640960909E-2</v>
      </c>
      <c r="K50" s="11">
        <v>3.9253231211105796E-3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9.1446145225788533E-2</v>
      </c>
      <c r="Q50" s="12">
        <v>0.26583067696212276</v>
      </c>
      <c r="R50" s="14">
        <v>30</v>
      </c>
    </row>
    <row r="51" spans="2:18" x14ac:dyDescent="0.5">
      <c r="B51" s="1" t="s">
        <v>271</v>
      </c>
      <c r="C51" t="s">
        <v>326</v>
      </c>
      <c r="D51" t="s">
        <v>174</v>
      </c>
      <c r="E51">
        <v>90</v>
      </c>
      <c r="F51" s="9" t="s">
        <v>68</v>
      </c>
      <c r="G51" s="7">
        <v>22034249728</v>
      </c>
      <c r="H51" s="6">
        <v>95.5</v>
      </c>
      <c r="I51" s="6">
        <v>55.05</v>
      </c>
      <c r="J51" s="12">
        <f t="shared" si="1"/>
        <v>0.63487738419618545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0.18269891034355057</v>
      </c>
      <c r="Q51" s="12">
        <v>9.8446219337080781E-2</v>
      </c>
      <c r="R51" s="14">
        <v>36</v>
      </c>
    </row>
    <row r="52" spans="2:18" x14ac:dyDescent="0.5">
      <c r="B52" s="1" t="s">
        <v>283</v>
      </c>
      <c r="C52" t="s">
        <v>341</v>
      </c>
      <c r="D52" t="s">
        <v>50</v>
      </c>
      <c r="E52">
        <v>22.52</v>
      </c>
      <c r="F52" s="9" t="s">
        <v>68</v>
      </c>
      <c r="G52" s="7">
        <v>35941920768</v>
      </c>
      <c r="H52" s="6">
        <v>27.5</v>
      </c>
      <c r="I52" s="6">
        <v>16.18</v>
      </c>
      <c r="J52" s="12">
        <f t="shared" si="1"/>
        <v>0.39184177997527803</v>
      </c>
      <c r="K52" s="11">
        <v>0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0.11554673861882903</v>
      </c>
      <c r="Q52" s="12">
        <v>0.1667375806872122</v>
      </c>
      <c r="R52" s="14">
        <v>31</v>
      </c>
    </row>
    <row r="53" spans="2:18" x14ac:dyDescent="0.5">
      <c r="B53" s="1" t="s">
        <v>272</v>
      </c>
      <c r="C53" t="s">
        <v>327</v>
      </c>
      <c r="D53" t="s">
        <v>328</v>
      </c>
      <c r="E53">
        <v>7.16</v>
      </c>
      <c r="F53" s="9" t="s">
        <v>68</v>
      </c>
      <c r="G53" s="7">
        <v>14522484736</v>
      </c>
      <c r="H53" s="6">
        <v>7.86</v>
      </c>
      <c r="I53" s="6">
        <v>5.31</v>
      </c>
      <c r="J53" s="12">
        <f t="shared" si="1"/>
        <v>0.34839924670433153</v>
      </c>
      <c r="K53" s="11">
        <v>3.7709497206703912E-2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0.16205464225292862</v>
      </c>
      <c r="Q53" s="12">
        <v>0.10614925092863724</v>
      </c>
      <c r="R53" s="14">
        <v>37</v>
      </c>
    </row>
    <row r="54" spans="2:18" x14ac:dyDescent="0.5">
      <c r="B54" s="1" t="s">
        <v>275</v>
      </c>
      <c r="C54" t="s">
        <v>331</v>
      </c>
      <c r="D54" t="s">
        <v>96</v>
      </c>
      <c r="E54">
        <v>0.52</v>
      </c>
      <c r="F54" s="9" t="s">
        <v>68</v>
      </c>
      <c r="G54" s="7">
        <v>2695529216</v>
      </c>
      <c r="H54" s="6">
        <v>0.68</v>
      </c>
      <c r="I54" s="6">
        <v>0.46</v>
      </c>
      <c r="J54" s="12">
        <f t="shared" si="1"/>
        <v>0.13043478260869557</v>
      </c>
      <c r="K54" s="11">
        <v>3.8461538461538464E-2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0.28949073626199495</v>
      </c>
      <c r="Q54" s="12">
        <v>8.5775443346640556E-2</v>
      </c>
      <c r="R54" s="14">
        <v>35</v>
      </c>
    </row>
    <row r="55" spans="2:18" x14ac:dyDescent="0.5">
      <c r="B55" s="1" t="s">
        <v>279</v>
      </c>
      <c r="C55" t="s">
        <v>336</v>
      </c>
      <c r="D55" t="s">
        <v>337</v>
      </c>
      <c r="E55">
        <v>3.49</v>
      </c>
      <c r="F55" s="9" t="s">
        <v>68</v>
      </c>
      <c r="G55" s="7">
        <v>7925999104</v>
      </c>
      <c r="H55" s="6">
        <v>4.79</v>
      </c>
      <c r="I55" s="6">
        <v>3.23</v>
      </c>
      <c r="J55" s="12">
        <f t="shared" si="1"/>
        <v>8.0495356037151744E-2</v>
      </c>
      <c r="K55" s="11">
        <v>4.2979942693409739E-2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0.14970135541662441</v>
      </c>
      <c r="Q55" s="12">
        <v>0.14788755315990715</v>
      </c>
      <c r="R55" s="14">
        <v>27</v>
      </c>
    </row>
    <row r="56" spans="2:18" x14ac:dyDescent="0.5">
      <c r="B56" s="1" t="s">
        <v>285</v>
      </c>
      <c r="C56" t="s">
        <v>343</v>
      </c>
      <c r="D56" t="s">
        <v>181</v>
      </c>
      <c r="E56">
        <v>6.83</v>
      </c>
      <c r="F56" s="9" t="s">
        <v>68</v>
      </c>
      <c r="G56" s="7">
        <v>2649247744</v>
      </c>
      <c r="H56" s="6">
        <v>14.18</v>
      </c>
      <c r="I56" s="6">
        <v>3.75</v>
      </c>
      <c r="J56" s="12">
        <f t="shared" si="1"/>
        <v>0.82133333333333325</v>
      </c>
      <c r="K56" s="11">
        <v>5.8565153733528552E-2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0.27952037483906733</v>
      </c>
      <c r="Q56" s="12">
        <v>9.4606035666412708E-2</v>
      </c>
      <c r="R56" s="14">
        <v>31</v>
      </c>
    </row>
    <row r="57" spans="2:18" x14ac:dyDescent="0.5">
      <c r="B57" s="1" t="s">
        <v>270</v>
      </c>
      <c r="C57" t="s">
        <v>325</v>
      </c>
      <c r="D57" t="s">
        <v>308</v>
      </c>
      <c r="E57">
        <v>7.06</v>
      </c>
      <c r="F57" s="9" t="s">
        <v>68</v>
      </c>
      <c r="G57" s="7">
        <v>31021778944</v>
      </c>
      <c r="H57" s="6">
        <v>7.3</v>
      </c>
      <c r="I57" s="6">
        <v>4.8</v>
      </c>
      <c r="J57" s="12">
        <f t="shared" si="1"/>
        <v>0.47083333333333321</v>
      </c>
      <c r="K57" s="11">
        <v>5.2124645892351273E-2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0.16071078498618283</v>
      </c>
      <c r="Q57" s="12">
        <v>9.2221214358852555E-2</v>
      </c>
      <c r="R57" s="14">
        <v>46</v>
      </c>
    </row>
    <row r="58" spans="2:18" x14ac:dyDescent="0.5">
      <c r="B58" s="1" t="s">
        <v>267</v>
      </c>
      <c r="C58" t="s">
        <v>321</v>
      </c>
      <c r="D58" t="s">
        <v>322</v>
      </c>
      <c r="E58">
        <v>9.5500000000000007</v>
      </c>
      <c r="F58" s="9" t="s">
        <v>68</v>
      </c>
      <c r="G58" s="7">
        <v>23938508800</v>
      </c>
      <c r="H58" s="6">
        <v>9.6</v>
      </c>
      <c r="I58" s="6">
        <v>3.99</v>
      </c>
      <c r="J58" s="12">
        <f t="shared" si="1"/>
        <v>1.3934837092731831</v>
      </c>
      <c r="K58" s="11">
        <v>3.361256544502618E-2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0.12738610349391966</v>
      </c>
      <c r="Q58" s="12">
        <v>0.102358453189061</v>
      </c>
      <c r="R58" s="14">
        <v>49</v>
      </c>
    </row>
    <row r="59" spans="2:18" x14ac:dyDescent="0.5">
      <c r="B59" s="1" t="s">
        <v>113</v>
      </c>
      <c r="C59" t="s">
        <v>150</v>
      </c>
      <c r="D59" t="s">
        <v>151</v>
      </c>
      <c r="E59">
        <v>4.68</v>
      </c>
      <c r="F59" s="9" t="s">
        <v>68</v>
      </c>
      <c r="G59" s="7">
        <v>6717718528</v>
      </c>
      <c r="H59" s="6">
        <v>7.75</v>
      </c>
      <c r="I59" s="6">
        <v>2.36</v>
      </c>
      <c r="J59" s="12">
        <f t="shared" si="1"/>
        <v>0.98305084745762716</v>
      </c>
      <c r="K59" s="11">
        <v>5.4273504273504275E-2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0.13336830021876633</v>
      </c>
      <c r="Q59" s="12">
        <v>0.14675695119790894</v>
      </c>
      <c r="R59" s="14">
        <v>34</v>
      </c>
    </row>
    <row r="60" spans="2:18" x14ac:dyDescent="0.5">
      <c r="B60" s="1" t="s">
        <v>269</v>
      </c>
      <c r="C60" t="s">
        <v>324</v>
      </c>
      <c r="D60" t="s">
        <v>306</v>
      </c>
      <c r="E60">
        <v>4.5999999999999996</v>
      </c>
      <c r="F60" s="9" t="s">
        <v>68</v>
      </c>
      <c r="G60" s="7">
        <v>4251053312</v>
      </c>
      <c r="H60" s="6">
        <v>5.59</v>
      </c>
      <c r="I60" s="6">
        <v>3.4</v>
      </c>
      <c r="J60" s="12">
        <f t="shared" si="1"/>
        <v>0.35294117647058809</v>
      </c>
      <c r="K60" s="11">
        <v>3.3695652173913043E-2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0.43575008146147065</v>
      </c>
      <c r="Q60" s="12">
        <v>6.460670188445812E-2</v>
      </c>
      <c r="R60" s="14">
        <v>36</v>
      </c>
    </row>
    <row r="61" spans="2:18" x14ac:dyDescent="0.5">
      <c r="B61" s="1" t="s">
        <v>35</v>
      </c>
      <c r="C61" t="s">
        <v>100</v>
      </c>
      <c r="D61" t="s">
        <v>101</v>
      </c>
      <c r="E61">
        <v>455.4</v>
      </c>
      <c r="F61" s="9" t="s">
        <v>68</v>
      </c>
      <c r="G61" s="7">
        <v>575552749568</v>
      </c>
      <c r="H61" s="6">
        <v>466</v>
      </c>
      <c r="I61" s="6">
        <v>218.4</v>
      </c>
      <c r="J61" s="12">
        <f t="shared" si="1"/>
        <v>1.0851648351648349</v>
      </c>
      <c r="K61" s="11">
        <v>2.3935002195871764E-2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4.6881029602356718E-2</v>
      </c>
      <c r="Q61" s="12">
        <v>0.38520389214885242</v>
      </c>
      <c r="R61" s="14">
        <v>40</v>
      </c>
    </row>
    <row r="62" spans="2:18" x14ac:dyDescent="0.5">
      <c r="B62" s="1" t="s">
        <v>133</v>
      </c>
      <c r="C62" t="s">
        <v>176</v>
      </c>
      <c r="D62" t="s">
        <v>177</v>
      </c>
      <c r="E62">
        <v>24.8</v>
      </c>
      <c r="F62" s="9" t="s">
        <v>68</v>
      </c>
      <c r="G62" s="7">
        <v>656540303360</v>
      </c>
      <c r="H62" s="6">
        <v>25.16</v>
      </c>
      <c r="I62" s="6">
        <v>13.52</v>
      </c>
      <c r="J62" s="12">
        <f t="shared" si="1"/>
        <v>0.83431952662721898</v>
      </c>
      <c r="K62" s="11">
        <v>1.532258064516129E-2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7.1662809243398504E-2</v>
      </c>
      <c r="Q62" s="12">
        <v>0.19428864891763736</v>
      </c>
      <c r="R62" s="14">
        <v>42</v>
      </c>
    </row>
    <row r="63" spans="2:18" x14ac:dyDescent="0.5">
      <c r="B63" s="1" t="s">
        <v>277</v>
      </c>
      <c r="C63" t="s">
        <v>333</v>
      </c>
      <c r="D63" t="s">
        <v>83</v>
      </c>
      <c r="E63">
        <v>2.77</v>
      </c>
      <c r="F63" s="9" t="s">
        <v>68</v>
      </c>
      <c r="G63" s="7">
        <v>11855877120</v>
      </c>
      <c r="H63" s="6">
        <v>3.55</v>
      </c>
      <c r="I63" s="6">
        <v>1.34</v>
      </c>
      <c r="J63" s="12">
        <f t="shared" si="1"/>
        <v>1.0671641791044775</v>
      </c>
      <c r="K63" s="11">
        <v>4.4043321299638991E-2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0.12452506939172471</v>
      </c>
      <c r="Q63" s="12">
        <v>0.11502419323187564</v>
      </c>
      <c r="R63" s="14">
        <v>45</v>
      </c>
    </row>
    <row r="64" spans="2:18" x14ac:dyDescent="0.5">
      <c r="B64" s="1" t="s">
        <v>119</v>
      </c>
      <c r="C64" t="s">
        <v>159</v>
      </c>
      <c r="D64" t="s">
        <v>85</v>
      </c>
      <c r="E64">
        <v>335.4</v>
      </c>
      <c r="F64" s="9" t="s">
        <v>68</v>
      </c>
      <c r="G64" s="7">
        <v>445464870912</v>
      </c>
      <c r="H64" s="6">
        <v>339.8</v>
      </c>
      <c r="I64" s="6">
        <v>43.85</v>
      </c>
      <c r="J64" s="12">
        <f t="shared" si="1"/>
        <v>6.6488027366020521</v>
      </c>
      <c r="K64" s="11">
        <v>2.4299344066785926E-3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1.0705016635621371E-2</v>
      </c>
      <c r="Q64" s="12">
        <v>0.41263985929711272</v>
      </c>
      <c r="R64" s="14">
        <v>44</v>
      </c>
    </row>
    <row r="65" spans="2:18" x14ac:dyDescent="0.5">
      <c r="B65" s="1" t="s">
        <v>138</v>
      </c>
      <c r="C65" t="s">
        <v>184</v>
      </c>
      <c r="D65" t="s">
        <v>185</v>
      </c>
      <c r="E65">
        <v>368.6</v>
      </c>
      <c r="F65" s="9" t="s">
        <v>68</v>
      </c>
      <c r="G65" s="7">
        <v>135456448512</v>
      </c>
      <c r="H65" s="6">
        <v>421.4</v>
      </c>
      <c r="I65" s="6">
        <v>256</v>
      </c>
      <c r="J65" s="12">
        <f t="shared" si="1"/>
        <v>0.43984375000000009</v>
      </c>
      <c r="K65" s="11">
        <v>2.170374389582203E-3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6.21911873704762E-2</v>
      </c>
      <c r="Q65" s="12">
        <v>0.20495303159692571</v>
      </c>
      <c r="R65" s="14">
        <v>41</v>
      </c>
    </row>
    <row r="66" spans="2:18" x14ac:dyDescent="0.5">
      <c r="B66" s="1" t="s">
        <v>265</v>
      </c>
      <c r="C66" t="s">
        <v>318</v>
      </c>
      <c r="D66" t="s">
        <v>319</v>
      </c>
      <c r="E66">
        <v>9.4700000000000006</v>
      </c>
      <c r="F66" s="9" t="s">
        <v>68</v>
      </c>
      <c r="G66" s="7">
        <v>17116362752</v>
      </c>
      <c r="H66" s="6">
        <v>9.7899999999999991</v>
      </c>
      <c r="I66" s="6">
        <v>5.49</v>
      </c>
      <c r="J66" s="12">
        <f t="shared" ref="J66:J97" si="2">E66/I66-1</f>
        <v>0.72495446265938068</v>
      </c>
      <c r="K66" s="11">
        <v>2.6399155227032733E-2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0.1315173173512165</v>
      </c>
      <c r="Q66" s="12">
        <v>0.11156568921912897</v>
      </c>
      <c r="R66" s="14">
        <v>44</v>
      </c>
    </row>
    <row r="67" spans="2:18" x14ac:dyDescent="0.5">
      <c r="B67" s="1" t="s">
        <v>371</v>
      </c>
      <c r="C67" t="s">
        <v>373</v>
      </c>
      <c r="D67" t="s">
        <v>174</v>
      </c>
      <c r="E67">
        <v>13.16</v>
      </c>
      <c r="F67" s="9" t="s">
        <v>68</v>
      </c>
      <c r="G67" s="7">
        <v>3466054400</v>
      </c>
      <c r="H67" s="6">
        <v>15.58</v>
      </c>
      <c r="I67" s="6">
        <v>8.06</v>
      </c>
      <c r="J67" s="12">
        <f t="shared" si="2"/>
        <v>0.63275434243176165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0.65382120006223143</v>
      </c>
      <c r="Q67" s="12">
        <v>-0.11631254679805218</v>
      </c>
      <c r="R67" s="14">
        <v>46</v>
      </c>
    </row>
    <row r="68" spans="2:18" x14ac:dyDescent="0.5">
      <c r="B68" s="1" t="s">
        <v>137</v>
      </c>
      <c r="C68" t="s">
        <v>182</v>
      </c>
      <c r="D68" t="s">
        <v>183</v>
      </c>
      <c r="E68">
        <v>39.880000000000003</v>
      </c>
      <c r="F68" s="9" t="s">
        <v>68</v>
      </c>
      <c r="G68" s="7">
        <v>27584198656</v>
      </c>
      <c r="H68" s="6">
        <v>40.799999999999997</v>
      </c>
      <c r="I68" s="6">
        <v>14.78</v>
      </c>
      <c r="J68" s="12">
        <f t="shared" si="2"/>
        <v>1.6982408660351829</v>
      </c>
      <c r="K68" s="11">
        <v>1.2537612838515545E-2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4.4033837833663027E-2</v>
      </c>
      <c r="Q68" s="12">
        <v>0.222258562943417</v>
      </c>
      <c r="R68" s="14">
        <v>49</v>
      </c>
    </row>
    <row r="69" spans="2:18" x14ac:dyDescent="0.5">
      <c r="B69" s="1" t="s">
        <v>268</v>
      </c>
      <c r="C69" t="s">
        <v>323</v>
      </c>
      <c r="D69" t="s">
        <v>50</v>
      </c>
      <c r="E69">
        <v>3.72</v>
      </c>
      <c r="F69" s="9" t="s">
        <v>68</v>
      </c>
      <c r="G69" s="7">
        <v>7020718592</v>
      </c>
      <c r="H69" s="6">
        <v>4.18</v>
      </c>
      <c r="I69" s="6">
        <v>1.74</v>
      </c>
      <c r="J69" s="12">
        <f t="shared" si="2"/>
        <v>1.1379310344827589</v>
      </c>
      <c r="K69" s="11">
        <v>4.301075268817204E-2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0.10407287057182243</v>
      </c>
      <c r="Q69" s="12">
        <v>0.12982345485897689</v>
      </c>
      <c r="R69" s="14">
        <v>50</v>
      </c>
    </row>
    <row r="70" spans="2:18" x14ac:dyDescent="0.5">
      <c r="B70" s="1" t="s">
        <v>125</v>
      </c>
      <c r="C70" t="s">
        <v>166</v>
      </c>
      <c r="D70" t="s">
        <v>167</v>
      </c>
      <c r="E70">
        <v>25</v>
      </c>
      <c r="F70" s="9" t="s">
        <v>68</v>
      </c>
      <c r="G70" s="7">
        <v>28440498176</v>
      </c>
      <c r="H70" s="6">
        <v>28.75</v>
      </c>
      <c r="I70" s="6">
        <v>19.52</v>
      </c>
      <c r="J70" s="12">
        <f t="shared" si="2"/>
        <v>0.28073770491803285</v>
      </c>
      <c r="K70" s="11">
        <v>5.5999999999999994E-2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0.13531267269595645</v>
      </c>
      <c r="Q70" s="12">
        <v>0.10133893359397213</v>
      </c>
      <c r="R70" s="14">
        <v>47</v>
      </c>
    </row>
    <row r="71" spans="2:18" x14ac:dyDescent="0.5">
      <c r="B71" s="1" t="s">
        <v>37</v>
      </c>
      <c r="C71" t="s">
        <v>103</v>
      </c>
      <c r="D71" t="s">
        <v>104</v>
      </c>
      <c r="E71">
        <v>6.91</v>
      </c>
      <c r="F71" s="9" t="s">
        <v>68</v>
      </c>
      <c r="G71" s="7">
        <v>5384285696</v>
      </c>
      <c r="H71" s="6">
        <v>8.83</v>
      </c>
      <c r="I71" s="6">
        <v>4.28</v>
      </c>
      <c r="J71" s="12">
        <f t="shared" si="2"/>
        <v>0.61448598130841114</v>
      </c>
      <c r="K71" s="11">
        <v>2.4602026049204053E-2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0.1413492998080956</v>
      </c>
      <c r="Q71" s="12">
        <v>8.9074849645861431E-2</v>
      </c>
      <c r="R71" s="14">
        <v>52</v>
      </c>
    </row>
    <row r="72" spans="2:18" x14ac:dyDescent="0.5">
      <c r="B72" s="1" t="s">
        <v>115</v>
      </c>
      <c r="C72" t="s">
        <v>154</v>
      </c>
      <c r="D72" t="s">
        <v>155</v>
      </c>
      <c r="E72">
        <v>69.75</v>
      </c>
      <c r="F72" s="9" t="s">
        <v>68</v>
      </c>
      <c r="G72" s="7">
        <v>182659203072</v>
      </c>
      <c r="H72" s="6">
        <v>70.400000000000006</v>
      </c>
      <c r="I72" s="6">
        <v>43.8</v>
      </c>
      <c r="J72" s="12">
        <f t="shared" si="2"/>
        <v>0.59246575342465757</v>
      </c>
      <c r="K72" s="11">
        <v>3.870967741935484E-2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5.3569424996541576E-2</v>
      </c>
      <c r="Q72" s="12">
        <v>0.18855793075067021</v>
      </c>
      <c r="R72" s="14">
        <v>51</v>
      </c>
    </row>
    <row r="73" spans="2:18" x14ac:dyDescent="0.5">
      <c r="B73" s="1" t="s">
        <v>130</v>
      </c>
      <c r="C73" t="s">
        <v>173</v>
      </c>
      <c r="D73" t="s">
        <v>174</v>
      </c>
      <c r="E73">
        <v>609.5</v>
      </c>
      <c r="F73" s="9" t="s">
        <v>68</v>
      </c>
      <c r="G73" s="7">
        <v>5536661110784</v>
      </c>
      <c r="H73" s="6">
        <v>621</v>
      </c>
      <c r="I73" s="6">
        <v>364.8</v>
      </c>
      <c r="J73" s="12">
        <f t="shared" si="2"/>
        <v>0.67077850877192979</v>
      </c>
      <c r="K73" s="11">
        <v>6.9384741591468416E-3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4.6955682198275769E-2</v>
      </c>
      <c r="Q73" s="12">
        <v>0.19352168899747973</v>
      </c>
      <c r="R73" s="14">
        <v>52</v>
      </c>
    </row>
    <row r="74" spans="2:18" x14ac:dyDescent="0.5">
      <c r="B74" s="1" t="s">
        <v>120</v>
      </c>
      <c r="C74" t="s">
        <v>160</v>
      </c>
      <c r="D74" t="s">
        <v>69</v>
      </c>
      <c r="E74">
        <v>6.24</v>
      </c>
      <c r="F74" s="9" t="s">
        <v>68</v>
      </c>
      <c r="G74" s="7">
        <v>10150670336</v>
      </c>
      <c r="H74" s="6">
        <v>7.05</v>
      </c>
      <c r="I74" s="6">
        <v>4.2699999999999996</v>
      </c>
      <c r="J74" s="12">
        <f t="shared" si="2"/>
        <v>0.4613583138173305</v>
      </c>
      <c r="K74" s="11">
        <v>4.4871794871794872E-2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0.11596801658866274</v>
      </c>
      <c r="Q74" s="12">
        <v>9.3783286642795421E-2</v>
      </c>
      <c r="R74" s="14">
        <v>57</v>
      </c>
    </row>
    <row r="75" spans="2:18" x14ac:dyDescent="0.5">
      <c r="B75" s="1" t="s">
        <v>126</v>
      </c>
      <c r="C75" t="s">
        <v>168</v>
      </c>
      <c r="D75" t="s">
        <v>109</v>
      </c>
      <c r="E75">
        <v>14.7</v>
      </c>
      <c r="F75" s="9" t="s">
        <v>68</v>
      </c>
      <c r="G75" s="7">
        <v>145014603776</v>
      </c>
      <c r="H75" s="6">
        <v>14.98</v>
      </c>
      <c r="I75" s="6">
        <v>5.83</v>
      </c>
      <c r="J75" s="12">
        <f t="shared" si="2"/>
        <v>1.5214408233276155</v>
      </c>
      <c r="K75" s="11">
        <v>3.5374149659863949E-2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5.3786056598598607E-2</v>
      </c>
      <c r="Q75" s="12">
        <v>0.18453201842262756</v>
      </c>
      <c r="R75" s="14">
        <v>51</v>
      </c>
    </row>
    <row r="76" spans="2:18" x14ac:dyDescent="0.5">
      <c r="B76" s="1" t="s">
        <v>264</v>
      </c>
      <c r="C76" t="s">
        <v>317</v>
      </c>
      <c r="D76" t="s">
        <v>75</v>
      </c>
      <c r="E76">
        <v>7.48</v>
      </c>
      <c r="F76" s="9" t="s">
        <v>68</v>
      </c>
      <c r="G76" s="7">
        <v>5065934848</v>
      </c>
      <c r="H76" s="6">
        <v>10.06</v>
      </c>
      <c r="I76" s="6">
        <v>6.56</v>
      </c>
      <c r="J76" s="12">
        <f t="shared" si="2"/>
        <v>0.14024390243902451</v>
      </c>
      <c r="K76" s="11">
        <v>0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0.10853127932334139</v>
      </c>
      <c r="Q76" s="12">
        <v>0.12279555988606453</v>
      </c>
      <c r="R76" s="14">
        <v>48</v>
      </c>
    </row>
    <row r="77" spans="2:18" x14ac:dyDescent="0.5">
      <c r="B77" s="1" t="s">
        <v>262</v>
      </c>
      <c r="C77" t="s">
        <v>315</v>
      </c>
      <c r="D77" t="s">
        <v>155</v>
      </c>
      <c r="E77">
        <v>28.92</v>
      </c>
      <c r="F77" s="9" t="s">
        <v>68</v>
      </c>
      <c r="G77" s="7">
        <v>26630809600</v>
      </c>
      <c r="H77" s="6">
        <v>29.58</v>
      </c>
      <c r="I77" s="6">
        <v>9.9</v>
      </c>
      <c r="J77" s="12">
        <f t="shared" si="2"/>
        <v>1.9212121212121214</v>
      </c>
      <c r="K77" s="11">
        <v>2.6970954356846473E-3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0.10822274266215554</v>
      </c>
      <c r="Q77" s="12">
        <v>0.11071024253191752</v>
      </c>
      <c r="R77" s="14">
        <v>55</v>
      </c>
    </row>
    <row r="78" spans="2:18" x14ac:dyDescent="0.5">
      <c r="B78" s="1" t="s">
        <v>31</v>
      </c>
      <c r="C78" t="s">
        <v>94</v>
      </c>
      <c r="D78" t="s">
        <v>75</v>
      </c>
      <c r="E78">
        <v>3.33</v>
      </c>
      <c r="F78" s="9" t="s">
        <v>68</v>
      </c>
      <c r="G78" s="7">
        <v>20650061824</v>
      </c>
      <c r="H78" s="6">
        <v>4.13</v>
      </c>
      <c r="I78" s="6">
        <v>2.11</v>
      </c>
      <c r="J78" s="12">
        <f t="shared" si="2"/>
        <v>0.57819905213270162</v>
      </c>
      <c r="K78" s="11">
        <v>4.8048048048048048E-2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8.061633166329997E-2</v>
      </c>
      <c r="Q78" s="12">
        <v>0.1499088374088374</v>
      </c>
      <c r="R78" s="14">
        <v>53</v>
      </c>
    </row>
    <row r="79" spans="2:18" x14ac:dyDescent="0.5">
      <c r="B79" s="1" t="s">
        <v>263</v>
      </c>
      <c r="C79" t="s">
        <v>316</v>
      </c>
      <c r="D79" t="s">
        <v>241</v>
      </c>
      <c r="E79">
        <v>8.6</v>
      </c>
      <c r="F79" s="9" t="s">
        <v>68</v>
      </c>
      <c r="G79" s="7">
        <v>113460666368</v>
      </c>
      <c r="H79" s="6">
        <v>11</v>
      </c>
      <c r="I79" s="6">
        <v>6.84</v>
      </c>
      <c r="J79" s="12">
        <f t="shared" si="2"/>
        <v>0.25730994152046782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9.8205603853845691E-2</v>
      </c>
      <c r="Q79" s="12">
        <v>0.1154893948238957</v>
      </c>
      <c r="R79" s="14">
        <v>56</v>
      </c>
    </row>
    <row r="80" spans="2:18" x14ac:dyDescent="0.5">
      <c r="B80" s="1" t="s">
        <v>135</v>
      </c>
      <c r="C80" t="s">
        <v>179</v>
      </c>
      <c r="D80" t="s">
        <v>77</v>
      </c>
      <c r="E80">
        <v>15.55</v>
      </c>
      <c r="F80" s="9" t="s">
        <v>68</v>
      </c>
      <c r="G80" s="7">
        <v>65279057920</v>
      </c>
      <c r="H80" s="6">
        <v>16.3</v>
      </c>
      <c r="I80" s="6">
        <v>11.38</v>
      </c>
      <c r="J80" s="12">
        <f t="shared" si="2"/>
        <v>0.36643233743409498</v>
      </c>
      <c r="K80" s="11">
        <v>5.6977491961414786E-2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0.13567517719096708</v>
      </c>
      <c r="Q80" s="12">
        <v>8.6741482038526066E-2</v>
      </c>
      <c r="R80" s="14">
        <v>54</v>
      </c>
    </row>
    <row r="81" spans="2:18" x14ac:dyDescent="0.5">
      <c r="B81" s="1" t="s">
        <v>135</v>
      </c>
      <c r="C81" t="s">
        <v>179</v>
      </c>
      <c r="D81" t="s">
        <v>77</v>
      </c>
      <c r="E81">
        <v>15.55</v>
      </c>
      <c r="F81" s="9" t="s">
        <v>68</v>
      </c>
      <c r="G81" s="7">
        <v>65279057920</v>
      </c>
      <c r="H81" s="6">
        <v>16.3</v>
      </c>
      <c r="I81" s="6">
        <v>11.38</v>
      </c>
      <c r="J81" s="12">
        <f t="shared" si="2"/>
        <v>0.36643233743409498</v>
      </c>
      <c r="K81" s="11">
        <v>5.6977491961414786E-2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0.13567517719096708</v>
      </c>
      <c r="Q81" s="12">
        <v>8.6741482038526066E-2</v>
      </c>
      <c r="R81" s="14">
        <v>54</v>
      </c>
    </row>
    <row r="82" spans="2:18" x14ac:dyDescent="0.5">
      <c r="B82" s="1" t="s">
        <v>36</v>
      </c>
      <c r="C82" t="s">
        <v>102</v>
      </c>
      <c r="D82" t="s">
        <v>50</v>
      </c>
      <c r="E82">
        <v>17.7</v>
      </c>
      <c r="F82" s="9" t="s">
        <v>68</v>
      </c>
      <c r="G82" s="7">
        <v>74275577856</v>
      </c>
      <c r="H82" s="6">
        <v>119.9</v>
      </c>
      <c r="I82" s="6">
        <v>7.51</v>
      </c>
      <c r="J82" s="12">
        <f t="shared" si="2"/>
        <v>1.3568575233022635</v>
      </c>
      <c r="K82" s="11">
        <v>2.4745762711864409E-2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8.689435079464751E-2</v>
      </c>
      <c r="Q82" s="12">
        <v>9.6670468672106824E-2</v>
      </c>
      <c r="R82" s="14">
        <v>62</v>
      </c>
    </row>
    <row r="83" spans="2:18" x14ac:dyDescent="0.5">
      <c r="B83" s="1" t="s">
        <v>389</v>
      </c>
      <c r="C83" t="s">
        <v>390</v>
      </c>
      <c r="D83" t="s">
        <v>185</v>
      </c>
      <c r="E83">
        <v>7.13</v>
      </c>
      <c r="F83" s="9" t="s">
        <v>68</v>
      </c>
      <c r="G83" s="7">
        <v>4090794752</v>
      </c>
      <c r="H83" s="6">
        <v>9.24</v>
      </c>
      <c r="I83" s="6">
        <v>6.78</v>
      </c>
      <c r="J83" s="12">
        <f t="shared" si="2"/>
        <v>5.1622418879055942E-2</v>
      </c>
      <c r="K83" s="11">
        <v>5.6100981767180931E-2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7.1843764757356057E-2</v>
      </c>
      <c r="Q83" s="12">
        <v>0.12232565520665489</v>
      </c>
      <c r="R83" s="14">
        <v>58</v>
      </c>
    </row>
    <row r="84" spans="2:18" x14ac:dyDescent="0.5">
      <c r="B84" s="1" t="s">
        <v>258</v>
      </c>
      <c r="C84" t="s">
        <v>311</v>
      </c>
      <c r="D84" t="s">
        <v>98</v>
      </c>
      <c r="E84">
        <v>2.27</v>
      </c>
      <c r="F84" s="9" t="s">
        <v>68</v>
      </c>
      <c r="G84" s="7">
        <v>2107858432</v>
      </c>
      <c r="H84" s="6">
        <v>2.54</v>
      </c>
      <c r="I84" s="6">
        <v>1.72</v>
      </c>
      <c r="J84" s="12">
        <f t="shared" si="2"/>
        <v>0.31976744186046524</v>
      </c>
      <c r="K84" s="11">
        <v>3.9647577092511009E-2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0.13592839335060802</v>
      </c>
      <c r="Q84" s="12">
        <v>3.9146558666946343E-2</v>
      </c>
      <c r="R84" s="14">
        <v>59</v>
      </c>
    </row>
    <row r="85" spans="2:18" x14ac:dyDescent="0.5">
      <c r="B85" s="1" t="s">
        <v>141</v>
      </c>
      <c r="C85" t="s">
        <v>189</v>
      </c>
      <c r="D85" t="s">
        <v>104</v>
      </c>
      <c r="E85">
        <v>39.86</v>
      </c>
      <c r="F85" s="9" t="s">
        <v>68</v>
      </c>
      <c r="G85" s="7">
        <v>89812549632</v>
      </c>
      <c r="H85" s="6">
        <v>61.55</v>
      </c>
      <c r="I85" s="6">
        <v>24.85</v>
      </c>
      <c r="J85" s="12">
        <f t="shared" si="2"/>
        <v>0.60402414486921518</v>
      </c>
      <c r="K85" s="11">
        <v>1.424987456096337E-2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5.8803518257297772E-2</v>
      </c>
      <c r="Q85" s="12">
        <v>0.12176329850933591</v>
      </c>
      <c r="R85" s="14">
        <v>60</v>
      </c>
    </row>
    <row r="86" spans="2:18" x14ac:dyDescent="0.5">
      <c r="B86" s="1" t="s">
        <v>261</v>
      </c>
      <c r="C86" t="s">
        <v>314</v>
      </c>
      <c r="D86" t="s">
        <v>306</v>
      </c>
      <c r="E86">
        <v>57.45</v>
      </c>
      <c r="F86" s="9" t="s">
        <v>68</v>
      </c>
      <c r="G86" s="7">
        <v>1129064824832</v>
      </c>
      <c r="H86" s="6">
        <v>59.8</v>
      </c>
      <c r="I86" s="6">
        <v>34</v>
      </c>
      <c r="J86" s="12">
        <f t="shared" si="2"/>
        <v>0.68970588235294117</v>
      </c>
      <c r="K86" s="11">
        <v>4.4386422976501298E-2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0.12643018941753326</v>
      </c>
      <c r="Q86" s="12">
        <v>8.2016774784268678E-2</v>
      </c>
      <c r="R86" s="14">
        <v>58</v>
      </c>
    </row>
    <row r="87" spans="2:18" x14ac:dyDescent="0.5">
      <c r="B87" s="1" t="s">
        <v>18</v>
      </c>
      <c r="C87" t="s">
        <v>67</v>
      </c>
      <c r="D87" t="s">
        <v>66</v>
      </c>
      <c r="E87">
        <v>64.95</v>
      </c>
      <c r="F87" s="9" t="s">
        <v>68</v>
      </c>
      <c r="G87" s="7">
        <v>160253722624</v>
      </c>
      <c r="H87" s="6">
        <v>82.25</v>
      </c>
      <c r="I87" s="6">
        <v>37.85</v>
      </c>
      <c r="J87" s="12">
        <f t="shared" si="2"/>
        <v>0.71598414795244381</v>
      </c>
      <c r="K87" s="11">
        <v>1.6166281755196306E-2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5.2772560137539885E-2</v>
      </c>
      <c r="Q87" s="12">
        <v>0.10968970241604512</v>
      </c>
      <c r="R87" s="14">
        <v>66</v>
      </c>
    </row>
    <row r="88" spans="2:18" x14ac:dyDescent="0.5">
      <c r="B88" s="1" t="s">
        <v>123</v>
      </c>
      <c r="C88" t="s">
        <v>163</v>
      </c>
      <c r="D88" t="s">
        <v>164</v>
      </c>
      <c r="E88">
        <v>7.2</v>
      </c>
      <c r="F88" s="9" t="s">
        <v>68</v>
      </c>
      <c r="G88" s="7">
        <v>50593607680</v>
      </c>
      <c r="H88" s="6">
        <v>10.72</v>
      </c>
      <c r="I88" s="6">
        <v>5</v>
      </c>
      <c r="J88" s="12">
        <f t="shared" si="2"/>
        <v>0.43999999999999995</v>
      </c>
      <c r="K88" s="11">
        <v>5.9722222222222218E-2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8.668364697371285E-2</v>
      </c>
      <c r="Q88" s="12">
        <v>9.5261833390841127E-2</v>
      </c>
      <c r="R88" s="14">
        <v>63</v>
      </c>
    </row>
    <row r="89" spans="2:18" x14ac:dyDescent="0.5">
      <c r="B89" s="1" t="s">
        <v>136</v>
      </c>
      <c r="C89" t="s">
        <v>180</v>
      </c>
      <c r="D89" t="s">
        <v>181</v>
      </c>
      <c r="E89">
        <v>12.14</v>
      </c>
      <c r="F89" s="9" t="s">
        <v>68</v>
      </c>
      <c r="G89" s="7">
        <v>28604631040</v>
      </c>
      <c r="H89" s="6">
        <v>12.6</v>
      </c>
      <c r="I89" s="6">
        <v>5.19</v>
      </c>
      <c r="J89" s="12">
        <f t="shared" si="2"/>
        <v>1.3391136801541426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0.11283022184229664</v>
      </c>
      <c r="Q89" s="12">
        <v>6.4862080854845933E-2</v>
      </c>
      <c r="R89" s="14">
        <v>62</v>
      </c>
    </row>
    <row r="90" spans="2:18" x14ac:dyDescent="0.5">
      <c r="B90" s="1" t="s">
        <v>116</v>
      </c>
      <c r="C90" t="s">
        <v>156</v>
      </c>
      <c r="D90" t="s">
        <v>93</v>
      </c>
      <c r="E90">
        <v>24.18</v>
      </c>
      <c r="F90" s="9" t="s">
        <v>68</v>
      </c>
      <c r="G90" s="7">
        <v>139098357760</v>
      </c>
      <c r="H90" s="6">
        <v>26.6</v>
      </c>
      <c r="I90" s="6">
        <v>16.02</v>
      </c>
      <c r="J90" s="12">
        <f t="shared" si="2"/>
        <v>0.50936329588014972</v>
      </c>
      <c r="K90" s="11">
        <v>2.9363110008271298E-2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0.12059724760576163</v>
      </c>
      <c r="Q90" s="12">
        <v>5.0146340085309396E-2</v>
      </c>
      <c r="R90" s="14">
        <v>61</v>
      </c>
    </row>
    <row r="91" spans="2:18" x14ac:dyDescent="0.5">
      <c r="B91" s="1" t="s">
        <v>259</v>
      </c>
      <c r="C91" t="s">
        <v>312</v>
      </c>
      <c r="D91" t="s">
        <v>308</v>
      </c>
      <c r="E91">
        <v>2.33</v>
      </c>
      <c r="F91" s="9" t="s">
        <v>68</v>
      </c>
      <c r="G91" s="7">
        <v>73377054720</v>
      </c>
      <c r="H91" s="6">
        <v>2.37</v>
      </c>
      <c r="I91" s="6">
        <v>1.18</v>
      </c>
      <c r="J91" s="12">
        <f t="shared" si="2"/>
        <v>0.97457627118644075</v>
      </c>
      <c r="K91" s="11">
        <v>2.4034334763948499E-2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0.1148295143917397</v>
      </c>
      <c r="Q91" s="12">
        <v>5.4568577322633927E-2</v>
      </c>
      <c r="R91" s="14">
        <v>64</v>
      </c>
    </row>
    <row r="92" spans="2:18" x14ac:dyDescent="0.5">
      <c r="B92" s="1" t="s">
        <v>260</v>
      </c>
      <c r="C92" t="s">
        <v>313</v>
      </c>
      <c r="D92" t="s">
        <v>109</v>
      </c>
      <c r="E92">
        <v>12.82</v>
      </c>
      <c r="F92" s="9" t="s">
        <v>68</v>
      </c>
      <c r="G92" s="7">
        <v>8611347456</v>
      </c>
      <c r="H92" s="6">
        <v>13.48</v>
      </c>
      <c r="I92" s="6">
        <v>5.6</v>
      </c>
      <c r="J92" s="12">
        <f t="shared" si="2"/>
        <v>1.2892857142857146</v>
      </c>
      <c r="K92" s="11">
        <v>3.9781591263650544E-2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8.5891337984242852E-2</v>
      </c>
      <c r="Q92" s="12">
        <v>6.5089877530620205E-2</v>
      </c>
      <c r="R92" s="14">
        <v>72</v>
      </c>
    </row>
    <row r="93" spans="2:18" x14ac:dyDescent="0.5">
      <c r="B93" s="1" t="s">
        <v>129</v>
      </c>
      <c r="C93" t="s">
        <v>172</v>
      </c>
      <c r="D93" t="s">
        <v>98</v>
      </c>
      <c r="E93">
        <v>11.66</v>
      </c>
      <c r="F93" s="9" t="s">
        <v>68</v>
      </c>
      <c r="G93" s="7">
        <v>88328699904</v>
      </c>
      <c r="H93" s="6">
        <v>12.95</v>
      </c>
      <c r="I93" s="6">
        <v>9.39</v>
      </c>
      <c r="J93" s="12">
        <f t="shared" si="2"/>
        <v>0.2417465388711395</v>
      </c>
      <c r="K93" s="11">
        <v>6.8353344768439114E-2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6.2898369888066852E-2</v>
      </c>
      <c r="Q93" s="12">
        <v>0.10245263104990703</v>
      </c>
      <c r="R93" s="14">
        <v>64</v>
      </c>
    </row>
    <row r="94" spans="2:18" x14ac:dyDescent="0.5">
      <c r="B94" s="1" t="s">
        <v>112</v>
      </c>
      <c r="C94" t="s">
        <v>149</v>
      </c>
      <c r="D94" t="s">
        <v>98</v>
      </c>
      <c r="E94">
        <v>6.2</v>
      </c>
      <c r="F94" s="9" t="s">
        <v>68</v>
      </c>
      <c r="G94" s="7">
        <v>732133195776</v>
      </c>
      <c r="H94" s="6">
        <v>6.98</v>
      </c>
      <c r="I94" s="6">
        <v>4.18</v>
      </c>
      <c r="J94" s="12">
        <f t="shared" si="2"/>
        <v>0.4832535885167466</v>
      </c>
      <c r="K94" s="11">
        <v>4.4193548387096777E-2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6.7131891164914193E-2</v>
      </c>
      <c r="Q94" s="12">
        <v>9.605709580489824E-2</v>
      </c>
      <c r="R94" s="14">
        <v>65</v>
      </c>
    </row>
    <row r="95" spans="2:18" x14ac:dyDescent="0.5">
      <c r="B95" s="1" t="s">
        <v>127</v>
      </c>
      <c r="C95" t="s">
        <v>169</v>
      </c>
      <c r="D95" t="s">
        <v>104</v>
      </c>
      <c r="E95">
        <v>13.29</v>
      </c>
      <c r="F95" s="9" t="s">
        <v>68</v>
      </c>
      <c r="G95" s="7">
        <v>41464799232</v>
      </c>
      <c r="H95" s="6">
        <v>14.27</v>
      </c>
      <c r="I95" s="6">
        <v>5.6</v>
      </c>
      <c r="J95" s="12">
        <f t="shared" si="2"/>
        <v>1.3732142857142855</v>
      </c>
      <c r="K95" s="11">
        <v>1.5048908954100829E-2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4.5016329482144631E-2</v>
      </c>
      <c r="Q95" s="12">
        <v>0.10689920561026972</v>
      </c>
      <c r="R95" s="14">
        <v>69</v>
      </c>
    </row>
    <row r="96" spans="2:18" x14ac:dyDescent="0.5">
      <c r="B96" s="1" t="s">
        <v>121</v>
      </c>
      <c r="C96" t="s">
        <v>161</v>
      </c>
      <c r="D96" t="s">
        <v>98</v>
      </c>
      <c r="E96">
        <v>10.050000000000001</v>
      </c>
      <c r="F96" s="9" t="s">
        <v>68</v>
      </c>
      <c r="G96" s="7">
        <v>307509919744</v>
      </c>
      <c r="H96" s="6">
        <v>11.56</v>
      </c>
      <c r="I96" s="6">
        <v>6</v>
      </c>
      <c r="J96" s="12">
        <f t="shared" si="2"/>
        <v>0.67500000000000004</v>
      </c>
      <c r="K96" s="11">
        <v>4.378109452736318E-2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9.0246442127613236E-2</v>
      </c>
      <c r="Q96" s="12">
        <v>7.4329031387590908E-2</v>
      </c>
      <c r="R96" s="14">
        <v>68</v>
      </c>
    </row>
    <row r="97" spans="2:18" x14ac:dyDescent="0.5">
      <c r="B97" s="1" t="s">
        <v>257</v>
      </c>
      <c r="C97" t="s">
        <v>310</v>
      </c>
      <c r="D97" t="s">
        <v>151</v>
      </c>
      <c r="E97">
        <v>10.14</v>
      </c>
      <c r="F97" s="9" t="s">
        <v>68</v>
      </c>
      <c r="G97" s="7">
        <v>25697499136</v>
      </c>
      <c r="H97" s="6">
        <v>13.78</v>
      </c>
      <c r="I97" s="6">
        <v>5.55</v>
      </c>
      <c r="J97" s="12">
        <f t="shared" si="2"/>
        <v>0.82702702702702724</v>
      </c>
      <c r="K97" s="11">
        <v>0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0.10391652332763221</v>
      </c>
      <c r="Q97" s="12">
        <v>5.5629198178196171E-2</v>
      </c>
      <c r="R97" s="14">
        <v>67</v>
      </c>
    </row>
    <row r="98" spans="2:18" x14ac:dyDescent="0.5">
      <c r="B98" s="1" t="s">
        <v>117</v>
      </c>
      <c r="C98" t="s">
        <v>157</v>
      </c>
      <c r="D98" t="s">
        <v>151</v>
      </c>
      <c r="E98">
        <v>2.2999999999999998</v>
      </c>
      <c r="F98" s="9" t="s">
        <v>68</v>
      </c>
      <c r="G98" s="7">
        <v>8186550784</v>
      </c>
      <c r="H98" s="6">
        <v>2.95</v>
      </c>
      <c r="I98" s="6">
        <v>1.37</v>
      </c>
      <c r="J98" s="12">
        <f t="shared" ref="J98:J129" si="3">E98/I98-1</f>
        <v>0.67883211678832089</v>
      </c>
      <c r="K98" s="11">
        <v>0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0.11046752881229094</v>
      </c>
      <c r="Q98" s="12">
        <v>3.1227495254580313E-2</v>
      </c>
      <c r="R98" s="14">
        <v>69</v>
      </c>
    </row>
    <row r="99" spans="2:18" x14ac:dyDescent="0.5">
      <c r="B99" s="1" t="s">
        <v>255</v>
      </c>
      <c r="C99" t="s">
        <v>307</v>
      </c>
      <c r="D99" t="s">
        <v>308</v>
      </c>
      <c r="E99">
        <v>5.82</v>
      </c>
      <c r="F99" s="9" t="s">
        <v>68</v>
      </c>
      <c r="G99" s="7">
        <v>115024150528</v>
      </c>
      <c r="H99" s="6">
        <v>7.03</v>
      </c>
      <c r="I99" s="6">
        <v>4.22</v>
      </c>
      <c r="J99" s="12">
        <f t="shared" si="3"/>
        <v>0.37914691943127976</v>
      </c>
      <c r="K99" s="11">
        <v>5.1546391752577317E-2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0.10012131453546021</v>
      </c>
      <c r="Q99" s="12">
        <v>5.643429507724386E-2</v>
      </c>
      <c r="R99" s="14">
        <v>70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51.35</v>
      </c>
      <c r="F100" s="9" t="s">
        <v>68</v>
      </c>
      <c r="G100" s="7">
        <v>196672552960</v>
      </c>
      <c r="H100" s="6">
        <v>54.6</v>
      </c>
      <c r="I100" s="6">
        <v>37.450000000000003</v>
      </c>
      <c r="J100" s="12">
        <f t="shared" si="3"/>
        <v>0.3711615487316422</v>
      </c>
      <c r="K100" s="11">
        <v>4.3310613437195715E-2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0.10431627672399806</v>
      </c>
      <c r="Q100" s="12">
        <v>5.2504192208844336E-2</v>
      </c>
      <c r="R100" s="14">
        <v>67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36.619999999999997</v>
      </c>
      <c r="F101" s="9" t="s">
        <v>68</v>
      </c>
      <c r="G101" s="7">
        <v>128161939456</v>
      </c>
      <c r="H101" s="6">
        <v>38.479999999999997</v>
      </c>
      <c r="I101" s="6">
        <v>28.1</v>
      </c>
      <c r="J101" s="12">
        <f t="shared" si="3"/>
        <v>0.3032028469750887</v>
      </c>
      <c r="K101" s="11">
        <v>4.7515019115237575E-2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0.11262652742601754</v>
      </c>
      <c r="Q101" s="12">
        <v>3.7613758029978586E-2</v>
      </c>
      <c r="R101" s="14">
        <v>67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5.33</v>
      </c>
      <c r="F102" s="9" t="s">
        <v>68</v>
      </c>
      <c r="G102" s="7">
        <v>41259847680</v>
      </c>
      <c r="H102" s="6">
        <v>5.83</v>
      </c>
      <c r="I102" s="6">
        <v>4.2</v>
      </c>
      <c r="J102" s="12">
        <f t="shared" si="3"/>
        <v>0.26904761904761898</v>
      </c>
      <c r="K102" s="11">
        <v>7.1857410881801129E-2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5.8915425979116864E-2</v>
      </c>
      <c r="Q102" s="12">
        <v>9.2144023431582137E-2</v>
      </c>
      <c r="R102" s="14">
        <v>71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2.57</v>
      </c>
      <c r="F103" s="9" t="s">
        <v>68</v>
      </c>
      <c r="G103" s="7">
        <v>14038702080</v>
      </c>
      <c r="H103" s="6">
        <v>2.64</v>
      </c>
      <c r="I103" s="6">
        <v>0.82</v>
      </c>
      <c r="J103" s="12">
        <f t="shared" si="3"/>
        <v>2.1341463414634148</v>
      </c>
      <c r="K103" s="11">
        <v>0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5.8824301118708844E-2</v>
      </c>
      <c r="Q103" s="12">
        <v>5.8120488088461209E-2</v>
      </c>
      <c r="R103" s="14">
        <v>74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29.14</v>
      </c>
      <c r="F104" s="9" t="s">
        <v>68</v>
      </c>
      <c r="G104" s="7">
        <v>32296153088</v>
      </c>
      <c r="H104" s="6">
        <v>32.4</v>
      </c>
      <c r="I104" s="6">
        <v>14.52</v>
      </c>
      <c r="J104" s="12">
        <f t="shared" si="3"/>
        <v>1.006887052341598</v>
      </c>
      <c r="K104" s="11">
        <v>1.8531228551818806E-2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7.6592084473695449E-2</v>
      </c>
      <c r="Q104" s="12">
        <v>4.7084186647510511E-2</v>
      </c>
      <c r="R104" s="14">
        <v>73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11.81</v>
      </c>
      <c r="F105" s="9" t="s">
        <v>68</v>
      </c>
      <c r="G105" s="7">
        <v>207865462784</v>
      </c>
      <c r="H105" s="6">
        <v>12.46</v>
      </c>
      <c r="I105" s="6">
        <v>9.3000000000000007</v>
      </c>
      <c r="J105" s="12">
        <f t="shared" si="3"/>
        <v>0.26989247311827946</v>
      </c>
      <c r="K105" s="11">
        <v>3.7256562235393732E-2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5.8901460728574807E-2</v>
      </c>
      <c r="Q105" s="12">
        <v>6.2161059386475759E-2</v>
      </c>
      <c r="R105" s="14">
        <v>73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6.93</v>
      </c>
      <c r="F106" s="9" t="s">
        <v>68</v>
      </c>
      <c r="G106" s="7">
        <v>7231731712</v>
      </c>
      <c r="H106" s="6">
        <v>7</v>
      </c>
      <c r="I106" s="6">
        <v>4.0199999999999996</v>
      </c>
      <c r="J106" s="12">
        <f t="shared" si="3"/>
        <v>0.72388059701492558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4.942100585851545E-2</v>
      </c>
      <c r="Q106" s="12">
        <v>8.3790449156695201E-2</v>
      </c>
      <c r="R106" s="14">
        <v>75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2.92</v>
      </c>
      <c r="F107" s="9" t="s">
        <v>68</v>
      </c>
      <c r="G107" s="7">
        <v>12541400064</v>
      </c>
      <c r="H107" s="6">
        <v>3.16</v>
      </c>
      <c r="I107" s="6">
        <v>1.93</v>
      </c>
      <c r="J107" s="12">
        <f t="shared" si="3"/>
        <v>0.51295336787564771</v>
      </c>
      <c r="K107" s="11">
        <v>3.801369863013699E-2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5.8619178011163876E-2</v>
      </c>
      <c r="Q107" s="12">
        <v>3.8781191586606881E-2</v>
      </c>
      <c r="R107" s="14">
        <v>76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9.3000000000000007</v>
      </c>
      <c r="F108" s="9" t="s">
        <v>68</v>
      </c>
      <c r="G108" s="7">
        <v>9760443392</v>
      </c>
      <c r="H108" s="6">
        <v>12.88</v>
      </c>
      <c r="I108" s="6">
        <v>4.47</v>
      </c>
      <c r="J108" s="12">
        <f t="shared" si="3"/>
        <v>1.0805369127516782</v>
      </c>
      <c r="K108" s="11">
        <v>1.5268817204301073E-2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3.8661752535066971E-2</v>
      </c>
      <c r="Q108" s="12">
        <v>0.10455432132537129</v>
      </c>
      <c r="R108" s="14">
        <v>72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1.54</v>
      </c>
      <c r="F109" s="9" t="s">
        <v>68</v>
      </c>
      <c r="G109" s="7">
        <v>8526409728</v>
      </c>
      <c r="H109" s="6">
        <v>2.99</v>
      </c>
      <c r="I109" s="6">
        <v>0.91</v>
      </c>
      <c r="J109" s="12">
        <f t="shared" si="3"/>
        <v>0.69230769230769229</v>
      </c>
      <c r="K109" s="11">
        <v>9.74025974025974E-3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4.9677480257077002E-2</v>
      </c>
      <c r="Q109" s="12">
        <v>2.3421020321148112E-2</v>
      </c>
      <c r="R109" s="14">
        <v>78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56.2</v>
      </c>
      <c r="F110" s="9" t="s">
        <v>68</v>
      </c>
      <c r="G110" s="7">
        <v>554554621952</v>
      </c>
      <c r="H110" s="6">
        <v>61.75</v>
      </c>
      <c r="I110" s="6">
        <v>15.24</v>
      </c>
      <c r="J110" s="12">
        <f t="shared" si="3"/>
        <v>2.6876640419947506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1.2726037969201165E-2</v>
      </c>
      <c r="Q110" s="12">
        <v>3.0575487595734537E-2</v>
      </c>
      <c r="R110" s="14">
        <v>79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15.02</v>
      </c>
      <c r="F111" s="9" t="s">
        <v>68</v>
      </c>
      <c r="G111" s="7">
        <v>15425690624</v>
      </c>
      <c r="H111" s="6">
        <v>16.100000000000001</v>
      </c>
      <c r="I111" s="6">
        <v>10.94</v>
      </c>
      <c r="J111" s="12">
        <f t="shared" si="3"/>
        <v>0.3729433272394882</v>
      </c>
      <c r="K111" s="11">
        <v>7.1904127829560599E-2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2.4371100154385806E-2</v>
      </c>
      <c r="Q111" s="12">
        <v>9.6523581574197593E-3</v>
      </c>
      <c r="R111" s="14">
        <v>80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41.62</v>
      </c>
      <c r="F112" s="9" t="s">
        <v>68</v>
      </c>
      <c r="G112" s="7">
        <v>42510249984</v>
      </c>
      <c r="H112" s="6">
        <v>46.88</v>
      </c>
      <c r="I112" s="6">
        <v>22.4</v>
      </c>
      <c r="J112" s="12">
        <f t="shared" si="3"/>
        <v>0.85803571428571423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-2.461434041295982E-3</v>
      </c>
      <c r="Q112" s="12">
        <v>-4.9151971480384084E-3</v>
      </c>
      <c r="R112" s="14">
        <v>81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2.2400000000000002</v>
      </c>
      <c r="F113" s="9" t="s">
        <v>68</v>
      </c>
      <c r="G113" s="7">
        <v>4785827328</v>
      </c>
      <c r="H113" s="6">
        <v>2.62</v>
      </c>
      <c r="I113" s="6">
        <v>0.99</v>
      </c>
      <c r="J113" s="12">
        <f t="shared" si="3"/>
        <v>1.262626262626263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2.4160571763970009</v>
      </c>
      <c r="Q113" s="12">
        <v>-9.3085164890011229E-2</v>
      </c>
      <c r="R113" s="14">
        <v>43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36.340000000000003</v>
      </c>
      <c r="F114" s="9" t="s">
        <v>68</v>
      </c>
      <c r="G114" s="7">
        <v>384215547904</v>
      </c>
      <c r="H114" s="6">
        <v>37.950000000000003</v>
      </c>
      <c r="I114" s="6">
        <v>22.55</v>
      </c>
      <c r="J114" s="12">
        <f t="shared" si="3"/>
        <v>0.61152993348115303</v>
      </c>
      <c r="K114" s="11">
        <v>5.4733076499724816E-2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5.55</v>
      </c>
      <c r="F115" s="9" t="s">
        <v>68</v>
      </c>
      <c r="G115" s="7">
        <v>780984909824</v>
      </c>
      <c r="H115" s="6">
        <v>5.95</v>
      </c>
      <c r="I115" s="6">
        <v>3.89</v>
      </c>
      <c r="J115" s="12">
        <f t="shared" si="3"/>
        <v>0.42673521850899743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6.98</v>
      </c>
      <c r="F116" s="9" t="s">
        <v>68</v>
      </c>
      <c r="G116" s="7">
        <v>456933834752</v>
      </c>
      <c r="H116" s="6">
        <v>8.1199999999999992</v>
      </c>
      <c r="I116" s="6">
        <v>4.26</v>
      </c>
      <c r="J116" s="12">
        <f t="shared" si="3"/>
        <v>0.63849765258215974</v>
      </c>
      <c r="K116" s="11">
        <v>5.085959885386819E-2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6.89</v>
      </c>
      <c r="F117" s="9" t="s">
        <v>68</v>
      </c>
      <c r="G117" s="7">
        <v>684779831296</v>
      </c>
      <c r="H117" s="6">
        <v>7.62</v>
      </c>
      <c r="I117" s="6">
        <v>5.08</v>
      </c>
      <c r="J117" s="12">
        <f t="shared" si="3"/>
        <v>0.35629921259842501</v>
      </c>
      <c r="K117" s="11">
        <v>5.5007256894049353E-2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5.85</v>
      </c>
      <c r="F118" s="9" t="s">
        <v>68</v>
      </c>
      <c r="G118" s="7">
        <v>2705203920896</v>
      </c>
      <c r="H118" s="6">
        <v>6.48</v>
      </c>
      <c r="I118" s="6">
        <v>4.0599999999999996</v>
      </c>
      <c r="J118" s="12">
        <f t="shared" si="3"/>
        <v>0.44088669950738923</v>
      </c>
      <c r="K118" s="11">
        <v>5.2649572649572651E-2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7.55</v>
      </c>
      <c r="F119" s="9" t="s">
        <v>68</v>
      </c>
      <c r="G119" s="7">
        <v>2022471499776</v>
      </c>
      <c r="H119" s="6">
        <v>8.56</v>
      </c>
      <c r="I119" s="6">
        <v>5.25</v>
      </c>
      <c r="J119" s="12">
        <f t="shared" si="3"/>
        <v>0.43809523809523809</v>
      </c>
      <c r="K119" s="11">
        <v>5.3377483443708615E-2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9.32</v>
      </c>
      <c r="F120" s="9" t="s">
        <v>68</v>
      </c>
      <c r="G120" s="7">
        <v>85278932992</v>
      </c>
      <c r="H120" s="6">
        <v>9.75</v>
      </c>
      <c r="I120" s="6">
        <v>7.31</v>
      </c>
      <c r="J120" s="12">
        <f t="shared" si="3"/>
        <v>0.27496580027359796</v>
      </c>
      <c r="K120" s="11">
        <v>6.2231759656652355E-2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5.6001626088580482E-2</v>
      </c>
      <c r="Q120" s="12">
        <v>2.8607941036614362E-2</v>
      </c>
      <c r="R120" s="14">
        <v>77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19.96</v>
      </c>
      <c r="F121" s="9" t="s">
        <v>68</v>
      </c>
      <c r="G121" s="7">
        <v>51401588736</v>
      </c>
      <c r="H121" s="6">
        <v>21</v>
      </c>
      <c r="I121" s="6">
        <v>12.56</v>
      </c>
      <c r="J121" s="12">
        <f t="shared" si="3"/>
        <v>0.58917197452229297</v>
      </c>
      <c r="K121" s="11">
        <v>2.7204408817635271E-2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0.10023117101121187</v>
      </c>
      <c r="Q121" s="12">
        <v>0.16337840218675606</v>
      </c>
      <c r="R121" s="14">
        <v>41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41.72</v>
      </c>
      <c r="F122" s="9" t="s">
        <v>68</v>
      </c>
      <c r="G122" s="7">
        <v>107944247296</v>
      </c>
      <c r="H122" s="6">
        <v>45.05</v>
      </c>
      <c r="I122" s="6">
        <v>31.1</v>
      </c>
      <c r="J122" s="12">
        <f t="shared" si="3"/>
        <v>0.34147909967845647</v>
      </c>
      <c r="K122" s="11">
        <v>6.5268456375838918E-2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-4.2738714228850429E-2</v>
      </c>
      <c r="Q122" s="12">
        <v>-3.1158435700487111E-2</v>
      </c>
      <c r="R122" s="14">
        <v>82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53.5</v>
      </c>
      <c r="F123" s="9" t="s">
        <v>68</v>
      </c>
      <c r="G123" s="7">
        <v>1392310747136</v>
      </c>
      <c r="H123" s="6">
        <v>61.45</v>
      </c>
      <c r="I123" s="6">
        <v>18.18</v>
      </c>
      <c r="J123" s="12">
        <f t="shared" si="3"/>
        <v>1.9427942794279427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2.2564233477093715E-2</v>
      </c>
      <c r="Q123" s="12">
        <v>0.13430606011982404</v>
      </c>
      <c r="R123" s="14">
        <v>63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abSelected="1" topLeftCell="A24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2025-08-26T09:15:29Z</dcterms:modified>
</cp:coreProperties>
</file>