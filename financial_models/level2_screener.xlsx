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D1545B3-0423-4D7F-92FA-3B63D2BA6A80}" xr6:coauthVersionLast="47" xr6:coauthVersionMax="47" xr10:uidLastSave="{00000000-0000-0000-0000-000000000000}"/>
  <bookViews>
    <workbookView xWindow="-98" yWindow="-98" windowWidth="17115" windowHeight="10755" firstSheet="1" activeTab="1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</calcChain>
</file>

<file path=xl/sharedStrings.xml><?xml version="1.0" encoding="utf-8"?>
<sst xmlns="http://schemas.openxmlformats.org/spreadsheetml/2006/main" count="1669" uniqueCount="766">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</sst>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1"/>
  <sheetViews>
    <sheetView zoomScale="70" zoomScaleNormal="70" workbookViewId="0">
      <pane xSplit="3" ySplit="1" topLeftCell="D113" activePane="bottomRight" state="frozen"/>
      <selection pane="topRight" activeCell="D1" sqref="D1"/>
      <selection pane="bottomLeft" activeCell="A2" sqref="A2"/>
      <selection pane="bottomRight" activeCell="B132" sqref="B13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291</v>
      </c>
      <c r="C2" t="s">
        <v>346</v>
      </c>
      <c r="D2" t="s">
        <v>150</v>
      </c>
      <c r="E2">
        <v>2.69</v>
      </c>
      <c r="F2" s="9" t="s">
        <v>67</v>
      </c>
      <c r="G2" s="7">
        <v>2432268544</v>
      </c>
      <c r="H2" s="6">
        <v>3.5</v>
      </c>
      <c r="I2" s="6">
        <v>2.39</v>
      </c>
      <c r="J2" s="12">
        <f t="shared" ref="J2:J33" si="0">E2/I2-1</f>
        <v>0.12552301255230125</v>
      </c>
      <c r="K2" s="11">
        <v>6.3197026022304842E-2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0.45854773820730887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13.69</v>
      </c>
      <c r="F3" s="9" t="s">
        <v>67</v>
      </c>
      <c r="G3" s="7">
        <v>250523320320</v>
      </c>
      <c r="H3" s="6">
        <v>15.6</v>
      </c>
      <c r="I3" s="6">
        <v>9.8000000000000007</v>
      </c>
      <c r="J3" s="12">
        <f t="shared" si="0"/>
        <v>0.39693877551020385</v>
      </c>
      <c r="K3" s="11">
        <v>0.11614317019722425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0.55440494184895406</v>
      </c>
      <c r="Q3" s="12">
        <v>0.26042924055386191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123.8</v>
      </c>
      <c r="F4" s="9" t="s">
        <v>67</v>
      </c>
      <c r="G4" s="7">
        <v>81754218496</v>
      </c>
      <c r="H4" s="6">
        <v>149.5</v>
      </c>
      <c r="I4" s="6">
        <v>93</v>
      </c>
      <c r="J4" s="12">
        <f t="shared" si="0"/>
        <v>0.33118279569892461</v>
      </c>
      <c r="K4" s="11">
        <v>1.6478190630048465E-2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0.64305261994321739</v>
      </c>
      <c r="Q4" s="12">
        <v>0.19894228627727803</v>
      </c>
      <c r="R4" s="14">
        <v>3</v>
      </c>
    </row>
    <row r="5" spans="2:22" x14ac:dyDescent="0.5">
      <c r="B5" s="1" t="s">
        <v>108</v>
      </c>
      <c r="C5" t="s">
        <v>144</v>
      </c>
      <c r="D5" t="s">
        <v>145</v>
      </c>
      <c r="E5">
        <v>4.51</v>
      </c>
      <c r="F5" s="9" t="s">
        <v>67</v>
      </c>
      <c r="G5" s="7">
        <v>12615478272</v>
      </c>
      <c r="H5" s="6">
        <v>5.2</v>
      </c>
      <c r="I5" s="6">
        <v>2.41</v>
      </c>
      <c r="J5" s="12">
        <f t="shared" si="0"/>
        <v>0.87136929460580892</v>
      </c>
      <c r="K5" s="11">
        <v>3.3924611973392464E-2</v>
      </c>
      <c r="L5" s="13">
        <v>1871151000</v>
      </c>
      <c r="M5" s="13">
        <v>6461978000</v>
      </c>
      <c r="N5" s="9" t="s">
        <v>50</v>
      </c>
      <c r="O5" s="6">
        <v>1.0683760683760684</v>
      </c>
      <c r="P5" s="12">
        <v>0.23747775080745342</v>
      </c>
      <c r="Q5" s="12">
        <v>0.28956319566547578</v>
      </c>
      <c r="R5" s="14">
        <v>4</v>
      </c>
    </row>
    <row r="6" spans="2:22" x14ac:dyDescent="0.5">
      <c r="B6" s="1" t="s">
        <v>28</v>
      </c>
      <c r="C6" t="s">
        <v>88</v>
      </c>
      <c r="D6" t="s">
        <v>85</v>
      </c>
      <c r="E6">
        <v>4.0599999999999996</v>
      </c>
      <c r="F6" s="9" t="s">
        <v>67</v>
      </c>
      <c r="G6" s="7">
        <v>35841990656</v>
      </c>
      <c r="H6" s="6">
        <v>7.38</v>
      </c>
      <c r="I6" s="6">
        <v>3.8</v>
      </c>
      <c r="J6" s="12">
        <f t="shared" si="0"/>
        <v>6.8421052631578938E-2</v>
      </c>
      <c r="K6" s="11">
        <v>6.5270935960591137E-2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0.22105160160082862</v>
      </c>
      <c r="Q6" s="12">
        <v>0.20771406306691512</v>
      </c>
      <c r="R6" s="14">
        <v>5</v>
      </c>
    </row>
    <row r="7" spans="2:22" x14ac:dyDescent="0.5">
      <c r="B7" s="1" t="s">
        <v>249</v>
      </c>
      <c r="C7" t="s">
        <v>297</v>
      </c>
      <c r="D7" t="s">
        <v>298</v>
      </c>
      <c r="E7">
        <v>6.83</v>
      </c>
      <c r="F7" s="9" t="s">
        <v>67</v>
      </c>
      <c r="G7" s="7">
        <v>362790322176</v>
      </c>
      <c r="H7" s="6">
        <v>7.57</v>
      </c>
      <c r="I7" s="6">
        <v>3.5</v>
      </c>
      <c r="J7" s="12">
        <f t="shared" si="0"/>
        <v>0.95142857142857151</v>
      </c>
      <c r="K7" s="11">
        <v>2.8111273792093706E-2</v>
      </c>
      <c r="L7" s="13">
        <v>72477000000</v>
      </c>
      <c r="M7" s="13">
        <v>319355000000</v>
      </c>
      <c r="N7" s="9" t="s">
        <v>50</v>
      </c>
      <c r="O7" s="6">
        <v>1.0683760683760684</v>
      </c>
      <c r="P7" s="12">
        <v>0.19733889597058415</v>
      </c>
      <c r="Q7" s="12">
        <v>0.22694806719794586</v>
      </c>
      <c r="R7" s="14">
        <v>5</v>
      </c>
    </row>
    <row r="8" spans="2:22" x14ac:dyDescent="0.5">
      <c r="B8" s="1" t="s">
        <v>196</v>
      </c>
      <c r="C8" t="s">
        <v>218</v>
      </c>
      <c r="D8" t="s">
        <v>219</v>
      </c>
      <c r="E8">
        <v>2.0299999999999998</v>
      </c>
      <c r="F8" s="9" t="s">
        <v>67</v>
      </c>
      <c r="G8" s="7">
        <v>2030000000</v>
      </c>
      <c r="H8" s="6">
        <v>2.42</v>
      </c>
      <c r="I8" s="6">
        <v>1.55</v>
      </c>
      <c r="J8" s="12">
        <f t="shared" si="0"/>
        <v>0.30967741935483861</v>
      </c>
      <c r="K8" s="11">
        <v>0.10344827586206898</v>
      </c>
      <c r="L8" s="13">
        <v>315190000</v>
      </c>
      <c r="M8" s="13">
        <v>607806000</v>
      </c>
      <c r="N8" s="9" t="s">
        <v>67</v>
      </c>
      <c r="O8" s="6">
        <v>1</v>
      </c>
      <c r="P8" s="12">
        <v>0.14335660677972731</v>
      </c>
      <c r="Q8" s="12">
        <v>0.51857007005524791</v>
      </c>
      <c r="R8" s="14">
        <v>6</v>
      </c>
    </row>
    <row r="9" spans="2:22" x14ac:dyDescent="0.5">
      <c r="B9" s="1" t="s">
        <v>247</v>
      </c>
      <c r="C9" t="s">
        <v>294</v>
      </c>
      <c r="D9" t="s">
        <v>293</v>
      </c>
      <c r="E9">
        <v>1.37</v>
      </c>
      <c r="F9" s="9" t="s">
        <v>67</v>
      </c>
      <c r="G9" s="7">
        <v>2759520768</v>
      </c>
      <c r="H9" s="6">
        <v>1.85</v>
      </c>
      <c r="I9" s="6">
        <v>1.1299999999999999</v>
      </c>
      <c r="J9" s="12">
        <f t="shared" si="0"/>
        <v>0.21238938053097356</v>
      </c>
      <c r="K9" s="11">
        <v>8.6861313868613121E-2</v>
      </c>
      <c r="L9" s="13">
        <v>929863000</v>
      </c>
      <c r="M9" s="13">
        <v>6026676000</v>
      </c>
      <c r="N9" s="9" t="s">
        <v>50</v>
      </c>
      <c r="O9" s="6">
        <v>1.0683760683760684</v>
      </c>
      <c r="P9" s="12">
        <v>0.38953268831211058</v>
      </c>
      <c r="Q9" s="12">
        <v>0.15429118804462028</v>
      </c>
      <c r="R9" s="14">
        <v>7</v>
      </c>
    </row>
    <row r="10" spans="2:22" x14ac:dyDescent="0.5">
      <c r="B10" s="1" t="s">
        <v>107</v>
      </c>
      <c r="C10" t="s">
        <v>142</v>
      </c>
      <c r="D10" t="s">
        <v>143</v>
      </c>
      <c r="E10">
        <v>2.89</v>
      </c>
      <c r="F10" s="9" t="s">
        <v>67</v>
      </c>
      <c r="G10" s="7">
        <v>14713181184</v>
      </c>
      <c r="H10" s="6">
        <v>3.31</v>
      </c>
      <c r="I10" s="6">
        <v>2.23</v>
      </c>
      <c r="J10" s="12">
        <f t="shared" si="0"/>
        <v>0.29596412556053808</v>
      </c>
      <c r="K10" s="11">
        <v>9.3425605536332182E-2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0.35696235426187917</v>
      </c>
      <c r="Q10" s="12">
        <v>0.15337570692947131</v>
      </c>
      <c r="R10" s="14">
        <v>8</v>
      </c>
    </row>
    <row r="11" spans="2:22" x14ac:dyDescent="0.5">
      <c r="B11" s="1" t="s">
        <v>292</v>
      </c>
      <c r="C11" t="s">
        <v>347</v>
      </c>
      <c r="D11" t="s">
        <v>94</v>
      </c>
      <c r="E11">
        <v>5.99</v>
      </c>
      <c r="F11" s="9" t="s">
        <v>67</v>
      </c>
      <c r="G11" s="7">
        <v>12385415168</v>
      </c>
      <c r="H11" s="6">
        <v>6.7</v>
      </c>
      <c r="I11" s="6">
        <v>3.83</v>
      </c>
      <c r="J11" s="12">
        <f t="shared" si="0"/>
        <v>0.56396866840731064</v>
      </c>
      <c r="K11" s="11">
        <v>4.7245409015025039E-2</v>
      </c>
      <c r="L11" s="13">
        <v>1576240000</v>
      </c>
      <c r="M11" s="13">
        <v>9636462000</v>
      </c>
      <c r="N11" s="9" t="s">
        <v>50</v>
      </c>
      <c r="O11" s="6">
        <v>1.0683760683760684</v>
      </c>
      <c r="P11" s="12">
        <v>0.20731760223963328</v>
      </c>
      <c r="Q11" s="12">
        <v>0.16357040581906512</v>
      </c>
      <c r="R11" s="14">
        <v>11</v>
      </c>
    </row>
    <row r="12" spans="2:22" x14ac:dyDescent="0.5">
      <c r="B12" s="1" t="s">
        <v>250</v>
      </c>
      <c r="C12" t="s">
        <v>299</v>
      </c>
      <c r="D12" t="s">
        <v>300</v>
      </c>
      <c r="E12">
        <v>18.97</v>
      </c>
      <c r="F12" s="9" t="s">
        <v>67</v>
      </c>
      <c r="G12" s="7">
        <v>68178530304</v>
      </c>
      <c r="H12" s="6">
        <v>20.54</v>
      </c>
      <c r="I12" s="6">
        <v>9.56</v>
      </c>
      <c r="J12" s="12">
        <f t="shared" si="0"/>
        <v>0.98430962343096207</v>
      </c>
      <c r="K12" s="11">
        <v>1.8450184501845018E-2</v>
      </c>
      <c r="L12" s="13">
        <v>25585077000</v>
      </c>
      <c r="M12" s="13">
        <v>167756547000</v>
      </c>
      <c r="N12" s="9" t="s">
        <v>67</v>
      </c>
      <c r="O12" s="6">
        <v>1</v>
      </c>
      <c r="P12" s="12">
        <v>0.24156577704035845</v>
      </c>
      <c r="Q12" s="12">
        <v>0.15251313559762292</v>
      </c>
      <c r="R12" s="14">
        <v>11</v>
      </c>
    </row>
    <row r="13" spans="2:22" x14ac:dyDescent="0.5">
      <c r="B13" s="1" t="s">
        <v>197</v>
      </c>
      <c r="C13" t="s">
        <v>220</v>
      </c>
      <c r="D13" t="s">
        <v>221</v>
      </c>
      <c r="E13">
        <v>19.02</v>
      </c>
      <c r="F13" s="9" t="s">
        <v>67</v>
      </c>
      <c r="G13" s="7">
        <v>178441764864</v>
      </c>
      <c r="H13" s="6">
        <v>21.66</v>
      </c>
      <c r="I13" s="6">
        <v>11.04</v>
      </c>
      <c r="J13" s="12">
        <f t="shared" si="0"/>
        <v>0.72282608695652173</v>
      </c>
      <c r="K13" s="11">
        <v>3.7066246056782333E-2</v>
      </c>
      <c r="L13" s="13">
        <v>21175963859.630001</v>
      </c>
      <c r="M13" s="13">
        <v>104071284594.97</v>
      </c>
      <c r="N13" s="9" t="s">
        <v>50</v>
      </c>
      <c r="O13" s="6">
        <v>1.0683760683760684</v>
      </c>
      <c r="P13" s="12">
        <v>0.15323611602407217</v>
      </c>
      <c r="Q13" s="12">
        <v>0.20347556909712136</v>
      </c>
      <c r="R13" s="14">
        <v>10</v>
      </c>
    </row>
    <row r="14" spans="2:22" x14ac:dyDescent="0.5">
      <c r="B14" s="1" t="s">
        <v>194</v>
      </c>
      <c r="C14" t="s">
        <v>215</v>
      </c>
      <c r="D14" t="s">
        <v>216</v>
      </c>
      <c r="E14">
        <v>13.8</v>
      </c>
      <c r="F14" s="9" t="s">
        <v>67</v>
      </c>
      <c r="G14" s="7">
        <v>53848096768</v>
      </c>
      <c r="H14" s="6">
        <v>17.55</v>
      </c>
      <c r="I14" s="6">
        <v>4.22</v>
      </c>
      <c r="J14" s="12">
        <f t="shared" si="0"/>
        <v>2.270142180094787</v>
      </c>
      <c r="K14" s="11">
        <v>3.1159420289855067E-3</v>
      </c>
      <c r="L14" s="13">
        <v>786762000</v>
      </c>
      <c r="M14" s="13">
        <v>2279244000</v>
      </c>
      <c r="N14" s="9" t="s">
        <v>71</v>
      </c>
      <c r="O14" s="6">
        <v>7.6923076923076916</v>
      </c>
      <c r="P14" s="12">
        <v>0.13048839891338551</v>
      </c>
      <c r="Q14" s="12">
        <v>0.34518550887925997</v>
      </c>
      <c r="R14" s="14">
        <v>9</v>
      </c>
    </row>
    <row r="15" spans="2:22" x14ac:dyDescent="0.5">
      <c r="B15" s="1" t="s">
        <v>23</v>
      </c>
      <c r="C15" t="s">
        <v>79</v>
      </c>
      <c r="D15" t="s">
        <v>80</v>
      </c>
      <c r="E15">
        <v>7.52</v>
      </c>
      <c r="F15" s="9" t="s">
        <v>67</v>
      </c>
      <c r="G15" s="7">
        <v>65115680768</v>
      </c>
      <c r="H15" s="6">
        <v>8.48</v>
      </c>
      <c r="I15" s="6">
        <v>6.8</v>
      </c>
      <c r="J15" s="12">
        <f t="shared" si="0"/>
        <v>0.10588235294117654</v>
      </c>
      <c r="K15" s="11">
        <v>4.2287234042553197E-2</v>
      </c>
      <c r="L15" s="13">
        <v>13438000000</v>
      </c>
      <c r="M15" s="13">
        <v>88611000000</v>
      </c>
      <c r="N15" s="9" t="s">
        <v>50</v>
      </c>
      <c r="O15" s="6">
        <v>1.0683760683760684</v>
      </c>
      <c r="P15" s="12">
        <v>0.23411036768076257</v>
      </c>
      <c r="Q15" s="12">
        <v>0.15165160081705431</v>
      </c>
      <c r="R15" s="14">
        <v>14</v>
      </c>
    </row>
    <row r="16" spans="2:22" x14ac:dyDescent="0.5">
      <c r="B16" s="1" t="s">
        <v>286</v>
      </c>
      <c r="C16" t="s">
        <v>341</v>
      </c>
      <c r="D16" t="s">
        <v>85</v>
      </c>
      <c r="E16">
        <v>8.98</v>
      </c>
      <c r="F16" s="9" t="s">
        <v>67</v>
      </c>
      <c r="G16" s="7">
        <v>115215360000</v>
      </c>
      <c r="H16" s="6">
        <v>9.02</v>
      </c>
      <c r="I16" s="6">
        <v>5.73</v>
      </c>
      <c r="J16" s="12">
        <f t="shared" si="0"/>
        <v>0.56719022687609066</v>
      </c>
      <c r="K16" s="11">
        <v>8.5746102449888641E-3</v>
      </c>
      <c r="L16" s="13">
        <v>2553000000</v>
      </c>
      <c r="M16" s="13">
        <v>13971000000</v>
      </c>
      <c r="N16" s="9" t="s">
        <v>71</v>
      </c>
      <c r="O16" s="6">
        <v>7.6923076923076916</v>
      </c>
      <c r="P16" s="12">
        <v>0.15336099541990661</v>
      </c>
      <c r="Q16" s="12">
        <v>0.18273566673824351</v>
      </c>
      <c r="R16" s="14">
        <v>13</v>
      </c>
    </row>
    <row r="17" spans="2:18" x14ac:dyDescent="0.5">
      <c r="B17" s="1" t="s">
        <v>289</v>
      </c>
      <c r="C17" t="s">
        <v>344</v>
      </c>
      <c r="D17" t="s">
        <v>76</v>
      </c>
      <c r="E17">
        <v>27.02</v>
      </c>
      <c r="F17" s="9" t="s">
        <v>67</v>
      </c>
      <c r="G17" s="7">
        <v>72387444736</v>
      </c>
      <c r="H17" s="6">
        <v>33</v>
      </c>
      <c r="I17" s="6">
        <v>15.7</v>
      </c>
      <c r="J17" s="12">
        <f t="shared" si="0"/>
        <v>0.72101910828025484</v>
      </c>
      <c r="K17" s="11">
        <v>1.3027387120651369E-2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0.11808791149408827</v>
      </c>
      <c r="Q17" s="12">
        <v>0.41587371596437778</v>
      </c>
      <c r="R17" s="14">
        <v>12</v>
      </c>
    </row>
    <row r="18" spans="2:18" x14ac:dyDescent="0.5">
      <c r="B18" s="1" t="s">
        <v>288</v>
      </c>
      <c r="C18" t="s">
        <v>343</v>
      </c>
      <c r="D18" t="s">
        <v>53</v>
      </c>
      <c r="E18">
        <v>4.3899999999999997</v>
      </c>
      <c r="F18" s="9" t="s">
        <v>67</v>
      </c>
      <c r="G18" s="7">
        <v>17024784384</v>
      </c>
      <c r="H18" s="6">
        <v>5.29</v>
      </c>
      <c r="I18" s="6">
        <v>3.33</v>
      </c>
      <c r="J18" s="12">
        <f t="shared" si="0"/>
        <v>0.31831831831831825</v>
      </c>
      <c r="K18" s="11">
        <v>6.1503416856492035E-2</v>
      </c>
      <c r="L18" s="13">
        <v>2823432000</v>
      </c>
      <c r="M18" s="13">
        <v>16925205000</v>
      </c>
      <c r="N18" s="9" t="s">
        <v>67</v>
      </c>
      <c r="O18" s="6">
        <v>1</v>
      </c>
      <c r="P18" s="12">
        <v>0.16221112611366942</v>
      </c>
      <c r="Q18" s="12">
        <v>0.16681818624944278</v>
      </c>
      <c r="R18" s="14">
        <v>15</v>
      </c>
    </row>
    <row r="19" spans="2:18" x14ac:dyDescent="0.5">
      <c r="B19" s="1" t="s">
        <v>32</v>
      </c>
      <c r="C19" t="s">
        <v>93</v>
      </c>
      <c r="D19" t="s">
        <v>94</v>
      </c>
      <c r="E19">
        <v>16.11</v>
      </c>
      <c r="F19" s="9" t="s">
        <v>67</v>
      </c>
      <c r="G19" s="7">
        <v>13485802496</v>
      </c>
      <c r="H19" s="6">
        <v>19.440000000000001</v>
      </c>
      <c r="I19" s="6">
        <v>12.5</v>
      </c>
      <c r="J19" s="12">
        <f t="shared" si="0"/>
        <v>0.28879999999999995</v>
      </c>
      <c r="K19" s="11">
        <v>8.1315952824332714E-3</v>
      </c>
      <c r="L19" s="13">
        <v>199557000</v>
      </c>
      <c r="M19" s="13">
        <v>1108087000</v>
      </c>
      <c r="N19" s="9" t="s">
        <v>71</v>
      </c>
      <c r="O19" s="6">
        <v>7.6923076923076916</v>
      </c>
      <c r="P19" s="12">
        <v>0.14874493739606118</v>
      </c>
      <c r="Q19" s="12">
        <v>0.18009145491283626</v>
      </c>
      <c r="R19" s="14">
        <v>16</v>
      </c>
    </row>
    <row r="20" spans="2:18" x14ac:dyDescent="0.5">
      <c r="B20" s="1" t="s">
        <v>140</v>
      </c>
      <c r="C20" t="s">
        <v>189</v>
      </c>
      <c r="D20" t="s">
        <v>178</v>
      </c>
      <c r="E20">
        <v>9.27</v>
      </c>
      <c r="F20" s="9" t="s">
        <v>67</v>
      </c>
      <c r="G20" s="7">
        <v>114991194112</v>
      </c>
      <c r="H20" s="6">
        <v>13.6</v>
      </c>
      <c r="I20" s="6">
        <v>6.57</v>
      </c>
      <c r="J20" s="12">
        <f t="shared" si="0"/>
        <v>0.41095890410958891</v>
      </c>
      <c r="K20" s="11">
        <v>5.3937432578209281E-3</v>
      </c>
      <c r="L20" s="13">
        <v>2250990000</v>
      </c>
      <c r="M20" s="13">
        <v>11437145000</v>
      </c>
      <c r="N20" s="9" t="s">
        <v>71</v>
      </c>
      <c r="O20" s="6">
        <v>7.6923076923076916</v>
      </c>
      <c r="P20" s="12">
        <v>0.14109526435576716</v>
      </c>
      <c r="Q20" s="12">
        <v>0.19681397761416858</v>
      </c>
      <c r="R20" s="14">
        <v>14</v>
      </c>
    </row>
    <row r="21" spans="2:18" x14ac:dyDescent="0.5">
      <c r="B21" s="1" t="s">
        <v>29</v>
      </c>
      <c r="C21" t="s">
        <v>89</v>
      </c>
      <c r="D21" t="s">
        <v>85</v>
      </c>
      <c r="E21">
        <v>4.84</v>
      </c>
      <c r="F21" s="9" t="s">
        <v>67</v>
      </c>
      <c r="G21" s="7">
        <v>57126866944</v>
      </c>
      <c r="H21" s="6">
        <v>5.97</v>
      </c>
      <c r="I21" s="6">
        <v>4.34</v>
      </c>
      <c r="J21" s="12">
        <f t="shared" si="0"/>
        <v>0.11520737327188946</v>
      </c>
      <c r="K21" s="11">
        <v>3.0578512396694214E-2</v>
      </c>
      <c r="L21" s="13">
        <v>5915895000</v>
      </c>
      <c r="M21" s="13">
        <v>21902003000</v>
      </c>
      <c r="N21" s="9" t="s">
        <v>50</v>
      </c>
      <c r="O21" s="6">
        <v>1.0683760683760684</v>
      </c>
      <c r="P21" s="12">
        <v>0.11947754074360567</v>
      </c>
      <c r="Q21" s="12">
        <v>0.27010748742934609</v>
      </c>
      <c r="R21" s="14">
        <v>17</v>
      </c>
    </row>
    <row r="22" spans="2:18" x14ac:dyDescent="0.5">
      <c r="B22" s="1" t="s">
        <v>20</v>
      </c>
      <c r="C22" t="s">
        <v>72</v>
      </c>
      <c r="D22" t="s">
        <v>73</v>
      </c>
      <c r="E22">
        <v>3.33</v>
      </c>
      <c r="F22" s="9" t="s">
        <v>67</v>
      </c>
      <c r="G22" s="7">
        <v>3462560512</v>
      </c>
      <c r="H22" s="6">
        <v>3.74</v>
      </c>
      <c r="I22" s="6">
        <v>1.92</v>
      </c>
      <c r="J22" s="12">
        <f t="shared" si="0"/>
        <v>0.734375</v>
      </c>
      <c r="K22" s="11">
        <v>8.528528528528527E-2</v>
      </c>
      <c r="L22" s="13">
        <v>762183000</v>
      </c>
      <c r="M22" s="13">
        <v>5008319000</v>
      </c>
      <c r="N22" s="9" t="s">
        <v>67</v>
      </c>
      <c r="O22" s="6">
        <v>1</v>
      </c>
      <c r="P22" s="12">
        <v>0.18114437883792586</v>
      </c>
      <c r="Q22" s="12">
        <v>0.15218339726363278</v>
      </c>
      <c r="R22" s="14">
        <v>18</v>
      </c>
    </row>
    <row r="23" spans="2:18" x14ac:dyDescent="0.5">
      <c r="B23" s="1" t="s">
        <v>282</v>
      </c>
      <c r="C23" t="s">
        <v>337</v>
      </c>
      <c r="D23" t="s">
        <v>74</v>
      </c>
      <c r="E23">
        <v>5.63</v>
      </c>
      <c r="F23" s="9" t="s">
        <v>67</v>
      </c>
      <c r="G23" s="7">
        <v>15199415296</v>
      </c>
      <c r="H23" s="6">
        <v>6.83</v>
      </c>
      <c r="I23" s="6">
        <v>4.46</v>
      </c>
      <c r="J23" s="12">
        <f t="shared" si="0"/>
        <v>0.2623318385650224</v>
      </c>
      <c r="K23" s="11">
        <v>4.4227353463587922E-2</v>
      </c>
      <c r="L23" s="13">
        <v>2030839000</v>
      </c>
      <c r="M23" s="13">
        <v>11587361000</v>
      </c>
      <c r="N23" s="9" t="s">
        <v>50</v>
      </c>
      <c r="O23" s="6">
        <v>1.0683760683760684</v>
      </c>
      <c r="P23" s="12">
        <v>0.14226771415483974</v>
      </c>
      <c r="Q23" s="12">
        <v>0.17526328902672489</v>
      </c>
      <c r="R23" s="14">
        <v>19</v>
      </c>
    </row>
    <row r="24" spans="2:18" x14ac:dyDescent="0.5">
      <c r="B24" s="1" t="s">
        <v>22</v>
      </c>
      <c r="C24" t="s">
        <v>77</v>
      </c>
      <c r="D24" t="s">
        <v>78</v>
      </c>
      <c r="E24">
        <v>10.4</v>
      </c>
      <c r="F24" s="9" t="s">
        <v>67</v>
      </c>
      <c r="G24" s="7">
        <v>168206352384</v>
      </c>
      <c r="H24" s="6">
        <v>12.31</v>
      </c>
      <c r="I24" s="6">
        <v>7.16</v>
      </c>
      <c r="J24" s="12">
        <f t="shared" si="0"/>
        <v>0.45251396648044695</v>
      </c>
      <c r="K24" s="11">
        <v>4.0769230769230766E-2</v>
      </c>
      <c r="L24" s="13">
        <v>32866046000</v>
      </c>
      <c r="M24" s="13">
        <v>215280386000</v>
      </c>
      <c r="N24" s="9" t="s">
        <v>50</v>
      </c>
      <c r="O24" s="6">
        <v>1.0683760683760684</v>
      </c>
      <c r="P24" s="12">
        <v>0.17116798103948694</v>
      </c>
      <c r="Q24" s="12">
        <v>0.15266623500015464</v>
      </c>
      <c r="R24" s="14">
        <v>17</v>
      </c>
    </row>
    <row r="25" spans="2:18" x14ac:dyDescent="0.5">
      <c r="B25" s="1" t="s">
        <v>27</v>
      </c>
      <c r="C25" t="s">
        <v>86</v>
      </c>
      <c r="D25" t="s">
        <v>87</v>
      </c>
      <c r="E25">
        <v>5.0999999999999996</v>
      </c>
      <c r="F25" s="9" t="s">
        <v>67</v>
      </c>
      <c r="G25" s="7">
        <v>5405194240</v>
      </c>
      <c r="H25" s="6">
        <v>7.12</v>
      </c>
      <c r="I25" s="6">
        <v>3.98</v>
      </c>
      <c r="J25" s="12">
        <f t="shared" si="0"/>
        <v>0.28140703517587928</v>
      </c>
      <c r="K25" s="11">
        <v>9.8039215686274522E-2</v>
      </c>
      <c r="L25" s="13">
        <v>866801000</v>
      </c>
      <c r="M25" s="13">
        <v>7530053000</v>
      </c>
      <c r="N25" s="9" t="s">
        <v>67</v>
      </c>
      <c r="O25" s="6">
        <v>1</v>
      </c>
      <c r="P25" s="12">
        <v>0.35975485963591819</v>
      </c>
      <c r="Q25" s="12">
        <v>0.11511220438953086</v>
      </c>
      <c r="R25" s="14">
        <v>19</v>
      </c>
    </row>
    <row r="26" spans="2:18" x14ac:dyDescent="0.5">
      <c r="B26" s="1" t="s">
        <v>24</v>
      </c>
      <c r="C26" t="s">
        <v>759</v>
      </c>
      <c r="D26" t="s">
        <v>81</v>
      </c>
      <c r="E26">
        <v>20.399999999999999</v>
      </c>
      <c r="F26" s="9" t="s">
        <v>67</v>
      </c>
      <c r="G26" s="7">
        <v>43467780096</v>
      </c>
      <c r="H26" s="6">
        <v>26</v>
      </c>
      <c r="I26" s="6">
        <v>9.58</v>
      </c>
      <c r="J26" s="12">
        <f t="shared" si="0"/>
        <v>1.1294363256784967</v>
      </c>
      <c r="K26" s="11">
        <v>5.4901960784313732E-2</v>
      </c>
      <c r="L26" s="13">
        <v>5451928473.2399998</v>
      </c>
      <c r="M26" s="13">
        <v>25994816572.18</v>
      </c>
      <c r="N26" s="9" t="s">
        <v>50</v>
      </c>
      <c r="O26" s="6">
        <v>1.0683760683760684</v>
      </c>
      <c r="P26" s="12">
        <v>0.12410576443820288</v>
      </c>
      <c r="Q26" s="12">
        <v>0.20973136925592797</v>
      </c>
      <c r="R26" s="14">
        <v>18</v>
      </c>
    </row>
    <row r="27" spans="2:18" x14ac:dyDescent="0.5">
      <c r="B27" s="1" t="s">
        <v>34</v>
      </c>
      <c r="C27" t="s">
        <v>97</v>
      </c>
      <c r="D27" t="s">
        <v>70</v>
      </c>
      <c r="E27">
        <v>4.6100000000000003</v>
      </c>
      <c r="F27" s="9" t="s">
        <v>67</v>
      </c>
      <c r="G27" s="7">
        <v>53153095680</v>
      </c>
      <c r="H27" s="6">
        <v>5.37</v>
      </c>
      <c r="I27" s="6">
        <v>3.46</v>
      </c>
      <c r="J27" s="12">
        <f t="shared" si="0"/>
        <v>0.33236994219653182</v>
      </c>
      <c r="K27" s="11">
        <v>5.7266811279826461E-2</v>
      </c>
      <c r="L27" s="13">
        <v>5294586000</v>
      </c>
      <c r="M27" s="13">
        <v>17815083000</v>
      </c>
      <c r="N27" s="9" t="s">
        <v>50</v>
      </c>
      <c r="O27" s="6">
        <v>1.0683760683760684</v>
      </c>
      <c r="P27" s="12">
        <v>0.11164142402242341</v>
      </c>
      <c r="Q27" s="12">
        <v>0.29719681912231338</v>
      </c>
      <c r="R27" s="14">
        <v>19</v>
      </c>
    </row>
    <row r="28" spans="2:18" x14ac:dyDescent="0.5">
      <c r="B28" s="1" t="s">
        <v>279</v>
      </c>
      <c r="C28" t="s">
        <v>334</v>
      </c>
      <c r="D28" t="s">
        <v>60</v>
      </c>
      <c r="E28">
        <v>10.38</v>
      </c>
      <c r="F28" s="9" t="s">
        <v>67</v>
      </c>
      <c r="G28" s="7">
        <v>16822855680</v>
      </c>
      <c r="H28" s="6">
        <v>12.4</v>
      </c>
      <c r="I28" s="6">
        <v>10.02</v>
      </c>
      <c r="J28" s="12">
        <f t="shared" si="0"/>
        <v>3.5928143712574911E-2</v>
      </c>
      <c r="K28" s="11">
        <v>5.7803468208092477E-2</v>
      </c>
      <c r="L28" s="13">
        <v>1721368005.75</v>
      </c>
      <c r="M28" s="13">
        <v>14620942286.52</v>
      </c>
      <c r="N28" s="9" t="s">
        <v>50</v>
      </c>
      <c r="O28" s="6">
        <v>1.0683760683760684</v>
      </c>
      <c r="P28" s="12">
        <v>0.25027149310649927</v>
      </c>
      <c r="Q28" s="12">
        <v>0.11773304155211949</v>
      </c>
      <c r="R28" s="14">
        <v>20</v>
      </c>
    </row>
    <row r="29" spans="2:18" x14ac:dyDescent="0.5">
      <c r="B29" s="1" t="s">
        <v>437</v>
      </c>
      <c r="C29" t="s">
        <v>440</v>
      </c>
      <c r="D29" t="s">
        <v>182</v>
      </c>
      <c r="E29">
        <v>14.54</v>
      </c>
      <c r="F29" s="9" t="s">
        <v>67</v>
      </c>
      <c r="G29" s="7">
        <v>78734098432</v>
      </c>
      <c r="H29" s="6">
        <v>18.88</v>
      </c>
      <c r="I29" s="6">
        <v>12.43</v>
      </c>
      <c r="J29" s="12">
        <f t="shared" si="0"/>
        <v>0.169750603378922</v>
      </c>
      <c r="K29" s="11">
        <v>5.3438789546079786E-2</v>
      </c>
      <c r="L29" s="13">
        <v>6898733000</v>
      </c>
      <c r="M29" s="13">
        <v>12604518000</v>
      </c>
      <c r="N29" s="9" t="s">
        <v>50</v>
      </c>
      <c r="O29" s="6">
        <v>1.0683760683760684</v>
      </c>
      <c r="P29" s="12">
        <v>9.5301449604920388E-2</v>
      </c>
      <c r="Q29" s="12">
        <v>0.54732223794674262</v>
      </c>
      <c r="R29" s="14">
        <v>21</v>
      </c>
    </row>
    <row r="30" spans="2:18" x14ac:dyDescent="0.5">
      <c r="B30" s="1" t="s">
        <v>283</v>
      </c>
      <c r="C30" t="s">
        <v>338</v>
      </c>
      <c r="D30" t="s">
        <v>96</v>
      </c>
      <c r="E30">
        <v>4.7300000000000004</v>
      </c>
      <c r="F30" s="9" t="s">
        <v>67</v>
      </c>
      <c r="G30" s="7">
        <v>5207500800</v>
      </c>
      <c r="H30" s="6">
        <v>4.95</v>
      </c>
      <c r="I30" s="6">
        <v>4</v>
      </c>
      <c r="J30" s="12">
        <f t="shared" si="0"/>
        <v>0.18250000000000011</v>
      </c>
      <c r="K30" s="11">
        <v>6.7653276955602526E-2</v>
      </c>
      <c r="L30" s="13">
        <v>765224000</v>
      </c>
      <c r="M30" s="13">
        <v>5249449000</v>
      </c>
      <c r="N30" s="9" t="s">
        <v>67</v>
      </c>
      <c r="O30" s="6">
        <v>1</v>
      </c>
      <c r="P30" s="12">
        <v>0.16657894625707412</v>
      </c>
      <c r="Q30" s="12">
        <v>0.14577225152582682</v>
      </c>
      <c r="R30" s="14">
        <v>21</v>
      </c>
    </row>
    <row r="31" spans="2:18" x14ac:dyDescent="0.5">
      <c r="B31" s="1" t="s">
        <v>290</v>
      </c>
      <c r="C31" t="s">
        <v>345</v>
      </c>
      <c r="D31" t="s">
        <v>85</v>
      </c>
      <c r="E31">
        <v>1.1000000000000001</v>
      </c>
      <c r="F31" s="9" t="s">
        <v>67</v>
      </c>
      <c r="G31" s="7">
        <v>2407365632</v>
      </c>
      <c r="H31" s="6">
        <v>1.29</v>
      </c>
      <c r="I31" s="6">
        <v>0.47</v>
      </c>
      <c r="J31" s="12">
        <f t="shared" si="0"/>
        <v>1.3404255319148941</v>
      </c>
      <c r="K31" s="11">
        <v>3.3636363636363631E-2</v>
      </c>
      <c r="L31" s="13">
        <v>219938000</v>
      </c>
      <c r="M31" s="13">
        <v>1520292000</v>
      </c>
      <c r="N31" s="9" t="s">
        <v>50</v>
      </c>
      <c r="O31" s="6">
        <v>1.0683760683760684</v>
      </c>
      <c r="P31" s="12">
        <v>0.15380933339474007</v>
      </c>
      <c r="Q31" s="12">
        <v>0.14466826109721026</v>
      </c>
      <c r="R31" s="14">
        <v>22</v>
      </c>
    </row>
    <row r="32" spans="2:18" x14ac:dyDescent="0.5">
      <c r="B32" s="1" t="s">
        <v>25</v>
      </c>
      <c r="C32" t="s">
        <v>82</v>
      </c>
      <c r="D32" t="s">
        <v>49</v>
      </c>
      <c r="E32">
        <v>8.4</v>
      </c>
      <c r="F32" s="9" t="s">
        <v>67</v>
      </c>
      <c r="G32" s="7">
        <v>10461518848</v>
      </c>
      <c r="H32" s="6">
        <v>11.68</v>
      </c>
      <c r="I32" s="6">
        <v>3.89</v>
      </c>
      <c r="J32" s="12">
        <f t="shared" si="0"/>
        <v>1.1593830334190232</v>
      </c>
      <c r="K32" s="11">
        <v>1.6785714285714282E-2</v>
      </c>
      <c r="L32" s="13">
        <v>921702000</v>
      </c>
      <c r="M32" s="13">
        <v>5262544000</v>
      </c>
      <c r="N32" s="9" t="s">
        <v>50</v>
      </c>
      <c r="O32" s="6">
        <v>1.0683760683760684</v>
      </c>
      <c r="P32" s="12">
        <v>0.12301944656913355</v>
      </c>
      <c r="Q32" s="12">
        <v>0.17514380877385538</v>
      </c>
      <c r="R32" s="14">
        <v>24</v>
      </c>
    </row>
    <row r="33" spans="2:18" x14ac:dyDescent="0.5">
      <c r="B33" s="1" t="s">
        <v>198</v>
      </c>
      <c r="C33" t="s">
        <v>222</v>
      </c>
      <c r="D33" t="s">
        <v>223</v>
      </c>
      <c r="E33">
        <v>0.7</v>
      </c>
      <c r="F33" s="9" t="s">
        <v>67</v>
      </c>
      <c r="G33" s="7">
        <v>1667544192</v>
      </c>
      <c r="H33" s="6">
        <v>0.75</v>
      </c>
      <c r="I33" s="6">
        <v>0.55000000000000004</v>
      </c>
      <c r="J33" s="12">
        <f t="shared" si="0"/>
        <v>0.27272727272727249</v>
      </c>
      <c r="K33" s="11">
        <v>1.4285714285714287E-2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1.1313547907380708</v>
      </c>
      <c r="Q33" s="12">
        <v>9.2370860611101543E-2</v>
      </c>
      <c r="R33" s="14">
        <v>24</v>
      </c>
    </row>
    <row r="34" spans="2:18" x14ac:dyDescent="0.5">
      <c r="B34" s="1" t="s">
        <v>280</v>
      </c>
      <c r="C34" t="s">
        <v>335</v>
      </c>
      <c r="D34" t="s">
        <v>178</v>
      </c>
      <c r="E34">
        <v>4.8899999999999997</v>
      </c>
      <c r="F34" s="9" t="s">
        <v>67</v>
      </c>
      <c r="G34" s="7">
        <v>1896751104</v>
      </c>
      <c r="H34" s="6">
        <v>14.18</v>
      </c>
      <c r="I34" s="6">
        <v>4.46</v>
      </c>
      <c r="J34" s="12">
        <f t="shared" ref="J34:J65" si="1">E34/I34-1</f>
        <v>9.6412556053811604E-2</v>
      </c>
      <c r="K34" s="11">
        <v>8.1799591002044994E-2</v>
      </c>
      <c r="L34" s="13">
        <v>348303000</v>
      </c>
      <c r="M34" s="13">
        <v>3681615000</v>
      </c>
      <c r="N34" s="9" t="s">
        <v>67</v>
      </c>
      <c r="O34" s="6">
        <v>1</v>
      </c>
      <c r="P34" s="12">
        <v>0.70567090162269763</v>
      </c>
      <c r="Q34" s="12">
        <v>9.4606035666412708E-2</v>
      </c>
      <c r="R34" s="14">
        <v>22</v>
      </c>
    </row>
    <row r="35" spans="2:18" x14ac:dyDescent="0.5">
      <c r="B35" s="1" t="s">
        <v>270</v>
      </c>
      <c r="C35" t="s">
        <v>324</v>
      </c>
      <c r="D35" t="s">
        <v>94</v>
      </c>
      <c r="E35">
        <v>17.649999999999999</v>
      </c>
      <c r="F35" s="9" t="s">
        <v>67</v>
      </c>
      <c r="G35" s="7">
        <v>28320280576</v>
      </c>
      <c r="H35" s="6">
        <v>18.45</v>
      </c>
      <c r="I35" s="6">
        <v>9.6300000000000008</v>
      </c>
      <c r="J35" s="12">
        <f t="shared" si="1"/>
        <v>0.83281412253374842</v>
      </c>
      <c r="K35" s="11">
        <v>9.4617563739376777E-3</v>
      </c>
      <c r="L35" s="13">
        <v>634792000</v>
      </c>
      <c r="M35" s="13">
        <v>5195491000</v>
      </c>
      <c r="N35" s="9" t="s">
        <v>71</v>
      </c>
      <c r="O35" s="6">
        <v>7.6923076923076916</v>
      </c>
      <c r="P35" s="12">
        <v>0.16297593599544119</v>
      </c>
      <c r="Q35" s="12">
        <v>0.12218132992627646</v>
      </c>
      <c r="R35" s="14">
        <v>26</v>
      </c>
    </row>
    <row r="36" spans="2:18" x14ac:dyDescent="0.5">
      <c r="B36" s="1" t="s">
        <v>115</v>
      </c>
      <c r="C36" t="s">
        <v>155</v>
      </c>
      <c r="D36" t="s">
        <v>83</v>
      </c>
      <c r="E36">
        <v>81.400000000000006</v>
      </c>
      <c r="F36" s="9" t="s">
        <v>67</v>
      </c>
      <c r="G36" s="7">
        <v>225518665728</v>
      </c>
      <c r="H36" s="6">
        <v>106.3</v>
      </c>
      <c r="I36" s="6">
        <v>73.55</v>
      </c>
      <c r="J36" s="12">
        <f t="shared" si="1"/>
        <v>0.10673011556764123</v>
      </c>
      <c r="K36" s="11">
        <v>2.9115479115479116E-2</v>
      </c>
      <c r="L36" s="13">
        <v>22510000000</v>
      </c>
      <c r="M36" s="13">
        <v>82545000000</v>
      </c>
      <c r="N36" s="9" t="s">
        <v>50</v>
      </c>
      <c r="O36" s="6">
        <v>1.0683760683760684</v>
      </c>
      <c r="P36" s="12">
        <v>9.8808039195915326E-2</v>
      </c>
      <c r="Q36" s="12">
        <v>0.27269973953601068</v>
      </c>
      <c r="R36" s="14">
        <v>25</v>
      </c>
    </row>
    <row r="37" spans="2:18" x14ac:dyDescent="0.5">
      <c r="B37" s="1" t="s">
        <v>110</v>
      </c>
      <c r="C37" t="s">
        <v>147</v>
      </c>
      <c r="D37" t="s">
        <v>148</v>
      </c>
      <c r="E37">
        <v>4.13</v>
      </c>
      <c r="F37" s="9" t="s">
        <v>67</v>
      </c>
      <c r="G37" s="7">
        <v>5928249344</v>
      </c>
      <c r="H37" s="6">
        <v>6.5</v>
      </c>
      <c r="I37" s="6">
        <v>2.73</v>
      </c>
      <c r="J37" s="12">
        <f t="shared" si="1"/>
        <v>0.51282051282051277</v>
      </c>
      <c r="K37" s="11">
        <v>9.4673123486682817E-2</v>
      </c>
      <c r="L37" s="13">
        <v>811880000</v>
      </c>
      <c r="M37" s="13">
        <v>5532140000</v>
      </c>
      <c r="N37" s="9" t="s">
        <v>50</v>
      </c>
      <c r="O37" s="6">
        <v>1.0683760683760684</v>
      </c>
      <c r="P37" s="12">
        <v>0.15179411681086116</v>
      </c>
      <c r="Q37" s="12">
        <v>0.14675695119790894</v>
      </c>
      <c r="R37" s="14">
        <v>23</v>
      </c>
    </row>
    <row r="38" spans="2:18" x14ac:dyDescent="0.5">
      <c r="B38" s="1" t="s">
        <v>272</v>
      </c>
      <c r="C38" t="s">
        <v>326</v>
      </c>
      <c r="D38" t="s">
        <v>298</v>
      </c>
      <c r="E38">
        <v>3.89</v>
      </c>
      <c r="F38" s="9" t="s">
        <v>67</v>
      </c>
      <c r="G38" s="7">
        <v>44740927488</v>
      </c>
      <c r="H38" s="6">
        <v>4.54</v>
      </c>
      <c r="I38" s="6">
        <v>2.5</v>
      </c>
      <c r="J38" s="12">
        <f t="shared" si="1"/>
        <v>0.55600000000000005</v>
      </c>
      <c r="K38" s="11">
        <v>4.8843187660668377E-2</v>
      </c>
      <c r="L38" s="13">
        <v>9414000000</v>
      </c>
      <c r="M38" s="13">
        <v>81589000000</v>
      </c>
      <c r="N38" s="9" t="s">
        <v>50</v>
      </c>
      <c r="O38" s="6">
        <v>1.0683760683760684</v>
      </c>
      <c r="P38" s="12">
        <v>0.1703197542269706</v>
      </c>
      <c r="Q38" s="12">
        <v>0.11538320116682396</v>
      </c>
      <c r="R38" s="14">
        <v>27</v>
      </c>
    </row>
    <row r="39" spans="2:18" x14ac:dyDescent="0.5">
      <c r="B39" s="1" t="s">
        <v>277</v>
      </c>
      <c r="C39" t="s">
        <v>332</v>
      </c>
      <c r="D39" t="s">
        <v>55</v>
      </c>
      <c r="E39">
        <v>10.8</v>
      </c>
      <c r="F39" s="9" t="s">
        <v>67</v>
      </c>
      <c r="G39" s="7">
        <v>27225047040</v>
      </c>
      <c r="H39" s="6">
        <v>11.56</v>
      </c>
      <c r="I39" s="6">
        <v>5.58</v>
      </c>
      <c r="J39" s="12">
        <f t="shared" si="1"/>
        <v>0.93548387096774199</v>
      </c>
      <c r="K39" s="11">
        <v>2.9444444444444443E-2</v>
      </c>
      <c r="L39" s="13">
        <v>3301437000</v>
      </c>
      <c r="M39" s="13">
        <v>21814427000</v>
      </c>
      <c r="N39" s="9" t="s">
        <v>67</v>
      </c>
      <c r="O39" s="6">
        <v>1</v>
      </c>
      <c r="P39" s="12">
        <v>0.14096158920270135</v>
      </c>
      <c r="Q39" s="12">
        <v>0.15134190781174311</v>
      </c>
      <c r="R39" s="14">
        <v>27</v>
      </c>
    </row>
    <row r="40" spans="2:18" x14ac:dyDescent="0.5">
      <c r="B40" s="1" t="s">
        <v>275</v>
      </c>
      <c r="C40" t="s">
        <v>330</v>
      </c>
      <c r="D40" t="s">
        <v>148</v>
      </c>
      <c r="E40">
        <v>27.18</v>
      </c>
      <c r="F40" s="9" t="s">
        <v>67</v>
      </c>
      <c r="G40" s="7">
        <v>193818935296</v>
      </c>
      <c r="H40" s="6">
        <v>34.119999999999997</v>
      </c>
      <c r="I40" s="6">
        <v>21</v>
      </c>
      <c r="J40" s="12">
        <f t="shared" si="1"/>
        <v>0.29428571428571426</v>
      </c>
      <c r="K40" s="11">
        <v>4.8528329654157466E-2</v>
      </c>
      <c r="L40" s="13">
        <v>61181051000</v>
      </c>
      <c r="M40" s="13">
        <v>532289194000</v>
      </c>
      <c r="N40" s="9" t="s">
        <v>50</v>
      </c>
      <c r="O40" s="6">
        <v>1.0683760683760684</v>
      </c>
      <c r="P40" s="12">
        <v>0.19335719620438468</v>
      </c>
      <c r="Q40" s="12">
        <v>0.11493949471384535</v>
      </c>
      <c r="R40" s="14">
        <v>27</v>
      </c>
    </row>
    <row r="41" spans="2:18" x14ac:dyDescent="0.5">
      <c r="B41" s="1" t="s">
        <v>276</v>
      </c>
      <c r="C41" t="s">
        <v>331</v>
      </c>
      <c r="D41" t="s">
        <v>53</v>
      </c>
      <c r="E41">
        <v>26.3</v>
      </c>
      <c r="F41" s="9" t="s">
        <v>67</v>
      </c>
      <c r="G41" s="7">
        <v>268697174016</v>
      </c>
      <c r="H41" s="6">
        <v>27.92</v>
      </c>
      <c r="I41" s="6">
        <v>19.239999999999998</v>
      </c>
      <c r="J41" s="12">
        <f t="shared" si="1"/>
        <v>0.36694386694386716</v>
      </c>
      <c r="K41" s="11">
        <v>4.6920152091254753E-2</v>
      </c>
      <c r="L41" s="13">
        <v>25459748125.549999</v>
      </c>
      <c r="M41" s="13">
        <v>134815560756.77</v>
      </c>
      <c r="N41" s="9" t="s">
        <v>50</v>
      </c>
      <c r="O41" s="6">
        <v>1.0683760683760684</v>
      </c>
      <c r="P41" s="12">
        <v>0.10591640647333891</v>
      </c>
      <c r="Q41" s="12">
        <v>0.18884873513587705</v>
      </c>
      <c r="R41" s="14">
        <v>32</v>
      </c>
    </row>
    <row r="42" spans="2:18" x14ac:dyDescent="0.5">
      <c r="B42" s="1" t="s">
        <v>136</v>
      </c>
      <c r="C42" t="s">
        <v>183</v>
      </c>
      <c r="D42" t="s">
        <v>85</v>
      </c>
      <c r="E42">
        <v>11.82</v>
      </c>
      <c r="F42" s="9" t="s">
        <v>67</v>
      </c>
      <c r="G42" s="7">
        <v>66623623168</v>
      </c>
      <c r="H42" s="6">
        <v>14.24</v>
      </c>
      <c r="I42" s="6">
        <v>9.7899999999999991</v>
      </c>
      <c r="J42" s="12">
        <f t="shared" si="1"/>
        <v>0.20735444330949959</v>
      </c>
      <c r="K42" s="11">
        <v>2.8003384094754655E-2</v>
      </c>
      <c r="L42" s="13">
        <v>6482967000</v>
      </c>
      <c r="M42" s="13">
        <v>27483863000</v>
      </c>
      <c r="N42" s="9" t="s">
        <v>50</v>
      </c>
      <c r="O42" s="6">
        <v>1.0683760683760684</v>
      </c>
      <c r="P42" s="12">
        <v>9.4836971342967161E-2</v>
      </c>
      <c r="Q42" s="12">
        <v>0.23588267049650188</v>
      </c>
      <c r="R42" s="14">
        <v>29</v>
      </c>
    </row>
    <row r="43" spans="2:18" x14ac:dyDescent="0.5">
      <c r="B43" s="1" t="s">
        <v>278</v>
      </c>
      <c r="C43" t="s">
        <v>333</v>
      </c>
      <c r="D43" t="s">
        <v>49</v>
      </c>
      <c r="E43">
        <v>21.5</v>
      </c>
      <c r="F43" s="9" t="s">
        <v>67</v>
      </c>
      <c r="G43" s="7">
        <v>34314000384</v>
      </c>
      <c r="H43" s="6">
        <v>24.25</v>
      </c>
      <c r="I43" s="6">
        <v>16.18</v>
      </c>
      <c r="J43" s="12">
        <f t="shared" si="1"/>
        <v>0.32880098887515463</v>
      </c>
      <c r="K43" s="11">
        <v>3.190697674418605E-2</v>
      </c>
      <c r="L43" s="13">
        <v>3811007000</v>
      </c>
      <c r="M43" s="13">
        <v>22856317000</v>
      </c>
      <c r="N43" s="9" t="s">
        <v>50</v>
      </c>
      <c r="O43" s="6">
        <v>1.0683760683760684</v>
      </c>
      <c r="P43" s="12">
        <v>0.12114336868603061</v>
      </c>
      <c r="Q43" s="12">
        <v>0.1667375806872122</v>
      </c>
      <c r="R43" s="14">
        <v>28</v>
      </c>
    </row>
    <row r="44" spans="2:18" x14ac:dyDescent="0.5">
      <c r="B44" s="1" t="s">
        <v>121</v>
      </c>
      <c r="C44" t="s">
        <v>162</v>
      </c>
      <c r="D44" t="s">
        <v>76</v>
      </c>
      <c r="E44">
        <v>6.17</v>
      </c>
      <c r="F44" s="9" t="s">
        <v>67</v>
      </c>
      <c r="G44" s="7">
        <v>9045044224</v>
      </c>
      <c r="H44" s="6">
        <v>6.57</v>
      </c>
      <c r="I44" s="6">
        <v>4.04</v>
      </c>
      <c r="J44" s="12">
        <f t="shared" si="1"/>
        <v>0.52722772277227725</v>
      </c>
      <c r="K44" s="11">
        <v>8.8330632090761751E-2</v>
      </c>
      <c r="L44" s="13">
        <v>784607000</v>
      </c>
      <c r="M44" s="13">
        <v>7872586000</v>
      </c>
      <c r="N44" s="9" t="s">
        <v>67</v>
      </c>
      <c r="O44" s="6">
        <v>1</v>
      </c>
      <c r="P44" s="12">
        <v>0.23600452246805334</v>
      </c>
      <c r="Q44" s="12">
        <v>9.9663185641922489E-2</v>
      </c>
      <c r="R44" s="14">
        <v>30</v>
      </c>
    </row>
    <row r="45" spans="2:18" x14ac:dyDescent="0.5">
      <c r="B45" s="1" t="s">
        <v>139</v>
      </c>
      <c r="C45" t="s">
        <v>187</v>
      </c>
      <c r="D45" t="s">
        <v>106</v>
      </c>
      <c r="E45">
        <v>46.18</v>
      </c>
      <c r="F45" s="9" t="s">
        <v>67</v>
      </c>
      <c r="G45" s="7">
        <v>118166487040</v>
      </c>
      <c r="H45" s="6">
        <v>71.7</v>
      </c>
      <c r="I45" s="6">
        <v>39.549999999999997</v>
      </c>
      <c r="J45" s="12">
        <f t="shared" si="1"/>
        <v>0.16763590391908978</v>
      </c>
      <c r="K45" s="11">
        <v>3.5513209181463837E-3</v>
      </c>
      <c r="L45" s="13">
        <v>1279098000</v>
      </c>
      <c r="M45" s="13">
        <v>4811702000</v>
      </c>
      <c r="N45" s="9" t="s">
        <v>188</v>
      </c>
      <c r="O45" s="6">
        <v>8.7546153846153842</v>
      </c>
      <c r="P45" s="12">
        <v>8.37461791409118E-2</v>
      </c>
      <c r="Q45" s="12">
        <v>0.26583067696212276</v>
      </c>
      <c r="R45" s="14">
        <v>33</v>
      </c>
    </row>
    <row r="46" spans="2:18" x14ac:dyDescent="0.5">
      <c r="B46" s="1" t="s">
        <v>384</v>
      </c>
      <c r="C46" t="s">
        <v>387</v>
      </c>
      <c r="D46" t="s">
        <v>83</v>
      </c>
      <c r="E46">
        <v>19.05</v>
      </c>
      <c r="F46" s="9" t="s">
        <v>67</v>
      </c>
      <c r="G46" s="7">
        <v>49054154752</v>
      </c>
      <c r="H46" s="6">
        <v>20.9</v>
      </c>
      <c r="I46" s="6">
        <v>13.5</v>
      </c>
      <c r="J46" s="12">
        <f t="shared" si="1"/>
        <v>0.4111111111111112</v>
      </c>
      <c r="K46" s="11">
        <v>2.8503937007874017E-2</v>
      </c>
      <c r="L46" s="13">
        <v>4264779000</v>
      </c>
      <c r="M46" s="13">
        <v>26103689000</v>
      </c>
      <c r="N46" s="9" t="s">
        <v>50</v>
      </c>
      <c r="O46" s="6">
        <v>1.0683760683760684</v>
      </c>
      <c r="P46" s="12">
        <v>0.10568880619678828</v>
      </c>
      <c r="Q46" s="12">
        <v>0.16337840218675606</v>
      </c>
      <c r="R46" s="14">
        <v>42</v>
      </c>
    </row>
    <row r="47" spans="2:18" x14ac:dyDescent="0.5">
      <c r="B47" s="1" t="s">
        <v>281</v>
      </c>
      <c r="C47" t="s">
        <v>336</v>
      </c>
      <c r="D47" t="s">
        <v>96</v>
      </c>
      <c r="E47">
        <v>4.42</v>
      </c>
      <c r="F47" s="9" t="s">
        <v>67</v>
      </c>
      <c r="G47" s="7">
        <v>30613002240</v>
      </c>
      <c r="H47" s="6">
        <v>6.15</v>
      </c>
      <c r="I47" s="6">
        <v>3.78</v>
      </c>
      <c r="J47" s="12">
        <f t="shared" si="1"/>
        <v>0.1693121693121693</v>
      </c>
      <c r="K47" s="11">
        <v>4.9547511312217192E-2</v>
      </c>
      <c r="L47" s="13">
        <v>4216348000</v>
      </c>
      <c r="M47" s="13">
        <v>46142120000</v>
      </c>
      <c r="N47" s="9" t="s">
        <v>50</v>
      </c>
      <c r="O47" s="6">
        <v>1.0683760683760684</v>
      </c>
      <c r="P47" s="12">
        <v>0.38173452908649264</v>
      </c>
      <c r="Q47" s="12">
        <v>9.1377422623841298E-2</v>
      </c>
      <c r="R47" s="14">
        <v>31</v>
      </c>
    </row>
    <row r="48" spans="2:18" x14ac:dyDescent="0.5">
      <c r="B48" s="1" t="s">
        <v>261</v>
      </c>
      <c r="C48" t="s">
        <v>312</v>
      </c>
      <c r="D48" t="s">
        <v>313</v>
      </c>
      <c r="E48">
        <v>7.04</v>
      </c>
      <c r="F48" s="9" t="s">
        <v>67</v>
      </c>
      <c r="G48" s="7">
        <v>12724302848</v>
      </c>
      <c r="H48" s="6">
        <v>9.7899999999999991</v>
      </c>
      <c r="I48" s="6">
        <v>5.49</v>
      </c>
      <c r="J48" s="12">
        <f t="shared" si="1"/>
        <v>0.2823315118397085</v>
      </c>
      <c r="K48" s="11">
        <v>3.6931818181818184E-2</v>
      </c>
      <c r="L48" s="13">
        <v>2897428000</v>
      </c>
      <c r="M48" s="13">
        <v>25970601000</v>
      </c>
      <c r="N48" s="9" t="s">
        <v>67</v>
      </c>
      <c r="O48" s="6">
        <v>1</v>
      </c>
      <c r="P48" s="12">
        <v>0.16426528337036872</v>
      </c>
      <c r="Q48" s="12">
        <v>0.11156568921912897</v>
      </c>
      <c r="R48" s="14">
        <v>31</v>
      </c>
    </row>
    <row r="49" spans="2:18" x14ac:dyDescent="0.5">
      <c r="B49" s="1" t="s">
        <v>248</v>
      </c>
      <c r="C49" t="s">
        <v>295</v>
      </c>
      <c r="D49" t="s">
        <v>296</v>
      </c>
      <c r="E49">
        <v>18.489999999999998</v>
      </c>
      <c r="F49" s="9" t="s">
        <v>67</v>
      </c>
      <c r="G49" s="7">
        <v>449894907904</v>
      </c>
      <c r="H49" s="6">
        <v>19.2</v>
      </c>
      <c r="I49" s="6">
        <v>4.58</v>
      </c>
      <c r="J49" s="12">
        <f t="shared" si="1"/>
        <v>3.037117903930131</v>
      </c>
      <c r="K49" s="11">
        <v>1.3791238507301245E-2</v>
      </c>
      <c r="L49" s="13">
        <v>29168443138.220001</v>
      </c>
      <c r="M49" s="13">
        <v>100996030941.41</v>
      </c>
      <c r="N49" s="9" t="s">
        <v>50</v>
      </c>
      <c r="O49" s="6">
        <v>1.0683760683760684</v>
      </c>
      <c r="P49" s="12">
        <v>6.9296454203986044E-2</v>
      </c>
      <c r="Q49" s="12">
        <v>0.2888078161719172</v>
      </c>
      <c r="R49" s="14">
        <v>35</v>
      </c>
    </row>
    <row r="50" spans="2:18" x14ac:dyDescent="0.5">
      <c r="B50" s="1" t="s">
        <v>274</v>
      </c>
      <c r="C50" t="s">
        <v>328</v>
      </c>
      <c r="D50" t="s">
        <v>329</v>
      </c>
      <c r="E50">
        <v>8.3000000000000007</v>
      </c>
      <c r="F50" s="9" t="s">
        <v>67</v>
      </c>
      <c r="G50" s="7">
        <v>10616297472</v>
      </c>
      <c r="H50" s="6">
        <v>9.5</v>
      </c>
      <c r="I50" s="6">
        <v>3.73</v>
      </c>
      <c r="J50" s="12">
        <f t="shared" si="1"/>
        <v>1.2252010723860591</v>
      </c>
      <c r="K50" s="11">
        <v>3.1325301204819272E-2</v>
      </c>
      <c r="L50" s="13">
        <v>2871477000</v>
      </c>
      <c r="M50" s="13">
        <v>21784665000</v>
      </c>
      <c r="N50" s="9" t="s">
        <v>50</v>
      </c>
      <c r="O50" s="6">
        <v>1.0683760683760684</v>
      </c>
      <c r="P50" s="12">
        <v>0.12982080036103155</v>
      </c>
      <c r="Q50" s="12">
        <v>0.1318118502166547</v>
      </c>
      <c r="R50" s="14">
        <v>36</v>
      </c>
    </row>
    <row r="51" spans="2:18" x14ac:dyDescent="0.5">
      <c r="B51" s="1" t="s">
        <v>267</v>
      </c>
      <c r="C51" t="s">
        <v>320</v>
      </c>
      <c r="D51" t="s">
        <v>171</v>
      </c>
      <c r="E51">
        <v>78.25</v>
      </c>
      <c r="F51" s="9" t="s">
        <v>67</v>
      </c>
      <c r="G51" s="7">
        <v>19157577728</v>
      </c>
      <c r="H51" s="6">
        <v>103.1</v>
      </c>
      <c r="I51" s="6">
        <v>58.2</v>
      </c>
      <c r="J51" s="12">
        <f t="shared" si="1"/>
        <v>0.34450171821305831</v>
      </c>
      <c r="K51" s="11">
        <v>1.0479233226837061E-2</v>
      </c>
      <c r="L51" s="13">
        <v>526052000</v>
      </c>
      <c r="M51" s="13">
        <v>5343547000</v>
      </c>
      <c r="N51" s="9" t="s">
        <v>71</v>
      </c>
      <c r="O51" s="6">
        <v>7.6923076923076916</v>
      </c>
      <c r="P51" s="12">
        <v>0.20996969232451854</v>
      </c>
      <c r="Q51" s="12">
        <v>9.8446219337080781E-2</v>
      </c>
      <c r="R51" s="14">
        <v>34</v>
      </c>
    </row>
    <row r="52" spans="2:18" x14ac:dyDescent="0.5">
      <c r="B52" s="1" t="s">
        <v>271</v>
      </c>
      <c r="C52" t="s">
        <v>325</v>
      </c>
      <c r="D52" t="s">
        <v>94</v>
      </c>
      <c r="E52">
        <v>0.46</v>
      </c>
      <c r="F52" s="9" t="s">
        <v>67</v>
      </c>
      <c r="G52" s="7">
        <v>2384508928</v>
      </c>
      <c r="H52" s="6">
        <v>0.68</v>
      </c>
      <c r="I52" s="6">
        <v>0.44500000000000001</v>
      </c>
      <c r="J52" s="12">
        <f t="shared" si="1"/>
        <v>3.3707865168539408E-2</v>
      </c>
      <c r="K52" s="11">
        <v>4.3478260869565216E-2</v>
      </c>
      <c r="L52" s="13">
        <v>756004000</v>
      </c>
      <c r="M52" s="13">
        <v>8813758000</v>
      </c>
      <c r="N52" s="9" t="s">
        <v>50</v>
      </c>
      <c r="O52" s="6">
        <v>1.0683760683760684</v>
      </c>
      <c r="P52" s="12">
        <v>0.32581023711772455</v>
      </c>
      <c r="Q52" s="12">
        <v>8.5775443346640556E-2</v>
      </c>
      <c r="R52" s="14">
        <v>37</v>
      </c>
    </row>
    <row r="53" spans="2:18" x14ac:dyDescent="0.5">
      <c r="B53" s="1" t="s">
        <v>37</v>
      </c>
      <c r="C53" t="s">
        <v>101</v>
      </c>
      <c r="D53" t="s">
        <v>102</v>
      </c>
      <c r="E53">
        <v>5</v>
      </c>
      <c r="F53" s="9" t="s">
        <v>67</v>
      </c>
      <c r="G53" s="7">
        <v>3896010752</v>
      </c>
      <c r="H53" s="6">
        <v>8.83</v>
      </c>
      <c r="I53" s="6">
        <v>4.28</v>
      </c>
      <c r="J53" s="12">
        <f t="shared" si="1"/>
        <v>0.16822429906542058</v>
      </c>
      <c r="K53" s="11">
        <v>3.4000000000000002E-2</v>
      </c>
      <c r="L53" s="13">
        <v>437453000</v>
      </c>
      <c r="M53" s="13">
        <v>4911072000</v>
      </c>
      <c r="N53" s="9" t="s">
        <v>67</v>
      </c>
      <c r="O53" s="6">
        <v>1</v>
      </c>
      <c r="P53" s="12">
        <v>0.27229143196980576</v>
      </c>
      <c r="Q53" s="12">
        <v>8.9074849645861431E-2</v>
      </c>
      <c r="R53" s="14">
        <v>35</v>
      </c>
    </row>
    <row r="54" spans="2:18" x14ac:dyDescent="0.5">
      <c r="B54" s="1" t="s">
        <v>19</v>
      </c>
      <c r="C54" t="s">
        <v>69</v>
      </c>
      <c r="D54" t="s">
        <v>70</v>
      </c>
      <c r="E54">
        <v>6.92</v>
      </c>
      <c r="F54" s="9" t="s">
        <v>67</v>
      </c>
      <c r="G54" s="7">
        <v>19741528064</v>
      </c>
      <c r="H54" s="6">
        <v>7.77</v>
      </c>
      <c r="I54" s="6">
        <v>3.6</v>
      </c>
      <c r="J54" s="12">
        <f t="shared" si="1"/>
        <v>0.92222222222222205</v>
      </c>
      <c r="K54" s="11">
        <v>6.5028901734104048E-3</v>
      </c>
      <c r="L54" s="13">
        <v>259348000</v>
      </c>
      <c r="M54" s="13">
        <v>1677627000</v>
      </c>
      <c r="N54" s="9" t="s">
        <v>71</v>
      </c>
      <c r="O54" s="6">
        <v>7.6923076923076916</v>
      </c>
      <c r="P54" s="12">
        <v>0.11205925700672685</v>
      </c>
      <c r="Q54" s="12">
        <v>0.15459217096529801</v>
      </c>
      <c r="R54" s="14">
        <v>38</v>
      </c>
    </row>
    <row r="55" spans="2:18" x14ac:dyDescent="0.5">
      <c r="B55" s="1" t="s">
        <v>284</v>
      </c>
      <c r="C55" t="s">
        <v>339</v>
      </c>
      <c r="D55" t="s">
        <v>70</v>
      </c>
      <c r="E55">
        <v>3.49</v>
      </c>
      <c r="F55" s="9" t="s">
        <v>67</v>
      </c>
      <c r="G55" s="7">
        <v>2003888128</v>
      </c>
      <c r="H55" s="6">
        <v>4.84</v>
      </c>
      <c r="I55" s="6">
        <v>2.8</v>
      </c>
      <c r="J55" s="12">
        <f t="shared" si="1"/>
        <v>0.24642857142857166</v>
      </c>
      <c r="K55" s="11">
        <v>8.0229226361031525E-2</v>
      </c>
      <c r="L55" s="13">
        <v>392836000</v>
      </c>
      <c r="M55" s="13">
        <v>3201831000</v>
      </c>
      <c r="N55" s="9" t="s">
        <v>67</v>
      </c>
      <c r="O55" s="6">
        <v>1</v>
      </c>
      <c r="P55" s="12">
        <v>0.12746928303601288</v>
      </c>
      <c r="Q55" s="12">
        <v>0.12269104771613493</v>
      </c>
      <c r="R55" s="14">
        <v>39</v>
      </c>
    </row>
    <row r="56" spans="2:18" x14ac:dyDescent="0.5">
      <c r="B56" s="1" t="s">
        <v>269</v>
      </c>
      <c r="C56" t="s">
        <v>323</v>
      </c>
      <c r="D56" t="s">
        <v>85</v>
      </c>
      <c r="E56">
        <v>11.2</v>
      </c>
      <c r="F56" s="9" t="s">
        <v>67</v>
      </c>
      <c r="G56" s="7">
        <v>2628886272</v>
      </c>
      <c r="H56" s="6">
        <v>17</v>
      </c>
      <c r="I56" s="6">
        <v>8.01</v>
      </c>
      <c r="J56" s="12">
        <f t="shared" si="1"/>
        <v>0.39825218476903856</v>
      </c>
      <c r="K56" s="11">
        <v>4.2857142857142858E-2</v>
      </c>
      <c r="L56" s="13">
        <v>244811000</v>
      </c>
      <c r="M56" s="13">
        <v>2904223000</v>
      </c>
      <c r="N56" s="9" t="s">
        <v>67</v>
      </c>
      <c r="O56" s="6">
        <v>1</v>
      </c>
      <c r="P56" s="12">
        <v>0.26426335357718439</v>
      </c>
      <c r="Q56" s="12">
        <v>8.4294835486117978E-2</v>
      </c>
      <c r="R56" s="14">
        <v>39</v>
      </c>
    </row>
    <row r="57" spans="2:18" x14ac:dyDescent="0.5">
      <c r="B57" s="1" t="s">
        <v>265</v>
      </c>
      <c r="C57" t="s">
        <v>318</v>
      </c>
      <c r="D57" t="s">
        <v>300</v>
      </c>
      <c r="E57">
        <v>4.5999999999999996</v>
      </c>
      <c r="F57" s="9" t="s">
        <v>67</v>
      </c>
      <c r="G57" s="7">
        <v>4251053312</v>
      </c>
      <c r="H57" s="6">
        <v>5.59</v>
      </c>
      <c r="I57" s="6">
        <v>3.5</v>
      </c>
      <c r="J57" s="12">
        <f t="shared" si="1"/>
        <v>0.31428571428571428</v>
      </c>
      <c r="K57" s="11">
        <v>3.3695652173913043E-2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0.43575008146147065</v>
      </c>
      <c r="Q57" s="12">
        <v>6.460670188445812E-2</v>
      </c>
      <c r="R57" s="14">
        <v>40</v>
      </c>
    </row>
    <row r="58" spans="2:18" x14ac:dyDescent="0.5">
      <c r="B58" s="1" t="s">
        <v>35</v>
      </c>
      <c r="C58" t="s">
        <v>98</v>
      </c>
      <c r="D58" t="s">
        <v>99</v>
      </c>
      <c r="E58">
        <v>400</v>
      </c>
      <c r="F58" s="9" t="s">
        <v>67</v>
      </c>
      <c r="G58" s="7">
        <v>505562923008</v>
      </c>
      <c r="H58" s="6">
        <v>466</v>
      </c>
      <c r="I58" s="6">
        <v>271</v>
      </c>
      <c r="J58" s="12">
        <f t="shared" si="1"/>
        <v>0.47601476014760147</v>
      </c>
      <c r="K58" s="11">
        <v>2.725E-2</v>
      </c>
      <c r="L58" s="13">
        <v>20744000000</v>
      </c>
      <c r="M58" s="13">
        <v>53852000000</v>
      </c>
      <c r="N58" s="9" t="s">
        <v>67</v>
      </c>
      <c r="O58" s="6">
        <v>1</v>
      </c>
      <c r="P58" s="12">
        <v>5.5689798137057808E-2</v>
      </c>
      <c r="Q58" s="12">
        <v>0.38520389214885242</v>
      </c>
      <c r="R58" s="14">
        <v>41</v>
      </c>
    </row>
    <row r="59" spans="2:18" x14ac:dyDescent="0.5">
      <c r="B59" s="1" t="s">
        <v>268</v>
      </c>
      <c r="C59" t="s">
        <v>321</v>
      </c>
      <c r="D59" t="s">
        <v>322</v>
      </c>
      <c r="E59">
        <v>8.2100000000000009</v>
      </c>
      <c r="F59" s="9" t="s">
        <v>67</v>
      </c>
      <c r="G59" s="7">
        <v>16660767744</v>
      </c>
      <c r="H59" s="6">
        <v>8.3699999999999992</v>
      </c>
      <c r="I59" s="6">
        <v>5.31</v>
      </c>
      <c r="J59" s="12">
        <f t="shared" si="1"/>
        <v>0.5461393596986821</v>
      </c>
      <c r="K59" s="11">
        <v>3.2886723507917173E-2</v>
      </c>
      <c r="L59" s="13">
        <v>1537565000</v>
      </c>
      <c r="M59" s="13">
        <v>14484935000</v>
      </c>
      <c r="N59" s="9" t="s">
        <v>50</v>
      </c>
      <c r="O59" s="6">
        <v>1.0683760683760684</v>
      </c>
      <c r="P59" s="12">
        <v>0.13382495152329801</v>
      </c>
      <c r="Q59" s="12">
        <v>0.10614925092863724</v>
      </c>
      <c r="R59" s="14">
        <v>45</v>
      </c>
    </row>
    <row r="60" spans="2:18" x14ac:dyDescent="0.5">
      <c r="B60" s="1" t="s">
        <v>263</v>
      </c>
      <c r="C60" t="s">
        <v>315</v>
      </c>
      <c r="D60" t="s">
        <v>316</v>
      </c>
      <c r="E60">
        <v>8.19</v>
      </c>
      <c r="F60" s="9" t="s">
        <v>67</v>
      </c>
      <c r="G60" s="7">
        <v>20533114880</v>
      </c>
      <c r="H60" s="6">
        <v>10.14</v>
      </c>
      <c r="I60" s="6">
        <v>5.01</v>
      </c>
      <c r="J60" s="12">
        <f t="shared" si="1"/>
        <v>0.63473053892215558</v>
      </c>
      <c r="K60" s="11">
        <v>4.8595848595848604E-2</v>
      </c>
      <c r="L60" s="13">
        <v>3040816000</v>
      </c>
      <c r="M60" s="13">
        <v>29707522000</v>
      </c>
      <c r="N60" s="9" t="s">
        <v>50</v>
      </c>
      <c r="O60" s="6">
        <v>1.0683760683760684</v>
      </c>
      <c r="P60" s="12">
        <v>0.147017132493517</v>
      </c>
      <c r="Q60" s="12">
        <v>0.102358453189061</v>
      </c>
      <c r="R60" s="14">
        <v>43</v>
      </c>
    </row>
    <row r="61" spans="2:18" x14ac:dyDescent="0.5">
      <c r="B61" s="1" t="s">
        <v>135</v>
      </c>
      <c r="C61" t="s">
        <v>181</v>
      </c>
      <c r="D61" t="s">
        <v>182</v>
      </c>
      <c r="E61">
        <v>371.8</v>
      </c>
      <c r="F61" s="9" t="s">
        <v>67</v>
      </c>
      <c r="G61" s="7">
        <v>131815817216</v>
      </c>
      <c r="H61" s="6">
        <v>421.4</v>
      </c>
      <c r="I61" s="6">
        <v>324</v>
      </c>
      <c r="J61" s="12">
        <f t="shared" si="1"/>
        <v>0.14753086419753081</v>
      </c>
      <c r="K61" s="11">
        <v>2.3668639053254438E-3</v>
      </c>
      <c r="L61" s="13">
        <v>1200000000</v>
      </c>
      <c r="M61" s="13">
        <v>5855000000</v>
      </c>
      <c r="N61" s="9" t="s">
        <v>71</v>
      </c>
      <c r="O61" s="6">
        <v>7.6923076923076916</v>
      </c>
      <c r="P61" s="12">
        <v>6.3754989615439031E-2</v>
      </c>
      <c r="Q61" s="12">
        <v>0.20495303159692571</v>
      </c>
      <c r="R61" s="14">
        <v>44</v>
      </c>
    </row>
    <row r="62" spans="2:18" x14ac:dyDescent="0.5">
      <c r="B62" s="1" t="s">
        <v>287</v>
      </c>
      <c r="C62" t="s">
        <v>342</v>
      </c>
      <c r="D62" t="s">
        <v>236</v>
      </c>
      <c r="E62">
        <v>16.3</v>
      </c>
      <c r="F62" s="9" t="s">
        <v>67</v>
      </c>
      <c r="G62" s="7">
        <v>16150914048</v>
      </c>
      <c r="H62" s="6">
        <v>17.190000000000001</v>
      </c>
      <c r="I62" s="6">
        <v>6.3</v>
      </c>
      <c r="J62" s="12">
        <f t="shared" si="1"/>
        <v>1.5873015873015874</v>
      </c>
      <c r="K62" s="11">
        <v>2.1717791411042943E-2</v>
      </c>
      <c r="L62" s="13">
        <v>1333116000</v>
      </c>
      <c r="M62" s="13">
        <v>8019803000</v>
      </c>
      <c r="N62" s="9" t="s">
        <v>50</v>
      </c>
      <c r="O62" s="6">
        <v>1.0683760683760684</v>
      </c>
      <c r="P62" s="12">
        <v>8.9175292006902038E-2</v>
      </c>
      <c r="Q62" s="12">
        <v>0.16622802330680692</v>
      </c>
      <c r="R62" s="14">
        <v>46</v>
      </c>
    </row>
    <row r="63" spans="2:18" x14ac:dyDescent="0.5">
      <c r="B63" s="1" t="s">
        <v>266</v>
      </c>
      <c r="C63" t="s">
        <v>319</v>
      </c>
      <c r="D63" t="s">
        <v>302</v>
      </c>
      <c r="E63">
        <v>7.43</v>
      </c>
      <c r="F63" s="9" t="s">
        <v>67</v>
      </c>
      <c r="G63" s="7">
        <v>32647598080</v>
      </c>
      <c r="H63" s="6">
        <v>7.93</v>
      </c>
      <c r="I63" s="6">
        <v>4.8</v>
      </c>
      <c r="J63" s="12">
        <f t="shared" si="1"/>
        <v>0.54791666666666661</v>
      </c>
      <c r="K63" s="11">
        <v>4.952893674293405E-2</v>
      </c>
      <c r="L63" s="13">
        <v>2919921000</v>
      </c>
      <c r="M63" s="13">
        <v>31662140000</v>
      </c>
      <c r="N63" s="9" t="s">
        <v>50</v>
      </c>
      <c r="O63" s="6">
        <v>1.0683760683760684</v>
      </c>
      <c r="P63" s="12">
        <v>0.14829040053868472</v>
      </c>
      <c r="Q63" s="12">
        <v>9.2221214358852555E-2</v>
      </c>
      <c r="R63" s="14">
        <v>48</v>
      </c>
    </row>
    <row r="64" spans="2:18" x14ac:dyDescent="0.5">
      <c r="B64" s="1" t="s">
        <v>116</v>
      </c>
      <c r="C64" t="s">
        <v>156</v>
      </c>
      <c r="D64" t="s">
        <v>83</v>
      </c>
      <c r="E64">
        <v>192.5</v>
      </c>
      <c r="F64" s="9" t="s">
        <v>67</v>
      </c>
      <c r="G64" s="7">
        <v>256032276480</v>
      </c>
      <c r="H64" s="6">
        <v>339.8</v>
      </c>
      <c r="I64" s="6">
        <v>79.5</v>
      </c>
      <c r="J64" s="12">
        <f t="shared" si="1"/>
        <v>1.4213836477987423</v>
      </c>
      <c r="K64" s="11">
        <v>4.2337662337662337E-3</v>
      </c>
      <c r="L64" s="13">
        <v>4408440000</v>
      </c>
      <c r="M64" s="13">
        <v>10683505000</v>
      </c>
      <c r="N64" s="9" t="s">
        <v>50</v>
      </c>
      <c r="O64" s="6">
        <v>1.0683760683760684</v>
      </c>
      <c r="P64" s="12">
        <v>1.8799177021240458E-2</v>
      </c>
      <c r="Q64" s="12">
        <v>0.41263985929711272</v>
      </c>
      <c r="R64" s="14">
        <v>47</v>
      </c>
    </row>
    <row r="65" spans="2:18" x14ac:dyDescent="0.5">
      <c r="B65" s="1" t="s">
        <v>364</v>
      </c>
      <c r="C65" t="s">
        <v>366</v>
      </c>
      <c r="D65" t="s">
        <v>367</v>
      </c>
      <c r="E65">
        <v>2.25</v>
      </c>
      <c r="F65" s="9" t="s">
        <v>67</v>
      </c>
      <c r="G65" s="7">
        <v>4547539968</v>
      </c>
      <c r="H65" s="6">
        <v>3.64</v>
      </c>
      <c r="I65" s="6">
        <v>0.99</v>
      </c>
      <c r="J65" s="12">
        <f t="shared" si="1"/>
        <v>1.2727272727272729</v>
      </c>
      <c r="K65" s="11">
        <v>0</v>
      </c>
      <c r="L65" s="13">
        <v>-732033000</v>
      </c>
      <c r="M65" s="13">
        <v>7864121000</v>
      </c>
      <c r="N65" s="9" t="s">
        <v>50</v>
      </c>
      <c r="O65" s="6">
        <v>1.0683760683760684</v>
      </c>
      <c r="P65" s="12">
        <v>1.3916353068249248</v>
      </c>
      <c r="Q65" s="12">
        <v>-9.3085164890011229E-2</v>
      </c>
      <c r="R65" s="14">
        <v>47</v>
      </c>
    </row>
    <row r="66" spans="2:18" x14ac:dyDescent="0.5">
      <c r="B66" s="1" t="s">
        <v>436</v>
      </c>
      <c r="C66" t="s">
        <v>438</v>
      </c>
      <c r="D66" t="s">
        <v>439</v>
      </c>
      <c r="E66">
        <v>100.6</v>
      </c>
      <c r="F66" s="9" t="s">
        <v>67</v>
      </c>
      <c r="G66" s="7">
        <v>614350913536</v>
      </c>
      <c r="H66" s="6">
        <v>189.6</v>
      </c>
      <c r="I66" s="6">
        <v>94.05</v>
      </c>
      <c r="J66" s="12">
        <f t="shared" ref="J66:J97" si="2">E66/I66-1</f>
        <v>6.964380648591173E-2</v>
      </c>
      <c r="K66" s="11">
        <v>0</v>
      </c>
      <c r="L66" s="13">
        <v>39322363000</v>
      </c>
      <c r="M66" s="13">
        <v>228415685000</v>
      </c>
      <c r="N66" s="9" t="s">
        <v>50</v>
      </c>
      <c r="O66" s="6">
        <v>1.0683760683760684</v>
      </c>
      <c r="P66" s="12">
        <v>6.9510009065465062E-2</v>
      </c>
      <c r="Q66" s="12">
        <v>0.17215263916748974</v>
      </c>
      <c r="R66" s="14">
        <v>48</v>
      </c>
    </row>
    <row r="67" spans="2:18" x14ac:dyDescent="0.5">
      <c r="B67" s="1" t="s">
        <v>134</v>
      </c>
      <c r="C67" t="s">
        <v>179</v>
      </c>
      <c r="D67" t="s">
        <v>180</v>
      </c>
      <c r="E67">
        <v>32.200000000000003</v>
      </c>
      <c r="F67" s="9" t="s">
        <v>67</v>
      </c>
      <c r="G67" s="7">
        <v>22272096256</v>
      </c>
      <c r="H67" s="6">
        <v>48.1</v>
      </c>
      <c r="I67" s="6">
        <v>19.82</v>
      </c>
      <c r="J67" s="12">
        <f t="shared" si="2"/>
        <v>0.62462159434914244</v>
      </c>
      <c r="K67" s="11">
        <v>1.5527950310559004E-2</v>
      </c>
      <c r="L67" s="13">
        <v>1323087000</v>
      </c>
      <c r="M67" s="13">
        <v>5952918000</v>
      </c>
      <c r="N67" s="9" t="s">
        <v>67</v>
      </c>
      <c r="O67" s="6">
        <v>1</v>
      </c>
      <c r="P67" s="12">
        <v>5.3490588814491161E-2</v>
      </c>
      <c r="Q67" s="12">
        <v>0.222258562943417</v>
      </c>
      <c r="R67" s="14">
        <v>49</v>
      </c>
    </row>
    <row r="68" spans="2:18" x14ac:dyDescent="0.5">
      <c r="B68" s="1" t="s">
        <v>123</v>
      </c>
      <c r="C68" t="s">
        <v>165</v>
      </c>
      <c r="D68" t="s">
        <v>106</v>
      </c>
      <c r="E68">
        <v>12.24</v>
      </c>
      <c r="F68" s="9" t="s">
        <v>67</v>
      </c>
      <c r="G68" s="7">
        <v>120746917888</v>
      </c>
      <c r="H68" s="6">
        <v>16.95</v>
      </c>
      <c r="I68" s="6">
        <v>6.43</v>
      </c>
      <c r="J68" s="12">
        <f t="shared" si="2"/>
        <v>0.90357698289269073</v>
      </c>
      <c r="K68" s="11">
        <v>4.4117647058823532E-2</v>
      </c>
      <c r="L68" s="13">
        <v>8510100000</v>
      </c>
      <c r="M68" s="13">
        <v>46117200000</v>
      </c>
      <c r="N68" s="9" t="s">
        <v>67</v>
      </c>
      <c r="O68" s="6">
        <v>1</v>
      </c>
      <c r="P68" s="12">
        <v>6.353019899108199E-2</v>
      </c>
      <c r="Q68" s="12">
        <v>0.18453201842262756</v>
      </c>
      <c r="R68" s="14">
        <v>49</v>
      </c>
    </row>
    <row r="69" spans="2:18" x14ac:dyDescent="0.5">
      <c r="B69" s="1" t="s">
        <v>260</v>
      </c>
      <c r="C69" t="s">
        <v>311</v>
      </c>
      <c r="D69" t="s">
        <v>74</v>
      </c>
      <c r="E69">
        <v>7.8</v>
      </c>
      <c r="F69" s="9" t="s">
        <v>67</v>
      </c>
      <c r="G69" s="7">
        <v>5318540800</v>
      </c>
      <c r="H69" s="6">
        <v>10.98</v>
      </c>
      <c r="I69" s="6">
        <v>6.56</v>
      </c>
      <c r="J69" s="12">
        <f t="shared" si="2"/>
        <v>0.18902439024390238</v>
      </c>
      <c r="K69" s="11">
        <v>4.576923076923077E-2</v>
      </c>
      <c r="L69" s="13">
        <v>618033000</v>
      </c>
      <c r="M69" s="13">
        <v>5033024000</v>
      </c>
      <c r="N69" s="9" t="s">
        <v>50</v>
      </c>
      <c r="O69" s="6">
        <v>1.0683760683760684</v>
      </c>
      <c r="P69" s="12">
        <v>0.10420464908784695</v>
      </c>
      <c r="Q69" s="12">
        <v>0.12279555988606453</v>
      </c>
      <c r="R69" s="14">
        <v>51</v>
      </c>
    </row>
    <row r="70" spans="2:18" x14ac:dyDescent="0.5">
      <c r="B70" s="1" t="s">
        <v>259</v>
      </c>
      <c r="C70" t="s">
        <v>310</v>
      </c>
      <c r="D70" t="s">
        <v>238</v>
      </c>
      <c r="E70">
        <v>7.87</v>
      </c>
      <c r="F70" s="9" t="s">
        <v>67</v>
      </c>
      <c r="G70" s="7">
        <v>104024342528</v>
      </c>
      <c r="H70" s="6">
        <v>9.83</v>
      </c>
      <c r="I70" s="6">
        <v>6.84</v>
      </c>
      <c r="J70" s="12">
        <f t="shared" si="2"/>
        <v>0.15058479532163749</v>
      </c>
      <c r="K70" s="11">
        <v>0</v>
      </c>
      <c r="L70" s="13">
        <v>1187000000</v>
      </c>
      <c r="M70" s="13">
        <v>10278000000</v>
      </c>
      <c r="N70" s="9" t="s">
        <v>71</v>
      </c>
      <c r="O70" s="6">
        <v>7.6923076923076916</v>
      </c>
      <c r="P70" s="12">
        <v>0.10929852829298213</v>
      </c>
      <c r="Q70" s="12">
        <v>0.1154893948238957</v>
      </c>
      <c r="R70" s="14">
        <v>51</v>
      </c>
    </row>
    <row r="71" spans="2:18" x14ac:dyDescent="0.5">
      <c r="B71" s="1" t="s">
        <v>273</v>
      </c>
      <c r="C71" t="s">
        <v>327</v>
      </c>
      <c r="D71" t="s">
        <v>81</v>
      </c>
      <c r="E71">
        <v>2.99</v>
      </c>
      <c r="F71" s="9" t="s">
        <v>67</v>
      </c>
      <c r="G71" s="7">
        <v>12797499392</v>
      </c>
      <c r="H71" s="6">
        <v>3.55</v>
      </c>
      <c r="I71" s="6">
        <v>1.4</v>
      </c>
      <c r="J71" s="12">
        <f t="shared" si="2"/>
        <v>1.1357142857142861</v>
      </c>
      <c r="K71" s="11">
        <v>4.0802675585284276E-2</v>
      </c>
      <c r="L71" s="13">
        <v>1230913000</v>
      </c>
      <c r="M71" s="13">
        <v>10701340000</v>
      </c>
      <c r="N71" s="9" t="s">
        <v>50</v>
      </c>
      <c r="O71" s="6">
        <v>1.0683760683760684</v>
      </c>
      <c r="P71" s="12">
        <v>0.11433103401792083</v>
      </c>
      <c r="Q71" s="12">
        <v>0.11502419323187564</v>
      </c>
      <c r="R71" s="14">
        <v>50</v>
      </c>
    </row>
    <row r="72" spans="2:18" x14ac:dyDescent="0.5">
      <c r="B72" s="1" t="s">
        <v>130</v>
      </c>
      <c r="C72" t="s">
        <v>173</v>
      </c>
      <c r="D72" t="s">
        <v>174</v>
      </c>
      <c r="E72">
        <v>33.200000000000003</v>
      </c>
      <c r="F72" s="9" t="s">
        <v>67</v>
      </c>
      <c r="G72" s="7">
        <v>894009475072</v>
      </c>
      <c r="H72" s="6">
        <v>36.92</v>
      </c>
      <c r="I72" s="6">
        <v>13.86</v>
      </c>
      <c r="J72" s="12">
        <f t="shared" si="2"/>
        <v>1.3953823953823958</v>
      </c>
      <c r="K72" s="11">
        <v>1.506024096385542E-2</v>
      </c>
      <c r="L72" s="13">
        <v>52374992116</v>
      </c>
      <c r="M72" s="13">
        <v>269573093476</v>
      </c>
      <c r="N72" s="9" t="s">
        <v>50</v>
      </c>
      <c r="O72" s="6">
        <v>1.0683760683760684</v>
      </c>
      <c r="P72" s="12">
        <v>5.4950850257807021E-2</v>
      </c>
      <c r="Q72" s="12">
        <v>0.19428864891763736</v>
      </c>
      <c r="R72" s="14">
        <v>52</v>
      </c>
    </row>
    <row r="73" spans="2:18" x14ac:dyDescent="0.5">
      <c r="B73" s="1" t="s">
        <v>31</v>
      </c>
      <c r="C73" t="s">
        <v>92</v>
      </c>
      <c r="D73" t="s">
        <v>74</v>
      </c>
      <c r="E73">
        <v>3.15</v>
      </c>
      <c r="F73" s="9" t="s">
        <v>67</v>
      </c>
      <c r="G73" s="7">
        <v>19533850624</v>
      </c>
      <c r="H73" s="6">
        <v>4.13</v>
      </c>
      <c r="I73" s="6">
        <v>2.6</v>
      </c>
      <c r="J73" s="12">
        <f t="shared" si="2"/>
        <v>0.21153846153846145</v>
      </c>
      <c r="K73" s="11">
        <v>4.7619047619047616E-2</v>
      </c>
      <c r="L73" s="13">
        <v>1677300000</v>
      </c>
      <c r="M73" s="13">
        <v>11188800000</v>
      </c>
      <c r="N73" s="9" t="s">
        <v>50</v>
      </c>
      <c r="O73" s="6">
        <v>1.0683760683760684</v>
      </c>
      <c r="P73" s="12">
        <v>8.487851660998251E-2</v>
      </c>
      <c r="Q73" s="12">
        <v>0.1499088374088374</v>
      </c>
      <c r="R73" s="14">
        <v>53</v>
      </c>
    </row>
    <row r="74" spans="2:18" x14ac:dyDescent="0.5">
      <c r="B74" s="1" t="s">
        <v>112</v>
      </c>
      <c r="C74" t="s">
        <v>151</v>
      </c>
      <c r="D74" t="s">
        <v>152</v>
      </c>
      <c r="E74">
        <v>65.55</v>
      </c>
      <c r="F74" s="9" t="s">
        <v>67</v>
      </c>
      <c r="G74" s="7">
        <v>185916227584</v>
      </c>
      <c r="H74" s="6">
        <v>86</v>
      </c>
      <c r="I74" s="6">
        <v>44.25</v>
      </c>
      <c r="J74" s="12">
        <f t="shared" si="2"/>
        <v>0.48135593220338979</v>
      </c>
      <c r="K74" s="11">
        <v>4.1189931350114423E-2</v>
      </c>
      <c r="L74" s="13">
        <v>8955723006</v>
      </c>
      <c r="M74" s="13">
        <v>47495870210</v>
      </c>
      <c r="N74" s="9" t="s">
        <v>50</v>
      </c>
      <c r="O74" s="6">
        <v>1.0683760683760684</v>
      </c>
      <c r="P74" s="12">
        <v>5.2610064043411002E-2</v>
      </c>
      <c r="Q74" s="12">
        <v>0.18855793075067021</v>
      </c>
      <c r="R74" s="14">
        <v>55</v>
      </c>
    </row>
    <row r="75" spans="2:18" x14ac:dyDescent="0.5">
      <c r="B75" s="1" t="s">
        <v>112</v>
      </c>
      <c r="C75" t="s">
        <v>151</v>
      </c>
      <c r="D75" t="s">
        <v>152</v>
      </c>
      <c r="E75">
        <v>65.55</v>
      </c>
      <c r="F75" s="9" t="s">
        <v>67</v>
      </c>
      <c r="G75" s="7">
        <v>185916227584</v>
      </c>
      <c r="H75" s="6">
        <v>86</v>
      </c>
      <c r="I75" s="6">
        <v>44.25</v>
      </c>
      <c r="J75" s="12">
        <f t="shared" si="2"/>
        <v>0.48135593220338979</v>
      </c>
      <c r="K75" s="11">
        <v>4.1189931350114423E-2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5.2610064043411002E-2</v>
      </c>
      <c r="Q75" s="12">
        <v>0.18855793075067021</v>
      </c>
      <c r="R75" s="14">
        <v>55</v>
      </c>
    </row>
    <row r="76" spans="2:18" x14ac:dyDescent="0.5">
      <c r="B76" s="1" t="s">
        <v>132</v>
      </c>
      <c r="C76" t="s">
        <v>176</v>
      </c>
      <c r="D76" t="s">
        <v>76</v>
      </c>
      <c r="E76">
        <v>15.21</v>
      </c>
      <c r="F76" s="9" t="s">
        <v>67</v>
      </c>
      <c r="G76" s="7">
        <v>63851716608</v>
      </c>
      <c r="H76" s="6">
        <v>16.73</v>
      </c>
      <c r="I76" s="6">
        <v>11.42</v>
      </c>
      <c r="J76" s="12">
        <f t="shared" si="2"/>
        <v>0.3318739054290718</v>
      </c>
      <c r="K76" s="11">
        <v>5.8251150558842862E-2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0.13790135739902834</v>
      </c>
      <c r="Q76" s="12">
        <v>8.6741482038526066E-2</v>
      </c>
      <c r="R76" s="14">
        <v>54</v>
      </c>
    </row>
    <row r="77" spans="2:18" x14ac:dyDescent="0.5">
      <c r="B77" s="1" t="s">
        <v>132</v>
      </c>
      <c r="C77" t="s">
        <v>176</v>
      </c>
      <c r="D77" t="s">
        <v>76</v>
      </c>
      <c r="E77">
        <v>15.21</v>
      </c>
      <c r="F77" s="9" t="s">
        <v>67</v>
      </c>
      <c r="G77" s="7">
        <v>63851716608</v>
      </c>
      <c r="H77" s="6">
        <v>16.73</v>
      </c>
      <c r="I77" s="6">
        <v>11.42</v>
      </c>
      <c r="J77" s="12">
        <f t="shared" si="2"/>
        <v>0.3318739054290718</v>
      </c>
      <c r="K77" s="11">
        <v>5.8251150558842862E-2</v>
      </c>
      <c r="L77" s="13">
        <v>11996000000</v>
      </c>
      <c r="M77" s="13">
        <v>138296000000</v>
      </c>
      <c r="N77" s="9" t="s">
        <v>67</v>
      </c>
      <c r="O77" s="6">
        <v>1</v>
      </c>
      <c r="P77" s="12">
        <v>0.13790135739902834</v>
      </c>
      <c r="Q77" s="12">
        <v>8.6741482038526066E-2</v>
      </c>
      <c r="R77" s="14">
        <v>54</v>
      </c>
    </row>
    <row r="78" spans="2:18" x14ac:dyDescent="0.5">
      <c r="B78" s="1" t="s">
        <v>117</v>
      </c>
      <c r="C78" t="s">
        <v>157</v>
      </c>
      <c r="D78" t="s">
        <v>68</v>
      </c>
      <c r="E78">
        <v>5.23</v>
      </c>
      <c r="F78" s="9" t="s">
        <v>67</v>
      </c>
      <c r="G78" s="7">
        <v>8507705344</v>
      </c>
      <c r="H78" s="6">
        <v>7.05</v>
      </c>
      <c r="I78" s="6">
        <v>4.37</v>
      </c>
      <c r="J78" s="12">
        <f t="shared" si="2"/>
        <v>0.19679633867276891</v>
      </c>
      <c r="K78" s="11">
        <v>5.3537284894837479E-2</v>
      </c>
      <c r="L78" s="13">
        <v>3597261000</v>
      </c>
      <c r="M78" s="13">
        <v>38357165000</v>
      </c>
      <c r="N78" s="9" t="s">
        <v>67</v>
      </c>
      <c r="O78" s="6">
        <v>1</v>
      </c>
      <c r="P78" s="12">
        <v>0.12245386962158164</v>
      </c>
      <c r="Q78" s="12">
        <v>9.3783286642795421E-2</v>
      </c>
      <c r="R78" s="14">
        <v>56</v>
      </c>
    </row>
    <row r="79" spans="2:18" x14ac:dyDescent="0.5">
      <c r="B79" s="1" t="s">
        <v>363</v>
      </c>
      <c r="C79" t="s">
        <v>365</v>
      </c>
      <c r="D79" t="s">
        <v>171</v>
      </c>
      <c r="E79">
        <v>8.64</v>
      </c>
      <c r="F79" s="9" t="s">
        <v>67</v>
      </c>
      <c r="G79" s="7">
        <v>2324837376</v>
      </c>
      <c r="H79" s="6">
        <v>15.58</v>
      </c>
      <c r="I79" s="6">
        <v>8.3000000000000007</v>
      </c>
      <c r="J79" s="12">
        <f t="shared" si="2"/>
        <v>4.0963855421686679E-2</v>
      </c>
      <c r="K79" s="11">
        <v>0</v>
      </c>
      <c r="L79" s="13">
        <v>-481083000</v>
      </c>
      <c r="M79" s="13">
        <v>4136123000</v>
      </c>
      <c r="N79" s="9" t="s">
        <v>50</v>
      </c>
      <c r="O79" s="6">
        <v>1.0683760683760684</v>
      </c>
      <c r="P79" s="12">
        <v>0.26667849737906169</v>
      </c>
      <c r="Q79" s="12">
        <v>-0.11631254679805218</v>
      </c>
      <c r="R79" s="14">
        <v>56</v>
      </c>
    </row>
    <row r="80" spans="2:18" x14ac:dyDescent="0.5">
      <c r="B80" s="1" t="s">
        <v>122</v>
      </c>
      <c r="C80" t="s">
        <v>163</v>
      </c>
      <c r="D80" t="s">
        <v>164</v>
      </c>
      <c r="E80">
        <v>28.48</v>
      </c>
      <c r="F80" s="9" t="s">
        <v>67</v>
      </c>
      <c r="G80" s="7">
        <v>32399441920</v>
      </c>
      <c r="H80" s="6">
        <v>29.4</v>
      </c>
      <c r="I80" s="6">
        <v>19.52</v>
      </c>
      <c r="J80" s="12">
        <f t="shared" si="2"/>
        <v>0.45901639344262302</v>
      </c>
      <c r="K80" s="11">
        <v>4.9157303370786512E-2</v>
      </c>
      <c r="L80" s="13">
        <v>3446618000</v>
      </c>
      <c r="M80" s="13">
        <v>34010798000</v>
      </c>
      <c r="N80" s="9" t="s">
        <v>50</v>
      </c>
      <c r="O80" s="6">
        <v>1.0683760683760684</v>
      </c>
      <c r="P80" s="12">
        <v>0.11812758249758215</v>
      </c>
      <c r="Q80" s="12">
        <v>0.10133893359397213</v>
      </c>
      <c r="R80" s="14">
        <v>54</v>
      </c>
    </row>
    <row r="81" spans="2:18" x14ac:dyDescent="0.5">
      <c r="B81" s="1" t="s">
        <v>127</v>
      </c>
      <c r="C81" t="s">
        <v>170</v>
      </c>
      <c r="D81" t="s">
        <v>171</v>
      </c>
      <c r="E81">
        <v>602</v>
      </c>
      <c r="F81" s="9" t="s">
        <v>67</v>
      </c>
      <c r="G81" s="7">
        <v>5440283869184</v>
      </c>
      <c r="H81" s="6">
        <v>683</v>
      </c>
      <c r="I81" s="6">
        <v>364.8</v>
      </c>
      <c r="J81" s="12">
        <f t="shared" si="2"/>
        <v>0.65021929824561409</v>
      </c>
      <c r="K81" s="11">
        <v>7.024916943521595E-3</v>
      </c>
      <c r="L81" s="13">
        <v>253932000000</v>
      </c>
      <c r="M81" s="13">
        <v>1312163000000</v>
      </c>
      <c r="N81" s="9" t="s">
        <v>50</v>
      </c>
      <c r="O81" s="6">
        <v>1.0683760683760684</v>
      </c>
      <c r="P81" s="12">
        <v>4.7752235365589028E-2</v>
      </c>
      <c r="Q81" s="12">
        <v>0.19352168899747973</v>
      </c>
      <c r="R81" s="14">
        <v>57</v>
      </c>
    </row>
    <row r="82" spans="2:18" x14ac:dyDescent="0.5">
      <c r="B82" s="1" t="s">
        <v>264</v>
      </c>
      <c r="C82" t="s">
        <v>317</v>
      </c>
      <c r="D82" t="s">
        <v>49</v>
      </c>
      <c r="E82">
        <v>4.6500000000000004</v>
      </c>
      <c r="F82" s="9" t="s">
        <v>67</v>
      </c>
      <c r="G82" s="7">
        <v>8775878656</v>
      </c>
      <c r="H82" s="6">
        <v>6.35</v>
      </c>
      <c r="I82" s="6">
        <v>1.92</v>
      </c>
      <c r="J82" s="12">
        <f t="shared" si="2"/>
        <v>1.4218750000000004</v>
      </c>
      <c r="K82" s="11">
        <v>3.4408602150537634E-2</v>
      </c>
      <c r="L82" s="13">
        <v>896597000</v>
      </c>
      <c r="M82" s="13">
        <v>6906279000</v>
      </c>
      <c r="N82" s="9" t="s">
        <v>67</v>
      </c>
      <c r="O82" s="6">
        <v>1</v>
      </c>
      <c r="P82" s="12">
        <v>8.645858259929462E-2</v>
      </c>
      <c r="Q82" s="12">
        <v>0.12982345485897689</v>
      </c>
      <c r="R82" s="14">
        <v>56</v>
      </c>
    </row>
    <row r="83" spans="2:18" x14ac:dyDescent="0.5">
      <c r="B83" s="1" t="s">
        <v>381</v>
      </c>
      <c r="C83" t="s">
        <v>382</v>
      </c>
      <c r="D83" t="s">
        <v>182</v>
      </c>
      <c r="E83">
        <v>5.0999999999999996</v>
      </c>
      <c r="F83" s="9" t="s">
        <v>67</v>
      </c>
      <c r="G83" s="7">
        <v>2926094336</v>
      </c>
      <c r="H83" s="6">
        <v>8.6199999999999992</v>
      </c>
      <c r="I83" s="6">
        <v>5.08</v>
      </c>
      <c r="J83" s="12">
        <f t="shared" si="2"/>
        <v>3.937007874015741E-3</v>
      </c>
      <c r="K83" s="11">
        <v>6.8627450980392163E-2</v>
      </c>
      <c r="L83" s="13">
        <v>371538000</v>
      </c>
      <c r="M83" s="13">
        <v>3037286000</v>
      </c>
      <c r="N83" s="9" t="s">
        <v>67</v>
      </c>
      <c r="O83" s="6">
        <v>1</v>
      </c>
      <c r="P83" s="12">
        <v>9.2727527688393152E-2</v>
      </c>
      <c r="Q83" s="12">
        <v>0.12232565520665489</v>
      </c>
      <c r="R83" s="14">
        <v>56</v>
      </c>
    </row>
    <row r="84" spans="2:18" x14ac:dyDescent="0.5">
      <c r="B84" s="1" t="s">
        <v>258</v>
      </c>
      <c r="C84" t="s">
        <v>309</v>
      </c>
      <c r="D84" t="s">
        <v>152</v>
      </c>
      <c r="E84">
        <v>27.8</v>
      </c>
      <c r="F84" s="9" t="s">
        <v>67</v>
      </c>
      <c r="G84" s="7">
        <v>25787529216</v>
      </c>
      <c r="H84" s="6">
        <v>45.78</v>
      </c>
      <c r="I84" s="6">
        <v>9.9</v>
      </c>
      <c r="J84" s="12">
        <f t="shared" si="2"/>
        <v>1.808080808080808</v>
      </c>
      <c r="K84" s="11">
        <v>2.8057553956834531E-3</v>
      </c>
      <c r="L84" s="13">
        <v>334940000</v>
      </c>
      <c r="M84" s="13">
        <v>3025375000</v>
      </c>
      <c r="N84" s="9" t="s">
        <v>71</v>
      </c>
      <c r="O84" s="6">
        <v>7.6923076923076916</v>
      </c>
      <c r="P84" s="12">
        <v>0.11219692533910579</v>
      </c>
      <c r="Q84" s="12">
        <v>0.11071024253191752</v>
      </c>
      <c r="R84" s="14">
        <v>53</v>
      </c>
    </row>
    <row r="85" spans="2:18" x14ac:dyDescent="0.5">
      <c r="B85" s="1" t="s">
        <v>254</v>
      </c>
      <c r="C85" t="s">
        <v>305</v>
      </c>
      <c r="D85" t="s">
        <v>96</v>
      </c>
      <c r="E85">
        <v>2.0299999999999998</v>
      </c>
      <c r="F85" s="9" t="s">
        <v>67</v>
      </c>
      <c r="G85" s="7">
        <v>1885003136</v>
      </c>
      <c r="H85" s="6">
        <v>2.4</v>
      </c>
      <c r="I85" s="6">
        <v>1.72</v>
      </c>
      <c r="J85" s="12">
        <f t="shared" si="2"/>
        <v>0.18023255813953476</v>
      </c>
      <c r="K85" s="11">
        <v>4.4334975369458129E-2</v>
      </c>
      <c r="L85" s="13">
        <v>238321000</v>
      </c>
      <c r="M85" s="13">
        <v>6087917000</v>
      </c>
      <c r="N85" s="9" t="s">
        <v>67</v>
      </c>
      <c r="O85" s="6">
        <v>1</v>
      </c>
      <c r="P85" s="12">
        <v>0.15572178424717617</v>
      </c>
      <c r="Q85" s="12">
        <v>3.9146558666946343E-2</v>
      </c>
      <c r="R85" s="14">
        <v>58</v>
      </c>
    </row>
    <row r="86" spans="2:18" x14ac:dyDescent="0.5">
      <c r="B86" s="1" t="s">
        <v>441</v>
      </c>
      <c r="C86" t="s">
        <v>445</v>
      </c>
      <c r="D86" t="s">
        <v>164</v>
      </c>
      <c r="E86">
        <v>2.1800000000000002</v>
      </c>
      <c r="F86" s="9" t="s">
        <v>67</v>
      </c>
      <c r="G86" s="7">
        <v>2906667008</v>
      </c>
      <c r="H86" s="6">
        <v>3.21</v>
      </c>
      <c r="I86" s="6">
        <v>1.73</v>
      </c>
      <c r="J86" s="12">
        <f t="shared" si="2"/>
        <v>0.26011560693641633</v>
      </c>
      <c r="K86" s="11">
        <v>5.5045871559633024E-2</v>
      </c>
      <c r="L86" s="13">
        <v>244399000</v>
      </c>
      <c r="M86" s="13">
        <v>2990882000</v>
      </c>
      <c r="N86" s="9" t="s">
        <v>50</v>
      </c>
      <c r="O86" s="6">
        <v>1.0683760683760684</v>
      </c>
      <c r="P86" s="12">
        <v>0.13008947065920362</v>
      </c>
      <c r="Q86" s="12">
        <v>8.171469151909036E-2</v>
      </c>
      <c r="R86" s="14">
        <v>58</v>
      </c>
    </row>
    <row r="87" spans="2:18" x14ac:dyDescent="0.5">
      <c r="B87" s="1" t="s">
        <v>257</v>
      </c>
      <c r="C87" t="s">
        <v>308</v>
      </c>
      <c r="D87" t="s">
        <v>300</v>
      </c>
      <c r="E87">
        <v>65.099999999999994</v>
      </c>
      <c r="F87" s="9" t="s">
        <v>67</v>
      </c>
      <c r="G87" s="7">
        <v>1260886425600</v>
      </c>
      <c r="H87" s="6">
        <v>66.25</v>
      </c>
      <c r="I87" s="6">
        <v>39.6</v>
      </c>
      <c r="J87" s="12">
        <f t="shared" si="2"/>
        <v>0.64393939393939381</v>
      </c>
      <c r="K87" s="11">
        <v>3.9477726574500771E-2</v>
      </c>
      <c r="L87" s="13">
        <v>189900000000</v>
      </c>
      <c r="M87" s="13">
        <v>2315380000000</v>
      </c>
      <c r="N87" s="9" t="s">
        <v>50</v>
      </c>
      <c r="O87" s="6">
        <v>1.0683760683760684</v>
      </c>
      <c r="P87" s="12">
        <v>0.11683280159258677</v>
      </c>
      <c r="Q87" s="12">
        <v>8.2016774784268678E-2</v>
      </c>
      <c r="R87" s="14">
        <v>60</v>
      </c>
    </row>
    <row r="88" spans="2:18" x14ac:dyDescent="0.5">
      <c r="B88" s="1" t="s">
        <v>760</v>
      </c>
      <c r="C88" t="s">
        <v>761</v>
      </c>
      <c r="D88" t="s">
        <v>182</v>
      </c>
      <c r="E88">
        <v>1.07</v>
      </c>
      <c r="F88" s="9" t="s">
        <v>67</v>
      </c>
      <c r="G88" s="7">
        <v>1039418368</v>
      </c>
      <c r="H88" s="6">
        <v>1.18</v>
      </c>
      <c r="I88" s="6">
        <v>0.69</v>
      </c>
      <c r="J88" s="12">
        <f t="shared" si="2"/>
        <v>0.55072463768115965</v>
      </c>
      <c r="K88" s="11">
        <v>5.6074766355140179E-2</v>
      </c>
      <c r="L88" s="13">
        <v>115617000</v>
      </c>
      <c r="M88" s="13">
        <v>935619000</v>
      </c>
      <c r="N88" s="9" t="s">
        <v>67</v>
      </c>
      <c r="O88" s="6">
        <v>1</v>
      </c>
      <c r="P88" s="12">
        <v>6.3789802923611624E-2</v>
      </c>
      <c r="Q88" s="12">
        <v>0.12357273633818894</v>
      </c>
      <c r="R88" s="14">
        <v>59</v>
      </c>
    </row>
    <row r="89" spans="2:18" x14ac:dyDescent="0.5">
      <c r="B89" s="1" t="s">
        <v>138</v>
      </c>
      <c r="C89" t="s">
        <v>186</v>
      </c>
      <c r="D89" t="s">
        <v>102</v>
      </c>
      <c r="E89">
        <v>32.78</v>
      </c>
      <c r="F89" s="9" t="s">
        <v>67</v>
      </c>
      <c r="G89" s="7">
        <v>73860038656</v>
      </c>
      <c r="H89" s="6">
        <v>61.55</v>
      </c>
      <c r="I89" s="6">
        <v>26.65</v>
      </c>
      <c r="J89" s="12">
        <f t="shared" si="2"/>
        <v>0.23001876172607894</v>
      </c>
      <c r="K89" s="11">
        <v>1.7327638804148868E-2</v>
      </c>
      <c r="L89" s="13">
        <v>5261270000</v>
      </c>
      <c r="M89" s="13">
        <v>43208997000</v>
      </c>
      <c r="N89" s="9" t="s">
        <v>50</v>
      </c>
      <c r="O89" s="6">
        <v>1.0683760683760684</v>
      </c>
      <c r="P89" s="12">
        <v>7.0582724969050228E-2</v>
      </c>
      <c r="Q89" s="12">
        <v>0.12176329850933591</v>
      </c>
      <c r="R89" s="14">
        <v>59</v>
      </c>
    </row>
    <row r="90" spans="2:18" x14ac:dyDescent="0.5">
      <c r="B90" s="1" t="s">
        <v>133</v>
      </c>
      <c r="C90" t="s">
        <v>177</v>
      </c>
      <c r="D90" t="s">
        <v>178</v>
      </c>
      <c r="E90">
        <v>8.74</v>
      </c>
      <c r="F90" s="9" t="s">
        <v>67</v>
      </c>
      <c r="G90" s="7">
        <v>20593457152</v>
      </c>
      <c r="H90" s="6">
        <v>12.7</v>
      </c>
      <c r="I90" s="6">
        <v>6.33</v>
      </c>
      <c r="J90" s="12">
        <f t="shared" si="2"/>
        <v>0.38072669826224326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0.12037824639695395</v>
      </c>
      <c r="Q90" s="12">
        <v>6.4862080854845933E-2</v>
      </c>
      <c r="R90" s="14">
        <v>61</v>
      </c>
    </row>
    <row r="91" spans="2:18" x14ac:dyDescent="0.5">
      <c r="B91" s="1" t="s">
        <v>113</v>
      </c>
      <c r="C91" t="s">
        <v>153</v>
      </c>
      <c r="D91" t="s">
        <v>91</v>
      </c>
      <c r="E91">
        <v>22.54</v>
      </c>
      <c r="F91" s="9" t="s">
        <v>67</v>
      </c>
      <c r="G91" s="7">
        <v>135415095296</v>
      </c>
      <c r="H91" s="6">
        <v>25.9</v>
      </c>
      <c r="I91" s="6">
        <v>18.7</v>
      </c>
      <c r="J91" s="12">
        <f t="shared" si="2"/>
        <v>0.20534759358288768</v>
      </c>
      <c r="K91" s="11">
        <v>4.2147293700088732E-2</v>
      </c>
      <c r="L91" s="13">
        <v>10795274825</v>
      </c>
      <c r="M91" s="13">
        <v>215275428010</v>
      </c>
      <c r="N91" s="9" t="s">
        <v>50</v>
      </c>
      <c r="O91" s="6">
        <v>1.0683760683760684</v>
      </c>
      <c r="P91" s="12">
        <v>0.12542790662231248</v>
      </c>
      <c r="Q91" s="12">
        <v>5.0146340085309396E-2</v>
      </c>
      <c r="R91" s="14">
        <v>62</v>
      </c>
    </row>
    <row r="92" spans="2:18" x14ac:dyDescent="0.5">
      <c r="B92" s="1" t="s">
        <v>285</v>
      </c>
      <c r="C92" t="s">
        <v>340</v>
      </c>
      <c r="D92" t="s">
        <v>49</v>
      </c>
      <c r="E92">
        <v>15.38</v>
      </c>
      <c r="F92" s="9" t="s">
        <v>67</v>
      </c>
      <c r="G92" s="7">
        <v>34393923584</v>
      </c>
      <c r="H92" s="6">
        <v>16.28</v>
      </c>
      <c r="I92" s="6">
        <v>2.36</v>
      </c>
      <c r="J92" s="12">
        <f t="shared" si="2"/>
        <v>5.5169491525423737</v>
      </c>
      <c r="K92" s="11">
        <v>1.5019505851755526E-2</v>
      </c>
      <c r="L92" s="13">
        <v>2184074765.02</v>
      </c>
      <c r="M92" s="13">
        <v>23493408528.349998</v>
      </c>
      <c r="N92" s="9" t="s">
        <v>50</v>
      </c>
      <c r="O92" s="6">
        <v>1.0683760683760684</v>
      </c>
      <c r="P92" s="12">
        <v>9.0368897128371928E-2</v>
      </c>
      <c r="Q92" s="12">
        <v>9.29654274042198E-2</v>
      </c>
      <c r="R92" s="14">
        <v>63</v>
      </c>
    </row>
    <row r="93" spans="2:18" x14ac:dyDescent="0.5">
      <c r="B93" s="1" t="s">
        <v>255</v>
      </c>
      <c r="C93" t="s">
        <v>306</v>
      </c>
      <c r="D93" t="s">
        <v>302</v>
      </c>
      <c r="E93">
        <v>1.89</v>
      </c>
      <c r="F93" s="9" t="s">
        <v>67</v>
      </c>
      <c r="G93" s="7">
        <v>73349332992</v>
      </c>
      <c r="H93" s="6">
        <v>3.17</v>
      </c>
      <c r="I93" s="6">
        <v>1.35</v>
      </c>
      <c r="J93" s="12">
        <f t="shared" si="2"/>
        <v>0.39999999999999991</v>
      </c>
      <c r="K93" s="11">
        <v>2.9629629629629631E-2</v>
      </c>
      <c r="L93" s="13">
        <v>12616717000</v>
      </c>
      <c r="M93" s="13">
        <v>231208465000</v>
      </c>
      <c r="N93" s="9" t="s">
        <v>50</v>
      </c>
      <c r="O93" s="6">
        <v>1.0683760683760684</v>
      </c>
      <c r="P93" s="12">
        <v>0.11485663874649768</v>
      </c>
      <c r="Q93" s="12">
        <v>5.4568577322633927E-2</v>
      </c>
      <c r="R93" s="14">
        <v>66</v>
      </c>
    </row>
    <row r="94" spans="2:18" x14ac:dyDescent="0.5">
      <c r="B94" s="1" t="s">
        <v>390</v>
      </c>
      <c r="C94" t="s">
        <v>391</v>
      </c>
      <c r="D94" t="s">
        <v>55</v>
      </c>
      <c r="E94">
        <v>39.96</v>
      </c>
      <c r="F94" s="9" t="s">
        <v>67</v>
      </c>
      <c r="G94" s="7">
        <v>1037093961728</v>
      </c>
      <c r="H94" s="6">
        <v>61.45</v>
      </c>
      <c r="I94" s="6">
        <v>30</v>
      </c>
      <c r="J94" s="12">
        <f t="shared" si="2"/>
        <v>0.33200000000000007</v>
      </c>
      <c r="K94" s="11">
        <v>0</v>
      </c>
      <c r="L94" s="13">
        <v>29458798000</v>
      </c>
      <c r="M94" s="13">
        <v>219340795000</v>
      </c>
      <c r="N94" s="9" t="s">
        <v>50</v>
      </c>
      <c r="O94" s="6">
        <v>1.0683760683760684</v>
      </c>
      <c r="P94" s="12">
        <v>3.0274082673927939E-2</v>
      </c>
      <c r="Q94" s="12">
        <v>0.13430606011982404</v>
      </c>
      <c r="R94" s="14">
        <v>66</v>
      </c>
    </row>
    <row r="95" spans="2:18" x14ac:dyDescent="0.5">
      <c r="B95" s="1" t="s">
        <v>109</v>
      </c>
      <c r="C95" t="s">
        <v>146</v>
      </c>
      <c r="D95" t="s">
        <v>96</v>
      </c>
      <c r="E95">
        <v>5.47</v>
      </c>
      <c r="F95" s="9" t="s">
        <v>67</v>
      </c>
      <c r="G95" s="7">
        <v>658144296960</v>
      </c>
      <c r="H95" s="6">
        <v>6.98</v>
      </c>
      <c r="I95" s="6">
        <v>4.62</v>
      </c>
      <c r="J95" s="12">
        <f t="shared" si="2"/>
        <v>0.18398268398268391</v>
      </c>
      <c r="K95" s="11">
        <v>8.0621572212065812E-2</v>
      </c>
      <c r="L95" s="13">
        <v>44563000000</v>
      </c>
      <c r="M95" s="13">
        <v>463922000000</v>
      </c>
      <c r="N95" s="9" t="s">
        <v>50</v>
      </c>
      <c r="O95" s="6">
        <v>1.0683760683760684</v>
      </c>
      <c r="P95" s="12">
        <v>7.4951342686634184E-2</v>
      </c>
      <c r="Q95" s="12">
        <v>9.605709580489824E-2</v>
      </c>
      <c r="R95" s="14">
        <v>65</v>
      </c>
    </row>
    <row r="96" spans="2:18" x14ac:dyDescent="0.5">
      <c r="B96" s="1" t="s">
        <v>120</v>
      </c>
      <c r="C96" t="s">
        <v>160</v>
      </c>
      <c r="D96" t="s">
        <v>161</v>
      </c>
      <c r="E96">
        <v>9.82</v>
      </c>
      <c r="F96" s="9" t="s">
        <v>67</v>
      </c>
      <c r="G96" s="7">
        <v>66216493056</v>
      </c>
      <c r="H96" s="6">
        <v>11.66</v>
      </c>
      <c r="I96" s="6">
        <v>5</v>
      </c>
      <c r="J96" s="12">
        <f t="shared" si="2"/>
        <v>0.96399999999999997</v>
      </c>
      <c r="K96" s="11">
        <v>2.1384928716904276E-2</v>
      </c>
      <c r="L96" s="13">
        <v>6749146000</v>
      </c>
      <c r="M96" s="13">
        <v>70848374000</v>
      </c>
      <c r="N96" s="9" t="s">
        <v>50</v>
      </c>
      <c r="O96" s="6">
        <v>1.0683760683760684</v>
      </c>
      <c r="P96" s="12">
        <v>7.2977525403051302E-2</v>
      </c>
      <c r="Q96" s="12">
        <v>9.5261833390841127E-2</v>
      </c>
      <c r="R96" s="14">
        <v>66</v>
      </c>
    </row>
    <row r="97" spans="2:18" x14ac:dyDescent="0.5">
      <c r="B97" s="1" t="s">
        <v>118</v>
      </c>
      <c r="C97" t="s">
        <v>158</v>
      </c>
      <c r="D97" t="s">
        <v>96</v>
      </c>
      <c r="E97">
        <v>8.36</v>
      </c>
      <c r="F97" s="9" t="s">
        <v>67</v>
      </c>
      <c r="G97" s="7">
        <v>255799279616</v>
      </c>
      <c r="H97" s="6">
        <v>11.56</v>
      </c>
      <c r="I97" s="6">
        <v>6.89</v>
      </c>
      <c r="J97" s="12">
        <f t="shared" si="2"/>
        <v>0.2133526850507983</v>
      </c>
      <c r="K97" s="11">
        <v>5.2631578947368425E-2</v>
      </c>
      <c r="L97" s="13">
        <v>26994000000</v>
      </c>
      <c r="M97" s="13">
        <v>363169000000</v>
      </c>
      <c r="N97" s="9" t="s">
        <v>50</v>
      </c>
      <c r="O97" s="6">
        <v>1.0683760683760684</v>
      </c>
      <c r="P97" s="12">
        <v>0.10766887422593609</v>
      </c>
      <c r="Q97" s="12">
        <v>7.4329031387590908E-2</v>
      </c>
      <c r="R97" s="14">
        <v>64</v>
      </c>
    </row>
    <row r="98" spans="2:18" x14ac:dyDescent="0.5">
      <c r="B98" s="1" t="s">
        <v>126</v>
      </c>
      <c r="C98" t="s">
        <v>169</v>
      </c>
      <c r="D98" t="s">
        <v>96</v>
      </c>
      <c r="E98">
        <v>11.66</v>
      </c>
      <c r="F98" s="9" t="s">
        <v>67</v>
      </c>
      <c r="G98" s="7">
        <v>88385839104</v>
      </c>
      <c r="H98" s="6">
        <v>12.95</v>
      </c>
      <c r="I98" s="6">
        <v>9.4</v>
      </c>
      <c r="J98" s="12">
        <f t="shared" ref="J98:J129" si="3">E98/I98-1</f>
        <v>0.24042553191489358</v>
      </c>
      <c r="K98" s="11">
        <v>6.8353344768439114E-2</v>
      </c>
      <c r="L98" s="13">
        <v>8154000000</v>
      </c>
      <c r="M98" s="13">
        <v>79588000000</v>
      </c>
      <c r="N98" s="9" t="s">
        <v>67</v>
      </c>
      <c r="O98" s="6">
        <v>1</v>
      </c>
      <c r="P98" s="12">
        <v>6.2870658974035598E-2</v>
      </c>
      <c r="Q98" s="12">
        <v>0.10245263104990703</v>
      </c>
      <c r="R98" s="14">
        <v>68</v>
      </c>
    </row>
    <row r="99" spans="2:18" x14ac:dyDescent="0.5">
      <c r="B99" s="1" t="s">
        <v>262</v>
      </c>
      <c r="C99" t="s">
        <v>314</v>
      </c>
      <c r="D99" t="s">
        <v>85</v>
      </c>
      <c r="E99">
        <v>6.41</v>
      </c>
      <c r="F99" s="9" t="s">
        <v>67</v>
      </c>
      <c r="G99" s="7">
        <v>6576064000</v>
      </c>
      <c r="H99" s="6">
        <v>10.82</v>
      </c>
      <c r="I99" s="6">
        <v>6.37</v>
      </c>
      <c r="J99" s="12">
        <f t="shared" si="3"/>
        <v>6.2794348508634634E-3</v>
      </c>
      <c r="K99" s="11">
        <v>2.2152886115444616E-2</v>
      </c>
      <c r="L99" s="13">
        <v>350106000</v>
      </c>
      <c r="M99" s="13">
        <v>3348556000</v>
      </c>
      <c r="N99" s="9" t="s">
        <v>67</v>
      </c>
      <c r="O99" s="6">
        <v>1</v>
      </c>
      <c r="P99" s="12">
        <v>5.9630704739052437E-2</v>
      </c>
      <c r="Q99" s="12">
        <v>0.10455432132537129</v>
      </c>
      <c r="R99" s="14">
        <v>67</v>
      </c>
    </row>
    <row r="100" spans="2:18" x14ac:dyDescent="0.5">
      <c r="B100" s="1" t="s">
        <v>253</v>
      </c>
      <c r="C100" t="s">
        <v>304</v>
      </c>
      <c r="D100" t="s">
        <v>148</v>
      </c>
      <c r="E100">
        <v>8.4</v>
      </c>
      <c r="F100" s="9" t="s">
        <v>67</v>
      </c>
      <c r="G100" s="7">
        <v>21332627456</v>
      </c>
      <c r="H100" s="6">
        <v>13.78</v>
      </c>
      <c r="I100" s="6">
        <v>8.0399999999999991</v>
      </c>
      <c r="J100" s="12">
        <f t="shared" si="3"/>
        <v>4.4776119402985204E-2</v>
      </c>
      <c r="K100" s="11">
        <v>3.5714285714285712E-2</v>
      </c>
      <c r="L100" s="13">
        <v>9652467000</v>
      </c>
      <c r="M100" s="13">
        <v>173514401000</v>
      </c>
      <c r="N100" s="9" t="s">
        <v>50</v>
      </c>
      <c r="O100" s="6">
        <v>1.0683760683760684</v>
      </c>
      <c r="P100" s="12">
        <v>0.10869746019499417</v>
      </c>
      <c r="Q100" s="12">
        <v>5.5629198178196171E-2</v>
      </c>
      <c r="R100" s="14">
        <v>69</v>
      </c>
    </row>
    <row r="101" spans="2:18" x14ac:dyDescent="0.5">
      <c r="B101" s="1" t="s">
        <v>443</v>
      </c>
      <c r="C101" t="s">
        <v>447</v>
      </c>
      <c r="D101" t="s">
        <v>448</v>
      </c>
      <c r="E101">
        <v>556.5</v>
      </c>
      <c r="F101" s="9" t="s">
        <v>67</v>
      </c>
      <c r="G101" s="7">
        <v>363730337792</v>
      </c>
      <c r="H101" s="6">
        <v>613</v>
      </c>
      <c r="I101" s="6">
        <v>402.6</v>
      </c>
      <c r="J101" s="12">
        <f t="shared" si="3"/>
        <v>0.38226527570789859</v>
      </c>
      <c r="K101" s="11">
        <v>0</v>
      </c>
      <c r="L101" s="13">
        <v>18738000000</v>
      </c>
      <c r="M101" s="13">
        <v>182117000000</v>
      </c>
      <c r="N101" s="9" t="s">
        <v>50</v>
      </c>
      <c r="O101" s="6">
        <v>1.0683760683760684</v>
      </c>
      <c r="P101" s="12">
        <v>5.6382935197719114E-2</v>
      </c>
      <c r="Q101" s="12">
        <v>0.10288990044861271</v>
      </c>
      <c r="R101" s="14">
        <v>71</v>
      </c>
    </row>
    <row r="102" spans="2:18" x14ac:dyDescent="0.5">
      <c r="B102" s="1" t="s">
        <v>36</v>
      </c>
      <c r="C102" t="s">
        <v>100</v>
      </c>
      <c r="D102" t="s">
        <v>49</v>
      </c>
      <c r="E102">
        <v>22.66</v>
      </c>
      <c r="F102" s="9" t="s">
        <v>67</v>
      </c>
      <c r="G102" s="7">
        <v>96720011264</v>
      </c>
      <c r="H102" s="6">
        <v>119.9</v>
      </c>
      <c r="I102" s="6">
        <v>8.4700000000000006</v>
      </c>
      <c r="J102" s="12">
        <f t="shared" si="3"/>
        <v>1.6753246753246751</v>
      </c>
      <c r="K102" s="11">
        <v>1.9329214474845542E-2</v>
      </c>
      <c r="L102" s="13">
        <v>3967214824.1399999</v>
      </c>
      <c r="M102" s="13">
        <v>41038539262.660004</v>
      </c>
      <c r="N102" s="9" t="s">
        <v>50</v>
      </c>
      <c r="O102" s="6">
        <v>1.0683760683760684</v>
      </c>
      <c r="P102" s="12">
        <v>5.9510957766651745E-2</v>
      </c>
      <c r="Q102" s="12">
        <v>9.6670468672106824E-2</v>
      </c>
      <c r="R102" s="14">
        <v>72</v>
      </c>
    </row>
    <row r="103" spans="2:18" x14ac:dyDescent="0.5">
      <c r="B103" s="1" t="s">
        <v>114</v>
      </c>
      <c r="C103" t="s">
        <v>154</v>
      </c>
      <c r="D103" t="s">
        <v>148</v>
      </c>
      <c r="E103">
        <v>1.95</v>
      </c>
      <c r="F103" s="9" t="s">
        <v>67</v>
      </c>
      <c r="G103" s="7">
        <v>6940781056</v>
      </c>
      <c r="H103" s="6">
        <v>2.64</v>
      </c>
      <c r="I103" s="6">
        <v>1.6</v>
      </c>
      <c r="J103" s="12">
        <f t="shared" si="3"/>
        <v>0.21875</v>
      </c>
      <c r="K103" s="11">
        <v>3.8461538461538464E-2</v>
      </c>
      <c r="L103" s="13">
        <v>2220197000</v>
      </c>
      <c r="M103" s="13">
        <v>71097505000</v>
      </c>
      <c r="N103" s="9" t="s">
        <v>50</v>
      </c>
      <c r="O103" s="6">
        <v>1.0683760683760684</v>
      </c>
      <c r="P103" s="12">
        <v>0.11727127986318976</v>
      </c>
      <c r="Q103" s="12">
        <v>3.1227495254580313E-2</v>
      </c>
      <c r="R103" s="14">
        <v>70</v>
      </c>
    </row>
    <row r="104" spans="2:18" x14ac:dyDescent="0.5">
      <c r="B104" s="1" t="s">
        <v>251</v>
      </c>
      <c r="C104" t="s">
        <v>301</v>
      </c>
      <c r="D104" t="s">
        <v>302</v>
      </c>
      <c r="E104">
        <v>5.41</v>
      </c>
      <c r="F104" s="9" t="s">
        <v>67</v>
      </c>
      <c r="G104" s="7">
        <v>111695044608</v>
      </c>
      <c r="H104" s="6">
        <v>6.07</v>
      </c>
      <c r="I104" s="6">
        <v>4.58</v>
      </c>
      <c r="J104" s="12">
        <f t="shared" si="3"/>
        <v>0.18122270742358082</v>
      </c>
      <c r="K104" s="11">
        <v>5.5452865064695003E-2</v>
      </c>
      <c r="L104" s="13">
        <v>42109966000</v>
      </c>
      <c r="M104" s="13">
        <v>746176876000</v>
      </c>
      <c r="N104" s="9" t="s">
        <v>50</v>
      </c>
      <c r="O104" s="6">
        <v>1.0683760683760684</v>
      </c>
      <c r="P104" s="12">
        <v>0.10086862526189587</v>
      </c>
      <c r="Q104" s="12">
        <v>5.643429507724386E-2</v>
      </c>
      <c r="R104" s="14">
        <v>73</v>
      </c>
    </row>
    <row r="105" spans="2:18" x14ac:dyDescent="0.5">
      <c r="B105" s="1" t="s">
        <v>256</v>
      </c>
      <c r="C105" t="s">
        <v>307</v>
      </c>
      <c r="D105" t="s">
        <v>106</v>
      </c>
      <c r="E105">
        <v>11.9</v>
      </c>
      <c r="F105" s="9" t="s">
        <v>67</v>
      </c>
      <c r="G105" s="7">
        <v>7993372672</v>
      </c>
      <c r="H105" s="6">
        <v>15.74</v>
      </c>
      <c r="I105" s="6">
        <v>6.28</v>
      </c>
      <c r="J105" s="12">
        <f t="shared" si="3"/>
        <v>0.89490445859872603</v>
      </c>
      <c r="K105" s="11">
        <v>4.7899159663865543E-2</v>
      </c>
      <c r="L105" s="13">
        <v>1136392000</v>
      </c>
      <c r="M105" s="13">
        <v>17458813000</v>
      </c>
      <c r="N105" s="9" t="s">
        <v>67</v>
      </c>
      <c r="O105" s="6">
        <v>1</v>
      </c>
      <c r="P105" s="12">
        <v>9.009972244053896E-2</v>
      </c>
      <c r="Q105" s="12">
        <v>6.5089877530620205E-2</v>
      </c>
      <c r="R105" s="14">
        <v>74</v>
      </c>
    </row>
    <row r="106" spans="2:18" x14ac:dyDescent="0.5">
      <c r="B106" s="1" t="s">
        <v>252</v>
      </c>
      <c r="C106" t="s">
        <v>303</v>
      </c>
      <c r="D106" t="s">
        <v>168</v>
      </c>
      <c r="E106">
        <v>53.9</v>
      </c>
      <c r="F106" s="9" t="s">
        <v>67</v>
      </c>
      <c r="G106" s="7">
        <v>206439399424</v>
      </c>
      <c r="H106" s="6">
        <v>57.75</v>
      </c>
      <c r="I106" s="6">
        <v>37.450000000000003</v>
      </c>
      <c r="J106" s="12">
        <f t="shared" si="3"/>
        <v>0.43925233644859807</v>
      </c>
      <c r="K106" s="11">
        <v>4.1261595547309834E-2</v>
      </c>
      <c r="L106" s="13">
        <v>41737000000</v>
      </c>
      <c r="M106" s="13">
        <v>794927000000</v>
      </c>
      <c r="N106" s="9" t="s">
        <v>67</v>
      </c>
      <c r="O106" s="6">
        <v>1</v>
      </c>
      <c r="P106" s="12">
        <v>0.10183049459082222</v>
      </c>
      <c r="Q106" s="12">
        <v>5.2504192208844336E-2</v>
      </c>
      <c r="R106" s="14">
        <v>76</v>
      </c>
    </row>
    <row r="107" spans="2:18" x14ac:dyDescent="0.5">
      <c r="B107" s="1" t="s">
        <v>124</v>
      </c>
      <c r="C107" t="s">
        <v>166</v>
      </c>
      <c r="D107" t="s">
        <v>102</v>
      </c>
      <c r="E107">
        <v>11.41</v>
      </c>
      <c r="F107" s="9" t="s">
        <v>67</v>
      </c>
      <c r="G107" s="7">
        <v>35774058496</v>
      </c>
      <c r="H107" s="6">
        <v>14.3</v>
      </c>
      <c r="I107" s="6">
        <v>6.52</v>
      </c>
      <c r="J107" s="12">
        <f t="shared" si="3"/>
        <v>0.75000000000000022</v>
      </c>
      <c r="K107" s="11">
        <v>3.0674846625766868E-2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5.1665523827771676E-2</v>
      </c>
      <c r="Q107" s="12">
        <v>0.10689920561026972</v>
      </c>
      <c r="R107" s="14">
        <v>74</v>
      </c>
    </row>
    <row r="108" spans="2:18" x14ac:dyDescent="0.5">
      <c r="B108" s="1" t="s">
        <v>119</v>
      </c>
      <c r="C108" t="s">
        <v>159</v>
      </c>
      <c r="D108" t="s">
        <v>148</v>
      </c>
      <c r="E108">
        <v>39.06</v>
      </c>
      <c r="F108" s="9" t="s">
        <v>67</v>
      </c>
      <c r="G108" s="7">
        <v>136701345792</v>
      </c>
      <c r="H108" s="6">
        <v>41.8</v>
      </c>
      <c r="I108" s="6">
        <v>28.1</v>
      </c>
      <c r="J108" s="12">
        <f t="shared" si="3"/>
        <v>0.39003558718861209</v>
      </c>
      <c r="K108" s="11">
        <v>4.4546850998463901E-2</v>
      </c>
      <c r="L108" s="13">
        <v>16863000000</v>
      </c>
      <c r="M108" s="13">
        <v>448320000000</v>
      </c>
      <c r="N108" s="9" t="s">
        <v>67</v>
      </c>
      <c r="O108" s="6">
        <v>1</v>
      </c>
      <c r="P108" s="12">
        <v>0.10654958269730766</v>
      </c>
      <c r="Q108" s="12">
        <v>3.7613758029978586E-2</v>
      </c>
      <c r="R108" s="14">
        <v>77</v>
      </c>
    </row>
    <row r="109" spans="2:18" x14ac:dyDescent="0.5">
      <c r="B109" s="1" t="s">
        <v>18</v>
      </c>
      <c r="C109" t="s">
        <v>66</v>
      </c>
      <c r="D109" t="s">
        <v>65</v>
      </c>
      <c r="E109">
        <v>66.2</v>
      </c>
      <c r="F109" s="9" t="s">
        <v>67</v>
      </c>
      <c r="G109" s="7">
        <v>173233864704</v>
      </c>
      <c r="H109" s="6">
        <v>84.3</v>
      </c>
      <c r="I109" s="6">
        <v>43.15</v>
      </c>
      <c r="J109" s="12">
        <f t="shared" si="3"/>
        <v>0.5341830822711473</v>
      </c>
      <c r="K109" s="11">
        <v>1.9637462235649546E-2</v>
      </c>
      <c r="L109" s="13">
        <v>6350637223.7200003</v>
      </c>
      <c r="M109" s="13">
        <v>57896384836.860001</v>
      </c>
      <c r="N109" s="9" t="s">
        <v>50</v>
      </c>
      <c r="O109" s="6">
        <v>1.0683760683760684</v>
      </c>
      <c r="P109" s="12">
        <v>4.7933254307249498E-2</v>
      </c>
      <c r="Q109" s="12">
        <v>0.10968970241604512</v>
      </c>
      <c r="R109" s="14">
        <v>75</v>
      </c>
    </row>
    <row r="110" spans="2:18" x14ac:dyDescent="0.5">
      <c r="B110" s="1" t="s">
        <v>131</v>
      </c>
      <c r="C110" t="s">
        <v>175</v>
      </c>
      <c r="D110" t="s">
        <v>96</v>
      </c>
      <c r="E110">
        <v>5.84</v>
      </c>
      <c r="F110" s="9" t="s">
        <v>67</v>
      </c>
      <c r="G110" s="7">
        <v>45246935040</v>
      </c>
      <c r="H110" s="6">
        <v>6.13</v>
      </c>
      <c r="I110" s="6">
        <v>4.3099999999999996</v>
      </c>
      <c r="J110" s="12">
        <f t="shared" si="3"/>
        <v>0.35498839907192581</v>
      </c>
      <c r="K110" s="11">
        <v>6.5582191780821919E-2</v>
      </c>
      <c r="L110" s="13">
        <v>5474000000</v>
      </c>
      <c r="M110" s="13">
        <v>59407000000</v>
      </c>
      <c r="N110" s="9" t="s">
        <v>67</v>
      </c>
      <c r="O110" s="6">
        <v>1</v>
      </c>
      <c r="P110" s="12">
        <v>5.649126594089407E-2</v>
      </c>
      <c r="Q110" s="12">
        <v>9.2144023431582137E-2</v>
      </c>
      <c r="R110" s="14">
        <v>78</v>
      </c>
    </row>
    <row r="111" spans="2:18" x14ac:dyDescent="0.5">
      <c r="B111" s="1" t="s">
        <v>756</v>
      </c>
      <c r="C111" t="s">
        <v>758</v>
      </c>
      <c r="D111" t="s">
        <v>85</v>
      </c>
      <c r="E111">
        <v>13.19</v>
      </c>
      <c r="F111" s="9" t="s">
        <v>67</v>
      </c>
      <c r="G111" s="7">
        <v>8514953728</v>
      </c>
      <c r="H111" s="6">
        <v>15.18</v>
      </c>
      <c r="I111" s="6">
        <v>7.95</v>
      </c>
      <c r="J111" s="12">
        <f t="shared" si="3"/>
        <v>0.65911949685534577</v>
      </c>
      <c r="K111" s="11">
        <v>1.690674753601213E-2</v>
      </c>
      <c r="L111" s="13">
        <v>1066661000</v>
      </c>
      <c r="M111" s="13">
        <v>15098330000</v>
      </c>
      <c r="N111" s="9" t="s">
        <v>50</v>
      </c>
      <c r="O111" s="6">
        <v>1.0683760683760684</v>
      </c>
      <c r="P111" s="12">
        <v>6.7828215385498367E-2</v>
      </c>
      <c r="Q111" s="12">
        <v>7.0647614669966816E-2</v>
      </c>
      <c r="R111" s="14">
        <v>79</v>
      </c>
    </row>
    <row r="112" spans="2:18" x14ac:dyDescent="0.5">
      <c r="B112" s="1" t="s">
        <v>125</v>
      </c>
      <c r="C112" t="s">
        <v>167</v>
      </c>
      <c r="D112" t="s">
        <v>168</v>
      </c>
      <c r="E112">
        <v>26.12</v>
      </c>
      <c r="F112" s="9" t="s">
        <v>67</v>
      </c>
      <c r="G112" s="7">
        <v>28949102592</v>
      </c>
      <c r="H112" s="6">
        <v>32.4</v>
      </c>
      <c r="I112" s="6">
        <v>17.600000000000001</v>
      </c>
      <c r="J112" s="12">
        <f t="shared" si="3"/>
        <v>0.48409090909090913</v>
      </c>
      <c r="K112" s="11">
        <v>4.7090352220520673E-2</v>
      </c>
      <c r="L112" s="13">
        <v>3838344000</v>
      </c>
      <c r="M112" s="13">
        <v>81520873000</v>
      </c>
      <c r="N112" s="9" t="s">
        <v>67</v>
      </c>
      <c r="O112" s="6">
        <v>1</v>
      </c>
      <c r="P112" s="12">
        <v>8.2073668895017021E-2</v>
      </c>
      <c r="Q112" s="12">
        <v>4.7084186647510511E-2</v>
      </c>
      <c r="R112" s="14">
        <v>80</v>
      </c>
    </row>
    <row r="113" spans="2:18" x14ac:dyDescent="0.5">
      <c r="B113" s="1" t="s">
        <v>444</v>
      </c>
      <c r="C113" t="s">
        <v>449</v>
      </c>
      <c r="D113" t="s">
        <v>450</v>
      </c>
      <c r="E113">
        <v>2.2000000000000002</v>
      </c>
      <c r="F113" s="9" t="s">
        <v>67</v>
      </c>
      <c r="G113" s="7">
        <v>24179478528</v>
      </c>
      <c r="H113" s="6">
        <v>2.64</v>
      </c>
      <c r="I113" s="6">
        <v>1.57</v>
      </c>
      <c r="J113" s="12">
        <f t="shared" si="3"/>
        <v>0.4012738853503186</v>
      </c>
      <c r="K113" s="11">
        <v>3.1818181818181822E-2</v>
      </c>
      <c r="L113" s="13">
        <v>1507922451</v>
      </c>
      <c r="M113" s="13">
        <v>27909411974</v>
      </c>
      <c r="N113" s="9" t="s">
        <v>50</v>
      </c>
      <c r="O113" s="6">
        <v>1.0683760683760684</v>
      </c>
      <c r="P113" s="12">
        <v>6.5869141285448685E-2</v>
      </c>
      <c r="Q113" s="12">
        <v>5.4029173112094174E-2</v>
      </c>
      <c r="R113" s="14">
        <v>81</v>
      </c>
    </row>
    <row r="114" spans="2:18" x14ac:dyDescent="0.5">
      <c r="B114" s="1" t="s">
        <v>33</v>
      </c>
      <c r="C114" t="s">
        <v>95</v>
      </c>
      <c r="D114" t="s">
        <v>96</v>
      </c>
      <c r="E114">
        <v>11.92</v>
      </c>
      <c r="F114" s="9" t="s">
        <v>67</v>
      </c>
      <c r="G114" s="7">
        <v>208375906304</v>
      </c>
      <c r="H114" s="6">
        <v>12.85</v>
      </c>
      <c r="I114" s="6">
        <v>9.89</v>
      </c>
      <c r="J114" s="12">
        <f t="shared" si="3"/>
        <v>0.20525783619817983</v>
      </c>
      <c r="K114" s="11">
        <v>3.6912751677852351E-2</v>
      </c>
      <c r="L114" s="13">
        <v>16758000000</v>
      </c>
      <c r="M114" s="13">
        <v>269590000000</v>
      </c>
      <c r="N114" s="9" t="s">
        <v>50</v>
      </c>
      <c r="O114" s="6">
        <v>1.0683760683760684</v>
      </c>
      <c r="P114" s="12">
        <v>5.880271352847552E-2</v>
      </c>
      <c r="Q114" s="12">
        <v>6.2161059386475759E-2</v>
      </c>
      <c r="R114" s="14">
        <v>82</v>
      </c>
    </row>
    <row r="115" spans="2:18" x14ac:dyDescent="0.5">
      <c r="B115" s="1" t="s">
        <v>26</v>
      </c>
      <c r="C115" t="s">
        <v>84</v>
      </c>
      <c r="D115" t="s">
        <v>85</v>
      </c>
      <c r="E115">
        <v>6.72</v>
      </c>
      <c r="F115" s="9" t="s">
        <v>67</v>
      </c>
      <c r="G115" s="7">
        <v>7013559808</v>
      </c>
      <c r="H115" s="6">
        <v>9.6</v>
      </c>
      <c r="I115" s="6">
        <v>5.14</v>
      </c>
      <c r="J115" s="12">
        <f t="shared" si="3"/>
        <v>0.30739299610894943</v>
      </c>
      <c r="K115" s="11">
        <v>1.4285714285714287E-2</v>
      </c>
      <c r="L115" s="13">
        <v>303335000</v>
      </c>
      <c r="M115" s="13">
        <v>3620162000</v>
      </c>
      <c r="N115" s="9" t="s">
        <v>67</v>
      </c>
      <c r="O115" s="6">
        <v>1</v>
      </c>
      <c r="P115" s="12">
        <v>5.1242458292988902E-2</v>
      </c>
      <c r="Q115" s="12">
        <v>8.3790449156695201E-2</v>
      </c>
      <c r="R115" s="14">
        <v>83</v>
      </c>
    </row>
    <row r="116" spans="2:18" x14ac:dyDescent="0.5">
      <c r="B116" s="1" t="s">
        <v>30</v>
      </c>
      <c r="C116" t="s">
        <v>90</v>
      </c>
      <c r="D116" t="s">
        <v>91</v>
      </c>
      <c r="E116">
        <v>2.88</v>
      </c>
      <c r="F116" s="9" t="s">
        <v>67</v>
      </c>
      <c r="G116" s="7">
        <v>15732094976</v>
      </c>
      <c r="H116" s="6">
        <v>3.68</v>
      </c>
      <c r="I116" s="6">
        <v>1.24</v>
      </c>
      <c r="J116" s="12">
        <f t="shared" si="3"/>
        <v>1.32258064516129</v>
      </c>
      <c r="K116" s="11">
        <v>1.1805555555555557E-2</v>
      </c>
      <c r="L116" s="13">
        <v>1384865000</v>
      </c>
      <c r="M116" s="13">
        <v>23827484000</v>
      </c>
      <c r="N116" s="9" t="s">
        <v>50</v>
      </c>
      <c r="O116" s="6">
        <v>1.0683760683760684</v>
      </c>
      <c r="P116" s="12">
        <v>5.5113714283316226E-2</v>
      </c>
      <c r="Q116" s="12">
        <v>5.8120488088461209E-2</v>
      </c>
      <c r="R116" s="14">
        <v>84</v>
      </c>
    </row>
    <row r="117" spans="2:18" x14ac:dyDescent="0.5">
      <c r="B117" s="1" t="s">
        <v>137</v>
      </c>
      <c r="C117" t="s">
        <v>184</v>
      </c>
      <c r="D117" t="s">
        <v>185</v>
      </c>
      <c r="E117">
        <v>2.84</v>
      </c>
      <c r="F117" s="9" t="s">
        <v>67</v>
      </c>
      <c r="G117" s="7">
        <v>12197799936</v>
      </c>
      <c r="H117" s="6">
        <v>3.25</v>
      </c>
      <c r="I117" s="6">
        <v>1.93</v>
      </c>
      <c r="J117" s="12">
        <f t="shared" si="3"/>
        <v>0.47150259067357503</v>
      </c>
      <c r="K117" s="11">
        <v>3.9084507042253525E-2</v>
      </c>
      <c r="L117" s="13">
        <v>1938532000</v>
      </c>
      <c r="M117" s="13">
        <v>49986396000</v>
      </c>
      <c r="N117" s="9" t="s">
        <v>67</v>
      </c>
      <c r="O117" s="6">
        <v>1</v>
      </c>
      <c r="P117" s="12">
        <v>5.9234632244442961E-2</v>
      </c>
      <c r="Q117" s="12">
        <v>3.8781191586606881E-2</v>
      </c>
      <c r="R117" s="14">
        <v>85</v>
      </c>
    </row>
    <row r="118" spans="2:18" x14ac:dyDescent="0.5">
      <c r="B118" s="1" t="s">
        <v>379</v>
      </c>
      <c r="C118" t="s">
        <v>380</v>
      </c>
      <c r="D118" t="s">
        <v>83</v>
      </c>
      <c r="E118">
        <v>1.32</v>
      </c>
      <c r="F118" s="9" t="s">
        <v>67</v>
      </c>
      <c r="G118" s="7">
        <v>7308357120</v>
      </c>
      <c r="H118" s="6">
        <v>2.99</v>
      </c>
      <c r="I118" s="6">
        <v>0.91</v>
      </c>
      <c r="J118" s="12">
        <f t="shared" si="3"/>
        <v>0.4505494505494505</v>
      </c>
      <c r="K118" s="11">
        <v>0</v>
      </c>
      <c r="L118" s="13">
        <v>429393000</v>
      </c>
      <c r="M118" s="13">
        <v>18333659000</v>
      </c>
      <c r="N118" s="9" t="s">
        <v>67</v>
      </c>
      <c r="O118" s="6">
        <v>1</v>
      </c>
      <c r="P118" s="12">
        <v>5.7826329247650278E-2</v>
      </c>
      <c r="Q118" s="12">
        <v>2.3421020321148112E-2</v>
      </c>
      <c r="R118" s="14">
        <v>87</v>
      </c>
    </row>
    <row r="119" spans="2:18" x14ac:dyDescent="0.5">
      <c r="B119" s="1" t="s">
        <v>383</v>
      </c>
      <c r="C119" t="s">
        <v>386</v>
      </c>
      <c r="D119" t="s">
        <v>148</v>
      </c>
      <c r="E119">
        <v>10.19</v>
      </c>
      <c r="F119" s="9" t="s">
        <v>67</v>
      </c>
      <c r="G119" s="7">
        <v>96646995968</v>
      </c>
      <c r="H119" s="6">
        <v>10.9</v>
      </c>
      <c r="I119" s="6">
        <v>7.31</v>
      </c>
      <c r="J119" s="12">
        <f t="shared" si="3"/>
        <v>0.39398084815321477</v>
      </c>
      <c r="K119" s="11">
        <v>5.6918547595682038E-2</v>
      </c>
      <c r="L119" s="13">
        <v>4532000000</v>
      </c>
      <c r="M119" s="13">
        <v>172303000000</v>
      </c>
      <c r="N119" s="9" t="s">
        <v>67</v>
      </c>
      <c r="O119" s="6">
        <v>1</v>
      </c>
      <c r="P119" s="12">
        <v>4.6584778617770752E-2</v>
      </c>
      <c r="Q119" s="12">
        <v>2.6302501987777345E-2</v>
      </c>
      <c r="R119" s="14">
        <v>88</v>
      </c>
    </row>
    <row r="120" spans="2:18" x14ac:dyDescent="0.5">
      <c r="B120" s="1" t="s">
        <v>191</v>
      </c>
      <c r="C120" t="s">
        <v>192</v>
      </c>
      <c r="D120" t="s">
        <v>193</v>
      </c>
      <c r="E120">
        <v>64</v>
      </c>
      <c r="F120" s="9" t="s">
        <v>67</v>
      </c>
      <c r="G120" s="7">
        <v>627477118976</v>
      </c>
      <c r="H120" s="6">
        <v>93.5</v>
      </c>
      <c r="I120" s="6">
        <v>25.3</v>
      </c>
      <c r="J120" s="12">
        <f t="shared" si="3"/>
        <v>1.5296442687747036</v>
      </c>
      <c r="K120" s="11">
        <v>0</v>
      </c>
      <c r="L120" s="13">
        <v>1156669000</v>
      </c>
      <c r="M120" s="13">
        <v>32183526000</v>
      </c>
      <c r="N120" s="9" t="s">
        <v>71</v>
      </c>
      <c r="O120" s="6">
        <v>7.6923076923076916</v>
      </c>
      <c r="P120" s="12">
        <v>1.33250912293099E-2</v>
      </c>
      <c r="Q120" s="12">
        <v>3.5939784845203104E-2</v>
      </c>
      <c r="R120" s="14">
        <v>89</v>
      </c>
    </row>
    <row r="121" spans="2:18" x14ac:dyDescent="0.5">
      <c r="B121" s="1" t="s">
        <v>111</v>
      </c>
      <c r="C121" t="s">
        <v>149</v>
      </c>
      <c r="D121" t="s">
        <v>150</v>
      </c>
      <c r="E121">
        <v>18.579999999999998</v>
      </c>
      <c r="F121" s="9" t="s">
        <v>67</v>
      </c>
      <c r="G121" s="7">
        <v>19081811968</v>
      </c>
      <c r="H121" s="6">
        <v>18.89</v>
      </c>
      <c r="I121" s="6">
        <v>10.94</v>
      </c>
      <c r="J121" s="12">
        <f t="shared" si="3"/>
        <v>0.69835466179159034</v>
      </c>
      <c r="K121" s="11">
        <v>5.8127018299246512E-2</v>
      </c>
      <c r="L121" s="13">
        <v>984000000</v>
      </c>
      <c r="M121" s="13">
        <v>101944000000</v>
      </c>
      <c r="N121" s="9" t="s">
        <v>67</v>
      </c>
      <c r="O121" s="6">
        <v>1</v>
      </c>
      <c r="P121" s="12">
        <v>2.2347479152461845E-2</v>
      </c>
      <c r="Q121" s="12">
        <v>9.6523581574197593E-3</v>
      </c>
      <c r="R121" s="14">
        <v>90</v>
      </c>
    </row>
    <row r="122" spans="2:18" x14ac:dyDescent="0.5">
      <c r="B122" s="1" t="s">
        <v>128</v>
      </c>
      <c r="C122" t="s">
        <v>172</v>
      </c>
      <c r="D122" t="s">
        <v>171</v>
      </c>
      <c r="E122">
        <v>32.18</v>
      </c>
      <c r="F122" s="9" t="s">
        <v>67</v>
      </c>
      <c r="G122" s="7">
        <v>32870995968</v>
      </c>
      <c r="H122" s="6">
        <v>46.88</v>
      </c>
      <c r="I122" s="6">
        <v>22.4</v>
      </c>
      <c r="J122" s="12">
        <f t="shared" si="3"/>
        <v>0.43660714285714297</v>
      </c>
      <c r="K122" s="11">
        <v>0</v>
      </c>
      <c r="L122" s="13">
        <v>-90314000</v>
      </c>
      <c r="M122" s="13">
        <v>18374441000</v>
      </c>
      <c r="N122" s="9" t="s">
        <v>50</v>
      </c>
      <c r="O122" s="6">
        <v>1.0683760683760684</v>
      </c>
      <c r="P122" s="12">
        <v>-3.2640534576370479E-3</v>
      </c>
      <c r="Q122" s="12">
        <v>-4.9151971480384084E-3</v>
      </c>
      <c r="R122" s="14">
        <v>91</v>
      </c>
    </row>
    <row r="123" spans="2:18" x14ac:dyDescent="0.5">
      <c r="B123" s="1" t="s">
        <v>385</v>
      </c>
      <c r="C123" t="s">
        <v>388</v>
      </c>
      <c r="D123" t="s">
        <v>389</v>
      </c>
      <c r="E123">
        <v>34.6</v>
      </c>
      <c r="F123" s="9" t="s">
        <v>67</v>
      </c>
      <c r="G123" s="7">
        <v>89522298880</v>
      </c>
      <c r="H123" s="6">
        <v>45.05</v>
      </c>
      <c r="I123" s="6">
        <v>31.1</v>
      </c>
      <c r="J123" s="12">
        <f t="shared" si="3"/>
        <v>0.112540192926045</v>
      </c>
      <c r="K123" s="11">
        <v>7.6387283236994216E-2</v>
      </c>
      <c r="L123" s="13">
        <v>-6742000000</v>
      </c>
      <c r="M123" s="13">
        <v>216378000000</v>
      </c>
      <c r="N123" s="9" t="s">
        <v>67</v>
      </c>
      <c r="O123" s="6">
        <v>1</v>
      </c>
      <c r="P123" s="12">
        <v>-4.8389655539125602E-2</v>
      </c>
      <c r="Q123" s="12">
        <v>-3.1158435700487111E-2</v>
      </c>
      <c r="R123" s="14">
        <v>92</v>
      </c>
    </row>
    <row r="124" spans="2:18" x14ac:dyDescent="0.5">
      <c r="B124" s="1" t="s">
        <v>442</v>
      </c>
      <c r="C124" t="s">
        <v>446</v>
      </c>
      <c r="D124" t="s">
        <v>164</v>
      </c>
      <c r="E124">
        <v>2.84</v>
      </c>
      <c r="F124" s="9" t="s">
        <v>67</v>
      </c>
      <c r="G124" s="7">
        <v>16651592704</v>
      </c>
      <c r="H124" s="6">
        <v>4.34</v>
      </c>
      <c r="I124" s="6">
        <v>2.68</v>
      </c>
      <c r="J124" s="12">
        <f t="shared" si="3"/>
        <v>5.9701492537313383E-2</v>
      </c>
      <c r="K124" s="11">
        <v>4.9295774647887328E-2</v>
      </c>
      <c r="L124" s="13">
        <v>-780356000</v>
      </c>
      <c r="M124" s="13">
        <v>8664599000</v>
      </c>
      <c r="N124" s="9" t="s">
        <v>67</v>
      </c>
      <c r="O124" s="6">
        <v>1</v>
      </c>
      <c r="P124" s="12">
        <v>-6.7651865934338654E-2</v>
      </c>
      <c r="Q124" s="12">
        <v>-9.0062563772426163E-2</v>
      </c>
      <c r="R124" s="14">
        <v>93</v>
      </c>
    </row>
    <row r="125" spans="2:18" x14ac:dyDescent="0.5">
      <c r="B125" s="1" t="s">
        <v>200</v>
      </c>
      <c r="C125" t="s">
        <v>226</v>
      </c>
      <c r="D125" t="s">
        <v>227</v>
      </c>
      <c r="E125">
        <v>6.51</v>
      </c>
      <c r="F125" s="9" t="s">
        <v>67</v>
      </c>
      <c r="G125" s="7">
        <v>644461690880</v>
      </c>
      <c r="H125" s="6">
        <v>7.62</v>
      </c>
      <c r="I125" s="6">
        <v>5.91</v>
      </c>
      <c r="J125" s="12">
        <f t="shared" si="3"/>
        <v>0.10152284263959377</v>
      </c>
      <c r="K125" s="11">
        <v>8.2181259600614454E-2</v>
      </c>
      <c r="M125" s="13">
        <v>2314289000000</v>
      </c>
      <c r="N125" s="9" t="s">
        <v>50</v>
      </c>
      <c r="O125" s="6">
        <v>1.0683760683760684</v>
      </c>
    </row>
    <row r="126" spans="2:18" x14ac:dyDescent="0.5">
      <c r="B126" s="1" t="s">
        <v>202</v>
      </c>
      <c r="C126" t="s">
        <v>229</v>
      </c>
      <c r="D126" t="s">
        <v>225</v>
      </c>
      <c r="E126">
        <v>5.22</v>
      </c>
      <c r="F126" s="9" t="s">
        <v>67</v>
      </c>
      <c r="G126" s="7">
        <v>706049277952</v>
      </c>
      <c r="H126" s="6">
        <v>5.95</v>
      </c>
      <c r="I126" s="6">
        <v>4.34</v>
      </c>
      <c r="J126" s="12">
        <f t="shared" si="3"/>
        <v>0.20276497695852536</v>
      </c>
      <c r="K126" s="11">
        <v>4.5402298850574715E-2</v>
      </c>
      <c r="M126" s="13">
        <v>1271649000000</v>
      </c>
      <c r="N126" s="9" t="s">
        <v>50</v>
      </c>
      <c r="O126" s="6">
        <v>1.0683760683760684</v>
      </c>
    </row>
    <row r="127" spans="2:18" x14ac:dyDescent="0.5">
      <c r="B127" s="1" t="s">
        <v>201</v>
      </c>
      <c r="C127" t="s">
        <v>228</v>
      </c>
      <c r="D127" t="s">
        <v>227</v>
      </c>
      <c r="E127">
        <v>6.11</v>
      </c>
      <c r="F127" s="9" t="s">
        <v>67</v>
      </c>
      <c r="G127" s="7">
        <v>2730120183808</v>
      </c>
      <c r="H127" s="6">
        <v>6.66</v>
      </c>
      <c r="I127" s="6">
        <v>4.75</v>
      </c>
      <c r="J127" s="12">
        <f t="shared" si="3"/>
        <v>0.2863157894736843</v>
      </c>
      <c r="K127" s="11">
        <v>5.0081833060556462E-2</v>
      </c>
      <c r="M127" s="13">
        <v>6434377000000</v>
      </c>
      <c r="N127" s="9" t="s">
        <v>50</v>
      </c>
      <c r="O127" s="6">
        <v>1.0683760683760684</v>
      </c>
    </row>
    <row r="128" spans="2:18" x14ac:dyDescent="0.5">
      <c r="B128" s="1" t="s">
        <v>203</v>
      </c>
      <c r="C128" t="s">
        <v>230</v>
      </c>
      <c r="D128" t="s">
        <v>227</v>
      </c>
      <c r="E128">
        <v>7.53</v>
      </c>
      <c r="F128" s="9" t="s">
        <v>67</v>
      </c>
      <c r="G128" s="7">
        <v>2018400010240</v>
      </c>
      <c r="H128" s="6">
        <v>8.56</v>
      </c>
      <c r="I128" s="6">
        <v>5.8</v>
      </c>
      <c r="J128" s="12">
        <f t="shared" si="3"/>
        <v>0.29827586206896561</v>
      </c>
      <c r="K128" s="11">
        <v>5.2058432934926957E-2</v>
      </c>
      <c r="M128" s="13">
        <v>6128626000000</v>
      </c>
      <c r="N128" s="9" t="s">
        <v>50</v>
      </c>
      <c r="O128" s="6">
        <v>1.0683760683760684</v>
      </c>
    </row>
    <row r="129" spans="2:18" x14ac:dyDescent="0.5">
      <c r="B129" s="1" t="s">
        <v>204</v>
      </c>
      <c r="C129" t="s">
        <v>231</v>
      </c>
      <c r="D129" t="s">
        <v>225</v>
      </c>
      <c r="E129">
        <v>6.99</v>
      </c>
      <c r="F129" s="9" t="s">
        <v>67</v>
      </c>
      <c r="G129" s="7">
        <v>458360750080</v>
      </c>
      <c r="H129" s="6">
        <v>8.1199999999999992</v>
      </c>
      <c r="I129" s="6">
        <v>4.9400000000000004</v>
      </c>
      <c r="J129" s="12">
        <f t="shared" si="3"/>
        <v>0.41497975708502022</v>
      </c>
      <c r="K129" s="11">
        <v>5.121602288984263E-2</v>
      </c>
      <c r="M129" s="13">
        <v>2066897000000</v>
      </c>
      <c r="N129" s="9" t="s">
        <v>50</v>
      </c>
      <c r="O129" s="6">
        <v>1.0683760683760684</v>
      </c>
    </row>
    <row r="130" spans="2:18" x14ac:dyDescent="0.5">
      <c r="B130" s="1" t="s">
        <v>199</v>
      </c>
      <c r="C130" t="s">
        <v>224</v>
      </c>
      <c r="D130" t="s">
        <v>225</v>
      </c>
      <c r="E130">
        <v>38.159999999999997</v>
      </c>
      <c r="F130" s="9" t="s">
        <v>67</v>
      </c>
      <c r="G130" s="7">
        <v>403457310720</v>
      </c>
      <c r="H130" s="6">
        <v>39.76</v>
      </c>
      <c r="I130" s="6">
        <v>24.2</v>
      </c>
      <c r="J130" s="12">
        <f t="shared" ref="J130:J161" si="4">E130/I130-1</f>
        <v>0.5768595041322313</v>
      </c>
      <c r="K130" s="11">
        <v>5.2384696016771495E-2</v>
      </c>
      <c r="M130" s="13">
        <v>415994000000</v>
      </c>
      <c r="N130" s="9" t="s">
        <v>67</v>
      </c>
      <c r="O130" s="6">
        <v>1</v>
      </c>
    </row>
    <row r="131" spans="2:18" x14ac:dyDescent="0.5">
      <c r="B131" s="1" t="s">
        <v>762</v>
      </c>
      <c r="C131" t="s">
        <v>765</v>
      </c>
      <c r="D131" t="s">
        <v>240</v>
      </c>
      <c r="E131">
        <v>10.92</v>
      </c>
      <c r="F131" s="9" t="s">
        <v>67</v>
      </c>
      <c r="G131" s="7">
        <v>11627668480</v>
      </c>
      <c r="H131" s="6">
        <v>15.24</v>
      </c>
      <c r="I131" s="6">
        <v>6.26</v>
      </c>
      <c r="J131" s="12">
        <f t="shared" si="4"/>
        <v>0.74440894568690097</v>
      </c>
      <c r="K131" s="11">
        <v>3.1776556776556775E-2</v>
      </c>
      <c r="L131" s="13">
        <v>697194000</v>
      </c>
      <c r="M131" s="13">
        <v>9479979000</v>
      </c>
      <c r="N131" s="9" t="s">
        <v>50</v>
      </c>
      <c r="O131" s="6">
        <v>1.0683760683760684</v>
      </c>
      <c r="P131" s="12">
        <v>4.4159717249212964E-2</v>
      </c>
      <c r="Q131" s="12">
        <v>7.3543833799631836E-2</v>
      </c>
      <c r="R131" s="14">
        <v>86</v>
      </c>
    </row>
  </sheetData>
  <autoFilter ref="B1:R19" xr:uid="{7A9EDF16-08C4-B24B-A5E4-CFD78B458569}">
    <sortState xmlns:xlrd2="http://schemas.microsoft.com/office/spreadsheetml/2017/richdata2" ref="B2:R130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79"/>
  <sheetViews>
    <sheetView tabSelected="1" topLeftCell="A43" zoomScale="70" zoomScaleNormal="70" workbookViewId="0">
      <selection activeCell="B80" sqref="B8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499</v>
      </c>
      <c r="C2" t="s">
        <v>536</v>
      </c>
      <c r="D2" t="s">
        <v>76</v>
      </c>
      <c r="E2">
        <v>15.18</v>
      </c>
      <c r="F2" s="9" t="s">
        <v>50</v>
      </c>
      <c r="G2" s="7">
        <v>232911011840</v>
      </c>
      <c r="H2" s="6">
        <v>16.88</v>
      </c>
      <c r="I2" s="6">
        <v>12.74</v>
      </c>
      <c r="J2" s="12">
        <f t="shared" ref="J2:J33" si="0">E2/I2-1</f>
        <v>0.1915227629513343</v>
      </c>
      <c r="K2" s="11">
        <v>0.10474308300395258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0.56141049590755876</v>
      </c>
      <c r="Q2" s="12">
        <v>0.26042924055386191</v>
      </c>
      <c r="R2" s="14">
        <v>1</v>
      </c>
    </row>
    <row r="3" spans="2:22" x14ac:dyDescent="0.5">
      <c r="B3" s="1" t="s">
        <v>348</v>
      </c>
      <c r="C3" t="s">
        <v>368</v>
      </c>
      <c r="D3" t="s">
        <v>369</v>
      </c>
      <c r="E3">
        <v>14.89</v>
      </c>
      <c r="F3" s="9" t="s">
        <v>50</v>
      </c>
      <c r="G3" s="7">
        <v>8582194176</v>
      </c>
      <c r="H3" s="6">
        <v>18.8</v>
      </c>
      <c r="I3" s="6">
        <v>14.43</v>
      </c>
      <c r="J3" s="12">
        <f t="shared" si="0"/>
        <v>3.1878031878031843E-2</v>
      </c>
      <c r="K3" s="11">
        <v>6.044325050369375E-2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0.15597745232883911</v>
      </c>
      <c r="Q3" s="12">
        <v>0.23555964555041065</v>
      </c>
      <c r="R3" s="14">
        <v>2</v>
      </c>
    </row>
    <row r="4" spans="2:22" x14ac:dyDescent="0.5">
      <c r="B4" s="1" t="s">
        <v>12</v>
      </c>
      <c r="C4" t="s">
        <v>57</v>
      </c>
      <c r="D4" t="s">
        <v>58</v>
      </c>
      <c r="E4">
        <v>110.71</v>
      </c>
      <c r="F4" s="9" t="s">
        <v>50</v>
      </c>
      <c r="G4" s="7">
        <v>429732823040</v>
      </c>
      <c r="H4" s="6">
        <v>144.47</v>
      </c>
      <c r="I4" s="6">
        <v>109.51</v>
      </c>
      <c r="J4" s="12">
        <f t="shared" si="0"/>
        <v>1.0957903387818435E-2</v>
      </c>
      <c r="K4" s="11">
        <v>5.1910396531478636E-2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0.14582130939432847</v>
      </c>
      <c r="Q4" s="12">
        <v>0.33164773684009302</v>
      </c>
      <c r="R4" s="14">
        <v>3</v>
      </c>
    </row>
    <row r="5" spans="2:22" x14ac:dyDescent="0.5">
      <c r="B5" s="1" t="s">
        <v>349</v>
      </c>
      <c r="C5" t="s">
        <v>370</v>
      </c>
      <c r="D5" t="s">
        <v>238</v>
      </c>
      <c r="E5">
        <v>53</v>
      </c>
      <c r="F5" s="9" t="s">
        <v>50</v>
      </c>
      <c r="G5" s="7">
        <v>25650472960</v>
      </c>
      <c r="H5" s="6">
        <v>66.08</v>
      </c>
      <c r="I5" s="6">
        <v>52.5</v>
      </c>
      <c r="J5" s="12">
        <f t="shared" si="0"/>
        <v>9.52380952380949E-3</v>
      </c>
      <c r="K5" s="11">
        <v>4.1509433962264156E-2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0.11832952987399245</v>
      </c>
      <c r="Q5" s="12">
        <v>2.4700897903693781</v>
      </c>
      <c r="R5" s="14">
        <v>4</v>
      </c>
    </row>
    <row r="6" spans="2:22" x14ac:dyDescent="0.5">
      <c r="B6" s="1" t="s">
        <v>492</v>
      </c>
      <c r="C6" t="s">
        <v>526</v>
      </c>
      <c r="D6" t="s">
        <v>78</v>
      </c>
      <c r="E6">
        <v>13.01</v>
      </c>
      <c r="F6" s="9" t="s">
        <v>50</v>
      </c>
      <c r="G6" s="7">
        <v>172495208448</v>
      </c>
      <c r="H6" s="6">
        <v>15.35</v>
      </c>
      <c r="I6" s="6">
        <v>9.42</v>
      </c>
      <c r="J6" s="12">
        <f t="shared" si="0"/>
        <v>0.38110403397027603</v>
      </c>
      <c r="K6" s="11">
        <v>3.259031514219831E-2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0.15872367992205769</v>
      </c>
      <c r="Q6" s="12">
        <v>0.15266623500015464</v>
      </c>
      <c r="R6" s="14">
        <v>5</v>
      </c>
    </row>
    <row r="7" spans="2:22" x14ac:dyDescent="0.5">
      <c r="B7" s="1" t="s">
        <v>489</v>
      </c>
      <c r="C7" t="s">
        <v>523</v>
      </c>
      <c r="D7" t="s">
        <v>233</v>
      </c>
      <c r="E7">
        <v>9.6300000000000008</v>
      </c>
      <c r="F7" s="9" t="s">
        <v>50</v>
      </c>
      <c r="G7" s="7">
        <v>1762492022784</v>
      </c>
      <c r="H7" s="6">
        <v>10.44</v>
      </c>
      <c r="I7" s="6">
        <v>7.33</v>
      </c>
      <c r="J7" s="12">
        <f t="shared" si="0"/>
        <v>0.31377899045020463</v>
      </c>
      <c r="K7" s="11">
        <v>4.8805815160955342E-2</v>
      </c>
      <c r="L7" s="13">
        <v>262233000000</v>
      </c>
      <c r="M7" s="13">
        <v>1659398000000</v>
      </c>
      <c r="N7" s="9" t="s">
        <v>50</v>
      </c>
      <c r="O7" s="6">
        <v>1</v>
      </c>
      <c r="P7" s="12">
        <v>0.13787238307228275</v>
      </c>
      <c r="Q7" s="12">
        <v>0.15802899605760642</v>
      </c>
      <c r="R7" s="14">
        <v>7</v>
      </c>
    </row>
    <row r="8" spans="2:22" x14ac:dyDescent="0.5">
      <c r="B8" s="1" t="s">
        <v>11</v>
      </c>
      <c r="C8" t="s">
        <v>56</v>
      </c>
      <c r="D8" t="s">
        <v>49</v>
      </c>
      <c r="E8">
        <v>10.11</v>
      </c>
      <c r="F8" s="9" t="s">
        <v>50</v>
      </c>
      <c r="G8" s="7">
        <v>17424326656</v>
      </c>
      <c r="H8" s="6">
        <v>10.44</v>
      </c>
      <c r="I8" s="6">
        <v>7.65</v>
      </c>
      <c r="J8" s="12">
        <f t="shared" si="0"/>
        <v>0.32156862745098036</v>
      </c>
      <c r="K8" s="11">
        <v>4.2532146389713157E-2</v>
      </c>
      <c r="L8" s="13">
        <v>1541495041.8099999</v>
      </c>
      <c r="M8" s="13">
        <v>11970268017.99</v>
      </c>
      <c r="N8" s="9" t="s">
        <v>50</v>
      </c>
      <c r="O8" s="6">
        <v>1</v>
      </c>
      <c r="P8" s="12">
        <v>0.146933041911356</v>
      </c>
      <c r="Q8" s="12">
        <v>0.1287769864044232</v>
      </c>
      <c r="R8" s="14">
        <v>10</v>
      </c>
    </row>
    <row r="9" spans="2:22" x14ac:dyDescent="0.5">
      <c r="B9" s="1" t="s">
        <v>514</v>
      </c>
      <c r="C9" t="s">
        <v>553</v>
      </c>
      <c r="D9" t="s">
        <v>96</v>
      </c>
      <c r="E9">
        <v>5.12</v>
      </c>
      <c r="F9" s="9" t="s">
        <v>50</v>
      </c>
      <c r="G9" s="7">
        <v>160073859072</v>
      </c>
      <c r="H9" s="6">
        <v>6.93</v>
      </c>
      <c r="I9" s="6">
        <v>4.7</v>
      </c>
      <c r="J9" s="12">
        <f t="shared" si="0"/>
        <v>8.9361702127659592E-2</v>
      </c>
      <c r="K9" s="11">
        <v>3.3984374999999997E-2</v>
      </c>
      <c r="L9" s="13">
        <v>25203382526</v>
      </c>
      <c r="M9" s="13">
        <v>167684980370</v>
      </c>
      <c r="N9" s="9" t="s">
        <v>50</v>
      </c>
      <c r="O9" s="6">
        <v>1</v>
      </c>
      <c r="P9" s="12">
        <v>0.1719553359573151</v>
      </c>
      <c r="Q9" s="12">
        <v>0.15030196783509336</v>
      </c>
      <c r="R9" s="14">
        <v>5</v>
      </c>
    </row>
    <row r="10" spans="2:22" x14ac:dyDescent="0.5">
      <c r="B10" s="1" t="s">
        <v>491</v>
      </c>
      <c r="C10" t="s">
        <v>525</v>
      </c>
      <c r="D10" t="s">
        <v>78</v>
      </c>
      <c r="E10">
        <v>40.29</v>
      </c>
      <c r="F10" s="9" t="s">
        <v>50</v>
      </c>
      <c r="G10" s="7">
        <v>800502710272</v>
      </c>
      <c r="H10" s="6">
        <v>44.39</v>
      </c>
      <c r="I10" s="6">
        <v>34.78</v>
      </c>
      <c r="J10" s="12">
        <f t="shared" si="0"/>
        <v>0.15842438182863705</v>
      </c>
      <c r="K10" s="11">
        <v>5.6093323405311486E-2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0.12612057854044015</v>
      </c>
      <c r="Q10" s="12">
        <v>0.19365416397605262</v>
      </c>
      <c r="R10" s="14">
        <v>7</v>
      </c>
    </row>
    <row r="11" spans="2:22" x14ac:dyDescent="0.5">
      <c r="B11" s="1" t="s">
        <v>13</v>
      </c>
      <c r="C11" t="s">
        <v>59</v>
      </c>
      <c r="D11" t="s">
        <v>60</v>
      </c>
      <c r="E11">
        <v>11.08</v>
      </c>
      <c r="F11" s="9" t="s">
        <v>50</v>
      </c>
      <c r="G11" s="7">
        <v>19899680768</v>
      </c>
      <c r="H11" s="6">
        <v>15.58</v>
      </c>
      <c r="I11" s="6">
        <v>10.91</v>
      </c>
      <c r="J11" s="12">
        <f t="shared" si="0"/>
        <v>1.5582034830430747E-2</v>
      </c>
      <c r="K11" s="11">
        <v>4.9638989169675095E-2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0.23878911513262199</v>
      </c>
      <c r="Q11" s="12">
        <v>0.11487361117809598</v>
      </c>
      <c r="R11" s="14">
        <v>8</v>
      </c>
    </row>
    <row r="12" spans="2:22" x14ac:dyDescent="0.5">
      <c r="B12" s="1" t="s">
        <v>14</v>
      </c>
      <c r="C12" t="s">
        <v>61</v>
      </c>
      <c r="D12" t="s">
        <v>60</v>
      </c>
      <c r="E12">
        <v>11.94</v>
      </c>
      <c r="F12" s="9" t="s">
        <v>50</v>
      </c>
      <c r="G12" s="7">
        <v>12217052160</v>
      </c>
      <c r="H12" s="6">
        <v>14.08</v>
      </c>
      <c r="I12" s="6">
        <v>10.33</v>
      </c>
      <c r="J12" s="12">
        <f t="shared" si="0"/>
        <v>0.15585672797676664</v>
      </c>
      <c r="K12" s="11">
        <v>5.0251256281407038E-2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0.18722243965649726</v>
      </c>
      <c r="Q12" s="12">
        <v>0.11527544475940803</v>
      </c>
      <c r="R12" s="14">
        <v>8</v>
      </c>
    </row>
    <row r="13" spans="2:22" x14ac:dyDescent="0.5">
      <c r="B13" s="1" t="s">
        <v>508</v>
      </c>
      <c r="C13" t="s">
        <v>546</v>
      </c>
      <c r="D13" t="s">
        <v>302</v>
      </c>
      <c r="E13">
        <v>7.62</v>
      </c>
      <c r="F13" s="9" t="s">
        <v>50</v>
      </c>
      <c r="G13" s="7">
        <v>46534406144</v>
      </c>
      <c r="H13" s="6">
        <v>8.5399999999999991</v>
      </c>
      <c r="I13" s="6">
        <v>6.57</v>
      </c>
      <c r="J13" s="12">
        <f t="shared" si="0"/>
        <v>0.15981735159817356</v>
      </c>
      <c r="K13" s="11">
        <v>3.7532808398950131E-2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0.80701794212220357</v>
      </c>
      <c r="Q13" s="12">
        <v>0.10659269185896057</v>
      </c>
      <c r="R13" s="14">
        <v>9</v>
      </c>
    </row>
    <row r="14" spans="2:22" x14ac:dyDescent="0.5">
      <c r="B14" s="1" t="s">
        <v>511</v>
      </c>
      <c r="C14" t="s">
        <v>549</v>
      </c>
      <c r="D14" t="s">
        <v>550</v>
      </c>
      <c r="E14">
        <v>10.57</v>
      </c>
      <c r="F14" s="9" t="s">
        <v>50</v>
      </c>
      <c r="G14" s="7">
        <v>181335031808</v>
      </c>
      <c r="H14" s="6">
        <v>12.3</v>
      </c>
      <c r="I14" s="6">
        <v>5.96</v>
      </c>
      <c r="J14" s="12">
        <f t="shared" si="0"/>
        <v>0.77348993288590617</v>
      </c>
      <c r="K14" s="11">
        <v>1.2771996215704826E-2</v>
      </c>
      <c r="L14" s="13">
        <v>22993550000</v>
      </c>
      <c r="M14" s="13">
        <v>116111506000</v>
      </c>
      <c r="N14" s="9" t="s">
        <v>50</v>
      </c>
      <c r="O14" s="6">
        <v>1</v>
      </c>
      <c r="P14" s="12">
        <v>0.10323960501687492</v>
      </c>
      <c r="Q14" s="12">
        <v>0.19802990067151485</v>
      </c>
      <c r="R14" s="14">
        <v>11</v>
      </c>
    </row>
    <row r="15" spans="2:22" x14ac:dyDescent="0.5">
      <c r="B15" s="1" t="s">
        <v>354</v>
      </c>
      <c r="C15" t="s">
        <v>375</v>
      </c>
      <c r="D15" t="s">
        <v>85</v>
      </c>
      <c r="E15">
        <v>22.21</v>
      </c>
      <c r="F15" s="9" t="s">
        <v>50</v>
      </c>
      <c r="G15" s="7">
        <v>11235043328</v>
      </c>
      <c r="H15" s="6">
        <v>32.380000000000003</v>
      </c>
      <c r="I15" s="6">
        <v>20.87</v>
      </c>
      <c r="J15" s="12">
        <f t="shared" si="0"/>
        <v>6.4206995687589918E-2</v>
      </c>
      <c r="K15" s="11">
        <v>4.5024763619990991E-2</v>
      </c>
      <c r="L15" s="13">
        <v>1139111857.1300001</v>
      </c>
      <c r="M15" s="13">
        <v>7932700024.4300003</v>
      </c>
      <c r="N15" s="9" t="s">
        <v>50</v>
      </c>
      <c r="O15" s="6">
        <v>1</v>
      </c>
      <c r="P15" s="12">
        <v>0.12709198241097219</v>
      </c>
      <c r="Q15" s="12">
        <v>0.14359699139283291</v>
      </c>
      <c r="R15" s="14">
        <v>12</v>
      </c>
    </row>
    <row r="16" spans="2:22" x14ac:dyDescent="0.5">
      <c r="B16" s="1" t="s">
        <v>352</v>
      </c>
      <c r="C16" t="s">
        <v>373</v>
      </c>
      <c r="D16" t="s">
        <v>58</v>
      </c>
      <c r="E16">
        <v>62.12</v>
      </c>
      <c r="F16" s="9" t="s">
        <v>50</v>
      </c>
      <c r="G16" s="7">
        <v>93580361728</v>
      </c>
      <c r="H16" s="6">
        <v>85.15</v>
      </c>
      <c r="I16" s="6">
        <v>61.7</v>
      </c>
      <c r="J16" s="12">
        <f t="shared" si="0"/>
        <v>6.8071312803887896E-3</v>
      </c>
      <c r="K16" s="11">
        <v>3.7298776561493885E-2</v>
      </c>
      <c r="L16" s="13">
        <v>9147980437.1399994</v>
      </c>
      <c r="M16" s="13">
        <v>51588243128.650002</v>
      </c>
      <c r="N16" s="9" t="s">
        <v>50</v>
      </c>
      <c r="O16" s="6">
        <v>1</v>
      </c>
      <c r="P16" s="12">
        <v>0.12723945086665434</v>
      </c>
      <c r="Q16" s="12">
        <v>0.177326845853752</v>
      </c>
      <c r="R16" s="14">
        <v>6</v>
      </c>
    </row>
    <row r="17" spans="2:18" x14ac:dyDescent="0.5">
      <c r="B17" s="1" t="s">
        <v>512</v>
      </c>
      <c r="C17" t="s">
        <v>551</v>
      </c>
      <c r="D17" t="s">
        <v>96</v>
      </c>
      <c r="E17">
        <v>102.06</v>
      </c>
      <c r="F17" s="9" t="s">
        <v>50</v>
      </c>
      <c r="G17" s="7">
        <v>2205675159552</v>
      </c>
      <c r="H17" s="6">
        <v>119.51</v>
      </c>
      <c r="I17" s="6">
        <v>101.8</v>
      </c>
      <c r="J17" s="12">
        <f t="shared" si="0"/>
        <v>2.5540275049116268E-3</v>
      </c>
      <c r="K17" s="11">
        <v>4.8520478150107779E-2</v>
      </c>
      <c r="L17" s="13">
        <v>181466000000</v>
      </c>
      <c r="M17" s="13">
        <v>1392032000000</v>
      </c>
      <c r="N17" s="9" t="s">
        <v>50</v>
      </c>
      <c r="O17" s="6">
        <v>1</v>
      </c>
      <c r="P17" s="12">
        <v>8.532316334456079E-2</v>
      </c>
      <c r="Q17" s="12">
        <v>0.13036050895381715</v>
      </c>
      <c r="R17" s="14">
        <v>17</v>
      </c>
    </row>
    <row r="18" spans="2:18" x14ac:dyDescent="0.5">
      <c r="B18" s="1" t="s">
        <v>350</v>
      </c>
      <c r="C18" t="s">
        <v>371</v>
      </c>
      <c r="D18" t="s">
        <v>81</v>
      </c>
      <c r="E18">
        <v>58.35</v>
      </c>
      <c r="F18" s="9" t="s">
        <v>50</v>
      </c>
      <c r="G18" s="7">
        <v>29545398272</v>
      </c>
      <c r="H18" s="6">
        <v>71.2</v>
      </c>
      <c r="I18" s="6">
        <v>39.03</v>
      </c>
      <c r="J18" s="12">
        <f t="shared" si="0"/>
        <v>0.49500384319754032</v>
      </c>
      <c r="K18" s="11">
        <v>1.713796058269066E-2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7.6241109766548798E-2</v>
      </c>
      <c r="Q18" s="12">
        <v>0.18520750257426369</v>
      </c>
      <c r="R18" s="14">
        <v>14</v>
      </c>
    </row>
    <row r="19" spans="2:18" x14ac:dyDescent="0.5">
      <c r="B19" s="1" t="s">
        <v>356</v>
      </c>
      <c r="C19" t="s">
        <v>377</v>
      </c>
      <c r="D19" t="s">
        <v>150</v>
      </c>
      <c r="E19">
        <v>18.91</v>
      </c>
      <c r="F19" s="9" t="s">
        <v>50</v>
      </c>
      <c r="G19" s="7">
        <v>19047712768</v>
      </c>
      <c r="H19" s="6">
        <v>25.2</v>
      </c>
      <c r="I19" s="6">
        <v>18.559999999999999</v>
      </c>
      <c r="J19" s="12">
        <f t="shared" si="0"/>
        <v>1.8857758620689724E-2</v>
      </c>
      <c r="K19" s="11">
        <v>5.8170280274986781E-2</v>
      </c>
      <c r="L19" s="13">
        <v>1686709166</v>
      </c>
      <c r="M19" s="13">
        <v>10738080107</v>
      </c>
      <c r="N19" s="9" t="s">
        <v>50</v>
      </c>
      <c r="O19" s="6">
        <v>1</v>
      </c>
      <c r="P19" s="12">
        <v>0.10421061885651953</v>
      </c>
      <c r="Q19" s="12">
        <v>0.15707734987937541</v>
      </c>
      <c r="R19" s="14">
        <v>13</v>
      </c>
    </row>
    <row r="20" spans="2:18" x14ac:dyDescent="0.5">
      <c r="B20" s="1" t="s">
        <v>498</v>
      </c>
      <c r="C20" t="s">
        <v>535</v>
      </c>
      <c r="D20" t="s">
        <v>313</v>
      </c>
      <c r="E20">
        <v>6.22</v>
      </c>
      <c r="F20" s="9" t="s">
        <v>50</v>
      </c>
      <c r="G20" s="7">
        <v>44617142272</v>
      </c>
      <c r="H20" s="6">
        <v>7.95</v>
      </c>
      <c r="I20" s="6">
        <v>4.62</v>
      </c>
      <c r="J20" s="12">
        <f t="shared" si="0"/>
        <v>0.34632034632034614</v>
      </c>
      <c r="K20" s="11">
        <v>4.6623794212218649E-2</v>
      </c>
      <c r="L20" s="13">
        <v>5417853662.29</v>
      </c>
      <c r="M20" s="13">
        <v>48593502362.830002</v>
      </c>
      <c r="N20" s="9" t="s">
        <v>50</v>
      </c>
      <c r="O20" s="6">
        <v>1</v>
      </c>
      <c r="P20" s="12">
        <v>0.12626929781940441</v>
      </c>
      <c r="Q20" s="12">
        <v>0.11149337666251874</v>
      </c>
      <c r="R20" s="14">
        <v>14</v>
      </c>
    </row>
    <row r="21" spans="2:18" x14ac:dyDescent="0.5">
      <c r="B21" s="1" t="s">
        <v>351</v>
      </c>
      <c r="C21" t="s">
        <v>372</v>
      </c>
      <c r="D21" t="s">
        <v>322</v>
      </c>
      <c r="E21">
        <v>5.39</v>
      </c>
      <c r="F21" s="9" t="s">
        <v>50</v>
      </c>
      <c r="G21" s="7">
        <v>23831103488</v>
      </c>
      <c r="H21" s="6">
        <v>6.39</v>
      </c>
      <c r="I21" s="6">
        <v>4.96</v>
      </c>
      <c r="J21" s="12">
        <f t="shared" si="0"/>
        <v>8.6693548387096753E-2</v>
      </c>
      <c r="K21" s="11">
        <v>3.7291280148423013E-2</v>
      </c>
      <c r="L21" s="13">
        <v>2697498300</v>
      </c>
      <c r="M21" s="13">
        <v>26396524300</v>
      </c>
      <c r="N21" s="9" t="s">
        <v>50</v>
      </c>
      <c r="O21" s="6">
        <v>1</v>
      </c>
      <c r="P21" s="12">
        <v>0.14200433801831877</v>
      </c>
      <c r="Q21" s="12">
        <v>0.10219141995145171</v>
      </c>
      <c r="R21" s="14">
        <v>14</v>
      </c>
    </row>
    <row r="22" spans="2:18" x14ac:dyDescent="0.5">
      <c r="B22" s="1" t="s">
        <v>15</v>
      </c>
      <c r="C22" t="s">
        <v>62</v>
      </c>
      <c r="D22" t="s">
        <v>60</v>
      </c>
      <c r="E22">
        <v>8.93</v>
      </c>
      <c r="F22" s="9" t="s">
        <v>50</v>
      </c>
      <c r="G22" s="7">
        <v>10837897216</v>
      </c>
      <c r="H22" s="6">
        <v>10.07</v>
      </c>
      <c r="I22" s="6">
        <v>8.15</v>
      </c>
      <c r="J22" s="12">
        <f t="shared" si="0"/>
        <v>9.570552147239253E-2</v>
      </c>
      <c r="K22" s="11">
        <v>4.591265397536394E-2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0.11712164560584319</v>
      </c>
      <c r="Q22" s="12">
        <v>0.1128187617835559</v>
      </c>
      <c r="R22" s="14">
        <v>16</v>
      </c>
    </row>
    <row r="23" spans="2:18" x14ac:dyDescent="0.5">
      <c r="B23" s="1" t="s">
        <v>353</v>
      </c>
      <c r="C23" t="s">
        <v>374</v>
      </c>
      <c r="D23" t="s">
        <v>60</v>
      </c>
      <c r="E23">
        <v>9.58</v>
      </c>
      <c r="F23" s="9" t="s">
        <v>50</v>
      </c>
      <c r="G23" s="7">
        <v>13100699648</v>
      </c>
      <c r="H23" s="6">
        <v>13.27</v>
      </c>
      <c r="I23" s="6">
        <v>9.52</v>
      </c>
      <c r="J23" s="12">
        <f t="shared" si="0"/>
        <v>6.302521008403339E-3</v>
      </c>
      <c r="K23" s="11">
        <v>4.1753653444676408E-2</v>
      </c>
      <c r="L23" s="13">
        <v>1310024443.6900001</v>
      </c>
      <c r="M23" s="13">
        <v>19473263524.830002</v>
      </c>
      <c r="N23" s="9" t="s">
        <v>50</v>
      </c>
      <c r="O23" s="6">
        <v>1</v>
      </c>
      <c r="P23" s="12">
        <v>0.24775869305932052</v>
      </c>
      <c r="Q23" s="12">
        <v>6.7272978770076819E-2</v>
      </c>
      <c r="R23" s="14">
        <v>15</v>
      </c>
    </row>
    <row r="24" spans="2:18" x14ac:dyDescent="0.5">
      <c r="B24" s="1" t="s">
        <v>483</v>
      </c>
      <c r="C24" t="s">
        <v>517</v>
      </c>
      <c r="D24" t="s">
        <v>302</v>
      </c>
      <c r="E24">
        <v>5.18</v>
      </c>
      <c r="F24" s="9" t="s">
        <v>50</v>
      </c>
      <c r="G24" s="7">
        <v>214039609344</v>
      </c>
      <c r="H24" s="6">
        <v>6.2</v>
      </c>
      <c r="I24" s="6">
        <v>4.96</v>
      </c>
      <c r="J24" s="12">
        <f t="shared" si="0"/>
        <v>4.4354838709677269E-2</v>
      </c>
      <c r="K24" s="11">
        <v>5.2509652509652519E-2</v>
      </c>
      <c r="L24" s="13">
        <v>101828438000</v>
      </c>
      <c r="M24" s="13">
        <v>1200367605000</v>
      </c>
      <c r="N24" s="9" t="s">
        <v>50</v>
      </c>
      <c r="O24" s="6">
        <v>1</v>
      </c>
      <c r="P24" s="12">
        <v>0.15593341733943186</v>
      </c>
      <c r="Q24" s="12">
        <v>8.4831044736499703E-2</v>
      </c>
      <c r="R24" s="14">
        <v>16</v>
      </c>
    </row>
    <row r="25" spans="2:18" x14ac:dyDescent="0.5">
      <c r="B25" s="1" t="s">
        <v>17</v>
      </c>
      <c r="C25" t="s">
        <v>64</v>
      </c>
      <c r="D25" t="s">
        <v>65</v>
      </c>
      <c r="E25">
        <v>12.97</v>
      </c>
      <c r="F25" s="9" t="s">
        <v>50</v>
      </c>
      <c r="G25" s="7">
        <v>4585193472</v>
      </c>
      <c r="H25" s="6">
        <v>15.53</v>
      </c>
      <c r="I25" s="6">
        <v>10.66</v>
      </c>
      <c r="J25" s="12">
        <f t="shared" si="0"/>
        <v>0.21669793621013134</v>
      </c>
      <c r="K25" s="11">
        <v>3.7008481110254433E-2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9.2739643616532794E-2</v>
      </c>
      <c r="Q25" s="12">
        <v>0.12344330708657501</v>
      </c>
      <c r="R25" s="14">
        <v>18</v>
      </c>
    </row>
    <row r="26" spans="2:18" x14ac:dyDescent="0.5">
      <c r="B26" s="1" t="s">
        <v>557</v>
      </c>
      <c r="C26" t="s">
        <v>566</v>
      </c>
      <c r="D26" t="s">
        <v>450</v>
      </c>
      <c r="E26">
        <v>5.41</v>
      </c>
      <c r="F26" s="9" t="s">
        <v>50</v>
      </c>
      <c r="G26" s="7">
        <v>57290919936</v>
      </c>
      <c r="H26" s="6">
        <v>6.49</v>
      </c>
      <c r="I26" s="6">
        <v>4.8499999999999996</v>
      </c>
      <c r="J26" s="12">
        <f t="shared" si="0"/>
        <v>0.11546391752577323</v>
      </c>
      <c r="K26" s="11">
        <v>3.1423290203327174E-2</v>
      </c>
      <c r="L26" s="13">
        <v>4783630821.25</v>
      </c>
      <c r="M26" s="13">
        <v>53393138493.459999</v>
      </c>
      <c r="N26" s="9" t="s">
        <v>50</v>
      </c>
      <c r="O26" s="6">
        <v>1</v>
      </c>
      <c r="P26" s="12">
        <v>0.11900723217760691</v>
      </c>
      <c r="Q26" s="12">
        <v>8.9592613512238767E-2</v>
      </c>
      <c r="R26" s="14">
        <v>20</v>
      </c>
    </row>
    <row r="27" spans="2:18" x14ac:dyDescent="0.5">
      <c r="B27" s="1" t="s">
        <v>16</v>
      </c>
      <c r="C27" t="s">
        <v>63</v>
      </c>
      <c r="D27" t="s">
        <v>60</v>
      </c>
      <c r="E27">
        <v>7.83</v>
      </c>
      <c r="F27" s="9" t="s">
        <v>50</v>
      </c>
      <c r="G27" s="7">
        <v>17400000512</v>
      </c>
      <c r="H27" s="6">
        <v>10.28</v>
      </c>
      <c r="I27" s="6">
        <v>7.15</v>
      </c>
      <c r="J27" s="12">
        <f t="shared" si="0"/>
        <v>9.5104895104895171E-2</v>
      </c>
      <c r="K27" s="11">
        <v>5.108556832694764E-2</v>
      </c>
      <c r="L27" s="13">
        <v>1357643494.6700001</v>
      </c>
      <c r="M27" s="13">
        <v>13696300546.360001</v>
      </c>
      <c r="N27" s="9" t="s">
        <v>50</v>
      </c>
      <c r="O27" s="6">
        <v>1</v>
      </c>
      <c r="P27" s="12">
        <v>0.11898507417542242</v>
      </c>
      <c r="Q27" s="12">
        <v>9.9124832291360196E-2</v>
      </c>
      <c r="R27" s="14">
        <v>19</v>
      </c>
    </row>
    <row r="28" spans="2:18" x14ac:dyDescent="0.5">
      <c r="B28" s="1" t="s">
        <v>10</v>
      </c>
      <c r="C28" t="s">
        <v>54</v>
      </c>
      <c r="D28" t="s">
        <v>55</v>
      </c>
      <c r="E28">
        <v>109.36</v>
      </c>
      <c r="F28" s="9" t="s">
        <v>50</v>
      </c>
      <c r="G28" s="7">
        <v>58634194944</v>
      </c>
      <c r="H28" s="6">
        <v>149.5</v>
      </c>
      <c r="I28" s="6">
        <v>69.98</v>
      </c>
      <c r="J28" s="12">
        <f t="shared" si="0"/>
        <v>0.56273220920262923</v>
      </c>
      <c r="K28" s="11">
        <v>1.920263350402341E-2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4.0722337838088089E-2</v>
      </c>
      <c r="Q28" s="12">
        <v>0.22747360748931247</v>
      </c>
      <c r="R28" s="14">
        <v>19</v>
      </c>
    </row>
    <row r="29" spans="2:18" x14ac:dyDescent="0.5">
      <c r="B29" s="1" t="s">
        <v>8</v>
      </c>
      <c r="C29" t="s">
        <v>48</v>
      </c>
      <c r="D29" t="s">
        <v>49</v>
      </c>
      <c r="E29">
        <v>155.38999999999999</v>
      </c>
      <c r="F29" s="9" t="s">
        <v>50</v>
      </c>
      <c r="G29" s="7">
        <v>40262537216</v>
      </c>
      <c r="H29" s="6">
        <v>222.1</v>
      </c>
      <c r="I29" s="6">
        <v>123.57143000000001</v>
      </c>
      <c r="J29" s="12">
        <f t="shared" si="0"/>
        <v>0.25749131494229682</v>
      </c>
      <c r="K29" s="11">
        <v>4.916661303816205E-3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5.4053445523647457E-2</v>
      </c>
      <c r="Q29" s="12">
        <v>0.16379150253744434</v>
      </c>
      <c r="R29" s="14">
        <v>20</v>
      </c>
    </row>
    <row r="30" spans="2:18" x14ac:dyDescent="0.5">
      <c r="B30" s="1" t="s">
        <v>504</v>
      </c>
      <c r="C30" t="s">
        <v>542</v>
      </c>
      <c r="D30" t="s">
        <v>538</v>
      </c>
      <c r="E30">
        <v>54.56</v>
      </c>
      <c r="F30" s="9" t="s">
        <v>50</v>
      </c>
      <c r="G30" s="7">
        <v>154682769408</v>
      </c>
      <c r="H30" s="6">
        <v>73.66</v>
      </c>
      <c r="I30" s="6">
        <v>39.06</v>
      </c>
      <c r="J30" s="12">
        <f t="shared" si="0"/>
        <v>0.39682539682539675</v>
      </c>
      <c r="K30" s="11">
        <v>4.7653958944281526E-3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2.7057384162550931E-2</v>
      </c>
      <c r="Q30" s="12">
        <v>0.22948707352964048</v>
      </c>
      <c r="R30" s="14">
        <v>21</v>
      </c>
    </row>
    <row r="31" spans="2:18" x14ac:dyDescent="0.5">
      <c r="B31" s="1" t="s">
        <v>507</v>
      </c>
      <c r="C31" t="s">
        <v>545</v>
      </c>
      <c r="D31" t="s">
        <v>102</v>
      </c>
      <c r="E31">
        <v>33.340000000000003</v>
      </c>
      <c r="F31" s="9" t="s">
        <v>50</v>
      </c>
      <c r="G31" s="7">
        <v>70623158272</v>
      </c>
      <c r="H31" s="6">
        <v>44</v>
      </c>
      <c r="I31" s="6">
        <v>32.17</v>
      </c>
      <c r="J31" s="12">
        <f t="shared" si="0"/>
        <v>3.6369288156667734E-2</v>
      </c>
      <c r="K31" s="11">
        <v>2.3995200959808036E-2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6.038575581984082E-2</v>
      </c>
      <c r="Q31" s="12">
        <v>0.1533648883104953</v>
      </c>
      <c r="R31" s="14">
        <v>21</v>
      </c>
    </row>
    <row r="32" spans="2:18" x14ac:dyDescent="0.5">
      <c r="B32" s="1" t="s">
        <v>496</v>
      </c>
      <c r="C32" t="s">
        <v>532</v>
      </c>
      <c r="D32" t="s">
        <v>450</v>
      </c>
      <c r="E32">
        <v>6.87</v>
      </c>
      <c r="F32" s="9" t="s">
        <v>50</v>
      </c>
      <c r="G32" s="7">
        <v>197161189376</v>
      </c>
      <c r="H32" s="6">
        <v>8.5500000000000007</v>
      </c>
      <c r="I32" s="6">
        <v>6.26</v>
      </c>
      <c r="J32" s="12">
        <f t="shared" si="0"/>
        <v>9.744408945686911E-2</v>
      </c>
      <c r="K32" s="11">
        <v>3.0567685589519649E-2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0.1170086445939305</v>
      </c>
      <c r="Q32" s="12">
        <v>9.6340651555626933E-2</v>
      </c>
      <c r="R32" s="14">
        <v>22</v>
      </c>
    </row>
    <row r="33" spans="2:18" x14ac:dyDescent="0.5">
      <c r="B33" s="1" t="s">
        <v>513</v>
      </c>
      <c r="C33" t="s">
        <v>552</v>
      </c>
      <c r="D33" t="s">
        <v>96</v>
      </c>
      <c r="E33">
        <v>6.64</v>
      </c>
      <c r="F33" s="9" t="s">
        <v>50</v>
      </c>
      <c r="G33" s="7">
        <v>607607390208</v>
      </c>
      <c r="H33" s="6">
        <v>8.61</v>
      </c>
      <c r="I33" s="6">
        <v>6.5</v>
      </c>
      <c r="J33" s="12">
        <f t="shared" si="0"/>
        <v>2.1538461538461506E-2</v>
      </c>
      <c r="K33" s="11">
        <v>6.6415662650602419E-2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7.6027471680924844E-2</v>
      </c>
      <c r="Q33" s="12">
        <v>9.605709580489824E-2</v>
      </c>
      <c r="R33" s="14">
        <v>23</v>
      </c>
    </row>
    <row r="34" spans="2:18" x14ac:dyDescent="0.5">
      <c r="B34" s="1" t="s">
        <v>490</v>
      </c>
      <c r="C34" t="s">
        <v>524</v>
      </c>
      <c r="D34" t="s">
        <v>233</v>
      </c>
      <c r="E34">
        <v>5.9</v>
      </c>
      <c r="F34" s="9" t="s">
        <v>50</v>
      </c>
      <c r="G34" s="7">
        <v>713750347776</v>
      </c>
      <c r="H34" s="6">
        <v>6.78</v>
      </c>
      <c r="I34" s="6">
        <v>5.25</v>
      </c>
      <c r="J34" s="12">
        <f t="shared" ref="J34:J65" si="1">E34/I34-1</f>
        <v>0.12380952380952381</v>
      </c>
      <c r="K34" s="11">
        <v>3.8644067796610171E-2</v>
      </c>
      <c r="L34" s="13">
        <v>86964000000</v>
      </c>
      <c r="M34" s="13">
        <v>1118775000000</v>
      </c>
      <c r="N34" s="9" t="s">
        <v>50</v>
      </c>
      <c r="O34" s="6">
        <v>1</v>
      </c>
      <c r="P34" s="12">
        <v>7.9191342220235633E-2</v>
      </c>
      <c r="Q34" s="12">
        <v>7.7731447341958845E-2</v>
      </c>
      <c r="R34" s="14">
        <v>24</v>
      </c>
    </row>
    <row r="35" spans="2:18" x14ac:dyDescent="0.5">
      <c r="B35" s="1" t="s">
        <v>563</v>
      </c>
      <c r="C35" t="s">
        <v>574</v>
      </c>
      <c r="D35" t="s">
        <v>427</v>
      </c>
      <c r="E35">
        <v>36.76</v>
      </c>
      <c r="F35" s="9" t="s">
        <v>50</v>
      </c>
      <c r="G35" s="7">
        <v>175842738176</v>
      </c>
      <c r="H35" s="6">
        <v>55.85</v>
      </c>
      <c r="I35" s="6">
        <v>28.67</v>
      </c>
      <c r="J35" s="12">
        <f t="shared" si="1"/>
        <v>0.28217649110568521</v>
      </c>
      <c r="K35" s="11">
        <v>1.6784548422198044E-2</v>
      </c>
      <c r="L35" s="13">
        <v>12676627000</v>
      </c>
      <c r="M35" s="13">
        <v>124899348000</v>
      </c>
      <c r="N35" s="9" t="s">
        <v>50</v>
      </c>
      <c r="O35" s="6">
        <v>1</v>
      </c>
      <c r="P35" s="12">
        <v>6.6504197548739916E-2</v>
      </c>
      <c r="Q35" s="12">
        <v>0.10149474118952166</v>
      </c>
      <c r="R35" s="14">
        <v>23</v>
      </c>
    </row>
    <row r="36" spans="2:18" x14ac:dyDescent="0.5">
      <c r="B36" s="1" t="s">
        <v>486</v>
      </c>
      <c r="C36" t="s">
        <v>520</v>
      </c>
      <c r="D36" t="s">
        <v>302</v>
      </c>
      <c r="E36">
        <v>8.32</v>
      </c>
      <c r="F36" s="9" t="s">
        <v>50</v>
      </c>
      <c r="G36" s="7">
        <v>135193878528</v>
      </c>
      <c r="H36" s="6">
        <v>10.98</v>
      </c>
      <c r="I36" s="6">
        <v>8.2200000000000006</v>
      </c>
      <c r="J36" s="12">
        <f t="shared" si="1"/>
        <v>1.2165450121654375E-2</v>
      </c>
      <c r="K36" s="11">
        <v>1.9471153846153846E-2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9.6262750468954522E-2</v>
      </c>
      <c r="Q36" s="12">
        <v>6.4021546472295382E-2</v>
      </c>
      <c r="R36" s="14">
        <v>24</v>
      </c>
    </row>
    <row r="37" spans="2:18" x14ac:dyDescent="0.5">
      <c r="B37" s="1" t="s">
        <v>495</v>
      </c>
      <c r="C37" t="s">
        <v>530</v>
      </c>
      <c r="D37" t="s">
        <v>531</v>
      </c>
      <c r="E37">
        <v>28.04</v>
      </c>
      <c r="F37" s="9" t="s">
        <v>50</v>
      </c>
      <c r="G37" s="7">
        <v>686088847360</v>
      </c>
      <c r="H37" s="6">
        <v>31.19</v>
      </c>
      <c r="I37" s="6">
        <v>26.98</v>
      </c>
      <c r="J37" s="12">
        <f t="shared" si="1"/>
        <v>3.9288361749443945E-2</v>
      </c>
      <c r="K37" s="11">
        <v>2.6141226818830243E-2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5.1371400302231758E-2</v>
      </c>
      <c r="Q37" s="12">
        <v>0.10903449769524313</v>
      </c>
      <c r="R37" s="14">
        <v>25</v>
      </c>
    </row>
    <row r="38" spans="2:18" x14ac:dyDescent="0.5">
      <c r="B38" s="1" t="s">
        <v>357</v>
      </c>
      <c r="C38" t="s">
        <v>378</v>
      </c>
      <c r="D38" t="s">
        <v>246</v>
      </c>
      <c r="E38">
        <v>15.49</v>
      </c>
      <c r="F38" s="9" t="s">
        <v>50</v>
      </c>
      <c r="G38" s="7">
        <v>4520840704</v>
      </c>
      <c r="H38" s="6">
        <v>18.8</v>
      </c>
      <c r="I38" s="6">
        <v>11.95</v>
      </c>
      <c r="J38" s="12">
        <f t="shared" si="1"/>
        <v>0.296234309623431</v>
      </c>
      <c r="K38" s="11">
        <v>2.5823111684958037E-2</v>
      </c>
      <c r="L38" s="13">
        <v>225008130.19999999</v>
      </c>
      <c r="M38" s="13">
        <v>2512019918.8400002</v>
      </c>
      <c r="N38" s="9" t="s">
        <v>50</v>
      </c>
      <c r="O38" s="6">
        <v>1</v>
      </c>
      <c r="P38" s="12">
        <v>6.0658467541245625E-2</v>
      </c>
      <c r="Q38" s="12">
        <v>8.957258997528339E-2</v>
      </c>
      <c r="R38" s="14">
        <v>27</v>
      </c>
    </row>
    <row r="39" spans="2:18" x14ac:dyDescent="0.5">
      <c r="B39" s="1" t="s">
        <v>485</v>
      </c>
      <c r="C39" t="s">
        <v>519</v>
      </c>
      <c r="D39" t="s">
        <v>302</v>
      </c>
      <c r="E39">
        <v>7.76</v>
      </c>
      <c r="F39" s="9" t="s">
        <v>50</v>
      </c>
      <c r="G39" s="7">
        <v>105377243136</v>
      </c>
      <c r="H39" s="6">
        <v>9.5299999999999994</v>
      </c>
      <c r="I39" s="6">
        <v>7.29</v>
      </c>
      <c r="J39" s="12">
        <f t="shared" si="1"/>
        <v>6.4471879286694067E-2</v>
      </c>
      <c r="K39" s="11">
        <v>3.8659793814432991E-2</v>
      </c>
      <c r="L39" s="13">
        <v>42109966000</v>
      </c>
      <c r="M39" s="13">
        <v>746176876000</v>
      </c>
      <c r="N39" s="9" t="s">
        <v>50</v>
      </c>
      <c r="O39" s="6">
        <v>1</v>
      </c>
      <c r="P39" s="12">
        <v>0.10066831716855074</v>
      </c>
      <c r="Q39" s="12">
        <v>5.643429507724386E-2</v>
      </c>
      <c r="R39" s="14">
        <v>26</v>
      </c>
    </row>
    <row r="40" spans="2:18" x14ac:dyDescent="0.5">
      <c r="B40" s="1" t="s">
        <v>556</v>
      </c>
      <c r="C40" t="s">
        <v>565</v>
      </c>
      <c r="D40" t="s">
        <v>528</v>
      </c>
      <c r="E40">
        <v>3.82</v>
      </c>
      <c r="F40" s="9" t="s">
        <v>50</v>
      </c>
      <c r="G40" s="7">
        <v>192904691712</v>
      </c>
      <c r="H40" s="6">
        <v>4.22</v>
      </c>
      <c r="I40" s="6">
        <v>3.33</v>
      </c>
      <c r="J40" s="12">
        <f t="shared" si="1"/>
        <v>0.14714714714714705</v>
      </c>
      <c r="K40" s="11">
        <v>2.4869109947643981E-2</v>
      </c>
      <c r="L40" s="13">
        <v>26751928946.529999</v>
      </c>
      <c r="M40" s="13">
        <v>324659027578.44</v>
      </c>
      <c r="N40" s="9" t="s">
        <v>50</v>
      </c>
      <c r="O40" s="6">
        <v>1</v>
      </c>
      <c r="P40" s="12">
        <v>6.9887720148887042E-2</v>
      </c>
      <c r="Q40" s="12">
        <v>8.2400077232001614E-2</v>
      </c>
      <c r="R40" s="14">
        <v>26</v>
      </c>
    </row>
    <row r="41" spans="2:18" x14ac:dyDescent="0.5">
      <c r="B41" s="1" t="s">
        <v>515</v>
      </c>
      <c r="C41" t="s">
        <v>554</v>
      </c>
      <c r="D41" t="s">
        <v>178</v>
      </c>
      <c r="E41">
        <v>85.32</v>
      </c>
      <c r="F41" s="9" t="s">
        <v>50</v>
      </c>
      <c r="G41" s="7">
        <v>124833038336</v>
      </c>
      <c r="H41" s="6">
        <v>128.12</v>
      </c>
      <c r="I41" s="6">
        <v>58.7</v>
      </c>
      <c r="J41" s="12">
        <f t="shared" si="1"/>
        <v>0.45349233390119226</v>
      </c>
      <c r="K41" s="11">
        <v>3.9849976558837324E-3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1.9706583474780694E-2</v>
      </c>
      <c r="Q41" s="12">
        <v>0.11449515815702964</v>
      </c>
      <c r="R41" s="14">
        <v>28</v>
      </c>
    </row>
    <row r="42" spans="2:18" x14ac:dyDescent="0.5">
      <c r="B42" s="1" t="s">
        <v>493</v>
      </c>
      <c r="C42" t="s">
        <v>527</v>
      </c>
      <c r="D42" t="s">
        <v>528</v>
      </c>
      <c r="E42">
        <v>7.82</v>
      </c>
      <c r="F42" s="9" t="s">
        <v>50</v>
      </c>
      <c r="G42" s="7">
        <v>122759094272</v>
      </c>
      <c r="H42" s="6">
        <v>8.49</v>
      </c>
      <c r="I42" s="6">
        <v>6.15</v>
      </c>
      <c r="J42" s="12">
        <f t="shared" si="1"/>
        <v>0.27154471544715442</v>
      </c>
      <c r="K42" s="11">
        <v>3.4526854219948853E-2</v>
      </c>
      <c r="L42" s="13">
        <v>25872572232</v>
      </c>
      <c r="M42" s="13">
        <v>387656475215</v>
      </c>
      <c r="N42" s="9" t="s">
        <v>50</v>
      </c>
      <c r="O42" s="6">
        <v>1</v>
      </c>
      <c r="P42" s="12">
        <v>6.4535400647258781E-2</v>
      </c>
      <c r="Q42" s="12">
        <v>6.6740977866165369E-2</v>
      </c>
      <c r="R42" s="14">
        <v>29</v>
      </c>
    </row>
    <row r="43" spans="2:18" x14ac:dyDescent="0.5">
      <c r="B43" s="1" t="s">
        <v>487</v>
      </c>
      <c r="C43" t="s">
        <v>521</v>
      </c>
      <c r="D43" t="s">
        <v>302</v>
      </c>
      <c r="E43">
        <v>5.2</v>
      </c>
      <c r="F43" s="9" t="s">
        <v>50</v>
      </c>
      <c r="G43" s="7">
        <v>89576030208</v>
      </c>
      <c r="H43" s="6">
        <v>7.84</v>
      </c>
      <c r="I43" s="6">
        <v>4.38</v>
      </c>
      <c r="J43" s="12">
        <f t="shared" si="1"/>
        <v>0.18721461187214627</v>
      </c>
      <c r="K43" s="11">
        <v>2.4423076923076922E-2</v>
      </c>
      <c r="L43" s="13">
        <v>34317184820.950001</v>
      </c>
      <c r="M43" s="13">
        <v>588966357094.34998</v>
      </c>
      <c r="N43" s="9" t="s">
        <v>50</v>
      </c>
      <c r="O43" s="6">
        <v>1</v>
      </c>
      <c r="P43" s="12">
        <v>7.7139213973981755E-2</v>
      </c>
      <c r="Q43" s="12">
        <v>5.8266799805430196E-2</v>
      </c>
      <c r="R43" s="14">
        <v>28</v>
      </c>
    </row>
    <row r="44" spans="2:18" x14ac:dyDescent="0.5">
      <c r="B44" s="1" t="s">
        <v>9</v>
      </c>
      <c r="C44" t="s">
        <v>52</v>
      </c>
      <c r="D44" t="s">
        <v>53</v>
      </c>
      <c r="E44">
        <v>78.510000000000005</v>
      </c>
      <c r="F44" s="9" t="s">
        <v>50</v>
      </c>
      <c r="G44" s="7">
        <v>45466812416</v>
      </c>
      <c r="H44" s="6">
        <v>111.69</v>
      </c>
      <c r="I44" s="6">
        <v>42.3</v>
      </c>
      <c r="J44" s="12">
        <f t="shared" si="1"/>
        <v>0.85602836879432642</v>
      </c>
      <c r="K44" s="11">
        <v>5.7317539166985097E-3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2.2183374439143658E-2</v>
      </c>
      <c r="Q44" s="12">
        <v>0.10362091390188061</v>
      </c>
      <c r="R44" s="14">
        <v>30</v>
      </c>
    </row>
    <row r="45" spans="2:18" x14ac:dyDescent="0.5">
      <c r="B45" s="1" t="s">
        <v>484</v>
      </c>
      <c r="C45" t="s">
        <v>518</v>
      </c>
      <c r="D45" t="s">
        <v>302</v>
      </c>
      <c r="E45">
        <v>5.43</v>
      </c>
      <c r="F45" s="9" t="s">
        <v>50</v>
      </c>
      <c r="G45" s="7">
        <v>134046523392</v>
      </c>
      <c r="H45" s="6">
        <v>6.56</v>
      </c>
      <c r="I45" s="6">
        <v>5.16</v>
      </c>
      <c r="J45" s="12">
        <f t="shared" si="1"/>
        <v>5.2325581395348708E-2</v>
      </c>
      <c r="K45" s="11">
        <v>3.2780847145488026E-2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8.3776170610153231E-2</v>
      </c>
      <c r="Q45" s="12">
        <v>4.0915758434259347E-2</v>
      </c>
      <c r="R45" s="14">
        <v>30</v>
      </c>
    </row>
    <row r="46" spans="2:18" x14ac:dyDescent="0.5">
      <c r="B46" s="1" t="s">
        <v>488</v>
      </c>
      <c r="C46" t="s">
        <v>522</v>
      </c>
      <c r="D46" t="s">
        <v>302</v>
      </c>
      <c r="E46">
        <v>2.33</v>
      </c>
      <c r="F46" s="9" t="s">
        <v>50</v>
      </c>
      <c r="G46" s="7">
        <v>97140408320</v>
      </c>
      <c r="H46" s="6">
        <v>3.09</v>
      </c>
      <c r="I46" s="6">
        <v>2.13</v>
      </c>
      <c r="J46" s="12">
        <f t="shared" si="1"/>
        <v>9.3896713615023497E-2</v>
      </c>
      <c r="K46" s="11">
        <v>1.1158798283261802E-2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7.3872955212529401E-2</v>
      </c>
      <c r="Q46" s="12">
        <v>5.4232381236056518E-2</v>
      </c>
      <c r="R46" s="14">
        <v>31</v>
      </c>
    </row>
    <row r="47" spans="2:18" x14ac:dyDescent="0.5">
      <c r="B47" s="1" t="s">
        <v>494</v>
      </c>
      <c r="C47" t="s">
        <v>529</v>
      </c>
      <c r="D47" t="s">
        <v>528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32</v>
      </c>
    </row>
    <row r="48" spans="2:18" x14ac:dyDescent="0.5">
      <c r="B48" s="1" t="s">
        <v>500</v>
      </c>
      <c r="C48" t="s">
        <v>537</v>
      </c>
      <c r="D48" t="s">
        <v>538</v>
      </c>
      <c r="E48">
        <v>2.48</v>
      </c>
      <c r="F48" s="9" t="s">
        <v>50</v>
      </c>
      <c r="G48" s="7">
        <v>32730187776</v>
      </c>
      <c r="H48" s="6">
        <v>2.87</v>
      </c>
      <c r="I48" s="6">
        <v>2.11</v>
      </c>
      <c r="J48" s="12">
        <f t="shared" si="1"/>
        <v>0.17535545023696697</v>
      </c>
      <c r="K48" s="11">
        <v>1.653225806451613E-2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5.1512552632303449E-2</v>
      </c>
      <c r="Q48" s="12">
        <v>5.686341456422063E-2</v>
      </c>
      <c r="R48" s="14">
        <v>33</v>
      </c>
    </row>
    <row r="49" spans="2:18" x14ac:dyDescent="0.5">
      <c r="B49" s="1" t="s">
        <v>503</v>
      </c>
      <c r="C49" t="s">
        <v>541</v>
      </c>
      <c r="D49" t="s">
        <v>538</v>
      </c>
      <c r="E49">
        <v>32.76</v>
      </c>
      <c r="F49" s="9" t="s">
        <v>50</v>
      </c>
      <c r="G49" s="7">
        <v>246539337728</v>
      </c>
      <c r="H49" s="6">
        <v>40.98</v>
      </c>
      <c r="I49" s="6">
        <v>26.93</v>
      </c>
      <c r="J49" s="12">
        <f t="shared" si="1"/>
        <v>0.21648718900854069</v>
      </c>
      <c r="K49" s="11">
        <v>7.6312576312576319E-3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2.2354223295052898E-2</v>
      </c>
      <c r="Q49" s="12">
        <v>7.0618222817004847E-2</v>
      </c>
      <c r="R49" s="14">
        <v>34</v>
      </c>
    </row>
    <row r="50" spans="2:18" x14ac:dyDescent="0.5">
      <c r="B50" s="1" t="s">
        <v>506</v>
      </c>
      <c r="C50" t="s">
        <v>544</v>
      </c>
      <c r="D50" t="s">
        <v>49</v>
      </c>
      <c r="E50">
        <v>17.100000000000001</v>
      </c>
      <c r="F50" s="9" t="s">
        <v>50</v>
      </c>
      <c r="G50" s="7">
        <v>26736674816</v>
      </c>
      <c r="H50" s="6">
        <v>21.48</v>
      </c>
      <c r="I50" s="6">
        <v>14.35</v>
      </c>
      <c r="J50" s="12">
        <f t="shared" si="1"/>
        <v>0.19163763066202111</v>
      </c>
      <c r="K50" s="11">
        <v>7.1345029239766071E-3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3.9001131968365341E-2</v>
      </c>
      <c r="Q50" s="12">
        <v>5.6764979452812038E-2</v>
      </c>
      <c r="R50" s="14">
        <v>35</v>
      </c>
    </row>
    <row r="51" spans="2:18" x14ac:dyDescent="0.5">
      <c r="B51" s="1" t="s">
        <v>510</v>
      </c>
      <c r="C51" t="s">
        <v>548</v>
      </c>
      <c r="D51" t="s">
        <v>302</v>
      </c>
      <c r="E51">
        <v>4.99</v>
      </c>
      <c r="F51" s="9" t="s">
        <v>50</v>
      </c>
      <c r="G51" s="7">
        <v>14909301760</v>
      </c>
      <c r="H51" s="6">
        <v>6.52</v>
      </c>
      <c r="I51" s="6">
        <v>3.95</v>
      </c>
      <c r="J51" s="12">
        <f t="shared" si="1"/>
        <v>0.2632911392405064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3.2065860049328584E-2</v>
      </c>
      <c r="Q51" s="12">
        <v>4.0513551113371724E-2</v>
      </c>
      <c r="R51" s="14">
        <v>36</v>
      </c>
    </row>
    <row r="52" spans="2:18" x14ac:dyDescent="0.5">
      <c r="B52" s="1" t="s">
        <v>509</v>
      </c>
      <c r="C52" t="s">
        <v>547</v>
      </c>
      <c r="D52" t="s">
        <v>246</v>
      </c>
      <c r="E52">
        <v>34.299999999999997</v>
      </c>
      <c r="F52" s="9" t="s">
        <v>50</v>
      </c>
      <c r="G52" s="7">
        <v>57559633920</v>
      </c>
      <c r="H52" s="6">
        <v>40.479999999999997</v>
      </c>
      <c r="I52" s="6">
        <v>11.86</v>
      </c>
      <c r="J52" s="12">
        <f t="shared" si="1"/>
        <v>1.8920741989881957</v>
      </c>
      <c r="K52" s="11">
        <v>6.5597667638483976E-3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2.2861395264760831E-2</v>
      </c>
      <c r="Q52" s="12">
        <v>5.2159157880766228E-2</v>
      </c>
      <c r="R52" s="14">
        <v>37</v>
      </c>
    </row>
    <row r="53" spans="2:18" x14ac:dyDescent="0.5">
      <c r="B53" s="1" t="s">
        <v>505</v>
      </c>
      <c r="C53" t="s">
        <v>543</v>
      </c>
      <c r="D53" t="s">
        <v>538</v>
      </c>
      <c r="E53">
        <v>35.11</v>
      </c>
      <c r="F53" s="9" t="s">
        <v>50</v>
      </c>
      <c r="G53" s="7">
        <v>28786450432</v>
      </c>
      <c r="H53" s="6">
        <v>41.5</v>
      </c>
      <c r="I53" s="6">
        <v>33.39</v>
      </c>
      <c r="J53" s="12">
        <f t="shared" si="1"/>
        <v>5.1512428870919447E-2</v>
      </c>
      <c r="K53" s="11">
        <v>5.8103104528624324E-3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3.1996104966538874E-2</v>
      </c>
      <c r="Q53" s="12">
        <v>3.141247110523894E-2</v>
      </c>
      <c r="R53" s="14">
        <v>38</v>
      </c>
    </row>
    <row r="54" spans="2:18" x14ac:dyDescent="0.5">
      <c r="B54" s="1" t="s">
        <v>560</v>
      </c>
      <c r="C54" t="s">
        <v>570</v>
      </c>
      <c r="D54" t="s">
        <v>538</v>
      </c>
      <c r="E54">
        <v>18.010000000000002</v>
      </c>
      <c r="F54" s="9" t="s">
        <v>50</v>
      </c>
      <c r="G54" s="7">
        <v>59420381184</v>
      </c>
      <c r="H54" s="6">
        <v>18.260000000000002</v>
      </c>
      <c r="I54" s="6">
        <v>8.02</v>
      </c>
      <c r="J54" s="12">
        <f t="shared" si="1"/>
        <v>1.2456359102244394</v>
      </c>
      <c r="K54" s="11">
        <v>2.7762354247640197E-3</v>
      </c>
      <c r="L54" s="13">
        <v>823353214.80999994</v>
      </c>
      <c r="M54" s="13">
        <v>24600134953.169998</v>
      </c>
      <c r="N54" s="9" t="s">
        <v>50</v>
      </c>
      <c r="O54" s="6">
        <v>1</v>
      </c>
      <c r="P54" s="12">
        <v>1.4002302433107863E-2</v>
      </c>
      <c r="Q54" s="12">
        <v>3.3469459268307869E-2</v>
      </c>
      <c r="R54" s="14">
        <v>40</v>
      </c>
    </row>
    <row r="55" spans="2:18" x14ac:dyDescent="0.5">
      <c r="B55" s="1" t="s">
        <v>559</v>
      </c>
      <c r="C55" t="s">
        <v>568</v>
      </c>
      <c r="D55" t="s">
        <v>569</v>
      </c>
      <c r="E55">
        <v>26.17</v>
      </c>
      <c r="F55" s="9" t="s">
        <v>50</v>
      </c>
      <c r="G55" s="7">
        <v>18597171200</v>
      </c>
      <c r="H55" s="6">
        <v>39</v>
      </c>
      <c r="I55" s="6">
        <v>23.98</v>
      </c>
      <c r="J55" s="12">
        <f t="shared" si="1"/>
        <v>9.1326105087573106E-2</v>
      </c>
      <c r="K55" s="11">
        <v>2.2544898739014136E-3</v>
      </c>
      <c r="L55" s="13">
        <v>299280592.93000001</v>
      </c>
      <c r="M55" s="13">
        <v>8835084844.8099995</v>
      </c>
      <c r="N55" s="9" t="s">
        <v>50</v>
      </c>
      <c r="O55" s="6">
        <v>1</v>
      </c>
      <c r="P55" s="12">
        <v>1.7693368590160609E-2</v>
      </c>
      <c r="Q55" s="12">
        <v>3.3874105137293234E-2</v>
      </c>
      <c r="R55" s="14">
        <v>39</v>
      </c>
    </row>
    <row r="56" spans="2:18" x14ac:dyDescent="0.5">
      <c r="B56" s="1" t="s">
        <v>497</v>
      </c>
      <c r="C56" t="s">
        <v>533</v>
      </c>
      <c r="D56" t="s">
        <v>534</v>
      </c>
      <c r="E56">
        <v>8.92</v>
      </c>
      <c r="F56" s="9" t="s">
        <v>50</v>
      </c>
      <c r="G56" s="7">
        <v>155639922688</v>
      </c>
      <c r="H56" s="6">
        <v>9</v>
      </c>
      <c r="I56" s="6">
        <v>6.71</v>
      </c>
      <c r="J56" s="12">
        <f t="shared" si="1"/>
        <v>0.3293591654247392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1.3070825408296375E-2</v>
      </c>
      <c r="Q56" s="12">
        <v>3.2199243062702283E-2</v>
      </c>
      <c r="R56" s="14">
        <v>41</v>
      </c>
    </row>
    <row r="57" spans="2:18" x14ac:dyDescent="0.5">
      <c r="B57" s="1" t="s">
        <v>558</v>
      </c>
      <c r="C57" t="s">
        <v>567</v>
      </c>
      <c r="D57" t="s">
        <v>538</v>
      </c>
      <c r="E57">
        <v>58.1</v>
      </c>
      <c r="F57" s="9" t="s">
        <v>50</v>
      </c>
      <c r="G57" s="7">
        <v>68702613504</v>
      </c>
      <c r="H57" s="6">
        <v>58.1</v>
      </c>
      <c r="I57" s="6">
        <v>23.87</v>
      </c>
      <c r="J57" s="12">
        <f t="shared" si="1"/>
        <v>1.4340175953079179</v>
      </c>
      <c r="K57" s="11">
        <v>1.7211703958691912E-4</v>
      </c>
      <c r="L57" s="13">
        <v>-41030373.009999998</v>
      </c>
      <c r="M57" s="13">
        <v>6579370456.6700001</v>
      </c>
      <c r="N57" s="9" t="s">
        <v>50</v>
      </c>
      <c r="O57" s="6">
        <v>1</v>
      </c>
      <c r="P57" s="12">
        <v>-6.0747536657646309E-4</v>
      </c>
      <c r="Q57" s="12">
        <v>-6.2362156501469587E-3</v>
      </c>
      <c r="R57" s="14">
        <v>43</v>
      </c>
    </row>
    <row r="58" spans="2:18" x14ac:dyDescent="0.5">
      <c r="B58" s="1" t="s">
        <v>468</v>
      </c>
      <c r="C58" t="s">
        <v>482</v>
      </c>
      <c r="D58" t="s">
        <v>367</v>
      </c>
      <c r="E58">
        <v>10.54</v>
      </c>
      <c r="F58" s="9" t="s">
        <v>50</v>
      </c>
      <c r="G58" s="7">
        <v>73775333376</v>
      </c>
      <c r="H58" s="6">
        <v>14.4</v>
      </c>
      <c r="I58" s="6">
        <v>8.98</v>
      </c>
      <c r="J58" s="12">
        <f t="shared" si="1"/>
        <v>0.17371937639198198</v>
      </c>
      <c r="K58" s="11">
        <v>1.8975332068311198E-2</v>
      </c>
      <c r="L58" s="13">
        <v>-931377000</v>
      </c>
      <c r="M58" s="13">
        <v>31106254000</v>
      </c>
      <c r="N58" s="9" t="s">
        <v>50</v>
      </c>
      <c r="O58" s="6">
        <v>1</v>
      </c>
      <c r="P58" s="12">
        <v>-1.8089743370981605E-2</v>
      </c>
      <c r="Q58" s="12">
        <v>-2.9941792412548292E-2</v>
      </c>
      <c r="R58" s="14">
        <v>44</v>
      </c>
    </row>
    <row r="59" spans="2:18" x14ac:dyDescent="0.5">
      <c r="B59" s="1" t="s">
        <v>516</v>
      </c>
      <c r="C59" t="s">
        <v>555</v>
      </c>
      <c r="D59" t="s">
        <v>405</v>
      </c>
      <c r="E59">
        <v>44.79</v>
      </c>
      <c r="F59" s="9" t="s">
        <v>50</v>
      </c>
      <c r="G59" s="7">
        <v>41824301056</v>
      </c>
      <c r="H59" s="6">
        <v>56.74</v>
      </c>
      <c r="I59" s="6">
        <v>41.37</v>
      </c>
      <c r="J59" s="12">
        <f t="shared" si="1"/>
        <v>8.266860043509805E-2</v>
      </c>
      <c r="K59" s="11">
        <v>0</v>
      </c>
      <c r="L59" s="13">
        <v>-243865509.30000001</v>
      </c>
      <c r="M59" s="13">
        <v>3088241018.6100001</v>
      </c>
      <c r="N59" s="9" t="s">
        <v>50</v>
      </c>
      <c r="O59" s="6">
        <v>1</v>
      </c>
      <c r="P59" s="12">
        <v>-5.9825157374932729E-3</v>
      </c>
      <c r="Q59" s="12">
        <v>-7.8965828065376359E-2</v>
      </c>
      <c r="R59" s="14">
        <v>45</v>
      </c>
    </row>
    <row r="60" spans="2:18" x14ac:dyDescent="0.5">
      <c r="B60" s="1" t="s">
        <v>562</v>
      </c>
      <c r="C60" t="s">
        <v>572</v>
      </c>
      <c r="D60" t="s">
        <v>573</v>
      </c>
      <c r="E60">
        <v>21.8</v>
      </c>
      <c r="F60" s="9" t="s">
        <v>50</v>
      </c>
      <c r="G60" s="7">
        <v>1784587648</v>
      </c>
      <c r="H60" s="6">
        <v>30.18</v>
      </c>
      <c r="I60" s="6">
        <v>16.600000000000001</v>
      </c>
      <c r="J60" s="12">
        <f t="shared" si="1"/>
        <v>0.31325301204819267</v>
      </c>
      <c r="K60" s="11">
        <v>0</v>
      </c>
      <c r="L60" s="13">
        <v>-44822598.270000003</v>
      </c>
      <c r="M60" s="13">
        <v>1000072896.86</v>
      </c>
      <c r="N60" s="9" t="s">
        <v>50</v>
      </c>
      <c r="O60" s="6">
        <v>1</v>
      </c>
      <c r="P60" s="12">
        <v>-2.5091638161935926E-2</v>
      </c>
      <c r="Q60" s="12">
        <v>-4.4819331081496862E-2</v>
      </c>
      <c r="R60" s="14">
        <v>46</v>
      </c>
    </row>
    <row r="61" spans="2:18" x14ac:dyDescent="0.5">
      <c r="B61" s="1" t="s">
        <v>564</v>
      </c>
      <c r="C61" t="s">
        <v>575</v>
      </c>
      <c r="D61" t="s">
        <v>178</v>
      </c>
      <c r="E61">
        <v>13.89</v>
      </c>
      <c r="F61" s="9" t="s">
        <v>50</v>
      </c>
      <c r="G61" s="7">
        <v>44806352896</v>
      </c>
      <c r="H61" s="6">
        <v>19.75</v>
      </c>
      <c r="I61" s="6">
        <v>12.91</v>
      </c>
      <c r="J61" s="12">
        <f t="shared" si="1"/>
        <v>7.5910147172734366E-2</v>
      </c>
      <c r="K61" s="11">
        <v>0</v>
      </c>
      <c r="L61" s="13">
        <v>-1185481187.71</v>
      </c>
      <c r="M61" s="13">
        <v>18993088958.560001</v>
      </c>
      <c r="N61" s="9" t="s">
        <v>50</v>
      </c>
      <c r="O61" s="6">
        <v>1</v>
      </c>
      <c r="P61" s="12">
        <v>-2.3162067102815386E-2</v>
      </c>
      <c r="Q61" s="12">
        <v>-6.241645002013825E-2</v>
      </c>
      <c r="R61" s="14">
        <v>46</v>
      </c>
    </row>
    <row r="62" spans="2:18" x14ac:dyDescent="0.5">
      <c r="B62" s="1" t="s">
        <v>561</v>
      </c>
      <c r="C62" t="s">
        <v>571</v>
      </c>
      <c r="D62" t="s">
        <v>168</v>
      </c>
      <c r="E62">
        <v>3.87</v>
      </c>
      <c r="F62" s="9" t="s">
        <v>50</v>
      </c>
      <c r="G62" s="7">
        <v>13887585280</v>
      </c>
      <c r="H62" s="6">
        <v>4.84</v>
      </c>
      <c r="I62" s="6">
        <v>3.46</v>
      </c>
      <c r="J62" s="12">
        <f t="shared" si="1"/>
        <v>0.11849710982658967</v>
      </c>
      <c r="K62" s="11">
        <v>0</v>
      </c>
      <c r="L62" s="13">
        <v>-2407942158.9699998</v>
      </c>
      <c r="M62" s="13">
        <v>29426622086.59</v>
      </c>
      <c r="N62" s="9" t="s">
        <v>50</v>
      </c>
      <c r="O62" s="6">
        <v>1</v>
      </c>
      <c r="P62" s="12">
        <v>-7.1575788772399826E-2</v>
      </c>
      <c r="Q62" s="12">
        <v>-8.182869756115578E-2</v>
      </c>
      <c r="R62" s="14">
        <v>47</v>
      </c>
    </row>
    <row r="63" spans="2:18" x14ac:dyDescent="0.5">
      <c r="B63" s="1" t="s">
        <v>355</v>
      </c>
      <c r="C63" t="s">
        <v>376</v>
      </c>
      <c r="D63" t="s">
        <v>225</v>
      </c>
      <c r="E63">
        <v>20.6</v>
      </c>
      <c r="F63" s="9" t="s">
        <v>50</v>
      </c>
      <c r="G63" s="7">
        <v>435954778112</v>
      </c>
      <c r="H63" s="6">
        <v>25.45</v>
      </c>
      <c r="I63" s="6">
        <v>18.46</v>
      </c>
      <c r="J63" s="12">
        <f t="shared" si="1"/>
        <v>0.11592632719393281</v>
      </c>
      <c r="K63" s="11">
        <v>5.145631067961165E-2</v>
      </c>
      <c r="M63" s="13">
        <v>2415915000000</v>
      </c>
      <c r="N63" s="9" t="s">
        <v>50</v>
      </c>
      <c r="O63" s="6">
        <v>1</v>
      </c>
    </row>
    <row r="64" spans="2:18" x14ac:dyDescent="0.5">
      <c r="B64" s="1" t="s">
        <v>455</v>
      </c>
      <c r="C64" t="s">
        <v>469</v>
      </c>
      <c r="D64" t="s">
        <v>227</v>
      </c>
      <c r="E64">
        <v>7.85</v>
      </c>
      <c r="F64" s="9" t="s">
        <v>50</v>
      </c>
      <c r="G64" s="7">
        <v>2797789249536</v>
      </c>
      <c r="H64" s="6">
        <v>8.4</v>
      </c>
      <c r="I64" s="6">
        <v>6.4</v>
      </c>
      <c r="J64" s="12">
        <f t="shared" si="1"/>
        <v>0.22656249999999978</v>
      </c>
      <c r="K64" s="11">
        <v>3.8980891719745225E-2</v>
      </c>
      <c r="M64" s="13">
        <v>6434377000000</v>
      </c>
      <c r="N64" s="9" t="s">
        <v>50</v>
      </c>
      <c r="O64" s="6">
        <v>1</v>
      </c>
    </row>
    <row r="65" spans="2:18" x14ac:dyDescent="0.5">
      <c r="B65" s="1" t="s">
        <v>456</v>
      </c>
      <c r="C65" t="s">
        <v>470</v>
      </c>
      <c r="D65" t="s">
        <v>225</v>
      </c>
      <c r="E65">
        <v>41.71</v>
      </c>
      <c r="F65" s="9" t="s">
        <v>50</v>
      </c>
      <c r="G65" s="7">
        <v>1069303463936</v>
      </c>
      <c r="H65" s="6">
        <v>48.55</v>
      </c>
      <c r="I65" s="6">
        <v>37.86</v>
      </c>
      <c r="J65" s="12">
        <f t="shared" si="1"/>
        <v>0.10169043845747505</v>
      </c>
      <c r="K65" s="11">
        <v>4.7950131862862622E-2</v>
      </c>
      <c r="M65" s="13">
        <v>1656843000000</v>
      </c>
      <c r="N65" s="9" t="s">
        <v>50</v>
      </c>
      <c r="O65" s="6">
        <v>1</v>
      </c>
    </row>
    <row r="66" spans="2:18" x14ac:dyDescent="0.5">
      <c r="B66" s="1" t="s">
        <v>457</v>
      </c>
      <c r="C66" t="s">
        <v>471</v>
      </c>
      <c r="D66" t="s">
        <v>225</v>
      </c>
      <c r="E66">
        <v>11.57</v>
      </c>
      <c r="F66" s="9" t="s">
        <v>50</v>
      </c>
      <c r="G66" s="7">
        <v>224526467072</v>
      </c>
      <c r="H66" s="6">
        <v>13.33</v>
      </c>
      <c r="I66" s="6">
        <v>10.48</v>
      </c>
      <c r="J66" s="12">
        <f t="shared" ref="J66:J79" si="2">E66/I66-1</f>
        <v>0.1040076335877862</v>
      </c>
      <c r="K66" s="11">
        <v>5.1685393258426963E-2</v>
      </c>
      <c r="M66" s="13">
        <v>1225730000000</v>
      </c>
      <c r="N66" s="9" t="s">
        <v>50</v>
      </c>
      <c r="O66" s="6">
        <v>1</v>
      </c>
    </row>
    <row r="67" spans="2:18" x14ac:dyDescent="0.5">
      <c r="B67" s="1" t="s">
        <v>458</v>
      </c>
      <c r="C67" t="s">
        <v>472</v>
      </c>
      <c r="D67" t="s">
        <v>227</v>
      </c>
      <c r="E67">
        <v>7.5</v>
      </c>
      <c r="F67" s="9" t="s">
        <v>50</v>
      </c>
      <c r="G67" s="7">
        <v>2624872775680</v>
      </c>
      <c r="H67" s="6">
        <v>8.68</v>
      </c>
      <c r="I67" s="6">
        <v>4.9000000000000004</v>
      </c>
      <c r="J67" s="12">
        <f t="shared" si="2"/>
        <v>0.53061224489795911</v>
      </c>
      <c r="K67" s="11">
        <v>3.2666666666666663E-2</v>
      </c>
      <c r="M67" s="13">
        <v>6053339000000</v>
      </c>
      <c r="N67" s="9" t="s">
        <v>50</v>
      </c>
      <c r="O67" s="6">
        <v>1</v>
      </c>
    </row>
    <row r="68" spans="2:18" x14ac:dyDescent="0.5">
      <c r="B68" s="1" t="s">
        <v>459</v>
      </c>
      <c r="C68" t="s">
        <v>473</v>
      </c>
      <c r="D68" t="s">
        <v>227</v>
      </c>
      <c r="E68">
        <v>5.65</v>
      </c>
      <c r="F68" s="9" t="s">
        <v>50</v>
      </c>
      <c r="G68" s="7">
        <v>1820500033536</v>
      </c>
      <c r="H68" s="6">
        <v>6.39</v>
      </c>
      <c r="I68" s="6">
        <v>5.13</v>
      </c>
      <c r="J68" s="12">
        <f t="shared" si="2"/>
        <v>0.10136452241715399</v>
      </c>
      <c r="K68" s="11">
        <v>4.088495575221239E-2</v>
      </c>
      <c r="M68" s="13">
        <v>5199928000000</v>
      </c>
      <c r="N68" s="9" t="s">
        <v>50</v>
      </c>
      <c r="O68" s="6">
        <v>1</v>
      </c>
    </row>
    <row r="69" spans="2:18" x14ac:dyDescent="0.5">
      <c r="B69" s="1" t="s">
        <v>460</v>
      </c>
      <c r="C69" t="s">
        <v>474</v>
      </c>
      <c r="D69" t="s">
        <v>227</v>
      </c>
      <c r="E69">
        <v>9.09</v>
      </c>
      <c r="F69" s="9" t="s">
        <v>50</v>
      </c>
      <c r="G69" s="7">
        <v>2377947545600</v>
      </c>
      <c r="H69" s="6">
        <v>10.029999999999999</v>
      </c>
      <c r="I69" s="6">
        <v>8.14</v>
      </c>
      <c r="J69" s="12">
        <f t="shared" si="2"/>
        <v>0.11670761670761665</v>
      </c>
      <c r="K69" s="11">
        <v>4.3124312431243129E-2</v>
      </c>
      <c r="M69" s="13">
        <v>6128626000000</v>
      </c>
      <c r="N69" s="9" t="s">
        <v>50</v>
      </c>
      <c r="O69" s="6">
        <v>1</v>
      </c>
    </row>
    <row r="70" spans="2:18" x14ac:dyDescent="0.5">
      <c r="B70" s="1" t="s">
        <v>461</v>
      </c>
      <c r="C70" t="s">
        <v>475</v>
      </c>
      <c r="D70" t="s">
        <v>227</v>
      </c>
      <c r="E70">
        <v>7.37</v>
      </c>
      <c r="F70" s="9" t="s">
        <v>50</v>
      </c>
      <c r="G70" s="7">
        <v>651241062400</v>
      </c>
      <c r="H70" s="6">
        <v>8.34</v>
      </c>
      <c r="I70" s="6">
        <v>6.65</v>
      </c>
      <c r="J70" s="12">
        <f t="shared" si="2"/>
        <v>0.10827067669172918</v>
      </c>
      <c r="K70" s="11">
        <v>7.2591587516960654E-2</v>
      </c>
      <c r="M70" s="13">
        <v>2314289000000</v>
      </c>
      <c r="N70" s="9" t="s">
        <v>50</v>
      </c>
      <c r="O70" s="6">
        <v>1</v>
      </c>
    </row>
    <row r="71" spans="2:18" x14ac:dyDescent="0.5">
      <c r="B71" s="1" t="s">
        <v>462</v>
      </c>
      <c r="C71" t="s">
        <v>476</v>
      </c>
      <c r="D71" t="s">
        <v>225</v>
      </c>
      <c r="E71">
        <v>5.4</v>
      </c>
      <c r="F71" s="9" t="s">
        <v>50</v>
      </c>
      <c r="G71" s="7">
        <v>648513323008</v>
      </c>
      <c r="H71" s="6">
        <v>6.44</v>
      </c>
      <c r="I71" s="6">
        <v>4.9400000000000004</v>
      </c>
      <c r="J71" s="12">
        <f t="shared" si="2"/>
        <v>9.3117408906882471E-2</v>
      </c>
      <c r="K71" s="11">
        <v>4.3888888888888887E-2</v>
      </c>
      <c r="M71" s="13">
        <v>1271649000000</v>
      </c>
      <c r="N71" s="9" t="s">
        <v>50</v>
      </c>
      <c r="O71" s="6">
        <v>1</v>
      </c>
    </row>
    <row r="72" spans="2:18" x14ac:dyDescent="0.5">
      <c r="B72" s="1" t="s">
        <v>463</v>
      </c>
      <c r="C72" t="s">
        <v>477</v>
      </c>
      <c r="D72" t="s">
        <v>225</v>
      </c>
      <c r="E72">
        <v>11.66</v>
      </c>
      <c r="F72" s="9" t="s">
        <v>50</v>
      </c>
      <c r="G72" s="7">
        <v>388346052608</v>
      </c>
      <c r="H72" s="6">
        <v>14.8</v>
      </c>
      <c r="I72" s="6">
        <v>9.42</v>
      </c>
      <c r="J72" s="12">
        <f t="shared" si="2"/>
        <v>0.23779193205944793</v>
      </c>
      <c r="K72" s="11">
        <v>3.5162950257289875E-2</v>
      </c>
      <c r="M72" s="13">
        <v>2505906000000</v>
      </c>
      <c r="N72" s="9" t="s">
        <v>50</v>
      </c>
      <c r="O72" s="6">
        <v>1</v>
      </c>
    </row>
    <row r="73" spans="2:18" x14ac:dyDescent="0.5">
      <c r="B73" s="1" t="s">
        <v>464</v>
      </c>
      <c r="C73" t="s">
        <v>478</v>
      </c>
      <c r="D73" t="s">
        <v>225</v>
      </c>
      <c r="E73">
        <v>3.52</v>
      </c>
      <c r="F73" s="9" t="s">
        <v>50</v>
      </c>
      <c r="G73" s="7">
        <v>207981133824</v>
      </c>
      <c r="H73" s="6">
        <v>4.5</v>
      </c>
      <c r="I73" s="6">
        <v>3.28</v>
      </c>
      <c r="J73" s="12">
        <f t="shared" si="2"/>
        <v>7.3170731707317138E-2</v>
      </c>
      <c r="K73" s="11">
        <v>2.4147727272727276E-2</v>
      </c>
      <c r="M73" s="13">
        <v>1970468000000</v>
      </c>
      <c r="N73" s="9" t="s">
        <v>50</v>
      </c>
      <c r="O73" s="6">
        <v>1</v>
      </c>
    </row>
    <row r="74" spans="2:18" x14ac:dyDescent="0.5">
      <c r="B74" s="1" t="s">
        <v>465</v>
      </c>
      <c r="C74" t="s">
        <v>479</v>
      </c>
      <c r="D74" t="s">
        <v>225</v>
      </c>
      <c r="E74">
        <v>7.44</v>
      </c>
      <c r="F74" s="9" t="s">
        <v>50</v>
      </c>
      <c r="G74" s="7">
        <v>414000021504</v>
      </c>
      <c r="H74" s="6">
        <v>9.07</v>
      </c>
      <c r="I74" s="6">
        <v>6.38</v>
      </c>
      <c r="J74" s="12">
        <f t="shared" si="2"/>
        <v>0.16614420062695934</v>
      </c>
      <c r="K74" s="11">
        <v>4.8118279569892466E-2</v>
      </c>
      <c r="M74" s="13">
        <v>2066897000000</v>
      </c>
      <c r="N74" s="9" t="s">
        <v>50</v>
      </c>
      <c r="O74" s="6">
        <v>1</v>
      </c>
    </row>
    <row r="75" spans="2:18" x14ac:dyDescent="0.5">
      <c r="B75" s="1" t="s">
        <v>466</v>
      </c>
      <c r="C75" t="s">
        <v>480</v>
      </c>
      <c r="D75" t="s">
        <v>225</v>
      </c>
      <c r="E75">
        <v>3.92</v>
      </c>
      <c r="F75" s="9" t="s">
        <v>50</v>
      </c>
      <c r="G75" s="7">
        <v>171627085824</v>
      </c>
      <c r="H75" s="6">
        <v>5.68</v>
      </c>
      <c r="I75" s="6">
        <v>3.71</v>
      </c>
      <c r="J75" s="12">
        <f t="shared" si="2"/>
        <v>5.6603773584905648E-2</v>
      </c>
      <c r="K75" s="11">
        <v>5.0510204081632655E-2</v>
      </c>
      <c r="M75" s="13">
        <v>1646749000000</v>
      </c>
      <c r="N75" s="9" t="s">
        <v>50</v>
      </c>
      <c r="O75" s="6">
        <v>1</v>
      </c>
    </row>
    <row r="76" spans="2:18" x14ac:dyDescent="0.5">
      <c r="B76" s="1" t="s">
        <v>467</v>
      </c>
      <c r="C76" t="s">
        <v>481</v>
      </c>
      <c r="D76" t="s">
        <v>225</v>
      </c>
      <c r="E76">
        <v>6.82</v>
      </c>
      <c r="F76" s="9" t="s">
        <v>50</v>
      </c>
      <c r="G76" s="7">
        <v>108539813888</v>
      </c>
      <c r="H76" s="6">
        <v>8.7200000000000006</v>
      </c>
      <c r="I76" s="6">
        <v>6.43</v>
      </c>
      <c r="J76" s="12">
        <f t="shared" si="2"/>
        <v>6.0653188180404438E-2</v>
      </c>
      <c r="K76" s="11">
        <v>5.9384164222873903E-2</v>
      </c>
      <c r="M76" s="13">
        <v>1231745000000</v>
      </c>
      <c r="N76" s="9" t="s">
        <v>50</v>
      </c>
      <c r="O76" s="6">
        <v>1</v>
      </c>
    </row>
    <row r="77" spans="2:18" x14ac:dyDescent="0.5">
      <c r="B77" s="1" t="s">
        <v>501</v>
      </c>
      <c r="C77" t="s">
        <v>539</v>
      </c>
      <c r="D77" t="s">
        <v>300</v>
      </c>
      <c r="E77">
        <v>46.74</v>
      </c>
      <c r="F77" s="9" t="s">
        <v>50</v>
      </c>
      <c r="G77" s="7">
        <v>1321092251648</v>
      </c>
      <c r="H77" s="6">
        <v>47.44</v>
      </c>
      <c r="I77" s="6">
        <v>33.61</v>
      </c>
      <c r="J77" s="12">
        <f t="shared" si="2"/>
        <v>0.3906575423980958</v>
      </c>
      <c r="K77" s="11">
        <v>1.4719726144629866E-2</v>
      </c>
      <c r="M77" s="13">
        <v>557627000000</v>
      </c>
      <c r="N77" s="9" t="s">
        <v>50</v>
      </c>
      <c r="O77" s="6">
        <v>1</v>
      </c>
    </row>
    <row r="78" spans="2:18" x14ac:dyDescent="0.5">
      <c r="B78" s="1" t="s">
        <v>502</v>
      </c>
      <c r="C78" t="s">
        <v>540</v>
      </c>
      <c r="D78" t="s">
        <v>300</v>
      </c>
      <c r="E78">
        <v>41.04</v>
      </c>
      <c r="F78" s="9" t="s">
        <v>50</v>
      </c>
      <c r="G78" s="7">
        <v>394818846720</v>
      </c>
      <c r="H78" s="6">
        <v>42.23</v>
      </c>
      <c r="I78" s="6">
        <v>28.7</v>
      </c>
      <c r="J78" s="12">
        <f t="shared" si="2"/>
        <v>0.42996515679442515</v>
      </c>
      <c r="K78" s="11">
        <v>2.6315789473684213E-2</v>
      </c>
      <c r="M78" s="13">
        <v>301703000000</v>
      </c>
      <c r="N78" s="9" t="s">
        <v>50</v>
      </c>
      <c r="O78" s="6">
        <v>1</v>
      </c>
    </row>
    <row r="79" spans="2:18" x14ac:dyDescent="0.5">
      <c r="B79" s="1" t="s">
        <v>763</v>
      </c>
      <c r="C79" t="s">
        <v>764</v>
      </c>
      <c r="D79" t="s">
        <v>405</v>
      </c>
      <c r="E79">
        <v>18.89</v>
      </c>
      <c r="F79" s="9" t="s">
        <v>50</v>
      </c>
      <c r="G79" s="7">
        <v>8290760704</v>
      </c>
      <c r="H79" s="6">
        <v>26.05</v>
      </c>
      <c r="I79" s="6">
        <v>15.18</v>
      </c>
      <c r="J79" s="12">
        <f t="shared" si="2"/>
        <v>0.24440052700922266</v>
      </c>
      <c r="K79" s="11">
        <v>5.2938062466913712E-3</v>
      </c>
      <c r="L79" s="13">
        <v>77003052.530000001</v>
      </c>
      <c r="M79" s="13">
        <v>2584081781.4400001</v>
      </c>
      <c r="N79" s="9" t="s">
        <v>50</v>
      </c>
      <c r="O79" s="6">
        <v>1</v>
      </c>
      <c r="P79" s="12">
        <v>1.2195520779678781E-2</v>
      </c>
      <c r="Q79" s="12">
        <v>2.9798999816131762E-2</v>
      </c>
      <c r="R79" s="14">
        <v>42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2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754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19.21</v>
      </c>
      <c r="F2" s="9" t="s">
        <v>71</v>
      </c>
      <c r="G2" s="7">
        <v>677073344</v>
      </c>
      <c r="H2" s="6">
        <v>25.04</v>
      </c>
      <c r="I2" s="6">
        <v>17.75</v>
      </c>
      <c r="J2" s="12">
        <f t="shared" ref="J2:J33" si="0">E2/I2-1</f>
        <v>8.2253521126760543E-2</v>
      </c>
      <c r="K2" s="11">
        <v>9.817803227485683E-2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0.38853379987880654</v>
      </c>
      <c r="Q2" s="12">
        <v>0.58551826493815506</v>
      </c>
      <c r="R2" s="14">
        <v>1</v>
      </c>
    </row>
    <row r="3" spans="1:22" x14ac:dyDescent="0.5">
      <c r="B3" s="1" t="s">
        <v>639</v>
      </c>
      <c r="C3" t="s">
        <v>733</v>
      </c>
      <c r="D3" t="s">
        <v>180</v>
      </c>
      <c r="E3">
        <v>59.18</v>
      </c>
      <c r="F3" s="9" t="s">
        <v>71</v>
      </c>
      <c r="G3" s="7">
        <v>99415949312</v>
      </c>
      <c r="H3" s="6">
        <v>68.599999999999994</v>
      </c>
      <c r="I3" s="6">
        <v>50.08</v>
      </c>
      <c r="J3" s="12">
        <f t="shared" si="0"/>
        <v>0.18170926517571884</v>
      </c>
      <c r="K3" s="11">
        <v>6.8942210206150725E-2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0.12194865471545115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22.89</v>
      </c>
      <c r="F4" s="9" t="s">
        <v>71</v>
      </c>
      <c r="G4" s="7">
        <v>57427169280</v>
      </c>
      <c r="H4" s="6">
        <v>28.27</v>
      </c>
      <c r="I4" s="6">
        <v>21.41</v>
      </c>
      <c r="J4" s="12">
        <f t="shared" si="0"/>
        <v>6.9126576366184134E-2</v>
      </c>
      <c r="K4" s="11">
        <v>6.4657055482743558E-2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0.39259159683522815</v>
      </c>
      <c r="Q4" s="12">
        <v>0.46488313723214414</v>
      </c>
      <c r="R4" s="14">
        <v>3</v>
      </c>
    </row>
    <row r="5" spans="1:22" x14ac:dyDescent="0.5">
      <c r="B5" s="1" t="s">
        <v>393</v>
      </c>
      <c r="C5" t="s">
        <v>406</v>
      </c>
      <c r="D5" t="s">
        <v>74</v>
      </c>
      <c r="E5">
        <v>207.87</v>
      </c>
      <c r="F5" s="9" t="s">
        <v>71</v>
      </c>
      <c r="G5" s="7">
        <v>24651128832</v>
      </c>
      <c r="H5" s="6">
        <v>423.32</v>
      </c>
      <c r="I5" s="6">
        <v>159.25</v>
      </c>
      <c r="J5" s="12">
        <f t="shared" si="0"/>
        <v>0.3053061224489797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0.10335932082835583</v>
      </c>
      <c r="Q5" s="12">
        <v>0.57947959400071281</v>
      </c>
      <c r="R5" s="14">
        <v>4</v>
      </c>
    </row>
    <row r="6" spans="1:22" x14ac:dyDescent="0.5">
      <c r="B6" s="1" t="s">
        <v>646</v>
      </c>
      <c r="C6" t="s">
        <v>742</v>
      </c>
      <c r="D6" t="s">
        <v>743</v>
      </c>
      <c r="E6">
        <v>7472.55</v>
      </c>
      <c r="F6" s="9" t="s">
        <v>71</v>
      </c>
      <c r="G6" s="7">
        <v>20647432192</v>
      </c>
      <c r="H6" s="6">
        <v>8618.2800000000007</v>
      </c>
      <c r="I6" s="6">
        <v>6562.85</v>
      </c>
      <c r="J6" s="12">
        <f t="shared" si="0"/>
        <v>0.13861355965777067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0.11246762352565361</v>
      </c>
      <c r="Q6" s="12">
        <v>0.41851386103620447</v>
      </c>
      <c r="R6" s="14">
        <v>6</v>
      </c>
    </row>
    <row r="7" spans="1:22" x14ac:dyDescent="0.5">
      <c r="B7" s="1" t="s">
        <v>38</v>
      </c>
      <c r="C7" t="s">
        <v>103</v>
      </c>
      <c r="D7" t="s">
        <v>104</v>
      </c>
      <c r="E7">
        <v>62.45</v>
      </c>
      <c r="F7" s="9" t="s">
        <v>71</v>
      </c>
      <c r="G7" s="7">
        <v>106161102848</v>
      </c>
      <c r="H7" s="6">
        <v>73.349999999999994</v>
      </c>
      <c r="I7" s="6">
        <v>32.82</v>
      </c>
      <c r="J7" s="12">
        <f t="shared" si="0"/>
        <v>0.90280316879951261</v>
      </c>
      <c r="K7" s="11">
        <v>4.5636509207365884E-3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7.6904995908749399E-2</v>
      </c>
      <c r="Q7" s="12">
        <v>1.8365160689333955</v>
      </c>
      <c r="R7" s="14">
        <v>5</v>
      </c>
    </row>
    <row r="8" spans="1:22" x14ac:dyDescent="0.5">
      <c r="B8" s="1" t="s">
        <v>207</v>
      </c>
      <c r="C8" t="s">
        <v>235</v>
      </c>
      <c r="D8" t="s">
        <v>236</v>
      </c>
      <c r="E8">
        <v>63.73</v>
      </c>
      <c r="F8" s="9" t="s">
        <v>71</v>
      </c>
      <c r="G8" s="7">
        <v>2150928384</v>
      </c>
      <c r="H8" s="6">
        <v>89.465000000000003</v>
      </c>
      <c r="I8" s="6">
        <v>49.92</v>
      </c>
      <c r="J8" s="12">
        <f t="shared" si="0"/>
        <v>0.27664262820512819</v>
      </c>
      <c r="K8" s="11">
        <v>2.0398556409854073E-2</v>
      </c>
      <c r="L8" s="13">
        <v>14679000</v>
      </c>
      <c r="M8" s="13">
        <v>2158873000</v>
      </c>
      <c r="N8" s="9" t="s">
        <v>71</v>
      </c>
      <c r="O8" s="6">
        <v>1</v>
      </c>
      <c r="P8" s="12">
        <v>5.6982603249658816E-3</v>
      </c>
      <c r="Q8" s="12">
        <v>6.7993809733133907E-3</v>
      </c>
      <c r="R8" s="14">
        <v>77</v>
      </c>
    </row>
    <row r="9" spans="1:22" x14ac:dyDescent="0.5">
      <c r="B9" s="1" t="s">
        <v>650</v>
      </c>
      <c r="C9" t="s">
        <v>748</v>
      </c>
      <c r="D9" t="s">
        <v>298</v>
      </c>
      <c r="E9">
        <v>227.27</v>
      </c>
      <c r="F9" s="9" t="s">
        <v>71</v>
      </c>
      <c r="G9" s="7">
        <v>133225676800</v>
      </c>
      <c r="H9" s="6">
        <v>292.99</v>
      </c>
      <c r="I9" s="6">
        <v>199.9</v>
      </c>
      <c r="J9" s="12">
        <f t="shared" si="0"/>
        <v>0.13691845922961488</v>
      </c>
      <c r="K9" s="11">
        <v>2.1560258723104679E-2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7.8527928932292906E-2</v>
      </c>
      <c r="Q9" s="12">
        <v>0.33838197266346509</v>
      </c>
      <c r="R9" s="14">
        <v>10</v>
      </c>
    </row>
    <row r="10" spans="1:22" x14ac:dyDescent="0.5">
      <c r="B10" s="1" t="s">
        <v>611</v>
      </c>
      <c r="C10" t="s">
        <v>701</v>
      </c>
      <c r="D10" t="s">
        <v>164</v>
      </c>
      <c r="E10">
        <v>101.52</v>
      </c>
      <c r="F10" s="9" t="s">
        <v>71</v>
      </c>
      <c r="G10" s="7">
        <v>12383447040</v>
      </c>
      <c r="H10" s="6">
        <v>165</v>
      </c>
      <c r="I10" s="6">
        <v>98.2</v>
      </c>
      <c r="J10" s="12">
        <f t="shared" si="0"/>
        <v>3.3808553971486743E-2</v>
      </c>
      <c r="K10" s="11">
        <v>4.8463356973995272E-2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7.7236716487696172E-2</v>
      </c>
      <c r="Q10" s="12">
        <v>0.41509433962264153</v>
      </c>
      <c r="R10" s="14">
        <v>7</v>
      </c>
    </row>
    <row r="11" spans="1:22" x14ac:dyDescent="0.5">
      <c r="B11" s="1" t="s">
        <v>619</v>
      </c>
      <c r="C11" t="s">
        <v>709</v>
      </c>
      <c r="D11" t="s">
        <v>313</v>
      </c>
      <c r="E11">
        <v>149.75</v>
      </c>
      <c r="F11" s="9" t="s">
        <v>71</v>
      </c>
      <c r="G11" s="7">
        <v>20323850240</v>
      </c>
      <c r="H11" s="6">
        <v>155.04</v>
      </c>
      <c r="I11" s="6">
        <v>100.47</v>
      </c>
      <c r="J11" s="12">
        <f t="shared" si="0"/>
        <v>0.49049467502737132</v>
      </c>
      <c r="K11" s="11">
        <v>1.001669449081803E-2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5.2739989757252116E-2</v>
      </c>
      <c r="Q11" s="12">
        <v>0.46842887037946712</v>
      </c>
      <c r="R11" s="14">
        <v>14</v>
      </c>
    </row>
    <row r="12" spans="1:22" x14ac:dyDescent="0.5">
      <c r="B12" s="1" t="s">
        <v>39</v>
      </c>
      <c r="C12" t="s">
        <v>105</v>
      </c>
      <c r="D12" t="s">
        <v>106</v>
      </c>
      <c r="E12">
        <v>83.23</v>
      </c>
      <c r="F12" s="9" t="s">
        <v>71</v>
      </c>
      <c r="G12" s="7">
        <v>3408173824</v>
      </c>
      <c r="H12" s="6">
        <v>110.2</v>
      </c>
      <c r="I12" s="6">
        <v>45.55</v>
      </c>
      <c r="J12" s="12">
        <f t="shared" si="0"/>
        <v>0.82722283205268954</v>
      </c>
      <c r="K12" s="11">
        <v>1.5018623092634867E-2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0.12625268060293854</v>
      </c>
      <c r="Q12" s="12">
        <v>0.27162760557295607</v>
      </c>
      <c r="R12" s="14">
        <v>8</v>
      </c>
    </row>
    <row r="13" spans="1:22" x14ac:dyDescent="0.5">
      <c r="B13" s="1" t="s">
        <v>400</v>
      </c>
      <c r="C13" t="s">
        <v>413</v>
      </c>
      <c r="D13" t="s">
        <v>164</v>
      </c>
      <c r="E13">
        <v>79.73</v>
      </c>
      <c r="F13" s="9" t="s">
        <v>71</v>
      </c>
      <c r="G13" s="7">
        <v>64439447552</v>
      </c>
      <c r="H13" s="6">
        <v>100.18</v>
      </c>
      <c r="I13" s="6">
        <v>74.55</v>
      </c>
      <c r="J13" s="12">
        <f t="shared" si="0"/>
        <v>6.9483568075117574E-2</v>
      </c>
      <c r="K13" s="11">
        <v>2.5586353944562899E-2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5.9118690993133514E-2</v>
      </c>
      <c r="Q13" s="12">
        <v>0.52052444553363564</v>
      </c>
      <c r="R13" s="14">
        <v>9</v>
      </c>
    </row>
    <row r="14" spans="1:22" x14ac:dyDescent="0.5">
      <c r="B14" s="1" t="s">
        <v>633</v>
      </c>
      <c r="C14" t="s">
        <v>725</v>
      </c>
      <c r="D14" t="s">
        <v>713</v>
      </c>
      <c r="E14">
        <v>247.96</v>
      </c>
      <c r="F14" s="9" t="s">
        <v>71</v>
      </c>
      <c r="G14" s="7">
        <v>139093540864</v>
      </c>
      <c r="H14" s="6">
        <v>274.98</v>
      </c>
      <c r="I14" s="6">
        <v>206.39</v>
      </c>
      <c r="J14" s="12">
        <f t="shared" si="0"/>
        <v>0.20141479722854805</v>
      </c>
      <c r="K14" s="11">
        <v>1.8954670108081949E-2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6.0024673943928318E-2</v>
      </c>
      <c r="Q14" s="12">
        <v>0.49985886337975161</v>
      </c>
      <c r="R14" s="14">
        <v>9</v>
      </c>
    </row>
    <row r="15" spans="1:22" x14ac:dyDescent="0.5">
      <c r="B15" s="1" t="s">
        <v>629</v>
      </c>
      <c r="C15" t="s">
        <v>721</v>
      </c>
      <c r="D15" t="s">
        <v>164</v>
      </c>
      <c r="E15">
        <v>102.94</v>
      </c>
      <c r="F15" s="9" t="s">
        <v>71</v>
      </c>
      <c r="G15" s="7">
        <v>34165078016</v>
      </c>
      <c r="H15" s="6">
        <v>150.44999999999999</v>
      </c>
      <c r="I15" s="6">
        <v>99.22</v>
      </c>
      <c r="J15" s="12">
        <f t="shared" si="0"/>
        <v>3.7492441040112956E-2</v>
      </c>
      <c r="K15" s="11">
        <v>4.8571983679813482E-2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7.8515493750558468E-2</v>
      </c>
      <c r="Q15" s="12">
        <v>0.38597126644935409</v>
      </c>
      <c r="R15" s="14">
        <v>8</v>
      </c>
    </row>
    <row r="16" spans="1:22" x14ac:dyDescent="0.5">
      <c r="B16" s="1" t="s">
        <v>209</v>
      </c>
      <c r="C16" t="s">
        <v>239</v>
      </c>
      <c r="D16" t="s">
        <v>240</v>
      </c>
      <c r="E16">
        <v>9.65</v>
      </c>
      <c r="F16" s="9" t="s">
        <v>71</v>
      </c>
      <c r="G16" s="7">
        <v>3116634368</v>
      </c>
      <c r="H16" s="6">
        <v>11.95</v>
      </c>
      <c r="I16" s="6">
        <v>7.85</v>
      </c>
      <c r="J16" s="12">
        <f t="shared" si="0"/>
        <v>0.22929936305732501</v>
      </c>
      <c r="K16" s="11">
        <v>9.7409326424870463E-2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0.17822685848402792</v>
      </c>
      <c r="Q16" s="12">
        <v>0.18886359567230221</v>
      </c>
      <c r="R16" s="14">
        <v>11</v>
      </c>
    </row>
    <row r="17" spans="1:18" x14ac:dyDescent="0.5">
      <c r="B17" s="1" t="s">
        <v>593</v>
      </c>
      <c r="C17" t="s">
        <v>677</v>
      </c>
      <c r="D17" t="s">
        <v>49</v>
      </c>
      <c r="E17">
        <v>252.4</v>
      </c>
      <c r="F17" s="9" t="s">
        <v>71</v>
      </c>
      <c r="G17" s="7">
        <v>73574596608</v>
      </c>
      <c r="H17" s="6">
        <v>278.13</v>
      </c>
      <c r="I17" s="6">
        <v>214.66</v>
      </c>
      <c r="J17" s="12">
        <f t="shared" si="0"/>
        <v>0.17581291344451699</v>
      </c>
      <c r="K17" s="11">
        <v>2.4207606973058637E-2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5.8299033732281957E-2</v>
      </c>
      <c r="Q17" s="12">
        <v>0.42087843277574022</v>
      </c>
      <c r="R17" s="14">
        <v>12</v>
      </c>
    </row>
    <row r="18" spans="1:18" x14ac:dyDescent="0.5">
      <c r="B18" s="1" t="s">
        <v>606</v>
      </c>
      <c r="C18" t="s">
        <v>694</v>
      </c>
      <c r="D18" t="s">
        <v>448</v>
      </c>
      <c r="E18">
        <v>5340.98</v>
      </c>
      <c r="F18" s="9" t="s">
        <v>71</v>
      </c>
      <c r="G18" s="7">
        <v>173100548096</v>
      </c>
      <c r="H18" s="6">
        <v>5839.41</v>
      </c>
      <c r="I18" s="6">
        <v>4096.2299999999996</v>
      </c>
      <c r="J18" s="12">
        <f t="shared" si="0"/>
        <v>0.30387697956413584</v>
      </c>
      <c r="K18" s="11">
        <v>7.0305449561690924E-3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4.9345598153485201E-2</v>
      </c>
      <c r="Q18" s="12">
        <v>0.68269995229766256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33.49</v>
      </c>
      <c r="F19" s="9" t="s">
        <v>71</v>
      </c>
      <c r="G19" s="7">
        <v>1197959168</v>
      </c>
      <c r="H19" s="6">
        <v>37.22</v>
      </c>
      <c r="I19" s="6">
        <v>17.73</v>
      </c>
      <c r="J19" s="12">
        <f t="shared" si="0"/>
        <v>0.88888888888888906</v>
      </c>
      <c r="K19" s="11">
        <v>6.3451776649746189E-2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0.22652859604203041</v>
      </c>
      <c r="Q19" s="12">
        <v>0.18435624112536766</v>
      </c>
      <c r="R19" s="14">
        <v>13</v>
      </c>
    </row>
    <row r="20" spans="1:18" x14ac:dyDescent="0.5">
      <c r="B20" s="1" t="s">
        <v>615</v>
      </c>
      <c r="C20" t="s">
        <v>705</v>
      </c>
      <c r="D20" t="s">
        <v>182</v>
      </c>
      <c r="E20">
        <v>438.42</v>
      </c>
      <c r="F20" s="9" t="s">
        <v>71</v>
      </c>
      <c r="G20" s="7">
        <v>14883886080</v>
      </c>
      <c r="H20" s="6">
        <v>500.55</v>
      </c>
      <c r="I20" s="6">
        <v>392.89</v>
      </c>
      <c r="J20" s="12">
        <f t="shared" si="0"/>
        <v>0.11588485326681774</v>
      </c>
      <c r="K20" s="11">
        <v>1.5350577072213859E-2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4.614651672087268E-2</v>
      </c>
      <c r="Q20" s="12">
        <v>0.90626101256901215</v>
      </c>
      <c r="R20" s="14">
        <v>16</v>
      </c>
    </row>
    <row r="21" spans="1:18" x14ac:dyDescent="0.5">
      <c r="B21" s="1" t="s">
        <v>398</v>
      </c>
      <c r="C21" t="s">
        <v>411</v>
      </c>
      <c r="D21" t="s">
        <v>313</v>
      </c>
      <c r="E21">
        <v>100.96</v>
      </c>
      <c r="F21" s="9" t="s">
        <v>71</v>
      </c>
      <c r="G21" s="7">
        <v>85653012480</v>
      </c>
      <c r="H21" s="6">
        <v>136.99</v>
      </c>
      <c r="I21" s="6">
        <v>82</v>
      </c>
      <c r="J21" s="12">
        <f t="shared" si="0"/>
        <v>0.23121951219512193</v>
      </c>
      <c r="K21" s="11">
        <v>6.4877179080824091E-2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7.8978629893117408E-2</v>
      </c>
      <c r="Q21" s="12">
        <v>0.21862007262775643</v>
      </c>
      <c r="R21" s="14">
        <v>15</v>
      </c>
    </row>
    <row r="22" spans="1:18" x14ac:dyDescent="0.5">
      <c r="B22" s="1" t="s">
        <v>210</v>
      </c>
      <c r="C22" t="s">
        <v>241</v>
      </c>
      <c r="D22" t="s">
        <v>85</v>
      </c>
      <c r="E22">
        <v>76.62</v>
      </c>
      <c r="F22" s="9" t="s">
        <v>71</v>
      </c>
      <c r="G22" s="7">
        <v>892183168</v>
      </c>
      <c r="H22" s="6">
        <v>91.26</v>
      </c>
      <c r="I22" s="6">
        <v>58.47</v>
      </c>
      <c r="J22" s="12">
        <f t="shared" si="0"/>
        <v>0.3104155977424321</v>
      </c>
      <c r="K22" s="11">
        <v>1.1746280344557556E-2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8.2305473761940556E-2</v>
      </c>
      <c r="Q22" s="12">
        <v>0.18756220051603392</v>
      </c>
      <c r="R22" s="14">
        <v>17</v>
      </c>
    </row>
    <row r="23" spans="1:18" x14ac:dyDescent="0.5">
      <c r="B23" s="1" t="s">
        <v>635</v>
      </c>
      <c r="C23" t="s">
        <v>727</v>
      </c>
      <c r="D23" t="s">
        <v>728</v>
      </c>
      <c r="E23">
        <v>806.52</v>
      </c>
      <c r="F23" s="9" t="s">
        <v>71</v>
      </c>
      <c r="G23" s="7">
        <v>100318502912</v>
      </c>
      <c r="H23" s="6">
        <v>895.58</v>
      </c>
      <c r="I23" s="6">
        <v>565.75</v>
      </c>
      <c r="J23" s="12">
        <f t="shared" si="0"/>
        <v>0.42557666813963757</v>
      </c>
      <c r="K23" s="11">
        <v>3.6576898279025941E-3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4.5325555595971102E-2</v>
      </c>
      <c r="Q23" s="12">
        <v>1.2916201117318435</v>
      </c>
      <c r="R23" s="14">
        <v>16</v>
      </c>
    </row>
    <row r="24" spans="1:18" x14ac:dyDescent="0.5">
      <c r="B24" s="1" t="s">
        <v>612</v>
      </c>
      <c r="C24" t="s">
        <v>702</v>
      </c>
      <c r="D24" t="s">
        <v>433</v>
      </c>
      <c r="E24">
        <v>94.96</v>
      </c>
      <c r="F24" s="9" t="s">
        <v>71</v>
      </c>
      <c r="G24" s="7">
        <v>118599565312</v>
      </c>
      <c r="H24" s="6">
        <v>106.2</v>
      </c>
      <c r="I24" s="6">
        <v>79.88</v>
      </c>
      <c r="J24" s="12">
        <f t="shared" si="0"/>
        <v>0.18878317476214312</v>
      </c>
      <c r="K24" s="11">
        <v>3.2855939342881217E-2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0.10763450109910655</v>
      </c>
      <c r="Q24" s="12">
        <v>0.16761170333408937</v>
      </c>
      <c r="R24" s="14">
        <v>17</v>
      </c>
    </row>
    <row r="25" spans="1:18" x14ac:dyDescent="0.5">
      <c r="B25" s="1" t="s">
        <v>590</v>
      </c>
      <c r="C25" t="s">
        <v>674</v>
      </c>
      <c r="D25" t="s">
        <v>405</v>
      </c>
      <c r="E25">
        <v>265.47000000000003</v>
      </c>
      <c r="F25" s="9" t="s">
        <v>71</v>
      </c>
      <c r="G25" s="7">
        <v>107539111936</v>
      </c>
      <c r="H25" s="6">
        <v>329.93</v>
      </c>
      <c r="I25" s="6">
        <v>247.18</v>
      </c>
      <c r="J25" s="12">
        <f t="shared" si="0"/>
        <v>7.3994659762116832E-2</v>
      </c>
      <c r="K25" s="11">
        <v>2.3204128526763852E-2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5.0910889972316138E-2</v>
      </c>
      <c r="Q25" s="12">
        <v>0.38614537710451241</v>
      </c>
      <c r="R25" s="14">
        <v>18</v>
      </c>
    </row>
    <row r="26" spans="1:18" x14ac:dyDescent="0.5">
      <c r="B26" s="1" t="s">
        <v>647</v>
      </c>
      <c r="C26" t="s">
        <v>744</v>
      </c>
      <c r="D26" t="s">
        <v>745</v>
      </c>
      <c r="E26">
        <v>155.72999999999999</v>
      </c>
      <c r="F26" s="9" t="s">
        <v>71</v>
      </c>
      <c r="G26" s="7">
        <v>32729483264</v>
      </c>
      <c r="H26" s="6">
        <v>209.61</v>
      </c>
      <c r="I26" s="6">
        <v>126.01</v>
      </c>
      <c r="J26" s="12">
        <f t="shared" si="0"/>
        <v>0.23585429727799379</v>
      </c>
      <c r="K26" s="11">
        <v>7.0635073524690176E-3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4.7667415529004657E-2</v>
      </c>
      <c r="Q26" s="12">
        <v>0.36189612214910882</v>
      </c>
      <c r="R26" s="14">
        <v>23</v>
      </c>
    </row>
    <row r="27" spans="1:18" x14ac:dyDescent="0.5">
      <c r="B27" s="1" t="s">
        <v>417</v>
      </c>
      <c r="C27" t="s">
        <v>424</v>
      </c>
      <c r="D27" t="s">
        <v>233</v>
      </c>
      <c r="E27">
        <v>117.41</v>
      </c>
      <c r="F27" s="9" t="s">
        <v>71</v>
      </c>
      <c r="G27" s="7">
        <v>500547846144</v>
      </c>
      <c r="H27" s="6">
        <v>120.81</v>
      </c>
      <c r="I27" s="6">
        <v>97.8</v>
      </c>
      <c r="J27" s="12">
        <f t="shared" si="0"/>
        <v>0.2005112474437627</v>
      </c>
      <c r="K27" s="11">
        <v>3.3727961843113878E-2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9.6044355721657287E-2</v>
      </c>
      <c r="Q27" s="12">
        <v>0.16542273704322905</v>
      </c>
      <c r="R27" s="14">
        <v>20</v>
      </c>
    </row>
    <row r="28" spans="1:18" x14ac:dyDescent="0.5">
      <c r="A28" s="1" t="s">
        <v>755</v>
      </c>
      <c r="B28" s="1" t="s">
        <v>596</v>
      </c>
      <c r="C28" t="s">
        <v>681</v>
      </c>
      <c r="D28" t="s">
        <v>682</v>
      </c>
      <c r="E28">
        <v>236.28</v>
      </c>
      <c r="F28" s="9" t="s">
        <v>71</v>
      </c>
      <c r="G28" s="7">
        <v>8817499136</v>
      </c>
      <c r="H28" s="6">
        <v>374.74</v>
      </c>
      <c r="I28" s="6">
        <v>229.63</v>
      </c>
      <c r="J28" s="12">
        <f t="shared" si="0"/>
        <v>2.8959630710273077E-2</v>
      </c>
      <c r="K28" s="11">
        <v>2.0738107330286103E-2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6.1649132764096497E-2</v>
      </c>
      <c r="Q28" s="12">
        <v>0.27754212232009678</v>
      </c>
      <c r="R28" s="14">
        <v>18</v>
      </c>
    </row>
    <row r="29" spans="1:18" x14ac:dyDescent="0.5">
      <c r="B29" s="1" t="s">
        <v>395</v>
      </c>
      <c r="C29" t="s">
        <v>408</v>
      </c>
      <c r="D29" t="s">
        <v>405</v>
      </c>
      <c r="E29">
        <v>354.66</v>
      </c>
      <c r="F29" s="9" t="s">
        <v>71</v>
      </c>
      <c r="G29" s="7">
        <v>150446768128</v>
      </c>
      <c r="H29" s="6">
        <v>465.7</v>
      </c>
      <c r="I29" s="6">
        <v>311.58999999999997</v>
      </c>
      <c r="J29" s="12">
        <f t="shared" si="0"/>
        <v>0.13822651561346655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4.7686285560577642E-2</v>
      </c>
      <c r="Q29" s="12">
        <v>0.3598033750570111</v>
      </c>
      <c r="R29" s="14">
        <v>23</v>
      </c>
    </row>
    <row r="30" spans="1:18" x14ac:dyDescent="0.5">
      <c r="B30" s="1" t="s">
        <v>622</v>
      </c>
      <c r="C30" t="s">
        <v>712</v>
      </c>
      <c r="D30" t="s">
        <v>713</v>
      </c>
      <c r="E30">
        <v>356.75</v>
      </c>
      <c r="F30" s="9" t="s">
        <v>71</v>
      </c>
      <c r="G30" s="7">
        <v>355148726272</v>
      </c>
      <c r="H30" s="6">
        <v>426.75</v>
      </c>
      <c r="I30" s="6">
        <v>326.31</v>
      </c>
      <c r="J30" s="12">
        <f t="shared" si="0"/>
        <v>9.3285526033526356E-2</v>
      </c>
      <c r="K30" s="11">
        <v>2.5788367203924314E-2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5.2256035172302651E-2</v>
      </c>
      <c r="Q30" s="12">
        <v>0.36197790846842043</v>
      </c>
      <c r="R30" s="14">
        <v>19</v>
      </c>
    </row>
    <row r="31" spans="1:18" x14ac:dyDescent="0.5">
      <c r="B31" s="1" t="s">
        <v>632</v>
      </c>
      <c r="C31" t="s">
        <v>724</v>
      </c>
      <c r="D31" t="s">
        <v>538</v>
      </c>
      <c r="E31">
        <v>474.79</v>
      </c>
      <c r="F31" s="9" t="s">
        <v>71</v>
      </c>
      <c r="G31" s="7">
        <v>110846877696</v>
      </c>
      <c r="H31" s="6">
        <v>516</v>
      </c>
      <c r="I31" s="6">
        <v>410.11</v>
      </c>
      <c r="J31" s="12">
        <f t="shared" si="0"/>
        <v>0.15771378410670311</v>
      </c>
      <c r="K31" s="11">
        <v>2.7801764990838054E-2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5.6408157244144344E-2</v>
      </c>
      <c r="Q31" s="12">
        <v>0.27275119347442017</v>
      </c>
      <c r="R31" s="14">
        <v>21</v>
      </c>
    </row>
    <row r="32" spans="1:18" x14ac:dyDescent="0.5">
      <c r="B32" s="1" t="s">
        <v>402</v>
      </c>
      <c r="C32" t="s">
        <v>415</v>
      </c>
      <c r="D32" t="s">
        <v>164</v>
      </c>
      <c r="E32">
        <v>147.81</v>
      </c>
      <c r="F32" s="9" t="s">
        <v>71</v>
      </c>
      <c r="G32" s="7">
        <v>345947144192</v>
      </c>
      <c r="H32" s="6">
        <v>179.99</v>
      </c>
      <c r="I32" s="6">
        <v>138.13999999999999</v>
      </c>
      <c r="J32" s="12">
        <f t="shared" si="0"/>
        <v>7.0001447806573136E-2</v>
      </c>
      <c r="K32" s="11">
        <v>2.7920979636019212E-2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5.667275820144909E-2</v>
      </c>
      <c r="Q32" s="12">
        <v>0.24578386321755966</v>
      </c>
      <c r="R32" s="14">
        <v>22</v>
      </c>
    </row>
    <row r="33" spans="1:18" x14ac:dyDescent="0.5">
      <c r="B33" s="1" t="s">
        <v>211</v>
      </c>
      <c r="C33" t="s">
        <v>242</v>
      </c>
      <c r="D33" t="s">
        <v>233</v>
      </c>
      <c r="E33">
        <v>149.52000000000001</v>
      </c>
      <c r="F33" s="9" t="s">
        <v>71</v>
      </c>
      <c r="G33" s="7">
        <v>301256245248</v>
      </c>
      <c r="H33" s="6">
        <v>168.96</v>
      </c>
      <c r="I33" s="6">
        <v>132.04</v>
      </c>
      <c r="J33" s="12">
        <f t="shared" si="0"/>
        <v>0.13238412602241767</v>
      </c>
      <c r="K33" s="11">
        <v>4.5211342964151947E-2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8.8083288605429313E-2</v>
      </c>
      <c r="Q33" s="12">
        <v>0.1594281013304587</v>
      </c>
      <c r="R33" s="14">
        <v>21</v>
      </c>
    </row>
    <row r="34" spans="1:18" x14ac:dyDescent="0.5">
      <c r="B34" s="1" t="s">
        <v>591</v>
      </c>
      <c r="C34" t="s">
        <v>675</v>
      </c>
      <c r="D34" t="s">
        <v>74</v>
      </c>
      <c r="E34">
        <v>155.66</v>
      </c>
      <c r="F34" s="9" t="s">
        <v>71</v>
      </c>
      <c r="G34" s="7">
        <v>173240057856</v>
      </c>
      <c r="H34" s="6">
        <v>157.83000000000001</v>
      </c>
      <c r="I34" s="6">
        <v>112.1</v>
      </c>
      <c r="J34" s="12">
        <f t="shared" ref="J34:J65" si="1">E34/I34-1</f>
        <v>0.38858162355040138</v>
      </c>
      <c r="K34" s="11">
        <v>1.0600025697031992E-2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3.6301134582454118E-2</v>
      </c>
      <c r="Q34" s="12">
        <v>0.58255617728039788</v>
      </c>
      <c r="R34" s="14">
        <v>25</v>
      </c>
    </row>
    <row r="35" spans="1:18" x14ac:dyDescent="0.5">
      <c r="B35" s="1" t="s">
        <v>652</v>
      </c>
      <c r="C35" t="s">
        <v>751</v>
      </c>
      <c r="D35" t="s">
        <v>193</v>
      </c>
      <c r="E35">
        <v>172.34</v>
      </c>
      <c r="F35" s="9" t="s">
        <v>71</v>
      </c>
      <c r="G35" s="7">
        <v>185954861056</v>
      </c>
      <c r="H35" s="6">
        <v>205.95</v>
      </c>
      <c r="I35" s="6">
        <v>120.8</v>
      </c>
      <c r="J35" s="12">
        <f t="shared" si="1"/>
        <v>0.42665562913907285</v>
      </c>
      <c r="K35" s="11">
        <v>2.0192642450969016E-2</v>
      </c>
      <c r="L35" s="13">
        <v>13327000000</v>
      </c>
      <c r="M35" s="13">
        <v>36017000000</v>
      </c>
      <c r="N35" s="9" t="s">
        <v>71</v>
      </c>
      <c r="O35" s="6">
        <v>1</v>
      </c>
      <c r="P35" s="12">
        <v>6.8257528881380883E-2</v>
      </c>
      <c r="Q35" s="12">
        <v>0.37001971291334645</v>
      </c>
      <c r="R35" s="14">
        <v>10</v>
      </c>
    </row>
    <row r="36" spans="1:18" x14ac:dyDescent="0.5">
      <c r="B36" s="1" t="s">
        <v>453</v>
      </c>
      <c r="C36" t="s">
        <v>454</v>
      </c>
      <c r="D36" t="s">
        <v>316</v>
      </c>
      <c r="E36">
        <v>246.38</v>
      </c>
      <c r="F36" s="9" t="s">
        <v>71</v>
      </c>
      <c r="G36" s="7">
        <v>54842159104</v>
      </c>
      <c r="H36" s="6">
        <v>341.14</v>
      </c>
      <c r="I36" s="6">
        <v>229.11</v>
      </c>
      <c r="J36" s="12">
        <f t="shared" si="1"/>
        <v>7.5378639081663756E-2</v>
      </c>
      <c r="K36" s="11">
        <v>2.8979624969559217E-2</v>
      </c>
      <c r="L36" s="13">
        <v>-226700000</v>
      </c>
      <c r="M36" s="13">
        <v>32723300000</v>
      </c>
      <c r="N36" s="9" t="s">
        <v>71</v>
      </c>
      <c r="O36" s="6">
        <v>1</v>
      </c>
      <c r="P36" s="12">
        <v>-3.1754098456076704E-3</v>
      </c>
      <c r="Q36" s="12">
        <v>-6.9277854006166862E-3</v>
      </c>
      <c r="R36" s="14">
        <v>78</v>
      </c>
    </row>
    <row r="37" spans="1:18" x14ac:dyDescent="0.5">
      <c r="A37" s="1" t="s">
        <v>755</v>
      </c>
      <c r="B37" s="1" t="s">
        <v>420</v>
      </c>
      <c r="C37" t="s">
        <v>428</v>
      </c>
      <c r="D37" t="s">
        <v>429</v>
      </c>
      <c r="E37">
        <v>224.9</v>
      </c>
      <c r="F37" s="9" t="s">
        <v>71</v>
      </c>
      <c r="G37" s="7">
        <v>14312341504</v>
      </c>
      <c r="H37" s="6">
        <v>246.33</v>
      </c>
      <c r="I37" s="6">
        <v>152.33000000000001</v>
      </c>
      <c r="J37" s="12">
        <f t="shared" si="1"/>
        <v>0.47639992122365915</v>
      </c>
      <c r="K37" s="11">
        <v>3.5571365051133837E-3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8.778955464053928E-2</v>
      </c>
      <c r="Q37" s="12">
        <v>0.15043298801476856</v>
      </c>
      <c r="R37" s="14">
        <v>23</v>
      </c>
    </row>
    <row r="38" spans="1:18" x14ac:dyDescent="0.5">
      <c r="B38" s="1" t="s">
        <v>595</v>
      </c>
      <c r="C38" t="s">
        <v>679</v>
      </c>
      <c r="D38" t="s">
        <v>680</v>
      </c>
      <c r="E38">
        <v>219.17</v>
      </c>
      <c r="F38" s="9" t="s">
        <v>71</v>
      </c>
      <c r="G38" s="7">
        <v>30621331456</v>
      </c>
      <c r="H38" s="6">
        <v>322.92</v>
      </c>
      <c r="I38" s="6">
        <v>197</v>
      </c>
      <c r="J38" s="12">
        <f t="shared" si="1"/>
        <v>0.11253807106598979</v>
      </c>
      <c r="K38" s="11">
        <v>7.9390427522014872E-3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4.0302679369396438E-2</v>
      </c>
      <c r="Q38" s="12">
        <v>0.43374575293288031</v>
      </c>
      <c r="R38" s="14">
        <v>24</v>
      </c>
    </row>
    <row r="39" spans="1:18" x14ac:dyDescent="0.5">
      <c r="B39" s="1" t="s">
        <v>643</v>
      </c>
      <c r="C39" t="s">
        <v>738</v>
      </c>
      <c r="D39" t="s">
        <v>538</v>
      </c>
      <c r="E39">
        <v>564.19000000000005</v>
      </c>
      <c r="F39" s="9" t="s">
        <v>71</v>
      </c>
      <c r="G39" s="7">
        <v>80782401536</v>
      </c>
      <c r="H39" s="6">
        <v>640.9</v>
      </c>
      <c r="I39" s="6">
        <v>426.24</v>
      </c>
      <c r="J39" s="12">
        <f t="shared" si="1"/>
        <v>0.32364395645645661</v>
      </c>
      <c r="K39" s="11">
        <v>1.5491235222176925E-2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6.0665478972290222E-2</v>
      </c>
      <c r="Q39" s="12">
        <v>0.18801280768461076</v>
      </c>
      <c r="R39" s="14">
        <v>23</v>
      </c>
    </row>
    <row r="40" spans="1:18" x14ac:dyDescent="0.5">
      <c r="B40" s="1" t="s">
        <v>594</v>
      </c>
      <c r="C40" t="s">
        <v>678</v>
      </c>
      <c r="D40" t="s">
        <v>450</v>
      </c>
      <c r="E40">
        <v>36.5</v>
      </c>
      <c r="F40" s="9" t="s">
        <v>71</v>
      </c>
      <c r="G40" s="7">
        <v>68046110720</v>
      </c>
      <c r="H40" s="6">
        <v>37.54</v>
      </c>
      <c r="I40" s="6">
        <v>26.22</v>
      </c>
      <c r="J40" s="12">
        <f t="shared" si="1"/>
        <v>0.39206712433257063</v>
      </c>
      <c r="K40" s="11">
        <v>1.3972602739726028E-2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6.2565249039228193E-2</v>
      </c>
      <c r="Q40" s="12">
        <v>0.17374616997258507</v>
      </c>
      <c r="R40" s="14">
        <v>26</v>
      </c>
    </row>
    <row r="41" spans="1:18" x14ac:dyDescent="0.5">
      <c r="B41" s="1" t="s">
        <v>403</v>
      </c>
      <c r="C41" t="s">
        <v>416</v>
      </c>
      <c r="D41" t="s">
        <v>145</v>
      </c>
      <c r="E41">
        <v>150.08000000000001</v>
      </c>
      <c r="F41" s="9" t="s">
        <v>71</v>
      </c>
      <c r="G41" s="7">
        <v>205471121408</v>
      </c>
      <c r="H41" s="6">
        <v>160.15</v>
      </c>
      <c r="I41" s="6">
        <v>127.6</v>
      </c>
      <c r="J41" s="12">
        <f t="shared" si="1"/>
        <v>0.17617554858934192</v>
      </c>
      <c r="K41" s="11">
        <v>3.7013592750533043E-2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5.3180029033123487E-2</v>
      </c>
      <c r="Q41" s="12">
        <v>0.20634513288530323</v>
      </c>
      <c r="R41" s="14">
        <v>25</v>
      </c>
    </row>
    <row r="42" spans="1:18" x14ac:dyDescent="0.5">
      <c r="B42" s="1" t="s">
        <v>613</v>
      </c>
      <c r="C42" t="s">
        <v>703</v>
      </c>
      <c r="D42" t="s">
        <v>367</v>
      </c>
      <c r="E42">
        <v>308.58</v>
      </c>
      <c r="F42" s="9" t="s">
        <v>71</v>
      </c>
      <c r="G42" s="7">
        <v>21790185472</v>
      </c>
      <c r="H42" s="6">
        <v>400.81</v>
      </c>
      <c r="I42" s="6">
        <v>252.84</v>
      </c>
      <c r="J42" s="12">
        <f t="shared" si="1"/>
        <v>0.22045562411010899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6.2628115369922577E-2</v>
      </c>
      <c r="Q42" s="12">
        <v>0.15902940183418116</v>
      </c>
      <c r="R42" s="14">
        <v>30</v>
      </c>
    </row>
    <row r="43" spans="1:18" x14ac:dyDescent="0.5">
      <c r="B43" s="1" t="s">
        <v>634</v>
      </c>
      <c r="C43" t="s">
        <v>726</v>
      </c>
      <c r="D43" t="s">
        <v>182</v>
      </c>
      <c r="E43">
        <v>318.69</v>
      </c>
      <c r="F43" s="9" t="s">
        <v>71</v>
      </c>
      <c r="G43" s="7">
        <v>227418587136</v>
      </c>
      <c r="H43" s="6">
        <v>326.32</v>
      </c>
      <c r="I43" s="6">
        <v>276.52999999999997</v>
      </c>
      <c r="J43" s="12">
        <f t="shared" si="1"/>
        <v>0.15246085415687283</v>
      </c>
      <c r="K43" s="11">
        <v>2.2215946531111738E-2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4.2586360534907594E-2</v>
      </c>
      <c r="Q43" s="12">
        <v>0.34223749566824535</v>
      </c>
      <c r="R43" s="14">
        <v>29</v>
      </c>
    </row>
    <row r="44" spans="1:18" x14ac:dyDescent="0.5">
      <c r="B44" s="1" t="s">
        <v>638</v>
      </c>
      <c r="C44" t="s">
        <v>732</v>
      </c>
      <c r="D44" t="s">
        <v>696</v>
      </c>
      <c r="E44">
        <v>186.36</v>
      </c>
      <c r="F44" s="9" t="s">
        <v>71</v>
      </c>
      <c r="G44" s="7">
        <v>91619057664</v>
      </c>
      <c r="H44" s="6">
        <v>248</v>
      </c>
      <c r="I44" s="6">
        <v>174.18</v>
      </c>
      <c r="J44" s="12">
        <f t="shared" si="1"/>
        <v>6.9927661040303235E-2</v>
      </c>
      <c r="K44" s="11">
        <v>1.840523717535952E-2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5.5634046541039948E-2</v>
      </c>
      <c r="Q44" s="12">
        <v>0.18564691039081979</v>
      </c>
      <c r="R44" s="14">
        <v>28</v>
      </c>
    </row>
    <row r="45" spans="1:18" x14ac:dyDescent="0.5">
      <c r="B45" s="1" t="s">
        <v>403</v>
      </c>
      <c r="C45" t="s">
        <v>416</v>
      </c>
      <c r="D45" t="s">
        <v>145</v>
      </c>
      <c r="E45">
        <v>150.08000000000001</v>
      </c>
      <c r="F45" s="9" t="s">
        <v>71</v>
      </c>
      <c r="G45" s="7">
        <v>205471121408</v>
      </c>
      <c r="H45" s="6">
        <v>160.15</v>
      </c>
      <c r="I45" s="6">
        <v>127.6</v>
      </c>
      <c r="J45" s="12">
        <f t="shared" si="1"/>
        <v>0.17617554858934192</v>
      </c>
      <c r="K45" s="11">
        <v>3.7013592750533043E-2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5.3180029033123487E-2</v>
      </c>
      <c r="Q45" s="12">
        <v>0.20634513288530323</v>
      </c>
      <c r="R45" s="14">
        <v>25</v>
      </c>
    </row>
    <row r="46" spans="1:18" x14ac:dyDescent="0.5">
      <c r="B46" s="1" t="s">
        <v>401</v>
      </c>
      <c r="C46" t="s">
        <v>414</v>
      </c>
      <c r="D46" t="s">
        <v>85</v>
      </c>
      <c r="E46">
        <v>48.61</v>
      </c>
      <c r="F46" s="9" t="s">
        <v>71</v>
      </c>
      <c r="G46" s="7">
        <v>25938296832</v>
      </c>
      <c r="H46" s="6">
        <v>67.349999999999994</v>
      </c>
      <c r="I46" s="6">
        <v>45.15</v>
      </c>
      <c r="J46" s="12">
        <f t="shared" si="1"/>
        <v>7.663344407530448E-2</v>
      </c>
      <c r="K46" s="11">
        <v>4.9578276074881716E-2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8.279200369662347E-2</v>
      </c>
      <c r="Q46" s="12">
        <v>0.14053609549045179</v>
      </c>
      <c r="R46" s="14">
        <v>27</v>
      </c>
    </row>
    <row r="47" spans="1:18" x14ac:dyDescent="0.5">
      <c r="B47" s="1" t="s">
        <v>636</v>
      </c>
      <c r="C47" t="s">
        <v>729</v>
      </c>
      <c r="D47" t="s">
        <v>730</v>
      </c>
      <c r="E47">
        <v>53.82</v>
      </c>
      <c r="F47" s="9" t="s">
        <v>71</v>
      </c>
      <c r="G47" s="7">
        <v>69640142848</v>
      </c>
      <c r="H47" s="6">
        <v>71.150000000000006</v>
      </c>
      <c r="I47" s="6">
        <v>53.13</v>
      </c>
      <c r="J47" s="12">
        <f t="shared" si="1"/>
        <v>1.298701298701288E-2</v>
      </c>
      <c r="K47" s="11">
        <v>3.5488665923448529E-2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7.8108824526726364E-2</v>
      </c>
      <c r="Q47" s="12">
        <v>0.15149616167946106</v>
      </c>
      <c r="R47" s="14">
        <v>27</v>
      </c>
    </row>
    <row r="48" spans="1:18" x14ac:dyDescent="0.5">
      <c r="B48" s="1" t="s">
        <v>649</v>
      </c>
      <c r="C48" t="s">
        <v>747</v>
      </c>
      <c r="D48" t="s">
        <v>405</v>
      </c>
      <c r="E48">
        <v>116.7</v>
      </c>
      <c r="F48" s="9" t="s">
        <v>71</v>
      </c>
      <c r="G48" s="7">
        <v>41999646720</v>
      </c>
      <c r="H48" s="6">
        <v>161.24</v>
      </c>
      <c r="I48" s="6">
        <v>108</v>
      </c>
      <c r="J48" s="12">
        <f t="shared" si="1"/>
        <v>8.0555555555555491E-2</v>
      </c>
      <c r="K48" s="11">
        <v>3.5304198800342759E-2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5.0256263634222739E-2</v>
      </c>
      <c r="Q48" s="12">
        <v>0.25083564234507633</v>
      </c>
      <c r="R48" s="14">
        <v>25</v>
      </c>
    </row>
    <row r="49" spans="2:18" x14ac:dyDescent="0.5">
      <c r="B49" s="1" t="s">
        <v>208</v>
      </c>
      <c r="C49" t="s">
        <v>237</v>
      </c>
      <c r="D49" t="s">
        <v>238</v>
      </c>
      <c r="E49">
        <v>48.06</v>
      </c>
      <c r="F49" s="9" t="s">
        <v>71</v>
      </c>
      <c r="G49" s="7">
        <v>9504144384</v>
      </c>
      <c r="H49" s="6">
        <v>64.66</v>
      </c>
      <c r="I49" s="6">
        <v>42.94</v>
      </c>
      <c r="J49" s="12">
        <f t="shared" si="1"/>
        <v>0.11923614345598521</v>
      </c>
      <c r="K49" s="11">
        <v>3.8493549729504785E-2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0.12124817475495069</v>
      </c>
      <c r="Q49" s="12">
        <v>9.2819086727135694E-2</v>
      </c>
      <c r="R49" s="14">
        <v>31</v>
      </c>
    </row>
    <row r="50" spans="2:18" x14ac:dyDescent="0.5">
      <c r="B50" s="1" t="s">
        <v>579</v>
      </c>
      <c r="C50" t="s">
        <v>658</v>
      </c>
      <c r="D50" t="s">
        <v>240</v>
      </c>
      <c r="E50">
        <v>565.47</v>
      </c>
      <c r="F50" s="9" t="s">
        <v>71</v>
      </c>
      <c r="G50" s="7">
        <v>511191547904</v>
      </c>
      <c r="H50" s="6">
        <v>601.77</v>
      </c>
      <c r="I50" s="6">
        <v>465.59</v>
      </c>
      <c r="J50" s="12">
        <f t="shared" si="1"/>
        <v>0.21452350780729845</v>
      </c>
      <c r="K50" s="11">
        <v>5.3760588536969243E-3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3.0519666544752862E-2</v>
      </c>
      <c r="Q50" s="12">
        <v>0.64343814495568774</v>
      </c>
      <c r="R50" s="14">
        <v>34</v>
      </c>
    </row>
    <row r="51" spans="2:18" x14ac:dyDescent="0.5">
      <c r="B51" s="1" t="s">
        <v>623</v>
      </c>
      <c r="C51" t="s">
        <v>714</v>
      </c>
      <c r="D51" t="s">
        <v>168</v>
      </c>
      <c r="E51">
        <v>199.89</v>
      </c>
      <c r="F51" s="9" t="s">
        <v>71</v>
      </c>
      <c r="G51" s="7">
        <v>134699810816</v>
      </c>
      <c r="H51" s="6">
        <v>227.82281</v>
      </c>
      <c r="I51" s="6">
        <v>169.04807</v>
      </c>
      <c r="J51" s="12">
        <f t="shared" si="1"/>
        <v>0.18244473302771214</v>
      </c>
      <c r="K51" s="11">
        <v>2.2612436840262144E-2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5.2897901018409715E-2</v>
      </c>
      <c r="Q51" s="12">
        <v>0.16635826058972605</v>
      </c>
      <c r="R51" s="14">
        <v>35</v>
      </c>
    </row>
    <row r="52" spans="2:18" x14ac:dyDescent="0.5">
      <c r="B52" s="1" t="s">
        <v>212</v>
      </c>
      <c r="C52" t="s">
        <v>243</v>
      </c>
      <c r="D52" t="s">
        <v>85</v>
      </c>
      <c r="E52">
        <v>12.77</v>
      </c>
      <c r="F52" s="9" t="s">
        <v>71</v>
      </c>
      <c r="G52" s="7">
        <v>1918507392</v>
      </c>
      <c r="H52" s="6">
        <v>20.81</v>
      </c>
      <c r="I52" s="6">
        <v>11.04</v>
      </c>
      <c r="J52" s="12">
        <f t="shared" si="1"/>
        <v>0.15670289855072461</v>
      </c>
      <c r="K52" s="11">
        <v>4.9334377447141739E-2</v>
      </c>
      <c r="L52" s="13">
        <v>408200000</v>
      </c>
      <c r="M52" s="13">
        <v>4745800000</v>
      </c>
      <c r="N52" s="9" t="s">
        <v>188</v>
      </c>
      <c r="O52" s="6">
        <v>1.1380999999999999</v>
      </c>
      <c r="P52" s="12">
        <v>0.1179731028272718</v>
      </c>
      <c r="Q52" s="12">
        <v>8.6012895612963047E-2</v>
      </c>
      <c r="R52" s="14">
        <v>34</v>
      </c>
    </row>
    <row r="53" spans="2:18" x14ac:dyDescent="0.5">
      <c r="B53" s="1" t="s">
        <v>609</v>
      </c>
      <c r="C53" t="s">
        <v>699</v>
      </c>
      <c r="D53" t="s">
        <v>81</v>
      </c>
      <c r="E53">
        <v>561.89</v>
      </c>
      <c r="F53" s="9" t="s">
        <v>71</v>
      </c>
      <c r="G53" s="7">
        <v>263233617920</v>
      </c>
      <c r="H53" s="6">
        <v>627.5</v>
      </c>
      <c r="I53" s="6">
        <v>267.3</v>
      </c>
      <c r="J53" s="12">
        <f t="shared" si="1"/>
        <v>1.1020950243172463</v>
      </c>
      <c r="K53" s="11">
        <v>1.0393493388385628E-2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4.7107140187058097E-2</v>
      </c>
      <c r="Q53" s="12">
        <v>0.2393841697843215</v>
      </c>
      <c r="R53" s="14">
        <v>33</v>
      </c>
    </row>
    <row r="54" spans="2:18" x14ac:dyDescent="0.5">
      <c r="B54" s="1" t="s">
        <v>578</v>
      </c>
      <c r="C54" t="s">
        <v>656</v>
      </c>
      <c r="D54" t="s">
        <v>657</v>
      </c>
      <c r="E54">
        <v>331.63</v>
      </c>
      <c r="F54" s="9" t="s">
        <v>71</v>
      </c>
      <c r="G54" s="7">
        <v>300403261440</v>
      </c>
      <c r="H54" s="6">
        <v>606.36</v>
      </c>
      <c r="I54" s="6">
        <v>234.6</v>
      </c>
      <c r="J54" s="12">
        <f t="shared" si="1"/>
        <v>0.41359761295822683</v>
      </c>
      <c r="K54" s="11">
        <v>2.5992823327202E-2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6.8117394256703781E-2</v>
      </c>
      <c r="Q54" s="12">
        <v>0.14140550359160661</v>
      </c>
      <c r="R54" s="14">
        <v>32</v>
      </c>
    </row>
    <row r="55" spans="2:18" x14ac:dyDescent="0.5">
      <c r="B55" s="1" t="s">
        <v>418</v>
      </c>
      <c r="C55" t="s">
        <v>425</v>
      </c>
      <c r="D55" t="s">
        <v>85</v>
      </c>
      <c r="E55">
        <v>23.99</v>
      </c>
      <c r="F55" s="9" t="s">
        <v>71</v>
      </c>
      <c r="G55" s="7">
        <v>13197073408</v>
      </c>
      <c r="H55" s="6">
        <v>32.07</v>
      </c>
      <c r="I55" s="6">
        <v>21.03</v>
      </c>
      <c r="J55" s="12">
        <f t="shared" si="1"/>
        <v>0.14075130765572985</v>
      </c>
      <c r="K55" s="11">
        <v>4.8353480616923718E-2</v>
      </c>
      <c r="L55" s="13">
        <v>741487000</v>
      </c>
      <c r="M55" s="13">
        <v>10758595000</v>
      </c>
      <c r="N55" s="9" t="s">
        <v>71</v>
      </c>
      <c r="O55" s="6">
        <v>1</v>
      </c>
      <c r="P55" s="12">
        <v>4.8199151883800632E-2</v>
      </c>
      <c r="Q55" s="12">
        <v>6.8920430595258958E-2</v>
      </c>
      <c r="R55" s="14">
        <v>57</v>
      </c>
    </row>
    <row r="56" spans="2:18" x14ac:dyDescent="0.5">
      <c r="B56" s="1" t="s">
        <v>620</v>
      </c>
      <c r="C56" t="s">
        <v>710</v>
      </c>
      <c r="D56" t="s">
        <v>171</v>
      </c>
      <c r="E56">
        <v>296.72000000000003</v>
      </c>
      <c r="F56" s="9" t="s">
        <v>71</v>
      </c>
      <c r="G56" s="7">
        <v>3593908781056</v>
      </c>
      <c r="H56" s="6">
        <v>328.83</v>
      </c>
      <c r="I56" s="6">
        <v>140.53</v>
      </c>
      <c r="J56" s="12">
        <f t="shared" si="1"/>
        <v>1.1114352807229775</v>
      </c>
      <c r="K56" s="11">
        <v>3.437584254516042E-3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3.3394386310507874E-2</v>
      </c>
      <c r="Q56" s="12">
        <v>0.357424985191998</v>
      </c>
      <c r="R56" s="14">
        <v>40</v>
      </c>
    </row>
    <row r="57" spans="2:18" x14ac:dyDescent="0.5">
      <c r="B57" s="1" t="s">
        <v>630</v>
      </c>
      <c r="C57" t="s">
        <v>722</v>
      </c>
      <c r="D57" t="s">
        <v>145</v>
      </c>
      <c r="E57">
        <v>70.67</v>
      </c>
      <c r="F57" s="9" t="s">
        <v>71</v>
      </c>
      <c r="G57" s="7">
        <v>304140156928</v>
      </c>
      <c r="H57" s="6">
        <v>74.38</v>
      </c>
      <c r="I57" s="6">
        <v>60.62</v>
      </c>
      <c r="J57" s="12">
        <f t="shared" si="1"/>
        <v>0.1657868690201254</v>
      </c>
      <c r="K57" s="11">
        <v>2.8512805999716995E-2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4.363679544440454E-2</v>
      </c>
      <c r="Q57" s="12">
        <v>0.21248810862232984</v>
      </c>
      <c r="R57" s="14">
        <v>37</v>
      </c>
    </row>
    <row r="58" spans="2:18" x14ac:dyDescent="0.5">
      <c r="B58" s="1" t="s">
        <v>392</v>
      </c>
      <c r="C58" t="s">
        <v>404</v>
      </c>
      <c r="D58" t="s">
        <v>405</v>
      </c>
      <c r="E58">
        <v>1755.02</v>
      </c>
      <c r="F58" s="9" t="s">
        <v>71</v>
      </c>
      <c r="G58" s="7">
        <v>42126897152</v>
      </c>
      <c r="H58" s="6">
        <v>2217.6</v>
      </c>
      <c r="I58" s="6">
        <v>1300</v>
      </c>
      <c r="J58" s="12">
        <f t="shared" si="1"/>
        <v>0.35001538461538462</v>
      </c>
      <c r="K58" s="11">
        <v>0</v>
      </c>
      <c r="L58" s="13">
        <v>936242000</v>
      </c>
      <c r="M58" s="13">
        <v>1309907000</v>
      </c>
      <c r="N58" s="9" t="s">
        <v>71</v>
      </c>
      <c r="O58" s="6">
        <v>1</v>
      </c>
      <c r="P58" s="12">
        <v>2.077415231009392E-2</v>
      </c>
      <c r="Q58" s="12">
        <v>0.71473929065193176</v>
      </c>
      <c r="R58" s="14">
        <v>39</v>
      </c>
    </row>
    <row r="59" spans="2:18" x14ac:dyDescent="0.5">
      <c r="B59" s="1" t="s">
        <v>419</v>
      </c>
      <c r="C59" t="s">
        <v>426</v>
      </c>
      <c r="D59" t="s">
        <v>427</v>
      </c>
      <c r="E59">
        <v>6.22</v>
      </c>
      <c r="F59" s="9" t="s">
        <v>71</v>
      </c>
      <c r="G59" s="7">
        <v>35250974720</v>
      </c>
      <c r="H59" s="6">
        <v>8.19</v>
      </c>
      <c r="I59" s="6">
        <v>4</v>
      </c>
      <c r="J59" s="12">
        <f t="shared" si="1"/>
        <v>0.55499999999999994</v>
      </c>
      <c r="K59" s="11">
        <v>2.2508038585209007E-2</v>
      </c>
      <c r="L59" s="13">
        <v>2418000000</v>
      </c>
      <c r="M59" s="13">
        <v>24544000000</v>
      </c>
      <c r="N59" s="9" t="s">
        <v>188</v>
      </c>
      <c r="O59" s="6">
        <v>1.1380999999999999</v>
      </c>
      <c r="P59" s="12">
        <v>8.3091269589488953E-2</v>
      </c>
      <c r="Q59" s="12">
        <v>9.8516949152542374E-2</v>
      </c>
      <c r="R59" s="14">
        <v>35</v>
      </c>
    </row>
    <row r="60" spans="2:18" x14ac:dyDescent="0.5">
      <c r="B60" s="1" t="s">
        <v>399</v>
      </c>
      <c r="C60" t="s">
        <v>412</v>
      </c>
      <c r="D60" t="s">
        <v>58</v>
      </c>
      <c r="E60">
        <v>89.8</v>
      </c>
      <c r="F60" s="9" t="s">
        <v>71</v>
      </c>
      <c r="G60" s="7">
        <v>49915613184</v>
      </c>
      <c r="H60" s="6">
        <v>127.9</v>
      </c>
      <c r="I60" s="6">
        <v>85.13</v>
      </c>
      <c r="J60" s="12">
        <f t="shared" si="1"/>
        <v>5.4857277105603286E-2</v>
      </c>
      <c r="K60" s="11">
        <v>1.1525612472160355E-2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6.4354103653742653E-2</v>
      </c>
      <c r="Q60" s="12">
        <v>0.13321660256042253</v>
      </c>
      <c r="R60" s="14">
        <v>36</v>
      </c>
    </row>
    <row r="61" spans="2:18" x14ac:dyDescent="0.5">
      <c r="B61" s="1" t="s">
        <v>599</v>
      </c>
      <c r="C61" t="s">
        <v>685</v>
      </c>
      <c r="D61" t="s">
        <v>682</v>
      </c>
      <c r="E61">
        <v>41.87</v>
      </c>
      <c r="F61" s="9" t="s">
        <v>71</v>
      </c>
      <c r="G61" s="7">
        <v>48068255744</v>
      </c>
      <c r="H61" s="6">
        <v>50.63</v>
      </c>
      <c r="I61" s="6">
        <v>35.305</v>
      </c>
      <c r="J61" s="12">
        <f t="shared" si="1"/>
        <v>0.18595099844214702</v>
      </c>
      <c r="K61" s="11">
        <v>2.0300931454502031E-2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3.1376134129686636E-2</v>
      </c>
      <c r="Q61" s="12">
        <v>0.39708618295207398</v>
      </c>
      <c r="R61" s="14">
        <v>40</v>
      </c>
    </row>
    <row r="62" spans="2:18" x14ac:dyDescent="0.5">
      <c r="B62" s="1" t="s">
        <v>213</v>
      </c>
      <c r="C62" t="s">
        <v>244</v>
      </c>
      <c r="D62" t="s">
        <v>106</v>
      </c>
      <c r="E62">
        <v>21.73</v>
      </c>
      <c r="F62" s="9" t="s">
        <v>71</v>
      </c>
      <c r="G62" s="7">
        <v>481057728</v>
      </c>
      <c r="H62" s="6">
        <v>22.08</v>
      </c>
      <c r="I62" s="6">
        <v>12.85</v>
      </c>
      <c r="J62" s="12">
        <f t="shared" si="1"/>
        <v>0.69105058365758754</v>
      </c>
      <c r="K62" s="11">
        <v>6.4427059364933273E-2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7.3884974999763695E-2</v>
      </c>
      <c r="Q62" s="12">
        <v>5.638554917738179E-2</v>
      </c>
      <c r="R62" s="14">
        <v>45</v>
      </c>
    </row>
    <row r="63" spans="2:18" x14ac:dyDescent="0.5">
      <c r="B63" s="1" t="s">
        <v>422</v>
      </c>
      <c r="C63" t="s">
        <v>432</v>
      </c>
      <c r="D63" t="s">
        <v>433</v>
      </c>
      <c r="E63">
        <v>25.92</v>
      </c>
      <c r="F63" s="9" t="s">
        <v>71</v>
      </c>
      <c r="G63" s="7">
        <v>19780587520</v>
      </c>
      <c r="H63" s="6">
        <v>29.95</v>
      </c>
      <c r="I63" s="6">
        <v>22.33</v>
      </c>
      <c r="J63" s="12">
        <f t="shared" si="1"/>
        <v>0.16077026421854024</v>
      </c>
      <c r="K63" s="11">
        <v>3.3564814814814811E-2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6.7905686225920373E-2</v>
      </c>
      <c r="Q63" s="12">
        <v>8.7830941946328872E-2</v>
      </c>
      <c r="R63" s="14">
        <v>42</v>
      </c>
    </row>
    <row r="64" spans="2:18" x14ac:dyDescent="0.5">
      <c r="B64" s="1" t="s">
        <v>577</v>
      </c>
      <c r="C64" t="s">
        <v>655</v>
      </c>
      <c r="D64" t="s">
        <v>367</v>
      </c>
      <c r="E64">
        <v>476.12</v>
      </c>
      <c r="F64" s="9" t="s">
        <v>71</v>
      </c>
      <c r="G64" s="7">
        <v>3539079004160</v>
      </c>
      <c r="H64" s="6">
        <v>555.45000000000005</v>
      </c>
      <c r="I64" s="6">
        <v>344.79</v>
      </c>
      <c r="J64" s="12">
        <f t="shared" si="1"/>
        <v>0.38089851793845519</v>
      </c>
      <c r="K64" s="11">
        <v>7.1410568764177099E-3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3.5303165034463208E-2</v>
      </c>
      <c r="Q64" s="12">
        <v>0.32592401003543442</v>
      </c>
      <c r="R64" s="14">
        <v>41</v>
      </c>
    </row>
    <row r="65" spans="2:18" x14ac:dyDescent="0.5">
      <c r="B65" s="1" t="s">
        <v>597</v>
      </c>
      <c r="C65" t="s">
        <v>683</v>
      </c>
      <c r="D65" t="s">
        <v>670</v>
      </c>
      <c r="E65">
        <v>39.11</v>
      </c>
      <c r="F65" s="9" t="s">
        <v>71</v>
      </c>
      <c r="G65" s="7">
        <v>37859172352</v>
      </c>
      <c r="H65" s="6">
        <v>63.85</v>
      </c>
      <c r="I65" s="6">
        <v>38.18</v>
      </c>
      <c r="J65" s="12">
        <f t="shared" si="1"/>
        <v>2.4358302776322782E-2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4.8226242312895337E-2</v>
      </c>
      <c r="Q65" s="12">
        <v>0.18468574130516349</v>
      </c>
      <c r="R65" s="14">
        <v>38</v>
      </c>
    </row>
    <row r="66" spans="2:18" x14ac:dyDescent="0.5">
      <c r="B66" s="1" t="s">
        <v>598</v>
      </c>
      <c r="C66" t="s">
        <v>684</v>
      </c>
      <c r="D66" t="s">
        <v>538</v>
      </c>
      <c r="E66">
        <v>336.41</v>
      </c>
      <c r="F66" s="9" t="s">
        <v>71</v>
      </c>
      <c r="G66" s="7">
        <v>90871218176</v>
      </c>
      <c r="H66" s="6">
        <v>360.5</v>
      </c>
      <c r="I66" s="6">
        <v>239.2</v>
      </c>
      <c r="J66" s="12">
        <f t="shared" ref="J66:J97" si="2">E66/I66-1</f>
        <v>0.40639632107023438</v>
      </c>
      <c r="K66" s="11">
        <v>1.7597574388395112E-2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4.9403998209647339E-2</v>
      </c>
      <c r="Q66" s="12">
        <v>0.16003244120032442</v>
      </c>
      <c r="R66" s="14">
        <v>40</v>
      </c>
    </row>
    <row r="67" spans="2:18" x14ac:dyDescent="0.5">
      <c r="B67" s="1" t="s">
        <v>586</v>
      </c>
      <c r="C67" t="s">
        <v>669</v>
      </c>
      <c r="D67" t="s">
        <v>670</v>
      </c>
      <c r="E67">
        <v>187.37</v>
      </c>
      <c r="F67" s="9" t="s">
        <v>71</v>
      </c>
      <c r="G67" s="7">
        <v>75500838912</v>
      </c>
      <c r="H67" s="6">
        <v>229.24</v>
      </c>
      <c r="I67" s="6">
        <v>180.39</v>
      </c>
      <c r="J67" s="12">
        <f t="shared" si="2"/>
        <v>3.8693940905815349E-2</v>
      </c>
      <c r="K67" s="11">
        <v>8.6459945562256495E-3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3.0366787759778725E-2</v>
      </c>
      <c r="Q67" s="12">
        <v>0.33269803136094339</v>
      </c>
      <c r="R67" s="14">
        <v>43</v>
      </c>
    </row>
    <row r="68" spans="2:18" x14ac:dyDescent="0.5">
      <c r="B68" s="1" t="s">
        <v>423</v>
      </c>
      <c r="C68" t="s">
        <v>434</v>
      </c>
      <c r="D68" t="s">
        <v>238</v>
      </c>
      <c r="E68">
        <v>15.23</v>
      </c>
      <c r="F68" s="9" t="s">
        <v>71</v>
      </c>
      <c r="G68" s="7">
        <v>12338589696</v>
      </c>
      <c r="H68" s="6">
        <v>16.149999999999999</v>
      </c>
      <c r="I68" s="6">
        <v>12.25</v>
      </c>
      <c r="J68" s="12">
        <f t="shared" si="2"/>
        <v>0.24326530612244901</v>
      </c>
      <c r="K68" s="11">
        <v>4.7603414313854238</v>
      </c>
      <c r="L68" s="13">
        <v>157715000000</v>
      </c>
      <c r="M68" s="13">
        <v>2039094000000</v>
      </c>
      <c r="N68" s="9" t="s">
        <v>435</v>
      </c>
      <c r="O68" s="6">
        <v>7.0111477248825634E-3</v>
      </c>
      <c r="P68" s="12">
        <v>6.3116168308024884E-2</v>
      </c>
      <c r="Q68" s="12">
        <v>7.7345625066818885E-2</v>
      </c>
      <c r="R68" s="14">
        <v>43</v>
      </c>
    </row>
    <row r="69" spans="2:18" x14ac:dyDescent="0.5">
      <c r="B69" s="1" t="s">
        <v>580</v>
      </c>
      <c r="C69" t="s">
        <v>659</v>
      </c>
      <c r="D69" t="s">
        <v>660</v>
      </c>
      <c r="E69">
        <v>862.65</v>
      </c>
      <c r="F69" s="9" t="s">
        <v>71</v>
      </c>
      <c r="G69" s="7">
        <v>382946738176</v>
      </c>
      <c r="H69" s="6">
        <v>1078.23</v>
      </c>
      <c r="I69" s="6">
        <v>844.06</v>
      </c>
      <c r="J69" s="12">
        <f t="shared" si="2"/>
        <v>2.2024500627917387E-2</v>
      </c>
      <c r="K69" s="11">
        <v>5.8656465542224539E-3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2.9106633933173962E-2</v>
      </c>
      <c r="Q69" s="12">
        <v>0.31459127791954583</v>
      </c>
      <c r="R69" s="14">
        <v>46</v>
      </c>
    </row>
    <row r="70" spans="2:18" x14ac:dyDescent="0.5">
      <c r="B70" s="1" t="s">
        <v>641</v>
      </c>
      <c r="C70" t="s">
        <v>736</v>
      </c>
      <c r="D70" t="s">
        <v>174</v>
      </c>
      <c r="E70">
        <v>99.45</v>
      </c>
      <c r="F70" s="9" t="s">
        <v>71</v>
      </c>
      <c r="G70" s="7">
        <v>109240819712</v>
      </c>
      <c r="H70" s="6">
        <v>102.13</v>
      </c>
      <c r="I70" s="6">
        <v>36.86</v>
      </c>
      <c r="J70" s="12">
        <f t="shared" si="2"/>
        <v>1.698046663049376</v>
      </c>
      <c r="K70" s="11">
        <v>1.0055304172951231E-2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4.3213499754572171E-2</v>
      </c>
      <c r="Q70" s="12">
        <v>0.12894490157275285</v>
      </c>
      <c r="R70" s="14">
        <v>51</v>
      </c>
    </row>
    <row r="71" spans="2:18" x14ac:dyDescent="0.5">
      <c r="B71" s="1" t="s">
        <v>607</v>
      </c>
      <c r="C71" t="s">
        <v>695</v>
      </c>
      <c r="D71" t="s">
        <v>696</v>
      </c>
      <c r="E71">
        <v>80.62</v>
      </c>
      <c r="F71" s="9" t="s">
        <v>71</v>
      </c>
      <c r="G71" s="7">
        <v>27525345280</v>
      </c>
      <c r="H71" s="6">
        <v>125.68</v>
      </c>
      <c r="I71" s="6">
        <v>76.17</v>
      </c>
      <c r="J71" s="12">
        <f t="shared" si="2"/>
        <v>5.8421950899304242E-2</v>
      </c>
      <c r="K71" s="11">
        <v>7.4423220044653928E-3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4.8656848908547684E-2</v>
      </c>
      <c r="Q71" s="12">
        <v>0.14681764935572042</v>
      </c>
      <c r="R71" s="14">
        <v>43</v>
      </c>
    </row>
    <row r="72" spans="2:18" x14ac:dyDescent="0.5">
      <c r="B72" s="1" t="s">
        <v>642</v>
      </c>
      <c r="C72" t="s">
        <v>737</v>
      </c>
      <c r="D72" t="s">
        <v>94</v>
      </c>
      <c r="E72">
        <v>65.69</v>
      </c>
      <c r="F72" s="9" t="s">
        <v>71</v>
      </c>
      <c r="G72" s="7">
        <v>97103052800</v>
      </c>
      <c r="H72" s="6">
        <v>82.44</v>
      </c>
      <c r="I72" s="6">
        <v>52.28</v>
      </c>
      <c r="J72" s="12">
        <f t="shared" si="2"/>
        <v>0.25650344299923478</v>
      </c>
      <c r="K72" s="11">
        <v>2.4356827523215104E-2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3.677834684227909E-2</v>
      </c>
      <c r="Q72" s="12">
        <v>0.17479578828084424</v>
      </c>
      <c r="R72" s="14">
        <v>46</v>
      </c>
    </row>
    <row r="73" spans="2:18" x14ac:dyDescent="0.5">
      <c r="B73" s="1" t="s">
        <v>397</v>
      </c>
      <c r="C73" t="s">
        <v>410</v>
      </c>
      <c r="D73" t="s">
        <v>405</v>
      </c>
      <c r="E73">
        <v>292.97000000000003</v>
      </c>
      <c r="F73" s="9" t="s">
        <v>71</v>
      </c>
      <c r="G73" s="7">
        <v>62402609152</v>
      </c>
      <c r="H73" s="6">
        <v>329.09</v>
      </c>
      <c r="I73" s="6">
        <v>232.67</v>
      </c>
      <c r="J73" s="12">
        <f t="shared" si="2"/>
        <v>0.25916534147075265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2.1605802196622271E-2</v>
      </c>
      <c r="Q73" s="12">
        <v>0.2789323553382233</v>
      </c>
      <c r="R73" s="14">
        <v>49</v>
      </c>
    </row>
    <row r="74" spans="2:18" x14ac:dyDescent="0.5">
      <c r="B74" s="1" t="s">
        <v>600</v>
      </c>
      <c r="C74" t="s">
        <v>686</v>
      </c>
      <c r="D74" t="s">
        <v>687</v>
      </c>
      <c r="E74">
        <v>136.66</v>
      </c>
      <c r="F74" s="9" t="s">
        <v>71</v>
      </c>
      <c r="G74" s="7">
        <v>38743166976</v>
      </c>
      <c r="H74" s="6">
        <v>160.27000000000001</v>
      </c>
      <c r="I74" s="6">
        <v>96.43</v>
      </c>
      <c r="J74" s="12">
        <f t="shared" si="2"/>
        <v>0.41719381935082422</v>
      </c>
      <c r="K74" s="11">
        <v>7.2588906775940291E-3</v>
      </c>
      <c r="L74" s="13">
        <v>1617000000</v>
      </c>
      <c r="M74" s="13">
        <v>9288000000</v>
      </c>
      <c r="N74" s="9" t="s">
        <v>71</v>
      </c>
      <c r="O74" s="6">
        <v>1</v>
      </c>
      <c r="P74" s="12">
        <v>3.9628305632389928E-2</v>
      </c>
      <c r="Q74" s="12">
        <v>0.17409560723514211</v>
      </c>
      <c r="R74" s="14">
        <v>45</v>
      </c>
    </row>
    <row r="75" spans="2:18" x14ac:dyDescent="0.5">
      <c r="B75" s="1" t="s">
        <v>626</v>
      </c>
      <c r="C75" t="s">
        <v>717</v>
      </c>
      <c r="D75" t="s">
        <v>302</v>
      </c>
      <c r="E75">
        <v>132.38</v>
      </c>
      <c r="F75" s="9" t="s">
        <v>71</v>
      </c>
      <c r="G75" s="7">
        <v>15824238592</v>
      </c>
      <c r="H75" s="6">
        <v>168.44</v>
      </c>
      <c r="I75" s="6">
        <v>105.17821499999999</v>
      </c>
      <c r="J75" s="12">
        <f t="shared" si="2"/>
        <v>0.25862565741394272</v>
      </c>
      <c r="K75" s="11">
        <v>9.4425139749206837E-3</v>
      </c>
      <c r="L75" s="13">
        <v>689265000</v>
      </c>
      <c r="M75" s="13">
        <v>5877263000</v>
      </c>
      <c r="N75" s="9" t="s">
        <v>71</v>
      </c>
      <c r="O75" s="6">
        <v>1</v>
      </c>
      <c r="P75" s="12">
        <v>3.9845022354161382E-2</v>
      </c>
      <c r="Q75" s="12">
        <v>0.11727652820709232</v>
      </c>
      <c r="R75" s="14">
        <v>57</v>
      </c>
    </row>
    <row r="76" spans="2:18" x14ac:dyDescent="0.5">
      <c r="B76" s="1" t="s">
        <v>637</v>
      </c>
      <c r="C76" t="s">
        <v>731</v>
      </c>
      <c r="D76" t="s">
        <v>85</v>
      </c>
      <c r="E76">
        <v>68.650000000000006</v>
      </c>
      <c r="F76" s="9" t="s">
        <v>71</v>
      </c>
      <c r="G76" s="7">
        <v>18423990272</v>
      </c>
      <c r="H76" s="6">
        <v>86.24</v>
      </c>
      <c r="I76" s="6">
        <v>62.64</v>
      </c>
      <c r="J76" s="12">
        <f t="shared" si="2"/>
        <v>9.5945083014048693E-2</v>
      </c>
      <c r="K76" s="11">
        <v>2.5782957028404951E-2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4.8697836744828013E-2</v>
      </c>
      <c r="Q76" s="12">
        <v>0.11499133179001131</v>
      </c>
      <c r="R76" s="14">
        <v>48</v>
      </c>
    </row>
    <row r="77" spans="2:18" x14ac:dyDescent="0.5">
      <c r="B77" s="1" t="s">
        <v>631</v>
      </c>
      <c r="C77" t="s">
        <v>723</v>
      </c>
      <c r="D77" t="s">
        <v>720</v>
      </c>
      <c r="E77">
        <v>1041.79</v>
      </c>
      <c r="F77" s="9" t="s">
        <v>71</v>
      </c>
      <c r="G77" s="7">
        <v>933919719424</v>
      </c>
      <c r="H77" s="6">
        <v>1111.99</v>
      </c>
      <c r="I77" s="6">
        <v>623.78</v>
      </c>
      <c r="J77" s="12">
        <f t="shared" si="2"/>
        <v>0.67012408220847086</v>
      </c>
      <c r="K77" s="11">
        <v>5.5673408268461016E-3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1.3959413612168002E-2</v>
      </c>
      <c r="Q77" s="12">
        <v>0.28139718163821198</v>
      </c>
      <c r="R77" s="14">
        <v>50</v>
      </c>
    </row>
    <row r="78" spans="2:18" x14ac:dyDescent="0.5">
      <c r="B78" s="1" t="s">
        <v>589</v>
      </c>
      <c r="C78" t="s">
        <v>673</v>
      </c>
      <c r="D78" t="s">
        <v>316</v>
      </c>
      <c r="E78">
        <v>422.34</v>
      </c>
      <c r="F78" s="9" t="s">
        <v>71</v>
      </c>
      <c r="G78" s="7">
        <v>198039257088</v>
      </c>
      <c r="H78" s="6">
        <v>486.38</v>
      </c>
      <c r="I78" s="6">
        <v>387.78</v>
      </c>
      <c r="J78" s="12">
        <f t="shared" si="2"/>
        <v>8.9122698437258174E-2</v>
      </c>
      <c r="K78" s="11">
        <v>1.394610976938012E-2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4.196512113768866E-2</v>
      </c>
      <c r="Q78" s="12">
        <v>0.15165368835301013</v>
      </c>
      <c r="R78" s="14">
        <v>47</v>
      </c>
    </row>
    <row r="79" spans="2:18" x14ac:dyDescent="0.5">
      <c r="B79" s="1" t="s">
        <v>628</v>
      </c>
      <c r="C79" t="s">
        <v>719</v>
      </c>
      <c r="D79" t="s">
        <v>720</v>
      </c>
      <c r="E79">
        <v>210.33</v>
      </c>
      <c r="F79" s="9" t="s">
        <v>71</v>
      </c>
      <c r="G79" s="7">
        <v>506747027456</v>
      </c>
      <c r="H79" s="6">
        <v>215.19</v>
      </c>
      <c r="I79" s="6">
        <v>140.68</v>
      </c>
      <c r="J79" s="12">
        <f t="shared" si="2"/>
        <v>0.49509525163491608</v>
      </c>
      <c r="K79" s="11">
        <v>2.4152522226976655E-2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3.3589072242465344E-2</v>
      </c>
      <c r="Q79" s="12">
        <v>0.16131478672635122</v>
      </c>
      <c r="R79" s="14">
        <v>52</v>
      </c>
    </row>
    <row r="80" spans="2:18" x14ac:dyDescent="0.5">
      <c r="B80" s="1" t="s">
        <v>603</v>
      </c>
      <c r="C80" t="s">
        <v>691</v>
      </c>
      <c r="D80" t="s">
        <v>439</v>
      </c>
      <c r="E80">
        <v>221.27</v>
      </c>
      <c r="F80" s="9" t="s">
        <v>71</v>
      </c>
      <c r="G80" s="7">
        <v>2365424140288</v>
      </c>
      <c r="H80" s="6">
        <v>258.60000000000002</v>
      </c>
      <c r="I80" s="6">
        <v>161.38</v>
      </c>
      <c r="J80" s="12">
        <f t="shared" si="2"/>
        <v>0.37111166191597489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2.9376907515174442E-2</v>
      </c>
      <c r="Q80" s="12">
        <v>0.20975034923935226</v>
      </c>
      <c r="R80" s="14">
        <v>50</v>
      </c>
    </row>
    <row r="81" spans="2:18" x14ac:dyDescent="0.5">
      <c r="B81" s="1" t="s">
        <v>608</v>
      </c>
      <c r="C81" t="s">
        <v>697</v>
      </c>
      <c r="D81" t="s">
        <v>698</v>
      </c>
      <c r="E81">
        <v>52.4</v>
      </c>
      <c r="F81" s="9" t="s">
        <v>71</v>
      </c>
      <c r="G81" s="7">
        <v>44593598464</v>
      </c>
      <c r="H81" s="6">
        <v>81.09</v>
      </c>
      <c r="I81" s="6">
        <v>50.3</v>
      </c>
      <c r="J81" s="12">
        <f t="shared" si="2"/>
        <v>4.1749502982107334E-2</v>
      </c>
      <c r="K81" s="11">
        <v>1.717557251908397E-2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5.3511230649395516E-2</v>
      </c>
      <c r="Q81" s="12">
        <v>0.10827421374103721</v>
      </c>
      <c r="R81" s="14">
        <v>44</v>
      </c>
    </row>
    <row r="82" spans="2:18" x14ac:dyDescent="0.5">
      <c r="B82" s="1" t="s">
        <v>624</v>
      </c>
      <c r="C82" t="s">
        <v>715</v>
      </c>
      <c r="D82" t="s">
        <v>405</v>
      </c>
      <c r="E82">
        <v>660.78</v>
      </c>
      <c r="F82" s="9" t="s">
        <v>71</v>
      </c>
      <c r="G82" s="7">
        <v>183961157632</v>
      </c>
      <c r="H82" s="6">
        <v>813.7</v>
      </c>
      <c r="I82" s="6">
        <v>532.65</v>
      </c>
      <c r="J82" s="12">
        <f t="shared" si="2"/>
        <v>0.24055195719515621</v>
      </c>
      <c r="K82" s="11">
        <v>6.5377281394715346E-3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2.7067462194494872E-2</v>
      </c>
      <c r="Q82" s="12">
        <v>0.19783514386948564</v>
      </c>
      <c r="R82" s="14">
        <v>53</v>
      </c>
    </row>
    <row r="83" spans="2:18" x14ac:dyDescent="0.5">
      <c r="B83" s="1" t="s">
        <v>614</v>
      </c>
      <c r="C83" t="s">
        <v>704</v>
      </c>
      <c r="D83" t="s">
        <v>660</v>
      </c>
      <c r="E83">
        <v>136.97</v>
      </c>
      <c r="F83" s="9" t="s">
        <v>71</v>
      </c>
      <c r="G83" s="7">
        <v>30149681152</v>
      </c>
      <c r="H83" s="6">
        <v>137.6</v>
      </c>
      <c r="I83" s="6">
        <v>66.430000000000007</v>
      </c>
      <c r="J83" s="12">
        <f t="shared" si="2"/>
        <v>1.0618696372121028</v>
      </c>
      <c r="K83" s="11">
        <v>1.7230050375994743E-2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3.6719280247886628E-2</v>
      </c>
      <c r="Q83" s="12">
        <v>0.1255529971554025</v>
      </c>
      <c r="R83" s="14">
        <v>58</v>
      </c>
    </row>
    <row r="84" spans="2:18" x14ac:dyDescent="0.5">
      <c r="B84" s="1" t="s">
        <v>610</v>
      </c>
      <c r="C84" t="s">
        <v>700</v>
      </c>
      <c r="D84" t="s">
        <v>164</v>
      </c>
      <c r="E84">
        <v>86.52</v>
      </c>
      <c r="F84" s="9" t="s">
        <v>71</v>
      </c>
      <c r="G84" s="7">
        <v>21077024768</v>
      </c>
      <c r="H84" s="6">
        <v>116.46</v>
      </c>
      <c r="I84" s="6">
        <v>81.33</v>
      </c>
      <c r="J84" s="12">
        <f t="shared" si="2"/>
        <v>6.3814090741423746E-2</v>
      </c>
      <c r="K84" s="11">
        <v>1.3522884882108182E-2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3.8144911178529847E-2</v>
      </c>
      <c r="Q84" s="12">
        <v>0.12966460535534774</v>
      </c>
      <c r="R84" s="14">
        <v>55</v>
      </c>
    </row>
    <row r="85" spans="2:18" x14ac:dyDescent="0.5">
      <c r="B85" s="1" t="s">
        <v>582</v>
      </c>
      <c r="C85" t="s">
        <v>663</v>
      </c>
      <c r="D85" t="s">
        <v>664</v>
      </c>
      <c r="E85">
        <v>219.77</v>
      </c>
      <c r="F85" s="9" t="s">
        <v>71</v>
      </c>
      <c r="G85" s="7">
        <v>88538087424</v>
      </c>
      <c r="H85" s="6">
        <v>242.58</v>
      </c>
      <c r="I85" s="6">
        <v>194.11</v>
      </c>
      <c r="J85" s="12">
        <f t="shared" si="2"/>
        <v>0.13219308639431238</v>
      </c>
      <c r="K85" s="11">
        <v>1.4674432361104791E-2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3.6206498917044909E-2</v>
      </c>
      <c r="Q85" s="12">
        <v>0.12615078377705896</v>
      </c>
      <c r="R85" s="14">
        <v>58</v>
      </c>
    </row>
    <row r="86" spans="2:18" x14ac:dyDescent="0.5">
      <c r="B86" s="1" t="s">
        <v>602</v>
      </c>
      <c r="C86" t="s">
        <v>689</v>
      </c>
      <c r="D86" t="s">
        <v>690</v>
      </c>
      <c r="E86">
        <v>178.49</v>
      </c>
      <c r="F86" s="9" t="s">
        <v>71</v>
      </c>
      <c r="G86" s="7">
        <v>83578167296</v>
      </c>
      <c r="H86" s="6">
        <v>234.33</v>
      </c>
      <c r="I86" s="6">
        <v>172.51</v>
      </c>
      <c r="J86" s="12">
        <f t="shared" si="2"/>
        <v>3.4664657121326492E-2</v>
      </c>
      <c r="K86" s="11">
        <v>3.76491680206174E-2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4.0063675124030883E-2</v>
      </c>
      <c r="Q86" s="12">
        <v>0.12609818473573361</v>
      </c>
      <c r="R86" s="14">
        <v>54</v>
      </c>
    </row>
    <row r="87" spans="2:18" x14ac:dyDescent="0.5">
      <c r="B87" s="1" t="s">
        <v>585</v>
      </c>
      <c r="C87" t="s">
        <v>668</v>
      </c>
      <c r="D87" t="s">
        <v>99</v>
      </c>
      <c r="E87">
        <v>160.86000000000001</v>
      </c>
      <c r="F87" s="9" t="s">
        <v>71</v>
      </c>
      <c r="G87" s="7">
        <v>92079980544</v>
      </c>
      <c r="H87" s="6">
        <v>189.35</v>
      </c>
      <c r="I87" s="6">
        <v>142.29</v>
      </c>
      <c r="J87" s="12">
        <f t="shared" si="2"/>
        <v>0.13050811722538502</v>
      </c>
      <c r="K87" s="11">
        <v>1.1749347258485638E-2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4.0539943976140129E-2</v>
      </c>
      <c r="Q87" s="12">
        <v>9.4512131625533694E-2</v>
      </c>
      <c r="R87" s="14">
        <v>58</v>
      </c>
    </row>
    <row r="88" spans="2:18" x14ac:dyDescent="0.5">
      <c r="B88" s="1" t="s">
        <v>618</v>
      </c>
      <c r="C88" t="s">
        <v>708</v>
      </c>
      <c r="D88" t="s">
        <v>662</v>
      </c>
      <c r="E88">
        <v>84.84</v>
      </c>
      <c r="F88" s="9" t="s">
        <v>71</v>
      </c>
      <c r="G88" s="7">
        <v>49809563648</v>
      </c>
      <c r="H88" s="6">
        <v>87.89</v>
      </c>
      <c r="I88" s="6">
        <v>65.94</v>
      </c>
      <c r="J88" s="12">
        <f t="shared" si="2"/>
        <v>0.28662420382165621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3.3033203850107162E-2</v>
      </c>
      <c r="Q88" s="12">
        <v>0.14796953596134427</v>
      </c>
      <c r="R88" s="14">
        <v>59</v>
      </c>
    </row>
    <row r="89" spans="2:18" x14ac:dyDescent="0.5">
      <c r="B89" s="1" t="s">
        <v>616</v>
      </c>
      <c r="C89" t="s">
        <v>706</v>
      </c>
      <c r="D89" t="s">
        <v>667</v>
      </c>
      <c r="E89">
        <v>117.43</v>
      </c>
      <c r="F89" s="9" t="s">
        <v>71</v>
      </c>
      <c r="G89" s="7">
        <v>91320762368</v>
      </c>
      <c r="H89" s="6">
        <v>130.03</v>
      </c>
      <c r="I89" s="6">
        <v>105.2</v>
      </c>
      <c r="J89" s="12">
        <f t="shared" si="2"/>
        <v>0.11625475285171105</v>
      </c>
      <c r="K89" s="11">
        <v>3.5765988248318149E-2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4.8673159247491604E-2</v>
      </c>
      <c r="Q89" s="12">
        <v>6.4290318228830967E-2</v>
      </c>
      <c r="R89" s="14">
        <v>56</v>
      </c>
    </row>
    <row r="90" spans="2:18" x14ac:dyDescent="0.5">
      <c r="B90" s="1" t="s">
        <v>592</v>
      </c>
      <c r="C90" t="s">
        <v>676</v>
      </c>
      <c r="D90" t="s">
        <v>662</v>
      </c>
      <c r="E90">
        <v>352.58</v>
      </c>
      <c r="F90" s="9" t="s">
        <v>71</v>
      </c>
      <c r="G90" s="7">
        <v>134834921472</v>
      </c>
      <c r="H90" s="6">
        <v>406.19</v>
      </c>
      <c r="I90" s="6">
        <v>329.16</v>
      </c>
      <c r="J90" s="12">
        <f t="shared" si="2"/>
        <v>7.1150808117632636E-2</v>
      </c>
      <c r="K90" s="11">
        <v>9.5297521129956327E-3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3.222822579650584E-2</v>
      </c>
      <c r="Q90" s="12">
        <v>0.13630919342116796</v>
      </c>
      <c r="R90" s="14">
        <v>62</v>
      </c>
    </row>
    <row r="91" spans="2:18" x14ac:dyDescent="0.5">
      <c r="B91" s="1" t="s">
        <v>421</v>
      </c>
      <c r="C91" t="s">
        <v>430</v>
      </c>
      <c r="D91" t="s">
        <v>431</v>
      </c>
      <c r="E91">
        <v>82.48</v>
      </c>
      <c r="F91" s="9" t="s">
        <v>71</v>
      </c>
      <c r="G91" s="7">
        <v>16397761536</v>
      </c>
      <c r="H91" s="6">
        <v>100.24</v>
      </c>
      <c r="I91" s="6">
        <v>61.78</v>
      </c>
      <c r="J91" s="12">
        <f t="shared" si="2"/>
        <v>0.33505988993201696</v>
      </c>
      <c r="K91" s="11">
        <v>0</v>
      </c>
      <c r="L91" s="13">
        <v>666500000</v>
      </c>
      <c r="M91" s="13">
        <v>10741700000</v>
      </c>
      <c r="N91" s="9" t="s">
        <v>71</v>
      </c>
      <c r="O91" s="6">
        <v>1</v>
      </c>
      <c r="P91" s="12">
        <v>3.5466349031669502E-2</v>
      </c>
      <c r="Q91" s="12">
        <v>6.2047906755913866E-2</v>
      </c>
      <c r="R91" s="14">
        <v>67</v>
      </c>
    </row>
    <row r="92" spans="2:18" x14ac:dyDescent="0.5">
      <c r="B92" s="1" t="s">
        <v>581</v>
      </c>
      <c r="C92" t="s">
        <v>661</v>
      </c>
      <c r="D92" t="s">
        <v>662</v>
      </c>
      <c r="E92">
        <v>126.71</v>
      </c>
      <c r="F92" s="9" t="s">
        <v>71</v>
      </c>
      <c r="G92" s="7">
        <v>220533555200</v>
      </c>
      <c r="H92" s="6">
        <v>141.22999999999999</v>
      </c>
      <c r="I92" s="6">
        <v>110.86</v>
      </c>
      <c r="J92" s="12">
        <f t="shared" si="2"/>
        <v>0.14297311924950384</v>
      </c>
      <c r="K92" s="11">
        <v>1.8625207165969538E-2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3.3219478790484147E-2</v>
      </c>
      <c r="Q92" s="12">
        <v>0.12254608425447895</v>
      </c>
      <c r="R92" s="14">
        <v>64</v>
      </c>
    </row>
    <row r="93" spans="2:18" x14ac:dyDescent="0.5">
      <c r="B93" s="1" t="s">
        <v>601</v>
      </c>
      <c r="C93" t="s">
        <v>688</v>
      </c>
      <c r="D93" t="s">
        <v>667</v>
      </c>
      <c r="E93">
        <v>114.71</v>
      </c>
      <c r="F93" s="9" t="s">
        <v>71</v>
      </c>
      <c r="G93" s="7">
        <v>61400317952</v>
      </c>
      <c r="H93" s="6">
        <v>124.8</v>
      </c>
      <c r="I93" s="6">
        <v>89.91</v>
      </c>
      <c r="J93" s="12">
        <f t="shared" si="2"/>
        <v>0.27583138694249798</v>
      </c>
      <c r="K93" s="11">
        <v>3.2429605091099295E-2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4.3994861735526317E-2</v>
      </c>
      <c r="Q93" s="12">
        <v>6.5256883889147757E-2</v>
      </c>
      <c r="R93" s="14">
        <v>60</v>
      </c>
    </row>
    <row r="94" spans="2:18" x14ac:dyDescent="0.5">
      <c r="B94" s="1" t="s">
        <v>587</v>
      </c>
      <c r="C94" t="s">
        <v>671</v>
      </c>
      <c r="D94" t="s">
        <v>405</v>
      </c>
      <c r="E94">
        <v>452.24</v>
      </c>
      <c r="F94" s="9" t="s">
        <v>71</v>
      </c>
      <c r="G94" s="7">
        <v>48677949440</v>
      </c>
      <c r="H94" s="6">
        <v>595.16999999999996</v>
      </c>
      <c r="I94" s="6">
        <v>435.42</v>
      </c>
      <c r="J94" s="12">
        <f t="shared" si="2"/>
        <v>3.8629369344540976E-2</v>
      </c>
      <c r="K94" s="11">
        <v>7.2970104369361397E-3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3.9644616257978202E-2</v>
      </c>
      <c r="Q94" s="12">
        <v>8.4044906495134117E-2</v>
      </c>
      <c r="R94" s="14">
        <v>63</v>
      </c>
    </row>
    <row r="95" spans="2:18" x14ac:dyDescent="0.5">
      <c r="B95" s="1" t="s">
        <v>648</v>
      </c>
      <c r="C95" t="s">
        <v>746</v>
      </c>
      <c r="D95" t="s">
        <v>367</v>
      </c>
      <c r="E95">
        <v>178.46</v>
      </c>
      <c r="F95" s="9" t="s">
        <v>71</v>
      </c>
      <c r="G95" s="7">
        <v>512738787328</v>
      </c>
      <c r="H95" s="6">
        <v>345.72</v>
      </c>
      <c r="I95" s="6">
        <v>118.86</v>
      </c>
      <c r="J95" s="12">
        <f t="shared" si="2"/>
        <v>0.50143025408043074</v>
      </c>
      <c r="K95" s="11">
        <v>1.120699316373417E-2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2.9267884414270463E-2</v>
      </c>
      <c r="Q95" s="12">
        <v>0.15694706199842504</v>
      </c>
      <c r="R95" s="14">
        <v>61</v>
      </c>
    </row>
    <row r="96" spans="2:18" x14ac:dyDescent="0.5">
      <c r="B96" s="1" t="s">
        <v>644</v>
      </c>
      <c r="C96" t="s">
        <v>739</v>
      </c>
      <c r="D96" t="s">
        <v>405</v>
      </c>
      <c r="E96">
        <v>782.39</v>
      </c>
      <c r="F96" s="9" t="s">
        <v>71</v>
      </c>
      <c r="G96" s="7">
        <v>812426526720</v>
      </c>
      <c r="H96" s="6">
        <v>809.66</v>
      </c>
      <c r="I96" s="6">
        <v>135.73177000000001</v>
      </c>
      <c r="J96" s="12">
        <f t="shared" si="2"/>
        <v>4.7642363317003813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2.1676499978525274E-3</v>
      </c>
      <c r="Q96" s="12">
        <v>0.15867723914218779</v>
      </c>
      <c r="R96" s="14">
        <v>65</v>
      </c>
    </row>
    <row r="97" spans="2:18" x14ac:dyDescent="0.5">
      <c r="B97" s="1" t="s">
        <v>394</v>
      </c>
      <c r="C97" t="s">
        <v>407</v>
      </c>
      <c r="D97" t="s">
        <v>405</v>
      </c>
      <c r="E97">
        <v>258.14</v>
      </c>
      <c r="F97" s="9" t="s">
        <v>71</v>
      </c>
      <c r="G97" s="7">
        <v>245749301248</v>
      </c>
      <c r="H97" s="6">
        <v>367.09</v>
      </c>
      <c r="I97" s="6">
        <v>221.96</v>
      </c>
      <c r="J97" s="12">
        <f t="shared" si="2"/>
        <v>0.16300234276446202</v>
      </c>
      <c r="K97" s="11">
        <v>6.3841326412024486E-3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3.0874775765066073E-2</v>
      </c>
      <c r="Q97" s="12">
        <v>0.1101341838347269</v>
      </c>
      <c r="R97" s="14">
        <v>66</v>
      </c>
    </row>
    <row r="98" spans="2:18" x14ac:dyDescent="0.5">
      <c r="B98" s="1" t="s">
        <v>605</v>
      </c>
      <c r="C98" t="s">
        <v>693</v>
      </c>
      <c r="D98" t="s">
        <v>431</v>
      </c>
      <c r="E98">
        <v>195.36</v>
      </c>
      <c r="F98" s="9" t="s">
        <v>71</v>
      </c>
      <c r="G98" s="7">
        <v>55995539456</v>
      </c>
      <c r="H98" s="6">
        <v>251.99</v>
      </c>
      <c r="I98" s="6">
        <v>162.29</v>
      </c>
      <c r="J98" s="12">
        <f t="shared" ref="J98:J115" si="3">E98/I98-1</f>
        <v>0.2037710271735782</v>
      </c>
      <c r="K98" s="11">
        <v>2.1294021294021293E-2</v>
      </c>
      <c r="L98" s="13">
        <v>2494000000</v>
      </c>
      <c r="M98" s="13">
        <v>44571000000</v>
      </c>
      <c r="N98" s="9" t="s">
        <v>71</v>
      </c>
      <c r="O98" s="6">
        <v>1</v>
      </c>
      <c r="P98" s="12">
        <v>3.3460548058047719E-2</v>
      </c>
      <c r="Q98" s="12">
        <v>5.5955666240380515E-2</v>
      </c>
      <c r="R98" s="14">
        <v>70</v>
      </c>
    </row>
    <row r="99" spans="2:18" x14ac:dyDescent="0.5">
      <c r="B99" s="1" t="s">
        <v>651</v>
      </c>
      <c r="C99" t="s">
        <v>749</v>
      </c>
      <c r="D99" t="s">
        <v>750</v>
      </c>
      <c r="E99">
        <v>128.07</v>
      </c>
      <c r="F99" s="9" t="s">
        <v>71</v>
      </c>
      <c r="G99" s="7">
        <v>118960005120</v>
      </c>
      <c r="H99" s="6">
        <v>131.69999999999999</v>
      </c>
      <c r="I99" s="6">
        <v>85.35</v>
      </c>
      <c r="J99" s="12">
        <f t="shared" si="3"/>
        <v>0.50052724077328659</v>
      </c>
      <c r="K99" s="11">
        <v>3.1154837198407125E-2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3.3205762483364397E-2</v>
      </c>
      <c r="Q99" s="12">
        <v>5.8421389886397626E-2</v>
      </c>
      <c r="R99" s="14">
        <v>71</v>
      </c>
    </row>
    <row r="100" spans="2:18" x14ac:dyDescent="0.5">
      <c r="B100" s="1" t="s">
        <v>584</v>
      </c>
      <c r="C100" t="s">
        <v>666</v>
      </c>
      <c r="D100" t="s">
        <v>667</v>
      </c>
      <c r="E100">
        <v>80.290000000000006</v>
      </c>
      <c r="F100" s="9" t="s">
        <v>71</v>
      </c>
      <c r="G100" s="7">
        <v>167212728320</v>
      </c>
      <c r="H100" s="6">
        <v>87.53</v>
      </c>
      <c r="I100" s="6">
        <v>61.72</v>
      </c>
      <c r="J100" s="12">
        <f t="shared" si="3"/>
        <v>0.30087491898898255</v>
      </c>
      <c r="K100" s="11">
        <v>2.7587495329430809E-2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3.334694189566665E-2</v>
      </c>
      <c r="Q100" s="12">
        <v>6.2461301478472293E-2</v>
      </c>
      <c r="R100" s="14">
        <v>69</v>
      </c>
    </row>
    <row r="101" spans="2:18" x14ac:dyDescent="0.5">
      <c r="B101" s="1" t="s">
        <v>358</v>
      </c>
      <c r="C101" t="s">
        <v>360</v>
      </c>
      <c r="D101" t="s">
        <v>85</v>
      </c>
      <c r="E101">
        <v>24.75</v>
      </c>
      <c r="F101" s="9" t="s">
        <v>71</v>
      </c>
      <c r="G101" s="7">
        <v>29295474688</v>
      </c>
      <c r="H101" s="6">
        <v>33.35</v>
      </c>
      <c r="I101" s="6">
        <v>23.7</v>
      </c>
      <c r="J101" s="12">
        <f t="shared" si="3"/>
        <v>4.4303797468354444E-2</v>
      </c>
      <c r="K101" s="11">
        <v>6.4646464646464646E-2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3.6963881532281063E-2</v>
      </c>
      <c r="Q101" s="12">
        <v>2.5603151157065487E-2</v>
      </c>
      <c r="R101" s="14">
        <v>68</v>
      </c>
    </row>
    <row r="102" spans="2:18" x14ac:dyDescent="0.5">
      <c r="B102" s="1" t="s">
        <v>583</v>
      </c>
      <c r="C102" t="s">
        <v>665</v>
      </c>
      <c r="D102" t="s">
        <v>193</v>
      </c>
      <c r="E102">
        <v>326.02</v>
      </c>
      <c r="F102" s="9" t="s">
        <v>71</v>
      </c>
      <c r="G102" s="7">
        <v>1539585343488</v>
      </c>
      <c r="H102" s="6">
        <v>414.61</v>
      </c>
      <c r="I102" s="6">
        <v>138.1</v>
      </c>
      <c r="J102" s="12">
        <f t="shared" si="3"/>
        <v>1.3607530774800867</v>
      </c>
      <c r="K102" s="11">
        <v>7.4228574934053129E-3</v>
      </c>
      <c r="L102" s="13">
        <v>13869000000</v>
      </c>
      <c r="M102" s="13">
        <v>135205000000</v>
      </c>
      <c r="N102" s="9" t="s">
        <v>71</v>
      </c>
      <c r="O102" s="6">
        <v>1</v>
      </c>
      <c r="P102" s="12">
        <v>8.6800419191288038E-3</v>
      </c>
      <c r="Q102" s="12">
        <v>0.10257756739765542</v>
      </c>
      <c r="R102" s="14">
        <v>73</v>
      </c>
    </row>
    <row r="103" spans="2:18" x14ac:dyDescent="0.5">
      <c r="B103" s="1" t="s">
        <v>640</v>
      </c>
      <c r="C103" t="s">
        <v>734</v>
      </c>
      <c r="D103" t="s">
        <v>735</v>
      </c>
      <c r="E103">
        <v>5</v>
      </c>
      <c r="F103" s="9" t="s">
        <v>71</v>
      </c>
      <c r="G103" s="7">
        <v>3007500288</v>
      </c>
      <c r="H103" s="6">
        <v>6.34</v>
      </c>
      <c r="I103" s="6">
        <v>3.51</v>
      </c>
      <c r="J103" s="12">
        <f t="shared" si="3"/>
        <v>0.4245014245014247</v>
      </c>
      <c r="K103" s="11">
        <v>6.4000000000000001E-2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3.3199047403485275E-2</v>
      </c>
      <c r="Q103" s="12">
        <v>2.8276478032308101E-2</v>
      </c>
      <c r="R103" s="14">
        <v>74</v>
      </c>
    </row>
    <row r="104" spans="2:18" x14ac:dyDescent="0.5">
      <c r="B104" s="1" t="s">
        <v>627</v>
      </c>
      <c r="C104" t="s">
        <v>718</v>
      </c>
      <c r="D104" t="s">
        <v>698</v>
      </c>
      <c r="E104">
        <v>116.38</v>
      </c>
      <c r="F104" s="9" t="s">
        <v>71</v>
      </c>
      <c r="G104" s="7">
        <v>76157378560</v>
      </c>
      <c r="H104" s="6">
        <v>123.78</v>
      </c>
      <c r="I104" s="6">
        <v>68.03</v>
      </c>
      <c r="J104" s="12">
        <f t="shared" si="3"/>
        <v>0.71071586064971326</v>
      </c>
      <c r="K104" s="11">
        <v>1.297473792747895E-2</v>
      </c>
      <c r="L104" s="13">
        <v>2196000000</v>
      </c>
      <c r="M104" s="13">
        <v>22807000000</v>
      </c>
      <c r="N104" s="9" t="s">
        <v>71</v>
      </c>
      <c r="O104" s="6">
        <v>1</v>
      </c>
      <c r="P104" s="12">
        <v>2.5636721555052512E-2</v>
      </c>
      <c r="Q104" s="12">
        <v>9.6286227912483008E-2</v>
      </c>
      <c r="R104" s="14">
        <v>72</v>
      </c>
    </row>
    <row r="105" spans="2:18" x14ac:dyDescent="0.5">
      <c r="B105" s="1" t="s">
        <v>653</v>
      </c>
      <c r="C105" t="s">
        <v>752</v>
      </c>
      <c r="D105" t="s">
        <v>750</v>
      </c>
      <c r="E105">
        <v>41.2</v>
      </c>
      <c r="F105" s="9" t="s">
        <v>71</v>
      </c>
      <c r="G105" s="7">
        <v>10086902784</v>
      </c>
      <c r="H105" s="6">
        <v>44.38</v>
      </c>
      <c r="I105" s="6">
        <v>29.68</v>
      </c>
      <c r="J105" s="12">
        <f t="shared" si="3"/>
        <v>0.38814016172506749</v>
      </c>
      <c r="K105" s="11">
        <v>4.1456310679611648E-2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2.8745238334771248E-2</v>
      </c>
      <c r="Q105" s="12">
        <v>3.3395007067698795E-2</v>
      </c>
      <c r="R105" s="14">
        <v>75</v>
      </c>
    </row>
    <row r="106" spans="2:18" x14ac:dyDescent="0.5">
      <c r="B106" s="1" t="s">
        <v>588</v>
      </c>
      <c r="C106" t="s">
        <v>672</v>
      </c>
      <c r="D106" t="s">
        <v>389</v>
      </c>
      <c r="E106">
        <v>57.76</v>
      </c>
      <c r="F106" s="9" t="s">
        <v>71</v>
      </c>
      <c r="G106" s="7">
        <v>53133758464</v>
      </c>
      <c r="H106" s="6">
        <v>61.09</v>
      </c>
      <c r="I106" s="6">
        <v>50.71</v>
      </c>
      <c r="J106" s="12">
        <f t="shared" si="3"/>
        <v>0.13902583316900019</v>
      </c>
      <c r="K106" s="11">
        <v>5.5488227146814409E-2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2.4319003412786054E-2</v>
      </c>
      <c r="Q106" s="12">
        <v>2.969284375856223E-2</v>
      </c>
      <c r="R106" s="14">
        <v>76</v>
      </c>
    </row>
    <row r="107" spans="2:18" x14ac:dyDescent="0.5">
      <c r="B107" s="1" t="s">
        <v>617</v>
      </c>
      <c r="C107" t="s">
        <v>707</v>
      </c>
      <c r="D107" t="s">
        <v>164</v>
      </c>
      <c r="E107">
        <v>105.3</v>
      </c>
      <c r="F107" s="9" t="s">
        <v>71</v>
      </c>
      <c r="G107" s="7">
        <v>37945937920</v>
      </c>
      <c r="H107" s="6">
        <v>109.62</v>
      </c>
      <c r="I107" s="6">
        <v>48.37</v>
      </c>
      <c r="J107" s="12">
        <f t="shared" si="3"/>
        <v>1.1769691957825099</v>
      </c>
      <c r="K107" s="11">
        <v>1.3295346628679962E-2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-1.535109576993674E-2</v>
      </c>
      <c r="Q107" s="12">
        <v>-6.1080307637274192E-2</v>
      </c>
      <c r="R107" s="14">
        <v>79</v>
      </c>
    </row>
    <row r="108" spans="2:18" x14ac:dyDescent="0.5">
      <c r="B108" s="1" t="s">
        <v>359</v>
      </c>
      <c r="C108" t="s">
        <v>361</v>
      </c>
      <c r="D108" t="s">
        <v>362</v>
      </c>
      <c r="E108">
        <v>21.75</v>
      </c>
      <c r="F108" s="9" t="s">
        <v>71</v>
      </c>
      <c r="G108" s="7">
        <v>7324104704</v>
      </c>
      <c r="H108" s="6">
        <v>27.41</v>
      </c>
      <c r="I108" s="6">
        <v>18.690000000000001</v>
      </c>
      <c r="J108" s="12">
        <f t="shared" si="3"/>
        <v>0.16372391653290519</v>
      </c>
      <c r="K108" s="11">
        <v>4.9655172413793108E-2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-7.806305676488022E-2</v>
      </c>
      <c r="Q108" s="12">
        <v>-6.3825819385519136E-2</v>
      </c>
      <c r="R108" s="14">
        <v>80</v>
      </c>
    </row>
    <row r="109" spans="2:18" x14ac:dyDescent="0.5">
      <c r="B109" s="1" t="s">
        <v>396</v>
      </c>
      <c r="C109" t="s">
        <v>409</v>
      </c>
      <c r="D109" t="s">
        <v>193</v>
      </c>
      <c r="E109">
        <v>36.049999999999997</v>
      </c>
      <c r="F109" s="9" t="s">
        <v>71</v>
      </c>
      <c r="G109" s="7">
        <v>171958484992</v>
      </c>
      <c r="H109" s="6">
        <v>44.02</v>
      </c>
      <c r="I109" s="6">
        <v>17.670000000000002</v>
      </c>
      <c r="J109" s="12">
        <f t="shared" si="3"/>
        <v>1.0401810979060553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-4.7613592119543004E-2</v>
      </c>
      <c r="Q109" s="12">
        <v>-6.8166745935517581E-2</v>
      </c>
      <c r="R109" s="14">
        <v>80</v>
      </c>
    </row>
    <row r="110" spans="2:18" x14ac:dyDescent="0.5">
      <c r="B110" s="1" t="s">
        <v>576</v>
      </c>
      <c r="C110" t="s">
        <v>654</v>
      </c>
      <c r="D110" t="s">
        <v>362</v>
      </c>
      <c r="E110">
        <v>28.21</v>
      </c>
      <c r="F110" s="9" t="s">
        <v>71</v>
      </c>
      <c r="G110" s="7">
        <v>69915623424</v>
      </c>
      <c r="H110" s="6">
        <v>30</v>
      </c>
      <c r="I110" s="6">
        <v>7.52</v>
      </c>
      <c r="J110" s="12">
        <f t="shared" si="3"/>
        <v>2.751329787234043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-9.001175591223616E-2</v>
      </c>
      <c r="Q110" s="12">
        <v>-0.12742378504799978</v>
      </c>
      <c r="R110" s="14">
        <v>81</v>
      </c>
    </row>
    <row r="111" spans="2:18" x14ac:dyDescent="0.5">
      <c r="B111" s="1" t="s">
        <v>604</v>
      </c>
      <c r="C111" t="s">
        <v>692</v>
      </c>
      <c r="D111" t="s">
        <v>240</v>
      </c>
      <c r="E111">
        <v>375.61</v>
      </c>
      <c r="F111" s="9" t="s">
        <v>71</v>
      </c>
      <c r="G111" s="7">
        <v>261380325376</v>
      </c>
      <c r="H111" s="6">
        <v>387.49</v>
      </c>
      <c r="I111" s="6">
        <v>220.43</v>
      </c>
      <c r="J111" s="12">
        <f t="shared" si="3"/>
        <v>0.70398766048178563</v>
      </c>
      <c r="K111" s="11">
        <v>8.4129815500119803E-3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753</v>
      </c>
      <c r="C112" t="s">
        <v>757</v>
      </c>
      <c r="D112" t="s">
        <v>687</v>
      </c>
      <c r="E112">
        <v>222.63</v>
      </c>
      <c r="F112" s="9" t="s">
        <v>71</v>
      </c>
      <c r="G112" s="7">
        <v>159414566912</v>
      </c>
      <c r="H112" s="6">
        <v>258.23</v>
      </c>
      <c r="I112" s="6">
        <v>171</v>
      </c>
      <c r="J112" s="12">
        <f t="shared" si="3"/>
        <v>0.30192982456140349</v>
      </c>
      <c r="K112" s="11">
        <v>5.5248618784530384E-3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2.8220584366364872E-2</v>
      </c>
      <c r="Q112" s="12">
        <v>7.5120522365289558E-2</v>
      </c>
      <c r="R112" s="14">
        <v>74</v>
      </c>
    </row>
    <row r="113" spans="2:17" x14ac:dyDescent="0.5">
      <c r="B113" s="1" t="s">
        <v>621</v>
      </c>
      <c r="C113" t="s">
        <v>711</v>
      </c>
      <c r="D113" t="s">
        <v>104</v>
      </c>
      <c r="E113">
        <v>872.33</v>
      </c>
      <c r="F113" s="9" t="s">
        <v>71</v>
      </c>
      <c r="G113" s="7">
        <v>264072691712</v>
      </c>
      <c r="H113" s="6">
        <v>919.1</v>
      </c>
      <c r="I113" s="6">
        <v>439.38</v>
      </c>
      <c r="J113" s="12">
        <f t="shared" si="3"/>
        <v>0.98536574263735277</v>
      </c>
      <c r="K113" s="11">
        <v>1.4902617128838856E-2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625</v>
      </c>
      <c r="C114" t="s">
        <v>716</v>
      </c>
      <c r="D114" t="s">
        <v>431</v>
      </c>
      <c r="E114">
        <v>556.86</v>
      </c>
      <c r="F114" s="9" t="s">
        <v>71</v>
      </c>
      <c r="G114" s="7">
        <v>199621230592</v>
      </c>
      <c r="H114" s="6">
        <v>616</v>
      </c>
      <c r="I114" s="6">
        <v>425</v>
      </c>
      <c r="J114" s="12">
        <f t="shared" si="3"/>
        <v>0.3102588235294117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645</v>
      </c>
      <c r="C115" t="s">
        <v>740</v>
      </c>
      <c r="D115" t="s">
        <v>720</v>
      </c>
      <c r="E115">
        <v>47.77</v>
      </c>
      <c r="F115" s="9" t="s">
        <v>71</v>
      </c>
      <c r="G115" s="7">
        <v>212265025536</v>
      </c>
      <c r="H115" s="6">
        <v>104.75</v>
      </c>
      <c r="I115" s="6">
        <v>43.08</v>
      </c>
      <c r="J115" s="12">
        <f t="shared" si="3"/>
        <v>0.10886722376973079</v>
      </c>
      <c r="K115" s="11">
        <v>0.24387691019468286</v>
      </c>
      <c r="L115" s="13">
        <v>128831000000</v>
      </c>
      <c r="M115" s="13">
        <v>239507000000</v>
      </c>
      <c r="N115" s="9" t="s">
        <v>741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451</v>
      </c>
    </row>
    <row r="7" spans="2:2" ht="236.25" x14ac:dyDescent="0.5">
      <c r="B7" s="16" t="s">
        <v>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2025-12-18T07:13:47Z</dcterms:modified>
</cp:coreProperties>
</file>