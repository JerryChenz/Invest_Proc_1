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B4A3673-F4C1-4230-B176-CAC8C77DFD1B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10" i="3"/>
  <c r="J9" i="3"/>
  <c r="J11" i="3"/>
  <c r="J12" i="3"/>
  <c r="J13" i="3"/>
  <c r="J14" i="3"/>
  <c r="J15" i="3"/>
  <c r="J16" i="3"/>
  <c r="J17" i="3"/>
  <c r="J18" i="3"/>
  <c r="J19" i="3"/>
  <c r="J20" i="3"/>
  <c r="J23" i="3"/>
  <c r="J21" i="3"/>
  <c r="J22" i="3"/>
  <c r="J24" i="3"/>
  <c r="J25" i="3"/>
  <c r="J28" i="3"/>
  <c r="J27" i="3"/>
  <c r="J29" i="3"/>
  <c r="J30" i="3"/>
  <c r="J31" i="3"/>
  <c r="J32" i="3"/>
  <c r="J34" i="3"/>
  <c r="J33" i="3"/>
  <c r="J36" i="3"/>
  <c r="J37" i="3"/>
  <c r="J38" i="3"/>
  <c r="J39" i="3"/>
  <c r="J41" i="3"/>
  <c r="J42" i="3"/>
  <c r="J43" i="3"/>
  <c r="J44" i="3"/>
  <c r="J47" i="3"/>
  <c r="J45" i="3"/>
  <c r="J46" i="3"/>
  <c r="J48" i="3"/>
  <c r="J49" i="3"/>
  <c r="J50" i="3"/>
  <c r="J51" i="3"/>
  <c r="J52" i="3"/>
  <c r="J53" i="3"/>
  <c r="J56" i="3"/>
  <c r="J58" i="3"/>
  <c r="J59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40" i="3"/>
  <c r="J26" i="3"/>
  <c r="J57" i="3"/>
  <c r="J55" i="3"/>
  <c r="J54" i="3"/>
  <c r="J62" i="3"/>
  <c r="J60" i="3"/>
  <c r="J35" i="3"/>
  <c r="J61" i="3"/>
</calcChain>
</file>

<file path=xl/sharedStrings.xml><?xml version="1.0" encoding="utf-8"?>
<sst xmlns="http://schemas.openxmlformats.org/spreadsheetml/2006/main" count="1654" uniqueCount="760">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</sst>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9"/>
  <sheetViews>
    <sheetView tabSelected="1" zoomScale="70" zoomScaleNormal="70" workbookViewId="0">
      <pane xSplit="3" ySplit="1" topLeftCell="D95" activePane="bottomRight" state="frozen"/>
      <selection pane="topRight" activeCell="D1" sqref="D1"/>
      <selection pane="bottomLeft" activeCell="A2" sqref="A2"/>
      <selection pane="bottomRight" activeCell="B129" sqref="B12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291</v>
      </c>
      <c r="C2" t="s">
        <v>346</v>
      </c>
      <c r="D2" t="s">
        <v>150</v>
      </c>
      <c r="E2">
        <v>2.83</v>
      </c>
      <c r="F2" s="9" t="s">
        <v>67</v>
      </c>
      <c r="G2" s="7">
        <v>2558854656</v>
      </c>
      <c r="H2" s="6">
        <v>3.5</v>
      </c>
      <c r="I2" s="6">
        <v>2.39</v>
      </c>
      <c r="J2" s="12">
        <f t="shared" ref="J2:J33" si="0">E2/I2-1</f>
        <v>0.18410041841004188</v>
      </c>
      <c r="K2" s="11">
        <v>6.0070671378091876E-2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0.41395021159836554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13.47</v>
      </c>
      <c r="F3" s="9" t="s">
        <v>67</v>
      </c>
      <c r="G3" s="7">
        <v>207738978304</v>
      </c>
      <c r="H3" s="6">
        <v>15.6</v>
      </c>
      <c r="I3" s="6">
        <v>9.8000000000000007</v>
      </c>
      <c r="J3" s="12">
        <f t="shared" si="0"/>
        <v>0.37448979591836729</v>
      </c>
      <c r="K3" s="11">
        <v>0.11804008908685969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0.8111415523179718</v>
      </c>
      <c r="Q3" s="12">
        <v>0.26042924055386191</v>
      </c>
      <c r="R3" s="14">
        <v>2</v>
      </c>
    </row>
    <row r="4" spans="2:22" x14ac:dyDescent="0.5">
      <c r="B4" s="1" t="s">
        <v>108</v>
      </c>
      <c r="C4" t="s">
        <v>144</v>
      </c>
      <c r="D4" t="s">
        <v>145</v>
      </c>
      <c r="E4">
        <v>3.99</v>
      </c>
      <c r="F4" s="9" t="s">
        <v>67</v>
      </c>
      <c r="G4" s="7">
        <v>11160921088</v>
      </c>
      <c r="H4" s="6">
        <v>5.2</v>
      </c>
      <c r="I4" s="6">
        <v>2.36</v>
      </c>
      <c r="J4" s="12">
        <f t="shared" si="0"/>
        <v>0.69067796610169507</v>
      </c>
      <c r="K4" s="11">
        <v>3.8345864661654135E-2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0.28708308003124489</v>
      </c>
      <c r="Q4" s="12">
        <v>0.28956319566547578</v>
      </c>
      <c r="R4" s="14">
        <v>3</v>
      </c>
    </row>
    <row r="5" spans="2:22" x14ac:dyDescent="0.5">
      <c r="B5" s="1" t="s">
        <v>195</v>
      </c>
      <c r="C5" t="s">
        <v>217</v>
      </c>
      <c r="D5" t="s">
        <v>76</v>
      </c>
      <c r="E5">
        <v>125.3</v>
      </c>
      <c r="F5" s="9" t="s">
        <v>67</v>
      </c>
      <c r="G5" s="7">
        <v>82744778752</v>
      </c>
      <c r="H5" s="6">
        <v>149.5</v>
      </c>
      <c r="I5" s="6">
        <v>93</v>
      </c>
      <c r="J5" s="12">
        <f t="shared" si="0"/>
        <v>0.34731182795698912</v>
      </c>
      <c r="K5" s="11">
        <v>1.6280925778132484E-2</v>
      </c>
      <c r="L5" s="13">
        <v>2635100000</v>
      </c>
      <c r="M5" s="13">
        <v>13245550000</v>
      </c>
      <c r="N5" s="9" t="s">
        <v>71</v>
      </c>
      <c r="O5" s="6">
        <v>7.6923076923076916</v>
      </c>
      <c r="P5" s="12">
        <v>0.62346044861568484</v>
      </c>
      <c r="Q5" s="12">
        <v>0.19894228627727803</v>
      </c>
      <c r="R5" s="14">
        <v>4</v>
      </c>
    </row>
    <row r="6" spans="2:22" x14ac:dyDescent="0.5">
      <c r="B6" s="1" t="s">
        <v>28</v>
      </c>
      <c r="C6" t="s">
        <v>88</v>
      </c>
      <c r="D6" t="s">
        <v>85</v>
      </c>
      <c r="E6">
        <v>4.1399999999999997</v>
      </c>
      <c r="F6" s="9" t="s">
        <v>67</v>
      </c>
      <c r="G6" s="7">
        <v>36898725888</v>
      </c>
      <c r="H6" s="6">
        <v>7.38</v>
      </c>
      <c r="I6" s="6">
        <v>3.8</v>
      </c>
      <c r="J6" s="12">
        <f t="shared" si="0"/>
        <v>8.9473684210526372E-2</v>
      </c>
      <c r="K6" s="11">
        <v>6.4009661835748799E-2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0.21273725893580647</v>
      </c>
      <c r="Q6" s="12">
        <v>0.20771406306691512</v>
      </c>
      <c r="R6" s="14">
        <v>6</v>
      </c>
    </row>
    <row r="7" spans="2:22" x14ac:dyDescent="0.5">
      <c r="B7" s="1" t="s">
        <v>197</v>
      </c>
      <c r="C7" t="s">
        <v>220</v>
      </c>
      <c r="D7" t="s">
        <v>221</v>
      </c>
      <c r="E7">
        <v>18.37</v>
      </c>
      <c r="F7" s="9" t="s">
        <v>67</v>
      </c>
      <c r="G7" s="7">
        <v>172343590912</v>
      </c>
      <c r="H7" s="6">
        <v>21.66</v>
      </c>
      <c r="I7" s="6">
        <v>10.6</v>
      </c>
      <c r="J7" s="12">
        <f t="shared" si="0"/>
        <v>0.73301886792452842</v>
      </c>
      <c r="K7" s="11">
        <v>3.8377789874795856E-2</v>
      </c>
      <c r="L7" s="13">
        <v>21175963859.630001</v>
      </c>
      <c r="M7" s="13">
        <v>104071284594.97</v>
      </c>
      <c r="N7" s="9" t="s">
        <v>50</v>
      </c>
      <c r="O7" s="6">
        <v>1.0683760683760684</v>
      </c>
      <c r="P7" s="12">
        <v>0.15983809125400419</v>
      </c>
      <c r="Q7" s="12">
        <v>0.20347556909712136</v>
      </c>
      <c r="R7" s="14">
        <v>10</v>
      </c>
    </row>
    <row r="8" spans="2:22" x14ac:dyDescent="0.5">
      <c r="B8" s="1" t="s">
        <v>249</v>
      </c>
      <c r="C8" t="s">
        <v>297</v>
      </c>
      <c r="D8" t="s">
        <v>298</v>
      </c>
      <c r="E8">
        <v>6.92</v>
      </c>
      <c r="F8" s="9" t="s">
        <v>67</v>
      </c>
      <c r="G8" s="7">
        <v>367570878464</v>
      </c>
      <c r="H8" s="6">
        <v>7.57</v>
      </c>
      <c r="I8" s="6">
        <v>3.5</v>
      </c>
      <c r="J8" s="12">
        <f t="shared" si="0"/>
        <v>0.97714285714285709</v>
      </c>
      <c r="K8" s="11">
        <v>2.7745664739884393E-2</v>
      </c>
      <c r="L8" s="13">
        <v>72477000000</v>
      </c>
      <c r="M8" s="13">
        <v>319355000000</v>
      </c>
      <c r="N8" s="9" t="s">
        <v>50</v>
      </c>
      <c r="O8" s="6">
        <v>1.0683760683760684</v>
      </c>
      <c r="P8" s="12">
        <v>0.19496358609161391</v>
      </c>
      <c r="Q8" s="12">
        <v>0.22694806719794586</v>
      </c>
      <c r="R8" s="14">
        <v>5</v>
      </c>
    </row>
    <row r="9" spans="2:22" x14ac:dyDescent="0.5">
      <c r="B9" s="1" t="s">
        <v>196</v>
      </c>
      <c r="C9" t="s">
        <v>218</v>
      </c>
      <c r="D9" t="s">
        <v>219</v>
      </c>
      <c r="E9">
        <v>2.08</v>
      </c>
      <c r="F9" s="9" t="s">
        <v>67</v>
      </c>
      <c r="G9" s="7">
        <v>2079999872</v>
      </c>
      <c r="H9" s="6">
        <v>2.42</v>
      </c>
      <c r="I9" s="6">
        <v>1.55</v>
      </c>
      <c r="J9" s="12">
        <f t="shared" si="0"/>
        <v>0.34193548387096784</v>
      </c>
      <c r="K9" s="11">
        <v>0.10096153846153845</v>
      </c>
      <c r="L9" s="13">
        <v>315190000</v>
      </c>
      <c r="M9" s="13">
        <v>607806000</v>
      </c>
      <c r="N9" s="9" t="s">
        <v>67</v>
      </c>
      <c r="O9" s="6">
        <v>1</v>
      </c>
      <c r="P9" s="12">
        <v>0.14016898989374066</v>
      </c>
      <c r="Q9" s="12">
        <v>0.51857007005524791</v>
      </c>
      <c r="R9" s="14">
        <v>7</v>
      </c>
    </row>
    <row r="10" spans="2:22" x14ac:dyDescent="0.5">
      <c r="B10" s="1" t="s">
        <v>247</v>
      </c>
      <c r="C10" t="s">
        <v>294</v>
      </c>
      <c r="D10" t="s">
        <v>293</v>
      </c>
      <c r="E10">
        <v>1.48</v>
      </c>
      <c r="F10" s="9" t="s">
        <v>67</v>
      </c>
      <c r="G10" s="7">
        <v>2981088000</v>
      </c>
      <c r="H10" s="6">
        <v>1.85</v>
      </c>
      <c r="I10" s="6">
        <v>1.1299999999999999</v>
      </c>
      <c r="J10" s="12">
        <f t="shared" si="0"/>
        <v>0.30973451327433632</v>
      </c>
      <c r="K10" s="11">
        <v>8.0405405405405403E-2</v>
      </c>
      <c r="L10" s="13">
        <v>929863000</v>
      </c>
      <c r="M10" s="13">
        <v>6026676000</v>
      </c>
      <c r="N10" s="9" t="s">
        <v>50</v>
      </c>
      <c r="O10" s="6">
        <v>1.0683760683760684</v>
      </c>
      <c r="P10" s="12">
        <v>0.35839619416152035</v>
      </c>
      <c r="Q10" s="12">
        <v>0.15429118804462028</v>
      </c>
      <c r="R10" s="14">
        <v>8</v>
      </c>
    </row>
    <row r="11" spans="2:22" x14ac:dyDescent="0.5">
      <c r="B11" s="1" t="s">
        <v>107</v>
      </c>
      <c r="C11" t="s">
        <v>142</v>
      </c>
      <c r="D11" t="s">
        <v>143</v>
      </c>
      <c r="E11">
        <v>3.05</v>
      </c>
      <c r="F11" s="9" t="s">
        <v>67</v>
      </c>
      <c r="G11" s="7">
        <v>15527750656</v>
      </c>
      <c r="H11" s="6">
        <v>3.31</v>
      </c>
      <c r="I11" s="6">
        <v>2.23</v>
      </c>
      <c r="J11" s="12">
        <f t="shared" si="0"/>
        <v>0.36771300448430488</v>
      </c>
      <c r="K11" s="11">
        <v>8.8524590163934436E-2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0.32013519390817619</v>
      </c>
      <c r="Q11" s="12">
        <v>0.15337570692947131</v>
      </c>
      <c r="R11" s="14">
        <v>11</v>
      </c>
    </row>
    <row r="12" spans="2:22" x14ac:dyDescent="0.5">
      <c r="B12" s="1" t="s">
        <v>292</v>
      </c>
      <c r="C12" t="s">
        <v>347</v>
      </c>
      <c r="D12" t="s">
        <v>94</v>
      </c>
      <c r="E12">
        <v>5.96</v>
      </c>
      <c r="F12" s="9" t="s">
        <v>67</v>
      </c>
      <c r="G12" s="7">
        <v>12323385344</v>
      </c>
      <c r="H12" s="6">
        <v>6.7</v>
      </c>
      <c r="I12" s="6">
        <v>3.71</v>
      </c>
      <c r="J12" s="12">
        <f t="shared" si="0"/>
        <v>0.60646900269541781</v>
      </c>
      <c r="K12" s="11">
        <v>4.748322147651006E-2</v>
      </c>
      <c r="L12" s="13">
        <v>1576240000</v>
      </c>
      <c r="M12" s="13">
        <v>9636462000</v>
      </c>
      <c r="N12" s="9" t="s">
        <v>50</v>
      </c>
      <c r="O12" s="6">
        <v>1.0683760683760684</v>
      </c>
      <c r="P12" s="12">
        <v>0.20891295083402828</v>
      </c>
      <c r="Q12" s="12">
        <v>0.16357040581906512</v>
      </c>
      <c r="R12" s="14">
        <v>13</v>
      </c>
    </row>
    <row r="13" spans="2:22" x14ac:dyDescent="0.5">
      <c r="B13" s="1" t="s">
        <v>286</v>
      </c>
      <c r="C13" t="s">
        <v>341</v>
      </c>
      <c r="D13" t="s">
        <v>85</v>
      </c>
      <c r="E13">
        <v>8.3800000000000008</v>
      </c>
      <c r="F13" s="9" t="s">
        <v>67</v>
      </c>
      <c r="G13" s="7">
        <v>107517239296</v>
      </c>
      <c r="H13" s="6">
        <v>8.9700000000000006</v>
      </c>
      <c r="I13" s="6">
        <v>5.73</v>
      </c>
      <c r="J13" s="12">
        <f t="shared" si="0"/>
        <v>0.46247818499127402</v>
      </c>
      <c r="K13" s="11">
        <v>9.1885441527446293E-3</v>
      </c>
      <c r="L13" s="13">
        <v>2553000000</v>
      </c>
      <c r="M13" s="13">
        <v>13971000000</v>
      </c>
      <c r="N13" s="9" t="s">
        <v>71</v>
      </c>
      <c r="O13" s="6">
        <v>7.6923076923076916</v>
      </c>
      <c r="P13" s="12">
        <v>0.1631701814064668</v>
      </c>
      <c r="Q13" s="12">
        <v>0.18273566673824351</v>
      </c>
      <c r="R13" s="14">
        <v>14</v>
      </c>
    </row>
    <row r="14" spans="2:22" x14ac:dyDescent="0.5">
      <c r="B14" s="1" t="s">
        <v>250</v>
      </c>
      <c r="C14" t="s">
        <v>299</v>
      </c>
      <c r="D14" t="s">
        <v>300</v>
      </c>
      <c r="E14">
        <v>17.7</v>
      </c>
      <c r="F14" s="9" t="s">
        <v>67</v>
      </c>
      <c r="G14" s="7">
        <v>63614132224</v>
      </c>
      <c r="H14" s="6">
        <v>20.54</v>
      </c>
      <c r="I14" s="6">
        <v>9.56</v>
      </c>
      <c r="J14" s="12">
        <f t="shared" si="0"/>
        <v>0.85146443514644332</v>
      </c>
      <c r="K14" s="11">
        <v>1.9774011299435026E-2</v>
      </c>
      <c r="L14" s="13">
        <v>25585077000</v>
      </c>
      <c r="M14" s="13">
        <v>167756547000</v>
      </c>
      <c r="N14" s="9" t="s">
        <v>67</v>
      </c>
      <c r="O14" s="6">
        <v>1</v>
      </c>
      <c r="P14" s="12">
        <v>0.2524450285060475</v>
      </c>
      <c r="Q14" s="12">
        <v>0.15251313559762292</v>
      </c>
      <c r="R14" s="14">
        <v>15</v>
      </c>
    </row>
    <row r="15" spans="2:22" x14ac:dyDescent="0.5">
      <c r="B15" s="1" t="s">
        <v>194</v>
      </c>
      <c r="C15" t="s">
        <v>215</v>
      </c>
      <c r="D15" t="s">
        <v>216</v>
      </c>
      <c r="E15">
        <v>13.57</v>
      </c>
      <c r="F15" s="9" t="s">
        <v>67</v>
      </c>
      <c r="G15" s="7">
        <v>52950626304</v>
      </c>
      <c r="H15" s="6">
        <v>16.52</v>
      </c>
      <c r="I15" s="6">
        <v>4.22</v>
      </c>
      <c r="J15" s="12">
        <f t="shared" si="0"/>
        <v>2.2156398104265405</v>
      </c>
      <c r="K15" s="11">
        <v>3.1687546057479732E-3</v>
      </c>
      <c r="L15" s="13">
        <v>786762000</v>
      </c>
      <c r="M15" s="13">
        <v>2279244000</v>
      </c>
      <c r="N15" s="9" t="s">
        <v>71</v>
      </c>
      <c r="O15" s="6">
        <v>7.6923076923076916</v>
      </c>
      <c r="P15" s="12">
        <v>0.13306323823011756</v>
      </c>
      <c r="Q15" s="12">
        <v>0.34518550887925997</v>
      </c>
      <c r="R15" s="14">
        <v>9</v>
      </c>
    </row>
    <row r="16" spans="2:22" x14ac:dyDescent="0.5">
      <c r="B16" s="1" t="s">
        <v>23</v>
      </c>
      <c r="C16" t="s">
        <v>79</v>
      </c>
      <c r="D16" t="s">
        <v>80</v>
      </c>
      <c r="E16">
        <v>7.19</v>
      </c>
      <c r="F16" s="9" t="s">
        <v>67</v>
      </c>
      <c r="G16" s="7">
        <v>62258212864</v>
      </c>
      <c r="H16" s="6">
        <v>8.48</v>
      </c>
      <c r="I16" s="6">
        <v>6.8</v>
      </c>
      <c r="J16" s="12">
        <f t="shared" si="0"/>
        <v>5.7352941176470607E-2</v>
      </c>
      <c r="K16" s="11">
        <v>4.4228094575799723E-2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0.2455519643069014</v>
      </c>
      <c r="Q16" s="12">
        <v>0.15165160081705431</v>
      </c>
      <c r="R16" s="14">
        <v>16</v>
      </c>
    </row>
    <row r="17" spans="2:18" x14ac:dyDescent="0.5">
      <c r="B17" s="1" t="s">
        <v>289</v>
      </c>
      <c r="C17" t="s">
        <v>344</v>
      </c>
      <c r="D17" t="s">
        <v>76</v>
      </c>
      <c r="E17">
        <v>26.2</v>
      </c>
      <c r="F17" s="9" t="s">
        <v>67</v>
      </c>
      <c r="G17" s="7">
        <v>70190637056</v>
      </c>
      <c r="H17" s="6">
        <v>33</v>
      </c>
      <c r="I17" s="6">
        <v>15.7</v>
      </c>
      <c r="J17" s="12">
        <f t="shared" si="0"/>
        <v>0.66878980891719753</v>
      </c>
      <c r="K17" s="11">
        <v>1.3435114503816794E-2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0.12193369934688073</v>
      </c>
      <c r="Q17" s="12">
        <v>0.41587371596437778</v>
      </c>
      <c r="R17" s="14">
        <v>12</v>
      </c>
    </row>
    <row r="18" spans="2:18" x14ac:dyDescent="0.5">
      <c r="B18" s="1" t="s">
        <v>32</v>
      </c>
      <c r="C18" t="s">
        <v>93</v>
      </c>
      <c r="D18" t="s">
        <v>94</v>
      </c>
      <c r="E18">
        <v>15.8</v>
      </c>
      <c r="F18" s="9" t="s">
        <v>67</v>
      </c>
      <c r="G18" s="7">
        <v>13226299392</v>
      </c>
      <c r="H18" s="6">
        <v>19.440000000000001</v>
      </c>
      <c r="I18" s="6">
        <v>12.5</v>
      </c>
      <c r="J18" s="12">
        <f t="shared" si="0"/>
        <v>0.26400000000000001</v>
      </c>
      <c r="K18" s="11">
        <v>8.2911392405063296E-3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0.15258168782834422</v>
      </c>
      <c r="Q18" s="12">
        <v>0.18009145491283626</v>
      </c>
      <c r="R18" s="14">
        <v>17</v>
      </c>
    </row>
    <row r="19" spans="2:18" x14ac:dyDescent="0.5">
      <c r="B19" s="1" t="s">
        <v>20</v>
      </c>
      <c r="C19" t="s">
        <v>72</v>
      </c>
      <c r="D19" t="s">
        <v>73</v>
      </c>
      <c r="E19">
        <v>3.24</v>
      </c>
      <c r="F19" s="9" t="s">
        <v>67</v>
      </c>
      <c r="G19" s="7">
        <v>3368977920</v>
      </c>
      <c r="H19" s="6">
        <v>3.74</v>
      </c>
      <c r="I19" s="6">
        <v>1.92</v>
      </c>
      <c r="J19" s="12">
        <f t="shared" si="0"/>
        <v>0.68750000000000022</v>
      </c>
      <c r="K19" s="11">
        <v>8.7654320987654313E-2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0.1852649162172138</v>
      </c>
      <c r="Q19" s="12">
        <v>0.15218339726363278</v>
      </c>
      <c r="R19" s="14">
        <v>18</v>
      </c>
    </row>
    <row r="20" spans="2:18" x14ac:dyDescent="0.5">
      <c r="B20" s="1" t="s">
        <v>29</v>
      </c>
      <c r="C20" t="s">
        <v>89</v>
      </c>
      <c r="D20" t="s">
        <v>85</v>
      </c>
      <c r="E20">
        <v>5.01</v>
      </c>
      <c r="F20" s="9" t="s">
        <v>67</v>
      </c>
      <c r="G20" s="7">
        <v>59133390848</v>
      </c>
      <c r="H20" s="6">
        <v>5.97</v>
      </c>
      <c r="I20" s="6">
        <v>4.34</v>
      </c>
      <c r="J20" s="12">
        <f t="shared" si="0"/>
        <v>0.15437788018433185</v>
      </c>
      <c r="K20" s="11">
        <v>2.9540918163672655E-2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0.11511133598532153</v>
      </c>
      <c r="Q20" s="12">
        <v>0.27010748742934609</v>
      </c>
      <c r="R20" s="14">
        <v>23</v>
      </c>
    </row>
    <row r="21" spans="2:18" x14ac:dyDescent="0.5">
      <c r="B21" s="1" t="s">
        <v>437</v>
      </c>
      <c r="C21" t="s">
        <v>440</v>
      </c>
      <c r="D21" t="s">
        <v>182</v>
      </c>
      <c r="E21">
        <v>13.16</v>
      </c>
      <c r="F21" s="9" t="s">
        <v>67</v>
      </c>
      <c r="G21" s="7">
        <v>71261396992</v>
      </c>
      <c r="H21" s="6">
        <v>18.88</v>
      </c>
      <c r="I21" s="6">
        <v>12.43</v>
      </c>
      <c r="J21" s="12">
        <f t="shared" si="0"/>
        <v>5.8728881737731387E-2</v>
      </c>
      <c r="K21" s="11">
        <v>5.9042553191489364E-2</v>
      </c>
      <c r="L21" s="13">
        <v>6898733000</v>
      </c>
      <c r="M21" s="13">
        <v>12604518000</v>
      </c>
      <c r="N21" s="9" t="s">
        <v>50</v>
      </c>
      <c r="O21" s="6">
        <v>1.0683760683760684</v>
      </c>
      <c r="P21" s="12">
        <v>0.10549474152561544</v>
      </c>
      <c r="Q21" s="12">
        <v>0.54732223794674262</v>
      </c>
      <c r="R21" s="14">
        <v>22</v>
      </c>
    </row>
    <row r="22" spans="2:18" x14ac:dyDescent="0.5">
      <c r="B22" s="1" t="s">
        <v>282</v>
      </c>
      <c r="C22" t="s">
        <v>337</v>
      </c>
      <c r="D22" t="s">
        <v>74</v>
      </c>
      <c r="E22">
        <v>5.58</v>
      </c>
      <c r="F22" s="9" t="s">
        <v>67</v>
      </c>
      <c r="G22" s="7">
        <v>15064428544</v>
      </c>
      <c r="H22" s="6">
        <v>6.83</v>
      </c>
      <c r="I22" s="6">
        <v>4.46</v>
      </c>
      <c r="J22" s="12">
        <f t="shared" si="0"/>
        <v>0.25112107623318392</v>
      </c>
      <c r="K22" s="11">
        <v>4.4623655913978495E-2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0.14353818677739708</v>
      </c>
      <c r="Q22" s="12">
        <v>0.17526328902672489</v>
      </c>
      <c r="R22" s="14">
        <v>21</v>
      </c>
    </row>
    <row r="23" spans="2:18" x14ac:dyDescent="0.5">
      <c r="B23" s="1" t="s">
        <v>27</v>
      </c>
      <c r="C23" t="s">
        <v>86</v>
      </c>
      <c r="D23" t="s">
        <v>87</v>
      </c>
      <c r="E23">
        <v>5.17</v>
      </c>
      <c r="F23" s="9" t="s">
        <v>67</v>
      </c>
      <c r="G23" s="7">
        <v>5479383040</v>
      </c>
      <c r="H23" s="6">
        <v>7.12</v>
      </c>
      <c r="I23" s="6">
        <v>3.98</v>
      </c>
      <c r="J23" s="12">
        <f t="shared" si="0"/>
        <v>0.29899497487437188</v>
      </c>
      <c r="K23" s="11">
        <v>9.6711798839458421E-2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0.34900849410320472</v>
      </c>
      <c r="Q23" s="12">
        <v>0.11511220438953086</v>
      </c>
      <c r="R23" s="14">
        <v>21</v>
      </c>
    </row>
    <row r="24" spans="2:18" x14ac:dyDescent="0.5">
      <c r="B24" s="1" t="s">
        <v>24</v>
      </c>
      <c r="C24" t="s">
        <v>759</v>
      </c>
      <c r="D24" t="s">
        <v>81</v>
      </c>
      <c r="E24">
        <v>20.04</v>
      </c>
      <c r="F24" s="9" t="s">
        <v>67</v>
      </c>
      <c r="G24" s="7">
        <v>42700701696</v>
      </c>
      <c r="H24" s="6">
        <v>26</v>
      </c>
      <c r="I24" s="6">
        <v>9.3000000000000007</v>
      </c>
      <c r="J24" s="12">
        <f t="shared" si="0"/>
        <v>1.1548387096774193</v>
      </c>
      <c r="K24" s="11">
        <v>5.5888223552894217E-2</v>
      </c>
      <c r="L24" s="13">
        <v>5451928473.2399998</v>
      </c>
      <c r="M24" s="13">
        <v>25994816572.18</v>
      </c>
      <c r="N24" s="9" t="s">
        <v>50</v>
      </c>
      <c r="O24" s="6">
        <v>1.0683760683760684</v>
      </c>
      <c r="P24" s="12">
        <v>0.12616784723866159</v>
      </c>
      <c r="Q24" s="12">
        <v>0.20973136925592797</v>
      </c>
      <c r="R24" s="14">
        <v>18</v>
      </c>
    </row>
    <row r="25" spans="2:18" x14ac:dyDescent="0.5">
      <c r="B25" s="1" t="s">
        <v>288</v>
      </c>
      <c r="C25" t="s">
        <v>343</v>
      </c>
      <c r="D25" t="s">
        <v>53</v>
      </c>
      <c r="E25">
        <v>4.79</v>
      </c>
      <c r="F25" s="9" t="s">
        <v>67</v>
      </c>
      <c r="G25" s="7">
        <v>18576017408</v>
      </c>
      <c r="H25" s="6">
        <v>5.29</v>
      </c>
      <c r="I25" s="6">
        <v>3.33</v>
      </c>
      <c r="J25" s="12">
        <f t="shared" si="0"/>
        <v>0.43843843843843833</v>
      </c>
      <c r="K25" s="11">
        <v>5.6367432150313153E-2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0.14405715552352125</v>
      </c>
      <c r="Q25" s="12">
        <v>0.16681818624944278</v>
      </c>
      <c r="R25" s="14">
        <v>23</v>
      </c>
    </row>
    <row r="26" spans="2:18" x14ac:dyDescent="0.5">
      <c r="B26" s="1" t="s">
        <v>34</v>
      </c>
      <c r="C26" t="s">
        <v>97</v>
      </c>
      <c r="D26" t="s">
        <v>70</v>
      </c>
      <c r="E26">
        <v>5.0999999999999996</v>
      </c>
      <c r="F26" s="9" t="s">
        <v>67</v>
      </c>
      <c r="G26" s="7">
        <v>58802769920</v>
      </c>
      <c r="H26" s="6">
        <v>5.37</v>
      </c>
      <c r="I26" s="6">
        <v>3.46</v>
      </c>
      <c r="J26" s="12">
        <f t="shared" si="0"/>
        <v>0.47398843930635826</v>
      </c>
      <c r="K26" s="11">
        <v>5.1176470588235302E-2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0.10044171508455541</v>
      </c>
      <c r="Q26" s="12">
        <v>0.29719681912231338</v>
      </c>
      <c r="R26" s="14">
        <v>27</v>
      </c>
    </row>
    <row r="27" spans="2:18" x14ac:dyDescent="0.5">
      <c r="B27" s="1" t="s">
        <v>22</v>
      </c>
      <c r="C27" t="s">
        <v>77</v>
      </c>
      <c r="D27" t="s">
        <v>78</v>
      </c>
      <c r="E27">
        <v>10.62</v>
      </c>
      <c r="F27" s="9" t="s">
        <v>67</v>
      </c>
      <c r="G27" s="7">
        <v>171764580352</v>
      </c>
      <c r="H27" s="6">
        <v>12.31</v>
      </c>
      <c r="I27" s="6">
        <v>7.16</v>
      </c>
      <c r="J27" s="12">
        <f t="shared" si="0"/>
        <v>0.483240223463687</v>
      </c>
      <c r="K27" s="11">
        <v>3.9924670433145008E-2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0.1682496215835326</v>
      </c>
      <c r="Q27" s="12">
        <v>0.15266623500015464</v>
      </c>
      <c r="R27" s="14">
        <v>20</v>
      </c>
    </row>
    <row r="28" spans="2:18" x14ac:dyDescent="0.5">
      <c r="B28" s="1" t="s">
        <v>277</v>
      </c>
      <c r="C28" t="s">
        <v>332</v>
      </c>
      <c r="D28" t="s">
        <v>55</v>
      </c>
      <c r="E28">
        <v>9.69</v>
      </c>
      <c r="F28" s="9" t="s">
        <v>67</v>
      </c>
      <c r="G28" s="7">
        <v>24426915840</v>
      </c>
      <c r="H28" s="6">
        <v>11.37</v>
      </c>
      <c r="I28" s="6">
        <v>4.8499999999999996</v>
      </c>
      <c r="J28" s="12">
        <f t="shared" si="0"/>
        <v>0.99793814432989691</v>
      </c>
      <c r="K28" s="11">
        <v>3.2817337461300312E-2</v>
      </c>
      <c r="L28" s="13">
        <v>3301437000</v>
      </c>
      <c r="M28" s="13">
        <v>21814427000</v>
      </c>
      <c r="N28" s="9" t="s">
        <v>67</v>
      </c>
      <c r="O28" s="6">
        <v>1</v>
      </c>
      <c r="P28" s="12">
        <v>0.16008755720464526</v>
      </c>
      <c r="Q28" s="12">
        <v>0.15134190781174311</v>
      </c>
      <c r="R28" s="14">
        <v>25</v>
      </c>
    </row>
    <row r="29" spans="2:18" x14ac:dyDescent="0.5">
      <c r="B29" s="1" t="s">
        <v>279</v>
      </c>
      <c r="C29" t="s">
        <v>334</v>
      </c>
      <c r="D29" t="s">
        <v>60</v>
      </c>
      <c r="E29">
        <v>10.38</v>
      </c>
      <c r="F29" s="9" t="s">
        <v>67</v>
      </c>
      <c r="G29" s="7">
        <v>16822855680</v>
      </c>
      <c r="H29" s="6">
        <v>12.4</v>
      </c>
      <c r="I29" s="6">
        <v>9.1999999999999993</v>
      </c>
      <c r="J29" s="12">
        <f t="shared" si="0"/>
        <v>0.12826086956521765</v>
      </c>
      <c r="K29" s="11">
        <v>5.7803468208092477E-2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0.25309991485320965</v>
      </c>
      <c r="Q29" s="12">
        <v>0.11773304155211949</v>
      </c>
      <c r="R29" s="14">
        <v>24</v>
      </c>
    </row>
    <row r="30" spans="2:18" x14ac:dyDescent="0.5">
      <c r="B30" s="1" t="s">
        <v>270</v>
      </c>
      <c r="C30" t="s">
        <v>324</v>
      </c>
      <c r="D30" t="s">
        <v>94</v>
      </c>
      <c r="E30">
        <v>15.95</v>
      </c>
      <c r="F30" s="9" t="s">
        <v>67</v>
      </c>
      <c r="G30" s="7">
        <v>25592547328</v>
      </c>
      <c r="H30" s="6">
        <v>18.399999999999999</v>
      </c>
      <c r="I30" s="6">
        <v>9.6300000000000008</v>
      </c>
      <c r="J30" s="12">
        <f t="shared" si="0"/>
        <v>0.65628245067497382</v>
      </c>
      <c r="K30" s="11">
        <v>1.0470219435736679E-2</v>
      </c>
      <c r="L30" s="13">
        <v>634792000</v>
      </c>
      <c r="M30" s="13">
        <v>5195491000</v>
      </c>
      <c r="N30" s="9" t="s">
        <v>71</v>
      </c>
      <c r="O30" s="6">
        <v>7.6923076923076916</v>
      </c>
      <c r="P30" s="12">
        <v>0.17929955709277837</v>
      </c>
      <c r="Q30" s="12">
        <v>0.12218132992627646</v>
      </c>
      <c r="R30" s="14">
        <v>28</v>
      </c>
    </row>
    <row r="31" spans="2:18" x14ac:dyDescent="0.5">
      <c r="B31" s="1" t="s">
        <v>140</v>
      </c>
      <c r="C31" t="s">
        <v>189</v>
      </c>
      <c r="D31" t="s">
        <v>178</v>
      </c>
      <c r="E31">
        <v>9.6999999999999993</v>
      </c>
      <c r="F31" s="9" t="s">
        <v>67</v>
      </c>
      <c r="G31" s="7">
        <v>120325193728</v>
      </c>
      <c r="H31" s="6">
        <v>13.6</v>
      </c>
      <c r="I31" s="6">
        <v>6.57</v>
      </c>
      <c r="J31" s="12">
        <f t="shared" si="0"/>
        <v>0.47640791476407895</v>
      </c>
      <c r="K31" s="11">
        <v>5.1546391752577327E-3</v>
      </c>
      <c r="L31" s="13">
        <v>2250990000</v>
      </c>
      <c r="M31" s="13">
        <v>11437145000</v>
      </c>
      <c r="N31" s="9" t="s">
        <v>71</v>
      </c>
      <c r="O31" s="6">
        <v>7.6923076923076916</v>
      </c>
      <c r="P31" s="12">
        <v>0.13521807150018272</v>
      </c>
      <c r="Q31" s="12">
        <v>0.19681397761416858</v>
      </c>
      <c r="R31" s="14">
        <v>19</v>
      </c>
    </row>
    <row r="32" spans="2:18" x14ac:dyDescent="0.5">
      <c r="B32" s="1" t="s">
        <v>283</v>
      </c>
      <c r="C32" t="s">
        <v>338</v>
      </c>
      <c r="D32" t="s">
        <v>96</v>
      </c>
      <c r="E32">
        <v>4.75</v>
      </c>
      <c r="F32" s="9" t="s">
        <v>67</v>
      </c>
      <c r="G32" s="7">
        <v>5229519872</v>
      </c>
      <c r="H32" s="6">
        <v>4.95</v>
      </c>
      <c r="I32" s="6">
        <v>3.98</v>
      </c>
      <c r="J32" s="12">
        <f t="shared" si="0"/>
        <v>0.1934673366834172</v>
      </c>
      <c r="K32" s="11">
        <v>6.7368421052631577E-2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0.16578429982280146</v>
      </c>
      <c r="Q32" s="12">
        <v>0.14577225152582682</v>
      </c>
      <c r="R32" s="14">
        <v>25</v>
      </c>
    </row>
    <row r="33" spans="2:18" x14ac:dyDescent="0.5">
      <c r="B33" s="1" t="s">
        <v>198</v>
      </c>
      <c r="C33" t="s">
        <v>222</v>
      </c>
      <c r="D33" t="s">
        <v>223</v>
      </c>
      <c r="E33">
        <v>0.69</v>
      </c>
      <c r="F33" s="9" t="s">
        <v>67</v>
      </c>
      <c r="G33" s="7">
        <v>1643722112</v>
      </c>
      <c r="H33" s="6">
        <v>0.75</v>
      </c>
      <c r="I33" s="6">
        <v>0.55000000000000004</v>
      </c>
      <c r="J33" s="12">
        <f t="shared" si="0"/>
        <v>0.25454545454545441</v>
      </c>
      <c r="K33" s="11">
        <v>1.4492753623188408E-2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1.2095512147057168</v>
      </c>
      <c r="Q33" s="12">
        <v>9.2370860611101543E-2</v>
      </c>
      <c r="R33" s="14">
        <v>28</v>
      </c>
    </row>
    <row r="34" spans="2:18" x14ac:dyDescent="0.5">
      <c r="B34" s="1" t="s">
        <v>115</v>
      </c>
      <c r="C34" t="s">
        <v>155</v>
      </c>
      <c r="D34" t="s">
        <v>83</v>
      </c>
      <c r="E34">
        <v>82.45</v>
      </c>
      <c r="F34" s="9" t="s">
        <v>67</v>
      </c>
      <c r="G34" s="7">
        <v>228427677696</v>
      </c>
      <c r="H34" s="6">
        <v>106.3</v>
      </c>
      <c r="I34" s="6">
        <v>73.55</v>
      </c>
      <c r="J34" s="12">
        <f t="shared" ref="J34:J65" si="1">E34/I34-1</f>
        <v>0.12100611828687979</v>
      </c>
      <c r="K34" s="11">
        <v>2.8744693753790178E-2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9.7641040046583055E-2</v>
      </c>
      <c r="Q34" s="12">
        <v>0.27269973953601068</v>
      </c>
      <c r="R34" s="14">
        <v>32</v>
      </c>
    </row>
    <row r="35" spans="2:18" x14ac:dyDescent="0.5">
      <c r="B35" s="1" t="s">
        <v>278</v>
      </c>
      <c r="C35" t="s">
        <v>333</v>
      </c>
      <c r="D35" t="s">
        <v>49</v>
      </c>
      <c r="E35">
        <v>21.62</v>
      </c>
      <c r="F35" s="9" t="s">
        <v>67</v>
      </c>
      <c r="G35" s="7">
        <v>34505523200</v>
      </c>
      <c r="H35" s="6">
        <v>24.25</v>
      </c>
      <c r="I35" s="6">
        <v>16.18</v>
      </c>
      <c r="J35" s="12">
        <f t="shared" si="1"/>
        <v>0.33621755253399277</v>
      </c>
      <c r="K35" s="11">
        <v>3.1729879740980578E-2</v>
      </c>
      <c r="L35" s="13">
        <v>3811007000</v>
      </c>
      <c r="M35" s="13">
        <v>22856317000</v>
      </c>
      <c r="N35" s="9" t="s">
        <v>50</v>
      </c>
      <c r="O35" s="6">
        <v>1.0683760683760684</v>
      </c>
      <c r="P35" s="12">
        <v>0.12045695152137037</v>
      </c>
      <c r="Q35" s="12">
        <v>0.1667375806872122</v>
      </c>
      <c r="R35" s="14">
        <v>34</v>
      </c>
    </row>
    <row r="36" spans="2:18" x14ac:dyDescent="0.5">
      <c r="B36" s="1" t="s">
        <v>136</v>
      </c>
      <c r="C36" t="s">
        <v>183</v>
      </c>
      <c r="D36" t="s">
        <v>85</v>
      </c>
      <c r="E36">
        <v>12.02</v>
      </c>
      <c r="F36" s="9" t="s">
        <v>67</v>
      </c>
      <c r="G36" s="7">
        <v>67750928384</v>
      </c>
      <c r="H36" s="6">
        <v>14.24</v>
      </c>
      <c r="I36" s="6">
        <v>9.6199999999999992</v>
      </c>
      <c r="J36" s="12">
        <f t="shared" si="1"/>
        <v>0.24948024948024949</v>
      </c>
      <c r="K36" s="11">
        <v>2.7537437603993346E-2</v>
      </c>
      <c r="L36" s="13">
        <v>6482967000</v>
      </c>
      <c r="M36" s="13">
        <v>27483863000</v>
      </c>
      <c r="N36" s="9" t="s">
        <v>50</v>
      </c>
      <c r="O36" s="6">
        <v>1.0683760683760684</v>
      </c>
      <c r="P36" s="12">
        <v>9.3395365426136814E-2</v>
      </c>
      <c r="Q36" s="12">
        <v>0.23588267049650188</v>
      </c>
      <c r="R36" s="14">
        <v>35</v>
      </c>
    </row>
    <row r="37" spans="2:18" x14ac:dyDescent="0.5">
      <c r="B37" s="1" t="s">
        <v>384</v>
      </c>
      <c r="C37" t="s">
        <v>387</v>
      </c>
      <c r="D37" t="s">
        <v>83</v>
      </c>
      <c r="E37">
        <v>17.62</v>
      </c>
      <c r="F37" s="9" t="s">
        <v>67</v>
      </c>
      <c r="G37" s="7">
        <v>45371879424</v>
      </c>
      <c r="H37" s="6">
        <v>20.9</v>
      </c>
      <c r="I37" s="6">
        <v>13.5</v>
      </c>
      <c r="J37" s="12">
        <f t="shared" si="1"/>
        <v>0.30518518518518523</v>
      </c>
      <c r="K37" s="11">
        <v>3.0817253121452896E-2</v>
      </c>
      <c r="L37" s="13">
        <v>4264779000</v>
      </c>
      <c r="M37" s="13">
        <v>26103689000</v>
      </c>
      <c r="N37" s="9" t="s">
        <v>50</v>
      </c>
      <c r="O37" s="6">
        <v>1.0683760683760684</v>
      </c>
      <c r="P37" s="12">
        <v>0.11555906617262864</v>
      </c>
      <c r="Q37" s="12">
        <v>0.16337840218675606</v>
      </c>
      <c r="R37" s="14">
        <v>38</v>
      </c>
    </row>
    <row r="38" spans="2:18" x14ac:dyDescent="0.5">
      <c r="B38" s="1" t="s">
        <v>275</v>
      </c>
      <c r="C38" t="s">
        <v>330</v>
      </c>
      <c r="D38" t="s">
        <v>148</v>
      </c>
      <c r="E38">
        <v>30.7</v>
      </c>
      <c r="F38" s="9" t="s">
        <v>67</v>
      </c>
      <c r="G38" s="7">
        <v>218919845888</v>
      </c>
      <c r="H38" s="6">
        <v>34.119999999999997</v>
      </c>
      <c r="I38" s="6">
        <v>21</v>
      </c>
      <c r="J38" s="12">
        <f t="shared" si="1"/>
        <v>0.46190476190476182</v>
      </c>
      <c r="K38" s="11">
        <v>4.2964169381107489E-2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0.17999238397814013</v>
      </c>
      <c r="Q38" s="12">
        <v>0.11493949471384535</v>
      </c>
      <c r="R38" s="14">
        <v>33</v>
      </c>
    </row>
    <row r="39" spans="2:18" x14ac:dyDescent="0.5">
      <c r="B39" s="1" t="s">
        <v>276</v>
      </c>
      <c r="C39" t="s">
        <v>331</v>
      </c>
      <c r="D39" t="s">
        <v>53</v>
      </c>
      <c r="E39">
        <v>25.9</v>
      </c>
      <c r="F39" s="9" t="s">
        <v>67</v>
      </c>
      <c r="G39" s="7">
        <v>253370793984</v>
      </c>
      <c r="H39" s="6">
        <v>30</v>
      </c>
      <c r="I39" s="6">
        <v>19.239999999999998</v>
      </c>
      <c r="J39" s="12">
        <f t="shared" si="1"/>
        <v>0.34615384615384626</v>
      </c>
      <c r="K39" s="11">
        <v>4.7644787644787648E-2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0.11263861327120665</v>
      </c>
      <c r="Q39" s="12">
        <v>0.18884873513587705</v>
      </c>
      <c r="R39" s="14">
        <v>32</v>
      </c>
    </row>
    <row r="40" spans="2:18" x14ac:dyDescent="0.5">
      <c r="B40" s="1" t="s">
        <v>272</v>
      </c>
      <c r="C40" t="s">
        <v>326</v>
      </c>
      <c r="D40" t="s">
        <v>298</v>
      </c>
      <c r="E40">
        <v>3.57</v>
      </c>
      <c r="F40" s="9" t="s">
        <v>67</v>
      </c>
      <c r="G40" s="7">
        <v>41060438016</v>
      </c>
      <c r="H40" s="6">
        <v>4.54</v>
      </c>
      <c r="I40" s="6">
        <v>2.5</v>
      </c>
      <c r="J40" s="12">
        <f t="shared" si="1"/>
        <v>0.42799999999999994</v>
      </c>
      <c r="K40" s="11">
        <v>5.3221288515406168E-2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0.1816407754230471</v>
      </c>
      <c r="Q40" s="12">
        <v>0.11538320116682396</v>
      </c>
      <c r="R40" s="14">
        <v>30</v>
      </c>
    </row>
    <row r="41" spans="2:18" x14ac:dyDescent="0.5">
      <c r="B41" s="1" t="s">
        <v>121</v>
      </c>
      <c r="C41" t="s">
        <v>162</v>
      </c>
      <c r="D41" t="s">
        <v>76</v>
      </c>
      <c r="E41">
        <v>5.91</v>
      </c>
      <c r="F41" s="9" t="s">
        <v>67</v>
      </c>
      <c r="G41" s="7">
        <v>8663890944</v>
      </c>
      <c r="H41" s="6">
        <v>6.57</v>
      </c>
      <c r="I41" s="6">
        <v>4.0199999999999996</v>
      </c>
      <c r="J41" s="12">
        <f t="shared" si="1"/>
        <v>0.47014925373134342</v>
      </c>
      <c r="K41" s="11">
        <v>9.2216582064297808E-2</v>
      </c>
      <c r="L41" s="13">
        <v>784607000</v>
      </c>
      <c r="M41" s="13">
        <v>7872586000</v>
      </c>
      <c r="N41" s="9" t="s">
        <v>67</v>
      </c>
      <c r="O41" s="6">
        <v>1</v>
      </c>
      <c r="P41" s="12">
        <v>0.26656585824289214</v>
      </c>
      <c r="Q41" s="12">
        <v>9.9663185641922489E-2</v>
      </c>
      <c r="R41" s="14">
        <v>34</v>
      </c>
    </row>
    <row r="42" spans="2:18" x14ac:dyDescent="0.5">
      <c r="B42" s="1" t="s">
        <v>280</v>
      </c>
      <c r="C42" t="s">
        <v>335</v>
      </c>
      <c r="D42" t="s">
        <v>178</v>
      </c>
      <c r="E42">
        <v>5.72</v>
      </c>
      <c r="F42" s="9" t="s">
        <v>67</v>
      </c>
      <c r="G42" s="7">
        <v>2218694656</v>
      </c>
      <c r="H42" s="6">
        <v>14.18</v>
      </c>
      <c r="I42" s="6">
        <v>4.46</v>
      </c>
      <c r="J42" s="12">
        <f t="shared" si="1"/>
        <v>0.28251121076233177</v>
      </c>
      <c r="K42" s="11">
        <v>6.9930069930069935E-2</v>
      </c>
      <c r="L42" s="13">
        <v>348303000</v>
      </c>
      <c r="M42" s="13">
        <v>3681615000</v>
      </c>
      <c r="N42" s="9" t="s">
        <v>67</v>
      </c>
      <c r="O42" s="6">
        <v>1</v>
      </c>
      <c r="P42" s="12">
        <v>0.42709279947410678</v>
      </c>
      <c r="Q42" s="12">
        <v>9.4606035666412708E-2</v>
      </c>
      <c r="R42" s="14">
        <v>29</v>
      </c>
    </row>
    <row r="43" spans="2:18" x14ac:dyDescent="0.5">
      <c r="B43" s="1" t="s">
        <v>290</v>
      </c>
      <c r="C43" t="s">
        <v>345</v>
      </c>
      <c r="D43" t="s">
        <v>85</v>
      </c>
      <c r="E43">
        <v>1.07</v>
      </c>
      <c r="F43" s="9" t="s">
        <v>67</v>
      </c>
      <c r="G43" s="7">
        <v>2341710080</v>
      </c>
      <c r="H43" s="6">
        <v>1.29</v>
      </c>
      <c r="I43" s="6">
        <v>0.46</v>
      </c>
      <c r="J43" s="12">
        <f t="shared" si="1"/>
        <v>1.3260869565217392</v>
      </c>
      <c r="K43" s="11">
        <v>3.4579439252336447E-2</v>
      </c>
      <c r="L43" s="13">
        <v>219938000</v>
      </c>
      <c r="M43" s="13">
        <v>1520292000</v>
      </c>
      <c r="N43" s="9" t="s">
        <v>50</v>
      </c>
      <c r="O43" s="6">
        <v>1.0683760683760684</v>
      </c>
      <c r="P43" s="12">
        <v>0.16071633811434632</v>
      </c>
      <c r="Q43" s="12">
        <v>0.14466826109721026</v>
      </c>
      <c r="R43" s="14">
        <v>26</v>
      </c>
    </row>
    <row r="44" spans="2:18" x14ac:dyDescent="0.5">
      <c r="B44" s="1" t="s">
        <v>139</v>
      </c>
      <c r="C44" t="s">
        <v>187</v>
      </c>
      <c r="D44" t="s">
        <v>106</v>
      </c>
      <c r="E44">
        <v>44.2</v>
      </c>
      <c r="F44" s="9" t="s">
        <v>67</v>
      </c>
      <c r="G44" s="7">
        <v>113100021760</v>
      </c>
      <c r="H44" s="6">
        <v>71.7</v>
      </c>
      <c r="I44" s="6">
        <v>39.549999999999997</v>
      </c>
      <c r="J44" s="12">
        <f t="shared" si="1"/>
        <v>0.11757269279393179</v>
      </c>
      <c r="K44" s="11">
        <v>3.7104072398190043E-3</v>
      </c>
      <c r="L44" s="13">
        <v>1279098000</v>
      </c>
      <c r="M44" s="13">
        <v>4811702000</v>
      </c>
      <c r="N44" s="9" t="s">
        <v>188</v>
      </c>
      <c r="O44" s="6">
        <v>8.7546153846153842</v>
      </c>
      <c r="P44" s="12">
        <v>8.7044323305313323E-2</v>
      </c>
      <c r="Q44" s="12">
        <v>0.26583067696212276</v>
      </c>
      <c r="R44" s="14">
        <v>35</v>
      </c>
    </row>
    <row r="45" spans="2:18" x14ac:dyDescent="0.5">
      <c r="B45" s="1" t="s">
        <v>110</v>
      </c>
      <c r="C45" t="s">
        <v>147</v>
      </c>
      <c r="D45" t="s">
        <v>148</v>
      </c>
      <c r="E45">
        <v>4.55</v>
      </c>
      <c r="F45" s="9" t="s">
        <v>67</v>
      </c>
      <c r="G45" s="7">
        <v>6531122176</v>
      </c>
      <c r="H45" s="6">
        <v>6.5</v>
      </c>
      <c r="I45" s="6">
        <v>2.73</v>
      </c>
      <c r="J45" s="12">
        <f t="shared" si="1"/>
        <v>0.66666666666666652</v>
      </c>
      <c r="K45" s="11">
        <v>8.593406593406594E-2</v>
      </c>
      <c r="L45" s="13">
        <v>811880000</v>
      </c>
      <c r="M45" s="13">
        <v>5532140000</v>
      </c>
      <c r="N45" s="9" t="s">
        <v>50</v>
      </c>
      <c r="O45" s="6">
        <v>1.0683760683760684</v>
      </c>
      <c r="P45" s="12">
        <v>0.13730774302157639</v>
      </c>
      <c r="Q45" s="12">
        <v>0.14675695119790894</v>
      </c>
      <c r="R45" s="14">
        <v>34</v>
      </c>
    </row>
    <row r="46" spans="2:18" x14ac:dyDescent="0.5">
      <c r="B46" s="1" t="s">
        <v>287</v>
      </c>
      <c r="C46" t="s">
        <v>342</v>
      </c>
      <c r="D46" t="s">
        <v>236</v>
      </c>
      <c r="E46">
        <v>12.55</v>
      </c>
      <c r="F46" s="9" t="s">
        <v>67</v>
      </c>
      <c r="G46" s="7">
        <v>12435214336</v>
      </c>
      <c r="H46" s="6">
        <v>15.5</v>
      </c>
      <c r="I46" s="6">
        <v>6.3</v>
      </c>
      <c r="J46" s="12">
        <f t="shared" si="1"/>
        <v>0.99206349206349231</v>
      </c>
      <c r="K46" s="11">
        <v>2.8207171314741031E-2</v>
      </c>
      <c r="L46" s="13">
        <v>1333116000</v>
      </c>
      <c r="M46" s="13">
        <v>8019803000</v>
      </c>
      <c r="N46" s="9" t="s">
        <v>50</v>
      </c>
      <c r="O46" s="6">
        <v>1.0683760683760684</v>
      </c>
      <c r="P46" s="12">
        <v>0.11621120671346269</v>
      </c>
      <c r="Q46" s="12">
        <v>0.16622802330680692</v>
      </c>
      <c r="R46" s="14">
        <v>37</v>
      </c>
    </row>
    <row r="47" spans="2:18" x14ac:dyDescent="0.5">
      <c r="B47" s="1" t="s">
        <v>248</v>
      </c>
      <c r="C47" t="s">
        <v>295</v>
      </c>
      <c r="D47" t="s">
        <v>296</v>
      </c>
      <c r="E47">
        <v>15.56</v>
      </c>
      <c r="F47" s="9" t="s">
        <v>67</v>
      </c>
      <c r="G47" s="7">
        <v>378602749952</v>
      </c>
      <c r="H47" s="6">
        <v>17.829999999999998</v>
      </c>
      <c r="I47" s="6">
        <v>4.58</v>
      </c>
      <c r="J47" s="12">
        <f t="shared" si="1"/>
        <v>2.3973799126637556</v>
      </c>
      <c r="K47" s="11">
        <v>1.6388174807197942E-2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8.2351803206579297E-2</v>
      </c>
      <c r="Q47" s="12">
        <v>0.2888078161719172</v>
      </c>
      <c r="R47" s="14">
        <v>35</v>
      </c>
    </row>
    <row r="48" spans="2:18" x14ac:dyDescent="0.5">
      <c r="B48" s="1" t="s">
        <v>281</v>
      </c>
      <c r="C48" t="s">
        <v>336</v>
      </c>
      <c r="D48" t="s">
        <v>96</v>
      </c>
      <c r="E48">
        <v>4.66</v>
      </c>
      <c r="F48" s="9" t="s">
        <v>67</v>
      </c>
      <c r="G48" s="7">
        <v>32275245056</v>
      </c>
      <c r="H48" s="6">
        <v>6.15</v>
      </c>
      <c r="I48" s="6">
        <v>3.78</v>
      </c>
      <c r="J48" s="12">
        <f t="shared" si="1"/>
        <v>0.23280423280423301</v>
      </c>
      <c r="K48" s="11">
        <v>4.699570815450644E-2</v>
      </c>
      <c r="L48" s="13">
        <v>4216348000</v>
      </c>
      <c r="M48" s="13">
        <v>46142120000</v>
      </c>
      <c r="N48" s="9" t="s">
        <v>50</v>
      </c>
      <c r="O48" s="6">
        <v>1.0683760683760684</v>
      </c>
      <c r="P48" s="12">
        <v>0.33460170527949917</v>
      </c>
      <c r="Q48" s="12">
        <v>9.1377422623841298E-2</v>
      </c>
      <c r="R48" s="14">
        <v>37</v>
      </c>
    </row>
    <row r="49" spans="2:18" x14ac:dyDescent="0.5">
      <c r="B49" s="1" t="s">
        <v>274</v>
      </c>
      <c r="C49" t="s">
        <v>328</v>
      </c>
      <c r="D49" t="s">
        <v>329</v>
      </c>
      <c r="E49">
        <v>7.37</v>
      </c>
      <c r="F49" s="9" t="s">
        <v>67</v>
      </c>
      <c r="G49" s="7">
        <v>9426760704</v>
      </c>
      <c r="H49" s="6">
        <v>8.31</v>
      </c>
      <c r="I49" s="6">
        <v>3.73</v>
      </c>
      <c r="J49" s="12">
        <f t="shared" si="1"/>
        <v>0.97587131367292224</v>
      </c>
      <c r="K49" s="11">
        <v>3.5278154681139755E-2</v>
      </c>
      <c r="L49" s="13">
        <v>2871477000</v>
      </c>
      <c r="M49" s="13">
        <v>21784665000</v>
      </c>
      <c r="N49" s="9" t="s">
        <v>50</v>
      </c>
      <c r="O49" s="6">
        <v>1.0683760683760684</v>
      </c>
      <c r="P49" s="12">
        <v>0.13670205622726136</v>
      </c>
      <c r="Q49" s="12">
        <v>0.1318118502166547</v>
      </c>
      <c r="R49" s="14">
        <v>36</v>
      </c>
    </row>
    <row r="50" spans="2:18" x14ac:dyDescent="0.5">
      <c r="B50" s="1" t="s">
        <v>261</v>
      </c>
      <c r="C50" t="s">
        <v>312</v>
      </c>
      <c r="D50" t="s">
        <v>313</v>
      </c>
      <c r="E50">
        <v>6.9</v>
      </c>
      <c r="F50" s="9" t="s">
        <v>67</v>
      </c>
      <c r="G50" s="7">
        <v>12471263232</v>
      </c>
      <c r="H50" s="6">
        <v>9.7899999999999991</v>
      </c>
      <c r="I50" s="6">
        <v>5.49</v>
      </c>
      <c r="J50" s="12">
        <f t="shared" si="1"/>
        <v>0.25683060109289624</v>
      </c>
      <c r="K50" s="11">
        <v>3.7681159420289857E-2</v>
      </c>
      <c r="L50" s="13">
        <v>2897428000</v>
      </c>
      <c r="M50" s="13">
        <v>25970601000</v>
      </c>
      <c r="N50" s="9" t="s">
        <v>67</v>
      </c>
      <c r="O50" s="6">
        <v>1</v>
      </c>
      <c r="P50" s="12">
        <v>0.16665608101520546</v>
      </c>
      <c r="Q50" s="12">
        <v>0.11156568921912897</v>
      </c>
      <c r="R50" s="14">
        <v>35</v>
      </c>
    </row>
    <row r="51" spans="2:18" x14ac:dyDescent="0.5">
      <c r="B51" s="1" t="s">
        <v>19</v>
      </c>
      <c r="C51" t="s">
        <v>69</v>
      </c>
      <c r="D51" t="s">
        <v>70</v>
      </c>
      <c r="E51">
        <v>6.95</v>
      </c>
      <c r="F51" s="9" t="s">
        <v>67</v>
      </c>
      <c r="G51" s="7">
        <v>19827111936</v>
      </c>
      <c r="H51" s="6">
        <v>7.5</v>
      </c>
      <c r="I51" s="6">
        <v>3.6</v>
      </c>
      <c r="J51" s="12">
        <f t="shared" si="1"/>
        <v>0.93055555555555558</v>
      </c>
      <c r="K51" s="11">
        <v>6.4748201438848919E-3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0.11152313321429892</v>
      </c>
      <c r="Q51" s="12">
        <v>0.15459217096529801</v>
      </c>
      <c r="R51" s="14">
        <v>41</v>
      </c>
    </row>
    <row r="52" spans="2:18" x14ac:dyDescent="0.5">
      <c r="B52" s="1" t="s">
        <v>267</v>
      </c>
      <c r="C52" t="s">
        <v>320</v>
      </c>
      <c r="D52" t="s">
        <v>171</v>
      </c>
      <c r="E52">
        <v>76</v>
      </c>
      <c r="F52" s="9" t="s">
        <v>67</v>
      </c>
      <c r="G52" s="7">
        <v>18606721024</v>
      </c>
      <c r="H52" s="6">
        <v>103.1</v>
      </c>
      <c r="I52" s="6">
        <v>58.2</v>
      </c>
      <c r="J52" s="12">
        <f t="shared" si="1"/>
        <v>0.30584192439862545</v>
      </c>
      <c r="K52" s="11">
        <v>1.0789473684210526E-2</v>
      </c>
      <c r="L52" s="13">
        <v>526052000</v>
      </c>
      <c r="M52" s="13">
        <v>5343547000</v>
      </c>
      <c r="N52" s="9" t="s">
        <v>71</v>
      </c>
      <c r="O52" s="6">
        <v>7.6923076923076916</v>
      </c>
      <c r="P52" s="12">
        <v>0.2161478772292853</v>
      </c>
      <c r="Q52" s="12">
        <v>9.8446219337080781E-2</v>
      </c>
      <c r="R52" s="14">
        <v>36</v>
      </c>
    </row>
    <row r="53" spans="2:18" x14ac:dyDescent="0.5">
      <c r="B53" s="1" t="s">
        <v>271</v>
      </c>
      <c r="C53" t="s">
        <v>325</v>
      </c>
      <c r="D53" t="s">
        <v>94</v>
      </c>
      <c r="E53">
        <v>0.45500000000000002</v>
      </c>
      <c r="F53" s="9" t="s">
        <v>67</v>
      </c>
      <c r="G53" s="7">
        <v>2358590208</v>
      </c>
      <c r="H53" s="6">
        <v>0.68</v>
      </c>
      <c r="I53" s="6">
        <v>0.45500000000000002</v>
      </c>
      <c r="J53" s="12">
        <f t="shared" si="1"/>
        <v>0</v>
      </c>
      <c r="K53" s="11">
        <v>4.3956043956043953E-2</v>
      </c>
      <c r="L53" s="13">
        <v>756004000</v>
      </c>
      <c r="M53" s="13">
        <v>8813758000</v>
      </c>
      <c r="N53" s="9" t="s">
        <v>50</v>
      </c>
      <c r="O53" s="6">
        <v>1.0683760683760684</v>
      </c>
      <c r="P53" s="12">
        <v>0.32925262077993134</v>
      </c>
      <c r="Q53" s="12">
        <v>8.5775443346640556E-2</v>
      </c>
      <c r="R53" s="14">
        <v>39</v>
      </c>
    </row>
    <row r="54" spans="2:18" x14ac:dyDescent="0.5">
      <c r="B54" s="1" t="s">
        <v>265</v>
      </c>
      <c r="C54" t="s">
        <v>318</v>
      </c>
      <c r="D54" t="s">
        <v>300</v>
      </c>
      <c r="E54">
        <v>4.58</v>
      </c>
      <c r="F54" s="9" t="s">
        <v>67</v>
      </c>
      <c r="G54" s="7">
        <v>4232570368</v>
      </c>
      <c r="H54" s="6">
        <v>5.59</v>
      </c>
      <c r="I54" s="6">
        <v>3.5</v>
      </c>
      <c r="J54" s="12">
        <f t="shared" si="1"/>
        <v>0.3085714285714285</v>
      </c>
      <c r="K54" s="11">
        <v>3.384279475982533E-2</v>
      </c>
      <c r="L54" s="13">
        <v>754477000</v>
      </c>
      <c r="M54" s="13">
        <v>11677999000</v>
      </c>
      <c r="N54" s="9" t="s">
        <v>67</v>
      </c>
      <c r="O54" s="6">
        <v>1</v>
      </c>
      <c r="P54" s="12">
        <v>0.4404518479485055</v>
      </c>
      <c r="Q54" s="12">
        <v>6.460670188445812E-2</v>
      </c>
      <c r="R54" s="14">
        <v>40</v>
      </c>
    </row>
    <row r="55" spans="2:18" x14ac:dyDescent="0.5">
      <c r="B55" s="1" t="s">
        <v>37</v>
      </c>
      <c r="C55" t="s">
        <v>101</v>
      </c>
      <c r="D55" t="s">
        <v>102</v>
      </c>
      <c r="E55">
        <v>4.68</v>
      </c>
      <c r="F55" s="9" t="s">
        <v>67</v>
      </c>
      <c r="G55" s="7">
        <v>3646665984</v>
      </c>
      <c r="H55" s="6">
        <v>8.83</v>
      </c>
      <c r="I55" s="6">
        <v>4.28</v>
      </c>
      <c r="J55" s="12">
        <f t="shared" si="1"/>
        <v>9.3457943925233433E-2</v>
      </c>
      <c r="K55" s="11">
        <v>3.6324786324786328E-2</v>
      </c>
      <c r="L55" s="13">
        <v>437453000</v>
      </c>
      <c r="M55" s="13">
        <v>4911072000</v>
      </c>
      <c r="N55" s="9" t="s">
        <v>67</v>
      </c>
      <c r="O55" s="6">
        <v>1</v>
      </c>
      <c r="P55" s="12">
        <v>0.32231618463153566</v>
      </c>
      <c r="Q55" s="12">
        <v>8.9074849645861431E-2</v>
      </c>
      <c r="R55" s="14">
        <v>38</v>
      </c>
    </row>
    <row r="56" spans="2:18" x14ac:dyDescent="0.5">
      <c r="B56" s="1" t="s">
        <v>284</v>
      </c>
      <c r="C56" t="s">
        <v>339</v>
      </c>
      <c r="D56" t="s">
        <v>70</v>
      </c>
      <c r="E56">
        <v>3.88</v>
      </c>
      <c r="F56" s="9" t="s">
        <v>67</v>
      </c>
      <c r="G56" s="7">
        <v>2227818240</v>
      </c>
      <c r="H56" s="6">
        <v>4.84</v>
      </c>
      <c r="I56" s="6">
        <v>2.8</v>
      </c>
      <c r="J56" s="12">
        <f t="shared" si="1"/>
        <v>0.38571428571428568</v>
      </c>
      <c r="K56" s="11">
        <v>7.2164948453608255E-2</v>
      </c>
      <c r="L56" s="13">
        <v>392836000</v>
      </c>
      <c r="M56" s="13">
        <v>3201831000</v>
      </c>
      <c r="N56" s="9" t="s">
        <v>67</v>
      </c>
      <c r="O56" s="6">
        <v>1</v>
      </c>
      <c r="P56" s="12">
        <v>0.11883453941152358</v>
      </c>
      <c r="Q56" s="12">
        <v>0.12269104771613493</v>
      </c>
      <c r="R56" s="14">
        <v>45</v>
      </c>
    </row>
    <row r="57" spans="2:18" x14ac:dyDescent="0.5">
      <c r="B57" s="1" t="s">
        <v>269</v>
      </c>
      <c r="C57" t="s">
        <v>323</v>
      </c>
      <c r="D57" t="s">
        <v>85</v>
      </c>
      <c r="E57">
        <v>10.199999999999999</v>
      </c>
      <c r="F57" s="9" t="s">
        <v>67</v>
      </c>
      <c r="G57" s="7">
        <v>2394164480</v>
      </c>
      <c r="H57" s="6">
        <v>17</v>
      </c>
      <c r="I57" s="6">
        <v>8</v>
      </c>
      <c r="J57" s="12">
        <f t="shared" si="1"/>
        <v>0.27499999999999991</v>
      </c>
      <c r="K57" s="11">
        <v>4.7058823529411764E-2</v>
      </c>
      <c r="L57" s="13">
        <v>244811000</v>
      </c>
      <c r="M57" s="13">
        <v>2904223000</v>
      </c>
      <c r="N57" s="9" t="s">
        <v>67</v>
      </c>
      <c r="O57" s="6">
        <v>1</v>
      </c>
      <c r="P57" s="12">
        <v>0.35394268653098088</v>
      </c>
      <c r="Q57" s="12">
        <v>8.4294835486117978E-2</v>
      </c>
      <c r="R57" s="14">
        <v>38</v>
      </c>
    </row>
    <row r="58" spans="2:18" x14ac:dyDescent="0.5">
      <c r="B58" s="1" t="s">
        <v>268</v>
      </c>
      <c r="C58" t="s">
        <v>321</v>
      </c>
      <c r="D58" t="s">
        <v>322</v>
      </c>
      <c r="E58">
        <v>7.66</v>
      </c>
      <c r="F58" s="9" t="s">
        <v>67</v>
      </c>
      <c r="G58" s="7">
        <v>15536606208</v>
      </c>
      <c r="H58" s="6">
        <v>8.3000000000000007</v>
      </c>
      <c r="I58" s="6">
        <v>5.31</v>
      </c>
      <c r="J58" s="12">
        <f t="shared" si="1"/>
        <v>0.44256120527306986</v>
      </c>
      <c r="K58" s="11">
        <v>3.5248041775456922E-2</v>
      </c>
      <c r="L58" s="13">
        <v>1537565000</v>
      </c>
      <c r="M58" s="13">
        <v>14484935000</v>
      </c>
      <c r="N58" s="9" t="s">
        <v>50</v>
      </c>
      <c r="O58" s="6">
        <v>1.0683760683760684</v>
      </c>
      <c r="P58" s="12">
        <v>0.1473164238945591</v>
      </c>
      <c r="Q58" s="12">
        <v>0.10614925092863724</v>
      </c>
      <c r="R58" s="14">
        <v>42</v>
      </c>
    </row>
    <row r="59" spans="2:18" x14ac:dyDescent="0.5">
      <c r="B59" s="1" t="s">
        <v>135</v>
      </c>
      <c r="C59" t="s">
        <v>181</v>
      </c>
      <c r="D59" t="s">
        <v>182</v>
      </c>
      <c r="E59">
        <v>374.4</v>
      </c>
      <c r="F59" s="9" t="s">
        <v>67</v>
      </c>
      <c r="G59" s="7">
        <v>136160624640</v>
      </c>
      <c r="H59" s="6">
        <v>421.4</v>
      </c>
      <c r="I59" s="6">
        <v>324</v>
      </c>
      <c r="J59" s="12">
        <f t="shared" si="1"/>
        <v>0.15555555555555545</v>
      </c>
      <c r="K59" s="11">
        <v>2.3504273504273508E-3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6.1897526859654342E-2</v>
      </c>
      <c r="Q59" s="12">
        <v>0.20495303159692571</v>
      </c>
      <c r="R59" s="14">
        <v>46</v>
      </c>
    </row>
    <row r="60" spans="2:18" x14ac:dyDescent="0.5">
      <c r="B60" s="1" t="s">
        <v>25</v>
      </c>
      <c r="C60" t="s">
        <v>82</v>
      </c>
      <c r="D60" t="s">
        <v>49</v>
      </c>
      <c r="E60">
        <v>8.48</v>
      </c>
      <c r="F60" s="9" t="s">
        <v>67</v>
      </c>
      <c r="G60" s="7">
        <v>10561153024</v>
      </c>
      <c r="H60" s="6">
        <v>11.68</v>
      </c>
      <c r="I60" s="6">
        <v>3.89</v>
      </c>
      <c r="J60" s="12">
        <f t="shared" si="1"/>
        <v>1.1799485861182522</v>
      </c>
      <c r="K60" s="11">
        <v>1.6627358490566034E-2</v>
      </c>
      <c r="L60" s="13">
        <v>921702000</v>
      </c>
      <c r="M60" s="13">
        <v>5262544000</v>
      </c>
      <c r="N60" s="9" t="s">
        <v>50</v>
      </c>
      <c r="O60" s="6">
        <v>1.0683760683760684</v>
      </c>
      <c r="P60" s="12">
        <v>0.12150703894254719</v>
      </c>
      <c r="Q60" s="12">
        <v>0.17514380877385538</v>
      </c>
      <c r="R60" s="14">
        <v>31</v>
      </c>
    </row>
    <row r="61" spans="2:18" x14ac:dyDescent="0.5">
      <c r="B61" s="1" t="s">
        <v>35</v>
      </c>
      <c r="C61" t="s">
        <v>98</v>
      </c>
      <c r="D61" t="s">
        <v>99</v>
      </c>
      <c r="E61">
        <v>413</v>
      </c>
      <c r="F61" s="9" t="s">
        <v>67</v>
      </c>
      <c r="G61" s="7">
        <v>521993715712</v>
      </c>
      <c r="H61" s="6">
        <v>466</v>
      </c>
      <c r="I61" s="6">
        <v>271</v>
      </c>
      <c r="J61" s="12">
        <f t="shared" si="1"/>
        <v>0.52398523985239853</v>
      </c>
      <c r="K61" s="11">
        <v>2.6392251815980629E-2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5.3337074853095176E-2</v>
      </c>
      <c r="Q61" s="12">
        <v>0.38520389214885242</v>
      </c>
      <c r="R61" s="14">
        <v>44</v>
      </c>
    </row>
    <row r="62" spans="2:18" x14ac:dyDescent="0.5">
      <c r="B62" s="1" t="s">
        <v>263</v>
      </c>
      <c r="C62" t="s">
        <v>315</v>
      </c>
      <c r="D62" t="s">
        <v>316</v>
      </c>
      <c r="E62">
        <v>7.81</v>
      </c>
      <c r="F62" s="9" t="s">
        <v>67</v>
      </c>
      <c r="G62" s="7">
        <v>19580420096</v>
      </c>
      <c r="H62" s="6">
        <v>10.14</v>
      </c>
      <c r="I62" s="6">
        <v>4.49</v>
      </c>
      <c r="J62" s="12">
        <f t="shared" si="1"/>
        <v>0.73942093541202647</v>
      </c>
      <c r="K62" s="11">
        <v>5.0960307298335471E-2</v>
      </c>
      <c r="L62" s="13">
        <v>3040816000</v>
      </c>
      <c r="M62" s="13">
        <v>29707522000</v>
      </c>
      <c r="N62" s="9" t="s">
        <v>50</v>
      </c>
      <c r="O62" s="6">
        <v>1.0683760683760684</v>
      </c>
      <c r="P62" s="12">
        <v>0.15364104670988199</v>
      </c>
      <c r="Q62" s="12">
        <v>0.102358453189061</v>
      </c>
      <c r="R62" s="14">
        <v>43</v>
      </c>
    </row>
    <row r="63" spans="2:18" x14ac:dyDescent="0.5">
      <c r="B63" s="1" t="s">
        <v>116</v>
      </c>
      <c r="C63" t="s">
        <v>156</v>
      </c>
      <c r="D63" t="s">
        <v>83</v>
      </c>
      <c r="E63">
        <v>199.8</v>
      </c>
      <c r="F63" s="9" t="s">
        <v>67</v>
      </c>
      <c r="G63" s="7">
        <v>265741549568</v>
      </c>
      <c r="H63" s="6">
        <v>339.8</v>
      </c>
      <c r="I63" s="6">
        <v>79.5</v>
      </c>
      <c r="J63" s="12">
        <f t="shared" si="1"/>
        <v>1.5132075471698117</v>
      </c>
      <c r="K63" s="11">
        <v>4.0790790790790786E-3</v>
      </c>
      <c r="L63" s="13">
        <v>4408440000</v>
      </c>
      <c r="M63" s="13">
        <v>10683505000</v>
      </c>
      <c r="N63" s="9" t="s">
        <v>50</v>
      </c>
      <c r="O63" s="6">
        <v>1.0683760683760684</v>
      </c>
      <c r="P63" s="12">
        <v>1.8097814428505755E-2</v>
      </c>
      <c r="Q63" s="12">
        <v>0.41263985929711272</v>
      </c>
      <c r="R63" s="14">
        <v>47</v>
      </c>
    </row>
    <row r="64" spans="2:18" x14ac:dyDescent="0.5">
      <c r="B64" s="1" t="s">
        <v>266</v>
      </c>
      <c r="C64" t="s">
        <v>319</v>
      </c>
      <c r="D64" t="s">
        <v>302</v>
      </c>
      <c r="E64">
        <v>7.42</v>
      </c>
      <c r="F64" s="9" t="s">
        <v>67</v>
      </c>
      <c r="G64" s="7">
        <v>32603658240</v>
      </c>
      <c r="H64" s="6">
        <v>7.93</v>
      </c>
      <c r="I64" s="6">
        <v>4.8</v>
      </c>
      <c r="J64" s="12">
        <f t="shared" si="1"/>
        <v>0.54583333333333339</v>
      </c>
      <c r="K64" s="11">
        <v>4.9595687331536388E-2</v>
      </c>
      <c r="L64" s="13">
        <v>2919921000</v>
      </c>
      <c r="M64" s="13">
        <v>31662140000</v>
      </c>
      <c r="N64" s="9" t="s">
        <v>50</v>
      </c>
      <c r="O64" s="6">
        <v>1.0683760683760684</v>
      </c>
      <c r="P64" s="12">
        <v>0.148600783130098</v>
      </c>
      <c r="Q64" s="12">
        <v>9.2221214358852555E-2</v>
      </c>
      <c r="R64" s="14">
        <v>48</v>
      </c>
    </row>
    <row r="65" spans="2:18" x14ac:dyDescent="0.5">
      <c r="B65" s="1" t="s">
        <v>130</v>
      </c>
      <c r="C65" t="s">
        <v>173</v>
      </c>
      <c r="D65" t="s">
        <v>174</v>
      </c>
      <c r="E65">
        <v>29.92</v>
      </c>
      <c r="F65" s="9" t="s">
        <v>67</v>
      </c>
      <c r="G65" s="7">
        <v>819124568064</v>
      </c>
      <c r="H65" s="6">
        <v>36.92</v>
      </c>
      <c r="I65" s="6">
        <v>13.86</v>
      </c>
      <c r="J65" s="12">
        <f t="shared" si="1"/>
        <v>1.1587301587301591</v>
      </c>
      <c r="K65" s="11">
        <v>1.6711229946524062E-2</v>
      </c>
      <c r="L65" s="13">
        <v>52374992116</v>
      </c>
      <c r="M65" s="13">
        <v>269573093476</v>
      </c>
      <c r="N65" s="9" t="s">
        <v>50</v>
      </c>
      <c r="O65" s="6">
        <v>1.0683760683760684</v>
      </c>
      <c r="P65" s="12">
        <v>5.9312673797838764E-2</v>
      </c>
      <c r="Q65" s="12">
        <v>0.19428864891763736</v>
      </c>
      <c r="R65" s="14">
        <v>48</v>
      </c>
    </row>
    <row r="66" spans="2:18" x14ac:dyDescent="0.5">
      <c r="B66" s="1" t="s">
        <v>436</v>
      </c>
      <c r="C66" t="s">
        <v>438</v>
      </c>
      <c r="D66" t="s">
        <v>439</v>
      </c>
      <c r="E66">
        <v>97.65</v>
      </c>
      <c r="F66" s="9" t="s">
        <v>67</v>
      </c>
      <c r="G66" s="7">
        <v>596335656960</v>
      </c>
      <c r="H66" s="6">
        <v>189.6</v>
      </c>
      <c r="I66" s="6">
        <v>94.05</v>
      </c>
      <c r="J66" s="12">
        <f t="shared" ref="J66:J97" si="2">E66/I66-1</f>
        <v>3.8277511961722688E-2</v>
      </c>
      <c r="K66" s="11">
        <v>0</v>
      </c>
      <c r="L66" s="13">
        <v>39322363000</v>
      </c>
      <c r="M66" s="13">
        <v>228415685000</v>
      </c>
      <c r="N66" s="9" t="s">
        <v>50</v>
      </c>
      <c r="O66" s="6">
        <v>1.0683760683760684</v>
      </c>
      <c r="P66" s="12">
        <v>7.1645577156982637E-2</v>
      </c>
      <c r="Q66" s="12">
        <v>0.17215263916748974</v>
      </c>
      <c r="R66" s="14">
        <v>49</v>
      </c>
    </row>
    <row r="67" spans="2:18" x14ac:dyDescent="0.5">
      <c r="B67" s="1" t="s">
        <v>134</v>
      </c>
      <c r="C67" t="s">
        <v>179</v>
      </c>
      <c r="D67" t="s">
        <v>180</v>
      </c>
      <c r="E67">
        <v>33.479999999999997</v>
      </c>
      <c r="F67" s="9" t="s">
        <v>67</v>
      </c>
      <c r="G67" s="7">
        <v>23157446656</v>
      </c>
      <c r="H67" s="6">
        <v>48.1</v>
      </c>
      <c r="I67" s="6">
        <v>19.82</v>
      </c>
      <c r="J67" s="12">
        <f t="shared" si="2"/>
        <v>0.68920282542885958</v>
      </c>
      <c r="K67" s="11">
        <v>1.4934289127837517E-2</v>
      </c>
      <c r="L67" s="13">
        <v>1323087000</v>
      </c>
      <c r="M67" s="13">
        <v>5952918000</v>
      </c>
      <c r="N67" s="9" t="s">
        <v>67</v>
      </c>
      <c r="O67" s="6">
        <v>1</v>
      </c>
      <c r="P67" s="12">
        <v>5.1642136031385066E-2</v>
      </c>
      <c r="Q67" s="12">
        <v>0.222258562943417</v>
      </c>
      <c r="R67" s="14">
        <v>50</v>
      </c>
    </row>
    <row r="68" spans="2:18" x14ac:dyDescent="0.5">
      <c r="B68" s="1" t="s">
        <v>363</v>
      </c>
      <c r="C68" t="s">
        <v>365</v>
      </c>
      <c r="D68" t="s">
        <v>171</v>
      </c>
      <c r="E68">
        <v>10.45</v>
      </c>
      <c r="F68" s="9" t="s">
        <v>67</v>
      </c>
      <c r="G68" s="7">
        <v>2811869184</v>
      </c>
      <c r="H68" s="6">
        <v>15.58</v>
      </c>
      <c r="I68" s="6">
        <v>8.3000000000000007</v>
      </c>
      <c r="J68" s="12">
        <f t="shared" si="2"/>
        <v>0.25903614457831314</v>
      </c>
      <c r="K68" s="11">
        <v>0</v>
      </c>
      <c r="L68" s="13">
        <v>-481083000</v>
      </c>
      <c r="M68" s="13">
        <v>4136123000</v>
      </c>
      <c r="N68" s="9" t="s">
        <v>50</v>
      </c>
      <c r="O68" s="6">
        <v>1.0683760683760684</v>
      </c>
      <c r="P68" s="12">
        <v>0.35685487826843887</v>
      </c>
      <c r="Q68" s="12">
        <v>-0.11631254679805218</v>
      </c>
      <c r="R68" s="14">
        <v>52</v>
      </c>
    </row>
    <row r="69" spans="2:18" x14ac:dyDescent="0.5">
      <c r="B69" s="1" t="s">
        <v>31</v>
      </c>
      <c r="C69" t="s">
        <v>92</v>
      </c>
      <c r="D69" t="s">
        <v>74</v>
      </c>
      <c r="E69">
        <v>3.33</v>
      </c>
      <c r="F69" s="9" t="s">
        <v>67</v>
      </c>
      <c r="G69" s="7">
        <v>20650070016</v>
      </c>
      <c r="H69" s="6">
        <v>4.13</v>
      </c>
      <c r="I69" s="6">
        <v>2.2200000000000002</v>
      </c>
      <c r="J69" s="12">
        <f t="shared" si="2"/>
        <v>0.5</v>
      </c>
      <c r="K69" s="11">
        <v>4.5045045045045043E-2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8.0616301953416403E-2</v>
      </c>
      <c r="Q69" s="12">
        <v>0.1499088374088374</v>
      </c>
      <c r="R69" s="14">
        <v>53</v>
      </c>
    </row>
    <row r="70" spans="2:18" x14ac:dyDescent="0.5">
      <c r="B70" s="1" t="s">
        <v>122</v>
      </c>
      <c r="C70" t="s">
        <v>163</v>
      </c>
      <c r="D70" t="s">
        <v>164</v>
      </c>
      <c r="E70">
        <v>27.62</v>
      </c>
      <c r="F70" s="9" t="s">
        <v>67</v>
      </c>
      <c r="G70" s="7">
        <v>31421089792</v>
      </c>
      <c r="H70" s="6">
        <v>28.48</v>
      </c>
      <c r="I70" s="6">
        <v>19.52</v>
      </c>
      <c r="J70" s="12">
        <f t="shared" si="2"/>
        <v>0.41495901639344268</v>
      </c>
      <c r="K70" s="11">
        <v>5.0687907313540906E-2</v>
      </c>
      <c r="L70" s="13">
        <v>3446618000</v>
      </c>
      <c r="M70" s="13">
        <v>34010798000</v>
      </c>
      <c r="N70" s="9" t="s">
        <v>50</v>
      </c>
      <c r="O70" s="6">
        <v>1.0683760683760684</v>
      </c>
      <c r="P70" s="12">
        <v>0.12195520908096849</v>
      </c>
      <c r="Q70" s="12">
        <v>0.10133893359397213</v>
      </c>
      <c r="R70" s="14">
        <v>50</v>
      </c>
    </row>
    <row r="71" spans="2:18" x14ac:dyDescent="0.5">
      <c r="B71" s="1" t="s">
        <v>260</v>
      </c>
      <c r="C71" t="s">
        <v>311</v>
      </c>
      <c r="D71" t="s">
        <v>74</v>
      </c>
      <c r="E71">
        <v>8.1199999999999992</v>
      </c>
      <c r="F71" s="9" t="s">
        <v>67</v>
      </c>
      <c r="G71" s="7">
        <v>5536737280</v>
      </c>
      <c r="H71" s="6">
        <v>10.98</v>
      </c>
      <c r="I71" s="6">
        <v>6.56</v>
      </c>
      <c r="J71" s="12">
        <f t="shared" si="2"/>
        <v>0.23780487804878048</v>
      </c>
      <c r="K71" s="11">
        <v>4.3965517241379315E-2</v>
      </c>
      <c r="L71" s="13">
        <v>618033000</v>
      </c>
      <c r="M71" s="13">
        <v>5033024000</v>
      </c>
      <c r="N71" s="9" t="s">
        <v>50</v>
      </c>
      <c r="O71" s="6">
        <v>1.0683760683760684</v>
      </c>
      <c r="P71" s="12">
        <v>0.10073581966753314</v>
      </c>
      <c r="Q71" s="12">
        <v>0.12279555988606453</v>
      </c>
      <c r="R71" s="14">
        <v>52</v>
      </c>
    </row>
    <row r="72" spans="2:18" x14ac:dyDescent="0.5">
      <c r="B72" s="1" t="s">
        <v>112</v>
      </c>
      <c r="C72" t="s">
        <v>151</v>
      </c>
      <c r="D72" t="s">
        <v>152</v>
      </c>
      <c r="E72">
        <v>65.25</v>
      </c>
      <c r="F72" s="9" t="s">
        <v>67</v>
      </c>
      <c r="G72" s="7">
        <v>185065340928</v>
      </c>
      <c r="H72" s="6">
        <v>86</v>
      </c>
      <c r="I72" s="6">
        <v>44.25</v>
      </c>
      <c r="J72" s="12">
        <f t="shared" si="2"/>
        <v>0.47457627118644075</v>
      </c>
      <c r="K72" s="11">
        <v>4.1379310344827586E-2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5.2857362398297532E-2</v>
      </c>
      <c r="Q72" s="12">
        <v>0.18855793075067021</v>
      </c>
      <c r="R72" s="14">
        <v>54</v>
      </c>
    </row>
    <row r="73" spans="2:18" x14ac:dyDescent="0.5">
      <c r="B73" s="1" t="s">
        <v>112</v>
      </c>
      <c r="C73" t="s">
        <v>151</v>
      </c>
      <c r="D73" t="s">
        <v>152</v>
      </c>
      <c r="E73">
        <v>65.25</v>
      </c>
      <c r="F73" s="9" t="s">
        <v>67</v>
      </c>
      <c r="G73" s="7">
        <v>185065340928</v>
      </c>
      <c r="H73" s="6">
        <v>86</v>
      </c>
      <c r="I73" s="6">
        <v>44.25</v>
      </c>
      <c r="J73" s="12">
        <f t="shared" si="2"/>
        <v>0.47457627118644075</v>
      </c>
      <c r="K73" s="11">
        <v>4.1379310344827586E-2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5.2857362398297532E-2</v>
      </c>
      <c r="Q73" s="12">
        <v>0.18855793075067021</v>
      </c>
      <c r="R73" s="14">
        <v>54</v>
      </c>
    </row>
    <row r="74" spans="2:18" x14ac:dyDescent="0.5">
      <c r="B74" s="1" t="s">
        <v>123</v>
      </c>
      <c r="C74" t="s">
        <v>165</v>
      </c>
      <c r="D74" t="s">
        <v>106</v>
      </c>
      <c r="E74">
        <v>14.93</v>
      </c>
      <c r="F74" s="9" t="s">
        <v>67</v>
      </c>
      <c r="G74" s="7">
        <v>147283623936</v>
      </c>
      <c r="H74" s="6">
        <v>16.95</v>
      </c>
      <c r="I74" s="6">
        <v>6.43</v>
      </c>
      <c r="J74" s="12">
        <f t="shared" si="2"/>
        <v>1.3219284603421464</v>
      </c>
      <c r="K74" s="11">
        <v>3.4829202947086406E-2</v>
      </c>
      <c r="L74" s="13">
        <v>8510100000</v>
      </c>
      <c r="M74" s="13">
        <v>46117200000</v>
      </c>
      <c r="N74" s="9" t="s">
        <v>67</v>
      </c>
      <c r="O74" s="6">
        <v>1</v>
      </c>
      <c r="P74" s="12">
        <v>5.3025626662661855E-2</v>
      </c>
      <c r="Q74" s="12">
        <v>0.18453201842262756</v>
      </c>
      <c r="R74" s="14">
        <v>55</v>
      </c>
    </row>
    <row r="75" spans="2:18" x14ac:dyDescent="0.5">
      <c r="B75" s="1" t="s">
        <v>259</v>
      </c>
      <c r="C75" t="s">
        <v>310</v>
      </c>
      <c r="D75" t="s">
        <v>238</v>
      </c>
      <c r="E75">
        <v>7.92</v>
      </c>
      <c r="F75" s="9" t="s">
        <v>67</v>
      </c>
      <c r="G75" s="7">
        <v>104685240320</v>
      </c>
      <c r="H75" s="6">
        <v>9.83</v>
      </c>
      <c r="I75" s="6">
        <v>6.84</v>
      </c>
      <c r="J75" s="12">
        <f t="shared" si="2"/>
        <v>0.15789473684210531</v>
      </c>
      <c r="K75" s="11">
        <v>0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0.1084406349451226</v>
      </c>
      <c r="Q75" s="12">
        <v>0.1154893948238957</v>
      </c>
      <c r="R75" s="14">
        <v>51</v>
      </c>
    </row>
    <row r="76" spans="2:18" x14ac:dyDescent="0.5">
      <c r="B76" s="1" t="s">
        <v>132</v>
      </c>
      <c r="C76" t="s">
        <v>176</v>
      </c>
      <c r="D76" t="s">
        <v>76</v>
      </c>
      <c r="E76">
        <v>15.58</v>
      </c>
      <c r="F76" s="9" t="s">
        <v>67</v>
      </c>
      <c r="G76" s="7">
        <v>65404981248</v>
      </c>
      <c r="H76" s="6">
        <v>16.37</v>
      </c>
      <c r="I76" s="6">
        <v>11.42</v>
      </c>
      <c r="J76" s="12">
        <f t="shared" si="2"/>
        <v>0.36427320490367787</v>
      </c>
      <c r="K76" s="11">
        <v>5.6867779204107828E-2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0.13548222378463187</v>
      </c>
      <c r="Q76" s="12">
        <v>8.6741482038526066E-2</v>
      </c>
      <c r="R76" s="14">
        <v>53</v>
      </c>
    </row>
    <row r="77" spans="2:18" x14ac:dyDescent="0.5">
      <c r="B77" s="1" t="s">
        <v>132</v>
      </c>
      <c r="C77" t="s">
        <v>176</v>
      </c>
      <c r="D77" t="s">
        <v>76</v>
      </c>
      <c r="E77">
        <v>15.58</v>
      </c>
      <c r="F77" s="9" t="s">
        <v>67</v>
      </c>
      <c r="G77" s="7">
        <v>65404981248</v>
      </c>
      <c r="H77" s="6">
        <v>16.37</v>
      </c>
      <c r="I77" s="6">
        <v>11.42</v>
      </c>
      <c r="J77" s="12">
        <f t="shared" si="2"/>
        <v>0.36427320490367787</v>
      </c>
      <c r="K77" s="11">
        <v>5.6867779204107828E-2</v>
      </c>
      <c r="L77" s="13">
        <v>11996000000</v>
      </c>
      <c r="M77" s="13">
        <v>138296000000</v>
      </c>
      <c r="N77" s="9" t="s">
        <v>67</v>
      </c>
      <c r="O77" s="6">
        <v>1</v>
      </c>
      <c r="P77" s="12">
        <v>0.13548222378463187</v>
      </c>
      <c r="Q77" s="12">
        <v>8.6741482038526066E-2</v>
      </c>
      <c r="R77" s="14">
        <v>53</v>
      </c>
    </row>
    <row r="78" spans="2:18" x14ac:dyDescent="0.5">
      <c r="B78" s="1" t="s">
        <v>127</v>
      </c>
      <c r="C78" t="s">
        <v>170</v>
      </c>
      <c r="D78" t="s">
        <v>171</v>
      </c>
      <c r="E78">
        <v>623</v>
      </c>
      <c r="F78" s="9" t="s">
        <v>67</v>
      </c>
      <c r="G78" s="7">
        <v>5642902306816</v>
      </c>
      <c r="H78" s="6">
        <v>683</v>
      </c>
      <c r="I78" s="6">
        <v>364.8</v>
      </c>
      <c r="J78" s="12">
        <f t="shared" si="2"/>
        <v>0.70778508771929816</v>
      </c>
      <c r="K78" s="11">
        <v>6.7881219903691819E-3</v>
      </c>
      <c r="L78" s="13">
        <v>253932000000</v>
      </c>
      <c r="M78" s="13">
        <v>1312163000000</v>
      </c>
      <c r="N78" s="9" t="s">
        <v>50</v>
      </c>
      <c r="O78" s="6">
        <v>1.0683760683760684</v>
      </c>
      <c r="P78" s="12">
        <v>4.6107841398362E-2</v>
      </c>
      <c r="Q78" s="12">
        <v>0.19352168899747973</v>
      </c>
      <c r="R78" s="14">
        <v>56</v>
      </c>
    </row>
    <row r="79" spans="2:18" x14ac:dyDescent="0.5">
      <c r="B79" s="1" t="s">
        <v>264</v>
      </c>
      <c r="C79" t="s">
        <v>317</v>
      </c>
      <c r="D79" t="s">
        <v>49</v>
      </c>
      <c r="E79">
        <v>5.07</v>
      </c>
      <c r="F79" s="9" t="s">
        <v>67</v>
      </c>
      <c r="G79" s="7">
        <v>9568538624</v>
      </c>
      <c r="H79" s="6">
        <v>6.35</v>
      </c>
      <c r="I79" s="6">
        <v>1.92</v>
      </c>
      <c r="J79" s="12">
        <f t="shared" si="2"/>
        <v>1.6406250000000004</v>
      </c>
      <c r="K79" s="11">
        <v>3.1558185404339252E-2</v>
      </c>
      <c r="L79" s="13">
        <v>896597000</v>
      </c>
      <c r="M79" s="13">
        <v>6906279000</v>
      </c>
      <c r="N79" s="9" t="s">
        <v>67</v>
      </c>
      <c r="O79" s="6">
        <v>1</v>
      </c>
      <c r="P79" s="12">
        <v>8.0319299404846584E-2</v>
      </c>
      <c r="Q79" s="12">
        <v>0.12982345485897689</v>
      </c>
      <c r="R79" s="14">
        <v>58</v>
      </c>
    </row>
    <row r="80" spans="2:18" x14ac:dyDescent="0.5">
      <c r="B80" s="1" t="s">
        <v>273</v>
      </c>
      <c r="C80" t="s">
        <v>327</v>
      </c>
      <c r="D80" t="s">
        <v>81</v>
      </c>
      <c r="E80">
        <v>2.93</v>
      </c>
      <c r="F80" s="9" t="s">
        <v>67</v>
      </c>
      <c r="G80" s="7">
        <v>12540693504</v>
      </c>
      <c r="H80" s="6">
        <v>3.55</v>
      </c>
      <c r="I80" s="6">
        <v>1.39</v>
      </c>
      <c r="J80" s="12">
        <f t="shared" si="2"/>
        <v>1.1079136690647484</v>
      </c>
      <c r="K80" s="11">
        <v>4.1638225255972695E-2</v>
      </c>
      <c r="L80" s="13">
        <v>1230913000</v>
      </c>
      <c r="M80" s="13">
        <v>10701340000</v>
      </c>
      <c r="N80" s="9" t="s">
        <v>50</v>
      </c>
      <c r="O80" s="6">
        <v>1.0683760683760684</v>
      </c>
      <c r="P80" s="12">
        <v>0.11694191945912458</v>
      </c>
      <c r="Q80" s="12">
        <v>0.11502419323187564</v>
      </c>
      <c r="R80" s="14">
        <v>49</v>
      </c>
    </row>
    <row r="81" spans="2:18" x14ac:dyDescent="0.5">
      <c r="B81" s="1" t="s">
        <v>117</v>
      </c>
      <c r="C81" t="s">
        <v>157</v>
      </c>
      <c r="D81" t="s">
        <v>68</v>
      </c>
      <c r="E81">
        <v>5.95</v>
      </c>
      <c r="F81" s="9" t="s">
        <v>67</v>
      </c>
      <c r="G81" s="7">
        <v>9678938112</v>
      </c>
      <c r="H81" s="6">
        <v>7.05</v>
      </c>
      <c r="I81" s="6">
        <v>4.3</v>
      </c>
      <c r="J81" s="12">
        <f t="shared" si="2"/>
        <v>0.38372093023255816</v>
      </c>
      <c r="K81" s="11">
        <v>4.7058823529411771E-2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0.11775885080188249</v>
      </c>
      <c r="Q81" s="12">
        <v>9.3783286642795421E-2</v>
      </c>
      <c r="R81" s="14">
        <v>58</v>
      </c>
    </row>
    <row r="82" spans="2:18" x14ac:dyDescent="0.5">
      <c r="B82" s="1" t="s">
        <v>257</v>
      </c>
      <c r="C82" t="s">
        <v>308</v>
      </c>
      <c r="D82" t="s">
        <v>300</v>
      </c>
      <c r="E82">
        <v>56.9</v>
      </c>
      <c r="F82" s="9" t="s">
        <v>67</v>
      </c>
      <c r="G82" s="7">
        <v>1102065172480</v>
      </c>
      <c r="H82" s="6">
        <v>61.15</v>
      </c>
      <c r="I82" s="6">
        <v>39.6</v>
      </c>
      <c r="J82" s="12">
        <f t="shared" si="2"/>
        <v>0.43686868686868685</v>
      </c>
      <c r="K82" s="11">
        <v>4.5166959578207377E-2</v>
      </c>
      <c r="L82" s="13">
        <v>189900000000</v>
      </c>
      <c r="M82" s="13">
        <v>2315380000000</v>
      </c>
      <c r="N82" s="9" t="s">
        <v>50</v>
      </c>
      <c r="O82" s="6">
        <v>1.0683760683760684</v>
      </c>
      <c r="P82" s="12">
        <v>0.12859380394195896</v>
      </c>
      <c r="Q82" s="12">
        <v>8.2016774784268678E-2</v>
      </c>
      <c r="R82" s="14">
        <v>59</v>
      </c>
    </row>
    <row r="83" spans="2:18" x14ac:dyDescent="0.5">
      <c r="B83" s="1" t="s">
        <v>381</v>
      </c>
      <c r="C83" t="s">
        <v>382</v>
      </c>
      <c r="D83" t="s">
        <v>182</v>
      </c>
      <c r="E83">
        <v>5.68</v>
      </c>
      <c r="F83" s="9" t="s">
        <v>67</v>
      </c>
      <c r="G83" s="7">
        <v>3258865920</v>
      </c>
      <c r="H83" s="6">
        <v>8.6199999999999992</v>
      </c>
      <c r="I83" s="6">
        <v>5.63</v>
      </c>
      <c r="J83" s="12">
        <f t="shared" si="2"/>
        <v>8.8809946714032417E-3</v>
      </c>
      <c r="K83" s="11">
        <v>7.0422535211267609E-2</v>
      </c>
      <c r="L83" s="13">
        <v>371538000</v>
      </c>
      <c r="M83" s="13">
        <v>3037286000</v>
      </c>
      <c r="N83" s="9" t="s">
        <v>67</v>
      </c>
      <c r="O83" s="6">
        <v>1</v>
      </c>
      <c r="P83" s="12">
        <v>8.5616851094538773E-2</v>
      </c>
      <c r="Q83" s="12">
        <v>0.12232565520665489</v>
      </c>
      <c r="R83" s="14">
        <v>57</v>
      </c>
    </row>
    <row r="84" spans="2:18" x14ac:dyDescent="0.5">
      <c r="B84" s="1" t="s">
        <v>254</v>
      </c>
      <c r="C84" t="s">
        <v>305</v>
      </c>
      <c r="D84" t="s">
        <v>96</v>
      </c>
      <c r="E84">
        <v>2.04</v>
      </c>
      <c r="F84" s="9" t="s">
        <v>67</v>
      </c>
      <c r="G84" s="7">
        <v>1894288896</v>
      </c>
      <c r="H84" s="6">
        <v>2.4</v>
      </c>
      <c r="I84" s="6">
        <v>1.72</v>
      </c>
      <c r="J84" s="12">
        <f t="shared" si="2"/>
        <v>0.18604651162790709</v>
      </c>
      <c r="K84" s="11">
        <v>4.4117647058823525E-2</v>
      </c>
      <c r="L84" s="13">
        <v>238321000</v>
      </c>
      <c r="M84" s="13">
        <v>6087917000</v>
      </c>
      <c r="N84" s="9" t="s">
        <v>67</v>
      </c>
      <c r="O84" s="6">
        <v>1</v>
      </c>
      <c r="P84" s="12">
        <v>0.15478265190639029</v>
      </c>
      <c r="Q84" s="12">
        <v>3.9146558666946343E-2</v>
      </c>
      <c r="R84" s="14">
        <v>60</v>
      </c>
    </row>
    <row r="85" spans="2:18" x14ac:dyDescent="0.5">
      <c r="B85" s="1" t="s">
        <v>441</v>
      </c>
      <c r="C85" t="s">
        <v>445</v>
      </c>
      <c r="D85" t="s">
        <v>164</v>
      </c>
      <c r="E85">
        <v>2.21</v>
      </c>
      <c r="F85" s="9" t="s">
        <v>67</v>
      </c>
      <c r="G85" s="7">
        <v>2946667008</v>
      </c>
      <c r="H85" s="6">
        <v>3.21</v>
      </c>
      <c r="I85" s="6">
        <v>1.73</v>
      </c>
      <c r="J85" s="12">
        <f t="shared" si="2"/>
        <v>0.27745664739884401</v>
      </c>
      <c r="K85" s="11">
        <v>5.4298642533936653E-2</v>
      </c>
      <c r="L85" s="13">
        <v>244399000</v>
      </c>
      <c r="M85" s="13">
        <v>2990882000</v>
      </c>
      <c r="N85" s="9" t="s">
        <v>50</v>
      </c>
      <c r="O85" s="6">
        <v>1.0683760683760684</v>
      </c>
      <c r="P85" s="12">
        <v>0.12754761489123054</v>
      </c>
      <c r="Q85" s="12">
        <v>8.171469151909036E-2</v>
      </c>
      <c r="R85" s="14">
        <v>60</v>
      </c>
    </row>
    <row r="86" spans="2:18" x14ac:dyDescent="0.5">
      <c r="B86" s="1" t="s">
        <v>285</v>
      </c>
      <c r="C86" t="s">
        <v>340</v>
      </c>
      <c r="D86" t="s">
        <v>49</v>
      </c>
      <c r="E86">
        <v>13.38</v>
      </c>
      <c r="F86" s="9" t="s">
        <v>67</v>
      </c>
      <c r="G86" s="7">
        <v>29921372160</v>
      </c>
      <c r="H86" s="6">
        <v>15.87</v>
      </c>
      <c r="I86" s="6">
        <v>2.36</v>
      </c>
      <c r="J86" s="12">
        <f t="shared" si="2"/>
        <v>4.6694915254237293</v>
      </c>
      <c r="K86" s="11">
        <v>1.7264573991031391E-2</v>
      </c>
      <c r="L86" s="13">
        <v>2184074765.02</v>
      </c>
      <c r="M86" s="13">
        <v>23493408528.349998</v>
      </c>
      <c r="N86" s="9" t="s">
        <v>50</v>
      </c>
      <c r="O86" s="6">
        <v>1.0683760683760684</v>
      </c>
      <c r="P86" s="12">
        <v>0.10930141928973398</v>
      </c>
      <c r="Q86" s="12">
        <v>9.29654274042198E-2</v>
      </c>
      <c r="R86" s="14">
        <v>62</v>
      </c>
    </row>
    <row r="87" spans="2:18" x14ac:dyDescent="0.5">
      <c r="B87" s="1" t="s">
        <v>258</v>
      </c>
      <c r="C87" t="s">
        <v>309</v>
      </c>
      <c r="D87" t="s">
        <v>152</v>
      </c>
      <c r="E87">
        <v>28.5</v>
      </c>
      <c r="F87" s="9" t="s">
        <v>67</v>
      </c>
      <c r="G87" s="7">
        <v>26436857856</v>
      </c>
      <c r="H87" s="6">
        <v>45.78</v>
      </c>
      <c r="I87" s="6">
        <v>9.9</v>
      </c>
      <c r="J87" s="12">
        <f t="shared" si="2"/>
        <v>1.8787878787878789</v>
      </c>
      <c r="K87" s="11">
        <v>2.7368421052631577E-3</v>
      </c>
      <c r="L87" s="13">
        <v>334940000</v>
      </c>
      <c r="M87" s="13">
        <v>3025375000</v>
      </c>
      <c r="N87" s="9" t="s">
        <v>71</v>
      </c>
      <c r="O87" s="6">
        <v>7.6923076923076916</v>
      </c>
      <c r="P87" s="12">
        <v>0.10911165658987269</v>
      </c>
      <c r="Q87" s="12">
        <v>0.11071024253191752</v>
      </c>
      <c r="R87" s="14">
        <v>53</v>
      </c>
    </row>
    <row r="88" spans="2:18" x14ac:dyDescent="0.5">
      <c r="B88" s="1" t="s">
        <v>133</v>
      </c>
      <c r="C88" t="s">
        <v>177</v>
      </c>
      <c r="D88" t="s">
        <v>178</v>
      </c>
      <c r="E88">
        <v>9.14</v>
      </c>
      <c r="F88" s="9" t="s">
        <v>67</v>
      </c>
      <c r="G88" s="7">
        <v>21535950848</v>
      </c>
      <c r="H88" s="6">
        <v>12.7</v>
      </c>
      <c r="I88" s="6">
        <v>6.33</v>
      </c>
      <c r="J88" s="12">
        <f t="shared" si="2"/>
        <v>0.44391785150079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0.11943823410734482</v>
      </c>
      <c r="Q88" s="12">
        <v>6.4862080854845933E-2</v>
      </c>
      <c r="R88" s="14">
        <v>63</v>
      </c>
    </row>
    <row r="89" spans="2:18" x14ac:dyDescent="0.5">
      <c r="B89" s="1" t="s">
        <v>113</v>
      </c>
      <c r="C89" t="s">
        <v>153</v>
      </c>
      <c r="D89" t="s">
        <v>91</v>
      </c>
      <c r="E89">
        <v>22.86</v>
      </c>
      <c r="F89" s="9" t="s">
        <v>67</v>
      </c>
      <c r="G89" s="7">
        <v>137337585664</v>
      </c>
      <c r="H89" s="6">
        <v>25.9</v>
      </c>
      <c r="I89" s="6">
        <v>18.7</v>
      </c>
      <c r="J89" s="12">
        <f t="shared" si="2"/>
        <v>0.2224598930481283</v>
      </c>
      <c r="K89" s="11">
        <v>4.1557305336832898E-2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0.12285923667275543</v>
      </c>
      <c r="Q89" s="12">
        <v>5.0146340085309396E-2</v>
      </c>
      <c r="R89" s="14">
        <v>64</v>
      </c>
    </row>
    <row r="90" spans="2:18" x14ac:dyDescent="0.5">
      <c r="B90" s="1" t="s">
        <v>138</v>
      </c>
      <c r="C90" t="s">
        <v>186</v>
      </c>
      <c r="D90" t="s">
        <v>102</v>
      </c>
      <c r="E90">
        <v>31.84</v>
      </c>
      <c r="F90" s="9" t="s">
        <v>67</v>
      </c>
      <c r="G90" s="7">
        <v>71742029824</v>
      </c>
      <c r="H90" s="6">
        <v>61.55</v>
      </c>
      <c r="I90" s="6">
        <v>26.65</v>
      </c>
      <c r="J90" s="12">
        <f t="shared" si="2"/>
        <v>0.1947467166979362</v>
      </c>
      <c r="K90" s="11">
        <v>1.7839195979899497E-2</v>
      </c>
      <c r="L90" s="13">
        <v>5261270000</v>
      </c>
      <c r="M90" s="13">
        <v>43208997000</v>
      </c>
      <c r="N90" s="9" t="s">
        <v>50</v>
      </c>
      <c r="O90" s="6">
        <v>1.0683760683760684</v>
      </c>
      <c r="P90" s="12">
        <v>7.2511211491618682E-2</v>
      </c>
      <c r="Q90" s="12">
        <v>0.12176329850933591</v>
      </c>
      <c r="R90" s="14">
        <v>61</v>
      </c>
    </row>
    <row r="91" spans="2:18" x14ac:dyDescent="0.5">
      <c r="B91" s="1" t="s">
        <v>36</v>
      </c>
      <c r="C91" t="s">
        <v>100</v>
      </c>
      <c r="D91" t="s">
        <v>49</v>
      </c>
      <c r="E91">
        <v>19.510000000000002</v>
      </c>
      <c r="F91" s="9" t="s">
        <v>67</v>
      </c>
      <c r="G91" s="7">
        <v>83274817536</v>
      </c>
      <c r="H91" s="6">
        <v>119.9</v>
      </c>
      <c r="I91" s="6">
        <v>8.4700000000000006</v>
      </c>
      <c r="J91" s="12">
        <f t="shared" si="2"/>
        <v>1.3034238488783942</v>
      </c>
      <c r="K91" s="11">
        <v>2.2450025627883136E-2</v>
      </c>
      <c r="L91" s="13">
        <v>3967214824.1399999</v>
      </c>
      <c r="M91" s="13">
        <v>41038539262.660004</v>
      </c>
      <c r="N91" s="9" t="s">
        <v>50</v>
      </c>
      <c r="O91" s="6">
        <v>1.0683760683760684</v>
      </c>
      <c r="P91" s="12">
        <v>7.3359753048347479E-2</v>
      </c>
      <c r="Q91" s="12">
        <v>9.6670468672106824E-2</v>
      </c>
      <c r="R91" s="14">
        <v>65</v>
      </c>
    </row>
    <row r="92" spans="2:18" x14ac:dyDescent="0.5">
      <c r="B92" s="1" t="s">
        <v>390</v>
      </c>
      <c r="C92" t="s">
        <v>391</v>
      </c>
      <c r="D92" t="s">
        <v>55</v>
      </c>
      <c r="E92">
        <v>38.299999999999997</v>
      </c>
      <c r="F92" s="9" t="s">
        <v>67</v>
      </c>
      <c r="G92" s="7">
        <v>997414862848</v>
      </c>
      <c r="H92" s="6">
        <v>61.45</v>
      </c>
      <c r="I92" s="6">
        <v>26.8</v>
      </c>
      <c r="J92" s="12">
        <f t="shared" si="2"/>
        <v>0.42910447761194015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3.1475420524801817E-2</v>
      </c>
      <c r="Q92" s="12">
        <v>0.13430606011982404</v>
      </c>
      <c r="R92" s="14">
        <v>66</v>
      </c>
    </row>
    <row r="93" spans="2:18" x14ac:dyDescent="0.5">
      <c r="B93" s="1" t="s">
        <v>126</v>
      </c>
      <c r="C93" t="s">
        <v>169</v>
      </c>
      <c r="D93" t="s">
        <v>96</v>
      </c>
      <c r="E93">
        <v>11.72</v>
      </c>
      <c r="F93" s="9" t="s">
        <v>67</v>
      </c>
      <c r="G93" s="7">
        <v>88809537536</v>
      </c>
      <c r="H93" s="6">
        <v>12.95</v>
      </c>
      <c r="I93" s="6">
        <v>9.39</v>
      </c>
      <c r="J93" s="12">
        <f t="shared" si="2"/>
        <v>0.24813631522896706</v>
      </c>
      <c r="K93" s="11">
        <v>6.8003412969283278E-2</v>
      </c>
      <c r="L93" s="13">
        <v>8154000000</v>
      </c>
      <c r="M93" s="13">
        <v>79588000000</v>
      </c>
      <c r="N93" s="9" t="s">
        <v>67</v>
      </c>
      <c r="O93" s="6">
        <v>1</v>
      </c>
      <c r="P93" s="12">
        <v>6.2665936417737753E-2</v>
      </c>
      <c r="Q93" s="12">
        <v>0.10245263104990703</v>
      </c>
      <c r="R93" s="14">
        <v>67</v>
      </c>
    </row>
    <row r="94" spans="2:18" x14ac:dyDescent="0.5">
      <c r="B94" s="1" t="s">
        <v>109</v>
      </c>
      <c r="C94" t="s">
        <v>146</v>
      </c>
      <c r="D94" t="s">
        <v>96</v>
      </c>
      <c r="E94">
        <v>5.86</v>
      </c>
      <c r="F94" s="9" t="s">
        <v>67</v>
      </c>
      <c r="G94" s="7">
        <v>705068662784</v>
      </c>
      <c r="H94" s="6">
        <v>6.98</v>
      </c>
      <c r="I94" s="6">
        <v>4.42</v>
      </c>
      <c r="J94" s="12">
        <f t="shared" si="2"/>
        <v>0.32579185520362008</v>
      </c>
      <c r="K94" s="11">
        <v>7.5255972696245732E-2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6.9795422361380088E-2</v>
      </c>
      <c r="Q94" s="12">
        <v>9.605709580489824E-2</v>
      </c>
      <c r="R94" s="14">
        <v>68</v>
      </c>
    </row>
    <row r="95" spans="2:18" x14ac:dyDescent="0.5">
      <c r="B95" s="1" t="s">
        <v>255</v>
      </c>
      <c r="C95" t="s">
        <v>306</v>
      </c>
      <c r="D95" t="s">
        <v>302</v>
      </c>
      <c r="E95">
        <v>2.14</v>
      </c>
      <c r="F95" s="9" t="s">
        <v>67</v>
      </c>
      <c r="G95" s="7">
        <v>83051626496</v>
      </c>
      <c r="H95" s="6">
        <v>3.17</v>
      </c>
      <c r="I95" s="6">
        <v>1.35</v>
      </c>
      <c r="J95" s="12">
        <f t="shared" si="2"/>
        <v>0.58518518518518525</v>
      </c>
      <c r="K95" s="11">
        <v>2.6168224299065419E-2</v>
      </c>
      <c r="L95" s="13">
        <v>12616717000</v>
      </c>
      <c r="M95" s="13">
        <v>231208465000</v>
      </c>
      <c r="N95" s="9" t="s">
        <v>50</v>
      </c>
      <c r="O95" s="6">
        <v>1.0683760683760684</v>
      </c>
      <c r="P95" s="12">
        <v>0.10608624529768995</v>
      </c>
      <c r="Q95" s="12">
        <v>5.4568577322633927E-2</v>
      </c>
      <c r="R95" s="14">
        <v>72</v>
      </c>
    </row>
    <row r="96" spans="2:18" x14ac:dyDescent="0.5">
      <c r="B96" s="1" t="s">
        <v>253</v>
      </c>
      <c r="C96" t="s">
        <v>304</v>
      </c>
      <c r="D96" t="s">
        <v>148</v>
      </c>
      <c r="E96">
        <v>9.15</v>
      </c>
      <c r="F96" s="9" t="s">
        <v>67</v>
      </c>
      <c r="G96" s="7">
        <v>23237326848</v>
      </c>
      <c r="H96" s="6">
        <v>13.78</v>
      </c>
      <c r="I96" s="6">
        <v>8.0399999999999991</v>
      </c>
      <c r="J96" s="12">
        <f t="shared" si="2"/>
        <v>0.13805970149253755</v>
      </c>
      <c r="K96" s="11">
        <v>3.2786885245901634E-2</v>
      </c>
      <c r="L96" s="13">
        <v>9652467000</v>
      </c>
      <c r="M96" s="13">
        <v>173514401000</v>
      </c>
      <c r="N96" s="9" t="s">
        <v>50</v>
      </c>
      <c r="O96" s="6">
        <v>1.0683760683760684</v>
      </c>
      <c r="P96" s="12">
        <v>0.10655816799259286</v>
      </c>
      <c r="Q96" s="12">
        <v>5.5629198178196171E-2</v>
      </c>
      <c r="R96" s="14">
        <v>70</v>
      </c>
    </row>
    <row r="97" spans="2:18" x14ac:dyDescent="0.5">
      <c r="B97" s="1" t="s">
        <v>443</v>
      </c>
      <c r="C97" t="s">
        <v>447</v>
      </c>
      <c r="D97" t="s">
        <v>448</v>
      </c>
      <c r="E97">
        <v>542</v>
      </c>
      <c r="F97" s="9" t="s">
        <v>67</v>
      </c>
      <c r="G97" s="7">
        <v>354253078528</v>
      </c>
      <c r="H97" s="6">
        <v>613</v>
      </c>
      <c r="I97" s="6">
        <v>402.6</v>
      </c>
      <c r="J97" s="12">
        <f t="shared" si="2"/>
        <v>0.34624937903626418</v>
      </c>
      <c r="K97" s="11">
        <v>0</v>
      </c>
      <c r="L97" s="13">
        <v>18738000000</v>
      </c>
      <c r="M97" s="13">
        <v>182117000000</v>
      </c>
      <c r="N97" s="9" t="s">
        <v>50</v>
      </c>
      <c r="O97" s="6">
        <v>1.0683760683760684</v>
      </c>
      <c r="P97" s="12">
        <v>5.7929187991494789E-2</v>
      </c>
      <c r="Q97" s="12">
        <v>0.10288990044861271</v>
      </c>
      <c r="R97" s="14">
        <v>69</v>
      </c>
    </row>
    <row r="98" spans="2:18" x14ac:dyDescent="0.5">
      <c r="B98" s="1" t="s">
        <v>120</v>
      </c>
      <c r="C98" t="s">
        <v>160</v>
      </c>
      <c r="D98" t="s">
        <v>161</v>
      </c>
      <c r="E98">
        <v>10.52</v>
      </c>
      <c r="F98" s="9" t="s">
        <v>67</v>
      </c>
      <c r="G98" s="7">
        <v>70936616960</v>
      </c>
      <c r="H98" s="6">
        <v>11.66</v>
      </c>
      <c r="I98" s="6">
        <v>5</v>
      </c>
      <c r="J98" s="12">
        <f t="shared" ref="J98:J129" si="3">E98/I98-1</f>
        <v>1.1040000000000001</v>
      </c>
      <c r="K98" s="11">
        <v>1.9961977186311788E-2</v>
      </c>
      <c r="L98" s="13">
        <v>6749146000</v>
      </c>
      <c r="M98" s="13">
        <v>70848374000</v>
      </c>
      <c r="N98" s="9" t="s">
        <v>50</v>
      </c>
      <c r="O98" s="6">
        <v>1.0683760683760684</v>
      </c>
      <c r="P98" s="12">
        <v>6.9650224498146507E-2</v>
      </c>
      <c r="Q98" s="12">
        <v>9.5261833390841127E-2</v>
      </c>
      <c r="R98" s="14">
        <v>69</v>
      </c>
    </row>
    <row r="99" spans="2:18" x14ac:dyDescent="0.5">
      <c r="B99" s="1" t="s">
        <v>118</v>
      </c>
      <c r="C99" t="s">
        <v>158</v>
      </c>
      <c r="D99" t="s">
        <v>96</v>
      </c>
      <c r="E99">
        <v>9.15</v>
      </c>
      <c r="F99" s="9" t="s">
        <v>67</v>
      </c>
      <c r="G99" s="7">
        <v>279971692544</v>
      </c>
      <c r="H99" s="6">
        <v>11.56</v>
      </c>
      <c r="I99" s="6">
        <v>6.33</v>
      </c>
      <c r="J99" s="12">
        <f t="shared" si="3"/>
        <v>0.44549763033175349</v>
      </c>
      <c r="K99" s="11">
        <v>4.8087431693989068E-2</v>
      </c>
      <c r="L99" s="13">
        <v>26994000000</v>
      </c>
      <c r="M99" s="13">
        <v>363169000000</v>
      </c>
      <c r="N99" s="9" t="s">
        <v>50</v>
      </c>
      <c r="O99" s="6">
        <v>1.0683760683760684</v>
      </c>
      <c r="P99" s="12">
        <v>9.8756668318330298E-2</v>
      </c>
      <c r="Q99" s="12">
        <v>7.4329031387590908E-2</v>
      </c>
      <c r="R99" s="14">
        <v>70</v>
      </c>
    </row>
    <row r="100" spans="2:18" x14ac:dyDescent="0.5">
      <c r="B100" s="1" t="s">
        <v>18</v>
      </c>
      <c r="C100" t="s">
        <v>66</v>
      </c>
      <c r="D100" t="s">
        <v>65</v>
      </c>
      <c r="E100">
        <v>69.650000000000006</v>
      </c>
      <c r="F100" s="9" t="s">
        <v>67</v>
      </c>
      <c r="G100" s="7">
        <v>182261923840</v>
      </c>
      <c r="H100" s="6">
        <v>84.3</v>
      </c>
      <c r="I100" s="6">
        <v>43.15</v>
      </c>
      <c r="J100" s="12">
        <f t="shared" si="3"/>
        <v>0.61413673232908472</v>
      </c>
      <c r="K100" s="11">
        <v>1.507537688442211E-2</v>
      </c>
      <c r="L100" s="13">
        <v>6350637223.7200003</v>
      </c>
      <c r="M100" s="13">
        <v>57896384836.860001</v>
      </c>
      <c r="N100" s="9" t="s">
        <v>50</v>
      </c>
      <c r="O100" s="6">
        <v>1.0683760683760684</v>
      </c>
      <c r="P100" s="12">
        <v>4.505933461106075E-2</v>
      </c>
      <c r="Q100" s="12">
        <v>0.10968970241604512</v>
      </c>
      <c r="R100" s="14">
        <v>75</v>
      </c>
    </row>
    <row r="101" spans="2:18" x14ac:dyDescent="0.5">
      <c r="B101" s="1" t="s">
        <v>114</v>
      </c>
      <c r="C101" t="s">
        <v>154</v>
      </c>
      <c r="D101" t="s">
        <v>148</v>
      </c>
      <c r="E101">
        <v>2.4700000000000002</v>
      </c>
      <c r="F101" s="9" t="s">
        <v>67</v>
      </c>
      <c r="G101" s="7">
        <v>8791656448</v>
      </c>
      <c r="H101" s="6">
        <v>2.64</v>
      </c>
      <c r="I101" s="6">
        <v>1.6</v>
      </c>
      <c r="J101" s="12">
        <f t="shared" si="3"/>
        <v>0.54374999999999996</v>
      </c>
      <c r="K101" s="11">
        <v>3.0364372469635623E-2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0.10743981076922947</v>
      </c>
      <c r="Q101" s="12">
        <v>3.1227495254580313E-2</v>
      </c>
      <c r="R101" s="14">
        <v>75</v>
      </c>
    </row>
    <row r="102" spans="2:18" x14ac:dyDescent="0.5">
      <c r="B102" s="1" t="s">
        <v>251</v>
      </c>
      <c r="C102" t="s">
        <v>301</v>
      </c>
      <c r="D102" t="s">
        <v>302</v>
      </c>
      <c r="E102">
        <v>5.45</v>
      </c>
      <c r="F102" s="9" t="s">
        <v>67</v>
      </c>
      <c r="G102" s="7">
        <v>112520888320</v>
      </c>
      <c r="H102" s="6">
        <v>6.07</v>
      </c>
      <c r="I102" s="6">
        <v>4.58</v>
      </c>
      <c r="J102" s="12">
        <f t="shared" si="3"/>
        <v>0.18995633187772931</v>
      </c>
      <c r="K102" s="11">
        <v>5.5045871559633024E-2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0.10068220305875951</v>
      </c>
      <c r="Q102" s="12">
        <v>5.643429507724386E-2</v>
      </c>
      <c r="R102" s="14">
        <v>73</v>
      </c>
    </row>
    <row r="103" spans="2:18" x14ac:dyDescent="0.5">
      <c r="B103" s="1" t="s">
        <v>119</v>
      </c>
      <c r="C103" t="s">
        <v>159</v>
      </c>
      <c r="D103" t="s">
        <v>148</v>
      </c>
      <c r="E103">
        <v>39.380000000000003</v>
      </c>
      <c r="F103" s="9" t="s">
        <v>67</v>
      </c>
      <c r="G103" s="7">
        <v>137821274112</v>
      </c>
      <c r="H103" s="6">
        <v>41.8</v>
      </c>
      <c r="I103" s="6">
        <v>28.1</v>
      </c>
      <c r="J103" s="12">
        <f t="shared" si="3"/>
        <v>0.40142348754448398</v>
      </c>
      <c r="K103" s="11">
        <v>4.418486541391569E-2</v>
      </c>
      <c r="L103" s="13">
        <v>16863000000</v>
      </c>
      <c r="M103" s="13">
        <v>448320000000</v>
      </c>
      <c r="N103" s="9" t="s">
        <v>67</v>
      </c>
      <c r="O103" s="6">
        <v>1</v>
      </c>
      <c r="P103" s="12">
        <v>0.10580090221542371</v>
      </c>
      <c r="Q103" s="12">
        <v>3.7613758029978586E-2</v>
      </c>
      <c r="R103" s="14">
        <v>76</v>
      </c>
    </row>
    <row r="104" spans="2:18" x14ac:dyDescent="0.5">
      <c r="B104" s="1" t="s">
        <v>252</v>
      </c>
      <c r="C104" t="s">
        <v>303</v>
      </c>
      <c r="D104" t="s">
        <v>168</v>
      </c>
      <c r="E104">
        <v>54.9</v>
      </c>
      <c r="F104" s="9" t="s">
        <v>67</v>
      </c>
      <c r="G104" s="7">
        <v>210269437952</v>
      </c>
      <c r="H104" s="6">
        <v>55.9</v>
      </c>
      <c r="I104" s="6">
        <v>37.450000000000003</v>
      </c>
      <c r="J104" s="12">
        <f t="shared" si="3"/>
        <v>0.46595460614152184</v>
      </c>
      <c r="K104" s="11">
        <v>4.0510018214936251E-2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0.10088774106655843</v>
      </c>
      <c r="Q104" s="12">
        <v>5.2504192208844336E-2</v>
      </c>
      <c r="R104" s="14">
        <v>74</v>
      </c>
    </row>
    <row r="105" spans="2:18" x14ac:dyDescent="0.5">
      <c r="B105" s="1" t="s">
        <v>262</v>
      </c>
      <c r="C105" t="s">
        <v>314</v>
      </c>
      <c r="D105" t="s">
        <v>85</v>
      </c>
      <c r="E105">
        <v>6.78</v>
      </c>
      <c r="F105" s="9" t="s">
        <v>67</v>
      </c>
      <c r="G105" s="7">
        <v>7066015232</v>
      </c>
      <c r="H105" s="6">
        <v>12.88</v>
      </c>
      <c r="I105" s="6">
        <v>6.7</v>
      </c>
      <c r="J105" s="12">
        <f t="shared" si="3"/>
        <v>1.1940298507462588E-2</v>
      </c>
      <c r="K105" s="11">
        <v>2.0943952802359878E-2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5.5037830548511274E-2</v>
      </c>
      <c r="Q105" s="12">
        <v>0.10455432132537129</v>
      </c>
      <c r="R105" s="14">
        <v>71</v>
      </c>
    </row>
    <row r="106" spans="2:18" x14ac:dyDescent="0.5">
      <c r="B106" s="1" t="s">
        <v>256</v>
      </c>
      <c r="C106" t="s">
        <v>307</v>
      </c>
      <c r="D106" t="s">
        <v>106</v>
      </c>
      <c r="E106">
        <v>12.07</v>
      </c>
      <c r="F106" s="9" t="s">
        <v>67</v>
      </c>
      <c r="G106" s="7">
        <v>8107563520</v>
      </c>
      <c r="H106" s="6">
        <v>15.74</v>
      </c>
      <c r="I106" s="6">
        <v>6.27</v>
      </c>
      <c r="J106" s="12">
        <f t="shared" si="3"/>
        <v>0.92503987240829355</v>
      </c>
      <c r="K106" s="11">
        <v>4.7224523612261801E-2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8.9291304853353196E-2</v>
      </c>
      <c r="Q106" s="12">
        <v>6.5089877530620205E-2</v>
      </c>
      <c r="R106" s="14">
        <v>73</v>
      </c>
    </row>
    <row r="107" spans="2:18" x14ac:dyDescent="0.5">
      <c r="B107" s="1" t="s">
        <v>124</v>
      </c>
      <c r="C107" t="s">
        <v>166</v>
      </c>
      <c r="D107" t="s">
        <v>102</v>
      </c>
      <c r="E107">
        <v>10.74</v>
      </c>
      <c r="F107" s="9" t="s">
        <v>67</v>
      </c>
      <c r="G107" s="7">
        <v>33665335296</v>
      </c>
      <c r="H107" s="6">
        <v>14.3</v>
      </c>
      <c r="I107" s="6">
        <v>6.52</v>
      </c>
      <c r="J107" s="12">
        <f t="shared" si="3"/>
        <v>0.64723926380368102</v>
      </c>
      <c r="K107" s="11">
        <v>3.2588454376163874E-2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5.4657072613581284E-2</v>
      </c>
      <c r="Q107" s="12">
        <v>0.10689920561026972</v>
      </c>
      <c r="R107" s="14">
        <v>70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5.9</v>
      </c>
      <c r="F108" s="9" t="s">
        <v>67</v>
      </c>
      <c r="G108" s="7">
        <v>45672271872</v>
      </c>
      <c r="H108" s="6">
        <v>6.13</v>
      </c>
      <c r="I108" s="6">
        <v>4.2</v>
      </c>
      <c r="J108" s="12">
        <f t="shared" si="3"/>
        <v>0.40476190476190488</v>
      </c>
      <c r="K108" s="11">
        <v>6.4915254237288139E-2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5.6244384369141871E-2</v>
      </c>
      <c r="Q108" s="12">
        <v>9.2144023431582137E-2</v>
      </c>
      <c r="R108" s="14">
        <v>77</v>
      </c>
    </row>
    <row r="109" spans="2:18" x14ac:dyDescent="0.5">
      <c r="B109" s="1" t="s">
        <v>125</v>
      </c>
      <c r="C109" t="s">
        <v>167</v>
      </c>
      <c r="D109" t="s">
        <v>168</v>
      </c>
      <c r="E109">
        <v>25.32</v>
      </c>
      <c r="F109" s="9" t="s">
        <v>67</v>
      </c>
      <c r="G109" s="7">
        <v>28062451712</v>
      </c>
      <c r="H109" s="6">
        <v>32.4</v>
      </c>
      <c r="I109" s="6">
        <v>17.600000000000001</v>
      </c>
      <c r="J109" s="12">
        <f t="shared" si="3"/>
        <v>0.43863636363636349</v>
      </c>
      <c r="K109" s="11">
        <v>4.8578199052132703E-2</v>
      </c>
      <c r="L109" s="13">
        <v>3838344000</v>
      </c>
      <c r="M109" s="13">
        <v>81520873000</v>
      </c>
      <c r="N109" s="9" t="s">
        <v>67</v>
      </c>
      <c r="O109" s="6">
        <v>1</v>
      </c>
      <c r="P109" s="12">
        <v>8.3659764049041935E-2</v>
      </c>
      <c r="Q109" s="12">
        <v>4.7084186647510511E-2</v>
      </c>
      <c r="R109" s="14">
        <v>79</v>
      </c>
    </row>
    <row r="110" spans="2:18" x14ac:dyDescent="0.5">
      <c r="B110" s="1" t="s">
        <v>26</v>
      </c>
      <c r="C110" t="s">
        <v>84</v>
      </c>
      <c r="D110" t="s">
        <v>85</v>
      </c>
      <c r="E110">
        <v>6.45</v>
      </c>
      <c r="F110" s="9" t="s">
        <v>67</v>
      </c>
      <c r="G110" s="7">
        <v>6731765248</v>
      </c>
      <c r="H110" s="6">
        <v>9.6</v>
      </c>
      <c r="I110" s="6">
        <v>4.68</v>
      </c>
      <c r="J110" s="12">
        <f t="shared" si="3"/>
        <v>0.37820512820512842</v>
      </c>
      <c r="K110" s="11">
        <v>1.4883720930232557E-2</v>
      </c>
      <c r="L110" s="13">
        <v>303335000</v>
      </c>
      <c r="M110" s="13">
        <v>3620162000</v>
      </c>
      <c r="N110" s="9" t="s">
        <v>67</v>
      </c>
      <c r="O110" s="6">
        <v>1</v>
      </c>
      <c r="P110" s="12">
        <v>5.3803709998048871E-2</v>
      </c>
      <c r="Q110" s="12">
        <v>8.3790449156695201E-2</v>
      </c>
      <c r="R110" s="14">
        <v>80</v>
      </c>
    </row>
    <row r="111" spans="2:18" x14ac:dyDescent="0.5">
      <c r="B111" s="1" t="s">
        <v>444</v>
      </c>
      <c r="C111" t="s">
        <v>449</v>
      </c>
      <c r="D111" t="s">
        <v>450</v>
      </c>
      <c r="E111">
        <v>2.16</v>
      </c>
      <c r="F111" s="9" t="s">
        <v>67</v>
      </c>
      <c r="G111" s="7">
        <v>23739852800</v>
      </c>
      <c r="H111" s="6">
        <v>2.64</v>
      </c>
      <c r="I111" s="6">
        <v>1.57</v>
      </c>
      <c r="J111" s="12">
        <f t="shared" si="3"/>
        <v>0.37579617834394918</v>
      </c>
      <c r="K111" s="11">
        <v>3.2407407407407406E-2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6.7074791350761609E-2</v>
      </c>
      <c r="Q111" s="12">
        <v>5.4029173112094174E-2</v>
      </c>
      <c r="R111" s="14">
        <v>80</v>
      </c>
    </row>
    <row r="112" spans="2:18" x14ac:dyDescent="0.5">
      <c r="B112" s="1" t="s">
        <v>33</v>
      </c>
      <c r="C112" t="s">
        <v>95</v>
      </c>
      <c r="D112" t="s">
        <v>96</v>
      </c>
      <c r="E112">
        <v>11.76</v>
      </c>
      <c r="F112" s="9" t="s">
        <v>67</v>
      </c>
      <c r="G112" s="7">
        <v>205578911744</v>
      </c>
      <c r="H112" s="6">
        <v>12.46</v>
      </c>
      <c r="I112" s="6">
        <v>9.89</v>
      </c>
      <c r="J112" s="12">
        <f t="shared" si="3"/>
        <v>0.1890798786653185</v>
      </c>
      <c r="K112" s="11">
        <v>3.7414965986394558E-2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5.9347903721978859E-2</v>
      </c>
      <c r="Q112" s="12">
        <v>6.2161059386475759E-2</v>
      </c>
      <c r="R112" s="14">
        <v>80</v>
      </c>
    </row>
    <row r="113" spans="2:18" x14ac:dyDescent="0.5">
      <c r="B113" s="1" t="s">
        <v>30</v>
      </c>
      <c r="C113" t="s">
        <v>90</v>
      </c>
      <c r="D113" t="s">
        <v>91</v>
      </c>
      <c r="E113">
        <v>2.75</v>
      </c>
      <c r="F113" s="9" t="s">
        <v>67</v>
      </c>
      <c r="G113" s="7">
        <v>15021964288</v>
      </c>
      <c r="H113" s="6">
        <v>3.68</v>
      </c>
      <c r="I113" s="6">
        <v>1.24</v>
      </c>
      <c r="J113" s="12">
        <f t="shared" si="3"/>
        <v>1.217741935483871</v>
      </c>
      <c r="K113" s="11">
        <v>1.2363636363636365E-2</v>
      </c>
      <c r="L113" s="13">
        <v>1384865000</v>
      </c>
      <c r="M113" s="13">
        <v>23827484000</v>
      </c>
      <c r="N113" s="9" t="s">
        <v>50</v>
      </c>
      <c r="O113" s="6">
        <v>1.0683760683760684</v>
      </c>
      <c r="P113" s="12">
        <v>5.6611221402551405E-2</v>
      </c>
      <c r="Q113" s="12">
        <v>5.8120488088461209E-2</v>
      </c>
      <c r="R113" s="14">
        <v>81</v>
      </c>
    </row>
    <row r="114" spans="2:18" x14ac:dyDescent="0.5">
      <c r="B114" s="1" t="s">
        <v>137</v>
      </c>
      <c r="C114" t="s">
        <v>184</v>
      </c>
      <c r="D114" t="s">
        <v>185</v>
      </c>
      <c r="E114">
        <v>2.79</v>
      </c>
      <c r="F114" s="9" t="s">
        <v>67</v>
      </c>
      <c r="G114" s="7">
        <v>11983049728</v>
      </c>
      <c r="H114" s="6">
        <v>3.16</v>
      </c>
      <c r="I114" s="6">
        <v>1.93</v>
      </c>
      <c r="J114" s="12">
        <f t="shared" si="3"/>
        <v>0.44559585492227982</v>
      </c>
      <c r="K114" s="11">
        <v>3.9784946236559142E-2</v>
      </c>
      <c r="L114" s="13">
        <v>1938532000</v>
      </c>
      <c r="M114" s="13">
        <v>49986396000</v>
      </c>
      <c r="N114" s="9" t="s">
        <v>67</v>
      </c>
      <c r="O114" s="6">
        <v>1</v>
      </c>
      <c r="P114" s="12">
        <v>5.9625897463920212E-2</v>
      </c>
      <c r="Q114" s="12">
        <v>3.8781191586606881E-2</v>
      </c>
      <c r="R114" s="14">
        <v>82</v>
      </c>
    </row>
    <row r="115" spans="2:18" x14ac:dyDescent="0.5">
      <c r="B115" s="1" t="s">
        <v>383</v>
      </c>
      <c r="C115" t="s">
        <v>386</v>
      </c>
      <c r="D115" t="s">
        <v>148</v>
      </c>
      <c r="E115">
        <v>10.24</v>
      </c>
      <c r="F115" s="9" t="s">
        <v>67</v>
      </c>
      <c r="G115" s="7">
        <v>93697056768</v>
      </c>
      <c r="H115" s="6">
        <v>10.8</v>
      </c>
      <c r="I115" s="6">
        <v>7.31</v>
      </c>
      <c r="J115" s="12">
        <f t="shared" si="3"/>
        <v>0.40082079343365273</v>
      </c>
      <c r="K115" s="11">
        <v>5.6640624999999993E-2</v>
      </c>
      <c r="L115" s="13">
        <v>4532000000</v>
      </c>
      <c r="M115" s="13">
        <v>172303000000</v>
      </c>
      <c r="N115" s="9" t="s">
        <v>67</v>
      </c>
      <c r="O115" s="6">
        <v>1</v>
      </c>
      <c r="P115" s="12">
        <v>4.8041525126185418E-2</v>
      </c>
      <c r="Q115" s="12">
        <v>2.6302501987777345E-2</v>
      </c>
      <c r="R115" s="14">
        <v>84</v>
      </c>
    </row>
    <row r="116" spans="2:18" x14ac:dyDescent="0.5">
      <c r="B116" s="1" t="s">
        <v>379</v>
      </c>
      <c r="C116" t="s">
        <v>380</v>
      </c>
      <c r="D116" t="s">
        <v>83</v>
      </c>
      <c r="E116">
        <v>1.37</v>
      </c>
      <c r="F116" s="9" t="s">
        <v>67</v>
      </c>
      <c r="G116" s="7">
        <v>7585188352</v>
      </c>
      <c r="H116" s="6">
        <v>2.99</v>
      </c>
      <c r="I116" s="6">
        <v>0.91</v>
      </c>
      <c r="J116" s="12">
        <f t="shared" si="3"/>
        <v>0.50549450549450547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5.5747996807836882E-2</v>
      </c>
      <c r="Q116" s="12">
        <v>2.3421020321148112E-2</v>
      </c>
      <c r="R116" s="14">
        <v>83</v>
      </c>
    </row>
    <row r="117" spans="2:18" x14ac:dyDescent="0.5">
      <c r="B117" s="1" t="s">
        <v>191</v>
      </c>
      <c r="C117" t="s">
        <v>192</v>
      </c>
      <c r="D117" t="s">
        <v>193</v>
      </c>
      <c r="E117">
        <v>65.95</v>
      </c>
      <c r="F117" s="9" t="s">
        <v>67</v>
      </c>
      <c r="G117" s="7">
        <v>633233014784</v>
      </c>
      <c r="H117" s="6">
        <v>93.5</v>
      </c>
      <c r="I117" s="6">
        <v>24.15</v>
      </c>
      <c r="J117" s="12">
        <f t="shared" si="3"/>
        <v>1.7308488612836443</v>
      </c>
      <c r="K117" s="11">
        <v>0</v>
      </c>
      <c r="L117" s="13">
        <v>984027000</v>
      </c>
      <c r="M117" s="13">
        <v>32183526000</v>
      </c>
      <c r="N117" s="9" t="s">
        <v>71</v>
      </c>
      <c r="O117" s="6">
        <v>7.6923076923076916</v>
      </c>
      <c r="P117" s="12">
        <v>1.1239330648580296E-2</v>
      </c>
      <c r="Q117" s="12">
        <v>3.0575487595734537E-2</v>
      </c>
      <c r="R117" s="14">
        <v>85</v>
      </c>
    </row>
    <row r="118" spans="2:18" x14ac:dyDescent="0.5">
      <c r="B118" s="1" t="s">
        <v>111</v>
      </c>
      <c r="C118" t="s">
        <v>149</v>
      </c>
      <c r="D118" t="s">
        <v>150</v>
      </c>
      <c r="E118">
        <v>17.670000000000002</v>
      </c>
      <c r="F118" s="9" t="s">
        <v>67</v>
      </c>
      <c r="G118" s="7">
        <v>18147235840</v>
      </c>
      <c r="H118" s="6">
        <v>18.5</v>
      </c>
      <c r="I118" s="6">
        <v>10.94</v>
      </c>
      <c r="J118" s="12">
        <f t="shared" si="3"/>
        <v>0.61517367458866579</v>
      </c>
      <c r="K118" s="11">
        <v>6.1120543293718167E-2</v>
      </c>
      <c r="L118" s="13">
        <v>984000000</v>
      </c>
      <c r="M118" s="13">
        <v>101944000000</v>
      </c>
      <c r="N118" s="9" t="s">
        <v>67</v>
      </c>
      <c r="O118" s="6">
        <v>1</v>
      </c>
      <c r="P118" s="12">
        <v>2.2832090755266404E-2</v>
      </c>
      <c r="Q118" s="12">
        <v>9.6523581574197593E-3</v>
      </c>
      <c r="R118" s="14">
        <v>86</v>
      </c>
    </row>
    <row r="119" spans="2:18" x14ac:dyDescent="0.5">
      <c r="B119" s="1" t="s">
        <v>128</v>
      </c>
      <c r="C119" t="s">
        <v>172</v>
      </c>
      <c r="D119" t="s">
        <v>171</v>
      </c>
      <c r="E119">
        <v>35.92</v>
      </c>
      <c r="F119" s="9" t="s">
        <v>67</v>
      </c>
      <c r="G119" s="7">
        <v>36691300352</v>
      </c>
      <c r="H119" s="6">
        <v>46.88</v>
      </c>
      <c r="I119" s="6">
        <v>22.4</v>
      </c>
      <c r="J119" s="12">
        <f t="shared" si="3"/>
        <v>0.60357142857142865</v>
      </c>
      <c r="K119" s="11">
        <v>0</v>
      </c>
      <c r="L119" s="13">
        <v>-90314000</v>
      </c>
      <c r="M119" s="13">
        <v>18374441000</v>
      </c>
      <c r="N119" s="9" t="s">
        <v>50</v>
      </c>
      <c r="O119" s="6">
        <v>1.0683760683760684</v>
      </c>
      <c r="P119" s="12">
        <v>-2.890502883806188E-3</v>
      </c>
      <c r="Q119" s="12">
        <v>-4.9151971480384084E-3</v>
      </c>
      <c r="R119" s="14">
        <v>87</v>
      </c>
    </row>
    <row r="120" spans="2:18" x14ac:dyDescent="0.5">
      <c r="B120" s="1" t="s">
        <v>385</v>
      </c>
      <c r="C120" t="s">
        <v>388</v>
      </c>
      <c r="D120" t="s">
        <v>389</v>
      </c>
      <c r="E120">
        <v>36.32</v>
      </c>
      <c r="F120" s="9" t="s">
        <v>67</v>
      </c>
      <c r="G120" s="7">
        <v>93972545536</v>
      </c>
      <c r="H120" s="6">
        <v>45.05</v>
      </c>
      <c r="I120" s="6">
        <v>31.1</v>
      </c>
      <c r="J120" s="12">
        <f t="shared" si="3"/>
        <v>0.16784565916398719</v>
      </c>
      <c r="K120" s="11">
        <v>7.2769823788546253E-2</v>
      </c>
      <c r="L120" s="13">
        <v>-6742000000</v>
      </c>
      <c r="M120" s="13">
        <v>216378000000</v>
      </c>
      <c r="N120" s="9" t="s">
        <v>67</v>
      </c>
      <c r="O120" s="6">
        <v>1</v>
      </c>
      <c r="P120" s="12">
        <v>-4.6891884089869183E-2</v>
      </c>
      <c r="Q120" s="12">
        <v>-3.1158435700487111E-2</v>
      </c>
      <c r="R120" s="14">
        <v>88</v>
      </c>
    </row>
    <row r="121" spans="2:18" x14ac:dyDescent="0.5">
      <c r="B121" s="1" t="s">
        <v>442</v>
      </c>
      <c r="C121" t="s">
        <v>446</v>
      </c>
      <c r="D121" t="s">
        <v>164</v>
      </c>
      <c r="E121">
        <v>2.72</v>
      </c>
      <c r="F121" s="9" t="s">
        <v>67</v>
      </c>
      <c r="G121" s="7">
        <v>15948005376</v>
      </c>
      <c r="H121" s="6">
        <v>4.4400000000000004</v>
      </c>
      <c r="I121" s="6">
        <v>2.68</v>
      </c>
      <c r="J121" s="12">
        <f t="shared" si="3"/>
        <v>1.4925373134328401E-2</v>
      </c>
      <c r="K121" s="11">
        <v>5.1470588235294122E-2</v>
      </c>
      <c r="L121" s="13">
        <v>-780356000</v>
      </c>
      <c r="M121" s="13">
        <v>8664599000</v>
      </c>
      <c r="N121" s="9" t="s">
        <v>67</v>
      </c>
      <c r="O121" s="6">
        <v>1</v>
      </c>
      <c r="P121" s="12">
        <v>-7.2046448106415348E-2</v>
      </c>
      <c r="Q121" s="12">
        <v>-9.0062563772426163E-2</v>
      </c>
      <c r="R121" s="14">
        <v>89</v>
      </c>
    </row>
    <row r="122" spans="2:18" x14ac:dyDescent="0.5">
      <c r="B122" s="1" t="s">
        <v>364</v>
      </c>
      <c r="C122" t="s">
        <v>366</v>
      </c>
      <c r="D122" t="s">
        <v>367</v>
      </c>
      <c r="E122">
        <v>2.42</v>
      </c>
      <c r="F122" s="9" t="s">
        <v>67</v>
      </c>
      <c r="G122" s="7">
        <v>4912960512</v>
      </c>
      <c r="H122" s="6">
        <v>3.64</v>
      </c>
      <c r="I122" s="6">
        <v>0.99</v>
      </c>
      <c r="J122" s="12">
        <f t="shared" si="3"/>
        <v>1.4444444444444442</v>
      </c>
      <c r="K122" s="11">
        <v>0</v>
      </c>
      <c r="L122" s="13">
        <v>-732033000</v>
      </c>
      <c r="M122" s="13">
        <v>7864121000</v>
      </c>
      <c r="N122" s="9" t="s">
        <v>50</v>
      </c>
      <c r="O122" s="6">
        <v>1.0683760683760684</v>
      </c>
      <c r="P122" s="12">
        <v>3.9786572970850744</v>
      </c>
      <c r="Q122" s="12">
        <v>-9.3085164890011229E-2</v>
      </c>
      <c r="R122" s="14">
        <v>47</v>
      </c>
    </row>
    <row r="123" spans="2:18" x14ac:dyDescent="0.5">
      <c r="B123" s="1" t="s">
        <v>200</v>
      </c>
      <c r="C123" t="s">
        <v>226</v>
      </c>
      <c r="D123" t="s">
        <v>227</v>
      </c>
      <c r="E123">
        <v>7.17</v>
      </c>
      <c r="F123" s="9" t="s">
        <v>67</v>
      </c>
      <c r="G123" s="7">
        <v>709798854656</v>
      </c>
      <c r="H123" s="6">
        <v>7.62</v>
      </c>
      <c r="I123" s="6">
        <v>5.57</v>
      </c>
      <c r="J123" s="12">
        <f t="shared" si="3"/>
        <v>0.28725314183123873</v>
      </c>
      <c r="K123" s="11">
        <v>7.4616457461645747E-2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202</v>
      </c>
      <c r="C124" t="s">
        <v>229</v>
      </c>
      <c r="D124" t="s">
        <v>225</v>
      </c>
      <c r="E124">
        <v>5.55</v>
      </c>
      <c r="F124" s="9" t="s">
        <v>67</v>
      </c>
      <c r="G124" s="7">
        <v>750684667904</v>
      </c>
      <c r="H124" s="6">
        <v>5.95</v>
      </c>
      <c r="I124" s="6">
        <v>4.34</v>
      </c>
      <c r="J124" s="12">
        <f t="shared" si="3"/>
        <v>0.27880184331797242</v>
      </c>
      <c r="K124" s="11">
        <v>4.2702702702702704E-2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201</v>
      </c>
      <c r="C125" t="s">
        <v>228</v>
      </c>
      <c r="D125" t="s">
        <v>227</v>
      </c>
      <c r="E125">
        <v>6.45</v>
      </c>
      <c r="F125" s="9" t="s">
        <v>67</v>
      </c>
      <c r="G125" s="7">
        <v>2882041806848</v>
      </c>
      <c r="H125" s="6">
        <v>6.66</v>
      </c>
      <c r="I125" s="6">
        <v>4.5199999999999996</v>
      </c>
      <c r="J125" s="12">
        <f t="shared" si="3"/>
        <v>0.42699115044247815</v>
      </c>
      <c r="K125" s="11">
        <v>4.7441860465116274E-2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203</v>
      </c>
      <c r="C126" t="s">
        <v>230</v>
      </c>
      <c r="D126" t="s">
        <v>227</v>
      </c>
      <c r="E126">
        <v>8.15</v>
      </c>
      <c r="F126" s="9" t="s">
        <v>67</v>
      </c>
      <c r="G126" s="7">
        <v>2184589475840</v>
      </c>
      <c r="H126" s="6">
        <v>8.56</v>
      </c>
      <c r="I126" s="6">
        <v>5.8</v>
      </c>
      <c r="J126" s="12">
        <f t="shared" si="3"/>
        <v>0.40517241379310365</v>
      </c>
      <c r="K126" s="11">
        <v>4.8098159509202452E-2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225</v>
      </c>
      <c r="E127">
        <v>7.22</v>
      </c>
      <c r="F127" s="9" t="s">
        <v>67</v>
      </c>
      <c r="G127" s="7">
        <v>473442713600</v>
      </c>
      <c r="H127" s="6">
        <v>8.1199999999999992</v>
      </c>
      <c r="I127" s="6">
        <v>4.91</v>
      </c>
      <c r="J127" s="12">
        <f t="shared" si="3"/>
        <v>0.4704684317718939</v>
      </c>
      <c r="K127" s="11">
        <v>4.9584487534626041E-2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199</v>
      </c>
      <c r="C128" t="s">
        <v>224</v>
      </c>
      <c r="D128" t="s">
        <v>225</v>
      </c>
      <c r="E128">
        <v>38.020000000000003</v>
      </c>
      <c r="F128" s="9" t="s">
        <v>67</v>
      </c>
      <c r="G128" s="7">
        <v>401977114624</v>
      </c>
      <c r="H128" s="6">
        <v>39.76</v>
      </c>
      <c r="I128" s="6">
        <v>23.75</v>
      </c>
      <c r="J128" s="12">
        <f t="shared" si="3"/>
        <v>0.60084210526315807</v>
      </c>
      <c r="K128" s="11">
        <v>5.2577590741714884E-2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756</v>
      </c>
      <c r="C129" t="s">
        <v>758</v>
      </c>
      <c r="D129" t="s">
        <v>85</v>
      </c>
      <c r="E129">
        <v>13.73</v>
      </c>
      <c r="F129" s="9" t="s">
        <v>67</v>
      </c>
      <c r="G129" s="7">
        <v>8863556608</v>
      </c>
      <c r="H129" s="6">
        <v>15.18</v>
      </c>
      <c r="I129" s="6">
        <v>7.95</v>
      </c>
      <c r="J129" s="12">
        <f t="shared" si="3"/>
        <v>0.72704402515723277</v>
      </c>
      <c r="K129" s="11">
        <v>1.6241806263656226E-2</v>
      </c>
      <c r="L129" s="13">
        <v>1066661000</v>
      </c>
      <c r="M129" s="13">
        <v>15098330000</v>
      </c>
      <c r="N129" s="9" t="s">
        <v>50</v>
      </c>
      <c r="O129" s="6">
        <v>1.0683760683760684</v>
      </c>
      <c r="P129" s="12">
        <v>6.6449475464214536E-2</v>
      </c>
      <c r="Q129" s="12">
        <v>7.0647614669966816E-2</v>
      </c>
      <c r="R129" s="14">
        <v>78</v>
      </c>
    </row>
  </sheetData>
  <autoFilter ref="B1:R19" xr:uid="{7A9EDF16-08C4-B24B-A5E4-CFD78B458569}">
    <sortState xmlns:xlrd2="http://schemas.microsoft.com/office/spreadsheetml/2017/richdata2" ref="B2:R129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78"/>
  <sheetViews>
    <sheetView zoomScale="70" zoomScaleNormal="70" workbookViewId="0">
      <selection activeCell="G46" sqref="G4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499</v>
      </c>
      <c r="C2" t="s">
        <v>536</v>
      </c>
      <c r="D2" t="s">
        <v>76</v>
      </c>
      <c r="E2">
        <v>15.01</v>
      </c>
      <c r="F2" s="9" t="s">
        <v>50</v>
      </c>
      <c r="G2" s="7">
        <v>224782155776</v>
      </c>
      <c r="H2" s="6">
        <v>16.88</v>
      </c>
      <c r="I2" s="6">
        <v>12.74</v>
      </c>
      <c r="J2" s="12">
        <f t="shared" ref="J2:J33" si="0">E2/I2-1</f>
        <v>0.17817896389324961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0.60047749490956848</v>
      </c>
      <c r="Q2" s="12">
        <v>0.26042924055386191</v>
      </c>
      <c r="R2" s="14">
        <v>1</v>
      </c>
    </row>
    <row r="3" spans="2:22" x14ac:dyDescent="0.5">
      <c r="B3" s="1" t="s">
        <v>348</v>
      </c>
      <c r="C3" t="s">
        <v>368</v>
      </c>
      <c r="D3" t="s">
        <v>369</v>
      </c>
      <c r="E3">
        <v>15.25</v>
      </c>
      <c r="F3" s="9" t="s">
        <v>50</v>
      </c>
      <c r="G3" s="7">
        <v>8790969344</v>
      </c>
      <c r="H3" s="6">
        <v>20.5</v>
      </c>
      <c r="I3" s="6">
        <v>14.43</v>
      </c>
      <c r="J3" s="12">
        <f t="shared" si="0"/>
        <v>5.6826056826056792E-2</v>
      </c>
      <c r="K3" s="11">
        <v>6.9508196721311477E-2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0.151552060557399</v>
      </c>
      <c r="Q3" s="12">
        <v>0.23555964555041065</v>
      </c>
      <c r="R3" s="14">
        <v>2</v>
      </c>
    </row>
    <row r="4" spans="2:22" x14ac:dyDescent="0.5">
      <c r="B4" s="1" t="s">
        <v>12</v>
      </c>
      <c r="C4" t="s">
        <v>57</v>
      </c>
      <c r="D4" t="s">
        <v>58</v>
      </c>
      <c r="E4">
        <v>118.99</v>
      </c>
      <c r="F4" s="9" t="s">
        <v>50</v>
      </c>
      <c r="G4" s="7">
        <v>461872529408</v>
      </c>
      <c r="H4" s="6">
        <v>164.6</v>
      </c>
      <c r="I4" s="6">
        <v>115.4</v>
      </c>
      <c r="J4" s="12">
        <f t="shared" si="0"/>
        <v>3.1109185441940967E-2</v>
      </c>
      <c r="K4" s="11">
        <v>4.8281368182200191E-2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0.13184282269472047</v>
      </c>
      <c r="Q4" s="12">
        <v>0.33164773684009302</v>
      </c>
      <c r="R4" s="14">
        <v>3</v>
      </c>
    </row>
    <row r="5" spans="2:22" x14ac:dyDescent="0.5">
      <c r="B5" s="1" t="s">
        <v>349</v>
      </c>
      <c r="C5" t="s">
        <v>370</v>
      </c>
      <c r="D5" t="s">
        <v>238</v>
      </c>
      <c r="E5">
        <v>53.7</v>
      </c>
      <c r="F5" s="9" t="s">
        <v>50</v>
      </c>
      <c r="G5" s="7">
        <v>25989253120</v>
      </c>
      <c r="H5" s="6">
        <v>68.94</v>
      </c>
      <c r="I5" s="6">
        <v>52.7</v>
      </c>
      <c r="J5" s="12">
        <f t="shared" si="0"/>
        <v>1.8975332068311257E-2</v>
      </c>
      <c r="K5" s="11">
        <v>1.6759776536312849E-2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0.11673112799526854</v>
      </c>
      <c r="Q5" s="12">
        <v>2.4700897903693781</v>
      </c>
      <c r="R5" s="14">
        <v>4</v>
      </c>
    </row>
    <row r="6" spans="2:22" x14ac:dyDescent="0.5">
      <c r="B6" s="1" t="s">
        <v>492</v>
      </c>
      <c r="C6" t="s">
        <v>526</v>
      </c>
      <c r="D6" t="s">
        <v>78</v>
      </c>
      <c r="E6">
        <v>13.58</v>
      </c>
      <c r="F6" s="9" t="s">
        <v>50</v>
      </c>
      <c r="G6" s="7">
        <v>165741821952</v>
      </c>
      <c r="H6" s="6">
        <v>14.19</v>
      </c>
      <c r="I6" s="6">
        <v>9.42</v>
      </c>
      <c r="J6" s="12">
        <f t="shared" si="0"/>
        <v>0.44161358811040352</v>
      </c>
      <c r="K6" s="11">
        <v>3.1222385861561119E-2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0.16407496630866913</v>
      </c>
      <c r="Q6" s="12">
        <v>0.15266623500015464</v>
      </c>
      <c r="R6" s="14">
        <v>5</v>
      </c>
    </row>
    <row r="7" spans="2:22" x14ac:dyDescent="0.5">
      <c r="B7" s="1" t="s">
        <v>489</v>
      </c>
      <c r="C7" t="s">
        <v>523</v>
      </c>
      <c r="D7" t="s">
        <v>233</v>
      </c>
      <c r="E7">
        <v>9.15</v>
      </c>
      <c r="F7" s="9" t="s">
        <v>50</v>
      </c>
      <c r="G7" s="7">
        <v>1636045815808</v>
      </c>
      <c r="H7" s="6">
        <v>9.2799999999999994</v>
      </c>
      <c r="I7" s="6">
        <v>7.33</v>
      </c>
      <c r="J7" s="12">
        <f t="shared" si="0"/>
        <v>0.24829467939972716</v>
      </c>
      <c r="K7" s="11">
        <v>2.7322404371584699E-2</v>
      </c>
      <c r="L7" s="13">
        <v>262233000000</v>
      </c>
      <c r="M7" s="13">
        <v>1659398000000</v>
      </c>
      <c r="N7" s="9" t="s">
        <v>50</v>
      </c>
      <c r="O7" s="6">
        <v>1</v>
      </c>
      <c r="P7" s="12">
        <v>0.14769098691758858</v>
      </c>
      <c r="Q7" s="12">
        <v>0.15802899605760642</v>
      </c>
      <c r="R7" s="14">
        <v>6</v>
      </c>
    </row>
    <row r="8" spans="2:22" x14ac:dyDescent="0.5">
      <c r="B8" s="1" t="s">
        <v>11</v>
      </c>
      <c r="C8" t="s">
        <v>56</v>
      </c>
      <c r="D8" t="s">
        <v>49</v>
      </c>
      <c r="E8">
        <v>8.6999999999999993</v>
      </c>
      <c r="F8" s="9" t="s">
        <v>50</v>
      </c>
      <c r="G8" s="7">
        <v>14994227200</v>
      </c>
      <c r="H8" s="6">
        <v>9.5500000000000007</v>
      </c>
      <c r="I8" s="6">
        <v>7.65</v>
      </c>
      <c r="J8" s="12">
        <f t="shared" si="0"/>
        <v>0.13725490196078427</v>
      </c>
      <c r="K8" s="11">
        <v>4.9425287356321845E-2</v>
      </c>
      <c r="L8" s="13">
        <v>1541495041.8099999</v>
      </c>
      <c r="M8" s="13">
        <v>11970268017.99</v>
      </c>
      <c r="N8" s="9" t="s">
        <v>50</v>
      </c>
      <c r="O8" s="6">
        <v>1</v>
      </c>
      <c r="P8" s="12">
        <v>0.19122781066052391</v>
      </c>
      <c r="Q8" s="12">
        <v>0.1287769864044232</v>
      </c>
      <c r="R8" s="14">
        <v>7</v>
      </c>
    </row>
    <row r="9" spans="2:22" x14ac:dyDescent="0.5">
      <c r="B9" s="1" t="s">
        <v>514</v>
      </c>
      <c r="C9" t="s">
        <v>553</v>
      </c>
      <c r="D9" t="s">
        <v>96</v>
      </c>
      <c r="E9">
        <v>5.42</v>
      </c>
      <c r="F9" s="9" t="s">
        <v>50</v>
      </c>
      <c r="G9" s="7">
        <v>169453191168</v>
      </c>
      <c r="H9" s="6">
        <v>6.93</v>
      </c>
      <c r="I9" s="6">
        <v>4.7</v>
      </c>
      <c r="J9" s="12">
        <f t="shared" si="0"/>
        <v>0.15319148936170213</v>
      </c>
      <c r="K9" s="11">
        <v>3.2103321033210327E-2</v>
      </c>
      <c r="L9" s="13">
        <v>25203382526</v>
      </c>
      <c r="M9" s="13">
        <v>167684980370</v>
      </c>
      <c r="N9" s="9" t="s">
        <v>50</v>
      </c>
      <c r="O9" s="6">
        <v>1</v>
      </c>
      <c r="P9" s="12">
        <v>0.16161330460762804</v>
      </c>
      <c r="Q9" s="12">
        <v>0.15030196783509336</v>
      </c>
      <c r="R9" s="14">
        <v>7</v>
      </c>
    </row>
    <row r="10" spans="2:22" x14ac:dyDescent="0.5">
      <c r="B10" s="1" t="s">
        <v>491</v>
      </c>
      <c r="C10" t="s">
        <v>525</v>
      </c>
      <c r="D10" t="s">
        <v>78</v>
      </c>
      <c r="E10">
        <v>42.51</v>
      </c>
      <c r="F10" s="9" t="s">
        <v>50</v>
      </c>
      <c r="G10" s="7">
        <v>828231712768</v>
      </c>
      <c r="H10" s="6">
        <v>44.2</v>
      </c>
      <c r="I10" s="6">
        <v>34.78</v>
      </c>
      <c r="J10" s="12">
        <f t="shared" si="0"/>
        <v>0.22225416906267959</v>
      </c>
      <c r="K10" s="11">
        <v>5.3163961420842155E-2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0.12132454020350163</v>
      </c>
      <c r="Q10" s="12">
        <v>0.19365416397605262</v>
      </c>
      <c r="R10" s="14">
        <v>8</v>
      </c>
    </row>
    <row r="11" spans="2:22" x14ac:dyDescent="0.5">
      <c r="B11" s="1" t="s">
        <v>13</v>
      </c>
      <c r="C11" t="s">
        <v>59</v>
      </c>
      <c r="D11" t="s">
        <v>60</v>
      </c>
      <c r="E11">
        <v>12.11</v>
      </c>
      <c r="F11" s="9" t="s">
        <v>50</v>
      </c>
      <c r="G11" s="7">
        <v>21749559296</v>
      </c>
      <c r="H11" s="6">
        <v>15.58</v>
      </c>
      <c r="I11" s="6">
        <v>11.91</v>
      </c>
      <c r="J11" s="12">
        <f t="shared" si="0"/>
        <v>1.6792611251049472E-2</v>
      </c>
      <c r="K11" s="11">
        <v>3.7159372419488031E-2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0.19152105723775742</v>
      </c>
      <c r="Q11" s="12">
        <v>0.11487361117809598</v>
      </c>
      <c r="R11" s="14">
        <v>9</v>
      </c>
    </row>
    <row r="12" spans="2:22" x14ac:dyDescent="0.5">
      <c r="B12" s="1" t="s">
        <v>14</v>
      </c>
      <c r="C12" t="s">
        <v>61</v>
      </c>
      <c r="D12" t="s">
        <v>60</v>
      </c>
      <c r="E12">
        <v>12.09</v>
      </c>
      <c r="F12" s="9" t="s">
        <v>50</v>
      </c>
      <c r="G12" s="7">
        <v>12370533376</v>
      </c>
      <c r="H12" s="6">
        <v>14.08</v>
      </c>
      <c r="I12" s="6">
        <v>10.33</v>
      </c>
      <c r="J12" s="12">
        <f t="shared" si="0"/>
        <v>0.17037754114230386</v>
      </c>
      <c r="K12" s="11">
        <v>4.9627791563275431E-2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0.18324735803891615</v>
      </c>
      <c r="Q12" s="12">
        <v>0.11527544475940803</v>
      </c>
      <c r="R12" s="14">
        <v>10</v>
      </c>
    </row>
    <row r="13" spans="2:22" x14ac:dyDescent="0.5">
      <c r="B13" s="1" t="s">
        <v>508</v>
      </c>
      <c r="C13" t="s">
        <v>546</v>
      </c>
      <c r="D13" t="s">
        <v>302</v>
      </c>
      <c r="E13">
        <v>7.73</v>
      </c>
      <c r="F13" s="9" t="s">
        <v>50</v>
      </c>
      <c r="G13" s="7">
        <v>47206162432</v>
      </c>
      <c r="H13" s="6">
        <v>9.08</v>
      </c>
      <c r="I13" s="6">
        <v>6.57</v>
      </c>
      <c r="J13" s="12">
        <f t="shared" si="0"/>
        <v>0.17656012176560121</v>
      </c>
      <c r="K13" s="11">
        <v>2.4062095730918498E-2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0.75400981681758816</v>
      </c>
      <c r="Q13" s="12">
        <v>0.10659269185896057</v>
      </c>
      <c r="R13" s="14">
        <v>11</v>
      </c>
    </row>
    <row r="14" spans="2:22" x14ac:dyDescent="0.5">
      <c r="B14" s="1" t="s">
        <v>511</v>
      </c>
      <c r="C14" t="s">
        <v>549</v>
      </c>
      <c r="D14" t="s">
        <v>550</v>
      </c>
      <c r="E14">
        <v>9.99</v>
      </c>
      <c r="F14" s="9" t="s">
        <v>50</v>
      </c>
      <c r="G14" s="7">
        <v>167348797440</v>
      </c>
      <c r="H14" s="6">
        <v>10.5</v>
      </c>
      <c r="I14" s="6">
        <v>5.96</v>
      </c>
      <c r="J14" s="12">
        <f t="shared" si="0"/>
        <v>0.6761744966442953</v>
      </c>
      <c r="K14" s="11">
        <v>1.3513513513513514E-2</v>
      </c>
      <c r="L14" s="13">
        <v>22993550000</v>
      </c>
      <c r="M14" s="13">
        <v>116111506000</v>
      </c>
      <c r="N14" s="9" t="s">
        <v>50</v>
      </c>
      <c r="O14" s="6">
        <v>1</v>
      </c>
      <c r="P14" s="12">
        <v>0.11015718071859981</v>
      </c>
      <c r="Q14" s="12">
        <v>0.19802990067151485</v>
      </c>
      <c r="R14" s="14">
        <v>12</v>
      </c>
    </row>
    <row r="15" spans="2:22" x14ac:dyDescent="0.5">
      <c r="B15" s="1" t="s">
        <v>354</v>
      </c>
      <c r="C15" t="s">
        <v>375</v>
      </c>
      <c r="D15" t="s">
        <v>85</v>
      </c>
      <c r="E15">
        <v>22.07</v>
      </c>
      <c r="F15" s="9" t="s">
        <v>50</v>
      </c>
      <c r="G15" s="7">
        <v>11164223488</v>
      </c>
      <c r="H15" s="6">
        <v>34.1</v>
      </c>
      <c r="I15" s="6">
        <v>20.87</v>
      </c>
      <c r="J15" s="12">
        <f t="shared" si="0"/>
        <v>5.7498802108289393E-2</v>
      </c>
      <c r="K15" s="11">
        <v>4.5310376076121428E-2</v>
      </c>
      <c r="L15" s="13">
        <v>1139111857.1300001</v>
      </c>
      <c r="M15" s="13">
        <v>7932700024.4300003</v>
      </c>
      <c r="N15" s="9" t="s">
        <v>50</v>
      </c>
      <c r="O15" s="6">
        <v>1</v>
      </c>
      <c r="P15" s="12">
        <v>0.12810419110036572</v>
      </c>
      <c r="Q15" s="12">
        <v>0.14359699139283291</v>
      </c>
      <c r="R15" s="14">
        <v>13</v>
      </c>
    </row>
    <row r="16" spans="2:22" x14ac:dyDescent="0.5">
      <c r="B16" s="1" t="s">
        <v>352</v>
      </c>
      <c r="C16" t="s">
        <v>373</v>
      </c>
      <c r="D16" t="s">
        <v>58</v>
      </c>
      <c r="E16">
        <v>70.8</v>
      </c>
      <c r="F16" s="9" t="s">
        <v>50</v>
      </c>
      <c r="G16" s="7">
        <v>106656317440</v>
      </c>
      <c r="H16" s="6">
        <v>95</v>
      </c>
      <c r="I16" s="6">
        <v>63.17</v>
      </c>
      <c r="J16" s="12">
        <f t="shared" si="0"/>
        <v>0.12078518283995554</v>
      </c>
      <c r="K16" s="11">
        <v>3.2725988700564979E-2</v>
      </c>
      <c r="L16" s="13">
        <v>9147980437.1399994</v>
      </c>
      <c r="M16" s="13">
        <v>51588243128.650002</v>
      </c>
      <c r="N16" s="9" t="s">
        <v>50</v>
      </c>
      <c r="O16" s="6">
        <v>1</v>
      </c>
      <c r="P16" s="12">
        <v>0.10765908950905868</v>
      </c>
      <c r="Q16" s="12">
        <v>0.177326845853752</v>
      </c>
      <c r="R16" s="14">
        <v>14</v>
      </c>
    </row>
    <row r="17" spans="2:18" x14ac:dyDescent="0.5">
      <c r="B17" s="1" t="s">
        <v>512</v>
      </c>
      <c r="C17" t="s">
        <v>551</v>
      </c>
      <c r="D17" t="s">
        <v>96</v>
      </c>
      <c r="E17">
        <v>105.79</v>
      </c>
      <c r="F17" s="9" t="s">
        <v>50</v>
      </c>
      <c r="G17" s="7">
        <v>1710616346624</v>
      </c>
      <c r="H17" s="6">
        <v>119.51</v>
      </c>
      <c r="I17" s="6">
        <v>100.5</v>
      </c>
      <c r="J17" s="12">
        <f t="shared" si="0"/>
        <v>5.2636815920398039E-2</v>
      </c>
      <c r="K17" s="11">
        <v>4.680971736459022E-2</v>
      </c>
      <c r="L17" s="13">
        <v>181466000000</v>
      </c>
      <c r="M17" s="13">
        <v>1392032000000</v>
      </c>
      <c r="N17" s="9" t="s">
        <v>50</v>
      </c>
      <c r="O17" s="6">
        <v>1</v>
      </c>
      <c r="P17" s="12">
        <v>0.11120948225010367</v>
      </c>
      <c r="Q17" s="12">
        <v>0.13036050895381715</v>
      </c>
      <c r="R17" s="14">
        <v>15</v>
      </c>
    </row>
    <row r="18" spans="2:18" x14ac:dyDescent="0.5">
      <c r="B18" s="1" t="s">
        <v>350</v>
      </c>
      <c r="C18" t="s">
        <v>371</v>
      </c>
      <c r="D18" t="s">
        <v>81</v>
      </c>
      <c r="E18">
        <v>53.14</v>
      </c>
      <c r="F18" s="9" t="s">
        <v>50</v>
      </c>
      <c r="G18" s="7">
        <v>26907326464</v>
      </c>
      <c r="H18" s="6">
        <v>71.2</v>
      </c>
      <c r="I18" s="6">
        <v>39.03</v>
      </c>
      <c r="J18" s="12">
        <f t="shared" si="0"/>
        <v>0.36151678196259285</v>
      </c>
      <c r="K18" s="11">
        <v>0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8.5014180663487121E-2</v>
      </c>
      <c r="Q18" s="12">
        <v>0.18520750257426369</v>
      </c>
      <c r="R18" s="14">
        <v>16</v>
      </c>
    </row>
    <row r="19" spans="2:18" x14ac:dyDescent="0.5">
      <c r="B19" s="1" t="s">
        <v>356</v>
      </c>
      <c r="C19" t="s">
        <v>377</v>
      </c>
      <c r="D19" t="s">
        <v>150</v>
      </c>
      <c r="E19">
        <v>20.18</v>
      </c>
      <c r="F19" s="9" t="s">
        <v>50</v>
      </c>
      <c r="G19" s="7">
        <v>20326963200</v>
      </c>
      <c r="H19" s="6">
        <v>25.2</v>
      </c>
      <c r="I19" s="6">
        <v>19.93</v>
      </c>
      <c r="J19" s="12">
        <f t="shared" si="0"/>
        <v>1.2543903662819877E-2</v>
      </c>
      <c r="K19" s="11">
        <v>5.4509415262636279E-2</v>
      </c>
      <c r="L19" s="13">
        <v>1686709166</v>
      </c>
      <c r="M19" s="13">
        <v>10738080107</v>
      </c>
      <c r="N19" s="9" t="s">
        <v>50</v>
      </c>
      <c r="O19" s="6">
        <v>1</v>
      </c>
      <c r="P19" s="12">
        <v>9.657747920840716E-2</v>
      </c>
      <c r="Q19" s="12">
        <v>0.15707734987937541</v>
      </c>
      <c r="R19" s="14">
        <v>17</v>
      </c>
    </row>
    <row r="20" spans="2:18" x14ac:dyDescent="0.5">
      <c r="B20" s="1" t="s">
        <v>498</v>
      </c>
      <c r="C20" t="s">
        <v>535</v>
      </c>
      <c r="D20" t="s">
        <v>313</v>
      </c>
      <c r="E20">
        <v>6.73</v>
      </c>
      <c r="F20" s="9" t="s">
        <v>50</v>
      </c>
      <c r="G20" s="7">
        <v>44652376064</v>
      </c>
      <c r="H20" s="6">
        <v>7.95</v>
      </c>
      <c r="I20" s="6">
        <v>4.62</v>
      </c>
      <c r="J20" s="12">
        <f t="shared" si="0"/>
        <v>0.45670995670995684</v>
      </c>
      <c r="K20" s="11">
        <v>2.154531946508172E-2</v>
      </c>
      <c r="L20" s="13">
        <v>5417853662.29</v>
      </c>
      <c r="M20" s="13">
        <v>48593502362.830002</v>
      </c>
      <c r="N20" s="9" t="s">
        <v>50</v>
      </c>
      <c r="O20" s="6">
        <v>1</v>
      </c>
      <c r="P20" s="12">
        <v>0.12616569509743139</v>
      </c>
      <c r="Q20" s="12">
        <v>0.11149337666251874</v>
      </c>
      <c r="R20" s="14">
        <v>17</v>
      </c>
    </row>
    <row r="21" spans="2:18" x14ac:dyDescent="0.5">
      <c r="B21" s="1" t="s">
        <v>351</v>
      </c>
      <c r="C21" t="s">
        <v>372</v>
      </c>
      <c r="D21" t="s">
        <v>322</v>
      </c>
      <c r="E21">
        <v>5.44</v>
      </c>
      <c r="F21" s="9" t="s">
        <v>50</v>
      </c>
      <c r="G21" s="7">
        <v>24052170752</v>
      </c>
      <c r="H21" s="6">
        <v>6.39</v>
      </c>
      <c r="I21" s="6">
        <v>4.96</v>
      </c>
      <c r="J21" s="12">
        <f t="shared" si="0"/>
        <v>9.6774193548387233E-2</v>
      </c>
      <c r="K21" s="11">
        <v>3.6948529411764706E-2</v>
      </c>
      <c r="L21" s="13">
        <v>2697498300</v>
      </c>
      <c r="M21" s="13">
        <v>26396524300</v>
      </c>
      <c r="N21" s="9" t="s">
        <v>50</v>
      </c>
      <c r="O21" s="6">
        <v>1</v>
      </c>
      <c r="P21" s="12">
        <v>0.14037075390693404</v>
      </c>
      <c r="Q21" s="12">
        <v>0.10219141995145171</v>
      </c>
      <c r="R21" s="14">
        <v>17</v>
      </c>
    </row>
    <row r="22" spans="2:18" x14ac:dyDescent="0.5">
      <c r="B22" s="1" t="s">
        <v>15</v>
      </c>
      <c r="C22" t="s">
        <v>62</v>
      </c>
      <c r="D22" t="s">
        <v>60</v>
      </c>
      <c r="E22">
        <v>8.76</v>
      </c>
      <c r="F22" s="9" t="s">
        <v>50</v>
      </c>
      <c r="G22" s="7">
        <v>10631576576</v>
      </c>
      <c r="H22" s="6">
        <v>10.07</v>
      </c>
      <c r="I22" s="6">
        <v>8.15</v>
      </c>
      <c r="J22" s="12">
        <f t="shared" si="0"/>
        <v>7.4846625766871178E-2</v>
      </c>
      <c r="K22" s="11">
        <v>4.6803652968036527E-2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0.11981529071276621</v>
      </c>
      <c r="Q22" s="12">
        <v>0.1128187617835559</v>
      </c>
      <c r="R22" s="14">
        <v>18</v>
      </c>
    </row>
    <row r="23" spans="2:18" x14ac:dyDescent="0.5">
      <c r="B23" s="1" t="s">
        <v>353</v>
      </c>
      <c r="C23" t="s">
        <v>374</v>
      </c>
      <c r="D23" t="s">
        <v>60</v>
      </c>
      <c r="E23">
        <v>10.38</v>
      </c>
      <c r="F23" s="9" t="s">
        <v>50</v>
      </c>
      <c r="G23" s="7">
        <v>14194703360</v>
      </c>
      <c r="H23" s="6">
        <v>14.2</v>
      </c>
      <c r="I23" s="6">
        <v>9.91</v>
      </c>
      <c r="J23" s="12">
        <f t="shared" si="0"/>
        <v>4.7426841574167655E-2</v>
      </c>
      <c r="K23" s="11">
        <v>3.8535645472061654E-2</v>
      </c>
      <c r="L23" s="13">
        <v>1310024443.6900001</v>
      </c>
      <c r="M23" s="13">
        <v>19473263524.830002</v>
      </c>
      <c r="N23" s="9" t="s">
        <v>50</v>
      </c>
      <c r="O23" s="6">
        <v>1</v>
      </c>
      <c r="P23" s="12">
        <v>0.20528455508049007</v>
      </c>
      <c r="Q23" s="12">
        <v>6.7272978770076819E-2</v>
      </c>
      <c r="R23" s="14">
        <v>19</v>
      </c>
    </row>
    <row r="24" spans="2:18" x14ac:dyDescent="0.5">
      <c r="B24" s="1" t="s">
        <v>483</v>
      </c>
      <c r="C24" t="s">
        <v>517</v>
      </c>
      <c r="D24" t="s">
        <v>302</v>
      </c>
      <c r="E24">
        <v>5.43</v>
      </c>
      <c r="F24" s="9" t="s">
        <v>50</v>
      </c>
      <c r="G24" s="7">
        <v>224369721344</v>
      </c>
      <c r="H24" s="6">
        <v>6.63</v>
      </c>
      <c r="I24" s="6">
        <v>4.96</v>
      </c>
      <c r="J24" s="12">
        <f t="shared" si="0"/>
        <v>9.4758064516129004E-2</v>
      </c>
      <c r="K24" s="11">
        <v>5.0092081031307557E-2</v>
      </c>
      <c r="L24" s="13">
        <v>101828438000</v>
      </c>
      <c r="M24" s="13">
        <v>1200367605000</v>
      </c>
      <c r="N24" s="9" t="s">
        <v>50</v>
      </c>
      <c r="O24" s="6">
        <v>1</v>
      </c>
      <c r="P24" s="12">
        <v>0.1535051412109987</v>
      </c>
      <c r="Q24" s="12">
        <v>8.4831044736499703E-2</v>
      </c>
      <c r="R24" s="14">
        <v>20</v>
      </c>
    </row>
    <row r="25" spans="2:18" x14ac:dyDescent="0.5">
      <c r="B25" s="1" t="s">
        <v>17</v>
      </c>
      <c r="C25" t="s">
        <v>64</v>
      </c>
      <c r="D25" t="s">
        <v>65</v>
      </c>
      <c r="E25">
        <v>12.13</v>
      </c>
      <c r="F25" s="9" t="s">
        <v>50</v>
      </c>
      <c r="G25" s="7">
        <v>4288234240</v>
      </c>
      <c r="H25" s="6">
        <v>15.53</v>
      </c>
      <c r="I25" s="6">
        <v>10.66</v>
      </c>
      <c r="J25" s="12">
        <f t="shared" si="0"/>
        <v>0.13789868667917449</v>
      </c>
      <c r="K25" s="11">
        <v>0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0.10092243467995511</v>
      </c>
      <c r="Q25" s="12">
        <v>0.12344330708657501</v>
      </c>
      <c r="R25" s="14">
        <v>21</v>
      </c>
    </row>
    <row r="26" spans="2:18" x14ac:dyDescent="0.5">
      <c r="B26" s="1" t="s">
        <v>557</v>
      </c>
      <c r="C26" t="s">
        <v>566</v>
      </c>
      <c r="D26" t="s">
        <v>450</v>
      </c>
      <c r="E26">
        <v>5.31</v>
      </c>
      <c r="F26" s="9" t="s">
        <v>50</v>
      </c>
      <c r="G26" s="7">
        <v>51979022336</v>
      </c>
      <c r="H26" s="6">
        <v>7.1</v>
      </c>
      <c r="I26" s="6">
        <v>4.8499999999999996</v>
      </c>
      <c r="J26" s="12">
        <f t="shared" si="0"/>
        <v>9.4845360824742375E-2</v>
      </c>
      <c r="K26" s="11">
        <v>3.2015065913371006E-2</v>
      </c>
      <c r="L26" s="13">
        <v>4783630821.25</v>
      </c>
      <c r="M26" s="13">
        <v>53393138493.459999</v>
      </c>
      <c r="N26" s="9" t="s">
        <v>50</v>
      </c>
      <c r="O26" s="6">
        <v>1</v>
      </c>
      <c r="P26" s="12">
        <v>0.13712871828102322</v>
      </c>
      <c r="Q26" s="12">
        <v>8.9592613512238767E-2</v>
      </c>
      <c r="R26" s="14">
        <v>22</v>
      </c>
    </row>
    <row r="27" spans="2:18" x14ac:dyDescent="0.5">
      <c r="B27" s="1" t="s">
        <v>16</v>
      </c>
      <c r="C27" t="s">
        <v>63</v>
      </c>
      <c r="D27" t="s">
        <v>60</v>
      </c>
      <c r="E27">
        <v>8.01</v>
      </c>
      <c r="F27" s="9" t="s">
        <v>50</v>
      </c>
      <c r="G27" s="7">
        <v>17800001536</v>
      </c>
      <c r="H27" s="6">
        <v>10.28</v>
      </c>
      <c r="I27" s="6">
        <v>7.15</v>
      </c>
      <c r="J27" s="12">
        <f t="shared" si="0"/>
        <v>0.12027972027972011</v>
      </c>
      <c r="K27" s="11">
        <v>3.7453183520599252E-2</v>
      </c>
      <c r="L27" s="13">
        <v>1357643494.6700001</v>
      </c>
      <c r="M27" s="13">
        <v>13696300546.360001</v>
      </c>
      <c r="N27" s="9" t="s">
        <v>50</v>
      </c>
      <c r="O27" s="6">
        <v>1</v>
      </c>
      <c r="P27" s="12">
        <v>0.11495515534765001</v>
      </c>
      <c r="Q27" s="12">
        <v>9.9124832291360196E-2</v>
      </c>
      <c r="R27" s="14">
        <v>23</v>
      </c>
    </row>
    <row r="28" spans="2:18" x14ac:dyDescent="0.5">
      <c r="B28" s="1" t="s">
        <v>10</v>
      </c>
      <c r="C28" t="s">
        <v>54</v>
      </c>
      <c r="D28" t="s">
        <v>55</v>
      </c>
      <c r="E28">
        <v>116.9</v>
      </c>
      <c r="F28" s="9" t="s">
        <v>50</v>
      </c>
      <c r="G28" s="7">
        <v>62676824064</v>
      </c>
      <c r="H28" s="6">
        <v>149.5</v>
      </c>
      <c r="I28" s="6">
        <v>69.98</v>
      </c>
      <c r="J28" s="12">
        <f t="shared" si="0"/>
        <v>0.670477279222635</v>
      </c>
      <c r="K28" s="11">
        <v>1.7964071856287425E-2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3.8057680206046392E-2</v>
      </c>
      <c r="Q28" s="12">
        <v>0.22747360748931247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163.4</v>
      </c>
      <c r="F29" s="9" t="s">
        <v>50</v>
      </c>
      <c r="G29" s="7">
        <v>42337980416</v>
      </c>
      <c r="H29" s="6">
        <v>222.1</v>
      </c>
      <c r="I29" s="6">
        <v>123.57143000000001</v>
      </c>
      <c r="J29" s="12">
        <f t="shared" si="0"/>
        <v>0.3223121234414783</v>
      </c>
      <c r="K29" s="11">
        <v>4.6756425948592407E-3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5.1321991159901416E-2</v>
      </c>
      <c r="Q29" s="12">
        <v>0.16379150253744434</v>
      </c>
      <c r="R29" s="14">
        <v>25</v>
      </c>
    </row>
    <row r="30" spans="2:18" x14ac:dyDescent="0.5">
      <c r="B30" s="1" t="s">
        <v>504</v>
      </c>
      <c r="C30" t="s">
        <v>542</v>
      </c>
      <c r="D30" t="s">
        <v>538</v>
      </c>
      <c r="E30">
        <v>61.08</v>
      </c>
      <c r="F30" s="9" t="s">
        <v>50</v>
      </c>
      <c r="G30" s="7">
        <v>173167591424</v>
      </c>
      <c r="H30" s="6">
        <v>73.66</v>
      </c>
      <c r="I30" s="6">
        <v>39.06</v>
      </c>
      <c r="J30" s="12">
        <f t="shared" si="0"/>
        <v>0.56374807987711195</v>
      </c>
      <c r="K30" s="11">
        <v>0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2.399497191303749E-2</v>
      </c>
      <c r="Q30" s="12">
        <v>0.22948707352964048</v>
      </c>
      <c r="R30" s="14">
        <v>25</v>
      </c>
    </row>
    <row r="31" spans="2:18" x14ac:dyDescent="0.5">
      <c r="B31" s="1" t="s">
        <v>507</v>
      </c>
      <c r="C31" t="s">
        <v>545</v>
      </c>
      <c r="D31" t="s">
        <v>102</v>
      </c>
      <c r="E31">
        <v>35.1</v>
      </c>
      <c r="F31" s="9" t="s">
        <v>50</v>
      </c>
      <c r="G31" s="7">
        <v>74351312896</v>
      </c>
      <c r="H31" s="6">
        <v>46.37</v>
      </c>
      <c r="I31" s="6">
        <v>34.56</v>
      </c>
      <c r="J31" s="12">
        <f t="shared" si="0"/>
        <v>1.5625E-2</v>
      </c>
      <c r="K31" s="11">
        <v>2.2792022792022793E-2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5.700192909153861E-2</v>
      </c>
      <c r="Q31" s="12">
        <v>0.1533648883104953</v>
      </c>
      <c r="R31" s="14">
        <v>26</v>
      </c>
    </row>
    <row r="32" spans="2:18" x14ac:dyDescent="0.5">
      <c r="B32" s="1" t="s">
        <v>496</v>
      </c>
      <c r="C32" t="s">
        <v>532</v>
      </c>
      <c r="D32" t="s">
        <v>450</v>
      </c>
      <c r="E32">
        <v>7.67</v>
      </c>
      <c r="F32" s="9" t="s">
        <v>50</v>
      </c>
      <c r="G32" s="7">
        <v>211697303552</v>
      </c>
      <c r="H32" s="6">
        <v>8.92</v>
      </c>
      <c r="I32" s="6">
        <v>6.26</v>
      </c>
      <c r="J32" s="12">
        <f t="shared" si="0"/>
        <v>0.22523961661341851</v>
      </c>
      <c r="K32" s="11">
        <v>2.7379400260756193E-2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0.10663549754576253</v>
      </c>
      <c r="Q32" s="12">
        <v>9.6340651555626933E-2</v>
      </c>
      <c r="R32" s="14">
        <v>27</v>
      </c>
    </row>
    <row r="33" spans="2:18" x14ac:dyDescent="0.5">
      <c r="B33" s="1" t="s">
        <v>513</v>
      </c>
      <c r="C33" t="s">
        <v>552</v>
      </c>
      <c r="D33" t="s">
        <v>96</v>
      </c>
      <c r="E33">
        <v>6.69</v>
      </c>
      <c r="F33" s="9" t="s">
        <v>50</v>
      </c>
      <c r="G33" s="7">
        <v>587910479872</v>
      </c>
      <c r="H33" s="6">
        <v>8.61</v>
      </c>
      <c r="I33" s="6">
        <v>6.33</v>
      </c>
      <c r="J33" s="12">
        <f t="shared" si="0"/>
        <v>5.6872037914692086E-2</v>
      </c>
      <c r="K33" s="11">
        <v>6.5919282511210764E-2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7.8671157088079896E-2</v>
      </c>
      <c r="Q33" s="12">
        <v>9.605709580489824E-2</v>
      </c>
      <c r="R33" s="14">
        <v>28</v>
      </c>
    </row>
    <row r="34" spans="2:18" x14ac:dyDescent="0.5">
      <c r="B34" s="1" t="s">
        <v>490</v>
      </c>
      <c r="C34" t="s">
        <v>524</v>
      </c>
      <c r="D34" t="s">
        <v>233</v>
      </c>
      <c r="E34">
        <v>5.47</v>
      </c>
      <c r="F34" s="9" t="s">
        <v>50</v>
      </c>
      <c r="G34" s="7">
        <v>620691259392</v>
      </c>
      <c r="H34" s="6">
        <v>6.78</v>
      </c>
      <c r="I34" s="6">
        <v>5.25</v>
      </c>
      <c r="J34" s="12">
        <f t="shared" ref="J34:J64" si="1">E34/I34-1</f>
        <v>4.1904761904761889E-2</v>
      </c>
      <c r="K34" s="11">
        <v>4.1681901279707501E-2</v>
      </c>
      <c r="L34" s="13">
        <v>86964000000</v>
      </c>
      <c r="M34" s="13">
        <v>1118775000000</v>
      </c>
      <c r="N34" s="9" t="s">
        <v>50</v>
      </c>
      <c r="O34" s="6">
        <v>1</v>
      </c>
      <c r="P34" s="12">
        <v>8.6523486486795517E-2</v>
      </c>
      <c r="Q34" s="12">
        <v>7.7731447341958845E-2</v>
      </c>
      <c r="R34" s="14">
        <v>29</v>
      </c>
    </row>
    <row r="35" spans="2:18" x14ac:dyDescent="0.5">
      <c r="B35" s="1" t="s">
        <v>563</v>
      </c>
      <c r="C35" t="s">
        <v>574</v>
      </c>
      <c r="D35" t="s">
        <v>427</v>
      </c>
      <c r="E35">
        <v>43.46</v>
      </c>
      <c r="F35" s="9" t="s">
        <v>50</v>
      </c>
      <c r="G35" s="7">
        <v>198515900416</v>
      </c>
      <c r="H35" s="6">
        <v>55.85</v>
      </c>
      <c r="I35" s="6">
        <v>28.67</v>
      </c>
      <c r="J35" s="12">
        <f t="shared" si="1"/>
        <v>0.5158702476456225</v>
      </c>
      <c r="K35" s="11">
        <v>1.4196962724344224E-2</v>
      </c>
      <c r="L35" s="13">
        <v>12676627000</v>
      </c>
      <c r="M35" s="13">
        <v>124899348000</v>
      </c>
      <c r="N35" s="9" t="s">
        <v>50</v>
      </c>
      <c r="O35" s="6">
        <v>1</v>
      </c>
      <c r="P35" s="12">
        <v>5.9434569532218401E-2</v>
      </c>
      <c r="Q35" s="12">
        <v>0.10149474118952166</v>
      </c>
      <c r="R35" s="14">
        <v>30</v>
      </c>
    </row>
    <row r="36" spans="2:18" x14ac:dyDescent="0.5">
      <c r="B36" s="1" t="s">
        <v>486</v>
      </c>
      <c r="C36" t="s">
        <v>520</v>
      </c>
      <c r="D36" t="s">
        <v>302</v>
      </c>
      <c r="E36">
        <v>8.7200000000000006</v>
      </c>
      <c r="F36" s="9" t="s">
        <v>50</v>
      </c>
      <c r="G36" s="7">
        <v>123896332288</v>
      </c>
      <c r="H36" s="6">
        <v>12.28</v>
      </c>
      <c r="I36" s="6">
        <v>8.39</v>
      </c>
      <c r="J36" s="12">
        <f t="shared" si="1"/>
        <v>3.933253873659126E-2</v>
      </c>
      <c r="K36" s="11">
        <v>1.8577981651376144E-2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9.8065324012831648E-2</v>
      </c>
      <c r="Q36" s="12">
        <v>6.4021546472295382E-2</v>
      </c>
      <c r="R36" s="14">
        <v>31</v>
      </c>
    </row>
    <row r="37" spans="2:18" x14ac:dyDescent="0.5">
      <c r="B37" s="1" t="s">
        <v>495</v>
      </c>
      <c r="C37" t="s">
        <v>530</v>
      </c>
      <c r="D37" t="s">
        <v>531</v>
      </c>
      <c r="E37">
        <v>28.1</v>
      </c>
      <c r="F37" s="9" t="s">
        <v>50</v>
      </c>
      <c r="G37" s="7">
        <v>687556919296</v>
      </c>
      <c r="H37" s="6">
        <v>31.19</v>
      </c>
      <c r="I37" s="6">
        <v>26.78</v>
      </c>
      <c r="J37" s="12">
        <f t="shared" si="1"/>
        <v>4.9290515309932781E-2</v>
      </c>
      <c r="K37" s="11">
        <v>2.6085409252669039E-2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5.1294323502348686E-2</v>
      </c>
      <c r="Q37" s="12">
        <v>0.10903449769524313</v>
      </c>
      <c r="R37" s="14">
        <v>31</v>
      </c>
    </row>
    <row r="38" spans="2:18" x14ac:dyDescent="0.5">
      <c r="B38" s="1" t="s">
        <v>357</v>
      </c>
      <c r="C38" t="s">
        <v>378</v>
      </c>
      <c r="D38" t="s">
        <v>246</v>
      </c>
      <c r="E38">
        <v>15.2</v>
      </c>
      <c r="F38" s="9" t="s">
        <v>50</v>
      </c>
      <c r="G38" s="7">
        <v>4436202496</v>
      </c>
      <c r="H38" s="6">
        <v>18.489999999999998</v>
      </c>
      <c r="I38" s="6">
        <v>11.95</v>
      </c>
      <c r="J38" s="12">
        <f t="shared" si="1"/>
        <v>0.27196652719665271</v>
      </c>
      <c r="K38" s="11">
        <v>2.6315789473684213E-2</v>
      </c>
      <c r="L38" s="13">
        <v>225008130.19999999</v>
      </c>
      <c r="M38" s="13">
        <v>2512019918.8400002</v>
      </c>
      <c r="N38" s="9" t="s">
        <v>50</v>
      </c>
      <c r="O38" s="6">
        <v>1</v>
      </c>
      <c r="P38" s="12">
        <v>6.207483271989301E-2</v>
      </c>
      <c r="Q38" s="12">
        <v>8.957258997528339E-2</v>
      </c>
      <c r="R38" s="14">
        <v>32</v>
      </c>
    </row>
    <row r="39" spans="2:18" x14ac:dyDescent="0.5">
      <c r="B39" s="1" t="s">
        <v>485</v>
      </c>
      <c r="C39" t="s">
        <v>519</v>
      </c>
      <c r="D39" t="s">
        <v>302</v>
      </c>
      <c r="E39">
        <v>7.95</v>
      </c>
      <c r="F39" s="9" t="s">
        <v>50</v>
      </c>
      <c r="G39" s="7">
        <v>101828124672</v>
      </c>
      <c r="H39" s="6">
        <v>10.31</v>
      </c>
      <c r="I39" s="6">
        <v>7.29</v>
      </c>
      <c r="J39" s="12">
        <f t="shared" si="1"/>
        <v>9.0534979423868345E-2</v>
      </c>
      <c r="K39" s="11">
        <v>3.7735849056603772E-2</v>
      </c>
      <c r="L39" s="13">
        <v>42109966000</v>
      </c>
      <c r="M39" s="13">
        <v>746176876000</v>
      </c>
      <c r="N39" s="9" t="s">
        <v>50</v>
      </c>
      <c r="O39" s="6">
        <v>1</v>
      </c>
      <c r="P39" s="12">
        <v>0.10152975062137357</v>
      </c>
      <c r="Q39" s="12">
        <v>5.643429507724386E-2</v>
      </c>
      <c r="R39" s="14">
        <v>32</v>
      </c>
    </row>
    <row r="40" spans="2:18" x14ac:dyDescent="0.5">
      <c r="B40" s="1" t="s">
        <v>556</v>
      </c>
      <c r="C40" t="s">
        <v>565</v>
      </c>
      <c r="D40" t="s">
        <v>528</v>
      </c>
      <c r="E40">
        <v>3.94</v>
      </c>
      <c r="F40" s="9" t="s">
        <v>50</v>
      </c>
      <c r="G40" s="7">
        <v>185979142144</v>
      </c>
      <c r="H40" s="6">
        <v>4.22</v>
      </c>
      <c r="I40" s="6">
        <v>3.33</v>
      </c>
      <c r="J40" s="12">
        <f t="shared" si="1"/>
        <v>0.18318318318318316</v>
      </c>
      <c r="K40" s="11">
        <v>2.4111675126903553E-2</v>
      </c>
      <c r="L40" s="13">
        <v>26751928946.529999</v>
      </c>
      <c r="M40" s="13">
        <v>324659027578.44</v>
      </c>
      <c r="N40" s="9" t="s">
        <v>50</v>
      </c>
      <c r="O40" s="6">
        <v>1</v>
      </c>
      <c r="P40" s="12">
        <v>7.1175466522205355E-2</v>
      </c>
      <c r="Q40" s="12">
        <v>8.2400077232001614E-2</v>
      </c>
      <c r="R40" s="14">
        <v>32</v>
      </c>
    </row>
    <row r="41" spans="2:18" x14ac:dyDescent="0.5">
      <c r="B41" s="1" t="s">
        <v>515</v>
      </c>
      <c r="C41" t="s">
        <v>554</v>
      </c>
      <c r="D41" t="s">
        <v>178</v>
      </c>
      <c r="E41">
        <v>106.45</v>
      </c>
      <c r="F41" s="9" t="s">
        <v>50</v>
      </c>
      <c r="G41" s="7">
        <v>155748663296</v>
      </c>
      <c r="H41" s="6">
        <v>128.12</v>
      </c>
      <c r="I41" s="6">
        <v>58.7</v>
      </c>
      <c r="J41" s="12">
        <f t="shared" si="1"/>
        <v>0.81345826235093699</v>
      </c>
      <c r="K41" s="11">
        <v>2.5364020666979806E-3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1.5649040360845284E-2</v>
      </c>
      <c r="Q41" s="12">
        <v>0.11449515815702964</v>
      </c>
      <c r="R41" s="14">
        <v>33</v>
      </c>
    </row>
    <row r="42" spans="2:18" x14ac:dyDescent="0.5">
      <c r="B42" s="1" t="s">
        <v>493</v>
      </c>
      <c r="C42" t="s">
        <v>527</v>
      </c>
      <c r="D42" t="s">
        <v>528</v>
      </c>
      <c r="E42">
        <v>8.1300000000000008</v>
      </c>
      <c r="F42" s="9" t="s">
        <v>50</v>
      </c>
      <c r="G42" s="7">
        <v>116530528256</v>
      </c>
      <c r="H42" s="6">
        <v>8.49</v>
      </c>
      <c r="I42" s="6">
        <v>6.15</v>
      </c>
      <c r="J42" s="12">
        <f t="shared" si="1"/>
        <v>0.32195121951219519</v>
      </c>
      <c r="K42" s="11">
        <v>3.3210332103321034E-2</v>
      </c>
      <c r="L42" s="13">
        <v>25872572232</v>
      </c>
      <c r="M42" s="13">
        <v>387656475215</v>
      </c>
      <c r="N42" s="9" t="s">
        <v>50</v>
      </c>
      <c r="O42" s="6">
        <v>1</v>
      </c>
      <c r="P42" s="12">
        <v>6.5553862484211661E-2</v>
      </c>
      <c r="Q42" s="12">
        <v>6.6740977866165369E-2</v>
      </c>
      <c r="R42" s="14">
        <v>34</v>
      </c>
    </row>
    <row r="43" spans="2:18" x14ac:dyDescent="0.5">
      <c r="B43" s="1" t="s">
        <v>487</v>
      </c>
      <c r="C43" t="s">
        <v>521</v>
      </c>
      <c r="D43" t="s">
        <v>302</v>
      </c>
      <c r="E43">
        <v>5.64</v>
      </c>
      <c r="F43" s="9" t="s">
        <v>50</v>
      </c>
      <c r="G43" s="7">
        <v>97155538944</v>
      </c>
      <c r="H43" s="6">
        <v>7.84</v>
      </c>
      <c r="I43" s="6">
        <v>4.38</v>
      </c>
      <c r="J43" s="12">
        <f t="shared" si="1"/>
        <v>0.28767123287671237</v>
      </c>
      <c r="K43" s="11">
        <v>2.2517730496453902E-2</v>
      </c>
      <c r="L43" s="13">
        <v>34317184820.950001</v>
      </c>
      <c r="M43" s="13">
        <v>588966357094.34998</v>
      </c>
      <c r="N43" s="9" t="s">
        <v>50</v>
      </c>
      <c r="O43" s="6">
        <v>1</v>
      </c>
      <c r="P43" s="12">
        <v>7.5846974875146148E-2</v>
      </c>
      <c r="Q43" s="12">
        <v>5.8266799805430196E-2</v>
      </c>
      <c r="R43" s="14">
        <v>35</v>
      </c>
    </row>
    <row r="44" spans="2:18" x14ac:dyDescent="0.5">
      <c r="B44" s="1" t="s">
        <v>9</v>
      </c>
      <c r="C44" t="s">
        <v>52</v>
      </c>
      <c r="D44" t="s">
        <v>53</v>
      </c>
      <c r="E44">
        <v>89.4</v>
      </c>
      <c r="F44" s="9" t="s">
        <v>50</v>
      </c>
      <c r="G44" s="7">
        <v>51765563392</v>
      </c>
      <c r="H44" s="6">
        <v>111.69</v>
      </c>
      <c r="I44" s="6">
        <v>42.3</v>
      </c>
      <c r="J44" s="12">
        <f t="shared" si="1"/>
        <v>1.1134751773049647</v>
      </c>
      <c r="K44" s="11">
        <v>5.0335570469798654E-3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1.9311594946851071E-2</v>
      </c>
      <c r="Q44" s="12">
        <v>0.10362091390188061</v>
      </c>
      <c r="R44" s="14">
        <v>36</v>
      </c>
    </row>
    <row r="45" spans="2:18" x14ac:dyDescent="0.5">
      <c r="B45" s="1" t="s">
        <v>484</v>
      </c>
      <c r="C45" t="s">
        <v>518</v>
      </c>
      <c r="D45" t="s">
        <v>302</v>
      </c>
      <c r="E45">
        <v>5.62</v>
      </c>
      <c r="F45" s="9" t="s">
        <v>50</v>
      </c>
      <c r="G45" s="7">
        <v>130940780544</v>
      </c>
      <c r="H45" s="6">
        <v>7.2</v>
      </c>
      <c r="I45" s="6">
        <v>5.16</v>
      </c>
      <c r="J45" s="12">
        <f t="shared" si="1"/>
        <v>8.9147286821705363E-2</v>
      </c>
      <c r="K45" s="11">
        <v>3.1672597864768684E-2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8.4431903221029184E-2</v>
      </c>
      <c r="Q45" s="12">
        <v>4.0915758434259347E-2</v>
      </c>
      <c r="R45" s="14">
        <v>37</v>
      </c>
    </row>
    <row r="46" spans="2:18" x14ac:dyDescent="0.5">
      <c r="B46" s="1" t="s">
        <v>488</v>
      </c>
      <c r="C46" t="s">
        <v>522</v>
      </c>
      <c r="D46" t="s">
        <v>302</v>
      </c>
      <c r="E46">
        <v>2.41</v>
      </c>
      <c r="F46" s="9" t="s">
        <v>50</v>
      </c>
      <c r="G46" s="7">
        <v>88390459392</v>
      </c>
      <c r="H46" s="6">
        <v>3.09</v>
      </c>
      <c r="I46" s="6">
        <v>2.13</v>
      </c>
      <c r="J46" s="12">
        <f t="shared" si="1"/>
        <v>0.13145539906103298</v>
      </c>
      <c r="K46" s="11">
        <v>0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7.6120743443923305E-2</v>
      </c>
      <c r="Q46" s="12">
        <v>5.4232381236056518E-2</v>
      </c>
      <c r="R46" s="14">
        <v>37</v>
      </c>
    </row>
    <row r="47" spans="2:18" x14ac:dyDescent="0.5">
      <c r="B47" s="1" t="s">
        <v>494</v>
      </c>
      <c r="C47" t="s">
        <v>529</v>
      </c>
      <c r="D47" t="s">
        <v>528</v>
      </c>
      <c r="E47">
        <v>3.64</v>
      </c>
      <c r="F47" s="9" t="s">
        <v>50</v>
      </c>
      <c r="G47" s="7">
        <v>58847887360</v>
      </c>
      <c r="H47" s="6">
        <v>4.1399999999999997</v>
      </c>
      <c r="I47" s="6">
        <v>2.58</v>
      </c>
      <c r="J47" s="12">
        <f t="shared" si="1"/>
        <v>0.41085271317829464</v>
      </c>
      <c r="K47" s="11">
        <v>3.2142857142857147E-2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5.9080275089807344E-2</v>
      </c>
      <c r="Q47" s="12">
        <v>5.9196654076851249E-2</v>
      </c>
      <c r="R47" s="14">
        <v>38</v>
      </c>
    </row>
    <row r="48" spans="2:18" x14ac:dyDescent="0.5">
      <c r="B48" s="1" t="s">
        <v>500</v>
      </c>
      <c r="C48" t="s">
        <v>537</v>
      </c>
      <c r="D48" t="s">
        <v>538</v>
      </c>
      <c r="E48">
        <v>2.62</v>
      </c>
      <c r="F48" s="9" t="s">
        <v>50</v>
      </c>
      <c r="G48" s="7">
        <v>29253519360</v>
      </c>
      <c r="H48" s="6">
        <v>2.87</v>
      </c>
      <c r="I48" s="6">
        <v>2.11</v>
      </c>
      <c r="J48" s="12">
        <f t="shared" si="1"/>
        <v>0.24170616113744092</v>
      </c>
      <c r="K48" s="11">
        <v>0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5.3149563419344542E-2</v>
      </c>
      <c r="Q48" s="12">
        <v>5.686341456422063E-2</v>
      </c>
      <c r="R48" s="14">
        <v>39</v>
      </c>
    </row>
    <row r="49" spans="2:18" x14ac:dyDescent="0.5">
      <c r="B49" s="1" t="s">
        <v>503</v>
      </c>
      <c r="C49" t="s">
        <v>541</v>
      </c>
      <c r="D49" t="s">
        <v>538</v>
      </c>
      <c r="E49">
        <v>35.9</v>
      </c>
      <c r="F49" s="9" t="s">
        <v>50</v>
      </c>
      <c r="G49" s="7">
        <v>270169817088</v>
      </c>
      <c r="H49" s="6">
        <v>40.98</v>
      </c>
      <c r="I49" s="6">
        <v>26.93</v>
      </c>
      <c r="J49" s="12">
        <f t="shared" si="1"/>
        <v>0.33308577794281469</v>
      </c>
      <c r="K49" s="11">
        <v>6.9637883008356553E-3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1.9982053661249097E-2</v>
      </c>
      <c r="Q49" s="12">
        <v>7.0618222817004847E-2</v>
      </c>
      <c r="R49" s="14">
        <v>40</v>
      </c>
    </row>
    <row r="50" spans="2:18" x14ac:dyDescent="0.5">
      <c r="B50" s="1" t="s">
        <v>506</v>
      </c>
      <c r="C50" t="s">
        <v>544</v>
      </c>
      <c r="D50" t="s">
        <v>49</v>
      </c>
      <c r="E50">
        <v>15.83</v>
      </c>
      <c r="F50" s="9" t="s">
        <v>50</v>
      </c>
      <c r="G50" s="7">
        <v>24940040192</v>
      </c>
      <c r="H50" s="6">
        <v>24.83</v>
      </c>
      <c r="I50" s="6">
        <v>14.35</v>
      </c>
      <c r="J50" s="12">
        <f t="shared" si="1"/>
        <v>0.10313588850174216</v>
      </c>
      <c r="K50" s="11">
        <v>7.7068856601389766E-3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4.2044249009650016E-2</v>
      </c>
      <c r="Q50" s="12">
        <v>5.6764979452812038E-2</v>
      </c>
      <c r="R50" s="14">
        <v>40</v>
      </c>
    </row>
    <row r="51" spans="2:18" x14ac:dyDescent="0.5">
      <c r="B51" s="1" t="s">
        <v>510</v>
      </c>
      <c r="C51" t="s">
        <v>548</v>
      </c>
      <c r="D51" t="s">
        <v>302</v>
      </c>
      <c r="E51">
        <v>5.29</v>
      </c>
      <c r="F51" s="9" t="s">
        <v>50</v>
      </c>
      <c r="G51" s="7">
        <v>14645168128</v>
      </c>
      <c r="H51" s="6">
        <v>6.52</v>
      </c>
      <c r="I51" s="6">
        <v>3.95</v>
      </c>
      <c r="J51" s="12">
        <f t="shared" si="1"/>
        <v>0.33924050632911396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3.2409522999329692E-2</v>
      </c>
      <c r="Q51" s="12">
        <v>4.0513551113371724E-2</v>
      </c>
      <c r="R51" s="14">
        <v>41</v>
      </c>
    </row>
    <row r="52" spans="2:18" x14ac:dyDescent="0.5">
      <c r="B52" s="1" t="s">
        <v>509</v>
      </c>
      <c r="C52" t="s">
        <v>547</v>
      </c>
      <c r="D52" t="s">
        <v>246</v>
      </c>
      <c r="E52">
        <v>34.65</v>
      </c>
      <c r="F52" s="9" t="s">
        <v>50</v>
      </c>
      <c r="G52" s="7">
        <v>58146983936</v>
      </c>
      <c r="H52" s="6">
        <v>40.479999999999997</v>
      </c>
      <c r="I52" s="6">
        <v>11.86</v>
      </c>
      <c r="J52" s="12">
        <f t="shared" si="1"/>
        <v>1.921585160202361</v>
      </c>
      <c r="K52" s="11">
        <v>6.4935064935064939E-3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2.267315585472985E-2</v>
      </c>
      <c r="Q52" s="12">
        <v>5.2159157880766228E-2</v>
      </c>
      <c r="R52" s="14">
        <v>42</v>
      </c>
    </row>
    <row r="53" spans="2:18" x14ac:dyDescent="0.5">
      <c r="B53" s="1" t="s">
        <v>505</v>
      </c>
      <c r="C53" t="s">
        <v>543</v>
      </c>
      <c r="D53" t="s">
        <v>538</v>
      </c>
      <c r="E53">
        <v>36.04</v>
      </c>
      <c r="F53" s="9" t="s">
        <v>50</v>
      </c>
      <c r="G53" s="7">
        <v>29548951552</v>
      </c>
      <c r="H53" s="6">
        <v>45.85</v>
      </c>
      <c r="I53" s="6">
        <v>33.39</v>
      </c>
      <c r="J53" s="12">
        <f t="shared" si="1"/>
        <v>7.9365079365079305E-2</v>
      </c>
      <c r="K53" s="11">
        <v>5.6603773584905656E-3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3.0757725506092824E-2</v>
      </c>
      <c r="Q53" s="12">
        <v>3.141247110523894E-2</v>
      </c>
      <c r="R53" s="14">
        <v>43</v>
      </c>
    </row>
    <row r="54" spans="2:18" x14ac:dyDescent="0.5">
      <c r="B54" s="1" t="s">
        <v>560</v>
      </c>
      <c r="C54" t="s">
        <v>570</v>
      </c>
      <c r="D54" t="s">
        <v>538</v>
      </c>
      <c r="E54">
        <v>10.98</v>
      </c>
      <c r="F54" s="9" t="s">
        <v>50</v>
      </c>
      <c r="G54" s="7">
        <v>36226306048</v>
      </c>
      <c r="H54" s="6">
        <v>12.16</v>
      </c>
      <c r="I54" s="6">
        <v>8.02</v>
      </c>
      <c r="J54" s="12">
        <f t="shared" si="1"/>
        <v>0.36907730673316719</v>
      </c>
      <c r="K54" s="11">
        <v>4.5537340619307837E-3</v>
      </c>
      <c r="L54" s="13">
        <v>823353214.80999994</v>
      </c>
      <c r="M54" s="13">
        <v>24600134953.169998</v>
      </c>
      <c r="N54" s="9" t="s">
        <v>50</v>
      </c>
      <c r="O54" s="6">
        <v>1</v>
      </c>
      <c r="P54" s="12">
        <v>2.312322375675499E-2</v>
      </c>
      <c r="Q54" s="12">
        <v>3.3469459268307869E-2</v>
      </c>
      <c r="R54" s="14">
        <v>43</v>
      </c>
    </row>
    <row r="55" spans="2:18" x14ac:dyDescent="0.5">
      <c r="B55" s="1" t="s">
        <v>559</v>
      </c>
      <c r="C55" t="s">
        <v>568</v>
      </c>
      <c r="D55" t="s">
        <v>569</v>
      </c>
      <c r="E55">
        <v>30.54</v>
      </c>
      <c r="F55" s="9" t="s">
        <v>50</v>
      </c>
      <c r="G55" s="7">
        <v>21702621184</v>
      </c>
      <c r="H55" s="6">
        <v>39</v>
      </c>
      <c r="I55" s="6">
        <v>23.98</v>
      </c>
      <c r="J55" s="12">
        <f t="shared" si="1"/>
        <v>0.27356130108423682</v>
      </c>
      <c r="K55" s="11">
        <v>1.9318925998690242E-3</v>
      </c>
      <c r="L55" s="13">
        <v>299280592.93000001</v>
      </c>
      <c r="M55" s="13">
        <v>8835084844.8099995</v>
      </c>
      <c r="N55" s="9" t="s">
        <v>50</v>
      </c>
      <c r="O55" s="6">
        <v>1</v>
      </c>
      <c r="P55" s="12">
        <v>1.4948860061937425E-2</v>
      </c>
      <c r="Q55" s="12">
        <v>3.3874105137293234E-2</v>
      </c>
      <c r="R55" s="14">
        <v>44</v>
      </c>
    </row>
    <row r="56" spans="2:18" x14ac:dyDescent="0.5">
      <c r="B56" s="1" t="s">
        <v>497</v>
      </c>
      <c r="C56" t="s">
        <v>533</v>
      </c>
      <c r="D56" t="s">
        <v>534</v>
      </c>
      <c r="E56">
        <v>7.86</v>
      </c>
      <c r="F56" s="9" t="s">
        <v>50</v>
      </c>
      <c r="G56" s="7">
        <v>123621367808</v>
      </c>
      <c r="H56" s="6">
        <v>9.1199999999999992</v>
      </c>
      <c r="I56" s="6">
        <v>6.71</v>
      </c>
      <c r="J56" s="12">
        <f t="shared" si="1"/>
        <v>0.17138599105812236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1.4321158198553213E-2</v>
      </c>
      <c r="Q56" s="12">
        <v>3.2199243062702283E-2</v>
      </c>
      <c r="R56" s="14">
        <v>45</v>
      </c>
    </row>
    <row r="57" spans="2:18" x14ac:dyDescent="0.5">
      <c r="B57" s="1" t="s">
        <v>558</v>
      </c>
      <c r="C57" t="s">
        <v>567</v>
      </c>
      <c r="D57" t="s">
        <v>538</v>
      </c>
      <c r="E57">
        <v>42.96</v>
      </c>
      <c r="F57" s="9" t="s">
        <v>50</v>
      </c>
      <c r="G57" s="7">
        <v>50799730688</v>
      </c>
      <c r="H57" s="6">
        <v>45.59</v>
      </c>
      <c r="I57" s="6">
        <v>23.87</v>
      </c>
      <c r="J57" s="12">
        <f t="shared" si="1"/>
        <v>0.7997486384583159</v>
      </c>
      <c r="K57" s="11">
        <v>2.3277467411545624E-4</v>
      </c>
      <c r="L57" s="13">
        <v>-41030373.009999998</v>
      </c>
      <c r="M57" s="13">
        <v>6579370456.6700001</v>
      </c>
      <c r="N57" s="9" t="s">
        <v>50</v>
      </c>
      <c r="O57" s="6">
        <v>1</v>
      </c>
      <c r="P57" s="12">
        <v>-8.2656593247322735E-4</v>
      </c>
      <c r="Q57" s="12">
        <v>-6.2362156501469587E-3</v>
      </c>
      <c r="R57" s="14">
        <v>46</v>
      </c>
    </row>
    <row r="58" spans="2:18" x14ac:dyDescent="0.5">
      <c r="B58" s="1" t="s">
        <v>468</v>
      </c>
      <c r="C58" t="s">
        <v>482</v>
      </c>
      <c r="D58" t="s">
        <v>367</v>
      </c>
      <c r="E58">
        <v>11.97</v>
      </c>
      <c r="F58" s="9" t="s">
        <v>50</v>
      </c>
      <c r="G58" s="7">
        <v>83784704000</v>
      </c>
      <c r="H58" s="6">
        <v>15.24</v>
      </c>
      <c r="I58" s="6">
        <v>8.98</v>
      </c>
      <c r="J58" s="12">
        <f t="shared" si="1"/>
        <v>0.3329621380846326</v>
      </c>
      <c r="K58" s="11">
        <v>1.6708437761069339E-2</v>
      </c>
      <c r="L58" s="13">
        <v>-931377000</v>
      </c>
      <c r="M58" s="13">
        <v>31106254000</v>
      </c>
      <c r="N58" s="9" t="s">
        <v>50</v>
      </c>
      <c r="O58" s="6">
        <v>1</v>
      </c>
      <c r="P58" s="12">
        <v>-1.5145366176726202E-2</v>
      </c>
      <c r="Q58" s="12">
        <v>-2.9941792412548292E-2</v>
      </c>
      <c r="R58" s="14">
        <v>47</v>
      </c>
    </row>
    <row r="59" spans="2:18" x14ac:dyDescent="0.5">
      <c r="B59" s="1" t="s">
        <v>516</v>
      </c>
      <c r="C59" t="s">
        <v>555</v>
      </c>
      <c r="D59" t="s">
        <v>405</v>
      </c>
      <c r="E59">
        <v>52.29</v>
      </c>
      <c r="F59" s="9" t="s">
        <v>50</v>
      </c>
      <c r="G59" s="7">
        <v>48827699200</v>
      </c>
      <c r="H59" s="6">
        <v>73</v>
      </c>
      <c r="I59" s="6">
        <v>41.37</v>
      </c>
      <c r="J59" s="12">
        <f t="shared" si="1"/>
        <v>0.26395939086294429</v>
      </c>
      <c r="K59" s="11">
        <v>0</v>
      </c>
      <c r="L59" s="13">
        <v>-243865509.30000001</v>
      </c>
      <c r="M59" s="13">
        <v>3088241018.6100001</v>
      </c>
      <c r="N59" s="9" t="s">
        <v>50</v>
      </c>
      <c r="O59" s="6">
        <v>1</v>
      </c>
      <c r="P59" s="12">
        <v>-5.1053738774906642E-3</v>
      </c>
      <c r="Q59" s="12">
        <v>-7.8965828065376359E-2</v>
      </c>
      <c r="R59" s="14">
        <v>48</v>
      </c>
    </row>
    <row r="60" spans="2:18" x14ac:dyDescent="0.5">
      <c r="B60" s="1" t="s">
        <v>562</v>
      </c>
      <c r="C60" t="s">
        <v>572</v>
      </c>
      <c r="D60" t="s">
        <v>573</v>
      </c>
      <c r="E60">
        <v>20.98</v>
      </c>
      <c r="F60" s="9" t="s">
        <v>50</v>
      </c>
      <c r="G60" s="7">
        <v>1717460992</v>
      </c>
      <c r="H60" s="6">
        <v>33</v>
      </c>
      <c r="I60" s="6">
        <v>16.600000000000001</v>
      </c>
      <c r="J60" s="12">
        <f t="shared" si="1"/>
        <v>0.2638554216867468</v>
      </c>
      <c r="K60" s="11">
        <v>0</v>
      </c>
      <c r="L60" s="13">
        <v>-44822598.270000003</v>
      </c>
      <c r="M60" s="13">
        <v>1000072896.86</v>
      </c>
      <c r="N60" s="9" t="s">
        <v>50</v>
      </c>
      <c r="O60" s="6">
        <v>1</v>
      </c>
      <c r="P60" s="12">
        <v>-2.6071331635387596E-2</v>
      </c>
      <c r="Q60" s="12">
        <v>-4.4819331081496862E-2</v>
      </c>
      <c r="R60" s="14">
        <v>49</v>
      </c>
    </row>
    <row r="61" spans="2:18" x14ac:dyDescent="0.5">
      <c r="B61" s="1" t="s">
        <v>564</v>
      </c>
      <c r="C61" t="s">
        <v>575</v>
      </c>
      <c r="D61" t="s">
        <v>178</v>
      </c>
      <c r="E61">
        <v>16.91</v>
      </c>
      <c r="F61" s="9" t="s">
        <v>50</v>
      </c>
      <c r="G61" s="7">
        <v>54548262912</v>
      </c>
      <c r="H61" s="6">
        <v>24.49</v>
      </c>
      <c r="I61" s="6">
        <v>12.91</v>
      </c>
      <c r="J61" s="12">
        <f t="shared" si="1"/>
        <v>0.30983733539891567</v>
      </c>
      <c r="K61" s="11">
        <v>0</v>
      </c>
      <c r="L61" s="13">
        <v>-1185481187.71</v>
      </c>
      <c r="M61" s="13">
        <v>18993088958.560001</v>
      </c>
      <c r="N61" s="9" t="s">
        <v>50</v>
      </c>
      <c r="O61" s="6">
        <v>1</v>
      </c>
      <c r="P61" s="12">
        <v>-1.9458386062211095E-2</v>
      </c>
      <c r="Q61" s="12">
        <v>-6.241645002013825E-2</v>
      </c>
      <c r="R61" s="14">
        <v>49</v>
      </c>
    </row>
    <row r="62" spans="2:18" x14ac:dyDescent="0.5">
      <c r="B62" s="1" t="s">
        <v>561</v>
      </c>
      <c r="C62" t="s">
        <v>571</v>
      </c>
      <c r="D62" t="s">
        <v>168</v>
      </c>
      <c r="E62">
        <v>4.18</v>
      </c>
      <c r="F62" s="9" t="s">
        <v>50</v>
      </c>
      <c r="G62" s="7">
        <v>15000028160</v>
      </c>
      <c r="H62" s="6">
        <v>4.84</v>
      </c>
      <c r="I62" s="6">
        <v>3.46</v>
      </c>
      <c r="J62" s="12">
        <f t="shared" si="1"/>
        <v>0.20809248554913284</v>
      </c>
      <c r="K62" s="11">
        <v>0</v>
      </c>
      <c r="L62" s="13">
        <v>-2407942158.9699998</v>
      </c>
      <c r="M62" s="13">
        <v>29426622086.59</v>
      </c>
      <c r="N62" s="9" t="s">
        <v>50</v>
      </c>
      <c r="O62" s="6">
        <v>1</v>
      </c>
      <c r="P62" s="12">
        <v>-6.928473453715199E-2</v>
      </c>
      <c r="Q62" s="12">
        <v>-8.182869756115578E-2</v>
      </c>
      <c r="R62" s="14">
        <v>50</v>
      </c>
    </row>
    <row r="63" spans="2:18" x14ac:dyDescent="0.5">
      <c r="B63" s="1" t="s">
        <v>355</v>
      </c>
      <c r="C63" t="s">
        <v>376</v>
      </c>
      <c r="D63" t="s">
        <v>225</v>
      </c>
      <c r="E63">
        <v>20.23</v>
      </c>
      <c r="F63" s="9" t="s">
        <v>50</v>
      </c>
      <c r="G63" s="7">
        <v>428124504064</v>
      </c>
      <c r="H63" s="6">
        <v>25.45</v>
      </c>
      <c r="I63" s="6">
        <v>17.670000000000002</v>
      </c>
      <c r="J63" s="12">
        <f t="shared" si="1"/>
        <v>0.1448783248443688</v>
      </c>
      <c r="K63" s="11">
        <v>5.2397429560059321E-2</v>
      </c>
      <c r="M63" s="13">
        <v>2415915000000</v>
      </c>
      <c r="N63" s="9" t="s">
        <v>50</v>
      </c>
      <c r="O63" s="6">
        <v>1</v>
      </c>
    </row>
    <row r="64" spans="2:18" x14ac:dyDescent="0.5">
      <c r="B64" s="1" t="s">
        <v>455</v>
      </c>
      <c r="C64" t="s">
        <v>469</v>
      </c>
      <c r="D64" t="s">
        <v>227</v>
      </c>
      <c r="E64">
        <v>7.78</v>
      </c>
      <c r="F64" s="9" t="s">
        <v>50</v>
      </c>
      <c r="G64" s="7">
        <v>2573601865728</v>
      </c>
      <c r="H64" s="6">
        <v>8.36</v>
      </c>
      <c r="I64" s="6">
        <v>5.98</v>
      </c>
      <c r="J64" s="12">
        <f t="shared" si="1"/>
        <v>0.30100334448160537</v>
      </c>
      <c r="K64" s="11">
        <v>2.6992287917737791E-3</v>
      </c>
      <c r="M64" s="13">
        <v>6434377000000</v>
      </c>
      <c r="N64" s="9" t="s">
        <v>50</v>
      </c>
      <c r="O64" s="6">
        <v>1</v>
      </c>
    </row>
    <row r="65" spans="2:15" x14ac:dyDescent="0.5">
      <c r="B65" s="1" t="s">
        <v>456</v>
      </c>
      <c r="C65" t="s">
        <v>470</v>
      </c>
      <c r="D65" t="s">
        <v>225</v>
      </c>
      <c r="E65">
        <v>40.89</v>
      </c>
      <c r="F65" s="9" t="s">
        <v>50</v>
      </c>
      <c r="G65" s="7">
        <v>1045638610944</v>
      </c>
      <c r="H65" s="6">
        <v>48.55</v>
      </c>
      <c r="I65" s="6">
        <v>35.840000000000003</v>
      </c>
      <c r="J65" s="12">
        <f t="shared" ref="J65:J78" si="2">E65/I65-1</f>
        <v>0.14090401785714279</v>
      </c>
      <c r="K65" s="11">
        <v>4.8911714355588165E-2</v>
      </c>
      <c r="M65" s="13">
        <v>1656843000000</v>
      </c>
      <c r="N65" s="9" t="s">
        <v>50</v>
      </c>
      <c r="O65" s="6">
        <v>1</v>
      </c>
    </row>
    <row r="66" spans="2:15" x14ac:dyDescent="0.5">
      <c r="B66" s="1" t="s">
        <v>457</v>
      </c>
      <c r="C66" t="s">
        <v>471</v>
      </c>
      <c r="D66" t="s">
        <v>225</v>
      </c>
      <c r="E66">
        <v>11.32</v>
      </c>
      <c r="F66" s="9" t="s">
        <v>50</v>
      </c>
      <c r="G66" s="7">
        <v>219674984448</v>
      </c>
      <c r="H66" s="6">
        <v>13.33</v>
      </c>
      <c r="I66" s="6">
        <v>10.48</v>
      </c>
      <c r="J66" s="12">
        <f t="shared" si="2"/>
        <v>8.0152671755725269E-2</v>
      </c>
      <c r="K66" s="11">
        <v>5.282685512367491E-2</v>
      </c>
      <c r="M66" s="13">
        <v>1225730000000</v>
      </c>
      <c r="N66" s="9" t="s">
        <v>50</v>
      </c>
      <c r="O66" s="6">
        <v>1</v>
      </c>
    </row>
    <row r="67" spans="2:15" x14ac:dyDescent="0.5">
      <c r="B67" s="1" t="s">
        <v>458</v>
      </c>
      <c r="C67" t="s">
        <v>472</v>
      </c>
      <c r="D67" t="s">
        <v>227</v>
      </c>
      <c r="E67">
        <v>7.96</v>
      </c>
      <c r="F67" s="9" t="s">
        <v>50</v>
      </c>
      <c r="G67" s="7">
        <v>2708130234368</v>
      </c>
      <c r="H67" s="6">
        <v>8.34</v>
      </c>
      <c r="I67" s="6">
        <v>4.63</v>
      </c>
      <c r="J67" s="12">
        <f t="shared" si="2"/>
        <v>0.71922246220302388</v>
      </c>
      <c r="K67" s="11">
        <v>1.1306532663316582E-3</v>
      </c>
      <c r="M67" s="13">
        <v>6053339000000</v>
      </c>
      <c r="N67" s="9" t="s">
        <v>50</v>
      </c>
      <c r="O67" s="6">
        <v>1</v>
      </c>
    </row>
    <row r="68" spans="2:15" x14ac:dyDescent="0.5">
      <c r="B68" s="1" t="s">
        <v>459</v>
      </c>
      <c r="C68" t="s">
        <v>473</v>
      </c>
      <c r="D68" t="s">
        <v>227</v>
      </c>
      <c r="E68">
        <v>5.61</v>
      </c>
      <c r="F68" s="9" t="s">
        <v>50</v>
      </c>
      <c r="G68" s="7">
        <v>1676020154368</v>
      </c>
      <c r="H68" s="6">
        <v>5.9</v>
      </c>
      <c r="I68" s="6">
        <v>4.78</v>
      </c>
      <c r="J68" s="12">
        <f t="shared" si="2"/>
        <v>0.17364016736401666</v>
      </c>
      <c r="K68" s="11">
        <v>4.1176470588235294E-2</v>
      </c>
      <c r="M68" s="13">
        <v>5199928000000</v>
      </c>
      <c r="N68" s="9" t="s">
        <v>50</v>
      </c>
      <c r="O68" s="6">
        <v>1</v>
      </c>
    </row>
    <row r="69" spans="2:15" x14ac:dyDescent="0.5">
      <c r="B69" s="1" t="s">
        <v>460</v>
      </c>
      <c r="C69" t="s">
        <v>474</v>
      </c>
      <c r="D69" t="s">
        <v>227</v>
      </c>
      <c r="E69">
        <v>9.1300000000000008</v>
      </c>
      <c r="F69" s="9" t="s">
        <v>50</v>
      </c>
      <c r="G69" s="7">
        <v>1899100110848</v>
      </c>
      <c r="H69" s="6">
        <v>10.029999999999999</v>
      </c>
      <c r="I69" s="6">
        <v>7.81</v>
      </c>
      <c r="J69" s="12">
        <f t="shared" si="2"/>
        <v>0.16901408450704247</v>
      </c>
      <c r="K69" s="11">
        <v>4.4140197152245347E-2</v>
      </c>
      <c r="M69" s="13">
        <v>6128626000000</v>
      </c>
      <c r="N69" s="9" t="s">
        <v>50</v>
      </c>
      <c r="O69" s="6">
        <v>1</v>
      </c>
    </row>
    <row r="70" spans="2:15" x14ac:dyDescent="0.5">
      <c r="B70" s="1" t="s">
        <v>461</v>
      </c>
      <c r="C70" t="s">
        <v>475</v>
      </c>
      <c r="D70" t="s">
        <v>227</v>
      </c>
      <c r="E70">
        <v>7.18</v>
      </c>
      <c r="F70" s="9" t="s">
        <v>50</v>
      </c>
      <c r="G70" s="7">
        <v>605584883712</v>
      </c>
      <c r="H70" s="6">
        <v>8.34</v>
      </c>
      <c r="I70" s="6">
        <v>6.65</v>
      </c>
      <c r="J70" s="12">
        <f t="shared" si="2"/>
        <v>7.9699248120300714E-2</v>
      </c>
      <c r="K70" s="11">
        <v>4.9164345403899717E-2</v>
      </c>
      <c r="M70" s="13">
        <v>2314289000000</v>
      </c>
      <c r="N70" s="9" t="s">
        <v>50</v>
      </c>
      <c r="O70" s="6">
        <v>1</v>
      </c>
    </row>
    <row r="71" spans="2:15" x14ac:dyDescent="0.5">
      <c r="B71" s="1" t="s">
        <v>462</v>
      </c>
      <c r="C71" t="s">
        <v>476</v>
      </c>
      <c r="D71" t="s">
        <v>225</v>
      </c>
      <c r="E71">
        <v>5.75</v>
      </c>
      <c r="F71" s="9" t="s">
        <v>50</v>
      </c>
      <c r="G71" s="7">
        <v>677495635968</v>
      </c>
      <c r="H71" s="6">
        <v>6.44</v>
      </c>
      <c r="I71" s="6">
        <v>4.9400000000000004</v>
      </c>
      <c r="J71" s="12">
        <f t="shared" si="2"/>
        <v>0.16396761133603222</v>
      </c>
      <c r="K71" s="11">
        <v>0</v>
      </c>
      <c r="M71" s="13">
        <v>1271649000000</v>
      </c>
      <c r="N71" s="9" t="s">
        <v>50</v>
      </c>
      <c r="O71" s="6">
        <v>1</v>
      </c>
    </row>
    <row r="72" spans="2:15" x14ac:dyDescent="0.5">
      <c r="B72" s="1" t="s">
        <v>463</v>
      </c>
      <c r="C72" t="s">
        <v>477</v>
      </c>
      <c r="D72" t="s">
        <v>225</v>
      </c>
      <c r="E72">
        <v>11.49</v>
      </c>
      <c r="F72" s="9" t="s">
        <v>50</v>
      </c>
      <c r="G72" s="7">
        <v>382684069888</v>
      </c>
      <c r="H72" s="6">
        <v>14.8</v>
      </c>
      <c r="I72" s="6">
        <v>9.18</v>
      </c>
      <c r="J72" s="12">
        <f t="shared" si="2"/>
        <v>0.25163398692810457</v>
      </c>
      <c r="K72" s="11">
        <v>3.5683202785030461E-2</v>
      </c>
      <c r="M72" s="13">
        <v>2505906000000</v>
      </c>
      <c r="N72" s="9" t="s">
        <v>50</v>
      </c>
      <c r="O72" s="6">
        <v>1</v>
      </c>
    </row>
    <row r="73" spans="2:15" x14ac:dyDescent="0.5">
      <c r="B73" s="1" t="s">
        <v>464</v>
      </c>
      <c r="C73" t="s">
        <v>478</v>
      </c>
      <c r="D73" t="s">
        <v>225</v>
      </c>
      <c r="E73">
        <v>3.34</v>
      </c>
      <c r="F73" s="9" t="s">
        <v>50</v>
      </c>
      <c r="G73" s="7">
        <v>192786284544</v>
      </c>
      <c r="H73" s="6">
        <v>4.5</v>
      </c>
      <c r="I73" s="6">
        <v>3.28</v>
      </c>
      <c r="J73" s="12">
        <f t="shared" si="2"/>
        <v>1.8292682926829285E-2</v>
      </c>
      <c r="K73" s="11">
        <v>0</v>
      </c>
      <c r="M73" s="13">
        <v>1970468000000</v>
      </c>
      <c r="N73" s="9" t="s">
        <v>50</v>
      </c>
      <c r="O73" s="6">
        <v>1</v>
      </c>
    </row>
    <row r="74" spans="2:15" x14ac:dyDescent="0.5">
      <c r="B74" s="1" t="s">
        <v>465</v>
      </c>
      <c r="C74" t="s">
        <v>479</v>
      </c>
      <c r="D74" t="s">
        <v>225</v>
      </c>
      <c r="E74">
        <v>7.74</v>
      </c>
      <c r="F74" s="9" t="s">
        <v>50</v>
      </c>
      <c r="G74" s="7">
        <v>416168050688</v>
      </c>
      <c r="H74" s="6">
        <v>9.07</v>
      </c>
      <c r="I74" s="6">
        <v>6.38</v>
      </c>
      <c r="J74" s="12">
        <f t="shared" si="2"/>
        <v>0.21316614420062696</v>
      </c>
      <c r="K74" s="11">
        <v>0</v>
      </c>
      <c r="M74" s="13">
        <v>2066897000000</v>
      </c>
      <c r="N74" s="9" t="s">
        <v>50</v>
      </c>
      <c r="O74" s="6">
        <v>1</v>
      </c>
    </row>
    <row r="75" spans="2:15" x14ac:dyDescent="0.5">
      <c r="B75" s="1" t="s">
        <v>466</v>
      </c>
      <c r="C75" t="s">
        <v>480</v>
      </c>
      <c r="D75" t="s">
        <v>225</v>
      </c>
      <c r="E75">
        <v>3.91</v>
      </c>
      <c r="F75" s="9" t="s">
        <v>50</v>
      </c>
      <c r="G75" s="7">
        <v>169579462656</v>
      </c>
      <c r="H75" s="6">
        <v>5.68</v>
      </c>
      <c r="I75" s="6">
        <v>3.71</v>
      </c>
      <c r="J75" s="12">
        <f t="shared" si="2"/>
        <v>5.3908355795148299E-2</v>
      </c>
      <c r="K75" s="11">
        <v>0</v>
      </c>
      <c r="M75" s="13">
        <v>1646749000000</v>
      </c>
      <c r="N75" s="9" t="s">
        <v>50</v>
      </c>
      <c r="O75" s="6">
        <v>1</v>
      </c>
    </row>
    <row r="76" spans="2:15" x14ac:dyDescent="0.5">
      <c r="B76" s="1" t="s">
        <v>467</v>
      </c>
      <c r="C76" t="s">
        <v>481</v>
      </c>
      <c r="D76" t="s">
        <v>225</v>
      </c>
      <c r="E76">
        <v>6.81</v>
      </c>
      <c r="F76" s="9" t="s">
        <v>50</v>
      </c>
      <c r="G76" s="7">
        <v>108380659712</v>
      </c>
      <c r="H76" s="6">
        <v>8.7200000000000006</v>
      </c>
      <c r="I76" s="6">
        <v>6.43</v>
      </c>
      <c r="J76" s="12">
        <f t="shared" si="2"/>
        <v>5.9097978227060644E-2</v>
      </c>
      <c r="K76" s="11">
        <v>5.9471365638766524E-2</v>
      </c>
      <c r="M76" s="13">
        <v>1231745000000</v>
      </c>
      <c r="N76" s="9" t="s">
        <v>50</v>
      </c>
      <c r="O76" s="6">
        <v>1</v>
      </c>
    </row>
    <row r="77" spans="2:15" x14ac:dyDescent="0.5">
      <c r="B77" s="1" t="s">
        <v>501</v>
      </c>
      <c r="C77" t="s">
        <v>539</v>
      </c>
      <c r="D77" t="s">
        <v>300</v>
      </c>
      <c r="E77">
        <v>43.97</v>
      </c>
      <c r="F77" s="9" t="s">
        <v>50</v>
      </c>
      <c r="G77" s="7">
        <v>1082095370240</v>
      </c>
      <c r="H77" s="6">
        <v>50.88</v>
      </c>
      <c r="I77" s="6">
        <v>33.61</v>
      </c>
      <c r="J77" s="12">
        <f t="shared" si="2"/>
        <v>0.30824159476346313</v>
      </c>
      <c r="K77" s="11">
        <v>1.0234250625426428E-2</v>
      </c>
      <c r="M77" s="13">
        <v>557627000000</v>
      </c>
      <c r="N77" s="9" t="s">
        <v>50</v>
      </c>
      <c r="O77" s="6">
        <v>1</v>
      </c>
    </row>
    <row r="78" spans="2:15" x14ac:dyDescent="0.5">
      <c r="B78" s="1" t="s">
        <v>502</v>
      </c>
      <c r="C78" t="s">
        <v>540</v>
      </c>
      <c r="D78" t="s">
        <v>300</v>
      </c>
      <c r="E78">
        <v>35.5</v>
      </c>
      <c r="F78" s="9" t="s">
        <v>50</v>
      </c>
      <c r="G78" s="7">
        <v>322248671232</v>
      </c>
      <c r="H78" s="6">
        <v>42.23</v>
      </c>
      <c r="I78" s="6">
        <v>28.7</v>
      </c>
      <c r="J78" s="12">
        <f t="shared" si="2"/>
        <v>0.23693379790940772</v>
      </c>
      <c r="K78" s="11">
        <v>0</v>
      </c>
      <c r="M78" s="13">
        <v>301703000000</v>
      </c>
      <c r="N78" s="9" t="s">
        <v>50</v>
      </c>
      <c r="O78" s="6">
        <v>1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2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754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18.670000000000002</v>
      </c>
      <c r="F2" s="9" t="s">
        <v>71</v>
      </c>
      <c r="G2" s="7">
        <v>657903872</v>
      </c>
      <c r="H2" s="6">
        <v>25.04</v>
      </c>
      <c r="I2" s="6">
        <v>18.114000000000001</v>
      </c>
      <c r="J2" s="12">
        <f t="shared" ref="J2:J33" si="0">E2/I2-1</f>
        <v>3.0694490449376222E-2</v>
      </c>
      <c r="K2" s="11">
        <v>0.10101767541510442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0.39598728930588079</v>
      </c>
      <c r="Q2" s="12">
        <v>0.58551826493815506</v>
      </c>
      <c r="R2" s="14">
        <v>1</v>
      </c>
    </row>
    <row r="3" spans="1:22" x14ac:dyDescent="0.5">
      <c r="B3" s="1" t="s">
        <v>639</v>
      </c>
      <c r="C3" t="s">
        <v>733</v>
      </c>
      <c r="D3" t="s">
        <v>180</v>
      </c>
      <c r="E3">
        <v>56.67</v>
      </c>
      <c r="F3" s="9" t="s">
        <v>71</v>
      </c>
      <c r="G3" s="7">
        <v>95130320896</v>
      </c>
      <c r="H3" s="6">
        <v>68.599999999999994</v>
      </c>
      <c r="I3" s="6">
        <v>50.08</v>
      </c>
      <c r="J3" s="12">
        <f t="shared" si="0"/>
        <v>0.13158945686900969</v>
      </c>
      <c r="K3" s="11">
        <v>7.199576495500265E-2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0.12641824896210163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23.99</v>
      </c>
      <c r="F4" s="9" t="s">
        <v>71</v>
      </c>
      <c r="G4" s="7">
        <v>60557373440</v>
      </c>
      <c r="H4" s="6">
        <v>28.27</v>
      </c>
      <c r="I4" s="6">
        <v>21.41</v>
      </c>
      <c r="J4" s="12">
        <f t="shared" si="0"/>
        <v>0.12050443717888837</v>
      </c>
      <c r="K4" s="11">
        <v>6.1692371821592332E-2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0.37809129081863335</v>
      </c>
      <c r="Q4" s="12">
        <v>0.46488313723214414</v>
      </c>
      <c r="R4" s="14">
        <v>3</v>
      </c>
    </row>
    <row r="5" spans="1:22" x14ac:dyDescent="0.5">
      <c r="B5" s="1" t="s">
        <v>393</v>
      </c>
      <c r="C5" t="s">
        <v>406</v>
      </c>
      <c r="D5" t="s">
        <v>74</v>
      </c>
      <c r="E5">
        <v>165.47</v>
      </c>
      <c r="F5" s="9" t="s">
        <v>71</v>
      </c>
      <c r="G5" s="7">
        <v>19622948864</v>
      </c>
      <c r="H5" s="6">
        <v>423.32</v>
      </c>
      <c r="I5" s="6">
        <v>159.25</v>
      </c>
      <c r="J5" s="12">
        <f t="shared" si="0"/>
        <v>3.9058084772370494E-2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0.13040722042356256</v>
      </c>
      <c r="Q5" s="12">
        <v>0.57947959400071281</v>
      </c>
      <c r="R5" s="14">
        <v>3</v>
      </c>
    </row>
    <row r="6" spans="1:22" x14ac:dyDescent="0.5">
      <c r="B6" s="1" t="s">
        <v>646</v>
      </c>
      <c r="C6" t="s">
        <v>742</v>
      </c>
      <c r="D6" t="s">
        <v>743</v>
      </c>
      <c r="E6">
        <v>7072.32</v>
      </c>
      <c r="F6" s="9" t="s">
        <v>71</v>
      </c>
      <c r="G6" s="7">
        <v>19478597632</v>
      </c>
      <c r="H6" s="6">
        <v>9527.85</v>
      </c>
      <c r="I6" s="6">
        <v>6562.85</v>
      </c>
      <c r="J6" s="12">
        <f t="shared" si="0"/>
        <v>7.7629383575732902E-2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0.11981641904736053</v>
      </c>
      <c r="Q6" s="12">
        <v>0.41851386103620447</v>
      </c>
      <c r="R6" s="14">
        <v>4</v>
      </c>
    </row>
    <row r="7" spans="1:22" x14ac:dyDescent="0.5">
      <c r="B7" s="1" t="s">
        <v>38</v>
      </c>
      <c r="C7" t="s">
        <v>103</v>
      </c>
      <c r="D7" t="s">
        <v>104</v>
      </c>
      <c r="E7">
        <v>73.08</v>
      </c>
      <c r="F7" s="9" t="s">
        <v>71</v>
      </c>
      <c r="G7" s="7">
        <v>124222906368</v>
      </c>
      <c r="H7" s="6">
        <v>73.349999999999994</v>
      </c>
      <c r="I7" s="6">
        <v>32.82</v>
      </c>
      <c r="J7" s="12">
        <f t="shared" si="0"/>
        <v>1.2266910420475319</v>
      </c>
      <c r="K7" s="11">
        <v>3.8998357963875201E-3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6.5387600099265142E-2</v>
      </c>
      <c r="Q7" s="12">
        <v>1.8365160689333955</v>
      </c>
      <c r="R7" s="14">
        <v>5</v>
      </c>
    </row>
    <row r="8" spans="1:22" x14ac:dyDescent="0.5">
      <c r="B8" s="1" t="s">
        <v>207</v>
      </c>
      <c r="C8" t="s">
        <v>235</v>
      </c>
      <c r="D8" t="s">
        <v>236</v>
      </c>
      <c r="E8">
        <v>70</v>
      </c>
      <c r="F8" s="9" t="s">
        <v>71</v>
      </c>
      <c r="G8" s="7">
        <v>2355901952</v>
      </c>
      <c r="H8" s="6">
        <v>105.27500000000001</v>
      </c>
      <c r="I8" s="6">
        <v>49.92</v>
      </c>
      <c r="J8" s="12">
        <f t="shared" si="0"/>
        <v>0.40224358974358965</v>
      </c>
      <c r="K8" s="11">
        <v>1.842857142857143E-2</v>
      </c>
      <c r="L8" s="13">
        <v>622821000</v>
      </c>
      <c r="M8" s="13">
        <v>2304738000</v>
      </c>
      <c r="N8" s="9" t="s">
        <v>71</v>
      </c>
      <c r="O8" s="6">
        <v>1</v>
      </c>
      <c r="P8" s="12">
        <v>0.21071711779103022</v>
      </c>
      <c r="Q8" s="12">
        <v>0.27023505491730515</v>
      </c>
      <c r="R8" s="14">
        <v>6</v>
      </c>
    </row>
    <row r="9" spans="1:22" x14ac:dyDescent="0.5">
      <c r="B9" s="1" t="s">
        <v>650</v>
      </c>
      <c r="C9" t="s">
        <v>748</v>
      </c>
      <c r="D9" t="s">
        <v>298</v>
      </c>
      <c r="E9">
        <v>203.7</v>
      </c>
      <c r="F9" s="9" t="s">
        <v>71</v>
      </c>
      <c r="G9" s="7">
        <v>119449681920</v>
      </c>
      <c r="H9" s="6">
        <v>292.99</v>
      </c>
      <c r="I9" s="6">
        <v>199.9</v>
      </c>
      <c r="J9" s="12">
        <f t="shared" si="0"/>
        <v>1.9009504752376172E-2</v>
      </c>
      <c r="K9" s="11">
        <v>2.4054982817869421E-2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8.7100061052198252E-2</v>
      </c>
      <c r="Q9" s="12">
        <v>0.33838197266346509</v>
      </c>
      <c r="R9" s="14">
        <v>8</v>
      </c>
    </row>
    <row r="10" spans="1:22" x14ac:dyDescent="0.5">
      <c r="B10" s="1" t="s">
        <v>611</v>
      </c>
      <c r="C10" t="s">
        <v>701</v>
      </c>
      <c r="D10" t="s">
        <v>164</v>
      </c>
      <c r="E10">
        <v>109.14</v>
      </c>
      <c r="F10" s="9" t="s">
        <v>71</v>
      </c>
      <c r="G10" s="7">
        <v>13290368000</v>
      </c>
      <c r="H10" s="6">
        <v>171.37</v>
      </c>
      <c r="I10" s="6">
        <v>108.93</v>
      </c>
      <c r="J10" s="12">
        <f t="shared" si="0"/>
        <v>1.9278435692646756E-3</v>
      </c>
      <c r="K10" s="11">
        <v>4.4896463258200479E-2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7.285966304092989E-2</v>
      </c>
      <c r="Q10" s="12">
        <v>0.41509433962264153</v>
      </c>
      <c r="R10" s="14">
        <v>8</v>
      </c>
    </row>
    <row r="11" spans="1:22" x14ac:dyDescent="0.5">
      <c r="B11" s="1" t="s">
        <v>619</v>
      </c>
      <c r="C11" t="s">
        <v>709</v>
      </c>
      <c r="D11" t="s">
        <v>313</v>
      </c>
      <c r="E11">
        <v>122.46</v>
      </c>
      <c r="F11" s="9" t="s">
        <v>71</v>
      </c>
      <c r="G11" s="7">
        <v>16620090368</v>
      </c>
      <c r="H11" s="6">
        <v>129.15</v>
      </c>
      <c r="I11" s="6">
        <v>100.47</v>
      </c>
      <c r="J11" s="12">
        <f t="shared" si="0"/>
        <v>0.21887130486712447</v>
      </c>
      <c r="K11" s="11">
        <v>1.2248897599216071E-2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6.4917523654683756E-2</v>
      </c>
      <c r="Q11" s="12">
        <v>0.46842887037946712</v>
      </c>
      <c r="R11" s="14">
        <v>9</v>
      </c>
    </row>
    <row r="12" spans="1:22" x14ac:dyDescent="0.5">
      <c r="B12" s="1" t="s">
        <v>39</v>
      </c>
      <c r="C12" t="s">
        <v>105</v>
      </c>
      <c r="D12" t="s">
        <v>106</v>
      </c>
      <c r="E12">
        <v>97.91</v>
      </c>
      <c r="F12" s="9" t="s">
        <v>71</v>
      </c>
      <c r="G12" s="7">
        <v>4009303040</v>
      </c>
      <c r="H12" s="6">
        <v>110.2</v>
      </c>
      <c r="I12" s="6">
        <v>45.55</v>
      </c>
      <c r="J12" s="12">
        <f t="shared" si="0"/>
        <v>1.1495060373216246</v>
      </c>
      <c r="K12" s="11">
        <v>1.2460422837299562E-2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0.10970070367919847</v>
      </c>
      <c r="Q12" s="12">
        <v>0.27162760557295607</v>
      </c>
      <c r="R12" s="14">
        <v>10</v>
      </c>
    </row>
    <row r="13" spans="1:22" x14ac:dyDescent="0.5">
      <c r="B13" s="1" t="s">
        <v>400</v>
      </c>
      <c r="C13" t="s">
        <v>413</v>
      </c>
      <c r="D13" t="s">
        <v>164</v>
      </c>
      <c r="E13">
        <v>74.98</v>
      </c>
      <c r="F13" s="9" t="s">
        <v>71</v>
      </c>
      <c r="G13" s="7">
        <v>60600397824</v>
      </c>
      <c r="H13" s="6">
        <v>100.18</v>
      </c>
      <c r="I13" s="6">
        <v>74.545000000000002</v>
      </c>
      <c r="J13" s="12">
        <f t="shared" si="0"/>
        <v>5.835401435374532E-3</v>
      </c>
      <c r="K13" s="11">
        <v>2.7207255268071485E-2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6.2455527430196653E-2</v>
      </c>
      <c r="Q13" s="12">
        <v>0.52052444553363564</v>
      </c>
      <c r="R13" s="14">
        <v>10</v>
      </c>
    </row>
    <row r="14" spans="1:22" x14ac:dyDescent="0.5">
      <c r="B14" s="1" t="s">
        <v>633</v>
      </c>
      <c r="C14" t="s">
        <v>725</v>
      </c>
      <c r="D14" t="s">
        <v>713</v>
      </c>
      <c r="E14">
        <v>235.64</v>
      </c>
      <c r="F14" s="9" t="s">
        <v>71</v>
      </c>
      <c r="G14" s="7">
        <v>132152778752</v>
      </c>
      <c r="H14" s="6">
        <v>280.64</v>
      </c>
      <c r="I14" s="6">
        <v>206.39</v>
      </c>
      <c r="J14" s="12">
        <f t="shared" si="0"/>
        <v>0.14172198265419844</v>
      </c>
      <c r="K14" s="11">
        <v>1.9733491767102363E-2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6.2474356572743243E-2</v>
      </c>
      <c r="Q14" s="12">
        <v>0.49985886337975161</v>
      </c>
      <c r="R14" s="14">
        <v>10</v>
      </c>
    </row>
    <row r="15" spans="1:22" x14ac:dyDescent="0.5">
      <c r="B15" s="1" t="s">
        <v>629</v>
      </c>
      <c r="C15" t="s">
        <v>721</v>
      </c>
      <c r="D15" t="s">
        <v>164</v>
      </c>
      <c r="E15">
        <v>102.27</v>
      </c>
      <c r="F15" s="9" t="s">
        <v>71</v>
      </c>
      <c r="G15" s="7">
        <v>33939161088</v>
      </c>
      <c r="H15" s="6">
        <v>150.44999999999999</v>
      </c>
      <c r="I15" s="6">
        <v>102.2</v>
      </c>
      <c r="J15" s="12">
        <f t="shared" si="0"/>
        <v>6.8493150684934001E-4</v>
      </c>
      <c r="K15" s="11">
        <v>4.8890192627358955E-2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7.8953553332263185E-2</v>
      </c>
      <c r="Q15" s="12">
        <v>0.38597126644935409</v>
      </c>
      <c r="R15" s="14">
        <v>7</v>
      </c>
    </row>
    <row r="16" spans="1:22" x14ac:dyDescent="0.5">
      <c r="B16" s="1" t="s">
        <v>209</v>
      </c>
      <c r="C16" t="s">
        <v>239</v>
      </c>
      <c r="D16" t="s">
        <v>240</v>
      </c>
      <c r="E16">
        <v>9.1</v>
      </c>
      <c r="F16" s="9" t="s">
        <v>71</v>
      </c>
      <c r="G16" s="7">
        <v>2892388608</v>
      </c>
      <c r="H16" s="6">
        <v>11.95</v>
      </c>
      <c r="I16" s="6">
        <v>7.85</v>
      </c>
      <c r="J16" s="12">
        <f t="shared" si="0"/>
        <v>0.15923566878980888</v>
      </c>
      <c r="K16" s="11">
        <v>0.10329670329670329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0.1884255758252934</v>
      </c>
      <c r="Q16" s="12">
        <v>0.18886359567230221</v>
      </c>
      <c r="R16" s="14">
        <v>11</v>
      </c>
    </row>
    <row r="17" spans="1:18" x14ac:dyDescent="0.5">
      <c r="B17" s="1" t="s">
        <v>593</v>
      </c>
      <c r="C17" t="s">
        <v>677</v>
      </c>
      <c r="D17" t="s">
        <v>49</v>
      </c>
      <c r="E17">
        <v>243.13</v>
      </c>
      <c r="F17" s="9" t="s">
        <v>71</v>
      </c>
      <c r="G17" s="7">
        <v>70532014080</v>
      </c>
      <c r="H17" s="6">
        <v>279.13</v>
      </c>
      <c r="I17" s="6">
        <v>214.66</v>
      </c>
      <c r="J17" s="12">
        <f t="shared" si="0"/>
        <v>0.13262834249510846</v>
      </c>
      <c r="K17" s="11">
        <v>2.5130588574013905E-2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6.0583028340642282E-2</v>
      </c>
      <c r="Q17" s="12">
        <v>0.42087843277574022</v>
      </c>
      <c r="R17" s="14">
        <v>12</v>
      </c>
    </row>
    <row r="18" spans="1:18" x14ac:dyDescent="0.5">
      <c r="B18" s="1" t="s">
        <v>606</v>
      </c>
      <c r="C18" t="s">
        <v>694</v>
      </c>
      <c r="D18" t="s">
        <v>448</v>
      </c>
      <c r="E18">
        <v>5030.55</v>
      </c>
      <c r="F18" s="9" t="s">
        <v>71</v>
      </c>
      <c r="G18" s="7">
        <v>162153824256</v>
      </c>
      <c r="H18" s="6">
        <v>5839.41</v>
      </c>
      <c r="I18" s="6">
        <v>4096.2299999999996</v>
      </c>
      <c r="J18" s="12">
        <f t="shared" si="0"/>
        <v>0.22809266081250335</v>
      </c>
      <c r="K18" s="11">
        <v>7.4643925614495425E-3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5.2658101405800989E-2</v>
      </c>
      <c r="Q18" s="12">
        <v>0.68269995229766256</v>
      </c>
      <c r="R18" s="14">
        <v>11</v>
      </c>
    </row>
    <row r="19" spans="1:18" x14ac:dyDescent="0.5">
      <c r="B19" s="1" t="s">
        <v>206</v>
      </c>
      <c r="C19" t="s">
        <v>234</v>
      </c>
      <c r="D19" t="s">
        <v>76</v>
      </c>
      <c r="E19">
        <v>31.53</v>
      </c>
      <c r="F19" s="9" t="s">
        <v>71</v>
      </c>
      <c r="G19" s="7">
        <v>1127848704</v>
      </c>
      <c r="H19" s="6">
        <v>33.08</v>
      </c>
      <c r="I19" s="6">
        <v>17.73</v>
      </c>
      <c r="J19" s="12">
        <f t="shared" si="0"/>
        <v>0.77834179357021993</v>
      </c>
      <c r="K19" s="11">
        <v>6.184586108468125E-2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0.23603576938505644</v>
      </c>
      <c r="Q19" s="12">
        <v>0.18435624112536766</v>
      </c>
      <c r="R19" s="14">
        <v>13</v>
      </c>
    </row>
    <row r="20" spans="1:18" x14ac:dyDescent="0.5">
      <c r="B20" s="1" t="s">
        <v>615</v>
      </c>
      <c r="C20" t="s">
        <v>705</v>
      </c>
      <c r="D20" t="s">
        <v>182</v>
      </c>
      <c r="E20">
        <v>403.63</v>
      </c>
      <c r="F20" s="9" t="s">
        <v>71</v>
      </c>
      <c r="G20" s="7">
        <v>13637130240</v>
      </c>
      <c r="H20" s="6">
        <v>500.55</v>
      </c>
      <c r="I20" s="6">
        <v>392.89</v>
      </c>
      <c r="J20" s="12">
        <f t="shared" si="0"/>
        <v>2.7335895543281863E-2</v>
      </c>
      <c r="K20" s="11">
        <v>1.6673686296856033E-2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4.9231709910739031E-2</v>
      </c>
      <c r="Q20" s="12">
        <v>0.90626101256901215</v>
      </c>
      <c r="R20" s="14">
        <v>14</v>
      </c>
    </row>
    <row r="21" spans="1:18" x14ac:dyDescent="0.5">
      <c r="B21" s="1" t="s">
        <v>398</v>
      </c>
      <c r="C21" t="s">
        <v>411</v>
      </c>
      <c r="D21" t="s">
        <v>313</v>
      </c>
      <c r="E21">
        <v>94.09</v>
      </c>
      <c r="F21" s="9" t="s">
        <v>71</v>
      </c>
      <c r="G21" s="7">
        <v>79747825664</v>
      </c>
      <c r="H21" s="6">
        <v>138.66999999999999</v>
      </c>
      <c r="I21" s="6">
        <v>82</v>
      </c>
      <c r="J21" s="12">
        <f t="shared" si="0"/>
        <v>0.14743902439024392</v>
      </c>
      <c r="K21" s="11">
        <v>6.9614199171006474E-2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8.3675918416373715E-2</v>
      </c>
      <c r="Q21" s="12">
        <v>0.21862007262775643</v>
      </c>
      <c r="R21" s="14">
        <v>15</v>
      </c>
    </row>
    <row r="22" spans="1:18" x14ac:dyDescent="0.5">
      <c r="B22" s="1" t="s">
        <v>210</v>
      </c>
      <c r="C22" t="s">
        <v>241</v>
      </c>
      <c r="D22" t="s">
        <v>85</v>
      </c>
      <c r="E22">
        <v>64.08</v>
      </c>
      <c r="F22" s="9" t="s">
        <v>71</v>
      </c>
      <c r="G22" s="7">
        <v>746164160</v>
      </c>
      <c r="H22" s="6">
        <v>91.98</v>
      </c>
      <c r="I22" s="6">
        <v>58.47</v>
      </c>
      <c r="J22" s="12">
        <f t="shared" si="0"/>
        <v>9.5946639302206149E-2</v>
      </c>
      <c r="K22" s="11">
        <v>1.404494382022472E-2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9.6558748070532843E-2</v>
      </c>
      <c r="Q22" s="12">
        <v>0.18756220051603392</v>
      </c>
      <c r="R22" s="14">
        <v>16</v>
      </c>
    </row>
    <row r="23" spans="1:18" x14ac:dyDescent="0.5">
      <c r="B23" s="1" t="s">
        <v>635</v>
      </c>
      <c r="C23" t="s">
        <v>727</v>
      </c>
      <c r="D23" t="s">
        <v>728</v>
      </c>
      <c r="E23">
        <v>820.29</v>
      </c>
      <c r="F23" s="9" t="s">
        <v>71</v>
      </c>
      <c r="G23" s="7">
        <v>102031269888</v>
      </c>
      <c r="H23" s="6">
        <v>846.32</v>
      </c>
      <c r="I23" s="6">
        <v>520.20000000000005</v>
      </c>
      <c r="J23" s="12">
        <f t="shared" si="0"/>
        <v>0.57687427912341382</v>
      </c>
      <c r="K23" s="11">
        <v>3.4621902010264663E-3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4.457715192482041E-2</v>
      </c>
      <c r="Q23" s="12">
        <v>1.2916201117318435</v>
      </c>
      <c r="R23" s="14">
        <v>17</v>
      </c>
    </row>
    <row r="24" spans="1:18" x14ac:dyDescent="0.5">
      <c r="B24" s="1" t="s">
        <v>612</v>
      </c>
      <c r="C24" t="s">
        <v>702</v>
      </c>
      <c r="D24" t="s">
        <v>433</v>
      </c>
      <c r="E24">
        <v>88.57</v>
      </c>
      <c r="F24" s="9" t="s">
        <v>71</v>
      </c>
      <c r="G24" s="7">
        <v>110618820608</v>
      </c>
      <c r="H24" s="6">
        <v>115.38</v>
      </c>
      <c r="I24" s="6">
        <v>79.88</v>
      </c>
      <c r="J24" s="12">
        <f t="shared" si="0"/>
        <v>0.10878818227341003</v>
      </c>
      <c r="K24" s="11">
        <v>3.5226374618945469E-2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0.11427615281304204</v>
      </c>
      <c r="Q24" s="12">
        <v>0.16761170333408937</v>
      </c>
      <c r="R24" s="14">
        <v>17</v>
      </c>
    </row>
    <row r="25" spans="1:18" x14ac:dyDescent="0.5">
      <c r="B25" s="1" t="s">
        <v>590</v>
      </c>
      <c r="C25" t="s">
        <v>674</v>
      </c>
      <c r="D25" t="s">
        <v>405</v>
      </c>
      <c r="E25">
        <v>257.17</v>
      </c>
      <c r="F25" s="9" t="s">
        <v>71</v>
      </c>
      <c r="G25" s="7">
        <v>104128135168</v>
      </c>
      <c r="H25" s="6">
        <v>329.93</v>
      </c>
      <c r="I25" s="6">
        <v>255.16</v>
      </c>
      <c r="J25" s="12">
        <f t="shared" si="0"/>
        <v>7.8774102523906375E-3</v>
      </c>
      <c r="K25" s="11">
        <v>2.3953027180464284E-2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5.2491796710918075E-2</v>
      </c>
      <c r="Q25" s="12">
        <v>0.38614537710451241</v>
      </c>
      <c r="R25" s="14">
        <v>18</v>
      </c>
    </row>
    <row r="26" spans="1:18" x14ac:dyDescent="0.5">
      <c r="B26" s="1" t="s">
        <v>647</v>
      </c>
      <c r="C26" t="s">
        <v>744</v>
      </c>
      <c r="D26" t="s">
        <v>745</v>
      </c>
      <c r="E26">
        <v>137.51</v>
      </c>
      <c r="F26" s="9" t="s">
        <v>71</v>
      </c>
      <c r="G26" s="7">
        <v>28900220928</v>
      </c>
      <c r="H26" s="6">
        <v>233.26</v>
      </c>
      <c r="I26" s="6">
        <v>133.69</v>
      </c>
      <c r="J26" s="12">
        <f t="shared" si="0"/>
        <v>2.8573565711721205E-2</v>
      </c>
      <c r="K26" s="11">
        <v>7.9994182241291557E-3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5.399397868673201E-2</v>
      </c>
      <c r="Q26" s="12">
        <v>0.36189612214910882</v>
      </c>
      <c r="R26" s="14">
        <v>19</v>
      </c>
    </row>
    <row r="27" spans="1:18" x14ac:dyDescent="0.5">
      <c r="B27" s="1" t="s">
        <v>417</v>
      </c>
      <c r="C27" t="s">
        <v>424</v>
      </c>
      <c r="D27" t="s">
        <v>233</v>
      </c>
      <c r="E27">
        <v>113.76</v>
      </c>
      <c r="F27" s="9" t="s">
        <v>71</v>
      </c>
      <c r="G27" s="7">
        <v>484987011072</v>
      </c>
      <c r="H27" s="6">
        <v>123.21</v>
      </c>
      <c r="I27" s="6">
        <v>97.8</v>
      </c>
      <c r="J27" s="12">
        <f t="shared" si="0"/>
        <v>0.16319018404907992</v>
      </c>
      <c r="K27" s="11">
        <v>3.4810126582278479E-2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9.9011648355152665E-2</v>
      </c>
      <c r="Q27" s="12">
        <v>0.16542273704322905</v>
      </c>
      <c r="R27" s="14">
        <v>20</v>
      </c>
    </row>
    <row r="28" spans="1:18" x14ac:dyDescent="0.5">
      <c r="A28" s="1" t="s">
        <v>755</v>
      </c>
      <c r="B28" s="1" t="s">
        <v>596</v>
      </c>
      <c r="C28" t="s">
        <v>681</v>
      </c>
      <c r="D28" t="s">
        <v>682</v>
      </c>
      <c r="E28">
        <v>259.48</v>
      </c>
      <c r="F28" s="9" t="s">
        <v>71</v>
      </c>
      <c r="G28" s="7">
        <v>9665496064</v>
      </c>
      <c r="H28" s="6">
        <v>395.6</v>
      </c>
      <c r="I28" s="6">
        <v>258.63</v>
      </c>
      <c r="J28" s="12">
        <f t="shared" si="0"/>
        <v>3.2865483509261217E-3</v>
      </c>
      <c r="K28" s="11">
        <v>1.8883921689532911E-2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5.6835098923699527E-2</v>
      </c>
      <c r="Q28" s="12">
        <v>0.27754212232009678</v>
      </c>
      <c r="R28" s="14">
        <v>21</v>
      </c>
    </row>
    <row r="29" spans="1:18" x14ac:dyDescent="0.5">
      <c r="B29" s="1" t="s">
        <v>395</v>
      </c>
      <c r="C29" t="s">
        <v>408</v>
      </c>
      <c r="D29" t="s">
        <v>405</v>
      </c>
      <c r="E29">
        <v>337.47</v>
      </c>
      <c r="F29" s="9" t="s">
        <v>71</v>
      </c>
      <c r="G29" s="7">
        <v>141264945152</v>
      </c>
      <c r="H29" s="6">
        <v>557.9</v>
      </c>
      <c r="I29" s="6">
        <v>327.5</v>
      </c>
      <c r="J29" s="12">
        <f t="shared" si="0"/>
        <v>3.0442748091603189E-2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5.0820302254644963E-2</v>
      </c>
      <c r="Q29" s="12">
        <v>0.3598033750570111</v>
      </c>
      <c r="R29" s="14">
        <v>22</v>
      </c>
    </row>
    <row r="30" spans="1:18" x14ac:dyDescent="0.5">
      <c r="B30" s="1" t="s">
        <v>622</v>
      </c>
      <c r="C30" t="s">
        <v>712</v>
      </c>
      <c r="D30" t="s">
        <v>713</v>
      </c>
      <c r="E30">
        <v>378.35</v>
      </c>
      <c r="F30" s="9" t="s">
        <v>71</v>
      </c>
      <c r="G30" s="7">
        <v>376604524544</v>
      </c>
      <c r="H30" s="6">
        <v>439.37</v>
      </c>
      <c r="I30" s="6">
        <v>326.31</v>
      </c>
      <c r="J30" s="12">
        <f t="shared" si="0"/>
        <v>0.15948024884312462</v>
      </c>
      <c r="K30" s="11">
        <v>2.4183956653891898E-2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4.9691753712508696E-2</v>
      </c>
      <c r="Q30" s="12">
        <v>0.36197790846842043</v>
      </c>
      <c r="R30" s="14">
        <v>22</v>
      </c>
    </row>
    <row r="31" spans="1:18" x14ac:dyDescent="0.5">
      <c r="B31" s="1" t="s">
        <v>632</v>
      </c>
      <c r="C31" t="s">
        <v>724</v>
      </c>
      <c r="D31" t="s">
        <v>538</v>
      </c>
      <c r="E31">
        <v>487.94</v>
      </c>
      <c r="F31" s="9" t="s">
        <v>71</v>
      </c>
      <c r="G31" s="7">
        <v>112908238848</v>
      </c>
      <c r="H31" s="6">
        <v>576.42999999999995</v>
      </c>
      <c r="I31" s="6">
        <v>410.11</v>
      </c>
      <c r="J31" s="12">
        <f t="shared" si="0"/>
        <v>0.18977835214942318</v>
      </c>
      <c r="K31" s="11">
        <v>2.7052506455711767E-2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5.5518472317410181E-2</v>
      </c>
      <c r="Q31" s="12">
        <v>0.27275119347442017</v>
      </c>
      <c r="R31" s="14">
        <v>22</v>
      </c>
    </row>
    <row r="32" spans="1:18" x14ac:dyDescent="0.5">
      <c r="B32" s="1" t="s">
        <v>402</v>
      </c>
      <c r="C32" t="s">
        <v>415</v>
      </c>
      <c r="D32" t="s">
        <v>164</v>
      </c>
      <c r="E32">
        <v>148.02000000000001</v>
      </c>
      <c r="F32" s="9" t="s">
        <v>71</v>
      </c>
      <c r="G32" s="7">
        <v>345883279360</v>
      </c>
      <c r="H32" s="6">
        <v>180.43</v>
      </c>
      <c r="I32" s="6">
        <v>146.97</v>
      </c>
      <c r="J32" s="12">
        <f t="shared" si="0"/>
        <v>7.1443151663606042E-3</v>
      </c>
      <c r="K32" s="11">
        <v>2.7881367382786106E-2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5.6682493249357667E-2</v>
      </c>
      <c r="Q32" s="12">
        <v>0.24578386321755966</v>
      </c>
      <c r="R32" s="14">
        <v>23</v>
      </c>
    </row>
    <row r="33" spans="1:18" x14ac:dyDescent="0.5">
      <c r="B33" s="1" t="s">
        <v>211</v>
      </c>
      <c r="C33" t="s">
        <v>242</v>
      </c>
      <c r="D33" t="s">
        <v>233</v>
      </c>
      <c r="E33">
        <v>154.04</v>
      </c>
      <c r="F33" s="9" t="s">
        <v>71</v>
      </c>
      <c r="G33" s="7">
        <v>310363226112</v>
      </c>
      <c r="H33" s="6">
        <v>168.96</v>
      </c>
      <c r="I33" s="6">
        <v>132.04</v>
      </c>
      <c r="J33" s="12">
        <f t="shared" si="0"/>
        <v>0.1666161769160861</v>
      </c>
      <c r="K33" s="11">
        <v>4.3884705271358092E-2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8.5638558211689905E-2</v>
      </c>
      <c r="Q33" s="12">
        <v>0.1594281013304587</v>
      </c>
      <c r="R33" s="14">
        <v>23</v>
      </c>
    </row>
    <row r="34" spans="1:18" x14ac:dyDescent="0.5">
      <c r="B34" s="1" t="s">
        <v>591</v>
      </c>
      <c r="C34" t="s">
        <v>675</v>
      </c>
      <c r="D34" t="s">
        <v>74</v>
      </c>
      <c r="E34">
        <v>140.41</v>
      </c>
      <c r="F34" s="9" t="s">
        <v>71</v>
      </c>
      <c r="G34" s="7">
        <v>156267741184</v>
      </c>
      <c r="H34" s="6">
        <v>146.46</v>
      </c>
      <c r="I34" s="6">
        <v>111.73</v>
      </c>
      <c r="J34" s="12">
        <f t="shared" ref="J34:J65" si="1">E34/I34-1</f>
        <v>0.2566902353888838</v>
      </c>
      <c r="K34" s="11">
        <v>1.1395199772096005E-2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4.0064567251748742E-2</v>
      </c>
      <c r="Q34" s="12">
        <v>0.58255617728039788</v>
      </c>
      <c r="R34" s="14">
        <v>24</v>
      </c>
    </row>
    <row r="35" spans="1:18" x14ac:dyDescent="0.5">
      <c r="B35" s="1" t="s">
        <v>652</v>
      </c>
      <c r="C35" t="s">
        <v>751</v>
      </c>
      <c r="D35" t="s">
        <v>193</v>
      </c>
      <c r="E35">
        <v>180.72</v>
      </c>
      <c r="F35" s="9" t="s">
        <v>71</v>
      </c>
      <c r="G35" s="7">
        <v>194996895744</v>
      </c>
      <c r="H35" s="6">
        <v>205.95</v>
      </c>
      <c r="I35" s="6">
        <v>120.8</v>
      </c>
      <c r="J35" s="12">
        <f t="shared" si="1"/>
        <v>0.49602649006622523</v>
      </c>
      <c r="K35" s="11">
        <v>1.9034971226206284E-2</v>
      </c>
      <c r="L35" s="13">
        <v>11033000000</v>
      </c>
      <c r="M35" s="13">
        <v>40908000000</v>
      </c>
      <c r="N35" s="9" t="s">
        <v>71</v>
      </c>
      <c r="O35" s="6">
        <v>1</v>
      </c>
      <c r="P35" s="12">
        <v>5.4677848869045857E-2</v>
      </c>
      <c r="Q35" s="12">
        <v>0.26970274762882568</v>
      </c>
      <c r="R35" s="14">
        <v>25</v>
      </c>
    </row>
    <row r="36" spans="1:18" x14ac:dyDescent="0.5">
      <c r="B36" s="1" t="s">
        <v>453</v>
      </c>
      <c r="C36" t="s">
        <v>454</v>
      </c>
      <c r="D36" t="s">
        <v>316</v>
      </c>
      <c r="E36">
        <v>239.36</v>
      </c>
      <c r="F36" s="9" t="s">
        <v>71</v>
      </c>
      <c r="G36" s="7">
        <v>53270437888</v>
      </c>
      <c r="H36" s="6">
        <v>341.14</v>
      </c>
      <c r="I36" s="6">
        <v>235.97</v>
      </c>
      <c r="J36" s="12">
        <f t="shared" si="1"/>
        <v>1.436623299571993E-2</v>
      </c>
      <c r="K36" s="11">
        <v>2.9745989304812832E-2</v>
      </c>
      <c r="L36" s="13">
        <v>5040000000</v>
      </c>
      <c r="M36" s="13">
        <v>31264400000</v>
      </c>
      <c r="N36" s="9" t="s">
        <v>71</v>
      </c>
      <c r="O36" s="6">
        <v>1</v>
      </c>
      <c r="P36" s="12">
        <v>7.7185973517505224E-2</v>
      </c>
      <c r="Q36" s="12">
        <v>0.16120571640588016</v>
      </c>
      <c r="R36" s="14">
        <v>25</v>
      </c>
    </row>
    <row r="37" spans="1:18" x14ac:dyDescent="0.5">
      <c r="A37" s="1" t="s">
        <v>755</v>
      </c>
      <c r="B37" s="1" t="s">
        <v>420</v>
      </c>
      <c r="C37" t="s">
        <v>428</v>
      </c>
      <c r="D37" t="s">
        <v>429</v>
      </c>
      <c r="E37">
        <v>220.7</v>
      </c>
      <c r="F37" s="9" t="s">
        <v>71</v>
      </c>
      <c r="G37" s="7">
        <v>14045058048</v>
      </c>
      <c r="H37" s="6">
        <v>227.22</v>
      </c>
      <c r="I37" s="6">
        <v>152.33000000000001</v>
      </c>
      <c r="J37" s="12">
        <f t="shared" si="1"/>
        <v>0.44882820193002027</v>
      </c>
      <c r="K37" s="11">
        <v>3.6248300860897151E-3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8.9032749985187842E-2</v>
      </c>
      <c r="Q37" s="12">
        <v>0.15043298801476856</v>
      </c>
      <c r="R37" s="14">
        <v>26</v>
      </c>
    </row>
    <row r="38" spans="1:18" x14ac:dyDescent="0.5">
      <c r="B38" s="1" t="s">
        <v>595</v>
      </c>
      <c r="C38" t="s">
        <v>679</v>
      </c>
      <c r="D38" t="s">
        <v>680</v>
      </c>
      <c r="E38">
        <v>215.4</v>
      </c>
      <c r="F38" s="9" t="s">
        <v>71</v>
      </c>
      <c r="G38" s="7">
        <v>30020851712</v>
      </c>
      <c r="H38" s="6">
        <v>322.92</v>
      </c>
      <c r="I38" s="6">
        <v>197</v>
      </c>
      <c r="J38" s="12">
        <f t="shared" si="1"/>
        <v>9.3401015228426365E-2</v>
      </c>
      <c r="K38" s="11">
        <v>8.0779944289693598E-3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4.1036587210951256E-2</v>
      </c>
      <c r="Q38" s="12">
        <v>0.43374575293288031</v>
      </c>
      <c r="R38" s="14">
        <v>27</v>
      </c>
    </row>
    <row r="39" spans="1:18" x14ac:dyDescent="0.5">
      <c r="B39" s="1" t="s">
        <v>643</v>
      </c>
      <c r="C39" t="s">
        <v>738</v>
      </c>
      <c r="D39" t="s">
        <v>538</v>
      </c>
      <c r="E39">
        <v>575.41</v>
      </c>
      <c r="F39" s="9" t="s">
        <v>71</v>
      </c>
      <c r="G39" s="7">
        <v>82122547200</v>
      </c>
      <c r="H39" s="6">
        <v>640.9</v>
      </c>
      <c r="I39" s="6">
        <v>426.24</v>
      </c>
      <c r="J39" s="12">
        <f t="shared" si="1"/>
        <v>0.34996715465465456</v>
      </c>
      <c r="K39" s="11">
        <v>1.5189169461775084E-2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5.9802960733934013E-2</v>
      </c>
      <c r="Q39" s="12">
        <v>0.18801280768461076</v>
      </c>
      <c r="R39" s="14">
        <v>27</v>
      </c>
    </row>
    <row r="40" spans="1:18" x14ac:dyDescent="0.5">
      <c r="B40" s="1" t="s">
        <v>594</v>
      </c>
      <c r="C40" t="s">
        <v>678</v>
      </c>
      <c r="D40" t="s">
        <v>450</v>
      </c>
      <c r="E40">
        <v>35.83</v>
      </c>
      <c r="F40" s="9" t="s">
        <v>71</v>
      </c>
      <c r="G40" s="7">
        <v>66720370688</v>
      </c>
      <c r="H40" s="6">
        <v>37.25</v>
      </c>
      <c r="I40" s="6">
        <v>26.22</v>
      </c>
      <c r="J40" s="12">
        <f t="shared" si="1"/>
        <v>0.36651411136537004</v>
      </c>
      <c r="K40" s="11">
        <v>1.4233882221602011E-2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6.3543649678347511E-2</v>
      </c>
      <c r="Q40" s="12">
        <v>0.17374616997258507</v>
      </c>
      <c r="R40" s="14">
        <v>28</v>
      </c>
    </row>
    <row r="41" spans="1:18" x14ac:dyDescent="0.5">
      <c r="B41" s="1" t="s">
        <v>403</v>
      </c>
      <c r="C41" t="s">
        <v>416</v>
      </c>
      <c r="D41" t="s">
        <v>145</v>
      </c>
      <c r="E41">
        <v>143.6</v>
      </c>
      <c r="F41" s="9" t="s">
        <v>71</v>
      </c>
      <c r="G41" s="7">
        <v>196350050304</v>
      </c>
      <c r="H41" s="6">
        <v>167.96</v>
      </c>
      <c r="I41" s="6">
        <v>127.6</v>
      </c>
      <c r="J41" s="12">
        <f t="shared" si="1"/>
        <v>0.12539184952978055</v>
      </c>
      <c r="K41" s="11">
        <v>3.8683844011142061E-2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5.5263677258405447E-2</v>
      </c>
      <c r="Q41" s="12">
        <v>0.20634513288530323</v>
      </c>
      <c r="R41" s="14">
        <v>28</v>
      </c>
    </row>
    <row r="42" spans="1:18" x14ac:dyDescent="0.5">
      <c r="B42" s="1" t="s">
        <v>613</v>
      </c>
      <c r="C42" t="s">
        <v>703</v>
      </c>
      <c r="D42" t="s">
        <v>367</v>
      </c>
      <c r="E42">
        <v>263.36</v>
      </c>
      <c r="F42" s="9" t="s">
        <v>71</v>
      </c>
      <c r="G42" s="7">
        <v>18597003264</v>
      </c>
      <c r="H42" s="6">
        <v>400.81</v>
      </c>
      <c r="I42" s="6">
        <v>252.84</v>
      </c>
      <c r="J42" s="12">
        <f t="shared" si="1"/>
        <v>4.1607340610662957E-2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7.0614834466859053E-2</v>
      </c>
      <c r="Q42" s="12">
        <v>0.15902940183418116</v>
      </c>
      <c r="R42" s="14">
        <v>31</v>
      </c>
    </row>
    <row r="43" spans="1:18" x14ac:dyDescent="0.5">
      <c r="B43" s="1" t="s">
        <v>634</v>
      </c>
      <c r="C43" t="s">
        <v>726</v>
      </c>
      <c r="D43" t="s">
        <v>182</v>
      </c>
      <c r="E43">
        <v>296.37</v>
      </c>
      <c r="F43" s="9" t="s">
        <v>71</v>
      </c>
      <c r="G43" s="7">
        <v>211490930688</v>
      </c>
      <c r="H43" s="6">
        <v>326.32</v>
      </c>
      <c r="I43" s="6">
        <v>276.52999999999997</v>
      </c>
      <c r="J43" s="12">
        <f t="shared" si="1"/>
        <v>7.1746284309116781E-2</v>
      </c>
      <c r="K43" s="11">
        <v>2.3551641529169619E-2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4.5171802720553107E-2</v>
      </c>
      <c r="Q43" s="12">
        <v>0.34223749566824535</v>
      </c>
      <c r="R43" s="14">
        <v>29</v>
      </c>
    </row>
    <row r="44" spans="1:18" x14ac:dyDescent="0.5">
      <c r="B44" s="1" t="s">
        <v>638</v>
      </c>
      <c r="C44" t="s">
        <v>732</v>
      </c>
      <c r="D44" t="s">
        <v>696</v>
      </c>
      <c r="E44">
        <v>177.13</v>
      </c>
      <c r="F44" s="9" t="s">
        <v>71</v>
      </c>
      <c r="G44" s="7">
        <v>86777708544</v>
      </c>
      <c r="H44" s="6">
        <v>248</v>
      </c>
      <c r="I44" s="6">
        <v>174.17670000000001</v>
      </c>
      <c r="J44" s="12">
        <f t="shared" si="1"/>
        <v>1.6955769629347639E-2</v>
      </c>
      <c r="K44" s="11">
        <v>1.936430869982499E-2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5.8169245249294475E-2</v>
      </c>
      <c r="Q44" s="12">
        <v>0.18564691039081979</v>
      </c>
      <c r="R44" s="14">
        <v>29</v>
      </c>
    </row>
    <row r="45" spans="1:18" x14ac:dyDescent="0.5">
      <c r="B45" s="1" t="s">
        <v>403</v>
      </c>
      <c r="C45" t="s">
        <v>416</v>
      </c>
      <c r="D45" t="s">
        <v>145</v>
      </c>
      <c r="E45">
        <v>143.6</v>
      </c>
      <c r="F45" s="9" t="s">
        <v>71</v>
      </c>
      <c r="G45" s="7">
        <v>196350050304</v>
      </c>
      <c r="H45" s="6">
        <v>167.96</v>
      </c>
      <c r="I45" s="6">
        <v>127.6</v>
      </c>
      <c r="J45" s="12">
        <f t="shared" si="1"/>
        <v>0.12539184952978055</v>
      </c>
      <c r="K45" s="11">
        <v>3.8683844011142061E-2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5.5263677258405447E-2</v>
      </c>
      <c r="Q45" s="12">
        <v>0.20634513288530323</v>
      </c>
      <c r="R45" s="14">
        <v>28</v>
      </c>
    </row>
    <row r="46" spans="1:18" x14ac:dyDescent="0.5">
      <c r="B46" s="1" t="s">
        <v>401</v>
      </c>
      <c r="C46" t="s">
        <v>414</v>
      </c>
      <c r="D46" t="s">
        <v>85</v>
      </c>
      <c r="E46">
        <v>46.43</v>
      </c>
      <c r="F46" s="9" t="s">
        <v>71</v>
      </c>
      <c r="G46" s="7">
        <v>24766523392</v>
      </c>
      <c r="H46" s="6">
        <v>68.739999999999995</v>
      </c>
      <c r="I46" s="6">
        <v>45.94</v>
      </c>
      <c r="J46" s="12">
        <f t="shared" si="1"/>
        <v>1.0666086199390579E-2</v>
      </c>
      <c r="K46" s="11">
        <v>5.1906095197070866E-2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8.5235709601083162E-2</v>
      </c>
      <c r="Q46" s="12">
        <v>0.14053609549045179</v>
      </c>
      <c r="R46" s="14">
        <v>31</v>
      </c>
    </row>
    <row r="47" spans="1:18" x14ac:dyDescent="0.5">
      <c r="B47" s="1" t="s">
        <v>636</v>
      </c>
      <c r="C47" t="s">
        <v>729</v>
      </c>
      <c r="D47" t="s">
        <v>730</v>
      </c>
      <c r="E47">
        <v>56.65</v>
      </c>
      <c r="F47" s="9" t="s">
        <v>71</v>
      </c>
      <c r="G47" s="7">
        <v>73098813440</v>
      </c>
      <c r="H47" s="6">
        <v>71.150000000000006</v>
      </c>
      <c r="I47" s="6">
        <v>53.95</v>
      </c>
      <c r="J47" s="12">
        <f t="shared" si="1"/>
        <v>5.0046339202965529E-2</v>
      </c>
      <c r="K47" s="11">
        <v>3.3715798764342456E-2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7.5111118649914502E-2</v>
      </c>
      <c r="Q47" s="12">
        <v>0.15149616167946106</v>
      </c>
      <c r="R47" s="14">
        <v>32</v>
      </c>
    </row>
    <row r="48" spans="1:18" x14ac:dyDescent="0.5">
      <c r="B48" s="1" t="s">
        <v>649</v>
      </c>
      <c r="C48" t="s">
        <v>747</v>
      </c>
      <c r="D48" t="s">
        <v>405</v>
      </c>
      <c r="E48">
        <v>115.11</v>
      </c>
      <c r="F48" s="9" t="s">
        <v>71</v>
      </c>
      <c r="G48" s="7">
        <v>41427415040</v>
      </c>
      <c r="H48" s="6">
        <v>161.24</v>
      </c>
      <c r="I48" s="6">
        <v>113.47</v>
      </c>
      <c r="J48" s="12">
        <f t="shared" si="1"/>
        <v>1.4453159425398709E-2</v>
      </c>
      <c r="K48" s="11">
        <v>3.5791851272695685E-2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5.0897885917476272E-2</v>
      </c>
      <c r="Q48" s="12">
        <v>0.25083564234507633</v>
      </c>
      <c r="R48" s="14">
        <v>30</v>
      </c>
    </row>
    <row r="49" spans="2:18" x14ac:dyDescent="0.5">
      <c r="B49" s="1" t="s">
        <v>208</v>
      </c>
      <c r="C49" t="s">
        <v>237</v>
      </c>
      <c r="D49" t="s">
        <v>238</v>
      </c>
      <c r="E49">
        <v>43.22</v>
      </c>
      <c r="F49" s="9" t="s">
        <v>71</v>
      </c>
      <c r="G49" s="7">
        <v>8550880256</v>
      </c>
      <c r="H49" s="6">
        <v>64.66</v>
      </c>
      <c r="I49" s="6">
        <v>42.94</v>
      </c>
      <c r="J49" s="12">
        <f t="shared" si="1"/>
        <v>6.52072659524916E-3</v>
      </c>
      <c r="K49" s="11">
        <v>4.2110134197130958E-2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0.12963922636172068</v>
      </c>
      <c r="Q49" s="12">
        <v>9.2819086727135694E-2</v>
      </c>
      <c r="R49" s="14">
        <v>33</v>
      </c>
    </row>
    <row r="50" spans="2:18" x14ac:dyDescent="0.5">
      <c r="B50" s="1" t="s">
        <v>579</v>
      </c>
      <c r="C50" t="s">
        <v>658</v>
      </c>
      <c r="D50" t="s">
        <v>240</v>
      </c>
      <c r="E50">
        <v>544.07000000000005</v>
      </c>
      <c r="F50" s="9" t="s">
        <v>71</v>
      </c>
      <c r="G50" s="7">
        <v>488572616704</v>
      </c>
      <c r="H50" s="6">
        <v>601.77</v>
      </c>
      <c r="I50" s="6">
        <v>465.59</v>
      </c>
      <c r="J50" s="12">
        <f t="shared" si="1"/>
        <v>0.16856032131274312</v>
      </c>
      <c r="K50" s="11">
        <v>5.5875163122392334E-3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3.1904863840593572E-2</v>
      </c>
      <c r="Q50" s="12">
        <v>0.64343814495568774</v>
      </c>
      <c r="R50" s="14">
        <v>33</v>
      </c>
    </row>
    <row r="51" spans="2:18" x14ac:dyDescent="0.5">
      <c r="B51" s="1" t="s">
        <v>623</v>
      </c>
      <c r="C51" t="s">
        <v>714</v>
      </c>
      <c r="D51" t="s">
        <v>168</v>
      </c>
      <c r="E51">
        <v>197.77</v>
      </c>
      <c r="F51" s="9" t="s">
        <v>71</v>
      </c>
      <c r="G51" s="7">
        <v>125561651200</v>
      </c>
      <c r="H51" s="6">
        <v>228.81244000000001</v>
      </c>
      <c r="I51" s="6">
        <v>169.04807</v>
      </c>
      <c r="J51" s="12">
        <f t="shared" si="1"/>
        <v>0.16990392141122945</v>
      </c>
      <c r="K51" s="11">
        <v>2.2854831369772965E-2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5.6181358484294522E-2</v>
      </c>
      <c r="Q51" s="12">
        <v>0.16635826058972605</v>
      </c>
      <c r="R51" s="14">
        <v>34</v>
      </c>
    </row>
    <row r="52" spans="2:18" x14ac:dyDescent="0.5">
      <c r="B52" s="1" t="s">
        <v>212</v>
      </c>
      <c r="C52" t="s">
        <v>243</v>
      </c>
      <c r="D52" t="s">
        <v>85</v>
      </c>
      <c r="E52">
        <v>11.2</v>
      </c>
      <c r="F52" s="9" t="s">
        <v>71</v>
      </c>
      <c r="G52" s="7">
        <v>1682637568</v>
      </c>
      <c r="H52" s="6">
        <v>20.81</v>
      </c>
      <c r="I52" s="6">
        <v>11.074999999999999</v>
      </c>
      <c r="J52" s="12">
        <f t="shared" si="1"/>
        <v>1.1286681715575675E-2</v>
      </c>
      <c r="K52" s="11">
        <v>5.4285714285714284E-2</v>
      </c>
      <c r="L52" s="13">
        <v>408200000</v>
      </c>
      <c r="M52" s="13">
        <v>4745800000</v>
      </c>
      <c r="N52" s="9" t="s">
        <v>188</v>
      </c>
      <c r="O52" s="6">
        <v>1.1380999999999999</v>
      </c>
      <c r="P52" s="12">
        <v>0.12548949318199473</v>
      </c>
      <c r="Q52" s="12">
        <v>8.6012895612963047E-2</v>
      </c>
      <c r="R52" s="14">
        <v>35</v>
      </c>
    </row>
    <row r="53" spans="2:18" x14ac:dyDescent="0.5">
      <c r="B53" s="1" t="s">
        <v>609</v>
      </c>
      <c r="C53" t="s">
        <v>699</v>
      </c>
      <c r="D53" t="s">
        <v>81</v>
      </c>
      <c r="E53">
        <v>570.59</v>
      </c>
      <c r="F53" s="9" t="s">
        <v>71</v>
      </c>
      <c r="G53" s="7">
        <v>267309400064</v>
      </c>
      <c r="H53" s="6">
        <v>596.21</v>
      </c>
      <c r="I53" s="6">
        <v>267.3</v>
      </c>
      <c r="J53" s="12">
        <f t="shared" si="1"/>
        <v>1.1346427235316123</v>
      </c>
      <c r="K53" s="11">
        <v>1.0235019891691056E-2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4.6464638342232266E-2</v>
      </c>
      <c r="Q53" s="12">
        <v>0.2393841697843215</v>
      </c>
      <c r="R53" s="14">
        <v>36</v>
      </c>
    </row>
    <row r="54" spans="2:18" x14ac:dyDescent="0.5">
      <c r="B54" s="1" t="s">
        <v>578</v>
      </c>
      <c r="C54" t="s">
        <v>656</v>
      </c>
      <c r="D54" t="s">
        <v>657</v>
      </c>
      <c r="E54">
        <v>333.79</v>
      </c>
      <c r="F54" s="9" t="s">
        <v>71</v>
      </c>
      <c r="G54" s="7">
        <v>302359871488</v>
      </c>
      <c r="H54" s="6">
        <v>630.73</v>
      </c>
      <c r="I54" s="6">
        <v>234.6</v>
      </c>
      <c r="J54" s="12">
        <f t="shared" si="1"/>
        <v>0.42280477408354655</v>
      </c>
      <c r="K54" s="11">
        <v>2.5824620270229783E-2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6.7740848209677823E-2</v>
      </c>
      <c r="Q54" s="12">
        <v>0.14140550359160661</v>
      </c>
      <c r="R54" s="14">
        <v>35</v>
      </c>
    </row>
    <row r="55" spans="2:18" x14ac:dyDescent="0.5">
      <c r="B55" s="1" t="s">
        <v>418</v>
      </c>
      <c r="C55" t="s">
        <v>425</v>
      </c>
      <c r="D55" t="s">
        <v>85</v>
      </c>
      <c r="E55">
        <v>21.48</v>
      </c>
      <c r="F55" s="9" t="s">
        <v>71</v>
      </c>
      <c r="G55" s="7">
        <v>11813966848</v>
      </c>
      <c r="H55" s="6">
        <v>33.799999999999997</v>
      </c>
      <c r="I55" s="6">
        <v>21.03</v>
      </c>
      <c r="J55" s="12">
        <f t="shared" si="1"/>
        <v>2.1398002853066922E-2</v>
      </c>
      <c r="K55" s="11">
        <v>5.3677839851024207E-2</v>
      </c>
      <c r="L55" s="13">
        <v>1116328000</v>
      </c>
      <c r="M55" s="13">
        <v>10852177000</v>
      </c>
      <c r="N55" s="9" t="s">
        <v>71</v>
      </c>
      <c r="O55" s="6">
        <v>1</v>
      </c>
      <c r="P55" s="12">
        <v>8.0133557759591495E-2</v>
      </c>
      <c r="Q55" s="12">
        <v>0.10286673355954294</v>
      </c>
      <c r="R55" s="14">
        <v>38</v>
      </c>
    </row>
    <row r="56" spans="2:18" x14ac:dyDescent="0.5">
      <c r="B56" s="1" t="s">
        <v>620</v>
      </c>
      <c r="C56" t="s">
        <v>710</v>
      </c>
      <c r="D56" t="s">
        <v>171</v>
      </c>
      <c r="E56">
        <v>283.72000000000003</v>
      </c>
      <c r="F56" s="9" t="s">
        <v>71</v>
      </c>
      <c r="G56" s="7">
        <v>3427086368768</v>
      </c>
      <c r="H56" s="6">
        <v>291.58999999999997</v>
      </c>
      <c r="I56" s="6">
        <v>140.53</v>
      </c>
      <c r="J56" s="12">
        <f t="shared" si="1"/>
        <v>1.0189283427026261</v>
      </c>
      <c r="K56" s="11">
        <v>3.595093754405752E-3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3.5018999867927718E-2</v>
      </c>
      <c r="Q56" s="12">
        <v>0.357424985191998</v>
      </c>
      <c r="R56" s="14">
        <v>39</v>
      </c>
    </row>
    <row r="57" spans="2:18" x14ac:dyDescent="0.5">
      <c r="B57" s="1" t="s">
        <v>630</v>
      </c>
      <c r="C57" t="s">
        <v>722</v>
      </c>
      <c r="D57" t="s">
        <v>145</v>
      </c>
      <c r="E57">
        <v>67.97</v>
      </c>
      <c r="F57" s="9" t="s">
        <v>71</v>
      </c>
      <c r="G57" s="7">
        <v>292380377088</v>
      </c>
      <c r="H57" s="6">
        <v>74.38</v>
      </c>
      <c r="I57" s="6">
        <v>60.62</v>
      </c>
      <c r="J57" s="12">
        <f t="shared" si="1"/>
        <v>0.1212471131639723</v>
      </c>
      <c r="K57" s="11">
        <v>2.9645431808150657E-2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4.5210544084000416E-2</v>
      </c>
      <c r="Q57" s="12">
        <v>0.21248810862232984</v>
      </c>
      <c r="R57" s="14">
        <v>37</v>
      </c>
    </row>
    <row r="58" spans="2:18" x14ac:dyDescent="0.5">
      <c r="B58" s="1" t="s">
        <v>392</v>
      </c>
      <c r="C58" t="s">
        <v>404</v>
      </c>
      <c r="D58" t="s">
        <v>405</v>
      </c>
      <c r="E58">
        <v>1650.51</v>
      </c>
      <c r="F58" s="9" t="s">
        <v>71</v>
      </c>
      <c r="G58" s="7">
        <v>39618273280</v>
      </c>
      <c r="H58" s="6">
        <v>2402.52</v>
      </c>
      <c r="I58" s="6">
        <v>1300</v>
      </c>
      <c r="J58" s="12">
        <f t="shared" si="1"/>
        <v>0.26962307692307697</v>
      </c>
      <c r="K58" s="11">
        <v>0</v>
      </c>
      <c r="L58" s="13">
        <v>747663000</v>
      </c>
      <c r="M58" s="13">
        <v>1246342000</v>
      </c>
      <c r="N58" s="9" t="s">
        <v>71</v>
      </c>
      <c r="O58" s="6">
        <v>1</v>
      </c>
      <c r="P58" s="12">
        <v>1.7925207284245643E-2</v>
      </c>
      <c r="Q58" s="12">
        <v>0.59988590611565684</v>
      </c>
      <c r="R58" s="14">
        <v>42</v>
      </c>
    </row>
    <row r="59" spans="2:18" x14ac:dyDescent="0.5">
      <c r="B59" s="1" t="s">
        <v>419</v>
      </c>
      <c r="C59" t="s">
        <v>426</v>
      </c>
      <c r="D59" t="s">
        <v>427</v>
      </c>
      <c r="E59">
        <v>7.15</v>
      </c>
      <c r="F59" s="9" t="s">
        <v>71</v>
      </c>
      <c r="G59" s="7">
        <v>38460530688</v>
      </c>
      <c r="H59" s="6">
        <v>8.19</v>
      </c>
      <c r="I59" s="6">
        <v>3.91</v>
      </c>
      <c r="J59" s="12">
        <f t="shared" si="1"/>
        <v>0.82864450127877243</v>
      </c>
      <c r="K59" s="11">
        <v>1.9580419580419582E-2</v>
      </c>
      <c r="L59" s="13">
        <v>2418000000</v>
      </c>
      <c r="M59" s="13">
        <v>24544000000</v>
      </c>
      <c r="N59" s="9" t="s">
        <v>188</v>
      </c>
      <c r="O59" s="6">
        <v>1.1380999999999999</v>
      </c>
      <c r="P59" s="12">
        <v>7.5750383823092612E-2</v>
      </c>
      <c r="Q59" s="12">
        <v>9.8516949152542374E-2</v>
      </c>
      <c r="R59" s="14">
        <v>43</v>
      </c>
    </row>
    <row r="60" spans="2:18" x14ac:dyDescent="0.5">
      <c r="B60" s="1" t="s">
        <v>399</v>
      </c>
      <c r="C60" t="s">
        <v>412</v>
      </c>
      <c r="D60" t="s">
        <v>58</v>
      </c>
      <c r="E60">
        <v>93.46</v>
      </c>
      <c r="F60" s="9" t="s">
        <v>71</v>
      </c>
      <c r="G60" s="7">
        <v>51959427072</v>
      </c>
      <c r="H60" s="6">
        <v>132.34</v>
      </c>
      <c r="I60" s="6">
        <v>90.5</v>
      </c>
      <c r="J60" s="12">
        <f t="shared" si="1"/>
        <v>3.2707182320441897E-2</v>
      </c>
      <c r="K60" s="11">
        <v>1.107425636635994E-2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6.2580545760533457E-2</v>
      </c>
      <c r="Q60" s="12">
        <v>0.13321660256042253</v>
      </c>
      <c r="R60" s="14">
        <v>41</v>
      </c>
    </row>
    <row r="61" spans="2:18" x14ac:dyDescent="0.5">
      <c r="B61" s="1" t="s">
        <v>599</v>
      </c>
      <c r="C61" t="s">
        <v>685</v>
      </c>
      <c r="D61" t="s">
        <v>682</v>
      </c>
      <c r="E61">
        <v>41.04</v>
      </c>
      <c r="F61" s="9" t="s">
        <v>71</v>
      </c>
      <c r="G61" s="7">
        <v>47115386880</v>
      </c>
      <c r="H61" s="6">
        <v>50.63</v>
      </c>
      <c r="I61" s="6">
        <v>35.305</v>
      </c>
      <c r="J61" s="12">
        <f t="shared" si="1"/>
        <v>0.16244158051267532</v>
      </c>
      <c r="K61" s="11">
        <v>2.0711500974658868E-2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3.2007612629419743E-2</v>
      </c>
      <c r="Q61" s="12">
        <v>0.39708618295207398</v>
      </c>
      <c r="R61" s="14">
        <v>40</v>
      </c>
    </row>
    <row r="62" spans="2:18" x14ac:dyDescent="0.5">
      <c r="B62" s="1" t="s">
        <v>213</v>
      </c>
      <c r="C62" t="s">
        <v>244</v>
      </c>
      <c r="D62" t="s">
        <v>106</v>
      </c>
      <c r="E62">
        <v>18.14</v>
      </c>
      <c r="F62" s="9" t="s">
        <v>71</v>
      </c>
      <c r="G62" s="7">
        <v>401577824</v>
      </c>
      <c r="H62" s="6">
        <v>22.2</v>
      </c>
      <c r="I62" s="6">
        <v>12.85</v>
      </c>
      <c r="J62" s="12">
        <f t="shared" si="1"/>
        <v>0.41167315175097285</v>
      </c>
      <c r="K62" s="11">
        <v>7.717750826901873E-2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9.4285930749297586E-2</v>
      </c>
      <c r="Q62" s="12">
        <v>5.638554917738179E-2</v>
      </c>
      <c r="R62" s="14">
        <v>44</v>
      </c>
    </row>
    <row r="63" spans="2:18" x14ac:dyDescent="0.5">
      <c r="B63" s="1" t="s">
        <v>422</v>
      </c>
      <c r="C63" t="s">
        <v>432</v>
      </c>
      <c r="D63" t="s">
        <v>433</v>
      </c>
      <c r="E63">
        <v>24.39</v>
      </c>
      <c r="F63" s="9" t="s">
        <v>71</v>
      </c>
      <c r="G63" s="7">
        <v>18612983808</v>
      </c>
      <c r="H63" s="6">
        <v>29.95</v>
      </c>
      <c r="I63" s="6">
        <v>22.33</v>
      </c>
      <c r="J63" s="12">
        <f t="shared" si="1"/>
        <v>9.225257501119577E-2</v>
      </c>
      <c r="K63" s="11">
        <v>3.5260352603526036E-2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7.1796690510478128E-2</v>
      </c>
      <c r="Q63" s="12">
        <v>8.7830941946328872E-2</v>
      </c>
      <c r="R63" s="14">
        <v>45</v>
      </c>
    </row>
    <row r="64" spans="2:18" x14ac:dyDescent="0.5">
      <c r="B64" s="1" t="s">
        <v>577</v>
      </c>
      <c r="C64" t="s">
        <v>655</v>
      </c>
      <c r="D64" t="s">
        <v>367</v>
      </c>
      <c r="E64">
        <v>517.03</v>
      </c>
      <c r="F64" s="9" t="s">
        <v>71</v>
      </c>
      <c r="G64" s="7">
        <v>3842762604544</v>
      </c>
      <c r="H64" s="6">
        <v>555.45000000000005</v>
      </c>
      <c r="I64" s="6">
        <v>344.79</v>
      </c>
      <c r="J64" s="12">
        <f t="shared" si="1"/>
        <v>0.49955045099915885</v>
      </c>
      <c r="K64" s="11">
        <v>6.5760207338065495E-3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3.2535106258616261E-2</v>
      </c>
      <c r="Q64" s="12">
        <v>0.32592401003543442</v>
      </c>
      <c r="R64" s="14">
        <v>46</v>
      </c>
    </row>
    <row r="65" spans="2:18" x14ac:dyDescent="0.5">
      <c r="B65" s="1" t="s">
        <v>597</v>
      </c>
      <c r="C65" t="s">
        <v>683</v>
      </c>
      <c r="D65" t="s">
        <v>670</v>
      </c>
      <c r="E65">
        <v>43</v>
      </c>
      <c r="F65" s="9" t="s">
        <v>71</v>
      </c>
      <c r="G65" s="7">
        <v>41616879616</v>
      </c>
      <c r="H65" s="6">
        <v>64.38</v>
      </c>
      <c r="I65" s="6">
        <v>41.96</v>
      </c>
      <c r="J65" s="12">
        <f t="shared" si="1"/>
        <v>2.4785510009532885E-2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4.3572423789381545E-2</v>
      </c>
      <c r="Q65" s="12">
        <v>0.18468574130516349</v>
      </c>
      <c r="R65" s="14">
        <v>46</v>
      </c>
    </row>
    <row r="66" spans="2:18" x14ac:dyDescent="0.5">
      <c r="B66" s="1" t="s">
        <v>598</v>
      </c>
      <c r="C66" t="s">
        <v>684</v>
      </c>
      <c r="D66" t="s">
        <v>538</v>
      </c>
      <c r="E66">
        <v>341.87</v>
      </c>
      <c r="F66" s="9" t="s">
        <v>71</v>
      </c>
      <c r="G66" s="7">
        <v>92346073088</v>
      </c>
      <c r="H66" s="6">
        <v>360.5</v>
      </c>
      <c r="I66" s="6">
        <v>239.2</v>
      </c>
      <c r="J66" s="12">
        <f t="shared" ref="J66:J97" si="2">E66/I66-1</f>
        <v>0.42922240802675593</v>
      </c>
      <c r="K66" s="11">
        <v>1.7316523824845702E-2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4.8684889629595725E-2</v>
      </c>
      <c r="Q66" s="12">
        <v>0.16003244120032442</v>
      </c>
      <c r="R66" s="14">
        <v>47</v>
      </c>
    </row>
    <row r="67" spans="2:18" x14ac:dyDescent="0.5">
      <c r="B67" s="1" t="s">
        <v>586</v>
      </c>
      <c r="C67" t="s">
        <v>669</v>
      </c>
      <c r="D67" t="s">
        <v>670</v>
      </c>
      <c r="E67">
        <v>182.04</v>
      </c>
      <c r="F67" s="9" t="s">
        <v>71</v>
      </c>
      <c r="G67" s="7">
        <v>73155805184</v>
      </c>
      <c r="H67" s="6">
        <v>229.24</v>
      </c>
      <c r="I67" s="6">
        <v>180.39</v>
      </c>
      <c r="J67" s="12">
        <f t="shared" si="2"/>
        <v>9.1468484949277507E-3</v>
      </c>
      <c r="K67" s="11">
        <v>8.8991430454845102E-3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3.1309403468029864E-2</v>
      </c>
      <c r="Q67" s="12">
        <v>0.33269803136094339</v>
      </c>
      <c r="R67" s="14">
        <v>48</v>
      </c>
    </row>
    <row r="68" spans="2:18" x14ac:dyDescent="0.5">
      <c r="B68" s="1" t="s">
        <v>423</v>
      </c>
      <c r="C68" t="s">
        <v>434</v>
      </c>
      <c r="D68" t="s">
        <v>238</v>
      </c>
      <c r="E68">
        <v>14.12</v>
      </c>
      <c r="F68" s="9" t="s">
        <v>71</v>
      </c>
      <c r="G68" s="7">
        <v>11439351808</v>
      </c>
      <c r="H68" s="6">
        <v>15.7</v>
      </c>
      <c r="I68" s="6">
        <v>12.25</v>
      </c>
      <c r="J68" s="12">
        <f t="shared" si="2"/>
        <v>0.15265306122448963</v>
      </c>
      <c r="K68" s="11">
        <v>5.1345609065155813</v>
      </c>
      <c r="L68" s="13">
        <v>157715000000</v>
      </c>
      <c r="M68" s="13">
        <v>2039094000000</v>
      </c>
      <c r="N68" s="9" t="s">
        <v>435</v>
      </c>
      <c r="O68" s="6">
        <v>7.0111477248825634E-3</v>
      </c>
      <c r="P68" s="12">
        <v>6.653106508366069E-2</v>
      </c>
      <c r="Q68" s="12">
        <v>7.7345625066818885E-2</v>
      </c>
      <c r="R68" s="14">
        <v>49</v>
      </c>
    </row>
    <row r="69" spans="2:18" x14ac:dyDescent="0.5">
      <c r="B69" s="1" t="s">
        <v>580</v>
      </c>
      <c r="C69" t="s">
        <v>659</v>
      </c>
      <c r="D69" t="s">
        <v>660</v>
      </c>
      <c r="E69">
        <v>928.04</v>
      </c>
      <c r="F69" s="9" t="s">
        <v>71</v>
      </c>
      <c r="G69" s="7">
        <v>411287977984</v>
      </c>
      <c r="H69" s="6">
        <v>1078.23</v>
      </c>
      <c r="I69" s="6">
        <v>871.71</v>
      </c>
      <c r="J69" s="12">
        <f t="shared" si="2"/>
        <v>6.4620114487616176E-2</v>
      </c>
      <c r="K69" s="11">
        <v>5.30149562518857E-3</v>
      </c>
      <c r="L69" s="13">
        <v>9909000000</v>
      </c>
      <c r="M69" s="13">
        <v>29519000000</v>
      </c>
      <c r="N69" s="9" t="s">
        <v>71</v>
      </c>
      <c r="O69" s="6">
        <v>1</v>
      </c>
      <c r="P69" s="12">
        <v>2.4188706890543168E-2</v>
      </c>
      <c r="Q69" s="12">
        <v>0.33568210305227142</v>
      </c>
      <c r="R69" s="14">
        <v>51</v>
      </c>
    </row>
    <row r="70" spans="2:18" x14ac:dyDescent="0.5">
      <c r="B70" s="1" t="s">
        <v>641</v>
      </c>
      <c r="C70" t="s">
        <v>736</v>
      </c>
      <c r="D70" t="s">
        <v>174</v>
      </c>
      <c r="E70">
        <v>81.62</v>
      </c>
      <c r="F70" s="9" t="s">
        <v>71</v>
      </c>
      <c r="G70" s="7">
        <v>89068888064</v>
      </c>
      <c r="H70" s="6">
        <v>98.58</v>
      </c>
      <c r="I70" s="6">
        <v>36.86</v>
      </c>
      <c r="J70" s="12">
        <f t="shared" si="2"/>
        <v>1.2143244709712429</v>
      </c>
      <c r="K70" s="11">
        <v>1.2251899044351873E-2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5.2445466846029284E-2</v>
      </c>
      <c r="Q70" s="12">
        <v>0.12894490157275285</v>
      </c>
      <c r="R70" s="14">
        <v>51</v>
      </c>
    </row>
    <row r="71" spans="2:18" x14ac:dyDescent="0.5">
      <c r="B71" s="1" t="s">
        <v>607</v>
      </c>
      <c r="C71" t="s">
        <v>695</v>
      </c>
      <c r="D71" t="s">
        <v>696</v>
      </c>
      <c r="E71">
        <v>77.819999999999993</v>
      </c>
      <c r="F71" s="9" t="s">
        <v>71</v>
      </c>
      <c r="G71" s="7">
        <v>26569367552</v>
      </c>
      <c r="H71" s="6">
        <v>125.68</v>
      </c>
      <c r="I71" s="6">
        <v>76.959999999999994</v>
      </c>
      <c r="J71" s="12">
        <f t="shared" si="2"/>
        <v>1.1174636174636099E-2</v>
      </c>
      <c r="K71" s="11">
        <v>7.7101002313030072E-3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5.020970639387045E-2</v>
      </c>
      <c r="Q71" s="12">
        <v>0.14681764935572042</v>
      </c>
      <c r="R71" s="14">
        <v>50</v>
      </c>
    </row>
    <row r="72" spans="2:18" x14ac:dyDescent="0.5">
      <c r="B72" s="1" t="s">
        <v>642</v>
      </c>
      <c r="C72" t="s">
        <v>737</v>
      </c>
      <c r="D72" t="s">
        <v>94</v>
      </c>
      <c r="E72">
        <v>62.65</v>
      </c>
      <c r="F72" s="9" t="s">
        <v>71</v>
      </c>
      <c r="G72" s="7">
        <v>92609314816</v>
      </c>
      <c r="H72" s="6">
        <v>82.44</v>
      </c>
      <c r="I72" s="6">
        <v>52.28</v>
      </c>
      <c r="J72" s="12">
        <f t="shared" si="2"/>
        <v>0.19835501147666412</v>
      </c>
      <c r="K72" s="11">
        <v>2.5538707102952914E-2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3.8497009042205439E-2</v>
      </c>
      <c r="Q72" s="12">
        <v>0.17479578828084424</v>
      </c>
      <c r="R72" s="14">
        <v>52</v>
      </c>
    </row>
    <row r="73" spans="2:18" x14ac:dyDescent="0.5">
      <c r="B73" s="1" t="s">
        <v>397</v>
      </c>
      <c r="C73" t="s">
        <v>410</v>
      </c>
      <c r="D73" t="s">
        <v>405</v>
      </c>
      <c r="E73">
        <v>303.64</v>
      </c>
      <c r="F73" s="9" t="s">
        <v>71</v>
      </c>
      <c r="G73" s="7">
        <v>64675323904</v>
      </c>
      <c r="H73" s="6">
        <v>329.09</v>
      </c>
      <c r="I73" s="6">
        <v>232.67</v>
      </c>
      <c r="J73" s="12">
        <f t="shared" si="2"/>
        <v>0.3050242833197232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2.08576711223721E-2</v>
      </c>
      <c r="Q73" s="12">
        <v>0.2789323553382233</v>
      </c>
      <c r="R73" s="14">
        <v>54</v>
      </c>
    </row>
    <row r="74" spans="2:18" x14ac:dyDescent="0.5">
      <c r="B74" s="1" t="s">
        <v>600</v>
      </c>
      <c r="C74" t="s">
        <v>686</v>
      </c>
      <c r="D74" t="s">
        <v>687</v>
      </c>
      <c r="E74">
        <v>144.69</v>
      </c>
      <c r="F74" s="9" t="s">
        <v>71</v>
      </c>
      <c r="G74" s="7">
        <v>41019674624</v>
      </c>
      <c r="H74" s="6">
        <v>153.84</v>
      </c>
      <c r="I74" s="6">
        <v>96.43</v>
      </c>
      <c r="J74" s="12">
        <f t="shared" si="2"/>
        <v>0.5004666597531886</v>
      </c>
      <c r="K74" s="11">
        <v>6.7731011127237541E-3</v>
      </c>
      <c r="L74" s="13">
        <v>1617000000</v>
      </c>
      <c r="M74" s="13">
        <v>9288000000</v>
      </c>
      <c r="N74" s="9" t="s">
        <v>71</v>
      </c>
      <c r="O74" s="6">
        <v>1</v>
      </c>
      <c r="P74" s="12">
        <v>3.7534231163111324E-2</v>
      </c>
      <c r="Q74" s="12">
        <v>0.17409560723514211</v>
      </c>
      <c r="R74" s="14">
        <v>53</v>
      </c>
    </row>
    <row r="75" spans="2:18" x14ac:dyDescent="0.5">
      <c r="B75" s="1" t="s">
        <v>626</v>
      </c>
      <c r="C75" t="s">
        <v>717</v>
      </c>
      <c r="D75" t="s">
        <v>302</v>
      </c>
      <c r="E75">
        <v>154.25</v>
      </c>
      <c r="F75" s="9" t="s">
        <v>71</v>
      </c>
      <c r="G75" s="7">
        <v>18438500352</v>
      </c>
      <c r="H75" s="6">
        <v>168.44</v>
      </c>
      <c r="I75" s="6">
        <v>105.17821499999999</v>
      </c>
      <c r="J75" s="12">
        <f t="shared" si="2"/>
        <v>0.46655845034069077</v>
      </c>
      <c r="K75" s="11">
        <v>7.9092382495948143E-3</v>
      </c>
      <c r="L75" s="13">
        <v>946344000</v>
      </c>
      <c r="M75" s="13">
        <v>6773821000</v>
      </c>
      <c r="N75" s="9" t="s">
        <v>71</v>
      </c>
      <c r="O75" s="6">
        <v>1</v>
      </c>
      <c r="P75" s="12">
        <v>4.7208918433358366E-2</v>
      </c>
      <c r="Q75" s="12">
        <v>0.13970608316930724</v>
      </c>
      <c r="R75" s="14">
        <v>53</v>
      </c>
    </row>
    <row r="76" spans="2:18" x14ac:dyDescent="0.5">
      <c r="B76" s="1" t="s">
        <v>637</v>
      </c>
      <c r="C76" t="s">
        <v>731</v>
      </c>
      <c r="D76" t="s">
        <v>85</v>
      </c>
      <c r="E76">
        <v>63.84</v>
      </c>
      <c r="F76" s="9" t="s">
        <v>71</v>
      </c>
      <c r="G76" s="7">
        <v>17130166272</v>
      </c>
      <c r="H76" s="6">
        <v>86.24</v>
      </c>
      <c r="I76" s="6">
        <v>63.15</v>
      </c>
      <c r="J76" s="12">
        <f t="shared" si="2"/>
        <v>1.0926365795724591E-2</v>
      </c>
      <c r="K76" s="11">
        <v>2.7725563909774435E-2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5.1634848062246788E-2</v>
      </c>
      <c r="Q76" s="12">
        <v>0.11499133179001131</v>
      </c>
      <c r="R76" s="14">
        <v>53</v>
      </c>
    </row>
    <row r="77" spans="2:18" x14ac:dyDescent="0.5">
      <c r="B77" s="1" t="s">
        <v>631</v>
      </c>
      <c r="C77" t="s">
        <v>723</v>
      </c>
      <c r="D77" t="s">
        <v>720</v>
      </c>
      <c r="E77">
        <v>896.53</v>
      </c>
      <c r="F77" s="9" t="s">
        <v>71</v>
      </c>
      <c r="G77" s="7">
        <v>802411184128</v>
      </c>
      <c r="H77" s="6">
        <v>935.63</v>
      </c>
      <c r="I77" s="6">
        <v>623.78</v>
      </c>
      <c r="J77" s="12">
        <f t="shared" si="2"/>
        <v>0.43725351886883201</v>
      </c>
      <c r="K77" s="11">
        <v>6.469387527467012E-3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1.6163797293367681E-2</v>
      </c>
      <c r="Q77" s="12">
        <v>0.28139718163821198</v>
      </c>
      <c r="R77" s="14">
        <v>55</v>
      </c>
    </row>
    <row r="78" spans="2:18" x14ac:dyDescent="0.5">
      <c r="B78" s="1" t="s">
        <v>589</v>
      </c>
      <c r="C78" t="s">
        <v>673</v>
      </c>
      <c r="D78" t="s">
        <v>316</v>
      </c>
      <c r="E78">
        <v>412.18</v>
      </c>
      <c r="F78" s="9" t="s">
        <v>71</v>
      </c>
      <c r="G78" s="7">
        <v>193275133952</v>
      </c>
      <c r="H78" s="6">
        <v>486.38</v>
      </c>
      <c r="I78" s="6">
        <v>408.65</v>
      </c>
      <c r="J78" s="12">
        <f t="shared" si="2"/>
        <v>8.6381989477548604E-3</v>
      </c>
      <c r="K78" s="11">
        <v>1.4289873356300645E-2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4.2912489228210823E-2</v>
      </c>
      <c r="Q78" s="12">
        <v>0.15165368835301013</v>
      </c>
      <c r="R78" s="14">
        <v>54</v>
      </c>
    </row>
    <row r="79" spans="2:18" x14ac:dyDescent="0.5">
      <c r="B79" s="1" t="s">
        <v>628</v>
      </c>
      <c r="C79" t="s">
        <v>719</v>
      </c>
      <c r="D79" t="s">
        <v>720</v>
      </c>
      <c r="E79">
        <v>186.26</v>
      </c>
      <c r="F79" s="9" t="s">
        <v>71</v>
      </c>
      <c r="G79" s="7">
        <v>448755302400</v>
      </c>
      <c r="H79" s="6">
        <v>194.48</v>
      </c>
      <c r="I79" s="6">
        <v>140.68</v>
      </c>
      <c r="J79" s="12">
        <f t="shared" si="2"/>
        <v>0.32399772533409132</v>
      </c>
      <c r="K79" s="11">
        <v>2.7273703425319446E-2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3.7811822143635987E-2</v>
      </c>
      <c r="Q79" s="12">
        <v>0.16131478672635122</v>
      </c>
      <c r="R79" s="14">
        <v>56</v>
      </c>
    </row>
    <row r="80" spans="2:18" x14ac:dyDescent="0.5">
      <c r="B80" s="1" t="s">
        <v>603</v>
      </c>
      <c r="C80" t="s">
        <v>691</v>
      </c>
      <c r="D80" t="s">
        <v>439</v>
      </c>
      <c r="E80">
        <v>254</v>
      </c>
      <c r="F80" s="9" t="s">
        <v>71</v>
      </c>
      <c r="G80" s="7">
        <v>2715314814976</v>
      </c>
      <c r="H80" s="6">
        <v>258.60000000000002</v>
      </c>
      <c r="I80" s="6">
        <v>161.38</v>
      </c>
      <c r="J80" s="12">
        <f t="shared" si="2"/>
        <v>0.57392489775684719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2.566274513601173E-2</v>
      </c>
      <c r="Q80" s="12">
        <v>0.20975034923935226</v>
      </c>
      <c r="R80" s="14">
        <v>57</v>
      </c>
    </row>
    <row r="81" spans="2:18" x14ac:dyDescent="0.5">
      <c r="B81" s="1" t="s">
        <v>608</v>
      </c>
      <c r="C81" t="s">
        <v>697</v>
      </c>
      <c r="D81" t="s">
        <v>698</v>
      </c>
      <c r="E81">
        <v>57.86</v>
      </c>
      <c r="F81" s="9" t="s">
        <v>71</v>
      </c>
      <c r="G81" s="7">
        <v>48730259456</v>
      </c>
      <c r="H81" s="6">
        <v>81.09</v>
      </c>
      <c r="I81" s="6">
        <v>54.22</v>
      </c>
      <c r="J81" s="12">
        <f t="shared" si="2"/>
        <v>6.7133898930284097E-2</v>
      </c>
      <c r="K81" s="11">
        <v>1.5554787417905289E-2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4.9659604244187874E-2</v>
      </c>
      <c r="Q81" s="12">
        <v>0.10827421374103721</v>
      </c>
      <c r="R81" s="14">
        <v>57</v>
      </c>
    </row>
    <row r="82" spans="2:18" x14ac:dyDescent="0.5">
      <c r="B82" s="1" t="s">
        <v>624</v>
      </c>
      <c r="C82" t="s">
        <v>715</v>
      </c>
      <c r="D82" t="s">
        <v>405</v>
      </c>
      <c r="E82">
        <v>676.19</v>
      </c>
      <c r="F82" s="9" t="s">
        <v>71</v>
      </c>
      <c r="G82" s="7">
        <v>188525150208</v>
      </c>
      <c r="H82" s="6">
        <v>813.7</v>
      </c>
      <c r="I82" s="6">
        <v>532.65</v>
      </c>
      <c r="J82" s="12">
        <f t="shared" si="2"/>
        <v>0.26948277480521932</v>
      </c>
      <c r="K82" s="11">
        <v>6.1521170085331043E-3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2.6424984557707091E-2</v>
      </c>
      <c r="Q82" s="12">
        <v>0.19783514386948564</v>
      </c>
      <c r="R82" s="14">
        <v>58</v>
      </c>
    </row>
    <row r="83" spans="2:18" x14ac:dyDescent="0.5">
      <c r="B83" s="1" t="s">
        <v>614</v>
      </c>
      <c r="C83" t="s">
        <v>704</v>
      </c>
      <c r="D83" t="s">
        <v>660</v>
      </c>
      <c r="E83">
        <v>99.17</v>
      </c>
      <c r="F83" s="9" t="s">
        <v>71</v>
      </c>
      <c r="G83" s="7">
        <v>21827915776</v>
      </c>
      <c r="H83" s="6">
        <v>117.95</v>
      </c>
      <c r="I83" s="6">
        <v>66.430000000000007</v>
      </c>
      <c r="J83" s="12">
        <f t="shared" si="2"/>
        <v>0.49284961613728728</v>
      </c>
      <c r="K83" s="11">
        <v>2.3797519411112231E-2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4.4685374970349613E-2</v>
      </c>
      <c r="Q83" s="12">
        <v>0.1255529971554025</v>
      </c>
      <c r="R83" s="14">
        <v>59</v>
      </c>
    </row>
    <row r="84" spans="2:18" x14ac:dyDescent="0.5">
      <c r="B84" s="1" t="s">
        <v>610</v>
      </c>
      <c r="C84" t="s">
        <v>700</v>
      </c>
      <c r="D84" t="s">
        <v>164</v>
      </c>
      <c r="E84">
        <v>86.28</v>
      </c>
      <c r="F84" s="9" t="s">
        <v>71</v>
      </c>
      <c r="G84" s="7">
        <v>21018556416</v>
      </c>
      <c r="H84" s="6">
        <v>116.46</v>
      </c>
      <c r="I84" s="6">
        <v>81.33</v>
      </c>
      <c r="J84" s="12">
        <f t="shared" si="2"/>
        <v>6.0863150129103705E-2</v>
      </c>
      <c r="K84" s="11">
        <v>1.3560500695410291E-2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3.824510725387615E-2</v>
      </c>
      <c r="Q84" s="12">
        <v>0.12966460535534774</v>
      </c>
      <c r="R84" s="14">
        <v>61</v>
      </c>
    </row>
    <row r="85" spans="2:18" x14ac:dyDescent="0.5">
      <c r="B85" s="1" t="s">
        <v>582</v>
      </c>
      <c r="C85" t="s">
        <v>663</v>
      </c>
      <c r="D85" t="s">
        <v>664</v>
      </c>
      <c r="E85">
        <v>196.77</v>
      </c>
      <c r="F85" s="9" t="s">
        <v>71</v>
      </c>
      <c r="G85" s="7">
        <v>79272148992</v>
      </c>
      <c r="H85" s="6">
        <v>242.58</v>
      </c>
      <c r="I85" s="6">
        <v>194.12</v>
      </c>
      <c r="J85" s="12">
        <f t="shared" si="2"/>
        <v>1.3651349680609881E-2</v>
      </c>
      <c r="K85" s="11">
        <v>1.6389693550846164E-2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3.9471322126635143E-2</v>
      </c>
      <c r="Q85" s="12">
        <v>0.12615078377705896</v>
      </c>
      <c r="R85" s="14">
        <v>61</v>
      </c>
    </row>
    <row r="86" spans="2:18" x14ac:dyDescent="0.5">
      <c r="B86" s="1" t="s">
        <v>602</v>
      </c>
      <c r="C86" t="s">
        <v>689</v>
      </c>
      <c r="D86" t="s">
        <v>690</v>
      </c>
      <c r="E86">
        <v>176.64</v>
      </c>
      <c r="F86" s="9" t="s">
        <v>71</v>
      </c>
      <c r="G86" s="7">
        <v>82693423104</v>
      </c>
      <c r="H86" s="6">
        <v>234.33</v>
      </c>
      <c r="I86" s="6">
        <v>172.51</v>
      </c>
      <c r="J86" s="12">
        <f t="shared" si="2"/>
        <v>2.3940641122253803E-2</v>
      </c>
      <c r="K86" s="11">
        <v>3.8043478260869568E-2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4.03480449153076E-2</v>
      </c>
      <c r="Q86" s="12">
        <v>0.12609818473573361</v>
      </c>
      <c r="R86" s="14">
        <v>60</v>
      </c>
    </row>
    <row r="87" spans="2:18" x14ac:dyDescent="0.5">
      <c r="B87" s="1" t="s">
        <v>585</v>
      </c>
      <c r="C87" t="s">
        <v>668</v>
      </c>
      <c r="D87" t="s">
        <v>99</v>
      </c>
      <c r="E87">
        <v>145.59</v>
      </c>
      <c r="F87" s="9" t="s">
        <v>71</v>
      </c>
      <c r="G87" s="7">
        <v>83012296704</v>
      </c>
      <c r="H87" s="6">
        <v>189.35</v>
      </c>
      <c r="I87" s="6">
        <v>142.29</v>
      </c>
      <c r="J87" s="12">
        <f t="shared" si="2"/>
        <v>2.3192072527935981E-2</v>
      </c>
      <c r="K87" s="11">
        <v>1.2981660828353595E-2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4.4113374142230932E-2</v>
      </c>
      <c r="Q87" s="12">
        <v>9.4512131625533694E-2</v>
      </c>
      <c r="R87" s="14">
        <v>62</v>
      </c>
    </row>
    <row r="88" spans="2:18" x14ac:dyDescent="0.5">
      <c r="B88" s="1" t="s">
        <v>618</v>
      </c>
      <c r="C88" t="s">
        <v>708</v>
      </c>
      <c r="D88" t="s">
        <v>662</v>
      </c>
      <c r="E88">
        <v>83.07</v>
      </c>
      <c r="F88" s="9" t="s">
        <v>71</v>
      </c>
      <c r="G88" s="7">
        <v>48770400256</v>
      </c>
      <c r="H88" s="6">
        <v>87.09</v>
      </c>
      <c r="I88" s="6">
        <v>64.89</v>
      </c>
      <c r="J88" s="12">
        <f t="shared" si="2"/>
        <v>0.28016643550624121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3.377260607071618E-2</v>
      </c>
      <c r="Q88" s="12">
        <v>0.14796953596134427</v>
      </c>
      <c r="R88" s="14">
        <v>62</v>
      </c>
    </row>
    <row r="89" spans="2:18" x14ac:dyDescent="0.5">
      <c r="B89" s="1" t="s">
        <v>616</v>
      </c>
      <c r="C89" t="s">
        <v>706</v>
      </c>
      <c r="D89" t="s">
        <v>667</v>
      </c>
      <c r="E89">
        <v>123.67</v>
      </c>
      <c r="F89" s="9" t="s">
        <v>71</v>
      </c>
      <c r="G89" s="7">
        <v>96168812544</v>
      </c>
      <c r="H89" s="6">
        <v>130.03</v>
      </c>
      <c r="I89" s="6">
        <v>105.2</v>
      </c>
      <c r="J89" s="12">
        <f t="shared" si="2"/>
        <v>0.17557034220532319</v>
      </c>
      <c r="K89" s="11">
        <v>3.379962804237082E-2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4.7370068640713407E-2</v>
      </c>
      <c r="Q89" s="12">
        <v>6.4290318228830967E-2</v>
      </c>
      <c r="R89" s="14">
        <v>63</v>
      </c>
    </row>
    <row r="90" spans="2:18" x14ac:dyDescent="0.5">
      <c r="B90" s="1" t="s">
        <v>592</v>
      </c>
      <c r="C90" t="s">
        <v>676</v>
      </c>
      <c r="D90" t="s">
        <v>662</v>
      </c>
      <c r="E90">
        <v>358.16</v>
      </c>
      <c r="F90" s="9" t="s">
        <v>71</v>
      </c>
      <c r="G90" s="7">
        <v>136968855552</v>
      </c>
      <c r="H90" s="6">
        <v>406.19</v>
      </c>
      <c r="I90" s="6">
        <v>329.16</v>
      </c>
      <c r="J90" s="12">
        <f t="shared" si="2"/>
        <v>8.8103050188358178E-2</v>
      </c>
      <c r="K90" s="11">
        <v>9.3812821085548347E-3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3.1760108551153465E-2</v>
      </c>
      <c r="Q90" s="12">
        <v>0.13630919342116796</v>
      </c>
      <c r="R90" s="14">
        <v>64</v>
      </c>
    </row>
    <row r="91" spans="2:18" x14ac:dyDescent="0.5">
      <c r="B91" s="1" t="s">
        <v>421</v>
      </c>
      <c r="C91" t="s">
        <v>430</v>
      </c>
      <c r="D91" t="s">
        <v>431</v>
      </c>
      <c r="E91">
        <v>69.819999999999993</v>
      </c>
      <c r="F91" s="9" t="s">
        <v>71</v>
      </c>
      <c r="G91" s="7">
        <v>13880839168</v>
      </c>
      <c r="H91" s="6">
        <v>107.84</v>
      </c>
      <c r="I91" s="6">
        <v>61.78</v>
      </c>
      <c r="J91" s="12">
        <f t="shared" si="2"/>
        <v>0.1301392036257687</v>
      </c>
      <c r="K91" s="11">
        <v>0</v>
      </c>
      <c r="L91" s="13">
        <v>696600000</v>
      </c>
      <c r="M91" s="13">
        <v>10663600000</v>
      </c>
      <c r="N91" s="9" t="s">
        <v>71</v>
      </c>
      <c r="O91" s="6">
        <v>1</v>
      </c>
      <c r="P91" s="12">
        <v>4.2587429888031728E-2</v>
      </c>
      <c r="Q91" s="12">
        <v>6.5325030946397092E-2</v>
      </c>
      <c r="R91" s="14">
        <v>65</v>
      </c>
    </row>
    <row r="92" spans="2:18" x14ac:dyDescent="0.5">
      <c r="B92" s="1" t="s">
        <v>581</v>
      </c>
      <c r="C92" t="s">
        <v>661</v>
      </c>
      <c r="D92" t="s">
        <v>662</v>
      </c>
      <c r="E92">
        <v>123.84</v>
      </c>
      <c r="F92" s="9" t="s">
        <v>71</v>
      </c>
      <c r="G92" s="7">
        <v>215341891584</v>
      </c>
      <c r="H92" s="6">
        <v>141.22999999999999</v>
      </c>
      <c r="I92" s="6">
        <v>110.86</v>
      </c>
      <c r="J92" s="12">
        <f t="shared" si="2"/>
        <v>0.11708461122136038</v>
      </c>
      <c r="K92" s="11">
        <v>1.9056847545219635E-2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3.3993740366718095E-2</v>
      </c>
      <c r="Q92" s="12">
        <v>0.12254608425447895</v>
      </c>
      <c r="R92" s="14">
        <v>64</v>
      </c>
    </row>
    <row r="93" spans="2:18" x14ac:dyDescent="0.5">
      <c r="B93" s="1" t="s">
        <v>601</v>
      </c>
      <c r="C93" t="s">
        <v>688</v>
      </c>
      <c r="D93" t="s">
        <v>667</v>
      </c>
      <c r="E93">
        <v>119.92</v>
      </c>
      <c r="F93" s="9" t="s">
        <v>71</v>
      </c>
      <c r="G93" s="7">
        <v>64189050880</v>
      </c>
      <c r="H93" s="6">
        <v>122.85</v>
      </c>
      <c r="I93" s="6">
        <v>89.91</v>
      </c>
      <c r="J93" s="12">
        <f t="shared" si="2"/>
        <v>0.33377822266711155</v>
      </c>
      <c r="K93" s="11">
        <v>3.1020680453635759E-2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4.2876947453878024E-2</v>
      </c>
      <c r="Q93" s="12">
        <v>6.5256883889147757E-2</v>
      </c>
      <c r="R93" s="14">
        <v>65</v>
      </c>
    </row>
    <row r="94" spans="2:18" x14ac:dyDescent="0.5">
      <c r="B94" s="1" t="s">
        <v>587</v>
      </c>
      <c r="C94" t="s">
        <v>671</v>
      </c>
      <c r="D94" t="s">
        <v>405</v>
      </c>
      <c r="E94">
        <v>448.54</v>
      </c>
      <c r="F94" s="9" t="s">
        <v>71</v>
      </c>
      <c r="G94" s="7">
        <v>48279695360</v>
      </c>
      <c r="H94" s="6">
        <v>595.16999999999996</v>
      </c>
      <c r="I94" s="6">
        <v>435.42</v>
      </c>
      <c r="J94" s="12">
        <f t="shared" si="2"/>
        <v>3.0131826741996326E-2</v>
      </c>
      <c r="K94" s="11">
        <v>7.3572033709368165E-3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3.9927766065792479E-2</v>
      </c>
      <c r="Q94" s="12">
        <v>8.4044906495134117E-2</v>
      </c>
      <c r="R94" s="14">
        <v>65</v>
      </c>
    </row>
    <row r="95" spans="2:18" x14ac:dyDescent="0.5">
      <c r="B95" s="1" t="s">
        <v>648</v>
      </c>
      <c r="C95" t="s">
        <v>746</v>
      </c>
      <c r="D95" t="s">
        <v>367</v>
      </c>
      <c r="E95">
        <v>257.85000000000002</v>
      </c>
      <c r="F95" s="9" t="s">
        <v>71</v>
      </c>
      <c r="G95" s="7">
        <v>735076941824</v>
      </c>
      <c r="H95" s="6">
        <v>345.72</v>
      </c>
      <c r="I95" s="6">
        <v>118.86</v>
      </c>
      <c r="J95" s="12">
        <f t="shared" si="2"/>
        <v>1.1693589096415953</v>
      </c>
      <c r="K95" s="11">
        <v>7.3686251696722894E-3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2.1412491921961298E-2</v>
      </c>
      <c r="Q95" s="12">
        <v>0.15694706199842504</v>
      </c>
      <c r="R95" s="14">
        <v>65</v>
      </c>
    </row>
    <row r="96" spans="2:18" x14ac:dyDescent="0.5">
      <c r="B96" s="1" t="s">
        <v>644</v>
      </c>
      <c r="C96" t="s">
        <v>739</v>
      </c>
      <c r="D96" t="s">
        <v>405</v>
      </c>
      <c r="E96">
        <v>913.84</v>
      </c>
      <c r="F96" s="9" t="s">
        <v>71</v>
      </c>
      <c r="G96" s="7">
        <v>190216716288</v>
      </c>
      <c r="H96" s="6">
        <v>1198.0899999999999</v>
      </c>
      <c r="I96" s="6">
        <v>678.66</v>
      </c>
      <c r="J96" s="12">
        <f t="shared" si="2"/>
        <v>0.34653582058762877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9.2591270192882158E-3</v>
      </c>
      <c r="Q96" s="12">
        <v>0.15867723914218779</v>
      </c>
      <c r="R96" s="14">
        <v>66</v>
      </c>
    </row>
    <row r="97" spans="2:18" x14ac:dyDescent="0.5">
      <c r="B97" s="1" t="s">
        <v>394</v>
      </c>
      <c r="C97" t="s">
        <v>407</v>
      </c>
      <c r="D97" t="s">
        <v>405</v>
      </c>
      <c r="E97">
        <v>261.33999999999997</v>
      </c>
      <c r="F97" s="9" t="s">
        <v>71</v>
      </c>
      <c r="G97" s="7">
        <v>248795676672</v>
      </c>
      <c r="H97" s="6">
        <v>369</v>
      </c>
      <c r="I97" s="6">
        <v>226.48</v>
      </c>
      <c r="J97" s="12">
        <f t="shared" si="2"/>
        <v>0.15392087601554216</v>
      </c>
      <c r="K97" s="11">
        <v>6.2447386546261576E-3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3.0500556464088169E-2</v>
      </c>
      <c r="Q97" s="12">
        <v>0.1101341838347269</v>
      </c>
      <c r="R97" s="14">
        <v>67</v>
      </c>
    </row>
    <row r="98" spans="2:18" x14ac:dyDescent="0.5">
      <c r="B98" s="1" t="s">
        <v>605</v>
      </c>
      <c r="C98" t="s">
        <v>693</v>
      </c>
      <c r="D98" t="s">
        <v>431</v>
      </c>
      <c r="E98">
        <v>177.3</v>
      </c>
      <c r="F98" s="9" t="s">
        <v>71</v>
      </c>
      <c r="G98" s="7">
        <v>50819047424</v>
      </c>
      <c r="H98" s="6">
        <v>251.99</v>
      </c>
      <c r="I98" s="6">
        <v>163.33000000000001</v>
      </c>
      <c r="J98" s="12">
        <f t="shared" ref="J98:J115" si="3">E98/I98-1</f>
        <v>8.5532357803220549E-2</v>
      </c>
      <c r="K98" s="11">
        <v>2.2955442752397068E-2</v>
      </c>
      <c r="L98" s="13">
        <v>2533000000</v>
      </c>
      <c r="M98" s="13">
        <v>45999000000</v>
      </c>
      <c r="N98" s="9" t="s">
        <v>71</v>
      </c>
      <c r="O98" s="6">
        <v>1</v>
      </c>
      <c r="P98" s="12">
        <v>3.6597674744146574E-2</v>
      </c>
      <c r="Q98" s="12">
        <v>5.506641448727146E-2</v>
      </c>
      <c r="R98" s="14">
        <v>68</v>
      </c>
    </row>
    <row r="99" spans="2:18" x14ac:dyDescent="0.5">
      <c r="B99" s="1" t="s">
        <v>651</v>
      </c>
      <c r="C99" t="s">
        <v>749</v>
      </c>
      <c r="D99" t="s">
        <v>750</v>
      </c>
      <c r="E99">
        <v>124.22</v>
      </c>
      <c r="F99" s="9" t="s">
        <v>71</v>
      </c>
      <c r="G99" s="7">
        <v>115383861248</v>
      </c>
      <c r="H99" s="6">
        <v>127.5</v>
      </c>
      <c r="I99" s="6">
        <v>85.35</v>
      </c>
      <c r="J99" s="12">
        <f t="shared" si="3"/>
        <v>0.45541886350322214</v>
      </c>
      <c r="K99" s="11">
        <v>3.2120431492513285E-2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3.4021568446391447E-2</v>
      </c>
      <c r="Q99" s="12">
        <v>5.8421389886397626E-2</v>
      </c>
      <c r="R99" s="14">
        <v>68</v>
      </c>
    </row>
    <row r="100" spans="2:18" x14ac:dyDescent="0.5">
      <c r="B100" s="1" t="s">
        <v>584</v>
      </c>
      <c r="C100" t="s">
        <v>666</v>
      </c>
      <c r="D100" t="s">
        <v>667</v>
      </c>
      <c r="E100">
        <v>81.78</v>
      </c>
      <c r="F100" s="9" t="s">
        <v>71</v>
      </c>
      <c r="G100" s="7">
        <v>170315808768</v>
      </c>
      <c r="H100" s="6">
        <v>87.53</v>
      </c>
      <c r="I100" s="6">
        <v>61.72</v>
      </c>
      <c r="J100" s="12">
        <f t="shared" si="3"/>
        <v>0.32501620220349969</v>
      </c>
      <c r="K100" s="11">
        <v>2.7084861824406944E-2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3.2934943575123346E-2</v>
      </c>
      <c r="Q100" s="12">
        <v>6.2461301478472293E-2</v>
      </c>
      <c r="R100" s="14">
        <v>69</v>
      </c>
    </row>
    <row r="101" spans="2:18" x14ac:dyDescent="0.5">
      <c r="B101" s="1" t="s">
        <v>358</v>
      </c>
      <c r="C101" t="s">
        <v>360</v>
      </c>
      <c r="D101" t="s">
        <v>85</v>
      </c>
      <c r="E101">
        <v>24.33</v>
      </c>
      <c r="F101" s="9" t="s">
        <v>71</v>
      </c>
      <c r="G101" s="7">
        <v>28798339072</v>
      </c>
      <c r="H101" s="6">
        <v>34.08</v>
      </c>
      <c r="I101" s="6">
        <v>23.895</v>
      </c>
      <c r="J101" s="12">
        <f t="shared" si="3"/>
        <v>1.8204645323289359E-2</v>
      </c>
      <c r="K101" s="11">
        <v>6.5762433210028781E-2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3.7352108147507793E-2</v>
      </c>
      <c r="Q101" s="12">
        <v>2.5603151157065487E-2</v>
      </c>
      <c r="R101" s="14">
        <v>69</v>
      </c>
    </row>
    <row r="102" spans="2:18" x14ac:dyDescent="0.5">
      <c r="B102" s="1" t="s">
        <v>583</v>
      </c>
      <c r="C102" t="s">
        <v>665</v>
      </c>
      <c r="D102" t="s">
        <v>193</v>
      </c>
      <c r="E102">
        <v>362.55</v>
      </c>
      <c r="F102" s="9" t="s">
        <v>71</v>
      </c>
      <c r="G102" s="7">
        <v>1712093396992</v>
      </c>
      <c r="H102" s="6">
        <v>386.48</v>
      </c>
      <c r="I102" s="6">
        <v>138.1</v>
      </c>
      <c r="J102" s="12">
        <f t="shared" si="3"/>
        <v>1.6252715423606086</v>
      </c>
      <c r="K102" s="11">
        <v>6.5094469728313332E-3</v>
      </c>
      <c r="L102" s="13">
        <v>13869000000</v>
      </c>
      <c r="M102" s="13">
        <v>135205000000</v>
      </c>
      <c r="N102" s="9" t="s">
        <v>71</v>
      </c>
      <c r="O102" s="6">
        <v>1</v>
      </c>
      <c r="P102" s="12">
        <v>7.834214942955978E-3</v>
      </c>
      <c r="Q102" s="12">
        <v>0.10257756739765542</v>
      </c>
      <c r="R102" s="14">
        <v>72</v>
      </c>
    </row>
    <row r="103" spans="2:18" x14ac:dyDescent="0.5">
      <c r="B103" s="1" t="s">
        <v>640</v>
      </c>
      <c r="C103" t="s">
        <v>734</v>
      </c>
      <c r="D103" t="s">
        <v>735</v>
      </c>
      <c r="E103">
        <v>5.09</v>
      </c>
      <c r="F103" s="9" t="s">
        <v>71</v>
      </c>
      <c r="G103" s="7">
        <v>3059782400</v>
      </c>
      <c r="H103" s="6">
        <v>6.34</v>
      </c>
      <c r="I103" s="6">
        <v>3.51</v>
      </c>
      <c r="J103" s="12">
        <f t="shared" si="3"/>
        <v>0.45014245014245025</v>
      </c>
      <c r="K103" s="11">
        <v>6.286836935166995E-2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3.3050753940902095E-2</v>
      </c>
      <c r="Q103" s="12">
        <v>2.8276478032308101E-2</v>
      </c>
      <c r="R103" s="14">
        <v>71</v>
      </c>
    </row>
    <row r="104" spans="2:18" x14ac:dyDescent="0.5">
      <c r="B104" s="1" t="s">
        <v>627</v>
      </c>
      <c r="C104" t="s">
        <v>718</v>
      </c>
      <c r="D104" t="s">
        <v>698</v>
      </c>
      <c r="E104">
        <v>113.18</v>
      </c>
      <c r="F104" s="9" t="s">
        <v>71</v>
      </c>
      <c r="G104" s="7">
        <v>74063339520</v>
      </c>
      <c r="H104" s="6">
        <v>116.48</v>
      </c>
      <c r="I104" s="6">
        <v>68.03</v>
      </c>
      <c r="J104" s="12">
        <f t="shared" si="3"/>
        <v>0.66367778921064247</v>
      </c>
      <c r="K104" s="11">
        <v>1.3076515285386109E-2</v>
      </c>
      <c r="L104" s="13">
        <v>1903000000</v>
      </c>
      <c r="M104" s="13">
        <v>25591000000</v>
      </c>
      <c r="N104" s="9" t="s">
        <v>71</v>
      </c>
      <c r="O104" s="6">
        <v>1</v>
      </c>
      <c r="P104" s="12">
        <v>2.2941437141932027E-2</v>
      </c>
      <c r="Q104" s="12">
        <v>7.4362080418897275E-2</v>
      </c>
      <c r="R104" s="14">
        <v>73</v>
      </c>
    </row>
    <row r="105" spans="2:18" x14ac:dyDescent="0.5">
      <c r="B105" s="1" t="s">
        <v>653</v>
      </c>
      <c r="C105" t="s">
        <v>752</v>
      </c>
      <c r="D105" t="s">
        <v>750</v>
      </c>
      <c r="E105">
        <v>41.34</v>
      </c>
      <c r="F105" s="9" t="s">
        <v>71</v>
      </c>
      <c r="G105" s="7">
        <v>9858329600</v>
      </c>
      <c r="H105" s="6">
        <v>44.38</v>
      </c>
      <c r="I105" s="6">
        <v>29.68</v>
      </c>
      <c r="J105" s="12">
        <f t="shared" si="3"/>
        <v>0.39285714285714302</v>
      </c>
      <c r="K105" s="11">
        <v>4.1315916787614898E-2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2.9244951632834387E-2</v>
      </c>
      <c r="Q105" s="12">
        <v>3.3395007067698795E-2</v>
      </c>
      <c r="R105" s="14">
        <v>74</v>
      </c>
    </row>
    <row r="106" spans="2:18" x14ac:dyDescent="0.5">
      <c r="B106" s="1" t="s">
        <v>588</v>
      </c>
      <c r="C106" t="s">
        <v>672</v>
      </c>
      <c r="D106" t="s">
        <v>389</v>
      </c>
      <c r="E106">
        <v>58.2</v>
      </c>
      <c r="F106" s="9" t="s">
        <v>71</v>
      </c>
      <c r="G106" s="7">
        <v>53212614656</v>
      </c>
      <c r="H106" s="6">
        <v>61.09</v>
      </c>
      <c r="I106" s="6">
        <v>50.71</v>
      </c>
      <c r="J106" s="12">
        <f t="shared" si="3"/>
        <v>0.14770262275685275</v>
      </c>
      <c r="K106" s="11">
        <v>5.4759450171821301E-2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2.4294888870159546E-2</v>
      </c>
      <c r="Q106" s="12">
        <v>2.969284375856223E-2</v>
      </c>
      <c r="R106" s="14">
        <v>75</v>
      </c>
    </row>
    <row r="107" spans="2:18" x14ac:dyDescent="0.5">
      <c r="B107" s="1" t="s">
        <v>617</v>
      </c>
      <c r="C107" t="s">
        <v>707</v>
      </c>
      <c r="D107" t="s">
        <v>164</v>
      </c>
      <c r="E107">
        <v>93.25</v>
      </c>
      <c r="F107" s="9" t="s">
        <v>71</v>
      </c>
      <c r="G107" s="7">
        <v>33603594240</v>
      </c>
      <c r="H107" s="6">
        <v>104.53</v>
      </c>
      <c r="I107" s="6">
        <v>48.37</v>
      </c>
      <c r="J107" s="12">
        <f t="shared" si="3"/>
        <v>0.9278478395699814</v>
      </c>
      <c r="K107" s="11">
        <v>1.5013404825737264E-2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-1.7011379888854389E-2</v>
      </c>
      <c r="Q107" s="12">
        <v>-6.1080307637274192E-2</v>
      </c>
      <c r="R107" s="14">
        <v>76</v>
      </c>
    </row>
    <row r="108" spans="2:18" x14ac:dyDescent="0.5">
      <c r="B108" s="1" t="s">
        <v>359</v>
      </c>
      <c r="C108" t="s">
        <v>361</v>
      </c>
      <c r="D108" t="s">
        <v>362</v>
      </c>
      <c r="E108">
        <v>21.89</v>
      </c>
      <c r="F108" s="9" t="s">
        <v>71</v>
      </c>
      <c r="G108" s="7">
        <v>7371248128</v>
      </c>
      <c r="H108" s="6">
        <v>29.18</v>
      </c>
      <c r="I108" s="6">
        <v>18.690000000000001</v>
      </c>
      <c r="J108" s="12">
        <f t="shared" si="3"/>
        <v>0.17121455323702506</v>
      </c>
      <c r="K108" s="11">
        <v>4.9337597076290547E-2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-7.7853769466554243E-2</v>
      </c>
      <c r="Q108" s="12">
        <v>-6.3825819385519136E-2</v>
      </c>
      <c r="R108" s="14">
        <v>77</v>
      </c>
    </row>
    <row r="109" spans="2:18" x14ac:dyDescent="0.5">
      <c r="B109" s="1" t="s">
        <v>396</v>
      </c>
      <c r="C109" t="s">
        <v>409</v>
      </c>
      <c r="D109" t="s">
        <v>193</v>
      </c>
      <c r="E109">
        <v>39.5</v>
      </c>
      <c r="F109" s="9" t="s">
        <v>71</v>
      </c>
      <c r="G109" s="7">
        <v>188257009664</v>
      </c>
      <c r="H109" s="6">
        <v>42.48</v>
      </c>
      <c r="I109" s="6">
        <v>17.670000000000002</v>
      </c>
      <c r="J109" s="12">
        <f t="shared" si="3"/>
        <v>1.2354272778720996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-4.4239821808052214E-2</v>
      </c>
      <c r="Q109" s="12">
        <v>-6.8166745935517581E-2</v>
      </c>
      <c r="R109" s="14">
        <v>77</v>
      </c>
    </row>
    <row r="110" spans="2:18" x14ac:dyDescent="0.5">
      <c r="B110" s="1" t="s">
        <v>576</v>
      </c>
      <c r="C110" t="s">
        <v>654</v>
      </c>
      <c r="D110" t="s">
        <v>362</v>
      </c>
      <c r="E110">
        <v>22.29</v>
      </c>
      <c r="F110" s="9" t="s">
        <v>71</v>
      </c>
      <c r="G110" s="7">
        <v>55184965632</v>
      </c>
      <c r="H110" s="6">
        <v>22.56</v>
      </c>
      <c r="I110" s="6">
        <v>7.52</v>
      </c>
      <c r="J110" s="12">
        <f t="shared" si="3"/>
        <v>1.9640957446808511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-0.10484687063233961</v>
      </c>
      <c r="Q110" s="12">
        <v>-0.12742378504799978</v>
      </c>
      <c r="R110" s="14">
        <v>78</v>
      </c>
    </row>
    <row r="111" spans="2:18" x14ac:dyDescent="0.5">
      <c r="B111" s="1" t="s">
        <v>604</v>
      </c>
      <c r="C111" t="s">
        <v>692</v>
      </c>
      <c r="D111" t="s">
        <v>240</v>
      </c>
      <c r="E111">
        <v>361.62</v>
      </c>
      <c r="F111" s="9" t="s">
        <v>71</v>
      </c>
      <c r="G111" s="7">
        <v>249102532608</v>
      </c>
      <c r="H111" s="6">
        <v>365.75</v>
      </c>
      <c r="I111" s="6">
        <v>220.43</v>
      </c>
      <c r="J111" s="12">
        <f t="shared" si="3"/>
        <v>0.64052080025404878</v>
      </c>
      <c r="K111" s="11">
        <v>8.7384547314860901E-3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753</v>
      </c>
      <c r="C112" t="s">
        <v>757</v>
      </c>
      <c r="D112" t="s">
        <v>687</v>
      </c>
      <c r="E112">
        <v>214.06</v>
      </c>
      <c r="F112" s="9" t="s">
        <v>71</v>
      </c>
      <c r="G112" s="7">
        <v>151201185792</v>
      </c>
      <c r="H112" s="6">
        <v>258.23</v>
      </c>
      <c r="I112" s="6">
        <v>171</v>
      </c>
      <c r="J112" s="12">
        <f t="shared" si="3"/>
        <v>0.25181286549707593</v>
      </c>
      <c r="K112" s="11">
        <v>5.746052508642437E-3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2.9614627488221676E-2</v>
      </c>
      <c r="Q112" s="12">
        <v>7.5120522365289558E-2</v>
      </c>
      <c r="R112" s="14">
        <v>70</v>
      </c>
    </row>
    <row r="113" spans="2:17" x14ac:dyDescent="0.5">
      <c r="B113" s="1" t="s">
        <v>621</v>
      </c>
      <c r="C113" t="s">
        <v>711</v>
      </c>
      <c r="D113" t="s">
        <v>104</v>
      </c>
      <c r="E113">
        <v>785.52</v>
      </c>
      <c r="F113" s="9" t="s">
        <v>71</v>
      </c>
      <c r="G113" s="7">
        <v>242568577024</v>
      </c>
      <c r="H113" s="6">
        <v>825.25</v>
      </c>
      <c r="I113" s="6">
        <v>439.38</v>
      </c>
      <c r="J113" s="12">
        <f t="shared" si="3"/>
        <v>0.78779188857025817</v>
      </c>
      <c r="K113" s="11">
        <v>1.6549546797026173E-2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625</v>
      </c>
      <c r="C114" t="s">
        <v>716</v>
      </c>
      <c r="D114" t="s">
        <v>431</v>
      </c>
      <c r="E114">
        <v>544.21</v>
      </c>
      <c r="F114" s="9" t="s">
        <v>71</v>
      </c>
      <c r="G114" s="7">
        <v>192920305664</v>
      </c>
      <c r="H114" s="6">
        <v>616</v>
      </c>
      <c r="I114" s="6">
        <v>425</v>
      </c>
      <c r="J114" s="12">
        <f t="shared" si="3"/>
        <v>0.280494117647059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645</v>
      </c>
      <c r="C115" t="s">
        <v>740</v>
      </c>
      <c r="D115" t="s">
        <v>720</v>
      </c>
      <c r="E115">
        <v>49.11</v>
      </c>
      <c r="F115" s="9" t="s">
        <v>71</v>
      </c>
      <c r="G115" s="7">
        <v>215996694528</v>
      </c>
      <c r="H115" s="6">
        <v>112.52</v>
      </c>
      <c r="I115" s="6">
        <v>45.05</v>
      </c>
      <c r="J115" s="12">
        <f t="shared" si="3"/>
        <v>9.0122086570477267E-2</v>
      </c>
      <c r="K115" s="11">
        <v>0.23722256159641622</v>
      </c>
      <c r="L115" s="13">
        <v>128831000000</v>
      </c>
      <c r="M115" s="13">
        <v>239507000000</v>
      </c>
      <c r="N115" s="9" t="s">
        <v>741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451</v>
      </c>
    </row>
    <row r="7" spans="2:2" ht="236.25" x14ac:dyDescent="0.5">
      <c r="B7" s="16" t="s">
        <v>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2025-11-24T03:13:14Z</dcterms:modified>
</cp:coreProperties>
</file>