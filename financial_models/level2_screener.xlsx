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8A4B05A-CBA1-4F55-9BBF-33C4A9A9D9A5}" xr6:coauthVersionLast="47" xr6:coauthVersionMax="47" xr10:uidLastSave="{00000000-0000-0000-0000-000000000000}"/>
  <bookViews>
    <workbookView xWindow="735" yWindow="735" windowWidth="12690" windowHeight="7643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<sst xmlns="http://schemas.openxmlformats.org/spreadsheetml/2006/main" count="977" uniqueCount="464">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</sst>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55" zoomScaleNormal="55" workbookViewId="0">
      <pane xSplit="3" ySplit="1" topLeftCell="D70" activePane="bottomRight" state="frozen"/>
      <selection pane="topRight" activeCell="D1" sqref="D1"/>
      <selection pane="bottomLeft" activeCell="A2" sqref="A2"/>
      <selection pane="bottomRight" activeCell="B61" sqref="B6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11.82</v>
      </c>
      <c r="F2" s="9" t="s">
        <v>68</v>
      </c>
      <c r="G2" s="7">
        <v>232713142272</v>
      </c>
      <c r="H2" s="6">
        <v>15.6</v>
      </c>
      <c r="I2" s="6">
        <v>9.8000000000000007</v>
      </c>
      <c r="J2" s="12">
        <f t="shared" ref="J2:J33" si="0">E2/I2-1</f>
        <v>0.20612244897959187</v>
      </c>
      <c r="K2" s="11">
        <v>0.13451776649746194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0.63853680177952543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2.82</v>
      </c>
      <c r="F3" s="9" t="s">
        <v>68</v>
      </c>
      <c r="G3" s="7">
        <v>2549812992</v>
      </c>
      <c r="H3" s="6">
        <v>3.5</v>
      </c>
      <c r="I3" s="6">
        <v>2.39</v>
      </c>
      <c r="J3" s="12">
        <f t="shared" si="0"/>
        <v>0.17991631799163166</v>
      </c>
      <c r="K3" s="11">
        <v>6.0283687943262422E-2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0.41684598210460044</v>
      </c>
      <c r="Q3" s="12">
        <v>0.29581628786323422</v>
      </c>
      <c r="R3" s="14">
        <v>1</v>
      </c>
    </row>
    <row r="4" spans="2:22" x14ac:dyDescent="0.5">
      <c r="B4" s="1" t="s">
        <v>111</v>
      </c>
      <c r="C4" t="s">
        <v>147</v>
      </c>
      <c r="D4" t="s">
        <v>148</v>
      </c>
      <c r="E4">
        <v>4.29</v>
      </c>
      <c r="F4" s="9" t="s">
        <v>68</v>
      </c>
      <c r="G4" s="7">
        <v>12000088064</v>
      </c>
      <c r="H4" s="6">
        <v>5.2</v>
      </c>
      <c r="I4" s="6">
        <v>2.36</v>
      </c>
      <c r="J4" s="12">
        <f t="shared" si="0"/>
        <v>0.81779661016949157</v>
      </c>
      <c r="K4" s="11">
        <v>3.5664335664335661E-2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0.25620751852531914</v>
      </c>
      <c r="Q4" s="12">
        <v>0.28956319566547578</v>
      </c>
      <c r="R4" s="14">
        <v>3</v>
      </c>
    </row>
    <row r="5" spans="2:22" x14ac:dyDescent="0.5">
      <c r="B5" s="1" t="s">
        <v>197</v>
      </c>
      <c r="C5" t="s">
        <v>218</v>
      </c>
      <c r="D5" t="s">
        <v>219</v>
      </c>
      <c r="E5">
        <v>15.18</v>
      </c>
      <c r="F5" s="9" t="s">
        <v>68</v>
      </c>
      <c r="G5" s="7">
        <v>59232907264</v>
      </c>
      <c r="H5" s="6">
        <v>16.36</v>
      </c>
      <c r="I5" s="6">
        <v>4.22</v>
      </c>
      <c r="J5" s="12">
        <f t="shared" si="0"/>
        <v>2.5971563981042656</v>
      </c>
      <c r="K5" s="11">
        <v>2.8326745718050064E-3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0.1169143300394419</v>
      </c>
      <c r="Q5" s="12">
        <v>0.34518550887925997</v>
      </c>
      <c r="R5" s="14">
        <v>12</v>
      </c>
    </row>
    <row r="6" spans="2:22" x14ac:dyDescent="0.5">
      <c r="B6" s="1" t="s">
        <v>198</v>
      </c>
      <c r="C6" t="s">
        <v>220</v>
      </c>
      <c r="D6" t="s">
        <v>77</v>
      </c>
      <c r="E6">
        <v>123</v>
      </c>
      <c r="F6" s="9" t="s">
        <v>68</v>
      </c>
      <c r="G6" s="7">
        <v>81225916416</v>
      </c>
      <c r="H6" s="6">
        <v>149.5</v>
      </c>
      <c r="I6" s="6">
        <v>93</v>
      </c>
      <c r="J6" s="12">
        <f t="shared" si="0"/>
        <v>0.32258064516129026</v>
      </c>
      <c r="K6" s="11">
        <v>1.6585365853658537E-2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0.65401392024157479</v>
      </c>
      <c r="Q6" s="12">
        <v>0.19894228627727803</v>
      </c>
      <c r="R6" s="14">
        <v>3</v>
      </c>
    </row>
    <row r="7" spans="2:22" x14ac:dyDescent="0.5">
      <c r="B7" s="1" t="s">
        <v>253</v>
      </c>
      <c r="C7" t="s">
        <v>303</v>
      </c>
      <c r="D7" t="s">
        <v>304</v>
      </c>
      <c r="E7">
        <v>6.7</v>
      </c>
      <c r="F7" s="9" t="s">
        <v>68</v>
      </c>
      <c r="G7" s="7">
        <v>362103341056</v>
      </c>
      <c r="H7" s="6">
        <v>7.22</v>
      </c>
      <c r="I7" s="6">
        <v>3.5</v>
      </c>
      <c r="J7" s="12">
        <f t="shared" si="0"/>
        <v>0.91428571428571437</v>
      </c>
      <c r="K7" s="11">
        <v>2.8656716417910448E-2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0.19768500015779064</v>
      </c>
      <c r="Q7" s="12">
        <v>0.22694806719794586</v>
      </c>
      <c r="R7" s="14">
        <v>5</v>
      </c>
    </row>
    <row r="8" spans="2:22" x14ac:dyDescent="0.5">
      <c r="B8" s="1" t="s">
        <v>110</v>
      </c>
      <c r="C8" t="s">
        <v>145</v>
      </c>
      <c r="D8" t="s">
        <v>146</v>
      </c>
      <c r="E8">
        <v>2.77</v>
      </c>
      <c r="F8" s="9" t="s">
        <v>68</v>
      </c>
      <c r="G8" s="7">
        <v>14102252544</v>
      </c>
      <c r="H8" s="6">
        <v>3.12</v>
      </c>
      <c r="I8" s="6">
        <v>2.23</v>
      </c>
      <c r="J8" s="12">
        <f t="shared" si="0"/>
        <v>0.24215246636771304</v>
      </c>
      <c r="K8" s="11">
        <v>9.7472924187725643E-2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0.39066820001027802</v>
      </c>
      <c r="Q8" s="12">
        <v>0.15337570692947131</v>
      </c>
      <c r="R8" s="14">
        <v>8</v>
      </c>
    </row>
    <row r="9" spans="2:22" x14ac:dyDescent="0.5">
      <c r="B9" s="1" t="s">
        <v>200</v>
      </c>
      <c r="C9" t="s">
        <v>223</v>
      </c>
      <c r="D9" t="s">
        <v>224</v>
      </c>
      <c r="E9">
        <v>14.38</v>
      </c>
      <c r="F9" s="9" t="s">
        <v>68</v>
      </c>
      <c r="G9" s="7">
        <v>133315346432</v>
      </c>
      <c r="H9" s="6">
        <v>18.100000000000001</v>
      </c>
      <c r="I9" s="6">
        <v>10.6</v>
      </c>
      <c r="J9" s="12">
        <f t="shared" si="0"/>
        <v>0.35660377358490569</v>
      </c>
      <c r="K9" s="11">
        <v>4.9026425591098745E-2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0.22069007980063496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16.29</v>
      </c>
      <c r="F10" s="9" t="s">
        <v>68</v>
      </c>
      <c r="G10" s="7">
        <v>371195936768</v>
      </c>
      <c r="H10" s="6">
        <v>16.48</v>
      </c>
      <c r="I10" s="6">
        <v>4.58</v>
      </c>
      <c r="J10" s="12">
        <f t="shared" si="0"/>
        <v>2.5567685589519646</v>
      </c>
      <c r="K10" s="11">
        <v>1.5653775322283611E-2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8.3995891539858508E-2</v>
      </c>
      <c r="Q10" s="12">
        <v>0.2888078161719172</v>
      </c>
      <c r="R10" s="14">
        <v>34</v>
      </c>
    </row>
    <row r="11" spans="2:22" x14ac:dyDescent="0.5">
      <c r="B11" s="1" t="s">
        <v>199</v>
      </c>
      <c r="C11" t="s">
        <v>221</v>
      </c>
      <c r="D11" t="s">
        <v>222</v>
      </c>
      <c r="E11">
        <v>2.11</v>
      </c>
      <c r="F11" s="9" t="s">
        <v>68</v>
      </c>
      <c r="G11" s="7">
        <v>2109999872</v>
      </c>
      <c r="H11" s="6">
        <v>2.42</v>
      </c>
      <c r="I11" s="6">
        <v>1.55</v>
      </c>
      <c r="J11" s="12">
        <f t="shared" si="0"/>
        <v>0.36129032258064497</v>
      </c>
      <c r="K11" s="11">
        <v>9.9526066350710901E-2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0.13832356262276102</v>
      </c>
      <c r="Q11" s="12">
        <v>0.51857007005524791</v>
      </c>
      <c r="R11" s="14">
        <v>7</v>
      </c>
    </row>
    <row r="12" spans="2:22" x14ac:dyDescent="0.5">
      <c r="B12" s="1" t="s">
        <v>251</v>
      </c>
      <c r="C12" t="s">
        <v>300</v>
      </c>
      <c r="D12" t="s">
        <v>299</v>
      </c>
      <c r="E12">
        <v>1.62</v>
      </c>
      <c r="F12" s="9" t="s">
        <v>68</v>
      </c>
      <c r="G12" s="7">
        <v>3263083008</v>
      </c>
      <c r="H12" s="6">
        <v>1.85</v>
      </c>
      <c r="I12" s="6">
        <v>1.1299999999999999</v>
      </c>
      <c r="J12" s="12">
        <f t="shared" si="0"/>
        <v>0.43362831858407103</v>
      </c>
      <c r="K12" s="11">
        <v>7.345679012345678E-2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0.3253022341962693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3.88</v>
      </c>
      <c r="F13" s="9" t="s">
        <v>68</v>
      </c>
      <c r="G13" s="7">
        <v>35173179392</v>
      </c>
      <c r="H13" s="6">
        <v>7.38</v>
      </c>
      <c r="I13" s="6">
        <v>3.84</v>
      </c>
      <c r="J13" s="12">
        <f t="shared" si="0"/>
        <v>1.0416666666666741E-2</v>
      </c>
      <c r="K13" s="11">
        <v>6.8298969072164956E-2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0.22665811711864484</v>
      </c>
      <c r="Q13" s="12">
        <v>0.20771406306691512</v>
      </c>
      <c r="R13" s="14">
        <v>4</v>
      </c>
    </row>
    <row r="14" spans="2:22" x14ac:dyDescent="0.5">
      <c r="B14" s="1" t="s">
        <v>250</v>
      </c>
      <c r="C14" t="s">
        <v>298</v>
      </c>
      <c r="D14" t="s">
        <v>299</v>
      </c>
      <c r="E14">
        <v>1.45</v>
      </c>
      <c r="F14" s="9" t="s">
        <v>68</v>
      </c>
      <c r="G14" s="7">
        <v>1715054464</v>
      </c>
      <c r="H14" s="6">
        <v>2.54</v>
      </c>
      <c r="I14" s="6">
        <v>1.36</v>
      </c>
      <c r="J14" s="12">
        <f t="shared" si="0"/>
        <v>6.6176470588235281E-2</v>
      </c>
      <c r="K14" s="11">
        <v>4.2068965517241382E-2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0.67290364466915564</v>
      </c>
      <c r="Q14" s="12">
        <v>0.14567921288909008</v>
      </c>
      <c r="R14" s="14">
        <v>10</v>
      </c>
    </row>
    <row r="15" spans="2:22" x14ac:dyDescent="0.5">
      <c r="B15" s="1" t="s">
        <v>297</v>
      </c>
      <c r="C15" t="s">
        <v>355</v>
      </c>
      <c r="D15" t="s">
        <v>96</v>
      </c>
      <c r="E15">
        <v>5.99</v>
      </c>
      <c r="F15" s="9" t="s">
        <v>68</v>
      </c>
      <c r="G15" s="7">
        <v>12385415168</v>
      </c>
      <c r="H15" s="6">
        <v>6.7</v>
      </c>
      <c r="I15" s="6">
        <v>3.67</v>
      </c>
      <c r="J15" s="12">
        <f t="shared" si="0"/>
        <v>0.63215258855585832</v>
      </c>
      <c r="K15" s="11">
        <v>4.7245409015025039E-2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0.20731760223963328</v>
      </c>
      <c r="Q15" s="12">
        <v>0.16357040581906512</v>
      </c>
      <c r="R15" s="14">
        <v>12</v>
      </c>
    </row>
    <row r="16" spans="2:22" x14ac:dyDescent="0.5">
      <c r="B16" s="1" t="s">
        <v>254</v>
      </c>
      <c r="C16" t="s">
        <v>305</v>
      </c>
      <c r="D16" t="s">
        <v>306</v>
      </c>
      <c r="E16">
        <v>14.8</v>
      </c>
      <c r="F16" s="9" t="s">
        <v>68</v>
      </c>
      <c r="G16" s="7">
        <v>53191475200</v>
      </c>
      <c r="H16" s="6">
        <v>19.600000000000001</v>
      </c>
      <c r="I16" s="6">
        <v>9.56</v>
      </c>
      <c r="J16" s="12">
        <f t="shared" si="0"/>
        <v>0.54811715481171541</v>
      </c>
      <c r="K16" s="11">
        <v>2.3648648648648646E-2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0.28138213193888284</v>
      </c>
      <c r="Q16" s="12">
        <v>0.15251313559762292</v>
      </c>
      <c r="R16" s="14">
        <v>11</v>
      </c>
    </row>
    <row r="17" spans="2:18" x14ac:dyDescent="0.5">
      <c r="B17" s="1" t="s">
        <v>24</v>
      </c>
      <c r="C17" t="s">
        <v>82</v>
      </c>
      <c r="D17" t="s">
        <v>83</v>
      </c>
      <c r="E17">
        <v>23.7</v>
      </c>
      <c r="F17" s="9" t="s">
        <v>68</v>
      </c>
      <c r="G17" s="7">
        <v>46960828416</v>
      </c>
      <c r="H17" s="6">
        <v>26</v>
      </c>
      <c r="I17" s="6">
        <v>9.2200000000000006</v>
      </c>
      <c r="J17" s="12">
        <f t="shared" si="0"/>
        <v>1.5704989154013012</v>
      </c>
      <c r="K17" s="11">
        <v>4.725738396624473E-2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0.1155089439192057</v>
      </c>
      <c r="Q17" s="12">
        <v>0.20973136925592797</v>
      </c>
      <c r="R17" s="14">
        <v>21</v>
      </c>
    </row>
    <row r="18" spans="2:18" x14ac:dyDescent="0.5">
      <c r="B18" s="1" t="s">
        <v>294</v>
      </c>
      <c r="C18" t="s">
        <v>352</v>
      </c>
      <c r="D18" t="s">
        <v>77</v>
      </c>
      <c r="E18">
        <v>29.46</v>
      </c>
      <c r="F18" s="9" t="s">
        <v>68</v>
      </c>
      <c r="G18" s="7">
        <v>78924275712</v>
      </c>
      <c r="H18" s="6">
        <v>31.8</v>
      </c>
      <c r="I18" s="6">
        <v>15.7</v>
      </c>
      <c r="J18" s="12">
        <f t="shared" si="0"/>
        <v>0.87643312101910853</v>
      </c>
      <c r="K18" s="11">
        <v>1.1948404616429055E-2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0.10795616661633108</v>
      </c>
      <c r="Q18" s="12">
        <v>0.41587371596437778</v>
      </c>
      <c r="R18" s="14">
        <v>18</v>
      </c>
    </row>
    <row r="19" spans="2:18" x14ac:dyDescent="0.5">
      <c r="B19" s="1" t="s">
        <v>291</v>
      </c>
      <c r="C19" t="s">
        <v>349</v>
      </c>
      <c r="D19" t="s">
        <v>87</v>
      </c>
      <c r="E19">
        <v>7.92</v>
      </c>
      <c r="F19" s="9" t="s">
        <v>68</v>
      </c>
      <c r="G19" s="7">
        <v>101615337472</v>
      </c>
      <c r="H19" s="6">
        <v>8.9700000000000006</v>
      </c>
      <c r="I19" s="6">
        <v>5.73</v>
      </c>
      <c r="J19" s="12">
        <f t="shared" si="0"/>
        <v>0.38219895287958106</v>
      </c>
      <c r="K19" s="11">
        <v>9.7222222222222224E-3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0.17158418251076579</v>
      </c>
      <c r="Q19" s="12">
        <v>0.18273566673824351</v>
      </c>
      <c r="R19" s="14">
        <v>13</v>
      </c>
    </row>
    <row r="20" spans="2:18" x14ac:dyDescent="0.5">
      <c r="B20" s="1" t="s">
        <v>295</v>
      </c>
      <c r="C20" t="s">
        <v>353</v>
      </c>
      <c r="D20" t="s">
        <v>87</v>
      </c>
      <c r="E20">
        <v>1.05</v>
      </c>
      <c r="F20" s="9" t="s">
        <v>68</v>
      </c>
      <c r="G20" s="7">
        <v>2297939712</v>
      </c>
      <c r="H20" s="6">
        <v>1.07</v>
      </c>
      <c r="I20" s="6">
        <v>0.46</v>
      </c>
      <c r="J20" s="12">
        <f t="shared" si="0"/>
        <v>1.2826086956521738</v>
      </c>
      <c r="K20" s="11">
        <v>3.5238095238095235E-2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0.16567627470625682</v>
      </c>
      <c r="Q20" s="12">
        <v>0.14466826109721026</v>
      </c>
      <c r="R20" s="14">
        <v>27</v>
      </c>
    </row>
    <row r="21" spans="2:18" x14ac:dyDescent="0.5">
      <c r="B21" s="1" t="s">
        <v>32</v>
      </c>
      <c r="C21" t="s">
        <v>95</v>
      </c>
      <c r="D21" t="s">
        <v>96</v>
      </c>
      <c r="E21">
        <v>15.3</v>
      </c>
      <c r="F21" s="9" t="s">
        <v>68</v>
      </c>
      <c r="G21" s="7">
        <v>12807745536</v>
      </c>
      <c r="H21" s="6">
        <v>19.440000000000001</v>
      </c>
      <c r="I21" s="6">
        <v>12.5</v>
      </c>
      <c r="J21" s="12">
        <f t="shared" si="0"/>
        <v>0.22399999999999998</v>
      </c>
      <c r="K21" s="11">
        <v>8.5620915032679733E-3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0.15920518500608749</v>
      </c>
      <c r="Q21" s="12">
        <v>0.18009145491283626</v>
      </c>
      <c r="R21" s="14">
        <v>14</v>
      </c>
    </row>
    <row r="22" spans="2:18" x14ac:dyDescent="0.5">
      <c r="B22" s="1" t="s">
        <v>20</v>
      </c>
      <c r="C22" t="s">
        <v>73</v>
      </c>
      <c r="D22" t="s">
        <v>74</v>
      </c>
      <c r="E22">
        <v>3.38</v>
      </c>
      <c r="F22" s="9" t="s">
        <v>68</v>
      </c>
      <c r="G22" s="7">
        <v>3514551040</v>
      </c>
      <c r="H22" s="6">
        <v>3.74</v>
      </c>
      <c r="I22" s="6">
        <v>1.92</v>
      </c>
      <c r="J22" s="12">
        <f t="shared" si="0"/>
        <v>0.76041666666666674</v>
      </c>
      <c r="K22" s="11">
        <v>8.4023668639053251E-2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0.17893341679426034</v>
      </c>
      <c r="Q22" s="12">
        <v>0.15218339726363278</v>
      </c>
      <c r="R22" s="14">
        <v>18</v>
      </c>
    </row>
    <row r="23" spans="2:18" x14ac:dyDescent="0.5">
      <c r="B23" s="1" t="s">
        <v>23</v>
      </c>
      <c r="C23" t="s">
        <v>80</v>
      </c>
      <c r="D23" t="s">
        <v>81</v>
      </c>
      <c r="E23">
        <v>6.86</v>
      </c>
      <c r="F23" s="9" t="s">
        <v>68</v>
      </c>
      <c r="G23" s="7">
        <v>59400744960</v>
      </c>
      <c r="H23" s="6">
        <v>8.48</v>
      </c>
      <c r="I23" s="6">
        <v>6.8</v>
      </c>
      <c r="J23" s="12">
        <f t="shared" si="0"/>
        <v>8.8235294117646745E-3</v>
      </c>
      <c r="K23" s="11">
        <v>4.6355685131195333E-2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0.25816938934162437</v>
      </c>
      <c r="Q23" s="12">
        <v>0.15165160081705431</v>
      </c>
      <c r="R23" s="14">
        <v>12</v>
      </c>
    </row>
    <row r="24" spans="2:18" x14ac:dyDescent="0.5">
      <c r="B24" s="1" t="s">
        <v>22</v>
      </c>
      <c r="C24" t="s">
        <v>78</v>
      </c>
      <c r="D24" t="s">
        <v>79</v>
      </c>
      <c r="E24">
        <v>9.39</v>
      </c>
      <c r="F24" s="9" t="s">
        <v>68</v>
      </c>
      <c r="G24" s="7">
        <v>151847829504</v>
      </c>
      <c r="H24" s="6">
        <v>10.63</v>
      </c>
      <c r="I24" s="6">
        <v>7.16</v>
      </c>
      <c r="J24" s="12">
        <f t="shared" si="0"/>
        <v>0.31145251396648055</v>
      </c>
      <c r="K24" s="11">
        <v>4.515441959531416E-2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0.18600028487257819</v>
      </c>
      <c r="Q24" s="12">
        <v>0.15266623500015464</v>
      </c>
      <c r="R24" s="14">
        <v>16</v>
      </c>
    </row>
    <row r="25" spans="2:18" x14ac:dyDescent="0.5">
      <c r="B25" s="1" t="s">
        <v>289</v>
      </c>
      <c r="C25" t="s">
        <v>347</v>
      </c>
      <c r="D25" t="s">
        <v>71</v>
      </c>
      <c r="E25">
        <v>3.64</v>
      </c>
      <c r="F25" s="9" t="s">
        <v>68</v>
      </c>
      <c r="G25" s="7">
        <v>2090015104</v>
      </c>
      <c r="H25" s="6">
        <v>4.84</v>
      </c>
      <c r="I25" s="6">
        <v>2.8</v>
      </c>
      <c r="J25" s="12">
        <f t="shared" si="0"/>
        <v>0.30000000000000004</v>
      </c>
      <c r="K25" s="11">
        <v>7.1428571428571425E-2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0.12400376368197102</v>
      </c>
      <c r="Q25" s="12">
        <v>0.12269104771613493</v>
      </c>
      <c r="R25" s="14">
        <v>41</v>
      </c>
    </row>
    <row r="26" spans="2:18" x14ac:dyDescent="0.5">
      <c r="B26" s="1" t="s">
        <v>274</v>
      </c>
      <c r="C26" t="s">
        <v>330</v>
      </c>
      <c r="D26" t="s">
        <v>96</v>
      </c>
      <c r="E26">
        <v>13.19</v>
      </c>
      <c r="F26" s="9" t="s">
        <v>68</v>
      </c>
      <c r="G26" s="7">
        <v>21162436608</v>
      </c>
      <c r="H26" s="6">
        <v>18.399999999999999</v>
      </c>
      <c r="I26" s="6">
        <v>9.6300000000000008</v>
      </c>
      <c r="J26" s="12">
        <f t="shared" si="0"/>
        <v>0.36967808930425727</v>
      </c>
      <c r="K26" s="11">
        <v>1.2661106899166037E-2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0.21413232031780352</v>
      </c>
      <c r="Q26" s="12">
        <v>0.12218132992627646</v>
      </c>
      <c r="R26" s="14">
        <v>24</v>
      </c>
    </row>
    <row r="27" spans="2:18" x14ac:dyDescent="0.5">
      <c r="B27" s="1" t="s">
        <v>287</v>
      </c>
      <c r="C27" t="s">
        <v>345</v>
      </c>
      <c r="D27" t="s">
        <v>75</v>
      </c>
      <c r="E27">
        <v>5.84</v>
      </c>
      <c r="F27" s="9" t="s">
        <v>68</v>
      </c>
      <c r="G27" s="7">
        <v>15745457152</v>
      </c>
      <c r="H27" s="6">
        <v>6.83</v>
      </c>
      <c r="I27" s="6">
        <v>4.46</v>
      </c>
      <c r="J27" s="12">
        <f t="shared" si="0"/>
        <v>0.3094170403587444</v>
      </c>
      <c r="K27" s="11">
        <v>4.2636986301369861E-2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0.13735002160318122</v>
      </c>
      <c r="Q27" s="12">
        <v>0.17526328902672489</v>
      </c>
      <c r="R27" s="14">
        <v>20</v>
      </c>
    </row>
    <row r="28" spans="2:18" x14ac:dyDescent="0.5">
      <c r="B28" s="1" t="s">
        <v>284</v>
      </c>
      <c r="C28" t="s">
        <v>342</v>
      </c>
      <c r="D28" t="s">
        <v>61</v>
      </c>
      <c r="E28">
        <v>10.41</v>
      </c>
      <c r="F28" s="9" t="s">
        <v>68</v>
      </c>
      <c r="G28" s="7">
        <v>17259823104</v>
      </c>
      <c r="H28" s="6">
        <v>12.4</v>
      </c>
      <c r="I28" s="6">
        <v>9.1</v>
      </c>
      <c r="J28" s="12">
        <f t="shared" si="0"/>
        <v>0.14395604395604411</v>
      </c>
      <c r="K28" s="11">
        <v>5.7636887608069162E-2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0.23874260382723203</v>
      </c>
      <c r="Q28" s="12">
        <v>0.11773304155211949</v>
      </c>
      <c r="R28" s="14">
        <v>23</v>
      </c>
    </row>
    <row r="29" spans="2:18" x14ac:dyDescent="0.5">
      <c r="B29" s="1" t="s">
        <v>293</v>
      </c>
      <c r="C29" t="s">
        <v>351</v>
      </c>
      <c r="D29" t="s">
        <v>54</v>
      </c>
      <c r="E29">
        <v>4.24</v>
      </c>
      <c r="F29" s="9" t="s">
        <v>68</v>
      </c>
      <c r="G29" s="7">
        <v>16443071488</v>
      </c>
      <c r="H29" s="6">
        <v>6.06</v>
      </c>
      <c r="I29" s="6">
        <v>3.33</v>
      </c>
      <c r="J29" s="12">
        <f t="shared" si="0"/>
        <v>0.27327327327327322</v>
      </c>
      <c r="K29" s="11">
        <v>6.3679245283018868E-2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0.16164895419251754</v>
      </c>
      <c r="Q29" s="12">
        <v>0.16681818624944278</v>
      </c>
      <c r="R29" s="14">
        <v>17</v>
      </c>
    </row>
    <row r="30" spans="2:18" x14ac:dyDescent="0.5">
      <c r="B30" s="1" t="s">
        <v>292</v>
      </c>
      <c r="C30" t="s">
        <v>350</v>
      </c>
      <c r="D30" t="s">
        <v>239</v>
      </c>
      <c r="E30">
        <v>13.35</v>
      </c>
      <c r="F30" s="9" t="s">
        <v>68</v>
      </c>
      <c r="G30" s="7">
        <v>13227896832</v>
      </c>
      <c r="H30" s="6">
        <v>14.08</v>
      </c>
      <c r="I30" s="6">
        <v>5.43</v>
      </c>
      <c r="J30" s="12">
        <f t="shared" si="0"/>
        <v>1.4585635359116025</v>
      </c>
      <c r="K30" s="11">
        <v>2.651685393258427E-2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0.10915152693193519</v>
      </c>
      <c r="Q30" s="12">
        <v>0.16622802330680692</v>
      </c>
      <c r="R30" s="14">
        <v>39</v>
      </c>
    </row>
    <row r="31" spans="2:18" x14ac:dyDescent="0.5">
      <c r="B31" s="1" t="s">
        <v>201</v>
      </c>
      <c r="C31" t="s">
        <v>225</v>
      </c>
      <c r="D31" t="s">
        <v>226</v>
      </c>
      <c r="E31">
        <v>0.68</v>
      </c>
      <c r="F31" s="9" t="s">
        <v>68</v>
      </c>
      <c r="G31" s="7">
        <v>1619900032</v>
      </c>
      <c r="H31" s="6">
        <v>0.75</v>
      </c>
      <c r="I31" s="6">
        <v>0.55000000000000004</v>
      </c>
      <c r="J31" s="12">
        <f t="shared" si="0"/>
        <v>0.23636363636363633</v>
      </c>
      <c r="K31" s="11">
        <v>1.4705882352941176E-2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1.2993597207955965</v>
      </c>
      <c r="Q31" s="12">
        <v>9.2370860611101543E-2</v>
      </c>
      <c r="R31" s="14">
        <v>27</v>
      </c>
    </row>
    <row r="32" spans="2:18" x14ac:dyDescent="0.5">
      <c r="B32" s="1" t="s">
        <v>27</v>
      </c>
      <c r="C32" t="s">
        <v>88</v>
      </c>
      <c r="D32" t="s">
        <v>89</v>
      </c>
      <c r="E32">
        <v>5.7</v>
      </c>
      <c r="F32" s="9" t="s">
        <v>68</v>
      </c>
      <c r="G32" s="7">
        <v>6041099264</v>
      </c>
      <c r="H32" s="6">
        <v>7.12</v>
      </c>
      <c r="I32" s="6">
        <v>3.98</v>
      </c>
      <c r="J32" s="12">
        <f t="shared" si="0"/>
        <v>0.4321608040201006</v>
      </c>
      <c r="K32" s="11">
        <v>8.771929824561403E-2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0.28463321327727531</v>
      </c>
      <c r="Q32" s="12">
        <v>0.11511220438953086</v>
      </c>
      <c r="R32" s="14">
        <v>22</v>
      </c>
    </row>
    <row r="33" spans="2:18" x14ac:dyDescent="0.5">
      <c r="B33" s="1" t="s">
        <v>25</v>
      </c>
      <c r="C33" t="s">
        <v>84</v>
      </c>
      <c r="D33" t="s">
        <v>50</v>
      </c>
      <c r="E33">
        <v>11.04</v>
      </c>
      <c r="F33" s="9" t="s">
        <v>68</v>
      </c>
      <c r="G33" s="7">
        <v>13749426176</v>
      </c>
      <c r="H33" s="6">
        <v>11.68</v>
      </c>
      <c r="I33" s="6">
        <v>3.89</v>
      </c>
      <c r="J33" s="12">
        <f t="shared" si="0"/>
        <v>1.8380462724935729</v>
      </c>
      <c r="K33" s="11">
        <v>1.2771739130434782E-2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8.7201387334052916E-2</v>
      </c>
      <c r="Q33" s="12">
        <v>0.17514380877385538</v>
      </c>
      <c r="R33" s="14">
        <v>45</v>
      </c>
    </row>
    <row r="34" spans="2:18" x14ac:dyDescent="0.5">
      <c r="B34" s="1" t="s">
        <v>34</v>
      </c>
      <c r="C34" t="s">
        <v>99</v>
      </c>
      <c r="D34" t="s">
        <v>71</v>
      </c>
      <c r="E34">
        <v>4.58</v>
      </c>
      <c r="F34" s="9" t="s">
        <v>68</v>
      </c>
      <c r="G34" s="7">
        <v>52688355328</v>
      </c>
      <c r="H34" s="6">
        <v>5.0999999999999996</v>
      </c>
      <c r="I34" s="6">
        <v>3.46</v>
      </c>
      <c r="J34" s="12">
        <f t="shared" ref="J34:J65" si="1">E34/I34-1</f>
        <v>0.32369942196531798</v>
      </c>
      <c r="K34" s="11">
        <v>5.6986899563318781E-2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0.11267491533949049</v>
      </c>
      <c r="Q34" s="12">
        <v>0.29719681912231338</v>
      </c>
      <c r="R34" s="14">
        <v>15</v>
      </c>
    </row>
    <row r="35" spans="2:18" x14ac:dyDescent="0.5">
      <c r="B35" s="1" t="s">
        <v>290</v>
      </c>
      <c r="C35" t="s">
        <v>348</v>
      </c>
      <c r="D35" t="s">
        <v>50</v>
      </c>
      <c r="E35">
        <v>13.29</v>
      </c>
      <c r="F35" s="9" t="s">
        <v>68</v>
      </c>
      <c r="G35" s="7">
        <v>29720107008</v>
      </c>
      <c r="H35" s="6">
        <v>13.3</v>
      </c>
      <c r="I35" s="6">
        <v>2.36</v>
      </c>
      <c r="J35" s="12">
        <f t="shared" si="1"/>
        <v>4.6313559322033901</v>
      </c>
      <c r="K35" s="11">
        <v>1.7381489841986456E-2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0.11034168031625269</v>
      </c>
      <c r="Q35" s="12">
        <v>9.29654274042198E-2</v>
      </c>
      <c r="R35" s="14">
        <v>62</v>
      </c>
    </row>
    <row r="36" spans="2:18" x14ac:dyDescent="0.5">
      <c r="B36" s="1" t="s">
        <v>143</v>
      </c>
      <c r="C36" t="s">
        <v>192</v>
      </c>
      <c r="D36" t="s">
        <v>181</v>
      </c>
      <c r="E36">
        <v>11.71</v>
      </c>
      <c r="F36" s="9" t="s">
        <v>68</v>
      </c>
      <c r="G36" s="7">
        <v>145258561536</v>
      </c>
      <c r="H36" s="6">
        <v>13.6</v>
      </c>
      <c r="I36" s="6">
        <v>6.57</v>
      </c>
      <c r="J36" s="12">
        <f t="shared" si="1"/>
        <v>0.78234398782343995</v>
      </c>
      <c r="K36" s="11">
        <v>4.269854824935952E-3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0.11318078279496724</v>
      </c>
      <c r="Q36" s="12">
        <v>0.19681397761416858</v>
      </c>
      <c r="R36" s="14">
        <v>26</v>
      </c>
    </row>
    <row r="37" spans="2:18" x14ac:dyDescent="0.5">
      <c r="B37" s="1" t="s">
        <v>288</v>
      </c>
      <c r="C37" t="s">
        <v>346</v>
      </c>
      <c r="D37" t="s">
        <v>98</v>
      </c>
      <c r="E37">
        <v>4.66</v>
      </c>
      <c r="F37" s="9" t="s">
        <v>68</v>
      </c>
      <c r="G37" s="7">
        <v>5130434048</v>
      </c>
      <c r="H37" s="6">
        <v>4.8099999999999996</v>
      </c>
      <c r="I37" s="6">
        <v>3.91</v>
      </c>
      <c r="J37" s="12">
        <f t="shared" si="1"/>
        <v>0.19181585677749369</v>
      </c>
      <c r="K37" s="11">
        <v>6.8669527896995708E-2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0.16942122323242575</v>
      </c>
      <c r="Q37" s="12">
        <v>0.14577225152582682</v>
      </c>
      <c r="R37" s="14">
        <v>25</v>
      </c>
    </row>
    <row r="38" spans="2:18" x14ac:dyDescent="0.5">
      <c r="B38" s="1" t="s">
        <v>124</v>
      </c>
      <c r="C38" t="s">
        <v>165</v>
      </c>
      <c r="D38" t="s">
        <v>77</v>
      </c>
      <c r="E38">
        <v>5.78</v>
      </c>
      <c r="F38" s="9" t="s">
        <v>68</v>
      </c>
      <c r="G38" s="7">
        <v>8473315328</v>
      </c>
      <c r="H38" s="6">
        <v>6.57</v>
      </c>
      <c r="I38" s="6">
        <v>4.0199999999999996</v>
      </c>
      <c r="J38" s="12">
        <f t="shared" si="1"/>
        <v>0.43781094527363207</v>
      </c>
      <c r="K38" s="11">
        <v>9.4290657439446368E-2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0.28502005276545217</v>
      </c>
      <c r="Q38" s="12">
        <v>9.9663185641922489E-2</v>
      </c>
      <c r="R38" s="14">
        <v>30</v>
      </c>
    </row>
    <row r="39" spans="2:18" x14ac:dyDescent="0.5">
      <c r="B39" s="1" t="s">
        <v>19</v>
      </c>
      <c r="C39" t="s">
        <v>70</v>
      </c>
      <c r="D39" t="s">
        <v>71</v>
      </c>
      <c r="E39">
        <v>6.89</v>
      </c>
      <c r="F39" s="9" t="s">
        <v>68</v>
      </c>
      <c r="G39" s="7">
        <v>19655944192</v>
      </c>
      <c r="H39" s="6">
        <v>7.3</v>
      </c>
      <c r="I39" s="6">
        <v>3.6</v>
      </c>
      <c r="J39" s="12">
        <f t="shared" si="1"/>
        <v>0.91388888888888875</v>
      </c>
      <c r="K39" s="11">
        <v>6.5312046444121917E-3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0.11260056030119388</v>
      </c>
      <c r="Q39" s="12">
        <v>0.15459217096529801</v>
      </c>
      <c r="R39" s="14">
        <v>38</v>
      </c>
    </row>
    <row r="40" spans="2:18" x14ac:dyDescent="0.5">
      <c r="B40" s="1" t="s">
        <v>286</v>
      </c>
      <c r="C40" t="s">
        <v>344</v>
      </c>
      <c r="D40" t="s">
        <v>98</v>
      </c>
      <c r="E40">
        <v>4.41</v>
      </c>
      <c r="F40" s="9" t="s">
        <v>68</v>
      </c>
      <c r="G40" s="7">
        <v>30543740928</v>
      </c>
      <c r="H40" s="6">
        <v>6.15</v>
      </c>
      <c r="I40" s="6">
        <v>3.78</v>
      </c>
      <c r="J40" s="12">
        <f t="shared" si="1"/>
        <v>0.16666666666666674</v>
      </c>
      <c r="K40" s="11">
        <v>4.9659863945578232E-2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0.38398829885818259</v>
      </c>
      <c r="Q40" s="12">
        <v>9.1377422623841298E-2</v>
      </c>
      <c r="R40" s="14">
        <v>36</v>
      </c>
    </row>
    <row r="41" spans="2:18" x14ac:dyDescent="0.5">
      <c r="B41" s="1" t="s">
        <v>276</v>
      </c>
      <c r="C41" t="s">
        <v>332</v>
      </c>
      <c r="D41" t="s">
        <v>304</v>
      </c>
      <c r="E41">
        <v>3.8</v>
      </c>
      <c r="F41" s="9" t="s">
        <v>68</v>
      </c>
      <c r="G41" s="7">
        <v>43705786368</v>
      </c>
      <c r="H41" s="6">
        <v>4.54</v>
      </c>
      <c r="I41" s="6">
        <v>2.5</v>
      </c>
      <c r="J41" s="12">
        <f t="shared" si="1"/>
        <v>0.52</v>
      </c>
      <c r="K41" s="11">
        <v>0.05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0.17335862114574452</v>
      </c>
      <c r="Q41" s="12">
        <v>0.11538320116682396</v>
      </c>
      <c r="R41" s="14">
        <v>33</v>
      </c>
    </row>
    <row r="42" spans="2:18" x14ac:dyDescent="0.5">
      <c r="B42" s="1" t="s">
        <v>280</v>
      </c>
      <c r="C42" t="s">
        <v>338</v>
      </c>
      <c r="D42" t="s">
        <v>151</v>
      </c>
      <c r="E42">
        <v>28.8</v>
      </c>
      <c r="F42" s="9" t="s">
        <v>68</v>
      </c>
      <c r="G42" s="7">
        <v>205371047936</v>
      </c>
      <c r="H42" s="6">
        <v>34.119999999999997</v>
      </c>
      <c r="I42" s="6">
        <v>21</v>
      </c>
      <c r="J42" s="12">
        <f t="shared" si="1"/>
        <v>0.37142857142857144</v>
      </c>
      <c r="K42" s="11">
        <v>4.5798611111111109E-2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0.18696797542254315</v>
      </c>
      <c r="Q42" s="12">
        <v>0.11493949471384535</v>
      </c>
      <c r="R42" s="14">
        <v>33</v>
      </c>
    </row>
    <row r="43" spans="2:18" x14ac:dyDescent="0.5">
      <c r="B43" s="1" t="s">
        <v>139</v>
      </c>
      <c r="C43" t="s">
        <v>186</v>
      </c>
      <c r="D43" t="s">
        <v>87</v>
      </c>
      <c r="E43">
        <v>10.32</v>
      </c>
      <c r="F43" s="9" t="s">
        <v>68</v>
      </c>
      <c r="G43" s="7">
        <v>58168848384</v>
      </c>
      <c r="H43" s="6">
        <v>14.24</v>
      </c>
      <c r="I43" s="6">
        <v>9.6199999999999992</v>
      </c>
      <c r="J43" s="12">
        <f t="shared" si="1"/>
        <v>7.2765072765072825E-2</v>
      </c>
      <c r="K43" s="11">
        <v>3.2073643410852712E-2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0.1072532748211901</v>
      </c>
      <c r="Q43" s="12">
        <v>0.23588267049650188</v>
      </c>
      <c r="R43" s="14">
        <v>28</v>
      </c>
    </row>
    <row r="44" spans="2:18" x14ac:dyDescent="0.5">
      <c r="B44" s="1" t="s">
        <v>29</v>
      </c>
      <c r="C44" t="s">
        <v>91</v>
      </c>
      <c r="D44" t="s">
        <v>87</v>
      </c>
      <c r="E44">
        <v>5.18</v>
      </c>
      <c r="F44" s="9" t="s">
        <v>68</v>
      </c>
      <c r="G44" s="7">
        <v>61139906560</v>
      </c>
      <c r="H44" s="6">
        <v>5.97</v>
      </c>
      <c r="I44" s="6">
        <v>4.34</v>
      </c>
      <c r="J44" s="12">
        <f t="shared" si="1"/>
        <v>0.19354838709677424</v>
      </c>
      <c r="K44" s="11">
        <v>2.8571428571428571E-2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0.1110530149028735</v>
      </c>
      <c r="Q44" s="12">
        <v>0.27010748742934609</v>
      </c>
      <c r="R44" s="14">
        <v>21</v>
      </c>
    </row>
    <row r="45" spans="2:18" x14ac:dyDescent="0.5">
      <c r="B45" s="1" t="s">
        <v>118</v>
      </c>
      <c r="C45" t="s">
        <v>158</v>
      </c>
      <c r="D45" t="s">
        <v>85</v>
      </c>
      <c r="E45">
        <v>89.4</v>
      </c>
      <c r="F45" s="9" t="s">
        <v>68</v>
      </c>
      <c r="G45" s="7">
        <v>247682662400</v>
      </c>
      <c r="H45" s="6">
        <v>106.3</v>
      </c>
      <c r="I45" s="6">
        <v>73.55</v>
      </c>
      <c r="J45" s="12">
        <f t="shared" si="1"/>
        <v>0.21549966009517352</v>
      </c>
      <c r="K45" s="11">
        <v>2.6510067114093958E-2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9.0561280873251521E-2</v>
      </c>
      <c r="Q45" s="12">
        <v>0.27269973953601068</v>
      </c>
      <c r="R45" s="14">
        <v>31</v>
      </c>
    </row>
    <row r="46" spans="2:18" x14ac:dyDescent="0.5">
      <c r="B46" s="1" t="s">
        <v>282</v>
      </c>
      <c r="C46" t="s">
        <v>340</v>
      </c>
      <c r="D46" t="s">
        <v>56</v>
      </c>
      <c r="E46">
        <v>10.66</v>
      </c>
      <c r="F46" s="9" t="s">
        <v>68</v>
      </c>
      <c r="G46" s="7">
        <v>26872129536</v>
      </c>
      <c r="H46" s="6">
        <v>11.37</v>
      </c>
      <c r="I46" s="6">
        <v>4.72</v>
      </c>
      <c r="J46" s="12">
        <f t="shared" si="1"/>
        <v>1.2584745762711864</v>
      </c>
      <c r="K46" s="11">
        <v>2.9831144465290806E-2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0.14311817006425076</v>
      </c>
      <c r="Q46" s="12">
        <v>0.15134190781174311</v>
      </c>
      <c r="R46" s="14">
        <v>27</v>
      </c>
    </row>
    <row r="47" spans="2:18" x14ac:dyDescent="0.5">
      <c r="B47" s="1" t="s">
        <v>281</v>
      </c>
      <c r="C47" t="s">
        <v>339</v>
      </c>
      <c r="D47" t="s">
        <v>54</v>
      </c>
      <c r="E47">
        <v>25.36</v>
      </c>
      <c r="F47" s="9" t="s">
        <v>68</v>
      </c>
      <c r="G47" s="7">
        <v>252144517120</v>
      </c>
      <c r="H47" s="6">
        <v>32.75</v>
      </c>
      <c r="I47" s="6">
        <v>19.239999999999998</v>
      </c>
      <c r="J47" s="12">
        <f t="shared" si="1"/>
        <v>0.31808731808731827</v>
      </c>
      <c r="K47" s="11">
        <v>4.8659305993690852E-2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0.11321351797412686</v>
      </c>
      <c r="Q47" s="12">
        <v>0.18884873513587705</v>
      </c>
      <c r="R47" s="14">
        <v>27</v>
      </c>
    </row>
    <row r="48" spans="2:18" x14ac:dyDescent="0.5">
      <c r="B48" s="1" t="s">
        <v>278</v>
      </c>
      <c r="C48" t="s">
        <v>334</v>
      </c>
      <c r="D48" t="s">
        <v>335</v>
      </c>
      <c r="E48">
        <v>7.9</v>
      </c>
      <c r="F48" s="9" t="s">
        <v>68</v>
      </c>
      <c r="G48" s="7">
        <v>10129656832</v>
      </c>
      <c r="H48" s="6">
        <v>8.31</v>
      </c>
      <c r="I48" s="6">
        <v>3.73</v>
      </c>
      <c r="J48" s="12">
        <f t="shared" si="1"/>
        <v>1.1179624664879357</v>
      </c>
      <c r="K48" s="11">
        <v>3.2911392405063293E-2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0.13255043371807709</v>
      </c>
      <c r="Q48" s="12">
        <v>0.1318118502166547</v>
      </c>
      <c r="R48" s="14">
        <v>38</v>
      </c>
    </row>
    <row r="49" spans="2:18" x14ac:dyDescent="0.5">
      <c r="B49" s="1" t="s">
        <v>273</v>
      </c>
      <c r="C49" t="s">
        <v>329</v>
      </c>
      <c r="D49" t="s">
        <v>87</v>
      </c>
      <c r="E49">
        <v>11.5</v>
      </c>
      <c r="F49" s="9" t="s">
        <v>68</v>
      </c>
      <c r="G49" s="7">
        <v>2699302912</v>
      </c>
      <c r="H49" s="6">
        <v>17</v>
      </c>
      <c r="I49" s="6">
        <v>8</v>
      </c>
      <c r="J49" s="12">
        <f t="shared" si="1"/>
        <v>0.4375</v>
      </c>
      <c r="K49" s="11">
        <v>4.1739130434782605E-2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0.24559520710867622</v>
      </c>
      <c r="Q49" s="12">
        <v>8.4294835486117978E-2</v>
      </c>
      <c r="R49" s="14">
        <v>42</v>
      </c>
    </row>
    <row r="50" spans="2:18" x14ac:dyDescent="0.5">
      <c r="B50" s="1" t="s">
        <v>142</v>
      </c>
      <c r="C50" t="s">
        <v>190</v>
      </c>
      <c r="D50" t="s">
        <v>109</v>
      </c>
      <c r="E50">
        <v>44.5</v>
      </c>
      <c r="F50" s="9" t="s">
        <v>68</v>
      </c>
      <c r="G50" s="7">
        <v>113867661312</v>
      </c>
      <c r="H50" s="6">
        <v>71.7</v>
      </c>
      <c r="I50" s="6">
        <v>39.549999999999997</v>
      </c>
      <c r="J50" s="12">
        <f t="shared" si="1"/>
        <v>0.1251580278128952</v>
      </c>
      <c r="K50" s="11">
        <v>3.6853932584269664E-3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8.6528009639956535E-2</v>
      </c>
      <c r="Q50" s="12">
        <v>0.26583067696212276</v>
      </c>
      <c r="R50" s="14">
        <v>35</v>
      </c>
    </row>
    <row r="51" spans="2:18" x14ac:dyDescent="0.5">
      <c r="B51" s="1" t="s">
        <v>271</v>
      </c>
      <c r="C51" t="s">
        <v>326</v>
      </c>
      <c r="D51" t="s">
        <v>174</v>
      </c>
      <c r="E51">
        <v>99.55</v>
      </c>
      <c r="F51" s="9" t="s">
        <v>68</v>
      </c>
      <c r="G51" s="7">
        <v>24372357120</v>
      </c>
      <c r="H51" s="6">
        <v>102.4</v>
      </c>
      <c r="I51" s="6">
        <v>58.2</v>
      </c>
      <c r="J51" s="12">
        <f t="shared" si="1"/>
        <v>0.71048109965635731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0.16525406078608926</v>
      </c>
      <c r="Q51" s="12">
        <v>9.8446219337080781E-2</v>
      </c>
      <c r="R51" s="14">
        <v>44</v>
      </c>
    </row>
    <row r="52" spans="2:18" x14ac:dyDescent="0.5">
      <c r="B52" s="1" t="s">
        <v>283</v>
      </c>
      <c r="C52" t="s">
        <v>341</v>
      </c>
      <c r="D52" t="s">
        <v>50</v>
      </c>
      <c r="E52">
        <v>21.62</v>
      </c>
      <c r="F52" s="9" t="s">
        <v>68</v>
      </c>
      <c r="G52" s="7">
        <v>34505523200</v>
      </c>
      <c r="H52" s="6">
        <v>24.5</v>
      </c>
      <c r="I52" s="6">
        <v>16.18</v>
      </c>
      <c r="J52" s="12">
        <f t="shared" si="1"/>
        <v>0.33621755253399277</v>
      </c>
      <c r="K52" s="11">
        <v>3.1729879740980578E-2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0.12045695152137037</v>
      </c>
      <c r="Q52" s="12">
        <v>0.1667375806872122</v>
      </c>
      <c r="R52" s="14">
        <v>29</v>
      </c>
    </row>
    <row r="53" spans="2:18" x14ac:dyDescent="0.5">
      <c r="B53" s="1" t="s">
        <v>272</v>
      </c>
      <c r="C53" t="s">
        <v>327</v>
      </c>
      <c r="D53" t="s">
        <v>328</v>
      </c>
      <c r="E53">
        <v>8.15</v>
      </c>
      <c r="F53" s="9" t="s">
        <v>68</v>
      </c>
      <c r="G53" s="7">
        <v>16530461696</v>
      </c>
      <c r="H53" s="6">
        <v>8.2899999999999991</v>
      </c>
      <c r="I53" s="6">
        <v>5.31</v>
      </c>
      <c r="J53" s="12">
        <f t="shared" si="1"/>
        <v>0.5348399246704334</v>
      </c>
      <c r="K53" s="11">
        <v>3.3128834355828224E-2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0.1352608246360982</v>
      </c>
      <c r="Q53" s="12">
        <v>0.10614925092863724</v>
      </c>
      <c r="R53" s="14">
        <v>46</v>
      </c>
    </row>
    <row r="54" spans="2:18" x14ac:dyDescent="0.5">
      <c r="B54" s="1" t="s">
        <v>275</v>
      </c>
      <c r="C54" t="s">
        <v>331</v>
      </c>
      <c r="D54" t="s">
        <v>96</v>
      </c>
      <c r="E54">
        <v>0.495</v>
      </c>
      <c r="F54" s="9" t="s">
        <v>68</v>
      </c>
      <c r="G54" s="7">
        <v>2565938944</v>
      </c>
      <c r="H54" s="6">
        <v>0.68</v>
      </c>
      <c r="I54" s="6">
        <v>0.46</v>
      </c>
      <c r="J54" s="12">
        <f t="shared" si="1"/>
        <v>7.6086956521739024E-2</v>
      </c>
      <c r="K54" s="11">
        <v>4.0404040404040407E-2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0.30359169747725695</v>
      </c>
      <c r="Q54" s="12">
        <v>8.5775443346640556E-2</v>
      </c>
      <c r="R54" s="14">
        <v>38</v>
      </c>
    </row>
    <row r="55" spans="2:18" x14ac:dyDescent="0.5">
      <c r="B55" s="1" t="s">
        <v>279</v>
      </c>
      <c r="C55" t="s">
        <v>336</v>
      </c>
      <c r="D55" t="s">
        <v>337</v>
      </c>
      <c r="E55">
        <v>2.87</v>
      </c>
      <c r="F55" s="9" t="s">
        <v>68</v>
      </c>
      <c r="G55" s="7">
        <v>6517951488</v>
      </c>
      <c r="H55" s="6">
        <v>4.55</v>
      </c>
      <c r="I55" s="6">
        <v>2.8</v>
      </c>
      <c r="J55" s="12">
        <f t="shared" si="1"/>
        <v>2.5000000000000133E-2</v>
      </c>
      <c r="K55" s="11">
        <v>5.3658536585365853E-2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0.19661033601914346</v>
      </c>
      <c r="Q55" s="12">
        <v>0.14788755315990715</v>
      </c>
      <c r="R55" s="14">
        <v>19</v>
      </c>
    </row>
    <row r="56" spans="2:18" x14ac:dyDescent="0.5">
      <c r="B56" s="1" t="s">
        <v>285</v>
      </c>
      <c r="C56" t="s">
        <v>343</v>
      </c>
      <c r="D56" t="s">
        <v>181</v>
      </c>
      <c r="E56">
        <v>6.98</v>
      </c>
      <c r="F56" s="9" t="s">
        <v>68</v>
      </c>
      <c r="G56" s="7">
        <v>2959996928</v>
      </c>
      <c r="H56" s="6">
        <v>14.18</v>
      </c>
      <c r="I56" s="6">
        <v>4.3</v>
      </c>
      <c r="J56" s="12">
        <f t="shared" si="1"/>
        <v>0.6232558139534885</v>
      </c>
      <c r="K56" s="11">
        <v>5.7306590257879653E-2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0.22372679238958382</v>
      </c>
      <c r="Q56" s="12">
        <v>9.4606035666412708E-2</v>
      </c>
      <c r="R56" s="14">
        <v>37</v>
      </c>
    </row>
    <row r="57" spans="2:18" x14ac:dyDescent="0.5">
      <c r="B57" s="1" t="s">
        <v>270</v>
      </c>
      <c r="C57" t="s">
        <v>325</v>
      </c>
      <c r="D57" t="s">
        <v>308</v>
      </c>
      <c r="E57">
        <v>6.77</v>
      </c>
      <c r="F57" s="9" t="s">
        <v>68</v>
      </c>
      <c r="G57" s="7">
        <v>29747542016</v>
      </c>
      <c r="H57" s="6">
        <v>7.44</v>
      </c>
      <c r="I57" s="6">
        <v>4.8</v>
      </c>
      <c r="J57" s="12">
        <f t="shared" si="1"/>
        <v>0.41041666666666665</v>
      </c>
      <c r="K57" s="11">
        <v>5.4357459379615954E-2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0.17200179898486384</v>
      </c>
      <c r="Q57" s="12">
        <v>9.2221214358852555E-2</v>
      </c>
      <c r="R57" s="14">
        <v>46</v>
      </c>
    </row>
    <row r="58" spans="2:18" x14ac:dyDescent="0.5">
      <c r="B58" s="1" t="s">
        <v>267</v>
      </c>
      <c r="C58" t="s">
        <v>321</v>
      </c>
      <c r="D58" t="s">
        <v>322</v>
      </c>
      <c r="E58">
        <v>9.15</v>
      </c>
      <c r="F58" s="9" t="s">
        <v>68</v>
      </c>
      <c r="G58" s="7">
        <v>22939928576</v>
      </c>
      <c r="H58" s="6">
        <v>10.06</v>
      </c>
      <c r="I58" s="6">
        <v>4.32</v>
      </c>
      <c r="J58" s="12">
        <f t="shared" si="1"/>
        <v>1.1180555555555554</v>
      </c>
      <c r="K58" s="11">
        <v>4.3497267759562842E-2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0.13257720573875262</v>
      </c>
      <c r="Q58" s="12">
        <v>0.102358453189061</v>
      </c>
      <c r="R58" s="14">
        <v>48</v>
      </c>
    </row>
    <row r="59" spans="2:18" x14ac:dyDescent="0.5">
      <c r="B59" s="1" t="s">
        <v>113</v>
      </c>
      <c r="C59" t="s">
        <v>150</v>
      </c>
      <c r="D59" t="s">
        <v>151</v>
      </c>
      <c r="E59">
        <v>4.57</v>
      </c>
      <c r="F59" s="9" t="s">
        <v>68</v>
      </c>
      <c r="G59" s="7">
        <v>6559830528</v>
      </c>
      <c r="H59" s="6">
        <v>6.5</v>
      </c>
      <c r="I59" s="6">
        <v>2.73</v>
      </c>
      <c r="J59" s="12">
        <f t="shared" si="1"/>
        <v>0.67399267399267404</v>
      </c>
      <c r="K59" s="11">
        <v>8.5557986870897149E-2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0.13668656920709937</v>
      </c>
      <c r="Q59" s="12">
        <v>0.14675695119790894</v>
      </c>
      <c r="R59" s="14">
        <v>34</v>
      </c>
    </row>
    <row r="60" spans="2:18" x14ac:dyDescent="0.5">
      <c r="B60" s="1" t="s">
        <v>269</v>
      </c>
      <c r="C60" t="s">
        <v>324</v>
      </c>
      <c r="D60" t="s">
        <v>306</v>
      </c>
      <c r="E60">
        <v>4.25</v>
      </c>
      <c r="F60" s="9" t="s">
        <v>68</v>
      </c>
      <c r="G60" s="7">
        <v>3927603456</v>
      </c>
      <c r="H60" s="6">
        <v>5.59</v>
      </c>
      <c r="I60" s="6">
        <v>3.5</v>
      </c>
      <c r="J60" s="12">
        <f t="shared" si="1"/>
        <v>0.21428571428571419</v>
      </c>
      <c r="K60" s="11">
        <v>3.6470588235294116E-2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0.53585225196369668</v>
      </c>
      <c r="Q60" s="12">
        <v>6.460670188445812E-2</v>
      </c>
      <c r="R60" s="14">
        <v>40</v>
      </c>
    </row>
    <row r="61" spans="2:18" x14ac:dyDescent="0.5">
      <c r="B61" s="1" t="s">
        <v>35</v>
      </c>
      <c r="C61" t="s">
        <v>100</v>
      </c>
      <c r="D61" t="s">
        <v>101</v>
      </c>
      <c r="E61">
        <v>445</v>
      </c>
      <c r="F61" s="9" t="s">
        <v>68</v>
      </c>
      <c r="G61" s="7">
        <v>562438733824</v>
      </c>
      <c r="H61" s="6">
        <v>466</v>
      </c>
      <c r="I61" s="6">
        <v>271</v>
      </c>
      <c r="J61" s="12">
        <f t="shared" si="1"/>
        <v>0.64206642066420661</v>
      </c>
      <c r="K61" s="11">
        <v>2.4494382022471912E-2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4.8312899097590484E-2</v>
      </c>
      <c r="Q61" s="12">
        <v>0.38520389214885242</v>
      </c>
      <c r="R61" s="14">
        <v>44</v>
      </c>
    </row>
    <row r="62" spans="2:18" x14ac:dyDescent="0.5">
      <c r="B62" s="1" t="s">
        <v>133</v>
      </c>
      <c r="C62" t="s">
        <v>176</v>
      </c>
      <c r="D62" t="s">
        <v>177</v>
      </c>
      <c r="E62">
        <v>34.28</v>
      </c>
      <c r="F62" s="9" t="s">
        <v>68</v>
      </c>
      <c r="G62" s="7">
        <v>869811814400</v>
      </c>
      <c r="H62" s="6">
        <v>35.1</v>
      </c>
      <c r="I62" s="6">
        <v>13.86</v>
      </c>
      <c r="J62" s="12">
        <f t="shared" si="1"/>
        <v>1.4733044733044736</v>
      </c>
      <c r="K62" s="11">
        <v>1.4585764294049008E-2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5.628842725471405E-2</v>
      </c>
      <c r="Q62" s="12">
        <v>0.19428864891763736</v>
      </c>
      <c r="R62" s="14">
        <v>49</v>
      </c>
    </row>
    <row r="63" spans="2:18" x14ac:dyDescent="0.5">
      <c r="B63" s="1" t="s">
        <v>277</v>
      </c>
      <c r="C63" t="s">
        <v>333</v>
      </c>
      <c r="D63" t="s">
        <v>83</v>
      </c>
      <c r="E63">
        <v>2.99</v>
      </c>
      <c r="F63" s="9" t="s">
        <v>68</v>
      </c>
      <c r="G63" s="7">
        <v>12797499392</v>
      </c>
      <c r="H63" s="6">
        <v>3.55</v>
      </c>
      <c r="I63" s="6">
        <v>1.39</v>
      </c>
      <c r="J63" s="12">
        <f t="shared" si="1"/>
        <v>1.1510791366906479</v>
      </c>
      <c r="K63" s="11">
        <v>4.0802675585284276E-2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0.11433103401792083</v>
      </c>
      <c r="Q63" s="12">
        <v>0.11502419323187564</v>
      </c>
      <c r="R63" s="14">
        <v>50</v>
      </c>
    </row>
    <row r="64" spans="2:18" x14ac:dyDescent="0.5">
      <c r="B64" s="1" t="s">
        <v>119</v>
      </c>
      <c r="C64" t="s">
        <v>159</v>
      </c>
      <c r="D64" t="s">
        <v>85</v>
      </c>
      <c r="E64">
        <v>254.8</v>
      </c>
      <c r="F64" s="9" t="s">
        <v>68</v>
      </c>
      <c r="G64" s="7">
        <v>338893635584</v>
      </c>
      <c r="H64" s="6">
        <v>339.8</v>
      </c>
      <c r="I64" s="6">
        <v>54.4</v>
      </c>
      <c r="J64" s="12">
        <f t="shared" si="1"/>
        <v>3.6838235294117654</v>
      </c>
      <c r="K64" s="11">
        <v>3.1985871271585555E-3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1.4126899266066792E-2</v>
      </c>
      <c r="Q64" s="12">
        <v>0.41263985929711272</v>
      </c>
      <c r="R64" s="14">
        <v>47</v>
      </c>
    </row>
    <row r="65" spans="2:18" x14ac:dyDescent="0.5">
      <c r="B65" s="1" t="s">
        <v>138</v>
      </c>
      <c r="C65" t="s">
        <v>184</v>
      </c>
      <c r="D65" t="s">
        <v>185</v>
      </c>
      <c r="E65">
        <v>327.39999999999998</v>
      </c>
      <c r="F65" s="9" t="s">
        <v>68</v>
      </c>
      <c r="G65" s="7">
        <v>121306341376</v>
      </c>
      <c r="H65" s="6">
        <v>421.4</v>
      </c>
      <c r="I65" s="6">
        <v>324</v>
      </c>
      <c r="J65" s="12">
        <f t="shared" si="1"/>
        <v>1.0493827160493741E-2</v>
      </c>
      <c r="K65" s="11">
        <v>2.4434941967012833E-3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6.8744962939240706E-2</v>
      </c>
      <c r="Q65" s="12">
        <v>0.20495303159692571</v>
      </c>
      <c r="R65" s="14">
        <v>43</v>
      </c>
    </row>
    <row r="66" spans="2:18" x14ac:dyDescent="0.5">
      <c r="B66" s="1" t="s">
        <v>265</v>
      </c>
      <c r="C66" t="s">
        <v>318</v>
      </c>
      <c r="D66" t="s">
        <v>319</v>
      </c>
      <c r="E66">
        <v>7.18</v>
      </c>
      <c r="F66" s="9" t="s">
        <v>68</v>
      </c>
      <c r="G66" s="7">
        <v>12977342464</v>
      </c>
      <c r="H66" s="6">
        <v>9.7899999999999991</v>
      </c>
      <c r="I66" s="6">
        <v>5.49</v>
      </c>
      <c r="J66" s="12">
        <f t="shared" ref="J66:J97" si="2">E66/I66-1</f>
        <v>0.30783242258652077</v>
      </c>
      <c r="K66" s="11">
        <v>3.6211699164345405E-2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0.16194211091238978</v>
      </c>
      <c r="Q66" s="12">
        <v>0.11156568921912897</v>
      </c>
      <c r="R66" s="14">
        <v>38</v>
      </c>
    </row>
    <row r="67" spans="2:18" x14ac:dyDescent="0.5">
      <c r="B67" s="1" t="s">
        <v>371</v>
      </c>
      <c r="C67" t="s">
        <v>373</v>
      </c>
      <c r="D67" t="s">
        <v>174</v>
      </c>
      <c r="E67">
        <v>12.87</v>
      </c>
      <c r="F67" s="9" t="s">
        <v>68</v>
      </c>
      <c r="G67" s="7">
        <v>3463038976</v>
      </c>
      <c r="H67" s="6">
        <v>15.58</v>
      </c>
      <c r="I67" s="6">
        <v>8.3000000000000007</v>
      </c>
      <c r="J67" s="12">
        <f t="shared" si="2"/>
        <v>0.550602409638554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0.65132281419581328</v>
      </c>
      <c r="Q67" s="12">
        <v>-0.11631254679805218</v>
      </c>
      <c r="R67" s="14">
        <v>51</v>
      </c>
    </row>
    <row r="68" spans="2:18" x14ac:dyDescent="0.5">
      <c r="B68" s="1" t="s">
        <v>137</v>
      </c>
      <c r="C68" t="s">
        <v>182</v>
      </c>
      <c r="D68" t="s">
        <v>183</v>
      </c>
      <c r="E68">
        <v>43.26</v>
      </c>
      <c r="F68" s="9" t="s">
        <v>68</v>
      </c>
      <c r="G68" s="7">
        <v>29922074624</v>
      </c>
      <c r="H68" s="6">
        <v>48.1</v>
      </c>
      <c r="I68" s="6">
        <v>17.68</v>
      </c>
      <c r="J68" s="12">
        <f t="shared" si="2"/>
        <v>1.4468325791855201</v>
      </c>
      <c r="K68" s="11">
        <v>1.1558021266759132E-2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4.0855024144611007E-2</v>
      </c>
      <c r="Q68" s="12">
        <v>0.222258562943417</v>
      </c>
      <c r="R68" s="14">
        <v>53</v>
      </c>
    </row>
    <row r="69" spans="2:18" x14ac:dyDescent="0.5">
      <c r="B69" s="1" t="s">
        <v>268</v>
      </c>
      <c r="C69" t="s">
        <v>323</v>
      </c>
      <c r="D69" t="s">
        <v>50</v>
      </c>
      <c r="E69">
        <v>4.55</v>
      </c>
      <c r="F69" s="9" t="s">
        <v>68</v>
      </c>
      <c r="G69" s="7">
        <v>8587149824</v>
      </c>
      <c r="H69" s="6">
        <v>4.5999999999999996</v>
      </c>
      <c r="I69" s="6">
        <v>1.88</v>
      </c>
      <c r="J69" s="12">
        <f t="shared" si="2"/>
        <v>1.4202127659574471</v>
      </c>
      <c r="K69" s="11">
        <v>3.5164835164835165E-2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8.8061214386336586E-2</v>
      </c>
      <c r="Q69" s="12">
        <v>0.12982345485897689</v>
      </c>
      <c r="R69" s="14">
        <v>57</v>
      </c>
    </row>
    <row r="70" spans="2:18" x14ac:dyDescent="0.5">
      <c r="B70" s="1" t="s">
        <v>125</v>
      </c>
      <c r="C70" t="s">
        <v>166</v>
      </c>
      <c r="D70" t="s">
        <v>167</v>
      </c>
      <c r="E70">
        <v>26.32</v>
      </c>
      <c r="F70" s="9" t="s">
        <v>68</v>
      </c>
      <c r="G70" s="7">
        <v>29942179840</v>
      </c>
      <c r="H70" s="6">
        <v>26.7</v>
      </c>
      <c r="I70" s="6">
        <v>19.52</v>
      </c>
      <c r="J70" s="12">
        <f t="shared" si="2"/>
        <v>0.34836065573770503</v>
      </c>
      <c r="K70" s="11">
        <v>5.3191489361702121E-2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0.12823631037829666</v>
      </c>
      <c r="Q70" s="12">
        <v>0.10133893359397213</v>
      </c>
      <c r="R70" s="14">
        <v>52</v>
      </c>
    </row>
    <row r="71" spans="2:18" x14ac:dyDescent="0.5">
      <c r="B71" s="1" t="s">
        <v>37</v>
      </c>
      <c r="C71" t="s">
        <v>103</v>
      </c>
      <c r="D71" t="s">
        <v>104</v>
      </c>
      <c r="E71">
        <v>5.68</v>
      </c>
      <c r="F71" s="9" t="s">
        <v>68</v>
      </c>
      <c r="G71" s="7">
        <v>4405386240</v>
      </c>
      <c r="H71" s="6">
        <v>8.83</v>
      </c>
      <c r="I71" s="6">
        <v>4.28</v>
      </c>
      <c r="J71" s="12">
        <f t="shared" si="2"/>
        <v>0.32710280373831768</v>
      </c>
      <c r="K71" s="11">
        <v>2.9929577464788738E-2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0.20674195421788596</v>
      </c>
      <c r="Q71" s="12">
        <v>8.9074849645861431E-2</v>
      </c>
      <c r="R71" s="14">
        <v>44</v>
      </c>
    </row>
    <row r="72" spans="2:18" x14ac:dyDescent="0.5">
      <c r="B72" s="1" t="s">
        <v>115</v>
      </c>
      <c r="C72" t="s">
        <v>154</v>
      </c>
      <c r="D72" t="s">
        <v>155</v>
      </c>
      <c r="E72">
        <v>76.5</v>
      </c>
      <c r="F72" s="9" t="s">
        <v>68</v>
      </c>
      <c r="G72" s="7">
        <v>204972326912</v>
      </c>
      <c r="H72" s="6">
        <v>86</v>
      </c>
      <c r="I72" s="6">
        <v>44.25</v>
      </c>
      <c r="J72" s="12">
        <f t="shared" si="2"/>
        <v>0.72881355932203395</v>
      </c>
      <c r="K72" s="11">
        <v>3.5294117647058823E-2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4.7620402411813492E-2</v>
      </c>
      <c r="Q72" s="12">
        <v>0.18855793075067021</v>
      </c>
      <c r="R72" s="14">
        <v>56</v>
      </c>
    </row>
    <row r="73" spans="2:18" x14ac:dyDescent="0.5">
      <c r="B73" s="1" t="s">
        <v>130</v>
      </c>
      <c r="C73" t="s">
        <v>173</v>
      </c>
      <c r="D73" t="s">
        <v>174</v>
      </c>
      <c r="E73">
        <v>675</v>
      </c>
      <c r="F73" s="9" t="s">
        <v>68</v>
      </c>
      <c r="G73" s="7">
        <v>6117928730624</v>
      </c>
      <c r="H73" s="6">
        <v>683</v>
      </c>
      <c r="I73" s="6">
        <v>364.8</v>
      </c>
      <c r="J73" s="12">
        <f t="shared" si="2"/>
        <v>0.85032894736842102</v>
      </c>
      <c r="K73" s="11">
        <v>6.2651851851851853E-3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4.2663490725608037E-2</v>
      </c>
      <c r="Q73" s="12">
        <v>0.19352168899747973</v>
      </c>
      <c r="R73" s="14">
        <v>58</v>
      </c>
    </row>
    <row r="74" spans="2:18" x14ac:dyDescent="0.5">
      <c r="B74" s="1" t="s">
        <v>120</v>
      </c>
      <c r="C74" t="s">
        <v>160</v>
      </c>
      <c r="D74" t="s">
        <v>69</v>
      </c>
      <c r="E74">
        <v>6.12</v>
      </c>
      <c r="F74" s="9" t="s">
        <v>68</v>
      </c>
      <c r="G74" s="7">
        <v>9955479552</v>
      </c>
      <c r="H74" s="6">
        <v>7.05</v>
      </c>
      <c r="I74" s="6">
        <v>4.3</v>
      </c>
      <c r="J74" s="12">
        <f t="shared" si="2"/>
        <v>0.42325581395348855</v>
      </c>
      <c r="K74" s="11">
        <v>4.5751633986928109E-2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0.11670237025144022</v>
      </c>
      <c r="Q74" s="12">
        <v>9.3783286642795421E-2</v>
      </c>
      <c r="R74" s="14">
        <v>59</v>
      </c>
    </row>
    <row r="75" spans="2:18" x14ac:dyDescent="0.5">
      <c r="B75" s="1" t="s">
        <v>126</v>
      </c>
      <c r="C75" t="s">
        <v>168</v>
      </c>
      <c r="D75" t="s">
        <v>109</v>
      </c>
      <c r="E75">
        <v>14.99</v>
      </c>
      <c r="F75" s="9" t="s">
        <v>68</v>
      </c>
      <c r="G75" s="7">
        <v>147875512320</v>
      </c>
      <c r="H75" s="6">
        <v>16.690000000000001</v>
      </c>
      <c r="I75" s="6">
        <v>6.43</v>
      </c>
      <c r="J75" s="12">
        <f t="shared" si="2"/>
        <v>1.3312597200622087</v>
      </c>
      <c r="K75" s="11">
        <v>3.4689793195463642E-2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5.2830786698497459E-2</v>
      </c>
      <c r="Q75" s="12">
        <v>0.18453201842262756</v>
      </c>
      <c r="R75" s="14">
        <v>53</v>
      </c>
    </row>
    <row r="76" spans="2:18" x14ac:dyDescent="0.5">
      <c r="B76" s="1" t="s">
        <v>264</v>
      </c>
      <c r="C76" t="s">
        <v>317</v>
      </c>
      <c r="D76" t="s">
        <v>75</v>
      </c>
      <c r="E76">
        <v>8.25</v>
      </c>
      <c r="F76" s="9" t="s">
        <v>68</v>
      </c>
      <c r="G76" s="7">
        <v>5587429376</v>
      </c>
      <c r="H76" s="6">
        <v>10.98</v>
      </c>
      <c r="I76" s="6">
        <v>6.56</v>
      </c>
      <c r="J76" s="12">
        <f t="shared" si="2"/>
        <v>0.25762195121951237</v>
      </c>
      <c r="K76" s="11">
        <v>4.3272727272727268E-2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9.996273601227601E-2</v>
      </c>
      <c r="Q76" s="12">
        <v>0.12279555988606453</v>
      </c>
      <c r="R76" s="14">
        <v>55</v>
      </c>
    </row>
    <row r="77" spans="2:18" x14ac:dyDescent="0.5">
      <c r="B77" s="1" t="s">
        <v>262</v>
      </c>
      <c r="C77" t="s">
        <v>315</v>
      </c>
      <c r="D77" t="s">
        <v>155</v>
      </c>
      <c r="E77">
        <v>41.22</v>
      </c>
      <c r="F77" s="9" t="s">
        <v>68</v>
      </c>
      <c r="G77" s="7">
        <v>37957193728</v>
      </c>
      <c r="H77" s="6">
        <v>45.78</v>
      </c>
      <c r="I77" s="6">
        <v>9.9</v>
      </c>
      <c r="J77" s="12">
        <f t="shared" si="2"/>
        <v>3.1636363636363631</v>
      </c>
      <c r="K77" s="11">
        <v>1.8922852983988356E-3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7.3333661706526679E-2</v>
      </c>
      <c r="Q77" s="12">
        <v>0.11071024253191752</v>
      </c>
      <c r="R77" s="14">
        <v>66</v>
      </c>
    </row>
    <row r="78" spans="2:18" x14ac:dyDescent="0.5">
      <c r="B78" s="1" t="s">
        <v>31</v>
      </c>
      <c r="C78" t="s">
        <v>94</v>
      </c>
      <c r="D78" t="s">
        <v>75</v>
      </c>
      <c r="E78">
        <v>3.21</v>
      </c>
      <c r="F78" s="9" t="s">
        <v>68</v>
      </c>
      <c r="G78" s="7">
        <v>19905923072</v>
      </c>
      <c r="H78" s="6">
        <v>4.13</v>
      </c>
      <c r="I78" s="6">
        <v>2.2200000000000002</v>
      </c>
      <c r="J78" s="12">
        <f t="shared" si="2"/>
        <v>0.44594594594594583</v>
      </c>
      <c r="K78" s="11">
        <v>4.9844236760124609E-2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8.3408571633524359E-2</v>
      </c>
      <c r="Q78" s="12">
        <v>0.1499088374088374</v>
      </c>
      <c r="R78" s="14">
        <v>54</v>
      </c>
    </row>
    <row r="79" spans="2:18" x14ac:dyDescent="0.5">
      <c r="B79" s="1" t="s">
        <v>263</v>
      </c>
      <c r="C79" t="s">
        <v>316</v>
      </c>
      <c r="D79" t="s">
        <v>241</v>
      </c>
      <c r="E79">
        <v>8.08</v>
      </c>
      <c r="F79" s="9" t="s">
        <v>68</v>
      </c>
      <c r="G79" s="7">
        <v>106800087040</v>
      </c>
      <c r="H79" s="6">
        <v>9.83</v>
      </c>
      <c r="I79" s="6">
        <v>6.84</v>
      </c>
      <c r="J79" s="12">
        <f t="shared" si="2"/>
        <v>0.18128654970760238</v>
      </c>
      <c r="K79" s="11">
        <v>7.0544554455445546E-3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0.10578369156370851</v>
      </c>
      <c r="Q79" s="12">
        <v>0.1154893948238957</v>
      </c>
      <c r="R79" s="14">
        <v>56</v>
      </c>
    </row>
    <row r="80" spans="2:18" x14ac:dyDescent="0.5">
      <c r="B80" s="1" t="s">
        <v>135</v>
      </c>
      <c r="C80" t="s">
        <v>179</v>
      </c>
      <c r="D80" t="s">
        <v>77</v>
      </c>
      <c r="E80">
        <v>14.54</v>
      </c>
      <c r="F80" s="9" t="s">
        <v>68</v>
      </c>
      <c r="G80" s="7">
        <v>61039050752</v>
      </c>
      <c r="H80" s="6">
        <v>16.3</v>
      </c>
      <c r="I80" s="6">
        <v>11.42</v>
      </c>
      <c r="J80" s="12">
        <f t="shared" si="2"/>
        <v>0.27320490367775818</v>
      </c>
      <c r="K80" s="11">
        <v>6.0935350756533703E-2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0.14250915056815508</v>
      </c>
      <c r="Q80" s="12">
        <v>8.6741482038526066E-2</v>
      </c>
      <c r="R80" s="14">
        <v>53</v>
      </c>
    </row>
    <row r="81" spans="2:18" x14ac:dyDescent="0.5">
      <c r="B81" s="1" t="s">
        <v>135</v>
      </c>
      <c r="C81" t="s">
        <v>179</v>
      </c>
      <c r="D81" t="s">
        <v>77</v>
      </c>
      <c r="E81">
        <v>14.54</v>
      </c>
      <c r="F81" s="9" t="s">
        <v>68</v>
      </c>
      <c r="G81" s="7">
        <v>61039050752</v>
      </c>
      <c r="H81" s="6">
        <v>16.3</v>
      </c>
      <c r="I81" s="6">
        <v>11.42</v>
      </c>
      <c r="J81" s="12">
        <f t="shared" si="2"/>
        <v>0.27320490367775818</v>
      </c>
      <c r="K81" s="11">
        <v>6.0935350756533703E-2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0.14250915056815508</v>
      </c>
      <c r="Q81" s="12">
        <v>8.6741482038526066E-2</v>
      </c>
      <c r="R81" s="14">
        <v>53</v>
      </c>
    </row>
    <row r="82" spans="2:18" x14ac:dyDescent="0.5">
      <c r="B82" s="1" t="s">
        <v>36</v>
      </c>
      <c r="C82" t="s">
        <v>102</v>
      </c>
      <c r="D82" t="s">
        <v>50</v>
      </c>
      <c r="E82">
        <v>18.36</v>
      </c>
      <c r="F82" s="9" t="s">
        <v>68</v>
      </c>
      <c r="G82" s="7">
        <v>73098117120</v>
      </c>
      <c r="H82" s="6">
        <v>119.9</v>
      </c>
      <c r="I82" s="6">
        <v>8.4700000000000006</v>
      </c>
      <c r="J82" s="12">
        <f t="shared" si="2"/>
        <v>1.1676505312868946</v>
      </c>
      <c r="K82" s="11">
        <v>2.3856209150326799E-2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8.9043823362350366E-2</v>
      </c>
      <c r="Q82" s="12">
        <v>9.6670468672106824E-2</v>
      </c>
      <c r="R82" s="14">
        <v>66</v>
      </c>
    </row>
    <row r="83" spans="2:18" x14ac:dyDescent="0.5">
      <c r="B83" s="1" t="s">
        <v>389</v>
      </c>
      <c r="C83" t="s">
        <v>390</v>
      </c>
      <c r="D83" t="s">
        <v>185</v>
      </c>
      <c r="E83">
        <v>6.51</v>
      </c>
      <c r="F83" s="9" t="s">
        <v>68</v>
      </c>
      <c r="G83" s="7">
        <v>3735073536</v>
      </c>
      <c r="H83" s="6">
        <v>8.84</v>
      </c>
      <c r="I83" s="6">
        <v>6.37</v>
      </c>
      <c r="J83" s="12">
        <f t="shared" si="2"/>
        <v>2.19780219780219E-2</v>
      </c>
      <c r="K83" s="11">
        <v>6.1443932411674354E-2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7.7150591008105326E-2</v>
      </c>
      <c r="Q83" s="12">
        <v>0.12232565520665489</v>
      </c>
      <c r="R83" s="14">
        <v>61</v>
      </c>
    </row>
    <row r="84" spans="2:18" x14ac:dyDescent="0.5">
      <c r="B84" s="1" t="s">
        <v>258</v>
      </c>
      <c r="C84" t="s">
        <v>311</v>
      </c>
      <c r="D84" t="s">
        <v>98</v>
      </c>
      <c r="E84">
        <v>2.14</v>
      </c>
      <c r="F84" s="9" t="s">
        <v>68</v>
      </c>
      <c r="G84" s="7">
        <v>1987145216</v>
      </c>
      <c r="H84" s="6">
        <v>2.4</v>
      </c>
      <c r="I84" s="6">
        <v>1.72</v>
      </c>
      <c r="J84" s="12">
        <f t="shared" si="2"/>
        <v>0.2441860465116279</v>
      </c>
      <c r="K84" s="11">
        <v>4.2056074766355138E-2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0.14597901986961154</v>
      </c>
      <c r="Q84" s="12">
        <v>3.9146558666946343E-2</v>
      </c>
      <c r="R84" s="14">
        <v>61</v>
      </c>
    </row>
    <row r="85" spans="2:18" x14ac:dyDescent="0.5">
      <c r="B85" s="1" t="s">
        <v>141</v>
      </c>
      <c r="C85" t="s">
        <v>189</v>
      </c>
      <c r="D85" t="s">
        <v>104</v>
      </c>
      <c r="E85">
        <v>42.24</v>
      </c>
      <c r="F85" s="9" t="s">
        <v>68</v>
      </c>
      <c r="G85" s="7">
        <v>95175360512</v>
      </c>
      <c r="H85" s="6">
        <v>61.55</v>
      </c>
      <c r="I85" s="6">
        <v>26.65</v>
      </c>
      <c r="J85" s="12">
        <f t="shared" si="2"/>
        <v>0.58499061913696071</v>
      </c>
      <c r="K85" s="11">
        <v>1.3446969696969695E-2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5.5679753261751432E-2</v>
      </c>
      <c r="Q85" s="12">
        <v>0.12176329850933591</v>
      </c>
      <c r="R85" s="14">
        <v>67</v>
      </c>
    </row>
    <row r="86" spans="2:18" x14ac:dyDescent="0.5">
      <c r="B86" s="1" t="s">
        <v>261</v>
      </c>
      <c r="C86" t="s">
        <v>314</v>
      </c>
      <c r="D86" t="s">
        <v>306</v>
      </c>
      <c r="E86">
        <v>52.75</v>
      </c>
      <c r="F86" s="9" t="s">
        <v>68</v>
      </c>
      <c r="G86" s="7">
        <v>1029012258816</v>
      </c>
      <c r="H86" s="6">
        <v>59.2</v>
      </c>
      <c r="I86" s="6">
        <v>39.6</v>
      </c>
      <c r="J86" s="12">
        <f t="shared" si="2"/>
        <v>0.33207070707070696</v>
      </c>
      <c r="K86" s="11">
        <v>4.8720379146919429E-2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0.13483715943895061</v>
      </c>
      <c r="Q86" s="12">
        <v>8.2016774784268678E-2</v>
      </c>
      <c r="R86" s="14">
        <v>60</v>
      </c>
    </row>
    <row r="87" spans="2:18" x14ac:dyDescent="0.5">
      <c r="B87" s="1" t="s">
        <v>18</v>
      </c>
      <c r="C87" t="s">
        <v>67</v>
      </c>
      <c r="D87" t="s">
        <v>66</v>
      </c>
      <c r="E87">
        <v>62.5</v>
      </c>
      <c r="F87" s="9" t="s">
        <v>68</v>
      </c>
      <c r="G87" s="7">
        <v>160885456896</v>
      </c>
      <c r="H87" s="6">
        <v>68.45</v>
      </c>
      <c r="I87" s="6">
        <v>43.15</v>
      </c>
      <c r="J87" s="12">
        <f t="shared" si="2"/>
        <v>0.44843568945538825</v>
      </c>
      <c r="K87" s="11">
        <v>1.6800000000000002E-2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5.251452397236981E-2</v>
      </c>
      <c r="Q87" s="12">
        <v>0.10968970241604512</v>
      </c>
      <c r="R87" s="14">
        <v>70</v>
      </c>
    </row>
    <row r="88" spans="2:18" x14ac:dyDescent="0.5">
      <c r="B88" s="1" t="s">
        <v>123</v>
      </c>
      <c r="C88" t="s">
        <v>163</v>
      </c>
      <c r="D88" t="s">
        <v>164</v>
      </c>
      <c r="E88">
        <v>8.58</v>
      </c>
      <c r="F88" s="9" t="s">
        <v>68</v>
      </c>
      <c r="G88" s="7">
        <v>55801688064</v>
      </c>
      <c r="H88" s="6">
        <v>9.81</v>
      </c>
      <c r="I88" s="6">
        <v>5</v>
      </c>
      <c r="J88" s="12">
        <f t="shared" si="2"/>
        <v>0.71599999999999997</v>
      </c>
      <c r="K88" s="11">
        <v>2.4475524475524476E-2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8.1576183578143585E-2</v>
      </c>
      <c r="Q88" s="12">
        <v>9.5261833390841127E-2</v>
      </c>
      <c r="R88" s="14">
        <v>68</v>
      </c>
    </row>
    <row r="89" spans="2:18" x14ac:dyDescent="0.5">
      <c r="B89" s="1" t="s">
        <v>136</v>
      </c>
      <c r="C89" t="s">
        <v>180</v>
      </c>
      <c r="D89" t="s">
        <v>181</v>
      </c>
      <c r="E89">
        <v>10.75</v>
      </c>
      <c r="F89" s="9" t="s">
        <v>68</v>
      </c>
      <c r="G89" s="7">
        <v>25329481728</v>
      </c>
      <c r="H89" s="6">
        <v>12.7</v>
      </c>
      <c r="I89" s="6">
        <v>6.33</v>
      </c>
      <c r="J89" s="12">
        <f t="shared" si="2"/>
        <v>0.69826224328594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0.11579863029621762</v>
      </c>
      <c r="Q89" s="12">
        <v>6.4862080854845933E-2</v>
      </c>
      <c r="R89" s="14">
        <v>64</v>
      </c>
    </row>
    <row r="90" spans="2:18" x14ac:dyDescent="0.5">
      <c r="B90" s="1" t="s">
        <v>116</v>
      </c>
      <c r="C90" t="s">
        <v>156</v>
      </c>
      <c r="D90" t="s">
        <v>93</v>
      </c>
      <c r="E90">
        <v>23.84</v>
      </c>
      <c r="F90" s="9" t="s">
        <v>68</v>
      </c>
      <c r="G90" s="7">
        <v>133017591808</v>
      </c>
      <c r="H90" s="6">
        <v>25.45</v>
      </c>
      <c r="I90" s="6">
        <v>18.7</v>
      </c>
      <c r="J90" s="12">
        <f t="shared" si="2"/>
        <v>0.27486631016042784</v>
      </c>
      <c r="K90" s="11">
        <v>3.9848993288590602E-2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0.12878577336925054</v>
      </c>
      <c r="Q90" s="12">
        <v>5.0146340085309396E-2</v>
      </c>
      <c r="R90" s="14">
        <v>65</v>
      </c>
    </row>
    <row r="91" spans="2:18" x14ac:dyDescent="0.5">
      <c r="B91" s="1" t="s">
        <v>259</v>
      </c>
      <c r="C91" t="s">
        <v>312</v>
      </c>
      <c r="D91" t="s">
        <v>308</v>
      </c>
      <c r="E91">
        <v>2.89</v>
      </c>
      <c r="F91" s="9" t="s">
        <v>68</v>
      </c>
      <c r="G91" s="7">
        <v>86403104768</v>
      </c>
      <c r="H91" s="6">
        <v>2.93</v>
      </c>
      <c r="I91" s="6">
        <v>1.35</v>
      </c>
      <c r="J91" s="12">
        <f t="shared" si="2"/>
        <v>1.1407407407407408</v>
      </c>
      <c r="K91" s="11">
        <v>1.9377162629757784E-2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0.10335992327210364</v>
      </c>
      <c r="Q91" s="12">
        <v>5.4568577322633927E-2</v>
      </c>
      <c r="R91" s="14">
        <v>75</v>
      </c>
    </row>
    <row r="92" spans="2:18" x14ac:dyDescent="0.5">
      <c r="B92" s="1" t="s">
        <v>260</v>
      </c>
      <c r="C92" t="s">
        <v>313</v>
      </c>
      <c r="D92" t="s">
        <v>109</v>
      </c>
      <c r="E92">
        <v>14.2</v>
      </c>
      <c r="F92" s="9" t="s">
        <v>68</v>
      </c>
      <c r="G92" s="7">
        <v>9538310144</v>
      </c>
      <c r="H92" s="6">
        <v>15.74</v>
      </c>
      <c r="I92" s="6">
        <v>6.18</v>
      </c>
      <c r="J92" s="12">
        <f t="shared" si="2"/>
        <v>1.2977346278317152</v>
      </c>
      <c r="K92" s="11">
        <v>4.0140845070422537E-2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8.0267616297849995E-2</v>
      </c>
      <c r="Q92" s="12">
        <v>6.5089877530620205E-2</v>
      </c>
      <c r="R92" s="14">
        <v>78</v>
      </c>
    </row>
    <row r="93" spans="2:18" x14ac:dyDescent="0.5">
      <c r="B93" s="1" t="s">
        <v>129</v>
      </c>
      <c r="C93" t="s">
        <v>172</v>
      </c>
      <c r="D93" t="s">
        <v>98</v>
      </c>
      <c r="E93">
        <v>11.62</v>
      </c>
      <c r="F93" s="9" t="s">
        <v>68</v>
      </c>
      <c r="G93" s="7">
        <v>88051769344</v>
      </c>
      <c r="H93" s="6">
        <v>12.95</v>
      </c>
      <c r="I93" s="6">
        <v>9.39</v>
      </c>
      <c r="J93" s="12">
        <f t="shared" si="2"/>
        <v>0.23748668796592098</v>
      </c>
      <c r="K93" s="11">
        <v>6.8588640275387275E-2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6.3033020299350886E-2</v>
      </c>
      <c r="Q93" s="12">
        <v>0.10245263104990703</v>
      </c>
      <c r="R93" s="14">
        <v>69</v>
      </c>
    </row>
    <row r="94" spans="2:18" x14ac:dyDescent="0.5">
      <c r="B94" s="1" t="s">
        <v>112</v>
      </c>
      <c r="C94" t="s">
        <v>149</v>
      </c>
      <c r="D94" t="s">
        <v>98</v>
      </c>
      <c r="E94">
        <v>5.26</v>
      </c>
      <c r="F94" s="9" t="s">
        <v>68</v>
      </c>
      <c r="G94" s="7">
        <v>632832327680</v>
      </c>
      <c r="H94" s="6">
        <v>6.98</v>
      </c>
      <c r="I94" s="6">
        <v>4.2300000000000004</v>
      </c>
      <c r="J94" s="12">
        <f t="shared" si="2"/>
        <v>0.24349881796690287</v>
      </c>
      <c r="K94" s="11">
        <v>5.2091254752851715E-2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7.8061957368530902E-2</v>
      </c>
      <c r="Q94" s="12">
        <v>9.605709580489824E-2</v>
      </c>
      <c r="R94" s="14">
        <v>69</v>
      </c>
    </row>
    <row r="95" spans="2:18" x14ac:dyDescent="0.5">
      <c r="B95" s="1" t="s">
        <v>127</v>
      </c>
      <c r="C95" t="s">
        <v>169</v>
      </c>
      <c r="D95" t="s">
        <v>104</v>
      </c>
      <c r="E95">
        <v>12.02</v>
      </c>
      <c r="F95" s="9" t="s">
        <v>68</v>
      </c>
      <c r="G95" s="7">
        <v>37502402560</v>
      </c>
      <c r="H95" s="6">
        <v>14.27</v>
      </c>
      <c r="I95" s="6">
        <v>6.48</v>
      </c>
      <c r="J95" s="12">
        <f t="shared" si="2"/>
        <v>0.85493827160493807</v>
      </c>
      <c r="K95" s="11">
        <v>2.9118136439267885E-2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4.944731190397203E-2</v>
      </c>
      <c r="Q95" s="12">
        <v>0.10689920561026972</v>
      </c>
      <c r="R95" s="14">
        <v>73</v>
      </c>
    </row>
    <row r="96" spans="2:18" x14ac:dyDescent="0.5">
      <c r="B96" s="1" t="s">
        <v>121</v>
      </c>
      <c r="C96" t="s">
        <v>161</v>
      </c>
      <c r="D96" t="s">
        <v>98</v>
      </c>
      <c r="E96">
        <v>8.76</v>
      </c>
      <c r="F96" s="9" t="s">
        <v>68</v>
      </c>
      <c r="G96" s="7">
        <v>268038488064</v>
      </c>
      <c r="H96" s="6">
        <v>11.56</v>
      </c>
      <c r="I96" s="6">
        <v>6.22</v>
      </c>
      <c r="J96" s="12">
        <f t="shared" si="2"/>
        <v>0.40836012861736326</v>
      </c>
      <c r="K96" s="11">
        <v>5.0228310502283109E-2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0.10296410881384521</v>
      </c>
      <c r="Q96" s="12">
        <v>7.4329031387590908E-2</v>
      </c>
      <c r="R96" s="14">
        <v>71</v>
      </c>
    </row>
    <row r="97" spans="2:18" x14ac:dyDescent="0.5">
      <c r="B97" s="1" t="s">
        <v>257</v>
      </c>
      <c r="C97" t="s">
        <v>310</v>
      </c>
      <c r="D97" t="s">
        <v>151</v>
      </c>
      <c r="E97">
        <v>8.83</v>
      </c>
      <c r="F97" s="9" t="s">
        <v>68</v>
      </c>
      <c r="G97" s="7">
        <v>22424655872</v>
      </c>
      <c r="H97" s="6">
        <v>13.78</v>
      </c>
      <c r="I97" s="6">
        <v>7.96</v>
      </c>
      <c r="J97" s="12">
        <f t="shared" si="2"/>
        <v>0.10929648241206036</v>
      </c>
      <c r="K97" s="11">
        <v>3.3975084937712341E-2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0.10746054507509355</v>
      </c>
      <c r="Q97" s="12">
        <v>5.5629198178196171E-2</v>
      </c>
      <c r="R97" s="14">
        <v>72</v>
      </c>
    </row>
    <row r="98" spans="2:18" x14ac:dyDescent="0.5">
      <c r="B98" s="1" t="s">
        <v>117</v>
      </c>
      <c r="C98" t="s">
        <v>157</v>
      </c>
      <c r="D98" t="s">
        <v>151</v>
      </c>
      <c r="E98">
        <v>2.31</v>
      </c>
      <c r="F98" s="9" t="s">
        <v>68</v>
      </c>
      <c r="G98" s="7">
        <v>8222155776</v>
      </c>
      <c r="H98" s="6">
        <v>2.64</v>
      </c>
      <c r="I98" s="6">
        <v>1.6</v>
      </c>
      <c r="J98" s="12">
        <f t="shared" ref="J98:J129" si="3">E98/I98-1</f>
        <v>0.44374999999999987</v>
      </c>
      <c r="K98" s="11">
        <v>3.2467532467532464E-2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0.11028465775812123</v>
      </c>
      <c r="Q98" s="12">
        <v>3.1227495254580313E-2</v>
      </c>
      <c r="R98" s="14">
        <v>74</v>
      </c>
    </row>
    <row r="99" spans="2:18" x14ac:dyDescent="0.5">
      <c r="B99" s="1" t="s">
        <v>255</v>
      </c>
      <c r="C99" t="s">
        <v>307</v>
      </c>
      <c r="D99" t="s">
        <v>308</v>
      </c>
      <c r="E99">
        <v>5.38</v>
      </c>
      <c r="F99" s="9" t="s">
        <v>68</v>
      </c>
      <c r="G99" s="7">
        <v>109696671744</v>
      </c>
      <c r="H99" s="6">
        <v>6.39</v>
      </c>
      <c r="I99" s="6">
        <v>4.58</v>
      </c>
      <c r="J99" s="12">
        <f t="shared" si="3"/>
        <v>0.1746724890829694</v>
      </c>
      <c r="K99" s="11">
        <v>5.5762081784386616E-2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0.10132259813345554</v>
      </c>
      <c r="Q99" s="12">
        <v>5.643429507724386E-2</v>
      </c>
      <c r="R99" s="14">
        <v>75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51.3</v>
      </c>
      <c r="F100" s="9" t="s">
        <v>68</v>
      </c>
      <c r="G100" s="7">
        <v>196481269760</v>
      </c>
      <c r="H100" s="6">
        <v>54.6</v>
      </c>
      <c r="I100" s="6">
        <v>37.450000000000003</v>
      </c>
      <c r="J100" s="12">
        <f t="shared" si="3"/>
        <v>0.36982643524699577</v>
      </c>
      <c r="K100" s="11">
        <v>4.3352826510721254E-2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0.10436617291979224</v>
      </c>
      <c r="Q100" s="12">
        <v>5.2504192208844336E-2</v>
      </c>
      <c r="R100" s="14">
        <v>76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37.96</v>
      </c>
      <c r="F101" s="9" t="s">
        <v>68</v>
      </c>
      <c r="G101" s="7">
        <v>132851580928</v>
      </c>
      <c r="H101" s="6">
        <v>38.619999999999997</v>
      </c>
      <c r="I101" s="6">
        <v>28.1</v>
      </c>
      <c r="J101" s="12">
        <f t="shared" si="3"/>
        <v>0.35088967971530249</v>
      </c>
      <c r="K101" s="11">
        <v>4.5837723919915696E-2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0.10920600825813744</v>
      </c>
      <c r="Q101" s="12">
        <v>3.7613758029978586E-2</v>
      </c>
      <c r="R101" s="14">
        <v>74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5.44</v>
      </c>
      <c r="F102" s="9" t="s">
        <v>68</v>
      </c>
      <c r="G102" s="7">
        <v>42111385600</v>
      </c>
      <c r="H102" s="6">
        <v>5.83</v>
      </c>
      <c r="I102" s="6">
        <v>4.2</v>
      </c>
      <c r="J102" s="12">
        <f t="shared" si="3"/>
        <v>0.2952380952380953</v>
      </c>
      <c r="K102" s="11">
        <v>7.0404411764705882E-2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5.8380375074947435E-2</v>
      </c>
      <c r="Q102" s="12">
        <v>9.2144023431582137E-2</v>
      </c>
      <c r="R102" s="14">
        <v>78</v>
      </c>
    </row>
    <row r="103" spans="2:18" x14ac:dyDescent="0.5">
      <c r="B103" s="1" t="s">
        <v>30</v>
      </c>
      <c r="C103" t="s">
        <v>92</v>
      </c>
      <c r="D103" t="s">
        <v>93</v>
      </c>
      <c r="E103">
        <v>3.33</v>
      </c>
      <c r="F103" s="9" t="s">
        <v>68</v>
      </c>
      <c r="G103" s="7">
        <v>18190233600</v>
      </c>
      <c r="H103" s="6">
        <v>3.37</v>
      </c>
      <c r="I103" s="6">
        <v>1.07</v>
      </c>
      <c r="J103" s="12">
        <f t="shared" si="3"/>
        <v>2.1121495327102804</v>
      </c>
      <c r="K103" s="11">
        <v>1.0210210210210211E-2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5.0490498938206028E-2</v>
      </c>
      <c r="Q103" s="12">
        <v>5.8120488088461209E-2</v>
      </c>
      <c r="R103" s="14">
        <v>82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27.14</v>
      </c>
      <c r="F104" s="9" t="s">
        <v>68</v>
      </c>
      <c r="G104" s="7">
        <v>30079578112</v>
      </c>
      <c r="H104" s="6">
        <v>32.4</v>
      </c>
      <c r="I104" s="6">
        <v>17.600000000000001</v>
      </c>
      <c r="J104" s="12">
        <f t="shared" si="3"/>
        <v>0.5420454545454545</v>
      </c>
      <c r="K104" s="11">
        <v>4.5320560058953574E-2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8.0136569685639217E-2</v>
      </c>
      <c r="Q104" s="12">
        <v>4.7084186647510511E-2</v>
      </c>
      <c r="R104" s="14">
        <v>79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11.45</v>
      </c>
      <c r="F105" s="9" t="s">
        <v>68</v>
      </c>
      <c r="G105" s="7">
        <v>200159739904</v>
      </c>
      <c r="H105" s="6">
        <v>12.46</v>
      </c>
      <c r="I105" s="6">
        <v>9.89</v>
      </c>
      <c r="J105" s="12">
        <f t="shared" si="3"/>
        <v>0.1577350859453992</v>
      </c>
      <c r="K105" s="11">
        <v>3.8427947598253277E-2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6.0433503487482942E-2</v>
      </c>
      <c r="Q105" s="12">
        <v>6.2161059386475759E-2</v>
      </c>
      <c r="R105" s="14">
        <v>79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6.87</v>
      </c>
      <c r="F106" s="9" t="s">
        <v>68</v>
      </c>
      <c r="G106" s="7">
        <v>7170112512</v>
      </c>
      <c r="H106" s="6">
        <v>7</v>
      </c>
      <c r="I106" s="6">
        <v>4.09</v>
      </c>
      <c r="J106" s="12">
        <f t="shared" si="3"/>
        <v>0.6797066014669928</v>
      </c>
      <c r="K106" s="11">
        <v>1.3973799126637555E-2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4.9922191655716132E-2</v>
      </c>
      <c r="Q106" s="12">
        <v>8.3790449156695201E-2</v>
      </c>
      <c r="R106" s="14">
        <v>80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2.89</v>
      </c>
      <c r="F107" s="9" t="s">
        <v>68</v>
      </c>
      <c r="G107" s="7">
        <v>12412550144</v>
      </c>
      <c r="H107" s="6">
        <v>3.16</v>
      </c>
      <c r="I107" s="6">
        <v>1.93</v>
      </c>
      <c r="J107" s="12">
        <f t="shared" si="3"/>
        <v>0.49740932642487068</v>
      </c>
      <c r="K107" s="11">
        <v>3.8408304498269895E-2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5.8848468514777222E-2</v>
      </c>
      <c r="Q107" s="12">
        <v>3.8781191586606881E-2</v>
      </c>
      <c r="R107" s="14">
        <v>83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8.23</v>
      </c>
      <c r="F108" s="9" t="s">
        <v>68</v>
      </c>
      <c r="G108" s="7">
        <v>8627731456</v>
      </c>
      <c r="H108" s="6">
        <v>12.88</v>
      </c>
      <c r="I108" s="6">
        <v>5.86</v>
      </c>
      <c r="J108" s="12">
        <f t="shared" si="3"/>
        <v>0.4044368600682593</v>
      </c>
      <c r="K108" s="11">
        <v>1.7253948967193192E-2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4.4189097816882725E-2</v>
      </c>
      <c r="Q108" s="12">
        <v>0.10455432132537129</v>
      </c>
      <c r="R108" s="14">
        <v>77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1.65</v>
      </c>
      <c r="F109" s="9" t="s">
        <v>68</v>
      </c>
      <c r="G109" s="7">
        <v>9135446016</v>
      </c>
      <c r="H109" s="6">
        <v>2.99</v>
      </c>
      <c r="I109" s="6">
        <v>0.91</v>
      </c>
      <c r="J109" s="12">
        <f t="shared" si="3"/>
        <v>0.81318681318681296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4.64075646274218E-2</v>
      </c>
      <c r="Q109" s="12">
        <v>2.3421020321148112E-2</v>
      </c>
      <c r="R109" s="14">
        <v>85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89.5</v>
      </c>
      <c r="F110" s="9" t="s">
        <v>68</v>
      </c>
      <c r="G110" s="7">
        <v>838112182272</v>
      </c>
      <c r="H110" s="6">
        <v>92.8</v>
      </c>
      <c r="I110" s="6">
        <v>24.15</v>
      </c>
      <c r="J110" s="12">
        <f t="shared" si="3"/>
        <v>2.7060041407867499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8.6177256798279766E-3</v>
      </c>
      <c r="Q110" s="12">
        <v>3.0575487595734537E-2</v>
      </c>
      <c r="R110" s="14">
        <v>86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15.92</v>
      </c>
      <c r="F111" s="9" t="s">
        <v>68</v>
      </c>
      <c r="G111" s="7">
        <v>16349970432</v>
      </c>
      <c r="H111" s="6">
        <v>16.690000000000001</v>
      </c>
      <c r="I111" s="6">
        <v>10.94</v>
      </c>
      <c r="J111" s="12">
        <f t="shared" si="3"/>
        <v>0.4552102376599636</v>
      </c>
      <c r="K111" s="11">
        <v>6.78391959798995E-2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2.3825682917137832E-2</v>
      </c>
      <c r="Q111" s="12">
        <v>9.6523581574197593E-3</v>
      </c>
      <c r="R111" s="14">
        <v>86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38.76</v>
      </c>
      <c r="F112" s="9" t="s">
        <v>68</v>
      </c>
      <c r="G112" s="7">
        <v>39592239104</v>
      </c>
      <c r="H112" s="6">
        <v>46.88</v>
      </c>
      <c r="I112" s="6">
        <v>22.4</v>
      </c>
      <c r="J112" s="12">
        <f t="shared" si="3"/>
        <v>0.73035714285714293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-2.6593945961971574E-3</v>
      </c>
      <c r="Q112" s="12">
        <v>-4.9151971480384084E-3</v>
      </c>
      <c r="R112" s="14">
        <v>87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3.5</v>
      </c>
      <c r="F113" s="9" t="s">
        <v>68</v>
      </c>
      <c r="G113" s="7">
        <v>7322510848</v>
      </c>
      <c r="H113" s="6">
        <v>3.64</v>
      </c>
      <c r="I113" s="6">
        <v>0.99</v>
      </c>
      <c r="J113" s="12">
        <f t="shared" si="3"/>
        <v>2.5353535353535355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-0.35340879092377642</v>
      </c>
      <c r="Q113" s="12">
        <v>-9.3085164890011229E-2</v>
      </c>
      <c r="R113" s="14">
        <v>90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36.22</v>
      </c>
      <c r="F114" s="9" t="s">
        <v>68</v>
      </c>
      <c r="G114" s="7">
        <v>382946115584</v>
      </c>
      <c r="H114" s="6">
        <v>39.24</v>
      </c>
      <c r="I114" s="6">
        <v>23.75</v>
      </c>
      <c r="J114" s="12">
        <f t="shared" si="3"/>
        <v>0.52505263157894722</v>
      </c>
      <c r="K114" s="11">
        <v>5.5190502484815024E-2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5.26</v>
      </c>
      <c r="F115" s="9" t="s">
        <v>68</v>
      </c>
      <c r="G115" s="7">
        <v>720436461568</v>
      </c>
      <c r="H115" s="6">
        <v>5.95</v>
      </c>
      <c r="I115" s="6">
        <v>4.34</v>
      </c>
      <c r="J115" s="12">
        <f t="shared" si="3"/>
        <v>0.21198156682027647</v>
      </c>
      <c r="K115" s="11">
        <v>4.5057034220532317E-2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6.6</v>
      </c>
      <c r="F116" s="9" t="s">
        <v>68</v>
      </c>
      <c r="G116" s="7">
        <v>417113571328</v>
      </c>
      <c r="H116" s="6">
        <v>8.1199999999999992</v>
      </c>
      <c r="I116" s="6">
        <v>4.83</v>
      </c>
      <c r="J116" s="12">
        <f t="shared" si="3"/>
        <v>0.36645962732919246</v>
      </c>
      <c r="K116" s="11">
        <v>5.4242424242424245E-2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6.41</v>
      </c>
      <c r="F117" s="9" t="s">
        <v>68</v>
      </c>
      <c r="G117" s="7">
        <v>613303713792</v>
      </c>
      <c r="H117" s="6">
        <v>7.62</v>
      </c>
      <c r="I117" s="6">
        <v>5.57</v>
      </c>
      <c r="J117" s="12">
        <f t="shared" si="3"/>
        <v>0.15080789946140039</v>
      </c>
      <c r="K117" s="11">
        <v>5.5070202808112319E-2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5.6</v>
      </c>
      <c r="F118" s="9" t="s">
        <v>68</v>
      </c>
      <c r="G118" s="7">
        <v>2614686646272</v>
      </c>
      <c r="H118" s="6">
        <v>6.48</v>
      </c>
      <c r="I118" s="6">
        <v>4.49</v>
      </c>
      <c r="J118" s="12">
        <f t="shared" si="3"/>
        <v>0.2472160356347437</v>
      </c>
      <c r="K118" s="11">
        <v>5.4642857142857146E-2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7.28</v>
      </c>
      <c r="F119" s="9" t="s">
        <v>68</v>
      </c>
      <c r="G119" s="7">
        <v>1949334765568</v>
      </c>
      <c r="H119" s="6">
        <v>8.56</v>
      </c>
      <c r="I119" s="6">
        <v>5.68</v>
      </c>
      <c r="J119" s="12">
        <f t="shared" si="3"/>
        <v>0.28169014084507049</v>
      </c>
      <c r="K119" s="11">
        <v>5.3846153846153849E-2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9.9600000000000009</v>
      </c>
      <c r="F120" s="9" t="s">
        <v>68</v>
      </c>
      <c r="G120" s="7">
        <v>91135033344</v>
      </c>
      <c r="H120" s="6">
        <v>10.25</v>
      </c>
      <c r="I120" s="6">
        <v>7.31</v>
      </c>
      <c r="J120" s="12">
        <f t="shared" si="3"/>
        <v>0.36251709986320124</v>
      </c>
      <c r="K120" s="11">
        <v>5.8232931726907619E-2</v>
      </c>
      <c r="L120" s="13">
        <v>4532000000</v>
      </c>
      <c r="M120" s="13">
        <v>172303000000</v>
      </c>
      <c r="N120" s="9" t="s">
        <v>68</v>
      </c>
      <c r="O120" s="6">
        <v>1</v>
      </c>
      <c r="P120" s="12">
        <v>4.938269810710464E-2</v>
      </c>
      <c r="Q120" s="12">
        <v>2.6302501987777345E-2</v>
      </c>
      <c r="R120" s="14">
        <v>84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17.34</v>
      </c>
      <c r="F121" s="9" t="s">
        <v>68</v>
      </c>
      <c r="G121" s="7">
        <v>44650868736</v>
      </c>
      <c r="H121" s="6">
        <v>20.9</v>
      </c>
      <c r="I121" s="6">
        <v>13.5</v>
      </c>
      <c r="J121" s="12">
        <f t="shared" si="3"/>
        <v>0.2844444444444445</v>
      </c>
      <c r="K121" s="11">
        <v>3.1314878892733565E-2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0.11771157133207208</v>
      </c>
      <c r="Q121" s="12">
        <v>0.16337840218675606</v>
      </c>
      <c r="R121" s="14">
        <v>32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40.44</v>
      </c>
      <c r="F122" s="9" t="s">
        <v>68</v>
      </c>
      <c r="G122" s="7">
        <v>104632418304</v>
      </c>
      <c r="H122" s="6">
        <v>45.05</v>
      </c>
      <c r="I122" s="6">
        <v>31.1</v>
      </c>
      <c r="J122" s="12">
        <f t="shared" si="3"/>
        <v>0.30032154340835993</v>
      </c>
      <c r="K122" s="11">
        <v>6.7334322453016821E-2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-4.3655223416962409E-2</v>
      </c>
      <c r="Q122" s="12">
        <v>-3.1158435700487111E-2</v>
      </c>
      <c r="R122" s="14">
        <v>88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53.85</v>
      </c>
      <c r="F123" s="9" t="s">
        <v>68</v>
      </c>
      <c r="G123" s="7">
        <v>1401574916096</v>
      </c>
      <c r="H123" s="6">
        <v>61.45</v>
      </c>
      <c r="I123" s="6">
        <v>22.5</v>
      </c>
      <c r="J123" s="12">
        <f t="shared" si="3"/>
        <v>1.3933333333333335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2.2415354461297228E-2</v>
      </c>
      <c r="Q123" s="12">
        <v>0.13430606011982404</v>
      </c>
      <c r="R123" s="14">
        <v>69</v>
      </c>
    </row>
    <row r="124" spans="2:18" x14ac:dyDescent="0.5">
      <c r="B124" s="1" t="s">
        <v>444</v>
      </c>
      <c r="C124" t="s">
        <v>451</v>
      </c>
      <c r="D124" t="s">
        <v>452</v>
      </c>
      <c r="E124">
        <v>103.7</v>
      </c>
      <c r="F124" s="9" t="s">
        <v>68</v>
      </c>
      <c r="G124" s="7">
        <v>633282166784</v>
      </c>
      <c r="H124" s="6">
        <v>205.4</v>
      </c>
      <c r="I124" s="6">
        <v>95.35</v>
      </c>
      <c r="J124" s="12">
        <f t="shared" si="3"/>
        <v>8.757210277923444E-2</v>
      </c>
      <c r="K124" s="11">
        <v>0</v>
      </c>
      <c r="L124" s="13">
        <v>39322363000</v>
      </c>
      <c r="M124" s="13">
        <v>228415685000</v>
      </c>
      <c r="N124" s="9" t="s">
        <v>51</v>
      </c>
      <c r="O124" s="6">
        <v>1.0683760683760684</v>
      </c>
      <c r="P124" s="12">
        <v>6.7398876013704631E-2</v>
      </c>
      <c r="Q124" s="12">
        <v>0.17215263916748974</v>
      </c>
      <c r="R124" s="14">
        <v>52</v>
      </c>
    </row>
    <row r="125" spans="2:18" x14ac:dyDescent="0.5">
      <c r="B125" s="1" t="s">
        <v>445</v>
      </c>
      <c r="C125" t="s">
        <v>453</v>
      </c>
      <c r="D125" t="s">
        <v>185</v>
      </c>
      <c r="E125">
        <v>12.8</v>
      </c>
      <c r="F125" s="9" t="s">
        <v>68</v>
      </c>
      <c r="G125" s="7">
        <v>69312004096</v>
      </c>
      <c r="H125" s="6">
        <v>18.88</v>
      </c>
      <c r="I125" s="6">
        <v>12.44</v>
      </c>
      <c r="J125" s="12">
        <f t="shared" si="3"/>
        <v>2.893890675241173E-2</v>
      </c>
      <c r="K125" s="11">
        <v>6.0703124999999997E-2</v>
      </c>
      <c r="L125" s="13">
        <v>6898733000</v>
      </c>
      <c r="M125" s="13">
        <v>12604518000</v>
      </c>
      <c r="N125" s="9" t="s">
        <v>51</v>
      </c>
      <c r="O125" s="6">
        <v>1.0683760683760684</v>
      </c>
      <c r="P125" s="12">
        <v>0.10852275292231361</v>
      </c>
      <c r="Q125" s="12">
        <v>0.54732223794674262</v>
      </c>
      <c r="R125" s="14">
        <v>16</v>
      </c>
    </row>
    <row r="126" spans="2:18" x14ac:dyDescent="0.5">
      <c r="B126" s="1" t="s">
        <v>454</v>
      </c>
      <c r="C126" t="s">
        <v>458</v>
      </c>
      <c r="D126" t="s">
        <v>167</v>
      </c>
      <c r="E126">
        <v>2.37</v>
      </c>
      <c r="F126" s="9" t="s">
        <v>68</v>
      </c>
      <c r="G126" s="7">
        <v>3160000256</v>
      </c>
      <c r="H126" s="6">
        <v>3.21</v>
      </c>
      <c r="I126" s="6">
        <v>1.73</v>
      </c>
      <c r="J126" s="12">
        <f t="shared" si="3"/>
        <v>0.36994219653179194</v>
      </c>
      <c r="K126" s="11">
        <v>5.0632911392405063E-2</v>
      </c>
      <c r="L126" s="13">
        <v>244399000</v>
      </c>
      <c r="M126" s="13">
        <v>2990882000</v>
      </c>
      <c r="N126" s="9" t="s">
        <v>51</v>
      </c>
      <c r="O126" s="6">
        <v>1.0683760683760684</v>
      </c>
      <c r="P126" s="12">
        <v>0.11551034011977127</v>
      </c>
      <c r="Q126" s="12">
        <v>8.171469151909036E-2</v>
      </c>
      <c r="R126" s="14">
        <v>63</v>
      </c>
    </row>
    <row r="127" spans="2:18" x14ac:dyDescent="0.5">
      <c r="B127" s="1" t="s">
        <v>455</v>
      </c>
      <c r="C127" t="s">
        <v>459</v>
      </c>
      <c r="D127" t="s">
        <v>167</v>
      </c>
      <c r="E127">
        <v>3.27</v>
      </c>
      <c r="F127" s="9" t="s">
        <v>68</v>
      </c>
      <c r="G127" s="7">
        <v>19172786176</v>
      </c>
      <c r="H127" s="6">
        <v>4.4400000000000004</v>
      </c>
      <c r="I127" s="6">
        <v>2.68</v>
      </c>
      <c r="J127" s="12">
        <f t="shared" si="3"/>
        <v>0.2201492537313432</v>
      </c>
      <c r="K127" s="11">
        <v>4.2813455657492359E-2</v>
      </c>
      <c r="L127" s="13">
        <v>-780356000</v>
      </c>
      <c r="M127" s="13">
        <v>8664599000</v>
      </c>
      <c r="N127" s="9" t="s">
        <v>68</v>
      </c>
      <c r="O127" s="6">
        <v>1</v>
      </c>
      <c r="P127" s="12">
        <v>-5.5517362585102495E-2</v>
      </c>
      <c r="Q127" s="12">
        <v>-9.0062563772426163E-2</v>
      </c>
      <c r="R127" s="14">
        <v>89</v>
      </c>
    </row>
    <row r="128" spans="2:18" x14ac:dyDescent="0.5">
      <c r="B128" s="1" t="s">
        <v>456</v>
      </c>
      <c r="C128" t="s">
        <v>460</v>
      </c>
      <c r="D128" t="s">
        <v>461</v>
      </c>
      <c r="E128">
        <v>551</v>
      </c>
      <c r="F128" s="9" t="s">
        <v>68</v>
      </c>
      <c r="G128" s="7">
        <v>360135491584</v>
      </c>
      <c r="H128" s="6">
        <v>613</v>
      </c>
      <c r="I128" s="6">
        <v>402.6</v>
      </c>
      <c r="J128" s="12">
        <f t="shared" si="3"/>
        <v>0.36860407352210633</v>
      </c>
      <c r="K128" s="11">
        <v>0</v>
      </c>
      <c r="L128" s="13">
        <v>18738000000</v>
      </c>
      <c r="M128" s="13">
        <v>182117000000</v>
      </c>
      <c r="N128" s="9" t="s">
        <v>51</v>
      </c>
      <c r="O128" s="6">
        <v>1.0683760683760684</v>
      </c>
      <c r="P128" s="12">
        <v>5.6959632324373656E-2</v>
      </c>
      <c r="Q128" s="12">
        <v>0.10288990044861271</v>
      </c>
      <c r="R128" s="14">
        <v>70</v>
      </c>
    </row>
    <row r="129" spans="2:18" x14ac:dyDescent="0.5">
      <c r="B129" s="1" t="s">
        <v>457</v>
      </c>
      <c r="C129" t="s">
        <v>462</v>
      </c>
      <c r="D129" t="s">
        <v>463</v>
      </c>
      <c r="E129">
        <v>2.52</v>
      </c>
      <c r="F129" s="9" t="s">
        <v>68</v>
      </c>
      <c r="G129" s="7">
        <v>24243329024</v>
      </c>
      <c r="H129" s="6">
        <v>2.64</v>
      </c>
      <c r="I129" s="6">
        <v>1.57</v>
      </c>
      <c r="J129" s="12">
        <f t="shared" si="3"/>
        <v>0.60509554140127375</v>
      </c>
      <c r="K129" s="11">
        <v>2.777777777777778E-2</v>
      </c>
      <c r="L129" s="13">
        <v>1507922451</v>
      </c>
      <c r="M129" s="13">
        <v>27909411974</v>
      </c>
      <c r="N129" s="9" t="s">
        <v>51</v>
      </c>
      <c r="O129" s="6">
        <v>1.0683760683760684</v>
      </c>
      <c r="P129" s="12">
        <v>6.5697629952955749E-2</v>
      </c>
      <c r="Q129" s="12">
        <v>5.4029173112094174E-2</v>
      </c>
      <c r="R129" s="14">
        <v>81</v>
      </c>
    </row>
    <row r="130" spans="2:18" x14ac:dyDescent="0.5">
      <c r="B130" s="1" t="s">
        <v>115</v>
      </c>
      <c r="C130" t="s">
        <v>154</v>
      </c>
      <c r="D130" t="s">
        <v>155</v>
      </c>
      <c r="E130">
        <v>76.5</v>
      </c>
      <c r="F130" s="9" t="s">
        <v>68</v>
      </c>
      <c r="G130" s="7">
        <v>204972326912</v>
      </c>
      <c r="H130" s="6">
        <v>86</v>
      </c>
      <c r="I130" s="6">
        <v>44.25</v>
      </c>
      <c r="J130" s="12">
        <f t="shared" ref="J130:J161" si="4">E130/I130-1</f>
        <v>0.72881355932203395</v>
      </c>
      <c r="K130" s="11">
        <v>3.5294117647058823E-2</v>
      </c>
      <c r="L130" s="13">
        <v>8955723006</v>
      </c>
      <c r="M130" s="13">
        <v>47495870210</v>
      </c>
      <c r="N130" s="9" t="s">
        <v>51</v>
      </c>
      <c r="O130" s="6">
        <v>1.0683760683760684</v>
      </c>
      <c r="P130" s="12">
        <v>4.7620402411813492E-2</v>
      </c>
      <c r="Q130" s="12">
        <v>0.18855793075067021</v>
      </c>
      <c r="R130" s="14">
        <v>56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opLeftCell="A9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E14" sqref="E1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2025-10-08T09:43:10Z</dcterms:modified>
</cp:coreProperties>
</file>