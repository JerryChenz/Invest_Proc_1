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D58F0D8-0AA7-4E59-A28C-DBAFBB779DF4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<sst xmlns="http://schemas.openxmlformats.org/spreadsheetml/2006/main" count="1714" uniqueCount="786">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</sst>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9"/>
  <sheetViews>
    <sheetView tabSelected="1" zoomScaleNormal="100" workbookViewId="0">
      <pane xSplit="3" ySplit="1" topLeftCell="D113" activePane="bottomRight" state="frozen"/>
      <selection pane="topRight" activeCell="D1" sqref="D1"/>
      <selection pane="bottomLeft" activeCell="A2" sqref="A2"/>
      <selection pane="bottomRight" activeCell="B140" sqref="B14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13.96</v>
      </c>
      <c r="F2" s="9" t="s">
        <v>67</v>
      </c>
      <c r="G2" s="7">
        <v>250917715968</v>
      </c>
      <c r="H2" s="6">
        <v>15.6</v>
      </c>
      <c r="I2" s="6">
        <v>9.8000000000000007</v>
      </c>
      <c r="J2" s="12">
        <f t="shared" ref="J2:J33" si="0">E2/I2-1</f>
        <v>0.42448979591836733</v>
      </c>
      <c r="K2" s="11">
        <v>0.11389684813753581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0.55279206869348574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4.2300000000000004</v>
      </c>
      <c r="F3" s="9" t="s">
        <v>67</v>
      </c>
      <c r="G3" s="7">
        <v>11832255488</v>
      </c>
      <c r="H3" s="6">
        <v>5.2</v>
      </c>
      <c r="I3" s="6">
        <v>2.5099999999999998</v>
      </c>
      <c r="J3" s="12">
        <f t="shared" si="0"/>
        <v>0.68525896414342657</v>
      </c>
      <c r="K3" s="11">
        <v>3.6170212765957444E-2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0.26183962045535969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132.5</v>
      </c>
      <c r="F4" s="9" t="s">
        <v>67</v>
      </c>
      <c r="G4" s="7">
        <v>87499464704</v>
      </c>
      <c r="H4" s="6">
        <v>149.5</v>
      </c>
      <c r="I4" s="6">
        <v>93</v>
      </c>
      <c r="J4" s="12">
        <f t="shared" si="0"/>
        <v>0.42473118279569899</v>
      </c>
      <c r="K4" s="11">
        <v>1.539622641509434E-2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0.54391616704666124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3.77</v>
      </c>
      <c r="J5" s="12">
        <f t="shared" si="0"/>
        <v>5.8355437665782439E-2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</v>
      </c>
      <c r="F6" s="9" t="s">
        <v>67</v>
      </c>
      <c r="G6" s="7">
        <v>355885088768</v>
      </c>
      <c r="H6" s="6">
        <v>7.63</v>
      </c>
      <c r="I6" s="6">
        <v>3.66</v>
      </c>
      <c r="J6" s="12">
        <f t="shared" si="0"/>
        <v>0.8306010928961749</v>
      </c>
      <c r="K6" s="11">
        <v>2.8656716417910448E-2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0.20087390245065442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1.98</v>
      </c>
      <c r="F7" s="9" t="s">
        <v>67</v>
      </c>
      <c r="G7" s="7">
        <v>1980000000</v>
      </c>
      <c r="H7" s="6">
        <v>2.42</v>
      </c>
      <c r="I7" s="6">
        <v>1.55</v>
      </c>
      <c r="J7" s="12">
        <f t="shared" si="0"/>
        <v>0.27741935483870961</v>
      </c>
      <c r="K7" s="11">
        <v>0.10606060606060606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0.14669258690252407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15.05</v>
      </c>
      <c r="F8" s="9" t="s">
        <v>67</v>
      </c>
      <c r="G8" s="7">
        <v>58725642240</v>
      </c>
      <c r="H8" s="6">
        <v>19.05</v>
      </c>
      <c r="I8" s="6">
        <v>4.22</v>
      </c>
      <c r="J8" s="12">
        <f t="shared" si="0"/>
        <v>2.5663507109004744</v>
      </c>
      <c r="K8" s="11">
        <v>2.8571428571428567E-3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0.11807136699930915</v>
      </c>
      <c r="Q8" s="12">
        <v>0.34518550887925997</v>
      </c>
      <c r="R8" s="14">
        <v>9</v>
      </c>
    </row>
    <row r="9" spans="2:22" x14ac:dyDescent="0.5">
      <c r="B9" s="1" t="s">
        <v>290</v>
      </c>
      <c r="C9" t="s">
        <v>343</v>
      </c>
      <c r="D9" t="s">
        <v>94</v>
      </c>
      <c r="E9">
        <v>5.58</v>
      </c>
      <c r="F9" s="9" t="s">
        <v>67</v>
      </c>
      <c r="G9" s="7">
        <v>11537666048</v>
      </c>
      <c r="H9" s="6">
        <v>6.7</v>
      </c>
      <c r="I9" s="6">
        <v>3.84</v>
      </c>
      <c r="J9" s="12">
        <f t="shared" si="0"/>
        <v>0.453125</v>
      </c>
      <c r="K9" s="11">
        <v>5.0716845878136192E-2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0.23147568143358627</v>
      </c>
      <c r="Q9" s="12">
        <v>0.16357040581906512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 t="shared" si="0"/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5">
      <c r="B11" s="1" t="s">
        <v>775</v>
      </c>
      <c r="C11" t="s">
        <v>777</v>
      </c>
      <c r="D11" t="s">
        <v>435</v>
      </c>
      <c r="E11">
        <v>108.8</v>
      </c>
      <c r="F11" s="9" t="s">
        <v>67</v>
      </c>
      <c r="G11" s="7">
        <v>335790931968</v>
      </c>
      <c r="H11" s="6">
        <v>180.8</v>
      </c>
      <c r="I11" s="6">
        <v>105.9</v>
      </c>
      <c r="J11" s="12">
        <f t="shared" si="0"/>
        <v>2.7384324834749618E-2</v>
      </c>
      <c r="K11" s="11">
        <v>6.7086397058823535E-2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0.18407382205238404</v>
      </c>
      <c r="Q11" s="12">
        <v>0.17941154174480806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14.77</v>
      </c>
      <c r="F12" s="9" t="s">
        <v>67</v>
      </c>
      <c r="G12" s="7">
        <v>12364078080</v>
      </c>
      <c r="H12" s="6">
        <v>19.440000000000001</v>
      </c>
      <c r="I12" s="6">
        <v>12.5</v>
      </c>
      <c r="J12" s="12">
        <f t="shared" si="0"/>
        <v>0.18159999999999998</v>
      </c>
      <c r="K12" s="11">
        <v>8.8693297224102918E-3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0.16688421617387617</v>
      </c>
      <c r="Q12" s="12">
        <v>0.18009145491283626</v>
      </c>
      <c r="R12" s="14">
        <v>10</v>
      </c>
    </row>
    <row r="13" spans="2:22" x14ac:dyDescent="0.5">
      <c r="B13" s="1" t="s">
        <v>766</v>
      </c>
      <c r="C13" t="s">
        <v>771</v>
      </c>
      <c r="D13" t="s">
        <v>164</v>
      </c>
      <c r="E13">
        <v>0.97</v>
      </c>
      <c r="F13" s="9" t="s">
        <v>67</v>
      </c>
      <c r="G13" s="7">
        <v>712234880</v>
      </c>
      <c r="H13" s="6">
        <v>1.06</v>
      </c>
      <c r="I13" s="6">
        <v>0.74</v>
      </c>
      <c r="J13" s="12">
        <f t="shared" si="0"/>
        <v>0.31081081081081074</v>
      </c>
      <c r="K13" s="11">
        <v>0.10309278350515465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0.41996073877826234</v>
      </c>
      <c r="Q13" s="12">
        <v>0.13205464935962127</v>
      </c>
      <c r="R13" s="14">
        <v>10</v>
      </c>
    </row>
    <row r="14" spans="2:22" x14ac:dyDescent="0.5">
      <c r="B14" s="1" t="s">
        <v>29</v>
      </c>
      <c r="C14" t="s">
        <v>89</v>
      </c>
      <c r="D14" t="s">
        <v>85</v>
      </c>
      <c r="E14">
        <v>4.99</v>
      </c>
      <c r="F14" s="9" t="s">
        <v>67</v>
      </c>
      <c r="G14" s="7">
        <v>58897321984</v>
      </c>
      <c r="H14" s="6">
        <v>5.97</v>
      </c>
      <c r="I14" s="6">
        <v>4.4800000000000004</v>
      </c>
      <c r="J14" s="12">
        <f t="shared" si="0"/>
        <v>0.11383928571428559</v>
      </c>
      <c r="K14" s="11">
        <v>2.9659318637274546E-2</v>
      </c>
      <c r="L14" s="13">
        <v>5915895000</v>
      </c>
      <c r="M14" s="13">
        <v>21902003000</v>
      </c>
      <c r="N14" s="9" t="s">
        <v>50</v>
      </c>
      <c r="O14" s="6">
        <v>1.0683760683760684</v>
      </c>
      <c r="P14" s="12">
        <v>0.11560838765886422</v>
      </c>
      <c r="Q14" s="12">
        <v>0.27010748742934609</v>
      </c>
      <c r="R14" s="14">
        <v>13</v>
      </c>
    </row>
    <row r="15" spans="2:22" x14ac:dyDescent="0.5">
      <c r="B15" s="1" t="s">
        <v>140</v>
      </c>
      <c r="C15" t="s">
        <v>189</v>
      </c>
      <c r="D15" t="s">
        <v>178</v>
      </c>
      <c r="E15">
        <v>9.31</v>
      </c>
      <c r="F15" s="9" t="s">
        <v>67</v>
      </c>
      <c r="G15" s="7">
        <v>115487383552</v>
      </c>
      <c r="H15" s="6">
        <v>13.6</v>
      </c>
      <c r="I15" s="6">
        <v>6.57</v>
      </c>
      <c r="J15" s="12">
        <f t="shared" si="0"/>
        <v>0.41704718417047193</v>
      </c>
      <c r="K15" s="11">
        <v>5.3705692803437165E-3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0.14052707935903783</v>
      </c>
      <c r="Q15" s="12">
        <v>0.19681397761416858</v>
      </c>
      <c r="R15" s="14">
        <v>11</v>
      </c>
    </row>
    <row r="16" spans="2:22" x14ac:dyDescent="0.5">
      <c r="B16" s="1" t="s">
        <v>23</v>
      </c>
      <c r="C16" t="s">
        <v>79</v>
      </c>
      <c r="D16" t="s">
        <v>80</v>
      </c>
      <c r="E16">
        <v>8.17</v>
      </c>
      <c r="F16" s="9" t="s">
        <v>67</v>
      </c>
      <c r="G16" s="7">
        <v>70744031232</v>
      </c>
      <c r="H16" s="6">
        <v>8.48</v>
      </c>
      <c r="I16" s="6">
        <v>6.8</v>
      </c>
      <c r="J16" s="12">
        <f t="shared" si="0"/>
        <v>0.20147058823529407</v>
      </c>
      <c r="K16" s="11">
        <v>3.8922888616891069E-2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0.21443019388420079</v>
      </c>
      <c r="Q16" s="12">
        <v>0.15165160081705431</v>
      </c>
      <c r="R16" s="14">
        <v>12</v>
      </c>
    </row>
    <row r="17" spans="2:18" x14ac:dyDescent="0.5">
      <c r="B17" s="1" t="s">
        <v>250</v>
      </c>
      <c r="C17" t="s">
        <v>297</v>
      </c>
      <c r="D17" t="s">
        <v>298</v>
      </c>
      <c r="E17">
        <v>25.2</v>
      </c>
      <c r="F17" s="9" t="s">
        <v>67</v>
      </c>
      <c r="G17" s="7">
        <v>90569269248</v>
      </c>
      <c r="H17" s="6">
        <v>25.9</v>
      </c>
      <c r="I17" s="6">
        <v>9.56</v>
      </c>
      <c r="J17" s="12">
        <f t="shared" si="0"/>
        <v>1.6359832635983262</v>
      </c>
      <c r="K17" s="11">
        <v>1.3888888888888888E-2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0.19940944391203208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5.24</v>
      </c>
      <c r="F18" s="9" t="s">
        <v>67</v>
      </c>
      <c r="G18" s="7">
        <v>14146524160</v>
      </c>
      <c r="H18" s="6">
        <v>6.83</v>
      </c>
      <c r="I18" s="6">
        <v>4.46</v>
      </c>
      <c r="J18" s="12">
        <f t="shared" si="0"/>
        <v>0.17488789237668168</v>
      </c>
      <c r="K18" s="11">
        <v>4.7519083969465643E-2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0.15281801205893844</v>
      </c>
      <c r="Q18" s="12">
        <v>0.17526328902672489</v>
      </c>
      <c r="R18" s="14">
        <v>13</v>
      </c>
    </row>
    <row r="19" spans="2:18" x14ac:dyDescent="0.5">
      <c r="B19" s="1" t="s">
        <v>285</v>
      </c>
      <c r="C19" t="s">
        <v>338</v>
      </c>
      <c r="D19" t="s">
        <v>85</v>
      </c>
      <c r="E19">
        <v>9.4600000000000009</v>
      </c>
      <c r="F19" s="9" t="s">
        <v>67</v>
      </c>
      <c r="G19" s="7">
        <v>121373876224</v>
      </c>
      <c r="H19" s="6">
        <v>9.57</v>
      </c>
      <c r="I19" s="6">
        <v>5.84</v>
      </c>
      <c r="J19" s="12">
        <f t="shared" si="0"/>
        <v>0.61986301369863028</v>
      </c>
      <c r="K19" s="11">
        <v>8.1395348837209301E-3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0.14632381691479865</v>
      </c>
      <c r="Q19" s="12">
        <v>0.18273566673824351</v>
      </c>
      <c r="R19" s="14">
        <v>14</v>
      </c>
    </row>
    <row r="20" spans="2:18" x14ac:dyDescent="0.5">
      <c r="B20" s="1" t="s">
        <v>20</v>
      </c>
      <c r="C20" t="s">
        <v>72</v>
      </c>
      <c r="D20" t="s">
        <v>73</v>
      </c>
      <c r="E20">
        <v>3.2</v>
      </c>
      <c r="F20" s="9" t="s">
        <v>67</v>
      </c>
      <c r="G20" s="7">
        <v>3327385600</v>
      </c>
      <c r="H20" s="6">
        <v>3.74</v>
      </c>
      <c r="I20" s="6">
        <v>1.92</v>
      </c>
      <c r="J20" s="12">
        <f t="shared" si="0"/>
        <v>0.66666666666666674</v>
      </c>
      <c r="K20" s="11">
        <v>8.8749999999999982E-2</v>
      </c>
      <c r="L20" s="13">
        <v>762183000</v>
      </c>
      <c r="M20" s="13">
        <v>5008319000</v>
      </c>
      <c r="N20" s="9" t="s">
        <v>67</v>
      </c>
      <c r="O20" s="6">
        <v>1</v>
      </c>
      <c r="P20" s="12">
        <v>0.1871570562656949</v>
      </c>
      <c r="Q20" s="12">
        <v>0.15218339726363278</v>
      </c>
      <c r="R20" s="14">
        <v>15</v>
      </c>
    </row>
    <row r="21" spans="2:18" x14ac:dyDescent="0.5">
      <c r="B21" s="1" t="s">
        <v>288</v>
      </c>
      <c r="C21" t="s">
        <v>341</v>
      </c>
      <c r="D21" t="s">
        <v>76</v>
      </c>
      <c r="E21">
        <v>29.68</v>
      </c>
      <c r="F21" s="9" t="s">
        <v>67</v>
      </c>
      <c r="G21" s="7">
        <v>79513665536</v>
      </c>
      <c r="H21" s="6">
        <v>33</v>
      </c>
      <c r="I21" s="6">
        <v>15.7</v>
      </c>
      <c r="J21" s="12">
        <f t="shared" si="0"/>
        <v>0.89044585987261149</v>
      </c>
      <c r="K21" s="11">
        <v>1.1859838274932614E-2</v>
      </c>
      <c r="L21" s="13">
        <v>1069250000</v>
      </c>
      <c r="M21" s="13">
        <v>2571093000</v>
      </c>
      <c r="N21" s="9" t="s">
        <v>71</v>
      </c>
      <c r="O21" s="6">
        <v>7.6923076923076916</v>
      </c>
      <c r="P21" s="12">
        <v>0.10712743314321226</v>
      </c>
      <c r="Q21" s="12">
        <v>0.41587371596437778</v>
      </c>
      <c r="R21" s="14">
        <v>12</v>
      </c>
    </row>
    <row r="22" spans="2:18" x14ac:dyDescent="0.5">
      <c r="B22" s="1" t="s">
        <v>34</v>
      </c>
      <c r="C22" t="s">
        <v>97</v>
      </c>
      <c r="D22" t="s">
        <v>70</v>
      </c>
      <c r="E22">
        <v>4.87</v>
      </c>
      <c r="F22" s="9" t="s">
        <v>67</v>
      </c>
      <c r="G22" s="7">
        <v>56150880256</v>
      </c>
      <c r="H22" s="6">
        <v>5.37</v>
      </c>
      <c r="I22" s="6">
        <v>3.5</v>
      </c>
      <c r="J22" s="12">
        <f t="shared" si="0"/>
        <v>0.39142857142857146</v>
      </c>
      <c r="K22" s="11">
        <v>5.4209445585215607E-2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0.10540506498442452</v>
      </c>
      <c r="Q22" s="12">
        <v>0.29719681912231338</v>
      </c>
      <c r="R22" s="14">
        <v>17</v>
      </c>
    </row>
    <row r="23" spans="2:18" x14ac:dyDescent="0.5">
      <c r="B23" s="1" t="s">
        <v>247</v>
      </c>
      <c r="C23" t="s">
        <v>292</v>
      </c>
      <c r="D23" t="s">
        <v>291</v>
      </c>
      <c r="E23">
        <v>1.29</v>
      </c>
      <c r="F23" s="9" t="s">
        <v>67</v>
      </c>
      <c r="G23" s="7">
        <v>2598380800</v>
      </c>
      <c r="H23" s="6">
        <v>1.85</v>
      </c>
      <c r="I23" s="6">
        <v>1.1299999999999999</v>
      </c>
      <c r="J23" s="12">
        <f t="shared" si="0"/>
        <v>0.14159292035398252</v>
      </c>
      <c r="K23" s="11">
        <v>9.2248062015503868E-2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0.33325108012961335</v>
      </c>
      <c r="Q23" s="12">
        <v>0.11883524915013245</v>
      </c>
      <c r="R23" s="14">
        <v>16</v>
      </c>
    </row>
    <row r="24" spans="2:18" x14ac:dyDescent="0.5">
      <c r="B24" s="1" t="s">
        <v>27</v>
      </c>
      <c r="C24" t="s">
        <v>86</v>
      </c>
      <c r="D24" t="s">
        <v>87</v>
      </c>
      <c r="E24">
        <v>4.8099999999999996</v>
      </c>
      <c r="F24" s="9" t="s">
        <v>67</v>
      </c>
      <c r="G24" s="7">
        <v>5107652096</v>
      </c>
      <c r="H24" s="6">
        <v>7.12</v>
      </c>
      <c r="I24" s="6">
        <v>3.98</v>
      </c>
      <c r="J24" s="12">
        <f t="shared" si="0"/>
        <v>0.20854271356783904</v>
      </c>
      <c r="K24" s="11">
        <v>0.10395010395010396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0.41044063632324529</v>
      </c>
      <c r="Q24" s="12">
        <v>0.11511220438953086</v>
      </c>
      <c r="R24" s="14">
        <v>16</v>
      </c>
    </row>
    <row r="25" spans="2:18" x14ac:dyDescent="0.5">
      <c r="B25" s="1" t="s">
        <v>287</v>
      </c>
      <c r="C25" t="s">
        <v>340</v>
      </c>
      <c r="D25" t="s">
        <v>53</v>
      </c>
      <c r="E25">
        <v>4.99</v>
      </c>
      <c r="F25" s="9" t="s">
        <v>67</v>
      </c>
      <c r="G25" s="7">
        <v>19351633920</v>
      </c>
      <c r="H25" s="6">
        <v>5.29</v>
      </c>
      <c r="I25" s="6">
        <v>3.33</v>
      </c>
      <c r="J25" s="12">
        <f t="shared" si="0"/>
        <v>0.49849849849849859</v>
      </c>
      <c r="K25" s="11">
        <v>5.410821643286573E-2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0.14308349656174163</v>
      </c>
      <c r="Q25" s="12">
        <v>0.16681818624944278</v>
      </c>
      <c r="R25" s="14">
        <v>19</v>
      </c>
    </row>
    <row r="26" spans="2:18" x14ac:dyDescent="0.5">
      <c r="B26" s="1" t="s">
        <v>24</v>
      </c>
      <c r="C26" t="s">
        <v>755</v>
      </c>
      <c r="D26" t="s">
        <v>81</v>
      </c>
      <c r="E26">
        <v>22.2</v>
      </c>
      <c r="F26" s="9" t="s">
        <v>67</v>
      </c>
      <c r="G26" s="7">
        <v>47303172096</v>
      </c>
      <c r="H26" s="6">
        <v>26</v>
      </c>
      <c r="I26" s="6">
        <v>9.76</v>
      </c>
      <c r="J26" s="12">
        <f t="shared" si="0"/>
        <v>1.2745901639344264</v>
      </c>
      <c r="K26" s="11">
        <v>5.0450450450450456E-2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0.11473004555232215</v>
      </c>
      <c r="Q26" s="12">
        <v>0.20973136925592797</v>
      </c>
      <c r="R26" s="14">
        <v>18</v>
      </c>
    </row>
    <row r="27" spans="2:18" x14ac:dyDescent="0.5">
      <c r="B27" s="1" t="s">
        <v>22</v>
      </c>
      <c r="C27" t="s">
        <v>77</v>
      </c>
      <c r="D27" t="s">
        <v>78</v>
      </c>
      <c r="E27">
        <v>11.84</v>
      </c>
      <c r="F27" s="9" t="s">
        <v>67</v>
      </c>
      <c r="G27" s="7">
        <v>191496470528</v>
      </c>
      <c r="H27" s="6">
        <v>12.31</v>
      </c>
      <c r="I27" s="6">
        <v>7.16</v>
      </c>
      <c r="J27" s="12">
        <f t="shared" si="0"/>
        <v>0.65363128491620115</v>
      </c>
      <c r="K27" s="11">
        <v>3.5810810810810813E-2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0.15371610999748545</v>
      </c>
      <c r="Q27" s="12">
        <v>0.15266623500015464</v>
      </c>
      <c r="R27" s="14">
        <v>20</v>
      </c>
    </row>
    <row r="28" spans="2:18" x14ac:dyDescent="0.5">
      <c r="B28" s="1" t="s">
        <v>764</v>
      </c>
      <c r="C28" t="s">
        <v>769</v>
      </c>
      <c r="D28" t="s">
        <v>660</v>
      </c>
      <c r="E28">
        <v>1.29</v>
      </c>
      <c r="F28" s="9" t="s">
        <v>67</v>
      </c>
      <c r="G28" s="7">
        <v>535349984</v>
      </c>
      <c r="H28" s="6">
        <v>1.41</v>
      </c>
      <c r="I28" s="6">
        <v>0.59</v>
      </c>
      <c r="J28" s="12">
        <f t="shared" si="0"/>
        <v>1.1864406779661021</v>
      </c>
      <c r="K28" s="11">
        <v>2.9457364341085271E-2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0.14453061144615698</v>
      </c>
      <c r="Q28" s="12">
        <v>0.15515893244837817</v>
      </c>
      <c r="R28" s="14">
        <v>21</v>
      </c>
    </row>
    <row r="29" spans="2:18" x14ac:dyDescent="0.5">
      <c r="B29" s="1" t="s">
        <v>289</v>
      </c>
      <c r="C29" t="s">
        <v>342</v>
      </c>
      <c r="D29" t="s">
        <v>85</v>
      </c>
      <c r="E29">
        <v>1.07</v>
      </c>
      <c r="F29" s="9" t="s">
        <v>67</v>
      </c>
      <c r="G29" s="7">
        <v>2341710080</v>
      </c>
      <c r="H29" s="6">
        <v>1.29</v>
      </c>
      <c r="I29" s="6">
        <v>0.47</v>
      </c>
      <c r="J29" s="12">
        <f t="shared" si="0"/>
        <v>1.2765957446808511</v>
      </c>
      <c r="K29" s="11">
        <v>3.4579439252336447E-2</v>
      </c>
      <c r="L29" s="13">
        <v>219938000</v>
      </c>
      <c r="M29" s="13">
        <v>1520292000</v>
      </c>
      <c r="N29" s="9" t="s">
        <v>50</v>
      </c>
      <c r="O29" s="6">
        <v>1.0683760683760684</v>
      </c>
      <c r="P29" s="12">
        <v>0.16071633811434632</v>
      </c>
      <c r="Q29" s="12">
        <v>0.14466826109721026</v>
      </c>
      <c r="R29" s="14">
        <v>23</v>
      </c>
    </row>
    <row r="30" spans="2:18" x14ac:dyDescent="0.5">
      <c r="B30" s="1" t="s">
        <v>197</v>
      </c>
      <c r="C30" t="s">
        <v>220</v>
      </c>
      <c r="D30" t="s">
        <v>221</v>
      </c>
      <c r="E30">
        <v>27.2</v>
      </c>
      <c r="F30" s="9" t="s">
        <v>67</v>
      </c>
      <c r="G30" s="7">
        <v>237009420288</v>
      </c>
      <c r="H30" s="6">
        <v>28.74</v>
      </c>
      <c r="I30" s="6">
        <v>12.76</v>
      </c>
      <c r="J30" s="12">
        <f t="shared" si="0"/>
        <v>1.1316614420062696</v>
      </c>
      <c r="K30" s="11">
        <v>2.5919117647058822E-2</v>
      </c>
      <c r="L30" s="13">
        <v>21175963859.630001</v>
      </c>
      <c r="M30" s="13">
        <v>104071284594.97</v>
      </c>
      <c r="N30" s="9" t="s">
        <v>50</v>
      </c>
      <c r="O30" s="6">
        <v>1.0683760683760684</v>
      </c>
      <c r="P30" s="12">
        <v>0.10971373576325247</v>
      </c>
      <c r="Q30" s="12">
        <v>0.20347556909712136</v>
      </c>
      <c r="R30" s="14">
        <v>21</v>
      </c>
    </row>
    <row r="31" spans="2:18" x14ac:dyDescent="0.5">
      <c r="B31" s="1" t="s">
        <v>115</v>
      </c>
      <c r="C31" t="s">
        <v>155</v>
      </c>
      <c r="D31" t="s">
        <v>83</v>
      </c>
      <c r="E31">
        <v>80.400000000000006</v>
      </c>
      <c r="F31" s="9" t="s">
        <v>67</v>
      </c>
      <c r="G31" s="7">
        <v>222748164096</v>
      </c>
      <c r="H31" s="6">
        <v>106.3</v>
      </c>
      <c r="I31" s="6">
        <v>73.55</v>
      </c>
      <c r="J31" s="12">
        <f t="shared" si="0"/>
        <v>9.3133922501699606E-2</v>
      </c>
      <c r="K31" s="11">
        <v>2.9477611940298507E-2</v>
      </c>
      <c r="L31" s="13">
        <v>22510000000</v>
      </c>
      <c r="M31" s="13">
        <v>82545000000</v>
      </c>
      <c r="N31" s="9" t="s">
        <v>50</v>
      </c>
      <c r="O31" s="6">
        <v>1.0683760683760684</v>
      </c>
      <c r="P31" s="12">
        <v>9.9945706262723796E-2</v>
      </c>
      <c r="Q31" s="12">
        <v>0.27269973953601068</v>
      </c>
      <c r="R31" s="14">
        <v>23</v>
      </c>
    </row>
    <row r="32" spans="2:18" x14ac:dyDescent="0.5">
      <c r="B32" s="1" t="s">
        <v>279</v>
      </c>
      <c r="C32" t="s">
        <v>332</v>
      </c>
      <c r="D32" t="s">
        <v>60</v>
      </c>
      <c r="E32">
        <v>10.82</v>
      </c>
      <c r="F32" s="9" t="s">
        <v>67</v>
      </c>
      <c r="G32" s="7">
        <v>17535963136</v>
      </c>
      <c r="H32" s="6">
        <v>12.4</v>
      </c>
      <c r="I32" s="6">
        <v>10.01</v>
      </c>
      <c r="J32" s="12">
        <f t="shared" si="0"/>
        <v>8.0919080919080955E-2</v>
      </c>
      <c r="K32" s="11">
        <v>5.5452865064695003E-2</v>
      </c>
      <c r="L32" s="13">
        <v>1721368005.75</v>
      </c>
      <c r="M32" s="13">
        <v>14620942286.52</v>
      </c>
      <c r="N32" s="9" t="s">
        <v>50</v>
      </c>
      <c r="O32" s="6">
        <v>1.0683760683760684</v>
      </c>
      <c r="P32" s="12">
        <v>0.22813260321994372</v>
      </c>
      <c r="Q32" s="12">
        <v>0.11773304155211949</v>
      </c>
      <c r="R32" s="14">
        <v>22</v>
      </c>
    </row>
    <row r="33" spans="2:18" x14ac:dyDescent="0.5">
      <c r="B33" s="1" t="s">
        <v>282</v>
      </c>
      <c r="C33" t="s">
        <v>335</v>
      </c>
      <c r="D33" t="s">
        <v>96</v>
      </c>
      <c r="E33">
        <v>4.9800000000000004</v>
      </c>
      <c r="F33" s="9" t="s">
        <v>67</v>
      </c>
      <c r="G33" s="7">
        <v>5482738688</v>
      </c>
      <c r="H33" s="6">
        <v>4.9800000000000004</v>
      </c>
      <c r="I33" s="6">
        <v>4</v>
      </c>
      <c r="J33" s="12">
        <f t="shared" si="0"/>
        <v>0.24500000000000011</v>
      </c>
      <c r="K33" s="11">
        <v>6.4257028112449793E-2</v>
      </c>
      <c r="L33" s="13">
        <v>765224000</v>
      </c>
      <c r="M33" s="13">
        <v>5249449000</v>
      </c>
      <c r="N33" s="9" t="s">
        <v>67</v>
      </c>
      <c r="O33" s="6">
        <v>1</v>
      </c>
      <c r="P33" s="12">
        <v>0.15716246642733406</v>
      </c>
      <c r="Q33" s="12">
        <v>0.14577225152582682</v>
      </c>
      <c r="R33" s="14">
        <v>23</v>
      </c>
    </row>
    <row r="34" spans="2:18" x14ac:dyDescent="0.5">
      <c r="B34" s="1" t="s">
        <v>433</v>
      </c>
      <c r="C34" t="s">
        <v>436</v>
      </c>
      <c r="D34" t="s">
        <v>182</v>
      </c>
      <c r="E34">
        <v>17.04</v>
      </c>
      <c r="F34" s="9" t="s">
        <v>67</v>
      </c>
      <c r="G34" s="7">
        <v>92271607808</v>
      </c>
      <c r="H34" s="6">
        <v>18.88</v>
      </c>
      <c r="I34" s="6">
        <v>12.43</v>
      </c>
      <c r="J34" s="12">
        <f t="shared" ref="J34:J65" si="1">E34/I34-1</f>
        <v>0.37087691069991946</v>
      </c>
      <c r="K34" s="11">
        <v>4.5598591549295776E-2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8.1104647460148518E-2</v>
      </c>
      <c r="Q34" s="12">
        <v>0.54732223794674262</v>
      </c>
      <c r="R34" s="14">
        <v>24</v>
      </c>
    </row>
    <row r="35" spans="2:18" x14ac:dyDescent="0.5">
      <c r="B35" s="1" t="s">
        <v>110</v>
      </c>
      <c r="C35" t="s">
        <v>147</v>
      </c>
      <c r="D35" t="s">
        <v>148</v>
      </c>
      <c r="E35">
        <v>4.13</v>
      </c>
      <c r="F35" s="9" t="s">
        <v>67</v>
      </c>
      <c r="G35" s="7">
        <v>5928249344</v>
      </c>
      <c r="H35" s="6">
        <v>6.5</v>
      </c>
      <c r="I35" s="6">
        <v>2.85</v>
      </c>
      <c r="J35" s="12">
        <f t="shared" si="1"/>
        <v>0.4491228070175437</v>
      </c>
      <c r="K35" s="11">
        <v>9.4673123486682817E-2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0.15179411681086116</v>
      </c>
      <c r="Q35" s="12">
        <v>0.14675695119790894</v>
      </c>
      <c r="R35" s="14">
        <v>25</v>
      </c>
    </row>
    <row r="36" spans="2:18" x14ac:dyDescent="0.5">
      <c r="B36" s="1" t="s">
        <v>198</v>
      </c>
      <c r="C36" t="s">
        <v>222</v>
      </c>
      <c r="D36" t="s">
        <v>223</v>
      </c>
      <c r="E36">
        <v>0.66</v>
      </c>
      <c r="F36" s="9" t="s">
        <v>67</v>
      </c>
      <c r="G36" s="7">
        <v>1572256000</v>
      </c>
      <c r="H36" s="6">
        <v>0.75</v>
      </c>
      <c r="I36" s="6">
        <v>0.55000000000000004</v>
      </c>
      <c r="J36" s="12">
        <f t="shared" si="1"/>
        <v>0.19999999999999996</v>
      </c>
      <c r="K36" s="11">
        <v>1.5151515151515152E-2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1.525962909485719</v>
      </c>
      <c r="Q36" s="12">
        <v>9.2370860611101543E-2</v>
      </c>
      <c r="R36" s="14">
        <v>26</v>
      </c>
    </row>
    <row r="37" spans="2:18" x14ac:dyDescent="0.5">
      <c r="B37" s="1" t="s">
        <v>139</v>
      </c>
      <c r="C37" t="s">
        <v>187</v>
      </c>
      <c r="D37" t="s">
        <v>106</v>
      </c>
      <c r="E37">
        <v>40.840000000000003</v>
      </c>
      <c r="F37" s="9" t="s">
        <v>67</v>
      </c>
      <c r="G37" s="7">
        <v>104502370304</v>
      </c>
      <c r="H37" s="6">
        <v>71.7</v>
      </c>
      <c r="I37" s="6">
        <v>39.08</v>
      </c>
      <c r="J37" s="12">
        <f t="shared" si="1"/>
        <v>4.5035823950870135E-2</v>
      </c>
      <c r="K37" s="11">
        <v>4.0156709108716939E-3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9.32782207145956E-2</v>
      </c>
      <c r="Q37" s="12">
        <v>0.26583067696212276</v>
      </c>
      <c r="R37" s="14">
        <v>26</v>
      </c>
    </row>
    <row r="38" spans="2:18" x14ac:dyDescent="0.5">
      <c r="B38" s="1" t="s">
        <v>270</v>
      </c>
      <c r="C38" t="s">
        <v>322</v>
      </c>
      <c r="D38" t="s">
        <v>94</v>
      </c>
      <c r="E38">
        <v>17.600000000000001</v>
      </c>
      <c r="F38" s="9" t="s">
        <v>67</v>
      </c>
      <c r="G38" s="7">
        <v>28240054272</v>
      </c>
      <c r="H38" s="6">
        <v>18.45</v>
      </c>
      <c r="I38" s="6">
        <v>9.6300000000000008</v>
      </c>
      <c r="J38" s="12">
        <f t="shared" si="1"/>
        <v>0.8276220145379023</v>
      </c>
      <c r="K38" s="11">
        <v>9.488636363636364E-3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0.16341349850457992</v>
      </c>
      <c r="Q38" s="12">
        <v>0.12218132992627646</v>
      </c>
      <c r="R38" s="14">
        <v>27</v>
      </c>
    </row>
    <row r="39" spans="2:18" x14ac:dyDescent="0.5">
      <c r="B39" s="1" t="s">
        <v>276</v>
      </c>
      <c r="C39" t="s">
        <v>329</v>
      </c>
      <c r="D39" t="s">
        <v>53</v>
      </c>
      <c r="E39">
        <v>27.4</v>
      </c>
      <c r="F39" s="9" t="s">
        <v>67</v>
      </c>
      <c r="G39" s="7">
        <v>279935483904</v>
      </c>
      <c r="H39" s="6">
        <v>27.92</v>
      </c>
      <c r="I39" s="6">
        <v>19.239999999999998</v>
      </c>
      <c r="J39" s="12">
        <f t="shared" si="1"/>
        <v>0.42411642411642414</v>
      </c>
      <c r="K39" s="11">
        <v>4.5036496350364968E-2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0.10147573943047376</v>
      </c>
      <c r="Q39" s="12">
        <v>0.18884873513587705</v>
      </c>
      <c r="R39" s="14">
        <v>29</v>
      </c>
    </row>
    <row r="40" spans="2:18" x14ac:dyDescent="0.5">
      <c r="B40" s="1" t="s">
        <v>275</v>
      </c>
      <c r="C40" t="s">
        <v>328</v>
      </c>
      <c r="D40" t="s">
        <v>148</v>
      </c>
      <c r="E40">
        <v>32</v>
      </c>
      <c r="F40" s="9" t="s">
        <v>67</v>
      </c>
      <c r="G40" s="7">
        <v>228190060544</v>
      </c>
      <c r="H40" s="6">
        <v>34.119999999999997</v>
      </c>
      <c r="I40" s="6">
        <v>22.4</v>
      </c>
      <c r="J40" s="12">
        <f t="shared" si="1"/>
        <v>0.4285714285714286</v>
      </c>
      <c r="K40" s="11">
        <v>4.1218749999999998E-2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0.17551205618466736</v>
      </c>
      <c r="Q40" s="12">
        <v>0.11493949471384535</v>
      </c>
      <c r="R40" s="14">
        <v>28</v>
      </c>
    </row>
    <row r="41" spans="2:18" x14ac:dyDescent="0.5">
      <c r="B41" s="1" t="s">
        <v>277</v>
      </c>
      <c r="C41" t="s">
        <v>330</v>
      </c>
      <c r="D41" t="s">
        <v>55</v>
      </c>
      <c r="E41">
        <v>12.43</v>
      </c>
      <c r="F41" s="9" t="s">
        <v>67</v>
      </c>
      <c r="G41" s="7">
        <v>31334012928</v>
      </c>
      <c r="H41" s="6">
        <v>13.06</v>
      </c>
      <c r="I41" s="6">
        <v>6.09</v>
      </c>
      <c r="J41" s="12">
        <f t="shared" si="1"/>
        <v>1.0410509031198685</v>
      </c>
      <c r="K41" s="11">
        <v>2.5583266291230894E-2</v>
      </c>
      <c r="L41" s="13">
        <v>3301437000</v>
      </c>
      <c r="M41" s="13">
        <v>21814427000</v>
      </c>
      <c r="N41" s="9" t="s">
        <v>67</v>
      </c>
      <c r="O41" s="6">
        <v>1</v>
      </c>
      <c r="P41" s="12">
        <v>0.11992233318406746</v>
      </c>
      <c r="Q41" s="12">
        <v>0.15134190781174311</v>
      </c>
      <c r="R41" s="14">
        <v>29</v>
      </c>
    </row>
    <row r="42" spans="2:18" x14ac:dyDescent="0.5">
      <c r="B42" s="1" t="s">
        <v>136</v>
      </c>
      <c r="C42" t="s">
        <v>183</v>
      </c>
      <c r="D42" t="s">
        <v>85</v>
      </c>
      <c r="E42">
        <v>12.71</v>
      </c>
      <c r="F42" s="9" t="s">
        <v>67</v>
      </c>
      <c r="G42" s="7">
        <v>71640121344</v>
      </c>
      <c r="H42" s="6">
        <v>14.24</v>
      </c>
      <c r="I42" s="6">
        <v>10.16</v>
      </c>
      <c r="J42" s="12">
        <f t="shared" si="1"/>
        <v>0.25098425196850394</v>
      </c>
      <c r="K42" s="11">
        <v>2.6042486231313926E-2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8.8741502047017112E-2</v>
      </c>
      <c r="Q42" s="12">
        <v>0.23588267049650188</v>
      </c>
      <c r="R42" s="14">
        <v>28</v>
      </c>
    </row>
    <row r="43" spans="2:18" x14ac:dyDescent="0.5">
      <c r="B43" s="1" t="s">
        <v>121</v>
      </c>
      <c r="C43" t="s">
        <v>162</v>
      </c>
      <c r="D43" t="s">
        <v>76</v>
      </c>
      <c r="E43">
        <v>6.87</v>
      </c>
      <c r="F43" s="9" t="s">
        <v>67</v>
      </c>
      <c r="G43" s="7">
        <v>10071223296</v>
      </c>
      <c r="H43" s="6">
        <v>7</v>
      </c>
      <c r="I43" s="6">
        <v>4.08</v>
      </c>
      <c r="J43" s="12">
        <f t="shared" si="1"/>
        <v>0.68382352941176472</v>
      </c>
      <c r="K43" s="11">
        <v>7.933042212518196E-2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0.18033952225838001</v>
      </c>
      <c r="Q43" s="12">
        <v>9.9663185641922489E-2</v>
      </c>
      <c r="R43" s="14">
        <v>35</v>
      </c>
    </row>
    <row r="44" spans="2:18" x14ac:dyDescent="0.5">
      <c r="B44" s="1" t="s">
        <v>272</v>
      </c>
      <c r="C44" t="s">
        <v>324</v>
      </c>
      <c r="D44" t="s">
        <v>296</v>
      </c>
      <c r="E44">
        <v>4.18</v>
      </c>
      <c r="F44" s="9" t="s">
        <v>67</v>
      </c>
      <c r="G44" s="7">
        <v>48076365824</v>
      </c>
      <c r="H44" s="6">
        <v>4.54</v>
      </c>
      <c r="I44" s="6">
        <v>2.71</v>
      </c>
      <c r="J44" s="12">
        <f t="shared" si="1"/>
        <v>0.54243542435424352</v>
      </c>
      <c r="K44" s="11">
        <v>4.5454545454545456E-2</v>
      </c>
      <c r="L44" s="13">
        <v>9414000000</v>
      </c>
      <c r="M44" s="13">
        <v>81589000000</v>
      </c>
      <c r="N44" s="9" t="s">
        <v>50</v>
      </c>
      <c r="O44" s="6">
        <v>1.0683760683760684</v>
      </c>
      <c r="P44" s="12">
        <v>0.16121387254627978</v>
      </c>
      <c r="Q44" s="12">
        <v>0.11538320116682396</v>
      </c>
      <c r="R44" s="14">
        <v>29</v>
      </c>
    </row>
    <row r="45" spans="2:18" x14ac:dyDescent="0.5">
      <c r="B45" s="1" t="s">
        <v>280</v>
      </c>
      <c r="C45" t="s">
        <v>333</v>
      </c>
      <c r="D45" t="s">
        <v>96</v>
      </c>
      <c r="E45">
        <v>4.54</v>
      </c>
      <c r="F45" s="9" t="s">
        <v>67</v>
      </c>
      <c r="G45" s="7">
        <v>31444123648</v>
      </c>
      <c r="H45" s="6">
        <v>6.15</v>
      </c>
      <c r="I45" s="6">
        <v>3.78</v>
      </c>
      <c r="J45" s="12">
        <f t="shared" si="1"/>
        <v>0.20105820105820116</v>
      </c>
      <c r="K45" s="11">
        <v>4.8237885462555065E-2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0.3566175163802966</v>
      </c>
      <c r="Q45" s="12">
        <v>9.1377422623841298E-2</v>
      </c>
      <c r="R45" s="14">
        <v>30</v>
      </c>
    </row>
    <row r="46" spans="2:18" x14ac:dyDescent="0.5">
      <c r="B46" s="1" t="s">
        <v>261</v>
      </c>
      <c r="C46" t="s">
        <v>310</v>
      </c>
      <c r="D46" t="s">
        <v>311</v>
      </c>
      <c r="E46">
        <v>7.09</v>
      </c>
      <c r="F46" s="9" t="s">
        <v>67</v>
      </c>
      <c r="G46" s="7">
        <v>12814674944</v>
      </c>
      <c r="H46" s="6">
        <v>9.7899999999999991</v>
      </c>
      <c r="I46" s="6">
        <v>5.49</v>
      </c>
      <c r="J46" s="12">
        <f t="shared" si="1"/>
        <v>0.29143897996357016</v>
      </c>
      <c r="K46" s="11">
        <v>3.6671368124118482E-2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0.16342795877959435</v>
      </c>
      <c r="Q46" s="12">
        <v>0.11156568921912897</v>
      </c>
      <c r="R46" s="14">
        <v>30</v>
      </c>
    </row>
    <row r="47" spans="2:18" x14ac:dyDescent="0.5">
      <c r="B47" s="1" t="s">
        <v>278</v>
      </c>
      <c r="C47" t="s">
        <v>331</v>
      </c>
      <c r="D47" t="s">
        <v>49</v>
      </c>
      <c r="E47">
        <v>24.36</v>
      </c>
      <c r="F47" s="9" t="s">
        <v>67</v>
      </c>
      <c r="G47" s="7">
        <v>38878560256</v>
      </c>
      <c r="H47" s="6">
        <v>24.94</v>
      </c>
      <c r="I47" s="6">
        <v>16.18</v>
      </c>
      <c r="J47" s="12">
        <f t="shared" si="1"/>
        <v>0.50556242274412844</v>
      </c>
      <c r="K47" s="11">
        <v>2.8160919540229888E-2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0.10665804291490159</v>
      </c>
      <c r="Q47" s="12">
        <v>0.1667375806872122</v>
      </c>
      <c r="R47" s="14">
        <v>31</v>
      </c>
    </row>
    <row r="48" spans="2:18" x14ac:dyDescent="0.5">
      <c r="B48" s="1" t="s">
        <v>267</v>
      </c>
      <c r="C48" t="s">
        <v>318</v>
      </c>
      <c r="D48" t="s">
        <v>171</v>
      </c>
      <c r="E48">
        <v>80.2</v>
      </c>
      <c r="F48" s="9" t="s">
        <v>67</v>
      </c>
      <c r="G48" s="7">
        <v>19634987008</v>
      </c>
      <c r="H48" s="6">
        <v>103.1</v>
      </c>
      <c r="I48" s="6">
        <v>58.2</v>
      </c>
      <c r="J48" s="12">
        <f t="shared" si="1"/>
        <v>0.37800687285223367</v>
      </c>
      <c r="K48" s="11">
        <v>1.0224438902743141E-2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0.20489404450893628</v>
      </c>
      <c r="Q48" s="12">
        <v>9.8446219337080781E-2</v>
      </c>
      <c r="R48" s="14">
        <v>32</v>
      </c>
    </row>
    <row r="49" spans="2:18" x14ac:dyDescent="0.5">
      <c r="B49" s="1" t="s">
        <v>37</v>
      </c>
      <c r="C49" t="s">
        <v>101</v>
      </c>
      <c r="D49" t="s">
        <v>102</v>
      </c>
      <c r="E49">
        <v>4.8899999999999997</v>
      </c>
      <c r="F49" s="9" t="s">
        <v>67</v>
      </c>
      <c r="G49" s="7">
        <v>3810298624</v>
      </c>
      <c r="H49" s="6">
        <v>8.83</v>
      </c>
      <c r="I49" s="6">
        <v>4.28</v>
      </c>
      <c r="J49" s="12">
        <f t="shared" si="1"/>
        <v>0.14252336448598113</v>
      </c>
      <c r="K49" s="11">
        <v>3.4764826175869123E-2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0.28763724769149168</v>
      </c>
      <c r="Q49" s="12">
        <v>8.9074849645861431E-2</v>
      </c>
      <c r="R49" s="14">
        <v>33</v>
      </c>
    </row>
    <row r="50" spans="2:18" x14ac:dyDescent="0.5">
      <c r="B50" s="1" t="s">
        <v>271</v>
      </c>
      <c r="C50" t="s">
        <v>323</v>
      </c>
      <c r="D50" t="s">
        <v>94</v>
      </c>
      <c r="E50">
        <v>0.46</v>
      </c>
      <c r="F50" s="9" t="s">
        <v>67</v>
      </c>
      <c r="G50" s="7">
        <v>2382233344</v>
      </c>
      <c r="H50" s="6">
        <v>0.68</v>
      </c>
      <c r="I50" s="6">
        <v>0.44500000000000001</v>
      </c>
      <c r="J50" s="12">
        <f t="shared" si="1"/>
        <v>3.3707865168539408E-2</v>
      </c>
      <c r="K50" s="11">
        <v>4.3478260869565216E-2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0.32610958274159646</v>
      </c>
      <c r="Q50" s="12">
        <v>8.5775443346640556E-2</v>
      </c>
      <c r="R50" s="14">
        <v>34</v>
      </c>
    </row>
    <row r="51" spans="2:18" x14ac:dyDescent="0.5">
      <c r="B51" s="1" t="s">
        <v>283</v>
      </c>
      <c r="C51" t="s">
        <v>336</v>
      </c>
      <c r="D51" t="s">
        <v>70</v>
      </c>
      <c r="E51">
        <v>3.48</v>
      </c>
      <c r="F51" s="9" t="s">
        <v>67</v>
      </c>
      <c r="G51" s="7">
        <v>1998146304</v>
      </c>
      <c r="H51" s="6">
        <v>4.84</v>
      </c>
      <c r="I51" s="6">
        <v>2.8</v>
      </c>
      <c r="J51" s="12">
        <f t="shared" si="1"/>
        <v>0.24285714285714288</v>
      </c>
      <c r="K51" s="11">
        <v>8.0459770114942541E-2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0.12770721872345611</v>
      </c>
      <c r="Q51" s="12">
        <v>0.12269104771613493</v>
      </c>
      <c r="R51" s="14">
        <v>34</v>
      </c>
    </row>
    <row r="52" spans="2:18" x14ac:dyDescent="0.5">
      <c r="B52" s="1" t="s">
        <v>274</v>
      </c>
      <c r="C52" t="s">
        <v>326</v>
      </c>
      <c r="D52" t="s">
        <v>327</v>
      </c>
      <c r="E52">
        <v>10.46</v>
      </c>
      <c r="F52" s="9" t="s">
        <v>67</v>
      </c>
      <c r="G52" s="7">
        <v>13333153792</v>
      </c>
      <c r="H52" s="6">
        <v>11.99</v>
      </c>
      <c r="I52" s="6">
        <v>3.85</v>
      </c>
      <c r="J52" s="12">
        <f t="shared" si="1"/>
        <v>1.7168831168831171</v>
      </c>
      <c r="K52" s="11">
        <v>2.4856596558317397E-2</v>
      </c>
      <c r="L52" s="13">
        <v>2871477000</v>
      </c>
      <c r="M52" s="13">
        <v>21784665000</v>
      </c>
      <c r="N52" s="9" t="s">
        <v>50</v>
      </c>
      <c r="O52" s="6">
        <v>1.0683760683760684</v>
      </c>
      <c r="P52" s="12">
        <v>0.11643442874220082</v>
      </c>
      <c r="Q52" s="12">
        <v>0.1318118502166547</v>
      </c>
      <c r="R52" s="14">
        <v>37</v>
      </c>
    </row>
    <row r="53" spans="2:18" x14ac:dyDescent="0.5">
      <c r="B53" s="1" t="s">
        <v>265</v>
      </c>
      <c r="C53" t="s">
        <v>316</v>
      </c>
      <c r="D53" t="s">
        <v>298</v>
      </c>
      <c r="E53">
        <v>4.8899999999999997</v>
      </c>
      <c r="F53" s="9" t="s">
        <v>67</v>
      </c>
      <c r="G53" s="7">
        <v>4519054336</v>
      </c>
      <c r="H53" s="6">
        <v>5.59</v>
      </c>
      <c r="I53" s="6">
        <v>3.78</v>
      </c>
      <c r="J53" s="12">
        <f t="shared" si="1"/>
        <v>0.29365079365079372</v>
      </c>
      <c r="K53" s="11">
        <v>3.1697341513292433E-2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0.37734314933029006</v>
      </c>
      <c r="Q53" s="12">
        <v>6.460670188445812E-2</v>
      </c>
      <c r="R53" s="14">
        <v>38</v>
      </c>
    </row>
    <row r="54" spans="2:18" x14ac:dyDescent="0.5">
      <c r="B54" s="1" t="s">
        <v>248</v>
      </c>
      <c r="C54" t="s">
        <v>293</v>
      </c>
      <c r="D54" t="s">
        <v>294</v>
      </c>
      <c r="E54">
        <v>21.7</v>
      </c>
      <c r="F54" s="9" t="s">
        <v>67</v>
      </c>
      <c r="G54" s="7">
        <v>527999991808</v>
      </c>
      <c r="H54" s="6">
        <v>25.24</v>
      </c>
      <c r="I54" s="6">
        <v>4.58</v>
      </c>
      <c r="J54" s="12">
        <f t="shared" si="1"/>
        <v>3.7379912663755457</v>
      </c>
      <c r="K54" s="11">
        <v>1.1751152073732719E-2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5.9041971307789994E-2</v>
      </c>
      <c r="Q54" s="12">
        <v>0.2888078161719172</v>
      </c>
      <c r="R54" s="14">
        <v>37</v>
      </c>
    </row>
    <row r="55" spans="2:18" x14ac:dyDescent="0.5">
      <c r="B55" s="1" t="s">
        <v>19</v>
      </c>
      <c r="C55" t="s">
        <v>69</v>
      </c>
      <c r="D55" t="s">
        <v>70</v>
      </c>
      <c r="E55">
        <v>7.24</v>
      </c>
      <c r="F55" s="9" t="s">
        <v>67</v>
      </c>
      <c r="G55" s="7">
        <v>20654430208</v>
      </c>
      <c r="H55" s="6">
        <v>7.77</v>
      </c>
      <c r="I55" s="6">
        <v>3.6</v>
      </c>
      <c r="J55" s="12">
        <f t="shared" si="1"/>
        <v>1.0111111111111111</v>
      </c>
      <c r="K55" s="11">
        <v>6.2154696132596682E-3</v>
      </c>
      <c r="L55" s="13">
        <v>259348000</v>
      </c>
      <c r="M55" s="13">
        <v>1677627000</v>
      </c>
      <c r="N55" s="9" t="s">
        <v>71</v>
      </c>
      <c r="O55" s="6">
        <v>7.6923076923076916</v>
      </c>
      <c r="P55" s="12">
        <v>0.10659334655826432</v>
      </c>
      <c r="Q55" s="12">
        <v>0.15459217096529801</v>
      </c>
      <c r="R55" s="14">
        <v>36</v>
      </c>
    </row>
    <row r="56" spans="2:18" x14ac:dyDescent="0.5">
      <c r="B56" s="1" t="s">
        <v>25</v>
      </c>
      <c r="C56" t="s">
        <v>82</v>
      </c>
      <c r="D56" t="s">
        <v>49</v>
      </c>
      <c r="E56">
        <v>9.9600000000000009</v>
      </c>
      <c r="F56" s="9" t="s">
        <v>67</v>
      </c>
      <c r="G56" s="7">
        <v>12404373504</v>
      </c>
      <c r="H56" s="6">
        <v>12.08</v>
      </c>
      <c r="I56" s="6">
        <v>4.3499999999999996</v>
      </c>
      <c r="J56" s="12">
        <f t="shared" si="1"/>
        <v>1.2896551724137937</v>
      </c>
      <c r="K56" s="11">
        <v>1.4156626506024094E-2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9.899236155086831E-2</v>
      </c>
      <c r="Q56" s="12">
        <v>0.17514380877385538</v>
      </c>
      <c r="R56" s="14">
        <v>37</v>
      </c>
    </row>
    <row r="57" spans="2:18" x14ac:dyDescent="0.5">
      <c r="B57" s="1" t="s">
        <v>767</v>
      </c>
      <c r="C57" t="s">
        <v>772</v>
      </c>
      <c r="D57" t="s">
        <v>49</v>
      </c>
      <c r="E57">
        <v>1.66</v>
      </c>
      <c r="F57" s="9" t="s">
        <v>67</v>
      </c>
      <c r="G57" s="7">
        <v>1046682432</v>
      </c>
      <c r="H57" s="6">
        <v>1.94</v>
      </c>
      <c r="I57" s="6">
        <v>1.28</v>
      </c>
      <c r="J57" s="12">
        <f t="shared" si="1"/>
        <v>0.296875</v>
      </c>
      <c r="K57" s="11">
        <v>6.9879518072289162E-2</v>
      </c>
      <c r="L57" s="13">
        <v>191186000</v>
      </c>
      <c r="M57" s="13">
        <v>3081570000</v>
      </c>
      <c r="N57" s="9" t="s">
        <v>67</v>
      </c>
      <c r="O57" s="6">
        <v>1</v>
      </c>
      <c r="P57" s="12">
        <v>0.35666405974402271</v>
      </c>
      <c r="Q57" s="12">
        <v>6.2041751444880368E-2</v>
      </c>
      <c r="R57" s="14">
        <v>40</v>
      </c>
    </row>
    <row r="58" spans="2:18" x14ac:dyDescent="0.5">
      <c r="B58" s="1" t="s">
        <v>380</v>
      </c>
      <c r="C58" t="s">
        <v>383</v>
      </c>
      <c r="D58" t="s">
        <v>83</v>
      </c>
      <c r="E58">
        <v>21.46</v>
      </c>
      <c r="F58" s="9" t="s">
        <v>67</v>
      </c>
      <c r="G58" s="7">
        <v>55260016640</v>
      </c>
      <c r="H58" s="6">
        <v>21.68</v>
      </c>
      <c r="I58" s="6">
        <v>13.5</v>
      </c>
      <c r="J58" s="12">
        <f t="shared" si="1"/>
        <v>0.58962962962962973</v>
      </c>
      <c r="K58" s="11">
        <v>2.5302889095992546E-2</v>
      </c>
      <c r="L58" s="13">
        <v>4264779000</v>
      </c>
      <c r="M58" s="13">
        <v>26103689000</v>
      </c>
      <c r="N58" s="9" t="s">
        <v>50</v>
      </c>
      <c r="O58" s="6">
        <v>1.0683760683760684</v>
      </c>
      <c r="P58" s="12">
        <v>9.2389391641890375E-2</v>
      </c>
      <c r="Q58" s="12">
        <v>0.16337840218675606</v>
      </c>
      <c r="R58" s="14">
        <v>43</v>
      </c>
    </row>
    <row r="59" spans="2:18" x14ac:dyDescent="0.5">
      <c r="B59" s="1" t="s">
        <v>35</v>
      </c>
      <c r="C59" t="s">
        <v>98</v>
      </c>
      <c r="D59" t="s">
        <v>99</v>
      </c>
      <c r="E59">
        <v>414.4</v>
      </c>
      <c r="F59" s="9" t="s">
        <v>67</v>
      </c>
      <c r="G59" s="7">
        <v>523763187712</v>
      </c>
      <c r="H59" s="6">
        <v>466</v>
      </c>
      <c r="I59" s="6">
        <v>283.2</v>
      </c>
      <c r="J59" s="12">
        <f t="shared" si="1"/>
        <v>0.46327683615819204</v>
      </c>
      <c r="K59" s="11">
        <v>2.6303088803088806E-2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5.3095507543886457E-2</v>
      </c>
      <c r="Q59" s="12">
        <v>0.38520389214885242</v>
      </c>
      <c r="R59" s="14">
        <v>40</v>
      </c>
    </row>
    <row r="60" spans="2:18" x14ac:dyDescent="0.5">
      <c r="B60" s="1" t="s">
        <v>260</v>
      </c>
      <c r="C60" t="s">
        <v>309</v>
      </c>
      <c r="D60" t="s">
        <v>74</v>
      </c>
      <c r="E60">
        <v>7.12</v>
      </c>
      <c r="F60" s="9" t="s">
        <v>67</v>
      </c>
      <c r="G60" s="7">
        <v>4854873088</v>
      </c>
      <c r="H60" s="6">
        <v>10.98</v>
      </c>
      <c r="I60" s="6">
        <v>6.56</v>
      </c>
      <c r="J60" s="12">
        <f t="shared" si="1"/>
        <v>8.5365853658536661E-2</v>
      </c>
      <c r="K60" s="11">
        <v>5.0140449438202242E-2</v>
      </c>
      <c r="L60" s="13">
        <v>618033000</v>
      </c>
      <c r="M60" s="13">
        <v>5033024000</v>
      </c>
      <c r="N60" s="9" t="s">
        <v>50</v>
      </c>
      <c r="O60" s="6">
        <v>1.0683760683760684</v>
      </c>
      <c r="P60" s="12">
        <v>0.11243175571883381</v>
      </c>
      <c r="Q60" s="12">
        <v>0.12279555988606453</v>
      </c>
      <c r="R60" s="14">
        <v>42</v>
      </c>
    </row>
    <row r="61" spans="2:18" x14ac:dyDescent="0.5">
      <c r="B61" s="1" t="s">
        <v>135</v>
      </c>
      <c r="C61" t="s">
        <v>181</v>
      </c>
      <c r="D61" t="s">
        <v>182</v>
      </c>
      <c r="E61">
        <v>437.2</v>
      </c>
      <c r="F61" s="9" t="s">
        <v>67</v>
      </c>
      <c r="G61" s="7">
        <v>158011736064</v>
      </c>
      <c r="H61" s="6">
        <v>437.2</v>
      </c>
      <c r="I61" s="6">
        <v>324</v>
      </c>
      <c r="J61" s="12">
        <f t="shared" si="1"/>
        <v>0.34938271604938276</v>
      </c>
      <c r="K61" s="11">
        <v>2.1957913998170175E-3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5.3987115652308945E-2</v>
      </c>
      <c r="Q61" s="12">
        <v>0.20495303159692571</v>
      </c>
      <c r="R61" s="14">
        <v>48</v>
      </c>
    </row>
    <row r="62" spans="2:18" x14ac:dyDescent="0.5">
      <c r="B62" s="1" t="s">
        <v>269</v>
      </c>
      <c r="C62" t="s">
        <v>321</v>
      </c>
      <c r="D62" t="s">
        <v>85</v>
      </c>
      <c r="E62">
        <v>12.3</v>
      </c>
      <c r="F62" s="9" t="s">
        <v>67</v>
      </c>
      <c r="G62" s="7">
        <v>2887080704</v>
      </c>
      <c r="H62" s="6">
        <v>17</v>
      </c>
      <c r="I62" s="6">
        <v>8.3000000000000007</v>
      </c>
      <c r="J62" s="12">
        <f t="shared" si="1"/>
        <v>0.48192771084337349</v>
      </c>
      <c r="K62" s="11">
        <v>3.9024390243902432E-2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0.20666398879990941</v>
      </c>
      <c r="Q62" s="12">
        <v>8.4294835486117978E-2</v>
      </c>
      <c r="R62" s="14">
        <v>41</v>
      </c>
    </row>
    <row r="63" spans="2:18" x14ac:dyDescent="0.5">
      <c r="B63" s="1" t="s">
        <v>263</v>
      </c>
      <c r="C63" t="s">
        <v>313</v>
      </c>
      <c r="D63" t="s">
        <v>314</v>
      </c>
      <c r="E63">
        <v>8.85</v>
      </c>
      <c r="F63" s="9" t="s">
        <v>67</v>
      </c>
      <c r="G63" s="7">
        <v>22187800576</v>
      </c>
      <c r="H63" s="6">
        <v>10.14</v>
      </c>
      <c r="I63" s="6">
        <v>5.2</v>
      </c>
      <c r="J63" s="12">
        <f t="shared" si="1"/>
        <v>0.70192307692307687</v>
      </c>
      <c r="K63" s="11">
        <v>4.497175141242938E-2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0.13677531810460511</v>
      </c>
      <c r="Q63" s="12">
        <v>0.102358453189061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93.8</v>
      </c>
      <c r="F64" s="9" t="s">
        <v>67</v>
      </c>
      <c r="G64" s="7">
        <v>572824223744</v>
      </c>
      <c r="H64" s="6">
        <v>189.6</v>
      </c>
      <c r="I64" s="6">
        <v>90.2</v>
      </c>
      <c r="J64" s="12">
        <f t="shared" si="1"/>
        <v>3.9911308203991025E-2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7.4638299789324236E-2</v>
      </c>
      <c r="Q64" s="12">
        <v>0.17215263916748974</v>
      </c>
      <c r="R64" s="14">
        <v>45</v>
      </c>
    </row>
    <row r="65" spans="2:18" x14ac:dyDescent="0.5">
      <c r="B65" s="1" t="s">
        <v>266</v>
      </c>
      <c r="C65" t="s">
        <v>317</v>
      </c>
      <c r="D65" t="s">
        <v>300</v>
      </c>
      <c r="E65">
        <v>7.42</v>
      </c>
      <c r="F65" s="9" t="s">
        <v>67</v>
      </c>
      <c r="G65" s="7">
        <v>32603658240</v>
      </c>
      <c r="H65" s="6">
        <v>7.93</v>
      </c>
      <c r="I65" s="6">
        <v>4.8</v>
      </c>
      <c r="J65" s="12">
        <f t="shared" si="1"/>
        <v>0.54583333333333339</v>
      </c>
      <c r="K65" s="11">
        <v>4.9595687331536388E-2</v>
      </c>
      <c r="L65" s="13">
        <v>2919921000</v>
      </c>
      <c r="M65" s="13">
        <v>31662140000</v>
      </c>
      <c r="N65" s="9" t="s">
        <v>50</v>
      </c>
      <c r="O65" s="6">
        <v>1.0683760683760684</v>
      </c>
      <c r="P65" s="12">
        <v>0.148600783130098</v>
      </c>
      <c r="Q65" s="12">
        <v>9.2221214358852555E-2</v>
      </c>
      <c r="R65" s="14">
        <v>47</v>
      </c>
    </row>
    <row r="66" spans="2:18" x14ac:dyDescent="0.5">
      <c r="B66" s="1" t="s">
        <v>258</v>
      </c>
      <c r="C66" t="s">
        <v>307</v>
      </c>
      <c r="D66" t="s">
        <v>152</v>
      </c>
      <c r="E66">
        <v>26.64</v>
      </c>
      <c r="F66" s="9" t="s">
        <v>67</v>
      </c>
      <c r="G66" s="7">
        <v>24711503872</v>
      </c>
      <c r="H66" s="6">
        <v>45.78</v>
      </c>
      <c r="I66" s="6">
        <v>10.1</v>
      </c>
      <c r="J66" s="12">
        <f t="shared" ref="J66:J97" si="2">E66/I66-1</f>
        <v>1.6376237623762377</v>
      </c>
      <c r="K66" s="11">
        <v>2.9279279279279279E-3</v>
      </c>
      <c r="L66" s="13">
        <v>334940000</v>
      </c>
      <c r="M66" s="13">
        <v>3025375000</v>
      </c>
      <c r="N66" s="9" t="s">
        <v>71</v>
      </c>
      <c r="O66" s="6">
        <v>7.6923076923076916</v>
      </c>
      <c r="P66" s="12">
        <v>0.11771265467427922</v>
      </c>
      <c r="Q66" s="12">
        <v>0.11071024253191752</v>
      </c>
      <c r="R66" s="14">
        <v>46</v>
      </c>
    </row>
    <row r="67" spans="2:18" x14ac:dyDescent="0.5">
      <c r="B67" s="1" t="s">
        <v>259</v>
      </c>
      <c r="C67" t="s">
        <v>308</v>
      </c>
      <c r="D67" t="s">
        <v>238</v>
      </c>
      <c r="E67">
        <v>8.15</v>
      </c>
      <c r="F67" s="9" t="s">
        <v>67</v>
      </c>
      <c r="G67" s="7">
        <v>107725332480</v>
      </c>
      <c r="H67" s="6">
        <v>9.83</v>
      </c>
      <c r="I67" s="6">
        <v>7.19</v>
      </c>
      <c r="J67" s="12">
        <f t="shared" si="2"/>
        <v>0.13351877607788598</v>
      </c>
      <c r="K67" s="11">
        <v>0</v>
      </c>
      <c r="L67" s="13">
        <v>1187000000</v>
      </c>
      <c r="M67" s="13">
        <v>10278000000</v>
      </c>
      <c r="N67" s="9" t="s">
        <v>71</v>
      </c>
      <c r="O67" s="6">
        <v>7.6923076923076916</v>
      </c>
      <c r="P67" s="12">
        <v>0.10466178562913583</v>
      </c>
      <c r="Q67" s="12">
        <v>0.1154893948238957</v>
      </c>
      <c r="R67" s="14">
        <v>54</v>
      </c>
    </row>
    <row r="68" spans="2:18" x14ac:dyDescent="0.5">
      <c r="B68" s="1" t="s">
        <v>116</v>
      </c>
      <c r="C68" t="s">
        <v>156</v>
      </c>
      <c r="D68" t="s">
        <v>83</v>
      </c>
      <c r="E68">
        <v>242.4</v>
      </c>
      <c r="F68" s="9" t="s">
        <v>67</v>
      </c>
      <c r="G68" s="7">
        <v>321940586496</v>
      </c>
      <c r="H68" s="6">
        <v>339.8</v>
      </c>
      <c r="I68" s="6">
        <v>98.7</v>
      </c>
      <c r="J68" s="12">
        <f t="shared" si="2"/>
        <v>1.4559270516717326</v>
      </c>
      <c r="K68" s="11">
        <v>3.3622112211221119E-3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1.488372743963806E-2</v>
      </c>
      <c r="Q68" s="12">
        <v>0.41263985929711272</v>
      </c>
      <c r="R68" s="14">
        <v>50</v>
      </c>
    </row>
    <row r="69" spans="2:18" x14ac:dyDescent="0.5">
      <c r="B69" s="1" t="s">
        <v>31</v>
      </c>
      <c r="C69" t="s">
        <v>92</v>
      </c>
      <c r="D69" t="s">
        <v>74</v>
      </c>
      <c r="E69">
        <v>2.86</v>
      </c>
      <c r="F69" s="9" t="s">
        <v>67</v>
      </c>
      <c r="G69" s="7">
        <v>17735495680</v>
      </c>
      <c r="H69" s="6">
        <v>4.13</v>
      </c>
      <c r="I69" s="6">
        <v>2.6</v>
      </c>
      <c r="J69" s="12">
        <f t="shared" si="2"/>
        <v>9.9999999999999867E-2</v>
      </c>
      <c r="K69" s="11">
        <v>5.2447552447552448E-2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9.2781671393123363E-2</v>
      </c>
      <c r="Q69" s="12">
        <v>0.1499088374088374</v>
      </c>
      <c r="R69" s="14">
        <v>49</v>
      </c>
    </row>
    <row r="70" spans="2:18" x14ac:dyDescent="0.5">
      <c r="B70" s="1" t="s">
        <v>360</v>
      </c>
      <c r="C70" t="s">
        <v>362</v>
      </c>
      <c r="D70" t="s">
        <v>363</v>
      </c>
      <c r="E70">
        <v>2.11</v>
      </c>
      <c r="F70" s="9" t="s">
        <v>67</v>
      </c>
      <c r="G70" s="7">
        <v>4252301568</v>
      </c>
      <c r="H70" s="6">
        <v>3.64</v>
      </c>
      <c r="I70" s="6">
        <v>0.99</v>
      </c>
      <c r="J70" s="12">
        <f t="shared" si="2"/>
        <v>1.131313131313131</v>
      </c>
      <c r="K70" s="11">
        <v>0</v>
      </c>
      <c r="L70" s="13">
        <v>-732033000</v>
      </c>
      <c r="M70" s="13">
        <v>7864121000</v>
      </c>
      <c r="N70" s="9" t="s">
        <v>50</v>
      </c>
      <c r="O70" s="6">
        <v>1.0683760683760684</v>
      </c>
      <c r="P70" s="12">
        <v>0.91234216285883529</v>
      </c>
      <c r="Q70" s="12">
        <v>-9.3085164890011229E-2</v>
      </c>
      <c r="R70" s="14">
        <v>52</v>
      </c>
    </row>
    <row r="71" spans="2:18" x14ac:dyDescent="0.5">
      <c r="B71" s="1" t="s">
        <v>122</v>
      </c>
      <c r="C71" t="s">
        <v>163</v>
      </c>
      <c r="D71" t="s">
        <v>164</v>
      </c>
      <c r="E71">
        <v>28.16</v>
      </c>
      <c r="F71" s="9" t="s">
        <v>67</v>
      </c>
      <c r="G71" s="7">
        <v>32035403776</v>
      </c>
      <c r="H71" s="6">
        <v>29.4</v>
      </c>
      <c r="I71" s="6">
        <v>19.52</v>
      </c>
      <c r="J71" s="12">
        <f t="shared" si="2"/>
        <v>0.44262295081967218</v>
      </c>
      <c r="K71" s="11">
        <v>4.9715909090909088E-2</v>
      </c>
      <c r="L71" s="13">
        <v>3446618000</v>
      </c>
      <c r="M71" s="13">
        <v>34010798000</v>
      </c>
      <c r="N71" s="9" t="s">
        <v>50</v>
      </c>
      <c r="O71" s="6">
        <v>1.0683760683760684</v>
      </c>
      <c r="P71" s="12">
        <v>0.11952341692201467</v>
      </c>
      <c r="Q71" s="12">
        <v>0.10133893359397213</v>
      </c>
      <c r="R71" s="14">
        <v>51</v>
      </c>
    </row>
    <row r="72" spans="2:18" x14ac:dyDescent="0.5">
      <c r="B72" s="1" t="s">
        <v>134</v>
      </c>
      <c r="C72" t="s">
        <v>179</v>
      </c>
      <c r="D72" t="s">
        <v>180</v>
      </c>
      <c r="E72">
        <v>39.6</v>
      </c>
      <c r="F72" s="9" t="s">
        <v>67</v>
      </c>
      <c r="G72" s="7">
        <v>27390527488</v>
      </c>
      <c r="H72" s="6">
        <v>48.1</v>
      </c>
      <c r="I72" s="6">
        <v>19.82</v>
      </c>
      <c r="J72" s="12">
        <f t="shared" si="2"/>
        <v>0.99798183652875894</v>
      </c>
      <c r="K72" s="11">
        <v>1.2626262626262626E-2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4.4319503465673982E-2</v>
      </c>
      <c r="Q72" s="12">
        <v>0.222258562943417</v>
      </c>
      <c r="R72" s="14">
        <v>54</v>
      </c>
    </row>
    <row r="73" spans="2:18" x14ac:dyDescent="0.5">
      <c r="B73" s="1" t="s">
        <v>123</v>
      </c>
      <c r="C73" t="s">
        <v>165</v>
      </c>
      <c r="D73" t="s">
        <v>106</v>
      </c>
      <c r="E73">
        <v>13.93</v>
      </c>
      <c r="F73" s="9" t="s">
        <v>67</v>
      </c>
      <c r="G73" s="7">
        <v>137418678272</v>
      </c>
      <c r="H73" s="6">
        <v>16.95</v>
      </c>
      <c r="I73" s="6">
        <v>7.09</v>
      </c>
      <c r="J73" s="12">
        <f t="shared" si="2"/>
        <v>0.9647390691114246</v>
      </c>
      <c r="K73" s="11">
        <v>3.8765254845656856E-2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5.6498447324277737E-2</v>
      </c>
      <c r="Q73" s="12">
        <v>0.18453201842262756</v>
      </c>
      <c r="R73" s="14">
        <v>52</v>
      </c>
    </row>
    <row r="74" spans="2:18" x14ac:dyDescent="0.5">
      <c r="B74" s="1" t="s">
        <v>117</v>
      </c>
      <c r="C74" t="s">
        <v>157</v>
      </c>
      <c r="D74" t="s">
        <v>68</v>
      </c>
      <c r="E74">
        <v>5.44</v>
      </c>
      <c r="F74" s="9" t="s">
        <v>67</v>
      </c>
      <c r="G74" s="7">
        <v>8849314816</v>
      </c>
      <c r="H74" s="6">
        <v>7.05</v>
      </c>
      <c r="I74" s="6">
        <v>4.4400000000000004</v>
      </c>
      <c r="J74" s="12">
        <f t="shared" si="2"/>
        <v>0.22522522522522515</v>
      </c>
      <c r="K74" s="11">
        <v>5.1470588235294122E-2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0.12104626122641997</v>
      </c>
      <c r="Q74" s="12">
        <v>9.3783286642795421E-2</v>
      </c>
      <c r="R74" s="14">
        <v>53</v>
      </c>
    </row>
    <row r="75" spans="2:18" x14ac:dyDescent="0.5">
      <c r="B75" s="1" t="s">
        <v>112</v>
      </c>
      <c r="C75" t="s">
        <v>151</v>
      </c>
      <c r="D75" t="s">
        <v>152</v>
      </c>
      <c r="E75">
        <v>67.650000000000006</v>
      </c>
      <c r="F75" s="9" t="s">
        <v>67</v>
      </c>
      <c r="G75" s="7">
        <v>191872335872</v>
      </c>
      <c r="H75" s="6">
        <v>86</v>
      </c>
      <c r="I75" s="6">
        <v>44.25</v>
      </c>
      <c r="J75" s="12">
        <f t="shared" si="2"/>
        <v>0.528813559322034</v>
      </c>
      <c r="K75" s="11">
        <v>3.9911308203991129E-2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5.0941740082829721E-2</v>
      </c>
      <c r="Q75" s="12">
        <v>0.18855793075067021</v>
      </c>
      <c r="R75" s="14">
        <v>59</v>
      </c>
    </row>
    <row r="76" spans="2:18" x14ac:dyDescent="0.5">
      <c r="B76" s="1" t="s">
        <v>112</v>
      </c>
      <c r="C76" t="s">
        <v>151</v>
      </c>
      <c r="D76" t="s">
        <v>152</v>
      </c>
      <c r="E76">
        <v>67.650000000000006</v>
      </c>
      <c r="F76" s="9" t="s">
        <v>67</v>
      </c>
      <c r="G76" s="7">
        <v>191872335872</v>
      </c>
      <c r="H76" s="6">
        <v>86</v>
      </c>
      <c r="I76" s="6">
        <v>44.25</v>
      </c>
      <c r="J76" s="12">
        <f t="shared" si="2"/>
        <v>0.528813559322034</v>
      </c>
      <c r="K76" s="11">
        <v>3.9911308203991129E-2</v>
      </c>
      <c r="L76" s="13">
        <v>8955723006</v>
      </c>
      <c r="M76" s="13">
        <v>47495870210</v>
      </c>
      <c r="N76" s="9" t="s">
        <v>50</v>
      </c>
      <c r="O76" s="6">
        <v>1.0683760683760684</v>
      </c>
      <c r="P76" s="12">
        <v>5.0941740082829721E-2</v>
      </c>
      <c r="Q76" s="12">
        <v>0.18855793075067021</v>
      </c>
      <c r="R76" s="14">
        <v>59</v>
      </c>
    </row>
    <row r="77" spans="2:18" x14ac:dyDescent="0.5">
      <c r="B77" s="1" t="s">
        <v>377</v>
      </c>
      <c r="C77" t="s">
        <v>378</v>
      </c>
      <c r="D77" t="s">
        <v>182</v>
      </c>
      <c r="E77">
        <v>4.72</v>
      </c>
      <c r="F77" s="9" t="s">
        <v>67</v>
      </c>
      <c r="G77" s="7">
        <v>2708071680</v>
      </c>
      <c r="H77" s="6">
        <v>8.6199999999999992</v>
      </c>
      <c r="I77" s="6">
        <v>4.53</v>
      </c>
      <c r="J77" s="12">
        <f t="shared" si="2"/>
        <v>4.1942604856512133E-2</v>
      </c>
      <c r="K77" s="11">
        <v>7.4152542372881353E-2</v>
      </c>
      <c r="L77" s="13">
        <v>371538000</v>
      </c>
      <c r="M77" s="13">
        <v>3037286000</v>
      </c>
      <c r="N77" s="9" t="s">
        <v>67</v>
      </c>
      <c r="O77" s="6">
        <v>1</v>
      </c>
      <c r="P77" s="12">
        <v>9.8063511565512448E-2</v>
      </c>
      <c r="Q77" s="12">
        <v>0.12232565520665489</v>
      </c>
      <c r="R77" s="14">
        <v>56</v>
      </c>
    </row>
    <row r="78" spans="2:18" x14ac:dyDescent="0.5">
      <c r="B78" s="1" t="s">
        <v>132</v>
      </c>
      <c r="C78" t="s">
        <v>176</v>
      </c>
      <c r="D78" t="s">
        <v>76</v>
      </c>
      <c r="E78">
        <v>16.600000000000001</v>
      </c>
      <c r="F78" s="9" t="s">
        <v>67</v>
      </c>
      <c r="G78" s="7">
        <v>69686951936</v>
      </c>
      <c r="H78" s="6">
        <v>16.73</v>
      </c>
      <c r="I78" s="6">
        <v>11.42</v>
      </c>
      <c r="J78" s="12">
        <f t="shared" si="2"/>
        <v>0.45359019264448341</v>
      </c>
      <c r="K78" s="11">
        <v>5.3373493975903609E-2</v>
      </c>
      <c r="L78" s="13">
        <v>11996000000</v>
      </c>
      <c r="M78" s="13">
        <v>138296000000</v>
      </c>
      <c r="N78" s="9" t="s">
        <v>67</v>
      </c>
      <c r="O78" s="6">
        <v>1</v>
      </c>
      <c r="P78" s="12">
        <v>0.12923249352470315</v>
      </c>
      <c r="Q78" s="12">
        <v>8.6741482038526066E-2</v>
      </c>
      <c r="R78" s="14">
        <v>55</v>
      </c>
    </row>
    <row r="79" spans="2:18" x14ac:dyDescent="0.5">
      <c r="B79" s="1" t="s">
        <v>132</v>
      </c>
      <c r="C79" t="s">
        <v>176</v>
      </c>
      <c r="D79" t="s">
        <v>76</v>
      </c>
      <c r="E79">
        <v>16.600000000000001</v>
      </c>
      <c r="F79" s="9" t="s">
        <v>67</v>
      </c>
      <c r="G79" s="7">
        <v>69686951936</v>
      </c>
      <c r="H79" s="6">
        <v>16.73</v>
      </c>
      <c r="I79" s="6">
        <v>11.42</v>
      </c>
      <c r="J79" s="12">
        <f t="shared" si="2"/>
        <v>0.45359019264448341</v>
      </c>
      <c r="K79" s="11">
        <v>5.3373493975903609E-2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0.12923249352470315</v>
      </c>
      <c r="Q79" s="12">
        <v>8.6741482038526066E-2</v>
      </c>
      <c r="R79" s="14">
        <v>55</v>
      </c>
    </row>
    <row r="80" spans="2:18" x14ac:dyDescent="0.5">
      <c r="B80" s="1" t="s">
        <v>286</v>
      </c>
      <c r="C80" t="s">
        <v>339</v>
      </c>
      <c r="D80" t="s">
        <v>236</v>
      </c>
      <c r="E80">
        <v>23.9</v>
      </c>
      <c r="F80" s="9" t="s">
        <v>67</v>
      </c>
      <c r="G80" s="7">
        <v>23681402880</v>
      </c>
      <c r="H80" s="6">
        <v>25</v>
      </c>
      <c r="I80" s="6">
        <v>6.95</v>
      </c>
      <c r="J80" s="12">
        <f t="shared" si="2"/>
        <v>2.4388489208633088</v>
      </c>
      <c r="K80" s="11">
        <v>1.4811715481171548E-2</v>
      </c>
      <c r="L80" s="13">
        <v>1333116000</v>
      </c>
      <c r="M80" s="13">
        <v>8019803000</v>
      </c>
      <c r="N80" s="9" t="s">
        <v>50</v>
      </c>
      <c r="O80" s="6">
        <v>1.0683760683760684</v>
      </c>
      <c r="P80" s="12">
        <v>6.0601897415397614E-2</v>
      </c>
      <c r="Q80" s="12">
        <v>0.16622802330680692</v>
      </c>
      <c r="R80" s="14">
        <v>57</v>
      </c>
    </row>
    <row r="81" spans="2:18" x14ac:dyDescent="0.5">
      <c r="B81" s="1" t="s">
        <v>127</v>
      </c>
      <c r="C81" t="s">
        <v>170</v>
      </c>
      <c r="D81" t="s">
        <v>171</v>
      </c>
      <c r="E81">
        <v>558.5</v>
      </c>
      <c r="F81" s="9" t="s">
        <v>67</v>
      </c>
      <c r="G81" s="7">
        <v>5038334803968</v>
      </c>
      <c r="H81" s="6">
        <v>683</v>
      </c>
      <c r="I81" s="6">
        <v>413.4</v>
      </c>
      <c r="J81" s="12">
        <f t="shared" si="2"/>
        <v>0.35099177552007754</v>
      </c>
      <c r="K81" s="11">
        <v>7.5720680393912268E-3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5.1387901798478158E-2</v>
      </c>
      <c r="Q81" s="12">
        <v>0.19352168899747973</v>
      </c>
      <c r="R81" s="14">
        <v>56</v>
      </c>
    </row>
    <row r="82" spans="2:18" x14ac:dyDescent="0.5">
      <c r="B82" s="1" t="s">
        <v>273</v>
      </c>
      <c r="C82" t="s">
        <v>325</v>
      </c>
      <c r="D82" t="s">
        <v>81</v>
      </c>
      <c r="E82">
        <v>3.29</v>
      </c>
      <c r="F82" s="9" t="s">
        <v>67</v>
      </c>
      <c r="G82" s="7">
        <v>14081528832</v>
      </c>
      <c r="H82" s="6">
        <v>3.55</v>
      </c>
      <c r="I82" s="6">
        <v>1.66</v>
      </c>
      <c r="J82" s="12">
        <f t="shared" si="2"/>
        <v>0.98192771084337371</v>
      </c>
      <c r="K82" s="11">
        <v>3.7082066869300913E-2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0.10284974089496574</v>
      </c>
      <c r="Q82" s="12">
        <v>0.11502419323187564</v>
      </c>
      <c r="R82" s="14">
        <v>58</v>
      </c>
    </row>
    <row r="83" spans="2:18" x14ac:dyDescent="0.5">
      <c r="B83" s="1" t="s">
        <v>130</v>
      </c>
      <c r="C83" t="s">
        <v>173</v>
      </c>
      <c r="D83" t="s">
        <v>174</v>
      </c>
      <c r="E83">
        <v>39.659999999999997</v>
      </c>
      <c r="F83" s="9" t="s">
        <v>67</v>
      </c>
      <c r="G83" s="7">
        <v>1116836331520</v>
      </c>
      <c r="H83" s="6">
        <v>46.98</v>
      </c>
      <c r="I83" s="6">
        <v>14.02</v>
      </c>
      <c r="J83" s="12">
        <f t="shared" si="2"/>
        <v>1.8288159771754633</v>
      </c>
      <c r="K83" s="11">
        <v>1.2607160867372669E-2</v>
      </c>
      <c r="L83" s="13">
        <v>52374992116</v>
      </c>
      <c r="M83" s="13">
        <v>269573093476</v>
      </c>
      <c r="N83" s="9" t="s">
        <v>50</v>
      </c>
      <c r="O83" s="6">
        <v>1.0683760683760684</v>
      </c>
      <c r="P83" s="12">
        <v>4.5085160610162663E-2</v>
      </c>
      <c r="Q83" s="12">
        <v>0.19428864891763736</v>
      </c>
      <c r="R83" s="14">
        <v>60</v>
      </c>
    </row>
    <row r="84" spans="2:18" x14ac:dyDescent="0.5">
      <c r="B84" s="1" t="s">
        <v>359</v>
      </c>
      <c r="C84" t="s">
        <v>361</v>
      </c>
      <c r="D84" t="s">
        <v>171</v>
      </c>
      <c r="E84">
        <v>9.0299999999999994</v>
      </c>
      <c r="F84" s="9" t="s">
        <v>67</v>
      </c>
      <c r="G84" s="7">
        <v>2416785920</v>
      </c>
      <c r="H84" s="6">
        <v>15.58</v>
      </c>
      <c r="I84" s="6">
        <v>8.32</v>
      </c>
      <c r="J84" s="12">
        <f t="shared" si="2"/>
        <v>8.5336538461538325E-2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1.0683760683760684</v>
      </c>
      <c r="P84" s="12">
        <v>0.28003849656241508</v>
      </c>
      <c r="Q84" s="12">
        <v>-0.11631254679805218</v>
      </c>
      <c r="R84" s="14">
        <v>61</v>
      </c>
    </row>
    <row r="85" spans="2:18" x14ac:dyDescent="0.5">
      <c r="B85" s="1" t="s">
        <v>118</v>
      </c>
      <c r="C85" t="s">
        <v>158</v>
      </c>
      <c r="D85" t="s">
        <v>96</v>
      </c>
      <c r="E85">
        <v>7.35</v>
      </c>
      <c r="F85" s="9" t="s">
        <v>67</v>
      </c>
      <c r="G85" s="7">
        <v>224895303680</v>
      </c>
      <c r="H85" s="6">
        <v>11.56</v>
      </c>
      <c r="I85" s="6">
        <v>7.07</v>
      </c>
      <c r="J85" s="12">
        <f t="shared" si="2"/>
        <v>3.9603960396039417E-2</v>
      </c>
      <c r="K85" s="11">
        <v>5.9863945578231298E-2</v>
      </c>
      <c r="L85" s="13">
        <v>26994000000</v>
      </c>
      <c r="M85" s="13">
        <v>363169000000</v>
      </c>
      <c r="N85" s="9" t="s">
        <v>50</v>
      </c>
      <c r="O85" s="6">
        <v>1.0683760683760684</v>
      </c>
      <c r="P85" s="12">
        <v>0.12171136939224808</v>
      </c>
      <c r="Q85" s="12">
        <v>7.4329031387590908E-2</v>
      </c>
      <c r="R85" s="14">
        <v>62</v>
      </c>
    </row>
    <row r="86" spans="2:18" x14ac:dyDescent="0.5">
      <c r="B86" s="1" t="s">
        <v>756</v>
      </c>
      <c r="C86" t="s">
        <v>757</v>
      </c>
      <c r="D86" t="s">
        <v>182</v>
      </c>
      <c r="E86">
        <v>1.06</v>
      </c>
      <c r="F86" s="9" t="s">
        <v>67</v>
      </c>
      <c r="G86" s="7">
        <v>1029704064</v>
      </c>
      <c r="H86" s="6">
        <v>1.18</v>
      </c>
      <c r="I86" s="6">
        <v>0.78</v>
      </c>
      <c r="J86" s="12">
        <f t="shared" si="2"/>
        <v>0.35897435897435903</v>
      </c>
      <c r="K86" s="11">
        <v>5.6603773584905655E-2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6.4133540070055839E-2</v>
      </c>
      <c r="Q86" s="12">
        <v>0.12357273633818894</v>
      </c>
      <c r="R86" s="14">
        <v>64</v>
      </c>
    </row>
    <row r="87" spans="2:18" x14ac:dyDescent="0.5">
      <c r="B87" s="1" t="s">
        <v>138</v>
      </c>
      <c r="C87" t="s">
        <v>186</v>
      </c>
      <c r="D87" t="s">
        <v>102</v>
      </c>
      <c r="E87">
        <v>33.520000000000003</v>
      </c>
      <c r="F87" s="9" t="s">
        <v>67</v>
      </c>
      <c r="G87" s="7">
        <v>75527413760</v>
      </c>
      <c r="H87" s="6">
        <v>61.55</v>
      </c>
      <c r="I87" s="6">
        <v>26.65</v>
      </c>
      <c r="J87" s="12">
        <f t="shared" si="2"/>
        <v>0.25778611632270176</v>
      </c>
      <c r="K87" s="11">
        <v>1.6945107398568016E-2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6.91352321487744E-2</v>
      </c>
      <c r="Q87" s="12">
        <v>0.12176329850933591</v>
      </c>
      <c r="R87" s="14">
        <v>65</v>
      </c>
    </row>
    <row r="88" spans="2:18" x14ac:dyDescent="0.5">
      <c r="B88" s="1" t="s">
        <v>264</v>
      </c>
      <c r="C88" t="s">
        <v>315</v>
      </c>
      <c r="D88" t="s">
        <v>49</v>
      </c>
      <c r="E88">
        <v>6.8</v>
      </c>
      <c r="F88" s="9" t="s">
        <v>67</v>
      </c>
      <c r="G88" s="7">
        <v>12833543168</v>
      </c>
      <c r="H88" s="6">
        <v>7.17</v>
      </c>
      <c r="I88" s="6">
        <v>1.92</v>
      </c>
      <c r="J88" s="12">
        <f t="shared" si="2"/>
        <v>2.5416666666666665</v>
      </c>
      <c r="K88" s="11">
        <v>2.3529411764705882E-2</v>
      </c>
      <c r="L88" s="13">
        <v>896597000</v>
      </c>
      <c r="M88" s="13">
        <v>6906279000</v>
      </c>
      <c r="N88" s="9" t="s">
        <v>67</v>
      </c>
      <c r="O88" s="6">
        <v>1</v>
      </c>
      <c r="P88" s="12">
        <v>6.2143221237883732E-2</v>
      </c>
      <c r="Q88" s="12">
        <v>0.12982345485897689</v>
      </c>
      <c r="R88" s="14">
        <v>65</v>
      </c>
    </row>
    <row r="89" spans="2:18" x14ac:dyDescent="0.5">
      <c r="B89" s="1" t="s">
        <v>437</v>
      </c>
      <c r="C89" t="s">
        <v>441</v>
      </c>
      <c r="D89" t="s">
        <v>164</v>
      </c>
      <c r="E89">
        <v>2.35</v>
      </c>
      <c r="F89" s="9" t="s">
        <v>67</v>
      </c>
      <c r="G89" s="7">
        <v>3133333504</v>
      </c>
      <c r="H89" s="6">
        <v>3.21</v>
      </c>
      <c r="I89" s="6">
        <v>1.77</v>
      </c>
      <c r="J89" s="12">
        <f t="shared" si="2"/>
        <v>0.32768361581920913</v>
      </c>
      <c r="K89" s="11">
        <v>5.106382978723404E-2</v>
      </c>
      <c r="L89" s="13">
        <v>244399000</v>
      </c>
      <c r="M89" s="13">
        <v>2990882000</v>
      </c>
      <c r="N89" s="9" t="s">
        <v>50</v>
      </c>
      <c r="O89" s="6">
        <v>1.0683760683760684</v>
      </c>
      <c r="P89" s="12">
        <v>0.1168892695909387</v>
      </c>
      <c r="Q89" s="12">
        <v>8.171469151909036E-2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8.52</v>
      </c>
      <c r="F90" s="9" t="s">
        <v>67</v>
      </c>
      <c r="G90" s="7">
        <v>20075087872</v>
      </c>
      <c r="H90" s="6">
        <v>12.7</v>
      </c>
      <c r="I90" s="6">
        <v>6.33</v>
      </c>
      <c r="J90" s="12">
        <f t="shared" si="2"/>
        <v>0.34597156398104256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0.12090158522212389</v>
      </c>
      <c r="Q90" s="12">
        <v>6.4862080854845933E-2</v>
      </c>
      <c r="R90" s="14">
        <v>63</v>
      </c>
    </row>
    <row r="91" spans="2:18" x14ac:dyDescent="0.5">
      <c r="B91" s="1" t="s">
        <v>268</v>
      </c>
      <c r="C91" t="s">
        <v>319</v>
      </c>
      <c r="D91" t="s">
        <v>320</v>
      </c>
      <c r="E91">
        <v>11.71</v>
      </c>
      <c r="F91" s="9" t="s">
        <v>67</v>
      </c>
      <c r="G91" s="7">
        <v>24727490560</v>
      </c>
      <c r="H91" s="6">
        <v>12.37</v>
      </c>
      <c r="I91" s="6">
        <v>5.31</v>
      </c>
      <c r="J91" s="12">
        <f t="shared" si="2"/>
        <v>1.2052730696798495</v>
      </c>
      <c r="K91" s="11">
        <v>2.3057216054654141E-2</v>
      </c>
      <c r="L91" s="13">
        <v>1537565000</v>
      </c>
      <c r="M91" s="13">
        <v>14484935000</v>
      </c>
      <c r="N91" s="9" t="s">
        <v>50</v>
      </c>
      <c r="O91" s="6">
        <v>1.0683760683760684</v>
      </c>
      <c r="P91" s="12">
        <v>8.0755197342036081E-2</v>
      </c>
      <c r="Q91" s="12">
        <v>0.10614925092863724</v>
      </c>
      <c r="R91" s="14">
        <v>67</v>
      </c>
    </row>
    <row r="92" spans="2:18" x14ac:dyDescent="0.5">
      <c r="B92" s="1" t="s">
        <v>257</v>
      </c>
      <c r="C92" t="s">
        <v>306</v>
      </c>
      <c r="D92" t="s">
        <v>298</v>
      </c>
      <c r="E92">
        <v>71.150000000000006</v>
      </c>
      <c r="F92" s="9" t="s">
        <v>67</v>
      </c>
      <c r="G92" s="7">
        <v>1378065711104</v>
      </c>
      <c r="H92" s="6">
        <v>74.7</v>
      </c>
      <c r="I92" s="6">
        <v>39.6</v>
      </c>
      <c r="J92" s="12">
        <f t="shared" si="2"/>
        <v>0.79671717171717171</v>
      </c>
      <c r="K92" s="11">
        <v>3.6120871398453963E-2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0.10944743418836016</v>
      </c>
      <c r="Q92" s="12">
        <v>8.2016774784268678E-2</v>
      </c>
      <c r="R92" s="14">
        <v>66</v>
      </c>
    </row>
    <row r="93" spans="2:18" x14ac:dyDescent="0.5">
      <c r="B93" s="1" t="s">
        <v>255</v>
      </c>
      <c r="C93" t="s">
        <v>304</v>
      </c>
      <c r="D93" t="s">
        <v>300</v>
      </c>
      <c r="E93">
        <v>1.85</v>
      </c>
      <c r="F93" s="9" t="s">
        <v>67</v>
      </c>
      <c r="G93" s="7">
        <v>71796965376</v>
      </c>
      <c r="H93" s="6">
        <v>3.17</v>
      </c>
      <c r="I93" s="6">
        <v>1.35</v>
      </c>
      <c r="J93" s="12">
        <f t="shared" si="2"/>
        <v>0.37037037037037024</v>
      </c>
      <c r="K93" s="11">
        <v>3.027027027027027E-2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0.11639627901337925</v>
      </c>
      <c r="Q93" s="12">
        <v>5.4568577322633927E-2</v>
      </c>
      <c r="R93" s="14">
        <v>68</v>
      </c>
    </row>
    <row r="94" spans="2:18" x14ac:dyDescent="0.5">
      <c r="B94" s="1" t="s">
        <v>109</v>
      </c>
      <c r="C94" t="s">
        <v>146</v>
      </c>
      <c r="D94" t="s">
        <v>96</v>
      </c>
      <c r="E94">
        <v>5.09</v>
      </c>
      <c r="F94" s="9" t="s">
        <v>67</v>
      </c>
      <c r="G94" s="7">
        <v>612423172096</v>
      </c>
      <c r="H94" s="6">
        <v>6.98</v>
      </c>
      <c r="I94" s="6">
        <v>4.8600000000000003</v>
      </c>
      <c r="J94" s="12">
        <f t="shared" si="2"/>
        <v>4.7325102880658276E-2</v>
      </c>
      <c r="K94" s="11">
        <v>8.6640471512770142E-2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8.0764589218108626E-2</v>
      </c>
      <c r="Q94" s="12">
        <v>9.605709580489824E-2</v>
      </c>
      <c r="R94" s="14">
        <v>69</v>
      </c>
    </row>
    <row r="95" spans="2:18" x14ac:dyDescent="0.5">
      <c r="B95" s="1" t="s">
        <v>439</v>
      </c>
      <c r="C95" t="s">
        <v>443</v>
      </c>
      <c r="D95" t="s">
        <v>444</v>
      </c>
      <c r="E95">
        <v>452.6</v>
      </c>
      <c r="F95" s="9" t="s">
        <v>67</v>
      </c>
      <c r="G95" s="7">
        <v>295820918784</v>
      </c>
      <c r="H95" s="6">
        <v>613</v>
      </c>
      <c r="I95" s="6">
        <v>402.6</v>
      </c>
      <c r="J95" s="12">
        <f t="shared" si="2"/>
        <v>0.12419274714356687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6.9717244452393634E-2</v>
      </c>
      <c r="Q95" s="12">
        <v>0.10288990044861271</v>
      </c>
      <c r="R95" s="14">
        <v>68</v>
      </c>
    </row>
    <row r="96" spans="2:18" x14ac:dyDescent="0.5">
      <c r="B96" s="1" t="s">
        <v>386</v>
      </c>
      <c r="C96" t="s">
        <v>387</v>
      </c>
      <c r="D96" t="s">
        <v>55</v>
      </c>
      <c r="E96">
        <v>34.92</v>
      </c>
      <c r="F96" s="9" t="s">
        <v>67</v>
      </c>
      <c r="G96" s="7">
        <v>906104471552</v>
      </c>
      <c r="H96" s="6">
        <v>61.45</v>
      </c>
      <c r="I96" s="6">
        <v>33.32</v>
      </c>
      <c r="J96" s="12">
        <f t="shared" si="2"/>
        <v>4.8019207683073217E-2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3.4638512376526459E-2</v>
      </c>
      <c r="Q96" s="12">
        <v>0.13430606011982404</v>
      </c>
      <c r="R96" s="14">
        <v>71</v>
      </c>
    </row>
    <row r="97" spans="2:18" x14ac:dyDescent="0.5">
      <c r="B97" s="1" t="s">
        <v>126</v>
      </c>
      <c r="C97" t="s">
        <v>169</v>
      </c>
      <c r="D97" t="s">
        <v>96</v>
      </c>
      <c r="E97">
        <v>11.78</v>
      </c>
      <c r="F97" s="9" t="s">
        <v>67</v>
      </c>
      <c r="G97" s="7">
        <v>89295470592</v>
      </c>
      <c r="H97" s="6">
        <v>12.95</v>
      </c>
      <c r="I97" s="6">
        <v>9.58</v>
      </c>
      <c r="J97" s="12">
        <f t="shared" si="2"/>
        <v>0.22964509394572019</v>
      </c>
      <c r="K97" s="11">
        <v>6.7657045840407479E-2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6.2432778625722343E-2</v>
      </c>
      <c r="Q97" s="12">
        <v>0.10245263104990703</v>
      </c>
      <c r="R97" s="14">
        <v>70</v>
      </c>
    </row>
    <row r="98" spans="2:18" x14ac:dyDescent="0.5">
      <c r="B98" s="1" t="s">
        <v>113</v>
      </c>
      <c r="C98" t="s">
        <v>153</v>
      </c>
      <c r="D98" t="s">
        <v>91</v>
      </c>
      <c r="E98">
        <v>24.86</v>
      </c>
      <c r="F98" s="9" t="s">
        <v>67</v>
      </c>
      <c r="G98" s="7">
        <v>149353119744</v>
      </c>
      <c r="H98" s="6">
        <v>25.94</v>
      </c>
      <c r="I98" s="6">
        <v>18.7</v>
      </c>
      <c r="J98" s="12">
        <f t="shared" ref="J98:J129" si="3">E98/I98-1</f>
        <v>0.32941176470588229</v>
      </c>
      <c r="K98" s="11">
        <v>3.8213998390989538E-2</v>
      </c>
      <c r="L98" s="13">
        <v>10795274825</v>
      </c>
      <c r="M98" s="13">
        <v>215275428010</v>
      </c>
      <c r="N98" s="9" t="s">
        <v>50</v>
      </c>
      <c r="O98" s="6">
        <v>1.0683760683760684</v>
      </c>
      <c r="P98" s="12">
        <v>0.10891824485363549</v>
      </c>
      <c r="Q98" s="12">
        <v>5.0146340085309396E-2</v>
      </c>
      <c r="R98" s="14">
        <v>72</v>
      </c>
    </row>
    <row r="99" spans="2:18" x14ac:dyDescent="0.5">
      <c r="B99" s="1" t="s">
        <v>765</v>
      </c>
      <c r="C99" t="s">
        <v>770</v>
      </c>
      <c r="D99" t="s">
        <v>73</v>
      </c>
      <c r="E99">
        <v>1.24</v>
      </c>
      <c r="F99" s="9" t="s">
        <v>67</v>
      </c>
      <c r="G99" s="7">
        <v>1719097600</v>
      </c>
      <c r="H99" s="6">
        <v>1.6</v>
      </c>
      <c r="I99" s="6">
        <v>1.08</v>
      </c>
      <c r="J99" s="12">
        <f t="shared" si="3"/>
        <v>0.14814814814814814</v>
      </c>
      <c r="K99" s="11">
        <v>8.0645161290322592E-2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0.10633188469730399</v>
      </c>
      <c r="Q99" s="12">
        <v>6.0507370261966002E-2</v>
      </c>
      <c r="R99" s="14">
        <v>70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19.260000000000002</v>
      </c>
      <c r="F100" s="9" t="s">
        <v>67</v>
      </c>
      <c r="G100" s="7">
        <v>43070676992</v>
      </c>
      <c r="H100" s="6">
        <v>20.8</v>
      </c>
      <c r="I100" s="6">
        <v>3.08</v>
      </c>
      <c r="J100" s="12">
        <f t="shared" si="3"/>
        <v>5.2532467532467537</v>
      </c>
      <c r="K100" s="11">
        <v>1.1993769470404984E-2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6.7639615294121297E-2</v>
      </c>
      <c r="Q100" s="12">
        <v>9.29654274042198E-2</v>
      </c>
      <c r="R100" s="14">
        <v>73</v>
      </c>
    </row>
    <row r="101" spans="2:18" x14ac:dyDescent="0.5">
      <c r="B101" s="1" t="s">
        <v>262</v>
      </c>
      <c r="C101" t="s">
        <v>312</v>
      </c>
      <c r="D101" t="s">
        <v>85</v>
      </c>
      <c r="E101">
        <v>7.15</v>
      </c>
      <c r="F101" s="9" t="s">
        <v>67</v>
      </c>
      <c r="G101" s="7">
        <v>7279122432</v>
      </c>
      <c r="H101" s="6">
        <v>10.76</v>
      </c>
      <c r="I101" s="6">
        <v>6.25</v>
      </c>
      <c r="J101" s="12">
        <f t="shared" si="3"/>
        <v>0.14400000000000013</v>
      </c>
      <c r="K101" s="11">
        <v>1.9860139860139858E-2</v>
      </c>
      <c r="L101" s="13">
        <v>350106000</v>
      </c>
      <c r="M101" s="13">
        <v>3348556000</v>
      </c>
      <c r="N101" s="9" t="s">
        <v>67</v>
      </c>
      <c r="O101" s="6">
        <v>1</v>
      </c>
      <c r="P101" s="12">
        <v>5.3253767437325593E-2</v>
      </c>
      <c r="Q101" s="12">
        <v>0.10455432132537129</v>
      </c>
      <c r="R101" s="14">
        <v>75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11.22</v>
      </c>
      <c r="F102" s="9" t="s">
        <v>67</v>
      </c>
      <c r="G102" s="7">
        <v>28494297088</v>
      </c>
      <c r="H102" s="6">
        <v>13.78</v>
      </c>
      <c r="I102" s="6">
        <v>8.1</v>
      </c>
      <c r="J102" s="12">
        <f t="shared" si="3"/>
        <v>0.3851851851851853</v>
      </c>
      <c r="K102" s="11">
        <v>2.6737967914438499E-2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0.10106814597868825</v>
      </c>
      <c r="Q102" s="12">
        <v>5.5629198178196171E-2</v>
      </c>
      <c r="R102" s="14">
        <v>74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5.39</v>
      </c>
      <c r="F103" s="9" t="s">
        <v>67</v>
      </c>
      <c r="G103" s="7">
        <v>111282126848</v>
      </c>
      <c r="H103" s="6">
        <v>6.07</v>
      </c>
      <c r="I103" s="6">
        <v>4.58</v>
      </c>
      <c r="J103" s="12">
        <f t="shared" si="3"/>
        <v>0.17685589519650646</v>
      </c>
      <c r="K103" s="11">
        <v>5.5658627087198514E-2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0.10096209455849171</v>
      </c>
      <c r="Q103" s="12">
        <v>5.643429507724386E-2</v>
      </c>
      <c r="R103" s="14">
        <v>74</v>
      </c>
    </row>
    <row r="104" spans="2:18" x14ac:dyDescent="0.5">
      <c r="B104" s="1" t="s">
        <v>114</v>
      </c>
      <c r="C104" t="s">
        <v>154</v>
      </c>
      <c r="D104" t="s">
        <v>148</v>
      </c>
      <c r="E104">
        <v>2.57</v>
      </c>
      <c r="F104" s="9" t="s">
        <v>67</v>
      </c>
      <c r="G104" s="7">
        <v>9147592704</v>
      </c>
      <c r="H104" s="6">
        <v>2.72</v>
      </c>
      <c r="I104" s="6">
        <v>1.6</v>
      </c>
      <c r="J104" s="12">
        <f t="shared" si="3"/>
        <v>0.60624999999999973</v>
      </c>
      <c r="K104" s="11">
        <v>2.9182879377431907E-2</v>
      </c>
      <c r="L104" s="13">
        <v>2220197000</v>
      </c>
      <c r="M104" s="13">
        <v>71097505000</v>
      </c>
      <c r="N104" s="9" t="s">
        <v>50</v>
      </c>
      <c r="O104" s="6">
        <v>1.0683760683760684</v>
      </c>
      <c r="P104" s="12">
        <v>0.10573513756488766</v>
      </c>
      <c r="Q104" s="12">
        <v>3.1227495254580313E-2</v>
      </c>
      <c r="R104" s="14">
        <v>77</v>
      </c>
    </row>
    <row r="105" spans="2:18" x14ac:dyDescent="0.5">
      <c r="B105" s="1" t="s">
        <v>120</v>
      </c>
      <c r="C105" t="s">
        <v>160</v>
      </c>
      <c r="D105" t="s">
        <v>161</v>
      </c>
      <c r="E105">
        <v>14.92</v>
      </c>
      <c r="F105" s="9" t="s">
        <v>67</v>
      </c>
      <c r="G105" s="7">
        <v>100605919232</v>
      </c>
      <c r="H105" s="6">
        <v>15.6</v>
      </c>
      <c r="I105" s="6">
        <v>5</v>
      </c>
      <c r="J105" s="12">
        <f t="shared" si="3"/>
        <v>1.984</v>
      </c>
      <c r="K105" s="11">
        <v>1.4075067024128685E-2</v>
      </c>
      <c r="L105" s="13">
        <v>6749146000</v>
      </c>
      <c r="M105" s="13">
        <v>70848374000</v>
      </c>
      <c r="N105" s="9" t="s">
        <v>50</v>
      </c>
      <c r="O105" s="6">
        <v>1.0683760683760684</v>
      </c>
      <c r="P105" s="12">
        <v>5.4135639837766474E-2</v>
      </c>
      <c r="Q105" s="12">
        <v>9.5261833390841127E-2</v>
      </c>
      <c r="R105" s="14">
        <v>78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13.88</v>
      </c>
      <c r="F106" s="9" t="s">
        <v>67</v>
      </c>
      <c r="G106" s="7">
        <v>9323362304</v>
      </c>
      <c r="H106" s="6">
        <v>15.74</v>
      </c>
      <c r="I106" s="6">
        <v>6.31</v>
      </c>
      <c r="J106" s="12">
        <f t="shared" si="3"/>
        <v>1.1996830427892236</v>
      </c>
      <c r="K106" s="11">
        <v>4.1066282420749271E-2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8.1505072745617024E-2</v>
      </c>
      <c r="Q106" s="12">
        <v>6.5089877530620205E-2</v>
      </c>
      <c r="R106" s="14">
        <v>76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14.6</v>
      </c>
      <c r="F107" s="9" t="s">
        <v>67</v>
      </c>
      <c r="G107" s="7">
        <v>45775745024</v>
      </c>
      <c r="H107" s="6">
        <v>15.68</v>
      </c>
      <c r="I107" s="6">
        <v>6.7</v>
      </c>
      <c r="J107" s="12">
        <f t="shared" si="3"/>
        <v>1.1791044776119404</v>
      </c>
      <c r="K107" s="11">
        <v>2.3972602739726026E-2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4.1017430758361097E-2</v>
      </c>
      <c r="Q107" s="12">
        <v>0.10689920561026972</v>
      </c>
      <c r="R107" s="14">
        <v>80</v>
      </c>
    </row>
    <row r="108" spans="2:18" x14ac:dyDescent="0.5">
      <c r="B108" s="1" t="s">
        <v>18</v>
      </c>
      <c r="C108" t="s">
        <v>66</v>
      </c>
      <c r="D108" t="s">
        <v>65</v>
      </c>
      <c r="E108">
        <v>92.15</v>
      </c>
      <c r="F108" s="9" t="s">
        <v>67</v>
      </c>
      <c r="G108" s="7">
        <v>241140498432</v>
      </c>
      <c r="H108" s="6">
        <v>97.95</v>
      </c>
      <c r="I108" s="6">
        <v>43.15</v>
      </c>
      <c r="J108" s="12">
        <f t="shared" si="3"/>
        <v>1.1355735805330247</v>
      </c>
      <c r="K108" s="11">
        <v>1.4107433532284318E-2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3.2392982805344119E-2</v>
      </c>
      <c r="Q108" s="12">
        <v>0.10968970241604512</v>
      </c>
      <c r="R108" s="14">
        <v>81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65.75</v>
      </c>
      <c r="F109" s="9" t="s">
        <v>67</v>
      </c>
      <c r="G109" s="7">
        <v>251825422336</v>
      </c>
      <c r="H109" s="6">
        <v>66.5</v>
      </c>
      <c r="I109" s="6">
        <v>37.450000000000003</v>
      </c>
      <c r="J109" s="12">
        <f t="shared" si="3"/>
        <v>0.75567423230974629</v>
      </c>
      <c r="K109" s="11">
        <v>3.3825095057034224E-2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9.1678607896759509E-2</v>
      </c>
      <c r="Q109" s="12">
        <v>5.2504192208844336E-2</v>
      </c>
      <c r="R109" s="14">
        <v>80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6.08</v>
      </c>
      <c r="F110" s="9" t="s">
        <v>67</v>
      </c>
      <c r="G110" s="7">
        <v>47106396160</v>
      </c>
      <c r="H110" s="6">
        <v>6.13</v>
      </c>
      <c r="I110" s="6">
        <v>4.3600000000000003</v>
      </c>
      <c r="J110" s="12">
        <f t="shared" si="3"/>
        <v>0.39449541284403655</v>
      </c>
      <c r="K110" s="11">
        <v>6.2993421052631574E-2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5.5427637397980623E-2</v>
      </c>
      <c r="Q110" s="12">
        <v>9.2144023431582137E-2</v>
      </c>
      <c r="R110" s="14">
        <v>79</v>
      </c>
    </row>
    <row r="111" spans="2:18" x14ac:dyDescent="0.5">
      <c r="B111" s="1" t="s">
        <v>36</v>
      </c>
      <c r="C111" t="s">
        <v>100</v>
      </c>
      <c r="D111" t="s">
        <v>49</v>
      </c>
      <c r="E111">
        <v>26.88</v>
      </c>
      <c r="F111" s="9" t="s">
        <v>67</v>
      </c>
      <c r="G111" s="7">
        <v>114732294144</v>
      </c>
      <c r="H111" s="6">
        <v>119.9</v>
      </c>
      <c r="I111" s="6">
        <v>8.92</v>
      </c>
      <c r="J111" s="12">
        <f t="shared" si="3"/>
        <v>2.0134529147982061</v>
      </c>
      <c r="K111" s="11">
        <v>1.4992559523809526E-2</v>
      </c>
      <c r="L111" s="13">
        <v>3967214824.1399999</v>
      </c>
      <c r="M111" s="13">
        <v>41038539262.660004</v>
      </c>
      <c r="N111" s="9" t="s">
        <v>50</v>
      </c>
      <c r="O111" s="6">
        <v>1.0683760683760684</v>
      </c>
      <c r="P111" s="12">
        <v>4.7498414996282497E-2</v>
      </c>
      <c r="Q111" s="12">
        <v>9.6670468672106824E-2</v>
      </c>
      <c r="R111" s="14">
        <v>82</v>
      </c>
    </row>
    <row r="112" spans="2:18" x14ac:dyDescent="0.5">
      <c r="B112" s="1" t="s">
        <v>752</v>
      </c>
      <c r="C112" t="s">
        <v>754</v>
      </c>
      <c r="D112" t="s">
        <v>85</v>
      </c>
      <c r="E112">
        <v>15.69</v>
      </c>
      <c r="F112" s="9" t="s">
        <v>67</v>
      </c>
      <c r="G112" s="7">
        <v>10128857088</v>
      </c>
      <c r="H112" s="6">
        <v>15.94</v>
      </c>
      <c r="I112" s="6">
        <v>8.0299999999999994</v>
      </c>
      <c r="J112" s="12">
        <f t="shared" si="3"/>
        <v>0.95392278953922793</v>
      </c>
      <c r="K112" s="11">
        <v>1.421287444231995E-2</v>
      </c>
      <c r="L112" s="13">
        <v>1066661000</v>
      </c>
      <c r="M112" s="13">
        <v>15098330000</v>
      </c>
      <c r="N112" s="9" t="s">
        <v>50</v>
      </c>
      <c r="O112" s="6">
        <v>1.0683760683760684</v>
      </c>
      <c r="P112" s="12">
        <v>6.1883735399698311E-2</v>
      </c>
      <c r="Q112" s="12">
        <v>7.0647614669966816E-2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46.72</v>
      </c>
      <c r="F113" s="9" t="s">
        <v>67</v>
      </c>
      <c r="G113" s="7">
        <v>163509649408</v>
      </c>
      <c r="H113" s="6">
        <v>46.9</v>
      </c>
      <c r="I113" s="6">
        <v>28.1</v>
      </c>
      <c r="J113" s="12">
        <f t="shared" si="3"/>
        <v>0.66263345195729517</v>
      </c>
      <c r="K113" s="11">
        <v>3.724315068493151E-2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9.1115570312201272E-2</v>
      </c>
      <c r="Q113" s="12">
        <v>3.7613758029978586E-2</v>
      </c>
      <c r="R113" s="14">
        <v>83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31</v>
      </c>
      <c r="F114" s="9" t="s">
        <v>67</v>
      </c>
      <c r="G114" s="7">
        <v>34357661696</v>
      </c>
      <c r="H114" s="6">
        <v>32.700000000000003</v>
      </c>
      <c r="I114" s="6">
        <v>17.8</v>
      </c>
      <c r="J114" s="12">
        <f t="shared" si="3"/>
        <v>0.7415730337078652</v>
      </c>
      <c r="K114" s="11">
        <v>3.9677419354838712E-2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7.3565857829031911E-2</v>
      </c>
      <c r="Q114" s="12">
        <v>4.7084186647510511E-2</v>
      </c>
      <c r="R114" s="14">
        <v>85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2.16</v>
      </c>
      <c r="F115" s="9" t="s">
        <v>67</v>
      </c>
      <c r="G115" s="7">
        <v>23739852800</v>
      </c>
      <c r="H115" s="6">
        <v>2.64</v>
      </c>
      <c r="I115" s="6">
        <v>1.57</v>
      </c>
      <c r="J115" s="12">
        <f t="shared" si="3"/>
        <v>0.37579617834394918</v>
      </c>
      <c r="K115" s="11">
        <v>3.2407407407407406E-2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6.7074791350761609E-2</v>
      </c>
      <c r="Q115" s="12">
        <v>5.4029173112094174E-2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10.99</v>
      </c>
      <c r="F116" s="9" t="s">
        <v>67</v>
      </c>
      <c r="G116" s="7">
        <v>192118374400</v>
      </c>
      <c r="H116" s="6">
        <v>12.85</v>
      </c>
      <c r="I116" s="6">
        <v>9.89</v>
      </c>
      <c r="J116" s="12">
        <f t="shared" si="3"/>
        <v>0.1112234580384226</v>
      </c>
      <c r="K116" s="11">
        <v>4.0036396724294813E-2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6.2119629762137987E-2</v>
      </c>
      <c r="Q116" s="12">
        <v>6.2161059386475759E-2</v>
      </c>
      <c r="R116" s="14">
        <v>85</v>
      </c>
    </row>
    <row r="117" spans="2:18" x14ac:dyDescent="0.5">
      <c r="B117" s="1" t="s">
        <v>254</v>
      </c>
      <c r="C117" t="s">
        <v>303</v>
      </c>
      <c r="D117" t="s">
        <v>96</v>
      </c>
      <c r="E117">
        <v>4.1399999999999997</v>
      </c>
      <c r="F117" s="9" t="s">
        <v>67</v>
      </c>
      <c r="G117" s="7">
        <v>3844292096</v>
      </c>
      <c r="H117" s="6">
        <v>5.39</v>
      </c>
      <c r="I117" s="6">
        <v>1.72</v>
      </c>
      <c r="J117" s="12">
        <f t="shared" si="3"/>
        <v>1.4069767441860463</v>
      </c>
      <c r="K117" s="11">
        <v>2.1739130434782608E-2</v>
      </c>
      <c r="L117" s="13">
        <v>238321000</v>
      </c>
      <c r="M117" s="13">
        <v>6087917000</v>
      </c>
      <c r="N117" s="9" t="s">
        <v>67</v>
      </c>
      <c r="O117" s="6">
        <v>1</v>
      </c>
      <c r="P117" s="12">
        <v>6.829235535257841E-2</v>
      </c>
      <c r="Q117" s="12">
        <v>3.9146558666946343E-2</v>
      </c>
      <c r="R117" s="14">
        <v>87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7.3</v>
      </c>
      <c r="F118" s="9" t="s">
        <v>67</v>
      </c>
      <c r="G118" s="7">
        <v>7618897408</v>
      </c>
      <c r="H118" s="6">
        <v>9.6</v>
      </c>
      <c r="I118" s="6">
        <v>5.23</v>
      </c>
      <c r="J118" s="12">
        <f t="shared" si="3"/>
        <v>0.39579349904397687</v>
      </c>
      <c r="K118" s="11">
        <v>1.315068493150685E-2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4.648854717938751E-2</v>
      </c>
      <c r="Q118" s="12">
        <v>8.3790449156695201E-2</v>
      </c>
      <c r="R118" s="14">
        <v>88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10.73</v>
      </c>
      <c r="F119" s="9" t="s">
        <v>67</v>
      </c>
      <c r="G119" s="7">
        <v>11425354752</v>
      </c>
      <c r="H119" s="6">
        <v>15.24</v>
      </c>
      <c r="I119" s="6">
        <v>7.64</v>
      </c>
      <c r="J119" s="12">
        <f t="shared" si="3"/>
        <v>0.4044502617801049</v>
      </c>
      <c r="K119" s="11">
        <v>3.2339235787511647E-2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4.4695810902289516E-2</v>
      </c>
      <c r="Q119" s="12">
        <v>7.3543833799631836E-2</v>
      </c>
      <c r="R119" s="14">
        <v>89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3.18</v>
      </c>
      <c r="F120" s="9" t="s">
        <v>67</v>
      </c>
      <c r="G120" s="7">
        <v>17370853376</v>
      </c>
      <c r="H120" s="6">
        <v>3.83</v>
      </c>
      <c r="I120" s="6">
        <v>1.24</v>
      </c>
      <c r="J120" s="12">
        <f t="shared" si="3"/>
        <v>1.564516129032258</v>
      </c>
      <c r="K120" s="11">
        <v>1.069182389937107E-2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5.1942910957032573E-2</v>
      </c>
      <c r="Q120" s="12">
        <v>5.8120488088461209E-2</v>
      </c>
      <c r="R120" s="14">
        <v>90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3.7</v>
      </c>
      <c r="F121" s="9" t="s">
        <v>67</v>
      </c>
      <c r="G121" s="7">
        <v>15891500032</v>
      </c>
      <c r="H121" s="6">
        <v>3.84</v>
      </c>
      <c r="I121" s="6">
        <v>1.93</v>
      </c>
      <c r="J121" s="12">
        <f t="shared" si="3"/>
        <v>0.91709844559585507</v>
      </c>
      <c r="K121" s="11">
        <v>0.03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5.3227086983478791E-2</v>
      </c>
      <c r="Q121" s="12">
        <v>3.8781191586606881E-2</v>
      </c>
      <c r="R121" s="14">
        <v>91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1.39</v>
      </c>
      <c r="F122" s="9" t="s">
        <v>67</v>
      </c>
      <c r="G122" s="7">
        <v>7695921152</v>
      </c>
      <c r="H122" s="6">
        <v>2.99</v>
      </c>
      <c r="I122" s="6">
        <v>0.91</v>
      </c>
      <c r="J122" s="12">
        <f t="shared" si="3"/>
        <v>0.52747252747252737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5.4957899264186871E-2</v>
      </c>
      <c r="Q122" s="12">
        <v>2.3421020321148112E-2</v>
      </c>
      <c r="R122" s="14">
        <v>91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12.1</v>
      </c>
      <c r="F123" s="9" t="s">
        <v>67</v>
      </c>
      <c r="G123" s="7">
        <v>114762391552</v>
      </c>
      <c r="H123" s="6">
        <v>12.14</v>
      </c>
      <c r="I123" s="6">
        <v>7.31</v>
      </c>
      <c r="J123" s="12">
        <f t="shared" si="3"/>
        <v>0.65526675786593702</v>
      </c>
      <c r="K123" s="11">
        <v>4.7933884297520657E-2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3.9271963804021044E-2</v>
      </c>
      <c r="Q123" s="12">
        <v>2.6302501987777345E-2</v>
      </c>
      <c r="R123" s="14">
        <v>92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67.45</v>
      </c>
      <c r="F124" s="9" t="s">
        <v>67</v>
      </c>
      <c r="G124" s="7">
        <v>651898388480</v>
      </c>
      <c r="H124" s="6">
        <v>93.5</v>
      </c>
      <c r="I124" s="6">
        <v>37</v>
      </c>
      <c r="J124" s="12">
        <f t="shared" si="3"/>
        <v>0.82297297297297312</v>
      </c>
      <c r="K124" s="11">
        <v>0</v>
      </c>
      <c r="L124" s="13">
        <v>984027000</v>
      </c>
      <c r="M124" s="13">
        <v>32183526000</v>
      </c>
      <c r="N124" s="9" t="s">
        <v>71</v>
      </c>
      <c r="O124" s="6">
        <v>7.6923076923076916</v>
      </c>
      <c r="P124" s="12">
        <v>1.0936233908708336E-2</v>
      </c>
      <c r="Q124" s="12">
        <v>3.0575487595734537E-2</v>
      </c>
      <c r="R124" s="14">
        <v>93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22.08</v>
      </c>
      <c r="F125" s="9" t="s">
        <v>67</v>
      </c>
      <c r="G125" s="7">
        <v>22676340736</v>
      </c>
      <c r="H125" s="6">
        <v>22.7</v>
      </c>
      <c r="I125" s="6">
        <v>11.2</v>
      </c>
      <c r="J125" s="12">
        <f t="shared" si="3"/>
        <v>0.97142857142857131</v>
      </c>
      <c r="K125" s="11">
        <v>4.8913043478260879E-2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2.0660835680290045E-2</v>
      </c>
      <c r="Q125" s="12">
        <v>9.6523581574197593E-3</v>
      </c>
      <c r="R125" s="14">
        <v>94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34.56</v>
      </c>
      <c r="F126" s="9" t="s">
        <v>67</v>
      </c>
      <c r="G126" s="7">
        <v>35302187008</v>
      </c>
      <c r="H126" s="6">
        <v>46.88</v>
      </c>
      <c r="I126" s="6">
        <v>22.4</v>
      </c>
      <c r="J126" s="12">
        <f t="shared" si="3"/>
        <v>0.54285714285714315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-3.0160088806158148E-3</v>
      </c>
      <c r="Q126" s="12">
        <v>-4.9151971480384084E-3</v>
      </c>
      <c r="R126" s="14">
        <v>95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1.42</v>
      </c>
      <c r="F127" s="9" t="s">
        <v>67</v>
      </c>
      <c r="G127" s="7">
        <v>900119936</v>
      </c>
      <c r="H127" s="6">
        <v>1.98</v>
      </c>
      <c r="I127" s="6">
        <v>1.17</v>
      </c>
      <c r="J127" s="12">
        <f t="shared" si="3"/>
        <v>0.21367521367521358</v>
      </c>
      <c r="K127" s="11">
        <v>9.8591549295774655E-2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-5.279779957282163E-2</v>
      </c>
      <c r="Q127" s="12">
        <v>-1.1398571772580687E-2</v>
      </c>
      <c r="R127" s="14">
        <v>96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242.8</v>
      </c>
      <c r="F128" s="9" t="s">
        <v>67</v>
      </c>
      <c r="G128" s="7">
        <v>98954846208</v>
      </c>
      <c r="H128" s="6">
        <v>285.60000000000002</v>
      </c>
      <c r="I128" s="6">
        <v>113.6</v>
      </c>
      <c r="J128" s="12">
        <f t="shared" si="3"/>
        <v>1.137323943661972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-1.499608219931358E-2</v>
      </c>
      <c r="Q128" s="12">
        <v>-6.9202665106169181E-2</v>
      </c>
      <c r="R128" s="14">
        <v>96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35.46</v>
      </c>
      <c r="F129" s="9" t="s">
        <v>67</v>
      </c>
      <c r="G129" s="7">
        <v>92158377984</v>
      </c>
      <c r="H129" s="6">
        <v>45.05</v>
      </c>
      <c r="I129" s="6">
        <v>31.9</v>
      </c>
      <c r="J129" s="12">
        <f t="shared" si="3"/>
        <v>0.11159874608150488</v>
      </c>
      <c r="K129" s="11">
        <v>7.4534686971235192E-2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-4.7491121271852649E-2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2.8</v>
      </c>
      <c r="F130" s="9" t="s">
        <v>67</v>
      </c>
      <c r="G130" s="7">
        <v>16417063936</v>
      </c>
      <c r="H130" s="6">
        <v>4.34</v>
      </c>
      <c r="I130" s="6">
        <v>2.57</v>
      </c>
      <c r="J130" s="12">
        <f t="shared" ref="J130:J161" si="4">E130/I130-1</f>
        <v>8.9494163424124418E-2</v>
      </c>
      <c r="K130" s="11">
        <v>5.000000000000001E-2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-6.9055920699403084E-2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6.87</v>
      </c>
      <c r="F131" s="9" t="s">
        <v>67</v>
      </c>
      <c r="G131" s="7">
        <v>680100102144</v>
      </c>
      <c r="H131" s="6">
        <v>7.62</v>
      </c>
      <c r="I131" s="6">
        <v>6.21</v>
      </c>
      <c r="J131" s="12">
        <f t="shared" si="4"/>
        <v>0.106280193236715</v>
      </c>
      <c r="K131" s="11">
        <v>7.7874818049490535E-2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5.22</v>
      </c>
      <c r="F132" s="9" t="s">
        <v>67</v>
      </c>
      <c r="G132" s="7">
        <v>706049277952</v>
      </c>
      <c r="H132" s="6">
        <v>5.95</v>
      </c>
      <c r="I132" s="6">
        <v>4.3600000000000003</v>
      </c>
      <c r="J132" s="12">
        <f t="shared" si="4"/>
        <v>0.19724770642201817</v>
      </c>
      <c r="K132" s="11">
        <v>4.5402298850574715E-2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6.46</v>
      </c>
      <c r="F133" s="9" t="s">
        <v>67</v>
      </c>
      <c r="G133" s="7">
        <v>2886510051328</v>
      </c>
      <c r="H133" s="6">
        <v>6.66</v>
      </c>
      <c r="I133" s="6">
        <v>4.8600000000000003</v>
      </c>
      <c r="J133" s="12">
        <f t="shared" si="4"/>
        <v>0.32921810699588461</v>
      </c>
      <c r="K133" s="11">
        <v>4.736842105263158E-2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7.92</v>
      </c>
      <c r="F134" s="9" t="s">
        <v>67</v>
      </c>
      <c r="G134" s="7">
        <v>2122938580992</v>
      </c>
      <c r="H134" s="6">
        <v>8.56</v>
      </c>
      <c r="I134" s="6">
        <v>6.02</v>
      </c>
      <c r="J134" s="12">
        <f t="shared" si="4"/>
        <v>0.31561461794019952</v>
      </c>
      <c r="K134" s="11">
        <v>4.9494949494949494E-2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7.29</v>
      </c>
      <c r="F135" s="9" t="s">
        <v>67</v>
      </c>
      <c r="G135" s="7">
        <v>478032887808</v>
      </c>
      <c r="H135" s="6">
        <v>8.1199999999999992</v>
      </c>
      <c r="I135" s="6">
        <v>5.43</v>
      </c>
      <c r="J135" s="12">
        <f t="shared" si="4"/>
        <v>0.34254143646408841</v>
      </c>
      <c r="K135" s="11">
        <v>6.9958847736625515E-2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41.74</v>
      </c>
      <c r="F136" s="9" t="s">
        <v>67</v>
      </c>
      <c r="G136" s="7">
        <v>441307889664</v>
      </c>
      <c r="H136" s="6">
        <v>41.74</v>
      </c>
      <c r="I136" s="6">
        <v>25.35</v>
      </c>
      <c r="J136" s="12">
        <f t="shared" si="4"/>
        <v>0.64654832347140045</v>
      </c>
      <c r="K136" s="11">
        <v>4.7891710589362722E-2</v>
      </c>
      <c r="M136" s="13">
        <v>415994000000</v>
      </c>
      <c r="N136" s="9" t="s">
        <v>67</v>
      </c>
      <c r="O136" s="6">
        <v>1</v>
      </c>
    </row>
    <row r="137" spans="2:18" x14ac:dyDescent="0.5">
      <c r="B137" s="1" t="s">
        <v>779</v>
      </c>
      <c r="C137" t="s">
        <v>782</v>
      </c>
      <c r="D137" t="s">
        <v>96</v>
      </c>
      <c r="E137">
        <v>80.400000000000006</v>
      </c>
      <c r="F137" s="9" t="s">
        <v>67</v>
      </c>
      <c r="G137" s="7">
        <v>1760048840704</v>
      </c>
      <c r="H137" s="6">
        <v>90.6</v>
      </c>
      <c r="I137" s="6">
        <v>74.900000000000006</v>
      </c>
      <c r="J137" s="12">
        <f t="shared" si="4"/>
        <v>7.3431241655540713E-2</v>
      </c>
      <c r="K137" s="11">
        <v>6.1592039800995022E-2</v>
      </c>
      <c r="L137" s="13">
        <v>181466000000</v>
      </c>
      <c r="M137" s="13">
        <v>1392032000000</v>
      </c>
      <c r="N137" s="9" t="s">
        <v>50</v>
      </c>
      <c r="O137" s="6">
        <v>1.0683760683760684</v>
      </c>
      <c r="P137" s="12">
        <v>0.11569111956008767</v>
      </c>
      <c r="Q137" s="12">
        <v>0.13036050895381715</v>
      </c>
      <c r="R137" s="14">
        <v>39</v>
      </c>
    </row>
    <row r="138" spans="2:18" x14ac:dyDescent="0.5">
      <c r="B138" s="1" t="s">
        <v>780</v>
      </c>
      <c r="C138" t="s">
        <v>783</v>
      </c>
      <c r="D138" t="s">
        <v>221</v>
      </c>
      <c r="E138">
        <v>91.25</v>
      </c>
      <c r="F138" s="9" t="s">
        <v>67</v>
      </c>
      <c r="G138" s="7">
        <v>831944261632</v>
      </c>
      <c r="H138" s="6">
        <v>158.86667</v>
      </c>
      <c r="I138" s="6">
        <v>88.5</v>
      </c>
      <c r="J138" s="12">
        <f t="shared" si="4"/>
        <v>3.1073446327683607E-2</v>
      </c>
      <c r="K138" s="11">
        <v>1.452054794520548E-2</v>
      </c>
      <c r="L138" s="13">
        <v>51774458000</v>
      </c>
      <c r="M138" s="13">
        <v>205612162000</v>
      </c>
      <c r="N138" s="9" t="s">
        <v>50</v>
      </c>
      <c r="O138" s="6">
        <v>1.0683760683760684</v>
      </c>
      <c r="P138" s="12">
        <v>7.2268233412947996E-2</v>
      </c>
      <c r="Q138" s="12">
        <v>0.25180639849504621</v>
      </c>
      <c r="R138" s="14">
        <v>32</v>
      </c>
    </row>
    <row r="139" spans="2:18" x14ac:dyDescent="0.5">
      <c r="B139" s="1" t="s">
        <v>781</v>
      </c>
      <c r="C139" t="s">
        <v>784</v>
      </c>
      <c r="D139" t="s">
        <v>785</v>
      </c>
      <c r="E139">
        <v>192.6</v>
      </c>
      <c r="F139" s="9" t="s">
        <v>67</v>
      </c>
      <c r="G139" s="7">
        <v>620647481344</v>
      </c>
      <c r="H139" s="6">
        <v>248</v>
      </c>
      <c r="I139" s="6">
        <v>131.9</v>
      </c>
      <c r="J139" s="12">
        <f t="shared" si="4"/>
        <v>0.46019711902956772</v>
      </c>
      <c r="K139" s="11">
        <v>2.3068535825545172E-2</v>
      </c>
      <c r="L139" s="13">
        <v>29583990000</v>
      </c>
      <c r="M139" s="13">
        <v>150918654000</v>
      </c>
      <c r="N139" s="9" t="s">
        <v>50</v>
      </c>
      <c r="O139" s="6">
        <v>1.0683760683760684</v>
      </c>
      <c r="P139" s="12">
        <v>5.4546778100651352E-2</v>
      </c>
      <c r="Q139" s="12">
        <v>0.19602606580363485</v>
      </c>
      <c r="R139" s="14">
        <v>50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2026-02-05T10:22:02Z</dcterms:modified>
</cp:coreProperties>
</file>