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52B2CC1-4AB4-42A4-9EC7-089A1D977AEA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7" i="1"/>
  <c r="J13" i="1"/>
  <c r="J15" i="1"/>
  <c r="J14" i="1"/>
  <c r="J18" i="1"/>
  <c r="J19" i="1"/>
  <c r="J16" i="1"/>
  <c r="J21" i="1"/>
  <c r="J22" i="1"/>
  <c r="J20" i="1"/>
  <c r="J27" i="1"/>
  <c r="J23" i="1"/>
  <c r="J28" i="1"/>
  <c r="J29" i="1"/>
  <c r="J24" i="1"/>
  <c r="J25" i="1"/>
  <c r="J26" i="1"/>
  <c r="J31" i="1"/>
  <c r="J30" i="1"/>
  <c r="J32" i="1"/>
  <c r="J33" i="1"/>
  <c r="J34" i="1"/>
  <c r="J35" i="1"/>
  <c r="J36" i="1"/>
  <c r="J37" i="1"/>
  <c r="J38" i="1"/>
  <c r="J39" i="1"/>
  <c r="J42" i="1"/>
  <c r="J48" i="1"/>
  <c r="J43" i="1"/>
  <c r="J41" i="1"/>
  <c r="J50" i="1"/>
  <c r="J40" i="1"/>
  <c r="J44" i="1"/>
  <c r="J47" i="1"/>
  <c r="J45" i="1"/>
  <c r="J46" i="1"/>
  <c r="J51" i="1"/>
  <c r="J49" i="1"/>
  <c r="J52" i="1"/>
  <c r="J53" i="1"/>
  <c r="J54" i="1"/>
  <c r="J56" i="1"/>
  <c r="J55" i="1"/>
  <c r="J57" i="1"/>
  <c r="J58" i="1"/>
  <c r="J59" i="1"/>
  <c r="J63" i="1"/>
  <c r="J61" i="1"/>
  <c r="J60" i="1"/>
  <c r="J62" i="1"/>
  <c r="J65" i="1"/>
  <c r="J66" i="1"/>
  <c r="J64" i="1"/>
  <c r="J80" i="1"/>
  <c r="J67" i="1"/>
  <c r="J68" i="1"/>
  <c r="J70" i="1"/>
  <c r="J74" i="1"/>
  <c r="J75" i="1"/>
  <c r="J72" i="1"/>
  <c r="J73" i="1"/>
  <c r="J69" i="1"/>
  <c r="J77" i="1"/>
  <c r="J78" i="1"/>
  <c r="J71" i="1"/>
  <c r="J79" i="1"/>
  <c r="J89" i="1"/>
  <c r="J81" i="1"/>
  <c r="J76" i="1"/>
  <c r="J82" i="1"/>
  <c r="J84" i="1"/>
  <c r="J83" i="1"/>
  <c r="J85" i="1"/>
  <c r="J86" i="1"/>
  <c r="J88" i="1"/>
  <c r="J90" i="1"/>
  <c r="J91" i="1"/>
  <c r="J87" i="1"/>
  <c r="J92" i="1"/>
  <c r="J93" i="1"/>
  <c r="J94" i="1"/>
  <c r="J95" i="1"/>
  <c r="J96" i="1"/>
  <c r="J98" i="1"/>
  <c r="J100" i="1"/>
  <c r="J99" i="1"/>
  <c r="J97" i="1"/>
  <c r="J101" i="1"/>
  <c r="J102" i="1"/>
  <c r="J104" i="1"/>
  <c r="J105" i="1"/>
  <c r="J106" i="1"/>
  <c r="J103" i="1"/>
  <c r="J107" i="1"/>
  <c r="J109" i="1"/>
  <c r="J110" i="1"/>
  <c r="J108" i="1"/>
  <c r="J111" i="1"/>
  <c r="J113" i="1"/>
  <c r="J114" i="1"/>
  <c r="J112" i="1"/>
  <c r="J116" i="1"/>
  <c r="J115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<sst xmlns="http://schemas.openxmlformats.org/spreadsheetml/2006/main" count="980" uniqueCount="467">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</sst>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</cellXfs>
  <cellStyles count="1">
    <cellStyle name="常规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="55" zoomScaleNormal="55" workbookViewId="0">
      <pane xSplit="3" ySplit="1" topLeftCell="D59" activePane="bottomRight" state="frozen"/>
      <selection pane="topRight" activeCell="D1" sqref="D1"/>
      <selection pane="bottomLeft" activeCell="A2" sqref="A2"/>
      <selection pane="bottomRight" activeCell="J70" sqref="J7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296</v>
      </c>
      <c r="C2" t="s">
        <v>354</v>
      </c>
      <c r="D2" t="s">
        <v>153</v>
      </c>
      <c r="E2">
        <v>2.77</v>
      </c>
      <c r="F2" s="9" t="s">
        <v>68</v>
      </c>
      <c r="G2" s="7">
        <v>2504603392</v>
      </c>
      <c r="H2" s="6">
        <v>3.5</v>
      </c>
      <c r="I2" s="6">
        <v>2.39</v>
      </c>
      <c r="J2" s="12">
        <f>E2/I2-1</f>
        <v>0.15899581589958145</v>
      </c>
      <c r="K2" s="11">
        <v>6.1371841155234662E-2</v>
      </c>
      <c r="L2" s="13">
        <v>504294000</v>
      </c>
      <c r="M2" s="13">
        <v>1704754000</v>
      </c>
      <c r="N2" s="9" t="s">
        <v>51</v>
      </c>
      <c r="O2" s="6">
        <v>1.0683760683760684</v>
      </c>
      <c r="P2" s="12">
        <v>0.43195502169898459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76</v>
      </c>
      <c r="D3" t="s">
        <v>77</v>
      </c>
      <c r="E3">
        <v>13.35</v>
      </c>
      <c r="F3" s="9" t="s">
        <v>68</v>
      </c>
      <c r="G3" s="7">
        <v>244401766400</v>
      </c>
      <c r="H3" s="6">
        <v>15.6</v>
      </c>
      <c r="I3" s="6">
        <v>9.8000000000000007</v>
      </c>
      <c r="J3" s="12">
        <f>E3/I3-1</f>
        <v>0.36224489795918347</v>
      </c>
      <c r="K3" s="11">
        <v>0.11910112359550562</v>
      </c>
      <c r="L3" s="13">
        <v>70144988000</v>
      </c>
      <c r="M3" s="13">
        <v>269343749000</v>
      </c>
      <c r="N3" s="9" t="s">
        <v>51</v>
      </c>
      <c r="O3" s="6">
        <v>1.0683760683760684</v>
      </c>
      <c r="P3" s="12">
        <v>0.58070289622419524</v>
      </c>
      <c r="Q3" s="12">
        <v>0.26042924055386191</v>
      </c>
      <c r="R3" s="14">
        <v>2</v>
      </c>
    </row>
    <row r="4" spans="2:22" x14ac:dyDescent="0.5">
      <c r="B4" s="1" t="s">
        <v>111</v>
      </c>
      <c r="C4" t="s">
        <v>147</v>
      </c>
      <c r="D4" t="s">
        <v>148</v>
      </c>
      <c r="E4">
        <v>4.04</v>
      </c>
      <c r="F4" s="9" t="s">
        <v>68</v>
      </c>
      <c r="G4" s="7">
        <v>11300782080</v>
      </c>
      <c r="H4" s="6">
        <v>5.2</v>
      </c>
      <c r="I4" s="6">
        <v>2.36</v>
      </c>
      <c r="J4" s="12">
        <f>E4/I4-1</f>
        <v>0.71186440677966112</v>
      </c>
      <c r="K4" s="11">
        <v>3.787128712871287E-2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0.28143055542255269</v>
      </c>
      <c r="Q4" s="12">
        <v>0.28956319566547578</v>
      </c>
      <c r="R4" s="14">
        <v>3</v>
      </c>
    </row>
    <row r="5" spans="2:22" x14ac:dyDescent="0.5">
      <c r="B5" s="1" t="s">
        <v>198</v>
      </c>
      <c r="C5" t="s">
        <v>220</v>
      </c>
      <c r="D5" t="s">
        <v>77</v>
      </c>
      <c r="E5">
        <v>135.9</v>
      </c>
      <c r="F5" s="9" t="s">
        <v>68</v>
      </c>
      <c r="G5" s="7">
        <v>89744728064</v>
      </c>
      <c r="H5" s="6">
        <v>149.5</v>
      </c>
      <c r="I5" s="6">
        <v>93</v>
      </c>
      <c r="J5" s="12">
        <f>E5/I5-1</f>
        <v>0.46129032258064528</v>
      </c>
      <c r="K5" s="11">
        <v>1.5011037527593819E-2</v>
      </c>
      <c r="L5" s="13">
        <v>2635100000</v>
      </c>
      <c r="M5" s="13">
        <v>13245550000</v>
      </c>
      <c r="N5" s="9" t="s">
        <v>72</v>
      </c>
      <c r="O5" s="6">
        <v>7.6923076923076916</v>
      </c>
      <c r="P5" s="12">
        <v>0.51300824197002048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90</v>
      </c>
      <c r="D6" t="s">
        <v>87</v>
      </c>
      <c r="E6">
        <v>4.2</v>
      </c>
      <c r="F6" s="9" t="s">
        <v>68</v>
      </c>
      <c r="G6" s="7">
        <v>38049337344</v>
      </c>
      <c r="H6" s="6">
        <v>7.38</v>
      </c>
      <c r="I6" s="6">
        <v>3.8</v>
      </c>
      <c r="J6" s="12">
        <f>E6/I6-1</f>
        <v>0.10526315789473695</v>
      </c>
      <c r="K6" s="11">
        <v>6.3095238095238093E-2</v>
      </c>
      <c r="L6" s="13">
        <v>5594372000</v>
      </c>
      <c r="M6" s="13">
        <v>26933044000</v>
      </c>
      <c r="N6" s="9" t="s">
        <v>51</v>
      </c>
      <c r="O6" s="6">
        <v>1.0683760683760684</v>
      </c>
      <c r="P6" s="12">
        <v>0.20436758067079014</v>
      </c>
      <c r="Q6" s="12">
        <v>0.20771406306691512</v>
      </c>
      <c r="R6" s="14">
        <v>5</v>
      </c>
    </row>
    <row r="7" spans="2:22" x14ac:dyDescent="0.5">
      <c r="B7" s="1" t="s">
        <v>200</v>
      </c>
      <c r="C7" t="s">
        <v>223</v>
      </c>
      <c r="D7" t="s">
        <v>224</v>
      </c>
      <c r="E7">
        <v>15.34</v>
      </c>
      <c r="F7" s="9" t="s">
        <v>68</v>
      </c>
      <c r="G7" s="7">
        <v>136832114688</v>
      </c>
      <c r="H7" s="6">
        <v>18.100000000000001</v>
      </c>
      <c r="I7" s="6">
        <v>10.6</v>
      </c>
      <c r="J7" s="12">
        <f>E7/I7-1</f>
        <v>0.44716981132075473</v>
      </c>
      <c r="K7" s="11">
        <v>4.5958279009126461E-2</v>
      </c>
      <c r="L7" s="13">
        <v>21175963859.630001</v>
      </c>
      <c r="M7" s="13">
        <v>104071284594.97</v>
      </c>
      <c r="N7" s="9" t="s">
        <v>51</v>
      </c>
      <c r="O7" s="6">
        <v>1.0683760683760684</v>
      </c>
      <c r="P7" s="12">
        <v>0.21337037861943037</v>
      </c>
      <c r="Q7" s="12">
        <v>0.20347556909712136</v>
      </c>
      <c r="R7" s="14">
        <v>6</v>
      </c>
    </row>
    <row r="8" spans="2:22" x14ac:dyDescent="0.5">
      <c r="B8" s="1" t="s">
        <v>199</v>
      </c>
      <c r="C8" t="s">
        <v>221</v>
      </c>
      <c r="D8" t="s">
        <v>222</v>
      </c>
      <c r="E8">
        <v>2.1</v>
      </c>
      <c r="F8" s="9" t="s">
        <v>68</v>
      </c>
      <c r="G8" s="7">
        <v>2099999872</v>
      </c>
      <c r="H8" s="6">
        <v>2.42</v>
      </c>
      <c r="I8" s="6">
        <v>1.55</v>
      </c>
      <c r="J8" s="12">
        <f>E8/I8-1</f>
        <v>0.35483870967741948</v>
      </c>
      <c r="K8" s="11">
        <v>9.9999999999999992E-2</v>
      </c>
      <c r="L8" s="13">
        <v>315190000</v>
      </c>
      <c r="M8" s="13">
        <v>607806000</v>
      </c>
      <c r="N8" s="9" t="s">
        <v>68</v>
      </c>
      <c r="O8" s="6">
        <v>1</v>
      </c>
      <c r="P8" s="12">
        <v>0.13893328204722388</v>
      </c>
      <c r="Q8" s="12">
        <v>0.51857007005524791</v>
      </c>
      <c r="R8" s="14">
        <v>7</v>
      </c>
    </row>
    <row r="9" spans="2:22" x14ac:dyDescent="0.5">
      <c r="B9" s="1" t="s">
        <v>253</v>
      </c>
      <c r="C9" t="s">
        <v>303</v>
      </c>
      <c r="D9" t="s">
        <v>304</v>
      </c>
      <c r="E9">
        <v>7.51</v>
      </c>
      <c r="F9" s="9" t="s">
        <v>68</v>
      </c>
      <c r="G9" s="7">
        <v>410986479616</v>
      </c>
      <c r="H9" s="6">
        <v>7.57</v>
      </c>
      <c r="I9" s="6">
        <v>3.5</v>
      </c>
      <c r="J9" s="12">
        <f>E9/I9-1</f>
        <v>1.1457142857142855</v>
      </c>
      <c r="K9" s="11">
        <v>2.5565912117177098E-2</v>
      </c>
      <c r="L9" s="13">
        <v>72477000000</v>
      </c>
      <c r="M9" s="13">
        <v>319355000000</v>
      </c>
      <c r="N9" s="9" t="s">
        <v>51</v>
      </c>
      <c r="O9" s="6">
        <v>1.0683760683760684</v>
      </c>
      <c r="P9" s="12">
        <v>0.17575152074572481</v>
      </c>
      <c r="Q9" s="12">
        <v>0.22694806719794586</v>
      </c>
      <c r="R9" s="14">
        <v>7</v>
      </c>
    </row>
    <row r="10" spans="2:22" x14ac:dyDescent="0.5">
      <c r="B10" s="1" t="s">
        <v>251</v>
      </c>
      <c r="C10" t="s">
        <v>300</v>
      </c>
      <c r="D10" t="s">
        <v>299</v>
      </c>
      <c r="E10">
        <v>1.47</v>
      </c>
      <c r="F10" s="9" t="s">
        <v>68</v>
      </c>
      <c r="G10" s="7">
        <v>2960945664</v>
      </c>
      <c r="H10" s="6">
        <v>1.85</v>
      </c>
      <c r="I10" s="6">
        <v>1.1299999999999999</v>
      </c>
      <c r="J10" s="12">
        <f>E10/I10-1</f>
        <v>0.30088495575221241</v>
      </c>
      <c r="K10" s="11">
        <v>8.0952380952380956E-2</v>
      </c>
      <c r="L10" s="13">
        <v>929863000</v>
      </c>
      <c r="M10" s="13">
        <v>6026676000</v>
      </c>
      <c r="N10" s="9" t="s">
        <v>51</v>
      </c>
      <c r="O10" s="6">
        <v>1.0683760683760684</v>
      </c>
      <c r="P10" s="12">
        <v>0.36101957205276719</v>
      </c>
      <c r="Q10" s="12">
        <v>0.15429118804462028</v>
      </c>
      <c r="R10" s="14">
        <v>8</v>
      </c>
    </row>
    <row r="11" spans="2:22" x14ac:dyDescent="0.5">
      <c r="B11" s="1" t="s">
        <v>110</v>
      </c>
      <c r="C11" t="s">
        <v>145</v>
      </c>
      <c r="D11" t="s">
        <v>146</v>
      </c>
      <c r="E11">
        <v>3.1</v>
      </c>
      <c r="F11" s="9" t="s">
        <v>68</v>
      </c>
      <c r="G11" s="7">
        <v>15782303744</v>
      </c>
      <c r="H11" s="6">
        <v>3.3</v>
      </c>
      <c r="I11" s="6">
        <v>2.23</v>
      </c>
      <c r="J11" s="12">
        <f>E11/I11-1</f>
        <v>0.39013452914798208</v>
      </c>
      <c r="K11" s="11">
        <v>8.7096774193548387E-2</v>
      </c>
      <c r="L11" s="13">
        <v>2527643000</v>
      </c>
      <c r="M11" s="13">
        <v>16480074000</v>
      </c>
      <c r="N11" s="9" t="s">
        <v>68</v>
      </c>
      <c r="O11" s="6">
        <v>1</v>
      </c>
      <c r="P11" s="12">
        <v>0.31013637367911612</v>
      </c>
      <c r="Q11" s="12">
        <v>0.15337570692947131</v>
      </c>
      <c r="R11" s="14">
        <v>9</v>
      </c>
    </row>
    <row r="12" spans="2:22" x14ac:dyDescent="0.5">
      <c r="B12" s="1" t="s">
        <v>250</v>
      </c>
      <c r="C12" t="s">
        <v>298</v>
      </c>
      <c r="D12" t="s">
        <v>299</v>
      </c>
      <c r="E12">
        <v>1.41</v>
      </c>
      <c r="F12" s="9" t="s">
        <v>68</v>
      </c>
      <c r="G12" s="7">
        <v>1667742592</v>
      </c>
      <c r="H12" s="6">
        <v>2.36</v>
      </c>
      <c r="I12" s="6">
        <v>1.36</v>
      </c>
      <c r="J12" s="12">
        <f>E12/I12-1</f>
        <v>3.6764705882352811E-2</v>
      </c>
      <c r="K12" s="11">
        <v>4.326241134751773E-2</v>
      </c>
      <c r="L12" s="13">
        <v>841215000</v>
      </c>
      <c r="M12" s="13">
        <v>5774434000</v>
      </c>
      <c r="N12" s="9" t="s">
        <v>51</v>
      </c>
      <c r="O12" s="6">
        <v>1.0683760683760684</v>
      </c>
      <c r="P12" s="12">
        <v>0.6976156546741441</v>
      </c>
      <c r="Q12" s="12">
        <v>0.14567921288909008</v>
      </c>
      <c r="R12" s="14">
        <v>10</v>
      </c>
    </row>
    <row r="13" spans="2:22" x14ac:dyDescent="0.5">
      <c r="B13" s="1" t="s">
        <v>291</v>
      </c>
      <c r="C13" t="s">
        <v>349</v>
      </c>
      <c r="D13" t="s">
        <v>87</v>
      </c>
      <c r="E13">
        <v>7.4</v>
      </c>
      <c r="F13" s="9" t="s">
        <v>68</v>
      </c>
      <c r="G13" s="7">
        <v>94943625216</v>
      </c>
      <c r="H13" s="6">
        <v>8.9700000000000006</v>
      </c>
      <c r="I13" s="6">
        <v>5.73</v>
      </c>
      <c r="J13" s="12">
        <f>E13/I13-1</f>
        <v>0.29144851657940651</v>
      </c>
      <c r="K13" s="11">
        <v>1.0405405405405405E-2</v>
      </c>
      <c r="L13" s="13">
        <v>2553000000</v>
      </c>
      <c r="M13" s="13">
        <v>13971000000</v>
      </c>
      <c r="N13" s="9" t="s">
        <v>72</v>
      </c>
      <c r="O13" s="6">
        <v>7.6923076923076916</v>
      </c>
      <c r="P13" s="12">
        <v>0.18220524513688377</v>
      </c>
      <c r="Q13" s="12">
        <v>0.18273566673824351</v>
      </c>
      <c r="R13" s="14">
        <v>11</v>
      </c>
    </row>
    <row r="14" spans="2:22" x14ac:dyDescent="0.5">
      <c r="B14" s="1" t="s">
        <v>297</v>
      </c>
      <c r="C14" t="s">
        <v>355</v>
      </c>
      <c r="D14" t="s">
        <v>96</v>
      </c>
      <c r="E14">
        <v>5.87</v>
      </c>
      <c r="F14" s="9" t="s">
        <v>68</v>
      </c>
      <c r="G14" s="7">
        <v>12137293824</v>
      </c>
      <c r="H14" s="6">
        <v>6.7</v>
      </c>
      <c r="I14" s="6">
        <v>3.67</v>
      </c>
      <c r="J14" s="12">
        <f>E14/I14-1</f>
        <v>0.59945504087193457</v>
      </c>
      <c r="K14" s="11">
        <v>4.8211243611584319E-2</v>
      </c>
      <c r="L14" s="13">
        <v>1576240000</v>
      </c>
      <c r="M14" s="13">
        <v>9636462000</v>
      </c>
      <c r="N14" s="9" t="s">
        <v>51</v>
      </c>
      <c r="O14" s="6">
        <v>1.0683760683760684</v>
      </c>
      <c r="P14" s="12">
        <v>0.21384985167516166</v>
      </c>
      <c r="Q14" s="12">
        <v>0.16357040581906512</v>
      </c>
      <c r="R14" s="14">
        <v>11</v>
      </c>
    </row>
    <row r="15" spans="2:22" x14ac:dyDescent="0.5">
      <c r="B15" s="1" t="s">
        <v>254</v>
      </c>
      <c r="C15" t="s">
        <v>305</v>
      </c>
      <c r="D15" t="s">
        <v>306</v>
      </c>
      <c r="E15">
        <v>18.34</v>
      </c>
      <c r="F15" s="9" t="s">
        <v>68</v>
      </c>
      <c r="G15" s="7">
        <v>65914302464</v>
      </c>
      <c r="H15" s="6">
        <v>19.600000000000001</v>
      </c>
      <c r="I15" s="6">
        <v>9.56</v>
      </c>
      <c r="J15" s="12">
        <f>E15/I15-1</f>
        <v>0.91841004184100417</v>
      </c>
      <c r="K15" s="11">
        <v>1.9083969465648856E-2</v>
      </c>
      <c r="L15" s="13">
        <v>25585077000</v>
      </c>
      <c r="M15" s="13">
        <v>167756547000</v>
      </c>
      <c r="N15" s="9" t="s">
        <v>68</v>
      </c>
      <c r="O15" s="6">
        <v>1</v>
      </c>
      <c r="P15" s="12">
        <v>0.24684280354101223</v>
      </c>
      <c r="Q15" s="12">
        <v>0.15251313559762292</v>
      </c>
      <c r="R15" s="14">
        <v>12</v>
      </c>
    </row>
    <row r="16" spans="2:22" x14ac:dyDescent="0.5">
      <c r="B16" s="1" t="s">
        <v>294</v>
      </c>
      <c r="C16" t="s">
        <v>352</v>
      </c>
      <c r="D16" t="s">
        <v>77</v>
      </c>
      <c r="E16">
        <v>27.64</v>
      </c>
      <c r="F16" s="9" t="s">
        <v>68</v>
      </c>
      <c r="G16" s="7">
        <v>74048438272</v>
      </c>
      <c r="H16" s="6">
        <v>31.8</v>
      </c>
      <c r="I16" s="6">
        <v>15.7</v>
      </c>
      <c r="J16" s="12">
        <f>E16/I16-1</f>
        <v>0.76050955414012744</v>
      </c>
      <c r="K16" s="11">
        <v>1.2735166425470332E-2</v>
      </c>
      <c r="L16" s="13">
        <v>1069250000</v>
      </c>
      <c r="M16" s="13">
        <v>2571093000</v>
      </c>
      <c r="N16" s="9" t="s">
        <v>72</v>
      </c>
      <c r="O16" s="6">
        <v>7.6923076923076916</v>
      </c>
      <c r="P16" s="12">
        <v>0.11533743606060544</v>
      </c>
      <c r="Q16" s="12">
        <v>0.41587371596437778</v>
      </c>
      <c r="R16" s="14">
        <v>12</v>
      </c>
    </row>
    <row r="17" spans="2:18" x14ac:dyDescent="0.5">
      <c r="B17" s="1" t="s">
        <v>197</v>
      </c>
      <c r="C17" t="s">
        <v>218</v>
      </c>
      <c r="D17" t="s">
        <v>219</v>
      </c>
      <c r="E17">
        <v>14.89</v>
      </c>
      <c r="F17" s="9" t="s">
        <v>68</v>
      </c>
      <c r="G17" s="7">
        <v>58101317632</v>
      </c>
      <c r="H17" s="6">
        <v>16.52</v>
      </c>
      <c r="I17" s="6">
        <v>4.22</v>
      </c>
      <c r="J17" s="12">
        <f>E17/I17-1</f>
        <v>2.5284360189573465</v>
      </c>
      <c r="K17" s="11">
        <v>2.8878441907320344E-3</v>
      </c>
      <c r="L17" s="13">
        <v>786762000</v>
      </c>
      <c r="M17" s="13">
        <v>2279244000</v>
      </c>
      <c r="N17" s="9" t="s">
        <v>72</v>
      </c>
      <c r="O17" s="6">
        <v>7.6923076923076916</v>
      </c>
      <c r="P17" s="12">
        <v>0.11952723463973788</v>
      </c>
      <c r="Q17" s="12">
        <v>0.34518550887925997</v>
      </c>
      <c r="R17" s="14">
        <v>13</v>
      </c>
    </row>
    <row r="18" spans="2:18" x14ac:dyDescent="0.5">
      <c r="B18" s="1" t="s">
        <v>23</v>
      </c>
      <c r="C18" t="s">
        <v>80</v>
      </c>
      <c r="D18" t="s">
        <v>81</v>
      </c>
      <c r="E18">
        <v>7.21</v>
      </c>
      <c r="F18" s="9" t="s">
        <v>68</v>
      </c>
      <c r="G18" s="7">
        <v>62431391744</v>
      </c>
      <c r="H18" s="6">
        <v>8.48</v>
      </c>
      <c r="I18" s="6">
        <v>6.8</v>
      </c>
      <c r="J18" s="12">
        <f>E18/I18-1</f>
        <v>6.0294117647058831E-2</v>
      </c>
      <c r="K18" s="11">
        <v>4.4105409153952842E-2</v>
      </c>
      <c r="L18" s="13">
        <v>13438000000</v>
      </c>
      <c r="M18" s="13">
        <v>88611000000</v>
      </c>
      <c r="N18" s="9" t="s">
        <v>51</v>
      </c>
      <c r="O18" s="6">
        <v>1.0683760683760684</v>
      </c>
      <c r="P18" s="12">
        <v>0.24482679652426795</v>
      </c>
      <c r="Q18" s="12">
        <v>0.15165160081705431</v>
      </c>
      <c r="R18" s="14">
        <v>14</v>
      </c>
    </row>
    <row r="19" spans="2:18" x14ac:dyDescent="0.5">
      <c r="B19" s="1" t="s">
        <v>32</v>
      </c>
      <c r="C19" t="s">
        <v>95</v>
      </c>
      <c r="D19" t="s">
        <v>96</v>
      </c>
      <c r="E19">
        <v>16.28</v>
      </c>
      <c r="F19" s="9" t="s">
        <v>68</v>
      </c>
      <c r="G19" s="7">
        <v>13628110848</v>
      </c>
      <c r="H19" s="6">
        <v>19.440000000000001</v>
      </c>
      <c r="I19" s="6">
        <v>12.5</v>
      </c>
      <c r="J19" s="12">
        <f>E19/I19-1</f>
        <v>0.3024</v>
      </c>
      <c r="K19" s="11">
        <v>8.046683046683047E-3</v>
      </c>
      <c r="L19" s="13">
        <v>199557000</v>
      </c>
      <c r="M19" s="13">
        <v>1108087000</v>
      </c>
      <c r="N19" s="9" t="s">
        <v>72</v>
      </c>
      <c r="O19" s="6">
        <v>7.6923076923076916</v>
      </c>
      <c r="P19" s="12">
        <v>0.14672171619756055</v>
      </c>
      <c r="Q19" s="12">
        <v>0.18009145491283626</v>
      </c>
      <c r="R19" s="14">
        <v>15</v>
      </c>
    </row>
    <row r="20" spans="2:18" x14ac:dyDescent="0.5">
      <c r="B20" s="1" t="s">
        <v>445</v>
      </c>
      <c r="C20" t="s">
        <v>453</v>
      </c>
      <c r="D20" t="s">
        <v>185</v>
      </c>
      <c r="E20">
        <v>12.95</v>
      </c>
      <c r="F20" s="9" t="s">
        <v>68</v>
      </c>
      <c r="G20" s="7">
        <v>70124249088</v>
      </c>
      <c r="H20" s="6">
        <v>18.88</v>
      </c>
      <c r="I20" s="6">
        <v>12.43</v>
      </c>
      <c r="J20" s="12">
        <f>E20/I20-1</f>
        <v>4.1834271922767563E-2</v>
      </c>
      <c r="K20" s="11">
        <v>6.0000000000000005E-2</v>
      </c>
      <c r="L20" s="13">
        <v>6898733000</v>
      </c>
      <c r="M20" s="13">
        <v>12604518000</v>
      </c>
      <c r="N20" s="9" t="s">
        <v>51</v>
      </c>
      <c r="O20" s="6">
        <v>1.0683760683760684</v>
      </c>
      <c r="P20" s="12">
        <v>0.1072402096975214</v>
      </c>
      <c r="Q20" s="12">
        <v>0.54732223794674262</v>
      </c>
      <c r="R20" s="14">
        <v>16</v>
      </c>
    </row>
    <row r="21" spans="2:18" x14ac:dyDescent="0.5">
      <c r="B21" s="1" t="s">
        <v>20</v>
      </c>
      <c r="C21" t="s">
        <v>73</v>
      </c>
      <c r="D21" t="s">
        <v>74</v>
      </c>
      <c r="E21">
        <v>3.25</v>
      </c>
      <c r="F21" s="9" t="s">
        <v>68</v>
      </c>
      <c r="G21" s="7">
        <v>3379376128</v>
      </c>
      <c r="H21" s="6">
        <v>3.74</v>
      </c>
      <c r="I21" s="6">
        <v>1.92</v>
      </c>
      <c r="J21" s="12">
        <f>E21/I21-1</f>
        <v>0.69270833333333348</v>
      </c>
      <c r="K21" s="11">
        <v>8.738461538461538E-2</v>
      </c>
      <c r="L21" s="13">
        <v>762183000</v>
      </c>
      <c r="M21" s="13">
        <v>5008319000</v>
      </c>
      <c r="N21" s="9" t="s">
        <v>68</v>
      </c>
      <c r="O21" s="6">
        <v>1</v>
      </c>
      <c r="P21" s="12">
        <v>0.1847978383227383</v>
      </c>
      <c r="Q21" s="12">
        <v>0.15218339726363278</v>
      </c>
      <c r="R21" s="14">
        <v>17</v>
      </c>
    </row>
    <row r="22" spans="2:18" x14ac:dyDescent="0.5">
      <c r="B22" s="1" t="s">
        <v>287</v>
      </c>
      <c r="C22" t="s">
        <v>345</v>
      </c>
      <c r="D22" t="s">
        <v>75</v>
      </c>
      <c r="E22">
        <v>5.56</v>
      </c>
      <c r="F22" s="9" t="s">
        <v>68</v>
      </c>
      <c r="G22" s="7">
        <v>14990536704</v>
      </c>
      <c r="H22" s="6">
        <v>6.83</v>
      </c>
      <c r="I22" s="6">
        <v>4.46</v>
      </c>
      <c r="J22" s="12">
        <f>E22/I22-1</f>
        <v>0.24663677130044825</v>
      </c>
      <c r="K22" s="11">
        <v>4.4784172661870507E-2</v>
      </c>
      <c r="L22" s="13">
        <v>2030839000</v>
      </c>
      <c r="M22" s="13">
        <v>11587361000</v>
      </c>
      <c r="N22" s="9" t="s">
        <v>51</v>
      </c>
      <c r="O22" s="6">
        <v>1.0683760683760684</v>
      </c>
      <c r="P22" s="12">
        <v>0.14424330176456043</v>
      </c>
      <c r="Q22" s="12">
        <v>0.17526328902672489</v>
      </c>
      <c r="R22" s="14">
        <v>18</v>
      </c>
    </row>
    <row r="23" spans="2:18" x14ac:dyDescent="0.5">
      <c r="B23" s="1" t="s">
        <v>24</v>
      </c>
      <c r="C23" t="s">
        <v>82</v>
      </c>
      <c r="D23" t="s">
        <v>83</v>
      </c>
      <c r="E23">
        <v>21.54</v>
      </c>
      <c r="F23" s="9" t="s">
        <v>68</v>
      </c>
      <c r="G23" s="7">
        <v>45180940288</v>
      </c>
      <c r="H23" s="6">
        <v>26</v>
      </c>
      <c r="I23" s="6">
        <v>9.3000000000000007</v>
      </c>
      <c r="J23" s="12">
        <f>E23/I23-1</f>
        <v>1.3161290322580643</v>
      </c>
      <c r="K23" s="11">
        <v>5.1996285979572891E-2</v>
      </c>
      <c r="L23" s="13">
        <v>5451928473.2399998</v>
      </c>
      <c r="M23" s="13">
        <v>25994816572.18</v>
      </c>
      <c r="N23" s="9" t="s">
        <v>51</v>
      </c>
      <c r="O23" s="6">
        <v>1.0683760683760684</v>
      </c>
      <c r="P23" s="12">
        <v>0.11973520054540096</v>
      </c>
      <c r="Q23" s="12">
        <v>0.20973136925592797</v>
      </c>
      <c r="R23" s="14">
        <v>18</v>
      </c>
    </row>
    <row r="24" spans="2:18" x14ac:dyDescent="0.5">
      <c r="B24" s="1" t="s">
        <v>27</v>
      </c>
      <c r="C24" t="s">
        <v>88</v>
      </c>
      <c r="D24" t="s">
        <v>89</v>
      </c>
      <c r="E24">
        <v>5.38</v>
      </c>
      <c r="F24" s="9" t="s">
        <v>68</v>
      </c>
      <c r="G24" s="7">
        <v>5701949952</v>
      </c>
      <c r="H24" s="6">
        <v>7.12</v>
      </c>
      <c r="I24" s="6">
        <v>3.98</v>
      </c>
      <c r="J24" s="12">
        <f>E24/I24-1</f>
        <v>0.35175879396984921</v>
      </c>
      <c r="K24" s="11">
        <v>9.2936802973977703E-2</v>
      </c>
      <c r="L24" s="13">
        <v>866801000</v>
      </c>
      <c r="M24" s="13">
        <v>7530053000</v>
      </c>
      <c r="N24" s="9" t="s">
        <v>68</v>
      </c>
      <c r="O24" s="6">
        <v>1</v>
      </c>
      <c r="P24" s="12">
        <v>0.32030462729327097</v>
      </c>
      <c r="Q24" s="12">
        <v>0.11511220438953086</v>
      </c>
      <c r="R24" s="14">
        <v>18</v>
      </c>
    </row>
    <row r="25" spans="2:18" x14ac:dyDescent="0.5">
      <c r="B25" s="1" t="s">
        <v>29</v>
      </c>
      <c r="C25" t="s">
        <v>91</v>
      </c>
      <c r="D25" t="s">
        <v>87</v>
      </c>
      <c r="E25">
        <v>5.07</v>
      </c>
      <c r="F25" s="9" t="s">
        <v>68</v>
      </c>
      <c r="G25" s="7">
        <v>59841572864</v>
      </c>
      <c r="H25" s="6">
        <v>5.97</v>
      </c>
      <c r="I25" s="6">
        <v>4.34</v>
      </c>
      <c r="J25" s="12">
        <f>E25/I25-1</f>
        <v>0.16820276497695863</v>
      </c>
      <c r="K25" s="11">
        <v>2.9191321499013805E-2</v>
      </c>
      <c r="L25" s="13">
        <v>5915895000</v>
      </c>
      <c r="M25" s="13">
        <v>21902003000</v>
      </c>
      <c r="N25" s="9" t="s">
        <v>51</v>
      </c>
      <c r="O25" s="6">
        <v>1.0683760683760684</v>
      </c>
      <c r="P25" s="12">
        <v>0.11364554916845719</v>
      </c>
      <c r="Q25" s="12">
        <v>0.27010748742934609</v>
      </c>
      <c r="R25" s="14">
        <v>18</v>
      </c>
    </row>
    <row r="26" spans="2:18" x14ac:dyDescent="0.5">
      <c r="B26" s="1" t="s">
        <v>34</v>
      </c>
      <c r="C26" t="s">
        <v>99</v>
      </c>
      <c r="D26" t="s">
        <v>71</v>
      </c>
      <c r="E26">
        <v>4.67</v>
      </c>
      <c r="F26" s="9" t="s">
        <v>68</v>
      </c>
      <c r="G26" s="7">
        <v>53844893696</v>
      </c>
      <c r="H26" s="6">
        <v>5.09</v>
      </c>
      <c r="I26" s="6">
        <v>3.46</v>
      </c>
      <c r="J26" s="12">
        <f>E26/I26-1</f>
        <v>0.3497109826589595</v>
      </c>
      <c r="K26" s="11">
        <v>5.5888650963597436E-2</v>
      </c>
      <c r="L26" s="13">
        <v>5294586000</v>
      </c>
      <c r="M26" s="13">
        <v>17815083000</v>
      </c>
      <c r="N26" s="9" t="s">
        <v>51</v>
      </c>
      <c r="O26" s="6">
        <v>1.0683760683760684</v>
      </c>
      <c r="P26" s="12">
        <v>0.11013764402566686</v>
      </c>
      <c r="Q26" s="12">
        <v>0.29719681912231338</v>
      </c>
      <c r="R26" s="14">
        <v>18</v>
      </c>
    </row>
    <row r="27" spans="2:18" x14ac:dyDescent="0.5">
      <c r="B27" s="1" t="s">
        <v>293</v>
      </c>
      <c r="C27" t="s">
        <v>351</v>
      </c>
      <c r="D27" t="s">
        <v>54</v>
      </c>
      <c r="E27">
        <v>4.7699999999999996</v>
      </c>
      <c r="F27" s="9" t="s">
        <v>68</v>
      </c>
      <c r="G27" s="7">
        <v>18498455552</v>
      </c>
      <c r="H27" s="6">
        <v>5.93</v>
      </c>
      <c r="I27" s="6">
        <v>3.33</v>
      </c>
      <c r="J27" s="12">
        <f>E27/I27-1</f>
        <v>0.43243243243243223</v>
      </c>
      <c r="K27" s="11">
        <v>5.6603773584905669E-2</v>
      </c>
      <c r="L27" s="13">
        <v>2823432000</v>
      </c>
      <c r="M27" s="13">
        <v>16925205000</v>
      </c>
      <c r="N27" s="9" t="s">
        <v>68</v>
      </c>
      <c r="O27" s="6">
        <v>1</v>
      </c>
      <c r="P27" s="12">
        <v>0.1446295067271893</v>
      </c>
      <c r="Q27" s="12">
        <v>0.16681818624944278</v>
      </c>
      <c r="R27" s="14">
        <v>19</v>
      </c>
    </row>
    <row r="28" spans="2:18" x14ac:dyDescent="0.5">
      <c r="B28" s="1" t="s">
        <v>279</v>
      </c>
      <c r="C28" t="s">
        <v>336</v>
      </c>
      <c r="D28" t="s">
        <v>337</v>
      </c>
      <c r="E28">
        <v>2.99</v>
      </c>
      <c r="F28" s="9" t="s">
        <v>68</v>
      </c>
      <c r="G28" s="7">
        <v>6790479360</v>
      </c>
      <c r="H28" s="6">
        <v>4.55</v>
      </c>
      <c r="I28" s="6">
        <v>2.74</v>
      </c>
      <c r="J28" s="12">
        <f>E28/I28-1</f>
        <v>9.1240875912408814E-2</v>
      </c>
      <c r="K28" s="11">
        <v>5.1505016722408023E-2</v>
      </c>
      <c r="L28" s="13">
        <v>826931000</v>
      </c>
      <c r="M28" s="13">
        <v>5591620000</v>
      </c>
      <c r="N28" s="9" t="s">
        <v>51</v>
      </c>
      <c r="O28" s="6">
        <v>1.0683760683760684</v>
      </c>
      <c r="P28" s="12">
        <v>0.18536794999799164</v>
      </c>
      <c r="Q28" s="12">
        <v>0.14788755315990715</v>
      </c>
      <c r="R28" s="14">
        <v>19</v>
      </c>
    </row>
    <row r="29" spans="2:18" x14ac:dyDescent="0.5">
      <c r="B29" s="1" t="s">
        <v>22</v>
      </c>
      <c r="C29" t="s">
        <v>78</v>
      </c>
      <c r="D29" t="s">
        <v>79</v>
      </c>
      <c r="E29">
        <v>11.24</v>
      </c>
      <c r="F29" s="9" t="s">
        <v>68</v>
      </c>
      <c r="G29" s="7">
        <v>184331976704</v>
      </c>
      <c r="H29" s="6">
        <v>11.32</v>
      </c>
      <c r="I29" s="6">
        <v>7.16</v>
      </c>
      <c r="J29" s="12">
        <f>E29/I29-1</f>
        <v>0.56983240223463683</v>
      </c>
      <c r="K29" s="11">
        <v>3.7722419928825621E-2</v>
      </c>
      <c r="L29" s="13">
        <v>32866046000</v>
      </c>
      <c r="M29" s="13">
        <v>215280386000</v>
      </c>
      <c r="N29" s="9" t="s">
        <v>51</v>
      </c>
      <c r="O29" s="6">
        <v>1.0683760683760684</v>
      </c>
      <c r="P29" s="12">
        <v>0.15869339062200663</v>
      </c>
      <c r="Q29" s="12">
        <v>0.15266623500015464</v>
      </c>
      <c r="R29" s="14">
        <v>20</v>
      </c>
    </row>
    <row r="30" spans="2:18" x14ac:dyDescent="0.5">
      <c r="B30" s="1" t="s">
        <v>282</v>
      </c>
      <c r="C30" t="s">
        <v>340</v>
      </c>
      <c r="D30" t="s">
        <v>56</v>
      </c>
      <c r="E30">
        <v>9.3000000000000007</v>
      </c>
      <c r="F30" s="9" t="s">
        <v>68</v>
      </c>
      <c r="G30" s="7">
        <v>23443789824</v>
      </c>
      <c r="H30" s="6">
        <v>11.37</v>
      </c>
      <c r="I30" s="6">
        <v>4.8499999999999996</v>
      </c>
      <c r="J30" s="12">
        <f>E30/I30-1</f>
        <v>0.91752577319587658</v>
      </c>
      <c r="K30" s="11">
        <v>3.4193548387096775E-2</v>
      </c>
      <c r="L30" s="13">
        <v>3301437000</v>
      </c>
      <c r="M30" s="13">
        <v>21814427000</v>
      </c>
      <c r="N30" s="9" t="s">
        <v>68</v>
      </c>
      <c r="O30" s="6">
        <v>1</v>
      </c>
      <c r="P30" s="12">
        <v>0.16810128885641726</v>
      </c>
      <c r="Q30" s="12">
        <v>0.15134190781174311</v>
      </c>
      <c r="R30" s="14">
        <v>21</v>
      </c>
    </row>
    <row r="31" spans="2:18" x14ac:dyDescent="0.5">
      <c r="B31" s="1" t="s">
        <v>284</v>
      </c>
      <c r="C31" t="s">
        <v>342</v>
      </c>
      <c r="D31" t="s">
        <v>61</v>
      </c>
      <c r="E31">
        <v>10.58</v>
      </c>
      <c r="F31" s="9" t="s">
        <v>68</v>
      </c>
      <c r="G31" s="7">
        <v>17512560640</v>
      </c>
      <c r="H31" s="6">
        <v>12.4</v>
      </c>
      <c r="I31" s="6">
        <v>9.1</v>
      </c>
      <c r="J31" s="12">
        <f>E31/I31-1</f>
        <v>0.16263736263736273</v>
      </c>
      <c r="K31" s="11">
        <v>5.6710775047258979E-2</v>
      </c>
      <c r="L31" s="13">
        <v>1721368005.75</v>
      </c>
      <c r="M31" s="13">
        <v>14620942286.52</v>
      </c>
      <c r="N31" s="9" t="s">
        <v>51</v>
      </c>
      <c r="O31" s="6">
        <v>1.0683760683760684</v>
      </c>
      <c r="P31" s="12">
        <v>0.23115837499465119</v>
      </c>
      <c r="Q31" s="12">
        <v>0.11773304155211949</v>
      </c>
      <c r="R31" s="14">
        <v>22</v>
      </c>
    </row>
    <row r="32" spans="2:18" x14ac:dyDescent="0.5">
      <c r="B32" s="1" t="s">
        <v>288</v>
      </c>
      <c r="C32" t="s">
        <v>346</v>
      </c>
      <c r="D32" t="s">
        <v>98</v>
      </c>
      <c r="E32">
        <v>4.8499999999999996</v>
      </c>
      <c r="F32" s="9" t="s">
        <v>68</v>
      </c>
      <c r="G32" s="7">
        <v>5339614720</v>
      </c>
      <c r="H32" s="6">
        <v>4.8499999999999996</v>
      </c>
      <c r="I32" s="6">
        <v>3.91</v>
      </c>
      <c r="J32" s="12">
        <f>E32/I32-1</f>
        <v>0.24040920716112524</v>
      </c>
      <c r="K32" s="11">
        <v>6.5979381443298971E-2</v>
      </c>
      <c r="L32" s="13">
        <v>765224000</v>
      </c>
      <c r="M32" s="13">
        <v>5249449000</v>
      </c>
      <c r="N32" s="9" t="s">
        <v>68</v>
      </c>
      <c r="O32" s="6">
        <v>1</v>
      </c>
      <c r="P32" s="12">
        <v>0.16192215905330662</v>
      </c>
      <c r="Q32" s="12">
        <v>0.14577225152582682</v>
      </c>
      <c r="R32" s="14">
        <v>23</v>
      </c>
    </row>
    <row r="33" spans="2:18" x14ac:dyDescent="0.5">
      <c r="B33" s="1" t="s">
        <v>274</v>
      </c>
      <c r="C33" t="s">
        <v>330</v>
      </c>
      <c r="D33" t="s">
        <v>96</v>
      </c>
      <c r="E33">
        <v>14.37</v>
      </c>
      <c r="F33" s="9" t="s">
        <v>68</v>
      </c>
      <c r="G33" s="7">
        <v>23055665152</v>
      </c>
      <c r="H33" s="6">
        <v>18.399999999999999</v>
      </c>
      <c r="I33" s="6">
        <v>9.6300000000000008</v>
      </c>
      <c r="J33" s="12">
        <f>E33/I33-1</f>
        <v>0.49221183800623036</v>
      </c>
      <c r="K33" s="11">
        <v>1.1621433542101602E-2</v>
      </c>
      <c r="L33" s="13">
        <v>634792000</v>
      </c>
      <c r="M33" s="13">
        <v>5195491000</v>
      </c>
      <c r="N33" s="9" t="s">
        <v>72</v>
      </c>
      <c r="O33" s="6">
        <v>7.6923076923076916</v>
      </c>
      <c r="P33" s="12">
        <v>0.19771728532087043</v>
      </c>
      <c r="Q33" s="12">
        <v>0.12218132992627646</v>
      </c>
      <c r="R33" s="14">
        <v>23</v>
      </c>
    </row>
    <row r="34" spans="2:18" x14ac:dyDescent="0.5">
      <c r="B34" s="1" t="s">
        <v>143</v>
      </c>
      <c r="C34" t="s">
        <v>192</v>
      </c>
      <c r="D34" t="s">
        <v>181</v>
      </c>
      <c r="E34">
        <v>11.7</v>
      </c>
      <c r="F34" s="9" t="s">
        <v>68</v>
      </c>
      <c r="G34" s="7">
        <v>145134518272</v>
      </c>
      <c r="H34" s="6">
        <v>13.6</v>
      </c>
      <c r="I34" s="6">
        <v>6.57</v>
      </c>
      <c r="J34" s="12">
        <f>E34/I34-1</f>
        <v>0.78082191780821897</v>
      </c>
      <c r="K34" s="11">
        <v>4.2735042735042739E-3</v>
      </c>
      <c r="L34" s="13">
        <v>2250990000</v>
      </c>
      <c r="M34" s="13">
        <v>11437145000</v>
      </c>
      <c r="N34" s="9" t="s">
        <v>72</v>
      </c>
      <c r="O34" s="6">
        <v>7.6923076923076916</v>
      </c>
      <c r="P34" s="12">
        <v>0.11327262464620955</v>
      </c>
      <c r="Q34" s="12">
        <v>0.19681397761416858</v>
      </c>
      <c r="R34" s="14">
        <v>24</v>
      </c>
    </row>
    <row r="35" spans="2:18" x14ac:dyDescent="0.5">
      <c r="B35" s="1" t="s">
        <v>201</v>
      </c>
      <c r="C35" t="s">
        <v>225</v>
      </c>
      <c r="D35" t="s">
        <v>226</v>
      </c>
      <c r="E35">
        <v>0.66</v>
      </c>
      <c r="F35" s="9" t="s">
        <v>68</v>
      </c>
      <c r="G35" s="7">
        <v>1572256000</v>
      </c>
      <c r="H35" s="6">
        <v>0.75</v>
      </c>
      <c r="I35" s="6">
        <v>0.55000000000000004</v>
      </c>
      <c r="J35" s="12">
        <f>E35/I35-1</f>
        <v>0.19999999999999996</v>
      </c>
      <c r="K35" s="11">
        <v>1.5151515151515152E-2</v>
      </c>
      <c r="L35" s="13">
        <v>54195000</v>
      </c>
      <c r="M35" s="13">
        <v>586711000</v>
      </c>
      <c r="N35" s="9" t="s">
        <v>72</v>
      </c>
      <c r="O35" s="6">
        <v>7.6923076923076916</v>
      </c>
      <c r="P35" s="12">
        <v>1.525962909485719</v>
      </c>
      <c r="Q35" s="12">
        <v>9.2370860611101543E-2</v>
      </c>
      <c r="R35" s="14">
        <v>25</v>
      </c>
    </row>
    <row r="36" spans="2:18" x14ac:dyDescent="0.5">
      <c r="B36" s="1" t="s">
        <v>281</v>
      </c>
      <c r="C36" t="s">
        <v>339</v>
      </c>
      <c r="D36" t="s">
        <v>54</v>
      </c>
      <c r="E36">
        <v>25.2</v>
      </c>
      <c r="F36" s="9" t="s">
        <v>68</v>
      </c>
      <c r="G36" s="7">
        <v>253582704640</v>
      </c>
      <c r="H36" s="6">
        <v>30</v>
      </c>
      <c r="I36" s="6">
        <v>19.239999999999998</v>
      </c>
      <c r="J36" s="12">
        <f>E36/I36-1</f>
        <v>0.30977130977130973</v>
      </c>
      <c r="K36" s="11">
        <v>4.8968253968253966E-2</v>
      </c>
      <c r="L36" s="13">
        <v>25459748125.549999</v>
      </c>
      <c r="M36" s="13">
        <v>134815560756.77</v>
      </c>
      <c r="N36" s="9" t="s">
        <v>51</v>
      </c>
      <c r="O36" s="6">
        <v>1.0683760683760684</v>
      </c>
      <c r="P36" s="12">
        <v>0.11253985620204233</v>
      </c>
      <c r="Q36" s="12">
        <v>0.18884873513587705</v>
      </c>
      <c r="R36" s="14">
        <v>26</v>
      </c>
    </row>
    <row r="37" spans="2:18" x14ac:dyDescent="0.5">
      <c r="B37" s="1" t="s">
        <v>283</v>
      </c>
      <c r="C37" t="s">
        <v>341</v>
      </c>
      <c r="D37" t="s">
        <v>50</v>
      </c>
      <c r="E37">
        <v>21.52</v>
      </c>
      <c r="F37" s="9" t="s">
        <v>68</v>
      </c>
      <c r="G37" s="7">
        <v>34345920512</v>
      </c>
      <c r="H37" s="6">
        <v>24.25</v>
      </c>
      <c r="I37" s="6">
        <v>16.18</v>
      </c>
      <c r="J37" s="12">
        <f>E37/I37-1</f>
        <v>0.33003708281829414</v>
      </c>
      <c r="K37" s="11">
        <v>3.1877323420074349E-2</v>
      </c>
      <c r="L37" s="13">
        <v>3811007000</v>
      </c>
      <c r="M37" s="13">
        <v>22856317000</v>
      </c>
      <c r="N37" s="9" t="s">
        <v>51</v>
      </c>
      <c r="O37" s="6">
        <v>1.0683760683760684</v>
      </c>
      <c r="P37" s="12">
        <v>0.12102842430347634</v>
      </c>
      <c r="Q37" s="12">
        <v>0.1667375806872122</v>
      </c>
      <c r="R37" s="14">
        <v>27</v>
      </c>
    </row>
    <row r="38" spans="2:18" x14ac:dyDescent="0.5">
      <c r="B38" s="1" t="s">
        <v>139</v>
      </c>
      <c r="C38" t="s">
        <v>186</v>
      </c>
      <c r="D38" t="s">
        <v>87</v>
      </c>
      <c r="E38">
        <v>10.91</v>
      </c>
      <c r="F38" s="9" t="s">
        <v>68</v>
      </c>
      <c r="G38" s="7">
        <v>61494390784</v>
      </c>
      <c r="H38" s="6">
        <v>14.24</v>
      </c>
      <c r="I38" s="6">
        <v>9.6199999999999992</v>
      </c>
      <c r="J38" s="12">
        <f>E38/I38-1</f>
        <v>0.1340956340956343</v>
      </c>
      <c r="K38" s="11">
        <v>3.0339138405132908E-2</v>
      </c>
      <c r="L38" s="13">
        <v>6482967000</v>
      </c>
      <c r="M38" s="13">
        <v>27483863000</v>
      </c>
      <c r="N38" s="9" t="s">
        <v>51</v>
      </c>
      <c r="O38" s="6">
        <v>1.0683760683760684</v>
      </c>
      <c r="P38" s="12">
        <v>0.10200063106143319</v>
      </c>
      <c r="Q38" s="12">
        <v>0.23588267049650188</v>
      </c>
      <c r="R38" s="14">
        <v>28</v>
      </c>
    </row>
    <row r="39" spans="2:18" x14ac:dyDescent="0.5">
      <c r="B39" s="1" t="s">
        <v>118</v>
      </c>
      <c r="C39" t="s">
        <v>158</v>
      </c>
      <c r="D39" t="s">
        <v>85</v>
      </c>
      <c r="E39">
        <v>82.05</v>
      </c>
      <c r="F39" s="9" t="s">
        <v>68</v>
      </c>
      <c r="G39" s="7">
        <v>227319496704</v>
      </c>
      <c r="H39" s="6">
        <v>106.3</v>
      </c>
      <c r="I39" s="6">
        <v>73.55</v>
      </c>
      <c r="J39" s="12">
        <f>E39/I39-1</f>
        <v>0.1155676410605031</v>
      </c>
      <c r="K39" s="11">
        <v>2.8884826325411336E-2</v>
      </c>
      <c r="L39" s="13">
        <v>22510000000</v>
      </c>
      <c r="M39" s="13">
        <v>82545000000</v>
      </c>
      <c r="N39" s="9" t="s">
        <v>51</v>
      </c>
      <c r="O39" s="6">
        <v>1.0683760683760684</v>
      </c>
      <c r="P39" s="12">
        <v>9.8082340392014897E-2</v>
      </c>
      <c r="Q39" s="12">
        <v>0.27269973953601068</v>
      </c>
      <c r="R39" s="14">
        <v>28</v>
      </c>
    </row>
    <row r="40" spans="2:18" x14ac:dyDescent="0.5">
      <c r="B40" s="1" t="s">
        <v>392</v>
      </c>
      <c r="C40" t="s">
        <v>395</v>
      </c>
      <c r="D40" t="s">
        <v>85</v>
      </c>
      <c r="E40">
        <v>16.73</v>
      </c>
      <c r="F40" s="9" t="s">
        <v>68</v>
      </c>
      <c r="G40" s="7">
        <v>43080105984</v>
      </c>
      <c r="H40" s="6">
        <v>20.9</v>
      </c>
      <c r="I40" s="6">
        <v>13.5</v>
      </c>
      <c r="J40" s="12">
        <f>E40/I40-1</f>
        <v>0.23925925925925928</v>
      </c>
      <c r="K40" s="11">
        <v>3.2456664674237898E-2</v>
      </c>
      <c r="L40" s="13">
        <v>4264779000</v>
      </c>
      <c r="M40" s="13">
        <v>26103689000</v>
      </c>
      <c r="N40" s="9" t="s">
        <v>51</v>
      </c>
      <c r="O40" s="6">
        <v>1.0683760683760684</v>
      </c>
      <c r="P40" s="12">
        <v>0.12269031002229835</v>
      </c>
      <c r="Q40" s="12">
        <v>0.16337840218675606</v>
      </c>
      <c r="R40" s="14">
        <v>28</v>
      </c>
    </row>
    <row r="41" spans="2:18" x14ac:dyDescent="0.5">
      <c r="B41" s="1" t="s">
        <v>280</v>
      </c>
      <c r="C41" t="s">
        <v>338</v>
      </c>
      <c r="D41" t="s">
        <v>151</v>
      </c>
      <c r="E41">
        <v>28.42</v>
      </c>
      <c r="F41" s="9" t="s">
        <v>68</v>
      </c>
      <c r="G41" s="7">
        <v>202661298176</v>
      </c>
      <c r="H41" s="6">
        <v>34.119999999999997</v>
      </c>
      <c r="I41" s="6">
        <v>21</v>
      </c>
      <c r="J41" s="12">
        <f>E41/I41-1</f>
        <v>0.3533333333333335</v>
      </c>
      <c r="K41" s="11">
        <v>4.6410978184377193E-2</v>
      </c>
      <c r="L41" s="13">
        <v>61181051000</v>
      </c>
      <c r="M41" s="13">
        <v>532289194000</v>
      </c>
      <c r="N41" s="9" t="s">
        <v>51</v>
      </c>
      <c r="O41" s="6">
        <v>1.0683760683760684</v>
      </c>
      <c r="P41" s="12">
        <v>0.18842847644012914</v>
      </c>
      <c r="Q41" s="12">
        <v>0.11493949471384535</v>
      </c>
      <c r="R41" s="14">
        <v>29</v>
      </c>
    </row>
    <row r="42" spans="2:18" x14ac:dyDescent="0.5">
      <c r="B42" s="1" t="s">
        <v>124</v>
      </c>
      <c r="C42" t="s">
        <v>165</v>
      </c>
      <c r="D42" t="s">
        <v>77</v>
      </c>
      <c r="E42">
        <v>6</v>
      </c>
      <c r="F42" s="9" t="s">
        <v>68</v>
      </c>
      <c r="G42" s="7">
        <v>8795828224</v>
      </c>
      <c r="H42" s="6">
        <v>6.57</v>
      </c>
      <c r="I42" s="6">
        <v>4.0199999999999996</v>
      </c>
      <c r="J42" s="12">
        <f>E42/I42-1</f>
        <v>0.49253731343283591</v>
      </c>
      <c r="K42" s="11">
        <v>9.0833333333333335E-2</v>
      </c>
      <c r="L42" s="13">
        <v>784607000</v>
      </c>
      <c r="M42" s="13">
        <v>7872586000</v>
      </c>
      <c r="N42" s="9" t="s">
        <v>68</v>
      </c>
      <c r="O42" s="6">
        <v>1</v>
      </c>
      <c r="P42" s="12">
        <v>0.2551296814877354</v>
      </c>
      <c r="Q42" s="12">
        <v>9.9663185641922489E-2</v>
      </c>
      <c r="R42" s="14">
        <v>30</v>
      </c>
    </row>
    <row r="43" spans="2:18" x14ac:dyDescent="0.5">
      <c r="B43" s="1" t="s">
        <v>276</v>
      </c>
      <c r="C43" t="s">
        <v>332</v>
      </c>
      <c r="D43" t="s">
        <v>304</v>
      </c>
      <c r="E43">
        <v>3.84</v>
      </c>
      <c r="F43" s="9" t="s">
        <v>68</v>
      </c>
      <c r="G43" s="7">
        <v>44165849088</v>
      </c>
      <c r="H43" s="6">
        <v>4.54</v>
      </c>
      <c r="I43" s="6">
        <v>2.5</v>
      </c>
      <c r="J43" s="12">
        <f>E43/I43-1</f>
        <v>0.53600000000000003</v>
      </c>
      <c r="K43" s="11">
        <v>4.9479166666666671E-2</v>
      </c>
      <c r="L43" s="13">
        <v>9414000000</v>
      </c>
      <c r="M43" s="13">
        <v>81589000000</v>
      </c>
      <c r="N43" s="9" t="s">
        <v>51</v>
      </c>
      <c r="O43" s="6">
        <v>1.0683760683760684</v>
      </c>
      <c r="P43" s="12">
        <v>0.1719947313344814</v>
      </c>
      <c r="Q43" s="12">
        <v>0.11538320116682396</v>
      </c>
      <c r="R43" s="14">
        <v>31</v>
      </c>
    </row>
    <row r="44" spans="2:18" x14ac:dyDescent="0.5">
      <c r="B44" s="1" t="s">
        <v>285</v>
      </c>
      <c r="C44" t="s">
        <v>343</v>
      </c>
      <c r="D44" t="s">
        <v>181</v>
      </c>
      <c r="E44">
        <v>6.36</v>
      </c>
      <c r="F44" s="9" t="s">
        <v>68</v>
      </c>
      <c r="G44" s="7">
        <v>2604779776</v>
      </c>
      <c r="H44" s="6">
        <v>14.18</v>
      </c>
      <c r="I44" s="6">
        <v>4.42</v>
      </c>
      <c r="J44" s="12">
        <f>E44/I44-1</f>
        <v>0.43891402714932126</v>
      </c>
      <c r="K44" s="11">
        <v>6.2893081761006289E-2</v>
      </c>
      <c r="L44" s="13">
        <v>348303000</v>
      </c>
      <c r="M44" s="13">
        <v>3681615000</v>
      </c>
      <c r="N44" s="9" t="s">
        <v>68</v>
      </c>
      <c r="O44" s="6">
        <v>1</v>
      </c>
      <c r="P44" s="12">
        <v>0.28986461862679996</v>
      </c>
      <c r="Q44" s="12">
        <v>9.4606035666412708E-2</v>
      </c>
      <c r="R44" s="14">
        <v>32</v>
      </c>
    </row>
    <row r="45" spans="2:18" x14ac:dyDescent="0.5">
      <c r="B45" s="1" t="s">
        <v>295</v>
      </c>
      <c r="C45" t="s">
        <v>353</v>
      </c>
      <c r="D45" t="s">
        <v>87</v>
      </c>
      <c r="E45">
        <v>1.17</v>
      </c>
      <c r="F45" s="9" t="s">
        <v>68</v>
      </c>
      <c r="G45" s="7">
        <v>2560561408</v>
      </c>
      <c r="H45" s="6">
        <v>1.29</v>
      </c>
      <c r="I45" s="6">
        <v>0.46</v>
      </c>
      <c r="J45" s="12">
        <f>E45/I45-1</f>
        <v>1.543478260869565</v>
      </c>
      <c r="K45" s="11">
        <v>3.1623931623931623E-2</v>
      </c>
      <c r="L45" s="13">
        <v>219938000</v>
      </c>
      <c r="M45" s="13">
        <v>1520292000</v>
      </c>
      <c r="N45" s="9" t="s">
        <v>51</v>
      </c>
      <c r="O45" s="6">
        <v>1.0683760683760684</v>
      </c>
      <c r="P45" s="12">
        <v>0.13979135540248308</v>
      </c>
      <c r="Q45" s="12">
        <v>0.14466826109721026</v>
      </c>
      <c r="R45" s="14">
        <v>32</v>
      </c>
    </row>
    <row r="46" spans="2:18" x14ac:dyDescent="0.5">
      <c r="B46" s="1" t="s">
        <v>142</v>
      </c>
      <c r="C46" t="s">
        <v>190</v>
      </c>
      <c r="D46" t="s">
        <v>109</v>
      </c>
      <c r="E46">
        <v>47.14</v>
      </c>
      <c r="F46" s="9" t="s">
        <v>68</v>
      </c>
      <c r="G46" s="7">
        <v>120622956544</v>
      </c>
      <c r="H46" s="6">
        <v>71.7</v>
      </c>
      <c r="I46" s="6">
        <v>39.549999999999997</v>
      </c>
      <c r="J46" s="12">
        <f>E46/I46-1</f>
        <v>0.19190897597977252</v>
      </c>
      <c r="K46" s="11">
        <v>3.4789987271955877E-3</v>
      </c>
      <c r="L46" s="13">
        <v>1279098000</v>
      </c>
      <c r="M46" s="13">
        <v>4811702000</v>
      </c>
      <c r="N46" s="9" t="s">
        <v>191</v>
      </c>
      <c r="O46" s="6">
        <v>8.7546153846153842</v>
      </c>
      <c r="P46" s="12">
        <v>8.2235422828385377E-2</v>
      </c>
      <c r="Q46" s="12">
        <v>0.26583067696212276</v>
      </c>
      <c r="R46" s="14">
        <v>33</v>
      </c>
    </row>
    <row r="47" spans="2:18" x14ac:dyDescent="0.5">
      <c r="B47" s="1" t="s">
        <v>113</v>
      </c>
      <c r="C47" t="s">
        <v>150</v>
      </c>
      <c r="D47" t="s">
        <v>151</v>
      </c>
      <c r="E47">
        <v>4.8</v>
      </c>
      <c r="F47" s="9" t="s">
        <v>68</v>
      </c>
      <c r="G47" s="7">
        <v>6889975296</v>
      </c>
      <c r="H47" s="6">
        <v>6.5</v>
      </c>
      <c r="I47" s="6">
        <v>2.73</v>
      </c>
      <c r="J47" s="12">
        <f>E47/I47-1</f>
        <v>0.75824175824175821</v>
      </c>
      <c r="K47" s="11">
        <v>8.1458333333333341E-2</v>
      </c>
      <c r="L47" s="13">
        <v>811880000</v>
      </c>
      <c r="M47" s="13">
        <v>5532140000</v>
      </c>
      <c r="N47" s="9" t="s">
        <v>51</v>
      </c>
      <c r="O47" s="6">
        <v>1.0683760683760684</v>
      </c>
      <c r="P47" s="12">
        <v>0.12992707900825939</v>
      </c>
      <c r="Q47" s="12">
        <v>0.14675695119790894</v>
      </c>
      <c r="R47" s="14">
        <v>34</v>
      </c>
    </row>
    <row r="48" spans="2:18" x14ac:dyDescent="0.5">
      <c r="B48" s="1" t="s">
        <v>252</v>
      </c>
      <c r="C48" t="s">
        <v>301</v>
      </c>
      <c r="D48" t="s">
        <v>302</v>
      </c>
      <c r="E48">
        <v>17.52</v>
      </c>
      <c r="F48" s="9" t="s">
        <v>68</v>
      </c>
      <c r="G48" s="7">
        <v>407144005632</v>
      </c>
      <c r="H48" s="6">
        <v>17.829999999999998</v>
      </c>
      <c r="I48" s="6">
        <v>4.58</v>
      </c>
      <c r="J48" s="12">
        <f>E48/I48-1</f>
        <v>2.8253275109170306</v>
      </c>
      <c r="K48" s="11">
        <v>1.4554794520547946E-2</v>
      </c>
      <c r="L48" s="13">
        <v>29168443138.220001</v>
      </c>
      <c r="M48" s="13">
        <v>100996030941.41</v>
      </c>
      <c r="N48" s="9" t="s">
        <v>51</v>
      </c>
      <c r="O48" s="6">
        <v>1.0683760683760684</v>
      </c>
      <c r="P48" s="12">
        <v>7.657613506553379E-2</v>
      </c>
      <c r="Q48" s="12">
        <v>0.2888078161719172</v>
      </c>
      <c r="R48" s="14">
        <v>35</v>
      </c>
    </row>
    <row r="49" spans="2:18" x14ac:dyDescent="0.5">
      <c r="B49" s="1" t="s">
        <v>278</v>
      </c>
      <c r="C49" t="s">
        <v>334</v>
      </c>
      <c r="D49" t="s">
        <v>335</v>
      </c>
      <c r="E49">
        <v>7.32</v>
      </c>
      <c r="F49" s="9" t="s">
        <v>68</v>
      </c>
      <c r="G49" s="7">
        <v>9385960448</v>
      </c>
      <c r="H49" s="6">
        <v>8.31</v>
      </c>
      <c r="I49" s="6">
        <v>3.73</v>
      </c>
      <c r="J49" s="12">
        <f>E49/I49-1</f>
        <v>0.96246648793565681</v>
      </c>
      <c r="K49" s="11">
        <v>3.5519125683060107E-2</v>
      </c>
      <c r="L49" s="13">
        <v>2871477000</v>
      </c>
      <c r="M49" s="13">
        <v>21784665000</v>
      </c>
      <c r="N49" s="9" t="s">
        <v>51</v>
      </c>
      <c r="O49" s="6">
        <v>1.0683760683760684</v>
      </c>
      <c r="P49" s="12">
        <v>0.13695104156982932</v>
      </c>
      <c r="Q49" s="12">
        <v>0.1318118502166547</v>
      </c>
      <c r="R49" s="14">
        <v>35</v>
      </c>
    </row>
    <row r="50" spans="2:18" x14ac:dyDescent="0.5">
      <c r="B50" s="1" t="s">
        <v>286</v>
      </c>
      <c r="C50" t="s">
        <v>344</v>
      </c>
      <c r="D50" t="s">
        <v>98</v>
      </c>
      <c r="E50">
        <v>4.83</v>
      </c>
      <c r="F50" s="9" t="s">
        <v>68</v>
      </c>
      <c r="G50" s="7">
        <v>33452668928</v>
      </c>
      <c r="H50" s="6">
        <v>6.15</v>
      </c>
      <c r="I50" s="6">
        <v>3.78</v>
      </c>
      <c r="J50" s="12">
        <f>E50/I50-1</f>
        <v>0.2777777777777779</v>
      </c>
      <c r="K50" s="11">
        <v>4.5341614906832299E-2</v>
      </c>
      <c r="L50" s="13">
        <v>4216348000</v>
      </c>
      <c r="M50" s="13">
        <v>46142120000</v>
      </c>
      <c r="N50" s="9" t="s">
        <v>51</v>
      </c>
      <c r="O50" s="6">
        <v>1.0683760683760684</v>
      </c>
      <c r="P50" s="12">
        <v>0.30769156408846171</v>
      </c>
      <c r="Q50" s="12">
        <v>9.1377422623841298E-2</v>
      </c>
      <c r="R50" s="14">
        <v>36</v>
      </c>
    </row>
    <row r="51" spans="2:18" x14ac:dyDescent="0.5">
      <c r="B51" s="1" t="s">
        <v>19</v>
      </c>
      <c r="C51" t="s">
        <v>70</v>
      </c>
      <c r="D51" t="s">
        <v>71</v>
      </c>
      <c r="E51">
        <v>6.77</v>
      </c>
      <c r="F51" s="9" t="s">
        <v>68</v>
      </c>
      <c r="G51" s="7">
        <v>19313604608</v>
      </c>
      <c r="H51" s="6">
        <v>7.3</v>
      </c>
      <c r="I51" s="6">
        <v>3.6</v>
      </c>
      <c r="J51" s="12">
        <f>E51/I51-1</f>
        <v>0.88055555555555531</v>
      </c>
      <c r="K51" s="11">
        <v>6.6469719350073855E-3</v>
      </c>
      <c r="L51" s="13">
        <v>259348000</v>
      </c>
      <c r="M51" s="13">
        <v>1677627000</v>
      </c>
      <c r="N51" s="9" t="s">
        <v>72</v>
      </c>
      <c r="O51" s="6">
        <v>7.6923076923076916</v>
      </c>
      <c r="P51" s="12">
        <v>0.11481912632230123</v>
      </c>
      <c r="Q51" s="12">
        <v>0.15459217096529801</v>
      </c>
      <c r="R51" s="14">
        <v>36</v>
      </c>
    </row>
    <row r="52" spans="2:18" x14ac:dyDescent="0.5">
      <c r="B52" s="1" t="s">
        <v>265</v>
      </c>
      <c r="C52" t="s">
        <v>318</v>
      </c>
      <c r="D52" t="s">
        <v>319</v>
      </c>
      <c r="E52">
        <v>7.2</v>
      </c>
      <c r="F52" s="9" t="s">
        <v>68</v>
      </c>
      <c r="G52" s="7">
        <v>13013490688</v>
      </c>
      <c r="H52" s="6">
        <v>9.7899999999999991</v>
      </c>
      <c r="I52" s="6">
        <v>5.49</v>
      </c>
      <c r="J52" s="12">
        <f>E52/I52-1</f>
        <v>0.31147540983606548</v>
      </c>
      <c r="K52" s="11">
        <v>3.6111111111111115E-2</v>
      </c>
      <c r="L52" s="13">
        <v>2897428000</v>
      </c>
      <c r="M52" s="13">
        <v>25970601000</v>
      </c>
      <c r="N52" s="9" t="s">
        <v>68</v>
      </c>
      <c r="O52" s="6">
        <v>1</v>
      </c>
      <c r="P52" s="12">
        <v>0.16161558522883676</v>
      </c>
      <c r="Q52" s="12">
        <v>0.11156568921912897</v>
      </c>
      <c r="R52" s="14">
        <v>37</v>
      </c>
    </row>
    <row r="53" spans="2:18" x14ac:dyDescent="0.5">
      <c r="B53" s="1" t="s">
        <v>275</v>
      </c>
      <c r="C53" t="s">
        <v>331</v>
      </c>
      <c r="D53" t="s">
        <v>96</v>
      </c>
      <c r="E53">
        <v>0.48</v>
      </c>
      <c r="F53" s="9" t="s">
        <v>68</v>
      </c>
      <c r="G53" s="7">
        <v>2488183040</v>
      </c>
      <c r="H53" s="6">
        <v>0.68</v>
      </c>
      <c r="I53" s="6">
        <v>0.46</v>
      </c>
      <c r="J53" s="12">
        <f>E53/I53-1</f>
        <v>4.3478260869565188E-2</v>
      </c>
      <c r="K53" s="11">
        <v>4.1666666666666671E-2</v>
      </c>
      <c r="L53" s="13">
        <v>756004000</v>
      </c>
      <c r="M53" s="13">
        <v>8813758000</v>
      </c>
      <c r="N53" s="9" t="s">
        <v>51</v>
      </c>
      <c r="O53" s="6">
        <v>1.0683760683760684</v>
      </c>
      <c r="P53" s="12">
        <v>0.31273171324163412</v>
      </c>
      <c r="Q53" s="12">
        <v>8.5775443346640556E-2</v>
      </c>
      <c r="R53" s="14">
        <v>38</v>
      </c>
    </row>
    <row r="54" spans="2:18" x14ac:dyDescent="0.5">
      <c r="B54" s="1" t="s">
        <v>292</v>
      </c>
      <c r="C54" t="s">
        <v>350</v>
      </c>
      <c r="D54" t="s">
        <v>239</v>
      </c>
      <c r="E54">
        <v>13</v>
      </c>
      <c r="F54" s="9" t="s">
        <v>68</v>
      </c>
      <c r="G54" s="7">
        <v>12881097728</v>
      </c>
      <c r="H54" s="6">
        <v>14.08</v>
      </c>
      <c r="I54" s="6">
        <v>5.65</v>
      </c>
      <c r="J54" s="12">
        <f>E54/I54-1</f>
        <v>1.3008849557522124</v>
      </c>
      <c r="K54" s="11">
        <v>2.7230769230769229E-2</v>
      </c>
      <c r="L54" s="13">
        <v>1333116000</v>
      </c>
      <c r="M54" s="13">
        <v>8019803000</v>
      </c>
      <c r="N54" s="9" t="s">
        <v>51</v>
      </c>
      <c r="O54" s="6">
        <v>1.0683760683760684</v>
      </c>
      <c r="P54" s="12">
        <v>0.11213171840546814</v>
      </c>
      <c r="Q54" s="12">
        <v>0.16622802330680692</v>
      </c>
      <c r="R54" s="14">
        <v>38</v>
      </c>
    </row>
    <row r="55" spans="2:18" x14ac:dyDescent="0.5">
      <c r="B55" s="1" t="s">
        <v>271</v>
      </c>
      <c r="C55" t="s">
        <v>326</v>
      </c>
      <c r="D55" t="s">
        <v>174</v>
      </c>
      <c r="E55">
        <v>87</v>
      </c>
      <c r="F55" s="9" t="s">
        <v>68</v>
      </c>
      <c r="G55" s="7">
        <v>21299800064</v>
      </c>
      <c r="H55" s="6">
        <v>103.1</v>
      </c>
      <c r="I55" s="6">
        <v>58.2</v>
      </c>
      <c r="J55" s="12">
        <f>E55/I55-1</f>
        <v>0.49484536082474229</v>
      </c>
      <c r="K55" s="11">
        <v>0</v>
      </c>
      <c r="L55" s="13">
        <v>526052000</v>
      </c>
      <c r="M55" s="13">
        <v>5343547000</v>
      </c>
      <c r="N55" s="9" t="s">
        <v>72</v>
      </c>
      <c r="O55" s="6">
        <v>7.6923076923076916</v>
      </c>
      <c r="P55" s="12">
        <v>0.1889649617537561</v>
      </c>
      <c r="Q55" s="12">
        <v>9.8446219337080781E-2</v>
      </c>
      <c r="R55" s="14">
        <v>39</v>
      </c>
    </row>
    <row r="56" spans="2:18" x14ac:dyDescent="0.5">
      <c r="B56" s="1" t="s">
        <v>269</v>
      </c>
      <c r="C56" t="s">
        <v>324</v>
      </c>
      <c r="D56" t="s">
        <v>306</v>
      </c>
      <c r="E56">
        <v>4.41</v>
      </c>
      <c r="F56" s="9" t="s">
        <v>68</v>
      </c>
      <c r="G56" s="7">
        <v>4075466240</v>
      </c>
      <c r="H56" s="6">
        <v>5.59</v>
      </c>
      <c r="I56" s="6">
        <v>3.5</v>
      </c>
      <c r="J56" s="12">
        <f>E56/I56-1</f>
        <v>0.26</v>
      </c>
      <c r="K56" s="11">
        <v>3.5147392290249435E-2</v>
      </c>
      <c r="L56" s="13">
        <v>754477000</v>
      </c>
      <c r="M56" s="13">
        <v>11677999000</v>
      </c>
      <c r="N56" s="9" t="s">
        <v>68</v>
      </c>
      <c r="O56" s="6">
        <v>1</v>
      </c>
      <c r="P56" s="12">
        <v>0.4849268818519622</v>
      </c>
      <c r="Q56" s="12">
        <v>6.460670188445812E-2</v>
      </c>
      <c r="R56" s="14">
        <v>40</v>
      </c>
    </row>
    <row r="57" spans="2:18" x14ac:dyDescent="0.5">
      <c r="B57" s="1" t="s">
        <v>37</v>
      </c>
      <c r="C57" t="s">
        <v>103</v>
      </c>
      <c r="D57" t="s">
        <v>104</v>
      </c>
      <c r="E57">
        <v>5.18</v>
      </c>
      <c r="F57" s="9" t="s">
        <v>68</v>
      </c>
      <c r="G57" s="7">
        <v>4017588224</v>
      </c>
      <c r="H57" s="6">
        <v>8.83</v>
      </c>
      <c r="I57" s="6">
        <v>4.28</v>
      </c>
      <c r="J57" s="12">
        <f>E57/I57-1</f>
        <v>0.21028037383177556</v>
      </c>
      <c r="K57" s="11">
        <v>3.2818532818532822E-2</v>
      </c>
      <c r="L57" s="13">
        <v>437453000</v>
      </c>
      <c r="M57" s="13">
        <v>4911072000</v>
      </c>
      <c r="N57" s="9" t="s">
        <v>68</v>
      </c>
      <c r="O57" s="6">
        <v>1</v>
      </c>
      <c r="P57" s="12">
        <v>0.25313527632771327</v>
      </c>
      <c r="Q57" s="12">
        <v>8.9074849645861431E-2</v>
      </c>
      <c r="R57" s="14">
        <v>41</v>
      </c>
    </row>
    <row r="58" spans="2:18" x14ac:dyDescent="0.5">
      <c r="B58" s="1" t="s">
        <v>289</v>
      </c>
      <c r="C58" t="s">
        <v>347</v>
      </c>
      <c r="D58" t="s">
        <v>71</v>
      </c>
      <c r="E58">
        <v>3.62</v>
      </c>
      <c r="F58" s="9" t="s">
        <v>68</v>
      </c>
      <c r="G58" s="7">
        <v>2078531456</v>
      </c>
      <c r="H58" s="6">
        <v>4.84</v>
      </c>
      <c r="I58" s="6">
        <v>2.8</v>
      </c>
      <c r="J58" s="12">
        <f>E58/I58-1</f>
        <v>0.29285714285714293</v>
      </c>
      <c r="K58" s="11">
        <v>7.18232044198895E-2</v>
      </c>
      <c r="L58" s="13">
        <v>392836000</v>
      </c>
      <c r="M58" s="13">
        <v>3201831000</v>
      </c>
      <c r="N58" s="9" t="s">
        <v>68</v>
      </c>
      <c r="O58" s="6">
        <v>1</v>
      </c>
      <c r="P58" s="12">
        <v>0.12445490799434364</v>
      </c>
      <c r="Q58" s="12">
        <v>0.12269104771613493</v>
      </c>
      <c r="R58" s="14">
        <v>42</v>
      </c>
    </row>
    <row r="59" spans="2:18" x14ac:dyDescent="0.5">
      <c r="B59" s="1" t="s">
        <v>273</v>
      </c>
      <c r="C59" t="s">
        <v>329</v>
      </c>
      <c r="D59" t="s">
        <v>87</v>
      </c>
      <c r="E59">
        <v>11.3</v>
      </c>
      <c r="F59" s="9" t="s">
        <v>68</v>
      </c>
      <c r="G59" s="7">
        <v>2652064768</v>
      </c>
      <c r="H59" s="6">
        <v>17</v>
      </c>
      <c r="I59" s="6">
        <v>8</v>
      </c>
      <c r="J59" s="12">
        <f>E59/I59-1</f>
        <v>0.41250000000000009</v>
      </c>
      <c r="K59" s="11">
        <v>4.2477876106194683E-2</v>
      </c>
      <c r="L59" s="13">
        <v>244811000</v>
      </c>
      <c r="M59" s="13">
        <v>2904223000</v>
      </c>
      <c r="N59" s="9" t="s">
        <v>68</v>
      </c>
      <c r="O59" s="6">
        <v>1</v>
      </c>
      <c r="P59" s="12">
        <v>0.25781281803910383</v>
      </c>
      <c r="Q59" s="12">
        <v>8.4294835486117978E-2</v>
      </c>
      <c r="R59" s="14">
        <v>42</v>
      </c>
    </row>
    <row r="60" spans="2:18" x14ac:dyDescent="0.5">
      <c r="B60" s="1" t="s">
        <v>272</v>
      </c>
      <c r="C60" t="s">
        <v>327</v>
      </c>
      <c r="D60" t="s">
        <v>328</v>
      </c>
      <c r="E60">
        <v>7.61</v>
      </c>
      <c r="F60" s="9" t="s">
        <v>68</v>
      </c>
      <c r="G60" s="7">
        <v>15435193344</v>
      </c>
      <c r="H60" s="6">
        <v>8.3000000000000007</v>
      </c>
      <c r="I60" s="6">
        <v>5.31</v>
      </c>
      <c r="J60" s="12">
        <f>E60/I60-1</f>
        <v>0.43314500941619594</v>
      </c>
      <c r="K60" s="11">
        <v>3.5479632063074903E-2</v>
      </c>
      <c r="L60" s="13">
        <v>1537565000</v>
      </c>
      <c r="M60" s="13">
        <v>14484935000</v>
      </c>
      <c r="N60" s="9" t="s">
        <v>51</v>
      </c>
      <c r="O60" s="6">
        <v>1.0683760683760684</v>
      </c>
      <c r="P60" s="12">
        <v>0.14866851382949686</v>
      </c>
      <c r="Q60" s="12">
        <v>0.10614925092863724</v>
      </c>
      <c r="R60" s="14">
        <v>42</v>
      </c>
    </row>
    <row r="61" spans="2:18" x14ac:dyDescent="0.5">
      <c r="B61" s="1" t="s">
        <v>25</v>
      </c>
      <c r="C61" t="s">
        <v>84</v>
      </c>
      <c r="D61" t="s">
        <v>50</v>
      </c>
      <c r="E61">
        <v>9.99</v>
      </c>
      <c r="F61" s="9" t="s">
        <v>68</v>
      </c>
      <c r="G61" s="7">
        <v>12441735168</v>
      </c>
      <c r="H61" s="6">
        <v>11.68</v>
      </c>
      <c r="I61" s="6">
        <v>3.89</v>
      </c>
      <c r="J61" s="12">
        <f>E61/I61-1</f>
        <v>1.5681233933161955</v>
      </c>
      <c r="K61" s="11">
        <v>1.4114114114114113E-2</v>
      </c>
      <c r="L61" s="13">
        <v>921702000</v>
      </c>
      <c r="M61" s="13">
        <v>5262544000</v>
      </c>
      <c r="N61" s="9" t="s">
        <v>51</v>
      </c>
      <c r="O61" s="6">
        <v>1.0683760683760684</v>
      </c>
      <c r="P61" s="12">
        <v>9.8621948064081533E-2</v>
      </c>
      <c r="Q61" s="12">
        <v>0.17514380877385538</v>
      </c>
      <c r="R61" s="14">
        <v>43</v>
      </c>
    </row>
    <row r="62" spans="2:18" x14ac:dyDescent="0.5">
      <c r="B62" s="1" t="s">
        <v>138</v>
      </c>
      <c r="C62" t="s">
        <v>184</v>
      </c>
      <c r="D62" t="s">
        <v>185</v>
      </c>
      <c r="E62">
        <v>344.2</v>
      </c>
      <c r="F62" s="9" t="s">
        <v>68</v>
      </c>
      <c r="G62" s="7">
        <v>124612616192</v>
      </c>
      <c r="H62" s="6">
        <v>421.4</v>
      </c>
      <c r="I62" s="6">
        <v>324</v>
      </c>
      <c r="J62" s="12">
        <f>E62/I62-1</f>
        <v>6.2345679012345556E-2</v>
      </c>
      <c r="K62" s="11">
        <v>2.3242300987797795E-3</v>
      </c>
      <c r="L62" s="13">
        <v>1200000000</v>
      </c>
      <c r="M62" s="13">
        <v>5855000000</v>
      </c>
      <c r="N62" s="9" t="s">
        <v>72</v>
      </c>
      <c r="O62" s="6">
        <v>7.6923076923076916</v>
      </c>
      <c r="P62" s="12">
        <v>6.7092930024194045E-2</v>
      </c>
      <c r="Q62" s="12">
        <v>0.20495303159692571</v>
      </c>
      <c r="R62" s="14">
        <v>44</v>
      </c>
    </row>
    <row r="63" spans="2:18" x14ac:dyDescent="0.5">
      <c r="B63" s="1" t="s">
        <v>35</v>
      </c>
      <c r="C63" t="s">
        <v>100</v>
      </c>
      <c r="D63" t="s">
        <v>101</v>
      </c>
      <c r="E63">
        <v>435.4</v>
      </c>
      <c r="F63" s="9" t="s">
        <v>68</v>
      </c>
      <c r="G63" s="7">
        <v>550305267712</v>
      </c>
      <c r="H63" s="6">
        <v>466</v>
      </c>
      <c r="I63" s="6">
        <v>271</v>
      </c>
      <c r="J63" s="12">
        <f>E63/I63-1</f>
        <v>0.60664206642066421</v>
      </c>
      <c r="K63" s="11">
        <v>2.5034451079467158E-2</v>
      </c>
      <c r="L63" s="13">
        <v>20744000000</v>
      </c>
      <c r="M63" s="13">
        <v>53852000000</v>
      </c>
      <c r="N63" s="9" t="s">
        <v>68</v>
      </c>
      <c r="O63" s="6">
        <v>1</v>
      </c>
      <c r="P63" s="12">
        <v>4.971787220104066E-2</v>
      </c>
      <c r="Q63" s="12">
        <v>0.38520389214885242</v>
      </c>
      <c r="R63" s="14">
        <v>45</v>
      </c>
    </row>
    <row r="64" spans="2:18" x14ac:dyDescent="0.5">
      <c r="B64" s="1" t="s">
        <v>267</v>
      </c>
      <c r="C64" t="s">
        <v>321</v>
      </c>
      <c r="D64" t="s">
        <v>322</v>
      </c>
      <c r="E64">
        <v>8.31</v>
      </c>
      <c r="F64" s="9" t="s">
        <v>68</v>
      </c>
      <c r="G64" s="7">
        <v>20833970176</v>
      </c>
      <c r="H64" s="6">
        <v>10.14</v>
      </c>
      <c r="I64" s="6">
        <v>4.32</v>
      </c>
      <c r="J64" s="12">
        <f>E64/I64-1</f>
        <v>0.92361111111111116</v>
      </c>
      <c r="K64" s="11">
        <v>4.7894103489771363E-2</v>
      </c>
      <c r="L64" s="13">
        <v>3040816000</v>
      </c>
      <c r="M64" s="13">
        <v>29707522000</v>
      </c>
      <c r="N64" s="9" t="s">
        <v>51</v>
      </c>
      <c r="O64" s="6">
        <v>1.0683760683760684</v>
      </c>
      <c r="P64" s="12">
        <v>0.14504240887948347</v>
      </c>
      <c r="Q64" s="12">
        <v>0.102358453189061</v>
      </c>
      <c r="R64" s="14">
        <v>46</v>
      </c>
    </row>
    <row r="65" spans="2:18" x14ac:dyDescent="0.5">
      <c r="B65" s="1" t="s">
        <v>119</v>
      </c>
      <c r="C65" t="s">
        <v>159</v>
      </c>
      <c r="D65" t="s">
        <v>85</v>
      </c>
      <c r="E65">
        <v>226.6</v>
      </c>
      <c r="F65" s="9" t="s">
        <v>68</v>
      </c>
      <c r="G65" s="7">
        <v>301386563584</v>
      </c>
      <c r="H65" s="6">
        <v>339.8</v>
      </c>
      <c r="I65" s="6">
        <v>67.5</v>
      </c>
      <c r="J65" s="12">
        <f>E65/I65-1</f>
        <v>2.357037037037037</v>
      </c>
      <c r="K65" s="11">
        <v>3.5966460723742275E-3</v>
      </c>
      <c r="L65" s="13">
        <v>4408440000</v>
      </c>
      <c r="M65" s="13">
        <v>10683505000</v>
      </c>
      <c r="N65" s="9" t="s">
        <v>51</v>
      </c>
      <c r="O65" s="6">
        <v>1.0683760683760684</v>
      </c>
      <c r="P65" s="12">
        <v>1.5917625553938136E-2</v>
      </c>
      <c r="Q65" s="12">
        <v>0.41263985929711272</v>
      </c>
      <c r="R65" s="14">
        <v>47</v>
      </c>
    </row>
    <row r="66" spans="2:18" x14ac:dyDescent="0.5">
      <c r="B66" s="1" t="s">
        <v>270</v>
      </c>
      <c r="C66" t="s">
        <v>325</v>
      </c>
      <c r="D66" t="s">
        <v>308</v>
      </c>
      <c r="E66">
        <v>7.43</v>
      </c>
      <c r="F66" s="9" t="s">
        <v>68</v>
      </c>
      <c r="G66" s="7">
        <v>32647598080</v>
      </c>
      <c r="H66" s="6">
        <v>7.52</v>
      </c>
      <c r="I66" s="6">
        <v>4.8</v>
      </c>
      <c r="J66" s="12">
        <f>E66/I66-1</f>
        <v>0.54791666666666661</v>
      </c>
      <c r="K66" s="11">
        <v>4.952893674293405E-2</v>
      </c>
      <c r="L66" s="13">
        <v>2919921000</v>
      </c>
      <c r="M66" s="13">
        <v>31662140000</v>
      </c>
      <c r="N66" s="9" t="s">
        <v>51</v>
      </c>
      <c r="O66" s="6">
        <v>1.0683760683760684</v>
      </c>
      <c r="P66" s="12">
        <v>0.14829040053868472</v>
      </c>
      <c r="Q66" s="12">
        <v>9.2221214358852555E-2</v>
      </c>
      <c r="R66" s="14">
        <v>48</v>
      </c>
    </row>
    <row r="67" spans="2:18" x14ac:dyDescent="0.5">
      <c r="B67" s="1" t="s">
        <v>133</v>
      </c>
      <c r="C67" t="s">
        <v>176</v>
      </c>
      <c r="D67" t="s">
        <v>177</v>
      </c>
      <c r="E67">
        <v>32.840000000000003</v>
      </c>
      <c r="F67" s="9" t="s">
        <v>68</v>
      </c>
      <c r="G67" s="7">
        <v>905859760128</v>
      </c>
      <c r="H67" s="6">
        <v>36.92</v>
      </c>
      <c r="I67" s="6">
        <v>13.86</v>
      </c>
      <c r="J67" s="12">
        <f>E67/I67-1</f>
        <v>1.3694083694083696</v>
      </c>
      <c r="K67" s="11">
        <v>1.5225334957369061E-2</v>
      </c>
      <c r="L67" s="13">
        <v>52374992116</v>
      </c>
      <c r="M67" s="13">
        <v>269573093476</v>
      </c>
      <c r="N67" s="9" t="s">
        <v>51</v>
      </c>
      <c r="O67" s="6">
        <v>1.0683760683760684</v>
      </c>
      <c r="P67" s="12">
        <v>5.4318722819145737E-2</v>
      </c>
      <c r="Q67" s="12">
        <v>0.19428864891763736</v>
      </c>
      <c r="R67" s="14">
        <v>49</v>
      </c>
    </row>
    <row r="68" spans="2:18" x14ac:dyDescent="0.5">
      <c r="B68" s="1" t="s">
        <v>444</v>
      </c>
      <c r="C68" t="s">
        <v>451</v>
      </c>
      <c r="D68" t="s">
        <v>452</v>
      </c>
      <c r="E68">
        <v>103.2</v>
      </c>
      <c r="F68" s="9" t="s">
        <v>68</v>
      </c>
      <c r="G68" s="7">
        <v>630228713472</v>
      </c>
      <c r="H68" s="6">
        <v>205.4</v>
      </c>
      <c r="I68" s="6">
        <v>94.05</v>
      </c>
      <c r="J68" s="12">
        <f>E68/I68-1</f>
        <v>9.7288676236044758E-2</v>
      </c>
      <c r="K68" s="11">
        <v>0</v>
      </c>
      <c r="L68" s="13">
        <v>39322363000</v>
      </c>
      <c r="M68" s="13">
        <v>228415685000</v>
      </c>
      <c r="N68" s="9" t="s">
        <v>51</v>
      </c>
      <c r="O68" s="6">
        <v>1.0683760683760684</v>
      </c>
      <c r="P68" s="12">
        <v>6.7730667727588512E-2</v>
      </c>
      <c r="Q68" s="12">
        <v>0.17215263916748974</v>
      </c>
      <c r="R68" s="14">
        <v>49</v>
      </c>
    </row>
    <row r="69" spans="2:18" x14ac:dyDescent="0.5">
      <c r="B69" s="1" t="s">
        <v>137</v>
      </c>
      <c r="C69" t="s">
        <v>182</v>
      </c>
      <c r="D69" t="s">
        <v>183</v>
      </c>
      <c r="E69">
        <v>38.08</v>
      </c>
      <c r="F69" s="9" t="s">
        <v>68</v>
      </c>
      <c r="G69" s="7">
        <v>26339176448</v>
      </c>
      <c r="H69" s="6">
        <v>48.1</v>
      </c>
      <c r="I69" s="6">
        <v>19.82</v>
      </c>
      <c r="J69" s="12">
        <f>E69/I69-1</f>
        <v>0.92129162462159431</v>
      </c>
      <c r="K69" s="11">
        <v>1.3130252100840336E-2</v>
      </c>
      <c r="L69" s="13">
        <v>1323087000</v>
      </c>
      <c r="M69" s="13">
        <v>5952918000</v>
      </c>
      <c r="N69" s="9" t="s">
        <v>68</v>
      </c>
      <c r="O69" s="6">
        <v>1</v>
      </c>
      <c r="P69" s="12">
        <v>4.5937283773309752E-2</v>
      </c>
      <c r="Q69" s="12">
        <v>0.222258562943417</v>
      </c>
      <c r="R69" s="14">
        <v>50</v>
      </c>
    </row>
    <row r="70" spans="2:18" x14ac:dyDescent="0.5">
      <c r="B70" s="1" t="s">
        <v>371</v>
      </c>
      <c r="C70" t="s">
        <v>373</v>
      </c>
      <c r="D70" t="s">
        <v>174</v>
      </c>
      <c r="E70">
        <v>11.09</v>
      </c>
      <c r="F70" s="9" t="s">
        <v>68</v>
      </c>
      <c r="G70" s="7">
        <v>2984079616</v>
      </c>
      <c r="H70" s="6">
        <v>15.58</v>
      </c>
      <c r="I70" s="6">
        <v>8.3000000000000007</v>
      </c>
      <c r="J70" s="12">
        <f>E70/I70-1</f>
        <v>0.33614457831325284</v>
      </c>
      <c r="K70" s="11">
        <v>0</v>
      </c>
      <c r="L70" s="13">
        <v>-481083000</v>
      </c>
      <c r="M70" s="13">
        <v>4136123000</v>
      </c>
      <c r="N70" s="9" t="s">
        <v>51</v>
      </c>
      <c r="O70" s="6">
        <v>1.0683760683760684</v>
      </c>
      <c r="P70" s="12">
        <v>0.40531691479812915</v>
      </c>
      <c r="Q70" s="12">
        <v>-0.11631254679805218</v>
      </c>
      <c r="R70" s="14">
        <v>51</v>
      </c>
    </row>
    <row r="71" spans="2:18" x14ac:dyDescent="0.5">
      <c r="B71" s="1" t="s">
        <v>31</v>
      </c>
      <c r="C71" t="s">
        <v>94</v>
      </c>
      <c r="D71" t="s">
        <v>75</v>
      </c>
      <c r="E71">
        <v>3.08</v>
      </c>
      <c r="F71" s="9" t="s">
        <v>68</v>
      </c>
      <c r="G71" s="7">
        <v>19099764736</v>
      </c>
      <c r="H71" s="6">
        <v>4.13</v>
      </c>
      <c r="I71" s="6">
        <v>2.2200000000000002</v>
      </c>
      <c r="J71" s="12">
        <f>E71/I71-1</f>
        <v>0.38738738738738721</v>
      </c>
      <c r="K71" s="11">
        <v>4.8701298701298697E-2</v>
      </c>
      <c r="L71" s="13">
        <v>1677300000</v>
      </c>
      <c r="M71" s="13">
        <v>11188800000</v>
      </c>
      <c r="N71" s="9" t="s">
        <v>51</v>
      </c>
      <c r="O71" s="6">
        <v>1.0683760683760684</v>
      </c>
      <c r="P71" s="12">
        <v>8.6660316051956815E-2</v>
      </c>
      <c r="Q71" s="12">
        <v>0.1499088374088374</v>
      </c>
      <c r="R71" s="14">
        <v>51</v>
      </c>
    </row>
    <row r="72" spans="2:18" x14ac:dyDescent="0.5">
      <c r="B72" s="1" t="s">
        <v>264</v>
      </c>
      <c r="C72" t="s">
        <v>317</v>
      </c>
      <c r="D72" t="s">
        <v>75</v>
      </c>
      <c r="E72">
        <v>7.79</v>
      </c>
      <c r="F72" s="9" t="s">
        <v>68</v>
      </c>
      <c r="G72" s="7">
        <v>5311721984</v>
      </c>
      <c r="H72" s="6">
        <v>10.98</v>
      </c>
      <c r="I72" s="6">
        <v>6.56</v>
      </c>
      <c r="J72" s="12">
        <f>E72/I72-1</f>
        <v>0.1875</v>
      </c>
      <c r="K72" s="11">
        <v>4.5827984595635425E-2</v>
      </c>
      <c r="L72" s="13">
        <v>618033000</v>
      </c>
      <c r="M72" s="13">
        <v>5033024000</v>
      </c>
      <c r="N72" s="9" t="s">
        <v>51</v>
      </c>
      <c r="O72" s="6">
        <v>1.0683760683760684</v>
      </c>
      <c r="P72" s="12">
        <v>0.1043169064803612</v>
      </c>
      <c r="Q72" s="12">
        <v>0.12279555988606453</v>
      </c>
      <c r="R72" s="14">
        <v>52</v>
      </c>
    </row>
    <row r="73" spans="2:18" x14ac:dyDescent="0.5">
      <c r="B73" s="1" t="s">
        <v>125</v>
      </c>
      <c r="C73" t="s">
        <v>166</v>
      </c>
      <c r="D73" t="s">
        <v>167</v>
      </c>
      <c r="E73">
        <v>27.58</v>
      </c>
      <c r="F73" s="9" t="s">
        <v>68</v>
      </c>
      <c r="G73" s="7">
        <v>31375583232</v>
      </c>
      <c r="H73" s="6">
        <v>28.26</v>
      </c>
      <c r="I73" s="6">
        <v>19.52</v>
      </c>
      <c r="J73" s="12">
        <f>E73/I73-1</f>
        <v>0.41290983606557363</v>
      </c>
      <c r="K73" s="11">
        <v>5.0761421319796954E-2</v>
      </c>
      <c r="L73" s="13">
        <v>3446618000</v>
      </c>
      <c r="M73" s="13">
        <v>34010798000</v>
      </c>
      <c r="N73" s="9" t="s">
        <v>51</v>
      </c>
      <c r="O73" s="6">
        <v>1.0683760683760684</v>
      </c>
      <c r="P73" s="12">
        <v>0.12213929156053896</v>
      </c>
      <c r="Q73" s="12">
        <v>0.10133893359397213</v>
      </c>
      <c r="R73" s="14">
        <v>52</v>
      </c>
    </row>
    <row r="74" spans="2:18" x14ac:dyDescent="0.5">
      <c r="B74" s="1" t="s">
        <v>115</v>
      </c>
      <c r="C74" t="s">
        <v>154</v>
      </c>
      <c r="D74" t="s">
        <v>155</v>
      </c>
      <c r="E74">
        <v>70.5</v>
      </c>
      <c r="F74" s="9" t="s">
        <v>68</v>
      </c>
      <c r="G74" s="7">
        <v>192564183040</v>
      </c>
      <c r="H74" s="6">
        <v>86</v>
      </c>
      <c r="I74" s="6">
        <v>44.25</v>
      </c>
      <c r="J74" s="12">
        <f>E74/I74-1</f>
        <v>0.59322033898305082</v>
      </c>
      <c r="K74" s="11">
        <v>3.8297872340425532E-2</v>
      </c>
      <c r="L74" s="13">
        <v>8955723006</v>
      </c>
      <c r="M74" s="13">
        <v>47495870210</v>
      </c>
      <c r="N74" s="9" t="s">
        <v>51</v>
      </c>
      <c r="O74" s="6">
        <v>1.0683760683760684</v>
      </c>
      <c r="P74" s="12">
        <v>5.0754785491247789E-2</v>
      </c>
      <c r="Q74" s="12">
        <v>0.18855793075067021</v>
      </c>
      <c r="R74" s="14">
        <v>53</v>
      </c>
    </row>
    <row r="75" spans="2:18" x14ac:dyDescent="0.5">
      <c r="B75" s="1" t="s">
        <v>115</v>
      </c>
      <c r="C75" t="s">
        <v>154</v>
      </c>
      <c r="D75" t="s">
        <v>155</v>
      </c>
      <c r="E75">
        <v>70.5</v>
      </c>
      <c r="F75" s="9" t="s">
        <v>68</v>
      </c>
      <c r="G75" s="7">
        <v>192564183040</v>
      </c>
      <c r="H75" s="6">
        <v>86</v>
      </c>
      <c r="I75" s="6">
        <v>44.25</v>
      </c>
      <c r="J75" s="12">
        <f>E75/I75-1</f>
        <v>0.59322033898305082</v>
      </c>
      <c r="K75" s="11">
        <v>3.8297872340425532E-2</v>
      </c>
      <c r="L75" s="13">
        <v>8955723006</v>
      </c>
      <c r="M75" s="13">
        <v>47495870210</v>
      </c>
      <c r="N75" s="9" t="s">
        <v>51</v>
      </c>
      <c r="O75" s="6">
        <v>1.0683760683760684</v>
      </c>
      <c r="P75" s="12">
        <v>5.0754785491247789E-2</v>
      </c>
      <c r="Q75" s="12">
        <v>0.18855793075067021</v>
      </c>
      <c r="R75" s="14">
        <v>53</v>
      </c>
    </row>
    <row r="76" spans="2:18" x14ac:dyDescent="0.5">
      <c r="B76" s="1" t="s">
        <v>126</v>
      </c>
      <c r="C76" t="s">
        <v>168</v>
      </c>
      <c r="D76" t="s">
        <v>109</v>
      </c>
      <c r="E76">
        <v>15.34</v>
      </c>
      <c r="F76" s="9" t="s">
        <v>68</v>
      </c>
      <c r="G76" s="7">
        <v>151328260096</v>
      </c>
      <c r="H76" s="6">
        <v>16.95</v>
      </c>
      <c r="I76" s="6">
        <v>6.43</v>
      </c>
      <c r="J76" s="12">
        <f>E76/I76-1</f>
        <v>1.385692068429238</v>
      </c>
      <c r="K76" s="11">
        <v>3.3898305084745763E-2</v>
      </c>
      <c r="L76" s="13">
        <v>8510100000</v>
      </c>
      <c r="M76" s="13">
        <v>46117200000</v>
      </c>
      <c r="N76" s="9" t="s">
        <v>68</v>
      </c>
      <c r="O76" s="6">
        <v>1</v>
      </c>
      <c r="P76" s="12">
        <v>5.1722138535388922E-2</v>
      </c>
      <c r="Q76" s="12">
        <v>0.18453201842262756</v>
      </c>
      <c r="R76" s="14">
        <v>54</v>
      </c>
    </row>
    <row r="77" spans="2:18" x14ac:dyDescent="0.5">
      <c r="B77" s="1" t="s">
        <v>135</v>
      </c>
      <c r="C77" t="s">
        <v>179</v>
      </c>
      <c r="D77" t="s">
        <v>77</v>
      </c>
      <c r="E77">
        <v>15.42</v>
      </c>
      <c r="F77" s="9" t="s">
        <v>68</v>
      </c>
      <c r="G77" s="7">
        <v>64733298688</v>
      </c>
      <c r="H77" s="6">
        <v>16.3</v>
      </c>
      <c r="I77" s="6">
        <v>11.42</v>
      </c>
      <c r="J77" s="12">
        <f>E77/I77-1</f>
        <v>0.35026269702276713</v>
      </c>
      <c r="K77" s="11">
        <v>5.745784695201038E-2</v>
      </c>
      <c r="L77" s="13">
        <v>11996000000</v>
      </c>
      <c r="M77" s="13">
        <v>138296000000</v>
      </c>
      <c r="N77" s="9" t="s">
        <v>68</v>
      </c>
      <c r="O77" s="6">
        <v>1</v>
      </c>
      <c r="P77" s="12">
        <v>0.13651784119628829</v>
      </c>
      <c r="Q77" s="12">
        <v>8.6741482038526066E-2</v>
      </c>
      <c r="R77" s="14">
        <v>55</v>
      </c>
    </row>
    <row r="78" spans="2:18" x14ac:dyDescent="0.5">
      <c r="B78" s="1" t="s">
        <v>135</v>
      </c>
      <c r="C78" t="s">
        <v>179</v>
      </c>
      <c r="D78" t="s">
        <v>77</v>
      </c>
      <c r="E78">
        <v>15.42</v>
      </c>
      <c r="F78" s="9" t="s">
        <v>68</v>
      </c>
      <c r="G78" s="7">
        <v>64733298688</v>
      </c>
      <c r="H78" s="6">
        <v>16.3</v>
      </c>
      <c r="I78" s="6">
        <v>11.42</v>
      </c>
      <c r="J78" s="12">
        <f>E78/I78-1</f>
        <v>0.35026269702276713</v>
      </c>
      <c r="K78" s="11">
        <v>5.745784695201038E-2</v>
      </c>
      <c r="L78" s="13">
        <v>11996000000</v>
      </c>
      <c r="M78" s="13">
        <v>138296000000</v>
      </c>
      <c r="N78" s="9" t="s">
        <v>68</v>
      </c>
      <c r="O78" s="6">
        <v>1</v>
      </c>
      <c r="P78" s="12">
        <v>0.13651784119628829</v>
      </c>
      <c r="Q78" s="12">
        <v>8.6741482038526066E-2</v>
      </c>
      <c r="R78" s="14">
        <v>55</v>
      </c>
    </row>
    <row r="79" spans="2:18" x14ac:dyDescent="0.5">
      <c r="B79" s="1" t="s">
        <v>130</v>
      </c>
      <c r="C79" t="s">
        <v>173</v>
      </c>
      <c r="D79" t="s">
        <v>174</v>
      </c>
      <c r="E79">
        <v>658</v>
      </c>
      <c r="F79" s="9" t="s">
        <v>68</v>
      </c>
      <c r="G79" s="7">
        <v>5961064906752</v>
      </c>
      <c r="H79" s="6">
        <v>683</v>
      </c>
      <c r="I79" s="6">
        <v>364.8</v>
      </c>
      <c r="J79" s="12">
        <f>E79/I79-1</f>
        <v>0.80372807017543857</v>
      </c>
      <c r="K79" s="11">
        <v>6.4270516717325234E-3</v>
      </c>
      <c r="L79" s="13">
        <v>253932000000</v>
      </c>
      <c r="M79" s="13">
        <v>1312163000000</v>
      </c>
      <c r="N79" s="9" t="s">
        <v>51</v>
      </c>
      <c r="O79" s="6">
        <v>1.0683760683760684</v>
      </c>
      <c r="P79" s="12">
        <v>4.3742540815768942E-2</v>
      </c>
      <c r="Q79" s="12">
        <v>0.19352168899747973</v>
      </c>
      <c r="R79" s="14">
        <v>56</v>
      </c>
    </row>
    <row r="80" spans="2:18" x14ac:dyDescent="0.5">
      <c r="B80" s="1" t="s">
        <v>277</v>
      </c>
      <c r="C80" t="s">
        <v>333</v>
      </c>
      <c r="D80" t="s">
        <v>83</v>
      </c>
      <c r="E80">
        <v>3.21</v>
      </c>
      <c r="F80" s="9" t="s">
        <v>68</v>
      </c>
      <c r="G80" s="7">
        <v>13739121664</v>
      </c>
      <c r="H80" s="6">
        <v>3.55</v>
      </c>
      <c r="I80" s="6">
        <v>1.39</v>
      </c>
      <c r="J80" s="12">
        <f>E80/I80-1</f>
        <v>1.3093525179856118</v>
      </c>
      <c r="K80" s="11">
        <v>3.8006230529595016E-2</v>
      </c>
      <c r="L80" s="13">
        <v>1230913000</v>
      </c>
      <c r="M80" s="13">
        <v>10701340000</v>
      </c>
      <c r="N80" s="9" t="s">
        <v>51</v>
      </c>
      <c r="O80" s="6">
        <v>1.0683760683760684</v>
      </c>
      <c r="P80" s="12">
        <v>0.10567973985195425</v>
      </c>
      <c r="Q80" s="12">
        <v>0.11502419323187564</v>
      </c>
      <c r="R80" s="14">
        <v>57</v>
      </c>
    </row>
    <row r="81" spans="2:18" x14ac:dyDescent="0.5">
      <c r="B81" s="1" t="s">
        <v>263</v>
      </c>
      <c r="C81" t="s">
        <v>316</v>
      </c>
      <c r="D81" t="s">
        <v>241</v>
      </c>
      <c r="E81">
        <v>8.23</v>
      </c>
      <c r="F81" s="9" t="s">
        <v>68</v>
      </c>
      <c r="G81" s="7">
        <v>108782755840</v>
      </c>
      <c r="H81" s="6">
        <v>9.83</v>
      </c>
      <c r="I81" s="6">
        <v>6.84</v>
      </c>
      <c r="J81" s="12">
        <f>E81/I81-1</f>
        <v>0.20321637426900585</v>
      </c>
      <c r="K81" s="11">
        <v>6.9258809234507895E-3</v>
      </c>
      <c r="L81" s="13">
        <v>1187000000</v>
      </c>
      <c r="M81" s="13">
        <v>10278000000</v>
      </c>
      <c r="N81" s="9" t="s">
        <v>72</v>
      </c>
      <c r="O81" s="6">
        <v>7.6923076923076916</v>
      </c>
      <c r="P81" s="12">
        <v>0.10340839777234986</v>
      </c>
      <c r="Q81" s="12">
        <v>0.1154893948238957</v>
      </c>
      <c r="R81" s="14">
        <v>57</v>
      </c>
    </row>
    <row r="82" spans="2:18" x14ac:dyDescent="0.5">
      <c r="B82" s="1" t="s">
        <v>268</v>
      </c>
      <c r="C82" t="s">
        <v>323</v>
      </c>
      <c r="D82" t="s">
        <v>50</v>
      </c>
      <c r="E82">
        <v>4.9400000000000004</v>
      </c>
      <c r="F82" s="9" t="s">
        <v>68</v>
      </c>
      <c r="G82" s="7">
        <v>9323191296</v>
      </c>
      <c r="H82" s="6">
        <v>5.18</v>
      </c>
      <c r="I82" s="6">
        <v>1.88</v>
      </c>
      <c r="J82" s="12">
        <f>E82/I82-1</f>
        <v>1.6276595744680855</v>
      </c>
      <c r="K82" s="11">
        <v>3.2388663967611336E-2</v>
      </c>
      <c r="L82" s="13">
        <v>896597000</v>
      </c>
      <c r="M82" s="13">
        <v>6906279000</v>
      </c>
      <c r="N82" s="9" t="s">
        <v>68</v>
      </c>
      <c r="O82" s="6">
        <v>1</v>
      </c>
      <c r="P82" s="12">
        <v>8.212429275102831E-2</v>
      </c>
      <c r="Q82" s="12">
        <v>0.12982345485897689</v>
      </c>
      <c r="R82" s="14">
        <v>58</v>
      </c>
    </row>
    <row r="83" spans="2:18" x14ac:dyDescent="0.5">
      <c r="B83" s="1" t="s">
        <v>120</v>
      </c>
      <c r="C83" t="s">
        <v>160</v>
      </c>
      <c r="D83" t="s">
        <v>69</v>
      </c>
      <c r="E83">
        <v>6.43</v>
      </c>
      <c r="F83" s="9" t="s">
        <v>68</v>
      </c>
      <c r="G83" s="7">
        <v>10459759616</v>
      </c>
      <c r="H83" s="6">
        <v>7.05</v>
      </c>
      <c r="I83" s="6">
        <v>4.3</v>
      </c>
      <c r="J83" s="12">
        <f>E83/I83-1</f>
        <v>0.49534883720930223</v>
      </c>
      <c r="K83" s="11">
        <v>4.3545878693623648E-2</v>
      </c>
      <c r="L83" s="13">
        <v>3597261000</v>
      </c>
      <c r="M83" s="13">
        <v>38357165000</v>
      </c>
      <c r="N83" s="9" t="s">
        <v>68</v>
      </c>
      <c r="O83" s="6">
        <v>1</v>
      </c>
      <c r="P83" s="12">
        <v>0.11482386808759054</v>
      </c>
      <c r="Q83" s="12">
        <v>9.3783286642795421E-2</v>
      </c>
      <c r="R83" s="14">
        <v>59</v>
      </c>
    </row>
    <row r="84" spans="2:18" x14ac:dyDescent="0.5">
      <c r="B84" s="1" t="s">
        <v>261</v>
      </c>
      <c r="C84" t="s">
        <v>314</v>
      </c>
      <c r="D84" t="s">
        <v>306</v>
      </c>
      <c r="E84">
        <v>58.1</v>
      </c>
      <c r="F84" s="9" t="s">
        <v>68</v>
      </c>
      <c r="G84" s="7">
        <v>1128726396928</v>
      </c>
      <c r="H84" s="6">
        <v>59.2</v>
      </c>
      <c r="I84" s="6">
        <v>39.6</v>
      </c>
      <c r="J84" s="12">
        <f>E84/I84-1</f>
        <v>0.46717171717171713</v>
      </c>
      <c r="K84" s="11">
        <v>2.7882960413080898E-2</v>
      </c>
      <c r="L84" s="13">
        <v>189900000000</v>
      </c>
      <c r="M84" s="13">
        <v>2315380000000</v>
      </c>
      <c r="N84" s="9" t="s">
        <v>51</v>
      </c>
      <c r="O84" s="6">
        <v>1.0683760683760684</v>
      </c>
      <c r="P84" s="12">
        <v>0.1264568586321268</v>
      </c>
      <c r="Q84" s="12">
        <v>8.2016774784268678E-2</v>
      </c>
      <c r="R84" s="14">
        <v>60</v>
      </c>
    </row>
    <row r="85" spans="2:18" x14ac:dyDescent="0.5">
      <c r="B85" s="1" t="s">
        <v>389</v>
      </c>
      <c r="C85" t="s">
        <v>390</v>
      </c>
      <c r="D85" t="s">
        <v>185</v>
      </c>
      <c r="E85">
        <v>6.26</v>
      </c>
      <c r="F85" s="9" t="s">
        <v>68</v>
      </c>
      <c r="G85" s="7">
        <v>3591637504</v>
      </c>
      <c r="H85" s="6">
        <v>8.6199999999999992</v>
      </c>
      <c r="I85" s="6">
        <v>6.26</v>
      </c>
      <c r="J85" s="12">
        <f>E85/I85-1</f>
        <v>0</v>
      </c>
      <c r="K85" s="11">
        <v>6.3897763578274772E-2</v>
      </c>
      <c r="L85" s="13">
        <v>371538000</v>
      </c>
      <c r="M85" s="13">
        <v>3037286000</v>
      </c>
      <c r="N85" s="9" t="s">
        <v>68</v>
      </c>
      <c r="O85" s="6">
        <v>1</v>
      </c>
      <c r="P85" s="12">
        <v>7.9519047718625058E-2</v>
      </c>
      <c r="Q85" s="12">
        <v>0.12232565520665489</v>
      </c>
      <c r="R85" s="14">
        <v>60</v>
      </c>
    </row>
    <row r="86" spans="2:18" x14ac:dyDescent="0.5">
      <c r="B86" s="1" t="s">
        <v>258</v>
      </c>
      <c r="C86" t="s">
        <v>311</v>
      </c>
      <c r="D86" t="s">
        <v>98</v>
      </c>
      <c r="E86">
        <v>2.09</v>
      </c>
      <c r="F86" s="9" t="s">
        <v>68</v>
      </c>
      <c r="G86" s="7">
        <v>1940716416</v>
      </c>
      <c r="H86" s="6">
        <v>2.4</v>
      </c>
      <c r="I86" s="6">
        <v>1.72</v>
      </c>
      <c r="J86" s="12">
        <f>E86/I86-1</f>
        <v>0.21511627906976738</v>
      </c>
      <c r="K86" s="11">
        <v>4.3062200956937802E-2</v>
      </c>
      <c r="L86" s="13">
        <v>238321000</v>
      </c>
      <c r="M86" s="13">
        <v>6087917000</v>
      </c>
      <c r="N86" s="9" t="s">
        <v>68</v>
      </c>
      <c r="O86" s="6">
        <v>1</v>
      </c>
      <c r="P86" s="12">
        <v>0.15025205041364356</v>
      </c>
      <c r="Q86" s="12">
        <v>3.9146558666946343E-2</v>
      </c>
      <c r="R86" s="14">
        <v>61</v>
      </c>
    </row>
    <row r="87" spans="2:18" x14ac:dyDescent="0.5">
      <c r="B87" s="1" t="s">
        <v>454</v>
      </c>
      <c r="C87" t="s">
        <v>458</v>
      </c>
      <c r="D87" t="s">
        <v>167</v>
      </c>
      <c r="E87">
        <v>2.27</v>
      </c>
      <c r="F87" s="9" t="s">
        <v>68</v>
      </c>
      <c r="G87" s="7">
        <v>3026667008</v>
      </c>
      <c r="H87" s="6">
        <v>3.21</v>
      </c>
      <c r="I87" s="6">
        <v>1.73</v>
      </c>
      <c r="J87" s="12">
        <f>E87/I87-1</f>
        <v>0.31213872832369938</v>
      </c>
      <c r="K87" s="11">
        <v>5.2863436123348012E-2</v>
      </c>
      <c r="L87" s="13">
        <v>244399000</v>
      </c>
      <c r="M87" s="13">
        <v>2990882000</v>
      </c>
      <c r="N87" s="9" t="s">
        <v>51</v>
      </c>
      <c r="O87" s="6">
        <v>1.0683760683760684</v>
      </c>
      <c r="P87" s="12">
        <v>0.12275069237542524</v>
      </c>
      <c r="Q87" s="12">
        <v>8.171469151909036E-2</v>
      </c>
      <c r="R87" s="14">
        <v>62</v>
      </c>
    </row>
    <row r="88" spans="2:18" x14ac:dyDescent="0.5">
      <c r="B88" s="1" t="s">
        <v>262</v>
      </c>
      <c r="C88" t="s">
        <v>315</v>
      </c>
      <c r="D88" t="s">
        <v>155</v>
      </c>
      <c r="E88">
        <v>36.76</v>
      </c>
      <c r="F88" s="9" t="s">
        <v>68</v>
      </c>
      <c r="G88" s="7">
        <v>33850224640</v>
      </c>
      <c r="H88" s="6">
        <v>45.78</v>
      </c>
      <c r="I88" s="6">
        <v>9.9</v>
      </c>
      <c r="J88" s="12">
        <f>E88/I88-1</f>
        <v>2.7131313131313126</v>
      </c>
      <c r="K88" s="11">
        <v>2.1218715995647442E-3</v>
      </c>
      <c r="L88" s="13">
        <v>334940000</v>
      </c>
      <c r="M88" s="13">
        <v>3025375000</v>
      </c>
      <c r="N88" s="9" t="s">
        <v>72</v>
      </c>
      <c r="O88" s="6">
        <v>7.6923076923076916</v>
      </c>
      <c r="P88" s="12">
        <v>8.304083666761175E-2</v>
      </c>
      <c r="Q88" s="12">
        <v>0.11071024253191752</v>
      </c>
      <c r="R88" s="14">
        <v>63</v>
      </c>
    </row>
    <row r="89" spans="2:18" x14ac:dyDescent="0.5">
      <c r="B89" s="1" t="s">
        <v>290</v>
      </c>
      <c r="C89" t="s">
        <v>348</v>
      </c>
      <c r="D89" t="s">
        <v>50</v>
      </c>
      <c r="E89">
        <v>13.54</v>
      </c>
      <c r="F89" s="9" t="s">
        <v>68</v>
      </c>
      <c r="G89" s="7">
        <v>30279176192</v>
      </c>
      <c r="H89" s="6">
        <v>13.92</v>
      </c>
      <c r="I89" s="6">
        <v>2.36</v>
      </c>
      <c r="J89" s="12">
        <f>E89/I89-1</f>
        <v>4.7372881355932206</v>
      </c>
      <c r="K89" s="11">
        <v>1.7060561299852291E-2</v>
      </c>
      <c r="L89" s="13">
        <v>2184074765.02</v>
      </c>
      <c r="M89" s="13">
        <v>23493408528.349998</v>
      </c>
      <c r="N89" s="9" t="s">
        <v>51</v>
      </c>
      <c r="O89" s="6">
        <v>1.0683760683760684</v>
      </c>
      <c r="P89" s="12">
        <v>0.10749970202668378</v>
      </c>
      <c r="Q89" s="12">
        <v>9.29654274042198E-2</v>
      </c>
      <c r="R89" s="14">
        <v>64</v>
      </c>
    </row>
    <row r="90" spans="2:18" x14ac:dyDescent="0.5">
      <c r="B90" s="1" t="s">
        <v>136</v>
      </c>
      <c r="C90" t="s">
        <v>180</v>
      </c>
      <c r="D90" t="s">
        <v>181</v>
      </c>
      <c r="E90">
        <v>10.62</v>
      </c>
      <c r="F90" s="9" t="s">
        <v>68</v>
      </c>
      <c r="G90" s="7">
        <v>25023172608</v>
      </c>
      <c r="H90" s="6">
        <v>12.7</v>
      </c>
      <c r="I90" s="6">
        <v>6.33</v>
      </c>
      <c r="J90" s="12">
        <f>E90/I90-1</f>
        <v>0.6777251184834121</v>
      </c>
      <c r="K90" s="11">
        <v>0</v>
      </c>
      <c r="L90" s="13">
        <v>13493113000</v>
      </c>
      <c r="M90" s="13">
        <v>208027754000</v>
      </c>
      <c r="N90" s="9" t="s">
        <v>51</v>
      </c>
      <c r="O90" s="6">
        <v>1.0683760683760684</v>
      </c>
      <c r="P90" s="12">
        <v>0.11608425802808897</v>
      </c>
      <c r="Q90" s="12">
        <v>6.4862080854845933E-2</v>
      </c>
      <c r="R90" s="14">
        <v>65</v>
      </c>
    </row>
    <row r="91" spans="2:18" x14ac:dyDescent="0.5">
      <c r="B91" s="1" t="s">
        <v>116</v>
      </c>
      <c r="C91" t="s">
        <v>156</v>
      </c>
      <c r="D91" t="s">
        <v>93</v>
      </c>
      <c r="E91">
        <v>23.76</v>
      </c>
      <c r="F91" s="9" t="s">
        <v>68</v>
      </c>
      <c r="G91" s="7">
        <v>133775351808</v>
      </c>
      <c r="H91" s="6">
        <v>25.9</v>
      </c>
      <c r="I91" s="6">
        <v>18.7</v>
      </c>
      <c r="J91" s="12">
        <f>E91/I91-1</f>
        <v>0.2705882352941178</v>
      </c>
      <c r="K91" s="11">
        <v>3.9983164983164982E-2</v>
      </c>
      <c r="L91" s="13">
        <v>10795274825</v>
      </c>
      <c r="M91" s="13">
        <v>215275428010</v>
      </c>
      <c r="N91" s="9" t="s">
        <v>51</v>
      </c>
      <c r="O91" s="6">
        <v>1.0683760683760684</v>
      </c>
      <c r="P91" s="12">
        <v>0.12770520978554148</v>
      </c>
      <c r="Q91" s="12">
        <v>5.0146340085309396E-2</v>
      </c>
      <c r="R91" s="14">
        <v>65</v>
      </c>
    </row>
    <row r="92" spans="2:18" x14ac:dyDescent="0.5">
      <c r="B92" s="1" t="s">
        <v>141</v>
      </c>
      <c r="C92" t="s">
        <v>189</v>
      </c>
      <c r="D92" t="s">
        <v>104</v>
      </c>
      <c r="E92">
        <v>38.54</v>
      </c>
      <c r="F92" s="9" t="s">
        <v>68</v>
      </c>
      <c r="G92" s="7">
        <v>86838501376</v>
      </c>
      <c r="H92" s="6">
        <v>61.55</v>
      </c>
      <c r="I92" s="6">
        <v>26.65</v>
      </c>
      <c r="J92" s="12">
        <f>E92/I92-1</f>
        <v>0.44615384615384612</v>
      </c>
      <c r="K92" s="11">
        <v>1.4737934613388686E-2</v>
      </c>
      <c r="L92" s="13">
        <v>5261270000</v>
      </c>
      <c r="M92" s="13">
        <v>43208997000</v>
      </c>
      <c r="N92" s="9" t="s">
        <v>51</v>
      </c>
      <c r="O92" s="6">
        <v>1.0683760683760684</v>
      </c>
      <c r="P92" s="12">
        <v>6.0691799124821477E-2</v>
      </c>
      <c r="Q92" s="12">
        <v>0.12176329850933591</v>
      </c>
      <c r="R92" s="14">
        <v>65</v>
      </c>
    </row>
    <row r="93" spans="2:18" x14ac:dyDescent="0.5">
      <c r="B93" s="1" t="s">
        <v>36</v>
      </c>
      <c r="C93" t="s">
        <v>102</v>
      </c>
      <c r="D93" t="s">
        <v>50</v>
      </c>
      <c r="E93">
        <v>20.260000000000002</v>
      </c>
      <c r="F93" s="9" t="s">
        <v>68</v>
      </c>
      <c r="G93" s="7">
        <v>79396757504</v>
      </c>
      <c r="H93" s="6">
        <v>119.9</v>
      </c>
      <c r="I93" s="6">
        <v>8.4700000000000006</v>
      </c>
      <c r="J93" s="12">
        <f>E93/I93-1</f>
        <v>1.3919716646989375</v>
      </c>
      <c r="K93" s="11">
        <v>2.1618953603158932E-2</v>
      </c>
      <c r="L93" s="13">
        <v>3967214824.1399999</v>
      </c>
      <c r="M93" s="13">
        <v>41038539262.660004</v>
      </c>
      <c r="N93" s="9" t="s">
        <v>51</v>
      </c>
      <c r="O93" s="6">
        <v>1.0683760683760684</v>
      </c>
      <c r="P93" s="12">
        <v>7.8638068697019628E-2</v>
      </c>
      <c r="Q93" s="12">
        <v>9.6670468672106824E-2</v>
      </c>
      <c r="R93" s="14">
        <v>66</v>
      </c>
    </row>
    <row r="94" spans="2:18" x14ac:dyDescent="0.5">
      <c r="B94" s="1" t="s">
        <v>398</v>
      </c>
      <c r="C94" t="s">
        <v>399</v>
      </c>
      <c r="D94" t="s">
        <v>56</v>
      </c>
      <c r="E94">
        <v>44.26</v>
      </c>
      <c r="F94" s="9" t="s">
        <v>68</v>
      </c>
      <c r="G94" s="7">
        <v>1152617807872</v>
      </c>
      <c r="H94" s="6">
        <v>61.45</v>
      </c>
      <c r="I94" s="6">
        <v>25.95</v>
      </c>
      <c r="J94" s="12">
        <f>E94/I94-1</f>
        <v>0.70558766859344901</v>
      </c>
      <c r="K94" s="11">
        <v>0</v>
      </c>
      <c r="L94" s="13">
        <v>29458798000</v>
      </c>
      <c r="M94" s="13">
        <v>219340795000</v>
      </c>
      <c r="N94" s="9" t="s">
        <v>51</v>
      </c>
      <c r="O94" s="6">
        <v>1.0683760683760684</v>
      </c>
      <c r="P94" s="12">
        <v>2.7246386002719364E-2</v>
      </c>
      <c r="Q94" s="12">
        <v>0.13430606011982404</v>
      </c>
      <c r="R94" s="14">
        <v>67</v>
      </c>
    </row>
    <row r="95" spans="2:18" x14ac:dyDescent="0.5">
      <c r="B95" s="1" t="s">
        <v>129</v>
      </c>
      <c r="C95" t="s">
        <v>172</v>
      </c>
      <c r="D95" t="s">
        <v>98</v>
      </c>
      <c r="E95">
        <v>11.42</v>
      </c>
      <c r="F95" s="9" t="s">
        <v>68</v>
      </c>
      <c r="G95" s="7">
        <v>86536249344</v>
      </c>
      <c r="H95" s="6">
        <v>12.95</v>
      </c>
      <c r="I95" s="6">
        <v>9.39</v>
      </c>
      <c r="J95" s="12">
        <f>E95/I95-1</f>
        <v>0.21618743343982949</v>
      </c>
      <c r="K95" s="11">
        <v>6.9789842381786343E-2</v>
      </c>
      <c r="L95" s="13">
        <v>8154000000</v>
      </c>
      <c r="M95" s="13">
        <v>79588000000</v>
      </c>
      <c r="N95" s="9" t="s">
        <v>68</v>
      </c>
      <c r="O95" s="6">
        <v>1</v>
      </c>
      <c r="P95" s="12">
        <v>6.3780234633980012E-2</v>
      </c>
      <c r="Q95" s="12">
        <v>0.10245263104990703</v>
      </c>
      <c r="R95" s="14">
        <v>68</v>
      </c>
    </row>
    <row r="96" spans="2:18" x14ac:dyDescent="0.5">
      <c r="B96" s="1" t="s">
        <v>112</v>
      </c>
      <c r="C96" t="s">
        <v>149</v>
      </c>
      <c r="D96" t="s">
        <v>98</v>
      </c>
      <c r="E96">
        <v>5.55</v>
      </c>
      <c r="F96" s="9" t="s">
        <v>68</v>
      </c>
      <c r="G96" s="7">
        <v>659450560512</v>
      </c>
      <c r="H96" s="6">
        <v>6.98</v>
      </c>
      <c r="I96" s="6">
        <v>4.2300000000000004</v>
      </c>
      <c r="J96" s="12">
        <f>E96/I96-1</f>
        <v>0.31205673758865227</v>
      </c>
      <c r="K96" s="11">
        <v>7.9459459459459467E-2</v>
      </c>
      <c r="L96" s="13">
        <v>44563000000</v>
      </c>
      <c r="M96" s="13">
        <v>463922000000</v>
      </c>
      <c r="N96" s="9" t="s">
        <v>51</v>
      </c>
      <c r="O96" s="6">
        <v>1.0683760683760684</v>
      </c>
      <c r="P96" s="12">
        <v>7.4797527612960185E-2</v>
      </c>
      <c r="Q96" s="12">
        <v>9.605709580489824E-2</v>
      </c>
      <c r="R96" s="14">
        <v>69</v>
      </c>
    </row>
    <row r="97" spans="2:18" x14ac:dyDescent="0.5">
      <c r="B97" s="1" t="s">
        <v>257</v>
      </c>
      <c r="C97" t="s">
        <v>310</v>
      </c>
      <c r="D97" t="s">
        <v>151</v>
      </c>
      <c r="E97">
        <v>8.43</v>
      </c>
      <c r="F97" s="9" t="s">
        <v>68</v>
      </c>
      <c r="G97" s="7">
        <v>21408817152</v>
      </c>
      <c r="H97" s="6">
        <v>13.78</v>
      </c>
      <c r="I97" s="6">
        <v>8.0399999999999991</v>
      </c>
      <c r="J97" s="12">
        <f>E97/I97-1</f>
        <v>4.8507462686567138E-2</v>
      </c>
      <c r="K97" s="11">
        <v>3.5587188612099641E-2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0.10861023861925431</v>
      </c>
      <c r="Q97" s="12">
        <v>5.5629198178196171E-2</v>
      </c>
      <c r="R97" s="14">
        <v>70</v>
      </c>
    </row>
    <row r="98" spans="2:18" x14ac:dyDescent="0.5">
      <c r="B98" s="1" t="s">
        <v>18</v>
      </c>
      <c r="C98" t="s">
        <v>67</v>
      </c>
      <c r="D98" t="s">
        <v>66</v>
      </c>
      <c r="E98">
        <v>63.15</v>
      </c>
      <c r="F98" s="9" t="s">
        <v>68</v>
      </c>
      <c r="G98" s="7">
        <v>162511896576</v>
      </c>
      <c r="H98" s="6">
        <v>68.45</v>
      </c>
      <c r="I98" s="6">
        <v>43.15</v>
      </c>
      <c r="J98" s="12">
        <f>E98/I98-1</f>
        <v>0.46349942062572413</v>
      </c>
      <c r="K98" s="11">
        <v>1.66270783847981E-2</v>
      </c>
      <c r="L98" s="13">
        <v>6350637223.7200003</v>
      </c>
      <c r="M98" s="13">
        <v>57896384836.860001</v>
      </c>
      <c r="N98" s="9" t="s">
        <v>51</v>
      </c>
      <c r="O98" s="6">
        <v>1.0683760683760684</v>
      </c>
      <c r="P98" s="12">
        <v>5.1861660521306523E-2</v>
      </c>
      <c r="Q98" s="12">
        <v>0.10968970241604512</v>
      </c>
      <c r="R98" s="14">
        <v>71</v>
      </c>
    </row>
    <row r="99" spans="2:18" x14ac:dyDescent="0.5">
      <c r="B99" s="1" t="s">
        <v>456</v>
      </c>
      <c r="C99" t="s">
        <v>460</v>
      </c>
      <c r="D99" t="s">
        <v>461</v>
      </c>
      <c r="E99">
        <v>545.5</v>
      </c>
      <c r="F99" s="9" t="s">
        <v>68</v>
      </c>
      <c r="G99" s="7">
        <v>356540678144</v>
      </c>
      <c r="H99" s="6">
        <v>613</v>
      </c>
      <c r="I99" s="6">
        <v>402.6</v>
      </c>
      <c r="J99" s="12">
        <f>E99/I99-1</f>
        <v>0.35494287133631386</v>
      </c>
      <c r="K99" s="11">
        <v>0</v>
      </c>
      <c r="L99" s="13">
        <v>18738000000</v>
      </c>
      <c r="M99" s="13">
        <v>182117000000</v>
      </c>
      <c r="N99" s="9" t="s">
        <v>51</v>
      </c>
      <c r="O99" s="6">
        <v>1.0683760683760684</v>
      </c>
      <c r="P99" s="12">
        <v>5.7548243112618344E-2</v>
      </c>
      <c r="Q99" s="12">
        <v>0.10288990044861271</v>
      </c>
      <c r="R99" s="14">
        <v>71</v>
      </c>
    </row>
    <row r="100" spans="2:18" x14ac:dyDescent="0.5">
      <c r="B100" s="1" t="s">
        <v>123</v>
      </c>
      <c r="C100" t="s">
        <v>163</v>
      </c>
      <c r="D100" t="s">
        <v>164</v>
      </c>
      <c r="E100">
        <v>11.14</v>
      </c>
      <c r="F100" s="9" t="s">
        <v>68</v>
      </c>
      <c r="G100" s="7">
        <v>76232146944</v>
      </c>
      <c r="H100" s="6">
        <v>11.18</v>
      </c>
      <c r="I100" s="6">
        <v>5</v>
      </c>
      <c r="J100" s="12">
        <f>E100/I100-1</f>
        <v>1.2280000000000002</v>
      </c>
      <c r="K100" s="11">
        <v>1.8850987432675045E-2</v>
      </c>
      <c r="L100" s="13">
        <v>6749146000</v>
      </c>
      <c r="M100" s="13">
        <v>70848374000</v>
      </c>
      <c r="N100" s="9" t="s">
        <v>51</v>
      </c>
      <c r="O100" s="6">
        <v>1.0683760683760684</v>
      </c>
      <c r="P100" s="12">
        <v>6.6260876557819162E-2</v>
      </c>
      <c r="Q100" s="12">
        <v>9.5261833390841127E-2</v>
      </c>
      <c r="R100" s="14">
        <v>72</v>
      </c>
    </row>
    <row r="101" spans="2:18" x14ac:dyDescent="0.5">
      <c r="B101" s="1" t="s">
        <v>259</v>
      </c>
      <c r="C101" t="s">
        <v>312</v>
      </c>
      <c r="D101" t="s">
        <v>308</v>
      </c>
      <c r="E101">
        <v>2.66</v>
      </c>
      <c r="F101" s="9" t="s">
        <v>68</v>
      </c>
      <c r="G101" s="7">
        <v>81895333888</v>
      </c>
      <c r="H101" s="6">
        <v>3.17</v>
      </c>
      <c r="I101" s="6">
        <v>1.35</v>
      </c>
      <c r="J101" s="12">
        <f>E101/I101-1</f>
        <v>0.97037037037037033</v>
      </c>
      <c r="K101" s="11">
        <v>2.1052631578947368E-2</v>
      </c>
      <c r="L101" s="13">
        <v>12616717000</v>
      </c>
      <c r="M101" s="13">
        <v>231208465000</v>
      </c>
      <c r="N101" s="9" t="s">
        <v>51</v>
      </c>
      <c r="O101" s="6">
        <v>1.0683760683760684</v>
      </c>
      <c r="P101" s="12">
        <v>0.10706052959363936</v>
      </c>
      <c r="Q101" s="12">
        <v>5.4568577322633927E-2</v>
      </c>
      <c r="R101" s="14">
        <v>73</v>
      </c>
    </row>
    <row r="102" spans="2:18" x14ac:dyDescent="0.5">
      <c r="B102" s="1" t="s">
        <v>121</v>
      </c>
      <c r="C102" t="s">
        <v>161</v>
      </c>
      <c r="D102" t="s">
        <v>98</v>
      </c>
      <c r="E102">
        <v>9.17</v>
      </c>
      <c r="F102" s="9" t="s">
        <v>68</v>
      </c>
      <c r="G102" s="7">
        <v>280583667712</v>
      </c>
      <c r="H102" s="6">
        <v>11.56</v>
      </c>
      <c r="I102" s="6">
        <v>6.22</v>
      </c>
      <c r="J102" s="12">
        <f>E102/I102-1</f>
        <v>0.47427652733118975</v>
      </c>
      <c r="K102" s="11">
        <v>4.7982551799345692E-2</v>
      </c>
      <c r="L102" s="13">
        <v>26994000000</v>
      </c>
      <c r="M102" s="13">
        <v>363169000000</v>
      </c>
      <c r="N102" s="9" t="s">
        <v>51</v>
      </c>
      <c r="O102" s="6">
        <v>1.0683760683760684</v>
      </c>
      <c r="P102" s="12">
        <v>9.8550146419565832E-2</v>
      </c>
      <c r="Q102" s="12">
        <v>7.4329031387590908E-2</v>
      </c>
      <c r="R102" s="14">
        <v>73</v>
      </c>
    </row>
    <row r="103" spans="2:18" x14ac:dyDescent="0.5">
      <c r="B103" s="1" t="s">
        <v>117</v>
      </c>
      <c r="C103" t="s">
        <v>157</v>
      </c>
      <c r="D103" t="s">
        <v>151</v>
      </c>
      <c r="E103">
        <v>2.2000000000000002</v>
      </c>
      <c r="F103" s="9" t="s">
        <v>68</v>
      </c>
      <c r="G103" s="7">
        <v>7830624768</v>
      </c>
      <c r="H103" s="6">
        <v>2.64</v>
      </c>
      <c r="I103" s="6">
        <v>1.6</v>
      </c>
      <c r="J103" s="12">
        <f>E103/I103-1</f>
        <v>0.375</v>
      </c>
      <c r="K103" s="11">
        <v>3.4090909090909088E-2</v>
      </c>
      <c r="L103" s="13">
        <v>2220197000</v>
      </c>
      <c r="M103" s="13">
        <v>71097505000</v>
      </c>
      <c r="N103" s="9" t="s">
        <v>51</v>
      </c>
      <c r="O103" s="6">
        <v>1.0683760683760684</v>
      </c>
      <c r="P103" s="12">
        <v>0.11232949816406015</v>
      </c>
      <c r="Q103" s="12">
        <v>3.1227495254580313E-2</v>
      </c>
      <c r="R103" s="14">
        <v>74</v>
      </c>
    </row>
    <row r="104" spans="2:18" x14ac:dyDescent="0.5">
      <c r="B104" s="1" t="s">
        <v>255</v>
      </c>
      <c r="C104" t="s">
        <v>307</v>
      </c>
      <c r="D104" t="s">
        <v>308</v>
      </c>
      <c r="E104">
        <v>5.55</v>
      </c>
      <c r="F104" s="9" t="s">
        <v>68</v>
      </c>
      <c r="G104" s="7">
        <v>113168687104</v>
      </c>
      <c r="H104" s="6">
        <v>6.07</v>
      </c>
      <c r="I104" s="6">
        <v>4.58</v>
      </c>
      <c r="J104" s="12">
        <f>E104/I104-1</f>
        <v>0.21179039301310043</v>
      </c>
      <c r="K104" s="11">
        <v>5.4054054054054057E-2</v>
      </c>
      <c r="L104" s="13">
        <v>42109966000</v>
      </c>
      <c r="M104" s="13">
        <v>746176876000</v>
      </c>
      <c r="N104" s="9" t="s">
        <v>51</v>
      </c>
      <c r="O104" s="6">
        <v>1.0683760683760684</v>
      </c>
      <c r="P104" s="12">
        <v>0.1005364534635486</v>
      </c>
      <c r="Q104" s="12">
        <v>5.643429507724386E-2</v>
      </c>
      <c r="R104" s="14">
        <v>75</v>
      </c>
    </row>
    <row r="105" spans="2:18" x14ac:dyDescent="0.5">
      <c r="B105" s="1" t="s">
        <v>122</v>
      </c>
      <c r="C105" t="s">
        <v>162</v>
      </c>
      <c r="D105" t="s">
        <v>151</v>
      </c>
      <c r="E105">
        <v>38.56</v>
      </c>
      <c r="F105" s="9" t="s">
        <v>68</v>
      </c>
      <c r="G105" s="7">
        <v>134951452672</v>
      </c>
      <c r="H105" s="6">
        <v>39.08</v>
      </c>
      <c r="I105" s="6">
        <v>28.1</v>
      </c>
      <c r="J105" s="12">
        <f>E105/I105-1</f>
        <v>0.37224199288256221</v>
      </c>
      <c r="K105" s="11">
        <v>4.5124481327800829E-2</v>
      </c>
      <c r="L105" s="13">
        <v>16863000000</v>
      </c>
      <c r="M105" s="13">
        <v>448320000000</v>
      </c>
      <c r="N105" s="9" t="s">
        <v>68</v>
      </c>
      <c r="O105" s="6">
        <v>1</v>
      </c>
      <c r="P105" s="12">
        <v>0.10774084892555577</v>
      </c>
      <c r="Q105" s="12">
        <v>3.7613758029978586E-2</v>
      </c>
      <c r="R105" s="14">
        <v>75</v>
      </c>
    </row>
    <row r="106" spans="2:18" x14ac:dyDescent="0.5">
      <c r="B106" s="1" t="s">
        <v>256</v>
      </c>
      <c r="C106" t="s">
        <v>309</v>
      </c>
      <c r="D106" t="s">
        <v>171</v>
      </c>
      <c r="E106">
        <v>51.85</v>
      </c>
      <c r="F106" s="9" t="s">
        <v>68</v>
      </c>
      <c r="G106" s="7">
        <v>198587793408</v>
      </c>
      <c r="H106" s="6">
        <v>54.6</v>
      </c>
      <c r="I106" s="6">
        <v>37.450000000000003</v>
      </c>
      <c r="J106" s="12">
        <f>E106/I106-1</f>
        <v>0.38451268357810409</v>
      </c>
      <c r="K106" s="11">
        <v>4.2892960462873678E-2</v>
      </c>
      <c r="L106" s="13">
        <v>41737000000</v>
      </c>
      <c r="M106" s="13">
        <v>794927000000</v>
      </c>
      <c r="N106" s="9" t="s">
        <v>68</v>
      </c>
      <c r="O106" s="6">
        <v>1</v>
      </c>
      <c r="P106" s="12">
        <v>0.10381930432678729</v>
      </c>
      <c r="Q106" s="12">
        <v>5.2504192208844336E-2</v>
      </c>
      <c r="R106" s="14">
        <v>76</v>
      </c>
    </row>
    <row r="107" spans="2:18" x14ac:dyDescent="0.5">
      <c r="B107" s="1" t="s">
        <v>266</v>
      </c>
      <c r="C107" t="s">
        <v>320</v>
      </c>
      <c r="D107" t="s">
        <v>87</v>
      </c>
      <c r="E107">
        <v>7.64</v>
      </c>
      <c r="F107" s="9" t="s">
        <v>68</v>
      </c>
      <c r="G107" s="7">
        <v>7962293760</v>
      </c>
      <c r="H107" s="6">
        <v>12.88</v>
      </c>
      <c r="I107" s="6">
        <v>7.63</v>
      </c>
      <c r="J107" s="12">
        <f>E107/I107-1</f>
        <v>1.3106159895150959E-3</v>
      </c>
      <c r="K107" s="11">
        <v>1.8586387434554971E-2</v>
      </c>
      <c r="L107" s="13">
        <v>350106000</v>
      </c>
      <c r="M107" s="13">
        <v>3348556000</v>
      </c>
      <c r="N107" s="9" t="s">
        <v>68</v>
      </c>
      <c r="O107" s="6">
        <v>1</v>
      </c>
      <c r="P107" s="12">
        <v>4.8240799658860578E-2</v>
      </c>
      <c r="Q107" s="12">
        <v>0.10455432132537129</v>
      </c>
      <c r="R107" s="14">
        <v>77</v>
      </c>
    </row>
    <row r="108" spans="2:18" x14ac:dyDescent="0.5">
      <c r="B108" s="1" t="s">
        <v>260</v>
      </c>
      <c r="C108" t="s">
        <v>313</v>
      </c>
      <c r="D108" t="s">
        <v>109</v>
      </c>
      <c r="E108">
        <v>14.18</v>
      </c>
      <c r="F108" s="9" t="s">
        <v>68</v>
      </c>
      <c r="G108" s="7">
        <v>9524876288</v>
      </c>
      <c r="H108" s="6">
        <v>15.74</v>
      </c>
      <c r="I108" s="6">
        <v>6.25</v>
      </c>
      <c r="J108" s="12">
        <f>E108/I108-1</f>
        <v>1.2688000000000001</v>
      </c>
      <c r="K108" s="11">
        <v>4.0197461212976023E-2</v>
      </c>
      <c r="L108" s="13">
        <v>1136392000</v>
      </c>
      <c r="M108" s="13">
        <v>17458813000</v>
      </c>
      <c r="N108" s="9" t="s">
        <v>68</v>
      </c>
      <c r="O108" s="6">
        <v>1</v>
      </c>
      <c r="P108" s="12">
        <v>8.0343853253148009E-2</v>
      </c>
      <c r="Q108" s="12">
        <v>6.5089877530620205E-2</v>
      </c>
      <c r="R108" s="14">
        <v>78</v>
      </c>
    </row>
    <row r="109" spans="2:18" x14ac:dyDescent="0.5">
      <c r="B109" s="1" t="s">
        <v>127</v>
      </c>
      <c r="C109" t="s">
        <v>169</v>
      </c>
      <c r="D109" t="s">
        <v>104</v>
      </c>
      <c r="E109">
        <v>13.98</v>
      </c>
      <c r="F109" s="9" t="s">
        <v>68</v>
      </c>
      <c r="G109" s="7">
        <v>43617599488</v>
      </c>
      <c r="H109" s="6">
        <v>14.3</v>
      </c>
      <c r="I109" s="6">
        <v>6.52</v>
      </c>
      <c r="J109" s="12">
        <f>E109/I109-1</f>
        <v>1.1441717791411046</v>
      </c>
      <c r="K109" s="11">
        <v>2.5035765379113017E-2</v>
      </c>
      <c r="L109" s="13">
        <v>1990539000</v>
      </c>
      <c r="M109" s="13">
        <v>18620709000</v>
      </c>
      <c r="N109" s="9" t="s">
        <v>68</v>
      </c>
      <c r="O109" s="6">
        <v>1</v>
      </c>
      <c r="P109" s="12">
        <v>4.2926418530270218E-2</v>
      </c>
      <c r="Q109" s="12">
        <v>0.10689920561026972</v>
      </c>
      <c r="R109" s="14">
        <v>79</v>
      </c>
    </row>
    <row r="110" spans="2:18" x14ac:dyDescent="0.5">
      <c r="B110" s="1" t="s">
        <v>134</v>
      </c>
      <c r="C110" t="s">
        <v>178</v>
      </c>
      <c r="D110" t="s">
        <v>98</v>
      </c>
      <c r="E110">
        <v>5.55</v>
      </c>
      <c r="F110" s="9" t="s">
        <v>68</v>
      </c>
      <c r="G110" s="7">
        <v>42962903040</v>
      </c>
      <c r="H110" s="6">
        <v>5.83</v>
      </c>
      <c r="I110" s="6">
        <v>4.2</v>
      </c>
      <c r="J110" s="12">
        <f>E110/I110-1</f>
        <v>0.3214285714285714</v>
      </c>
      <c r="K110" s="11">
        <v>6.9009009009009012E-2</v>
      </c>
      <c r="L110" s="13">
        <v>5474000000</v>
      </c>
      <c r="M110" s="13">
        <v>59407000000</v>
      </c>
      <c r="N110" s="9" t="s">
        <v>68</v>
      </c>
      <c r="O110" s="6">
        <v>1</v>
      </c>
      <c r="P110" s="12">
        <v>5.7854967549015535E-2</v>
      </c>
      <c r="Q110" s="12">
        <v>9.2144023431582137E-2</v>
      </c>
      <c r="R110" s="14">
        <v>80</v>
      </c>
    </row>
    <row r="111" spans="2:18" x14ac:dyDescent="0.5">
      <c r="B111" s="1" t="s">
        <v>128</v>
      </c>
      <c r="C111" t="s">
        <v>170</v>
      </c>
      <c r="D111" t="s">
        <v>171</v>
      </c>
      <c r="E111">
        <v>28.62</v>
      </c>
      <c r="F111" s="9" t="s">
        <v>68</v>
      </c>
      <c r="G111" s="7">
        <v>31719880704</v>
      </c>
      <c r="H111" s="6">
        <v>32.4</v>
      </c>
      <c r="I111" s="6">
        <v>17.600000000000001</v>
      </c>
      <c r="J111" s="12">
        <f>E111/I111-1</f>
        <v>0.62613636363636349</v>
      </c>
      <c r="K111" s="11">
        <v>4.2976939203354297E-2</v>
      </c>
      <c r="L111" s="13">
        <v>3838344000</v>
      </c>
      <c r="M111" s="13">
        <v>81520873000</v>
      </c>
      <c r="N111" s="9" t="s">
        <v>68</v>
      </c>
      <c r="O111" s="6">
        <v>1</v>
      </c>
      <c r="P111" s="12">
        <v>7.7483078246191273E-2</v>
      </c>
      <c r="Q111" s="12">
        <v>4.7084186647510511E-2</v>
      </c>
      <c r="R111" s="14">
        <v>81</v>
      </c>
    </row>
    <row r="112" spans="2:18" x14ac:dyDescent="0.5">
      <c r="B112" s="1" t="s">
        <v>26</v>
      </c>
      <c r="C112" t="s">
        <v>86</v>
      </c>
      <c r="D112" t="s">
        <v>87</v>
      </c>
      <c r="E112">
        <v>6.59</v>
      </c>
      <c r="F112" s="9" t="s">
        <v>68</v>
      </c>
      <c r="G112" s="7">
        <v>6877881344</v>
      </c>
      <c r="H112" s="6">
        <v>9.6</v>
      </c>
      <c r="I112" s="6">
        <v>4.3499999999999996</v>
      </c>
      <c r="J112" s="12">
        <f>E112/I112-1</f>
        <v>0.51494252873563218</v>
      </c>
      <c r="K112" s="11">
        <v>1.4567526555386951E-2</v>
      </c>
      <c r="L112" s="13">
        <v>303335000</v>
      </c>
      <c r="M112" s="13">
        <v>3620162000</v>
      </c>
      <c r="N112" s="9" t="s">
        <v>68</v>
      </c>
      <c r="O112" s="6">
        <v>1</v>
      </c>
      <c r="P112" s="12">
        <v>5.244449649737673E-2</v>
      </c>
      <c r="Q112" s="12">
        <v>8.3790449156695201E-2</v>
      </c>
      <c r="R112" s="14">
        <v>81</v>
      </c>
    </row>
    <row r="113" spans="2:18" x14ac:dyDescent="0.5">
      <c r="B113" s="1" t="s">
        <v>33</v>
      </c>
      <c r="C113" t="s">
        <v>97</v>
      </c>
      <c r="D113" t="s">
        <v>98</v>
      </c>
      <c r="E113">
        <v>11.43</v>
      </c>
      <c r="F113" s="9" t="s">
        <v>68</v>
      </c>
      <c r="G113" s="7">
        <v>199810121728</v>
      </c>
      <c r="H113" s="6">
        <v>12.46</v>
      </c>
      <c r="I113" s="6">
        <v>9.89</v>
      </c>
      <c r="J113" s="12">
        <f>E113/I113-1</f>
        <v>0.15571284125379159</v>
      </c>
      <c r="K113" s="11">
        <v>3.8495188101487318E-2</v>
      </c>
      <c r="L113" s="13">
        <v>16758000000</v>
      </c>
      <c r="M113" s="13">
        <v>269590000000</v>
      </c>
      <c r="N113" s="9" t="s">
        <v>51</v>
      </c>
      <c r="O113" s="6">
        <v>1.0683760683760684</v>
      </c>
      <c r="P113" s="12">
        <v>6.0504906417118032E-2</v>
      </c>
      <c r="Q113" s="12">
        <v>6.2161059386475759E-2</v>
      </c>
      <c r="R113" s="14">
        <v>82</v>
      </c>
    </row>
    <row r="114" spans="2:18" x14ac:dyDescent="0.5">
      <c r="B114" s="1" t="s">
        <v>457</v>
      </c>
      <c r="C114" t="s">
        <v>462</v>
      </c>
      <c r="D114" t="s">
        <v>463</v>
      </c>
      <c r="E114">
        <v>2.4500000000000002</v>
      </c>
      <c r="F114" s="9" t="s">
        <v>68</v>
      </c>
      <c r="G114" s="7">
        <v>23738064896</v>
      </c>
      <c r="H114" s="6">
        <v>2.64</v>
      </c>
      <c r="I114" s="6">
        <v>1.57</v>
      </c>
      <c r="J114" s="12">
        <f>E114/I114-1</f>
        <v>0.56050955414012749</v>
      </c>
      <c r="K114" s="11">
        <v>2.8571428571428571E-2</v>
      </c>
      <c r="L114" s="13">
        <v>1507922451</v>
      </c>
      <c r="M114" s="13">
        <v>27909411974</v>
      </c>
      <c r="N114" s="9" t="s">
        <v>51</v>
      </c>
      <c r="O114" s="6">
        <v>1.0683760683760684</v>
      </c>
      <c r="P114" s="12">
        <v>6.7079784700986994E-2</v>
      </c>
      <c r="Q114" s="12">
        <v>5.4029173112094174E-2</v>
      </c>
      <c r="R114" s="14">
        <v>83</v>
      </c>
    </row>
    <row r="115" spans="2:18" x14ac:dyDescent="0.5">
      <c r="B115" s="1" t="s">
        <v>30</v>
      </c>
      <c r="C115" t="s">
        <v>92</v>
      </c>
      <c r="D115" t="s">
        <v>93</v>
      </c>
      <c r="E115">
        <v>3.12</v>
      </c>
      <c r="F115" s="9" t="s">
        <v>68</v>
      </c>
      <c r="G115" s="7">
        <v>17043100672</v>
      </c>
      <c r="H115" s="6">
        <v>3.68</v>
      </c>
      <c r="I115" s="6">
        <v>1.1299999999999999</v>
      </c>
      <c r="J115" s="12">
        <f>E115/I115-1</f>
        <v>1.7610619469026552</v>
      </c>
      <c r="K115" s="11">
        <v>1.0897435897435899E-2</v>
      </c>
      <c r="L115" s="13">
        <v>1384865000</v>
      </c>
      <c r="M115" s="13">
        <v>23827484000</v>
      </c>
      <c r="N115" s="9" t="s">
        <v>51</v>
      </c>
      <c r="O115" s="6">
        <v>1.0683760683760684</v>
      </c>
      <c r="P115" s="12">
        <v>5.2547546143881782E-2</v>
      </c>
      <c r="Q115" s="12">
        <v>5.8120488088461209E-2</v>
      </c>
      <c r="R115" s="14">
        <v>84</v>
      </c>
    </row>
    <row r="116" spans="2:18" x14ac:dyDescent="0.5">
      <c r="B116" s="1" t="s">
        <v>140</v>
      </c>
      <c r="C116" t="s">
        <v>187</v>
      </c>
      <c r="D116" t="s">
        <v>188</v>
      </c>
      <c r="E116">
        <v>2.84</v>
      </c>
      <c r="F116" s="9" t="s">
        <v>68</v>
      </c>
      <c r="G116" s="7">
        <v>12197799936</v>
      </c>
      <c r="H116" s="6">
        <v>3.16</v>
      </c>
      <c r="I116" s="6">
        <v>1.93</v>
      </c>
      <c r="J116" s="12">
        <f>E116/I116-1</f>
        <v>0.47150259067357503</v>
      </c>
      <c r="K116" s="11">
        <v>3.9084507042253525E-2</v>
      </c>
      <c r="L116" s="13">
        <v>1938532000</v>
      </c>
      <c r="M116" s="13">
        <v>49986396000</v>
      </c>
      <c r="N116" s="9" t="s">
        <v>68</v>
      </c>
      <c r="O116" s="6">
        <v>1</v>
      </c>
      <c r="P116" s="12">
        <v>5.9234632244442961E-2</v>
      </c>
      <c r="Q116" s="12">
        <v>3.8781191586606881E-2</v>
      </c>
      <c r="R116" s="14">
        <v>85</v>
      </c>
    </row>
    <row r="117" spans="2:18" x14ac:dyDescent="0.5">
      <c r="B117" s="1" t="s">
        <v>391</v>
      </c>
      <c r="C117" t="s">
        <v>394</v>
      </c>
      <c r="D117" t="s">
        <v>151</v>
      </c>
      <c r="E117">
        <v>9.74</v>
      </c>
      <c r="F117" s="9" t="s">
        <v>68</v>
      </c>
      <c r="G117" s="7">
        <v>89122004992</v>
      </c>
      <c r="H117" s="6">
        <v>10.37</v>
      </c>
      <c r="I117" s="6">
        <v>7.31</v>
      </c>
      <c r="J117" s="12">
        <f>E117/I117-1</f>
        <v>0.33242134062927509</v>
      </c>
      <c r="K117" s="11">
        <v>5.9548254620123198E-2</v>
      </c>
      <c r="L117" s="13">
        <v>4532000000</v>
      </c>
      <c r="M117" s="13">
        <v>172303000000</v>
      </c>
      <c r="N117" s="9" t="s">
        <v>68</v>
      </c>
      <c r="O117" s="6">
        <v>1</v>
      </c>
      <c r="P117" s="12">
        <v>5.0490193270420626E-2</v>
      </c>
      <c r="Q117" s="12">
        <v>2.6302501987777345E-2</v>
      </c>
      <c r="R117" s="14">
        <v>86</v>
      </c>
    </row>
    <row r="118" spans="2:18" x14ac:dyDescent="0.5">
      <c r="B118" s="1" t="s">
        <v>387</v>
      </c>
      <c r="C118" t="s">
        <v>388</v>
      </c>
      <c r="D118" t="s">
        <v>85</v>
      </c>
      <c r="E118">
        <v>1.77</v>
      </c>
      <c r="F118" s="9" t="s">
        <v>68</v>
      </c>
      <c r="G118" s="7">
        <v>9799841792</v>
      </c>
      <c r="H118" s="6">
        <v>2.99</v>
      </c>
      <c r="I118" s="6">
        <v>0.91</v>
      </c>
      <c r="J118" s="12">
        <f>E118/I118-1</f>
        <v>0.94505494505494503</v>
      </c>
      <c r="K118" s="11">
        <v>0</v>
      </c>
      <c r="L118" s="13">
        <v>429393000</v>
      </c>
      <c r="M118" s="13">
        <v>18333659000</v>
      </c>
      <c r="N118" s="9" t="s">
        <v>68</v>
      </c>
      <c r="O118" s="6">
        <v>1</v>
      </c>
      <c r="P118" s="12">
        <v>4.3298474738103263E-2</v>
      </c>
      <c r="Q118" s="12">
        <v>2.3421020321148112E-2</v>
      </c>
      <c r="R118" s="14">
        <v>87</v>
      </c>
    </row>
    <row r="119" spans="2:18" x14ac:dyDescent="0.5">
      <c r="B119" s="1" t="s">
        <v>194</v>
      </c>
      <c r="C119" t="s">
        <v>195</v>
      </c>
      <c r="D119" t="s">
        <v>196</v>
      </c>
      <c r="E119">
        <v>80.150000000000006</v>
      </c>
      <c r="F119" s="9" t="s">
        <v>68</v>
      </c>
      <c r="G119" s="7">
        <v>770978152448</v>
      </c>
      <c r="H119" s="6">
        <v>93.5</v>
      </c>
      <c r="I119" s="6">
        <v>24.15</v>
      </c>
      <c r="J119" s="12">
        <f>E119/I119-1</f>
        <v>2.3188405797101455</v>
      </c>
      <c r="K119" s="11">
        <v>0</v>
      </c>
      <c r="L119" s="13">
        <v>984027000</v>
      </c>
      <c r="M119" s="13">
        <v>32183526000</v>
      </c>
      <c r="N119" s="9" t="s">
        <v>72</v>
      </c>
      <c r="O119" s="6">
        <v>7.6923076923076916</v>
      </c>
      <c r="P119" s="12">
        <v>9.330899214716231E-3</v>
      </c>
      <c r="Q119" s="12">
        <v>3.0575487595734537E-2</v>
      </c>
      <c r="R119" s="14">
        <v>88</v>
      </c>
    </row>
    <row r="120" spans="2:18" x14ac:dyDescent="0.5">
      <c r="B120" s="1" t="s">
        <v>114</v>
      </c>
      <c r="C120" t="s">
        <v>152</v>
      </c>
      <c r="D120" t="s">
        <v>153</v>
      </c>
      <c r="E120">
        <v>16.13</v>
      </c>
      <c r="F120" s="9" t="s">
        <v>68</v>
      </c>
      <c r="G120" s="7">
        <v>16565641216</v>
      </c>
      <c r="H120" s="6">
        <v>16.690000000000001</v>
      </c>
      <c r="I120" s="6">
        <v>10.94</v>
      </c>
      <c r="J120" s="12">
        <f>E120/I120-1</f>
        <v>0.47440585009140768</v>
      </c>
      <c r="K120" s="11">
        <v>6.695598264104155E-2</v>
      </c>
      <c r="L120" s="13">
        <v>984000000</v>
      </c>
      <c r="M120" s="13">
        <v>101944000000</v>
      </c>
      <c r="N120" s="9" t="s">
        <v>68</v>
      </c>
      <c r="O120" s="6">
        <v>1</v>
      </c>
      <c r="P120" s="12">
        <v>2.3701910200071039E-2</v>
      </c>
      <c r="Q120" s="12">
        <v>9.6523581574197593E-3</v>
      </c>
      <c r="R120" s="14">
        <v>89</v>
      </c>
    </row>
    <row r="121" spans="2:18" x14ac:dyDescent="0.5">
      <c r="B121" s="1" t="s">
        <v>131</v>
      </c>
      <c r="C121" t="s">
        <v>175</v>
      </c>
      <c r="D121" t="s">
        <v>174</v>
      </c>
      <c r="E121">
        <v>41.5</v>
      </c>
      <c r="F121" s="9" t="s">
        <v>68</v>
      </c>
      <c r="G121" s="7">
        <v>42391072768</v>
      </c>
      <c r="H121" s="6">
        <v>46.88</v>
      </c>
      <c r="I121" s="6">
        <v>22.4</v>
      </c>
      <c r="J121" s="12">
        <f>E121/I121-1</f>
        <v>0.85267857142857162</v>
      </c>
      <c r="K121" s="11">
        <v>0</v>
      </c>
      <c r="L121" s="13">
        <v>-90314000</v>
      </c>
      <c r="M121" s="13">
        <v>18374441000</v>
      </c>
      <c r="N121" s="9" t="s">
        <v>51</v>
      </c>
      <c r="O121" s="6">
        <v>1.0683760683760684</v>
      </c>
      <c r="P121" s="12">
        <v>-2.4689401139818224E-3</v>
      </c>
      <c r="Q121" s="12">
        <v>-4.9151971480384084E-3</v>
      </c>
      <c r="R121" s="14">
        <v>90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41.3</v>
      </c>
      <c r="F122" s="9" t="s">
        <v>68</v>
      </c>
      <c r="G122" s="7">
        <v>106857545728</v>
      </c>
      <c r="H122" s="6">
        <v>45.05</v>
      </c>
      <c r="I122" s="6">
        <v>31.1</v>
      </c>
      <c r="J122" s="12">
        <f>E122/I122-1</f>
        <v>0.32797427652733102</v>
      </c>
      <c r="K122" s="11">
        <v>6.593220338983051E-2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-4.3035174544562599E-2</v>
      </c>
      <c r="Q122" s="12">
        <v>-3.1158435700487111E-2</v>
      </c>
      <c r="R122" s="14">
        <v>91</v>
      </c>
    </row>
    <row r="123" spans="2:18" x14ac:dyDescent="0.5">
      <c r="B123" s="1" t="s">
        <v>455</v>
      </c>
      <c r="C123" t="s">
        <v>459</v>
      </c>
      <c r="D123" t="s">
        <v>167</v>
      </c>
      <c r="E123">
        <v>3.01</v>
      </c>
      <c r="F123" s="9" t="s">
        <v>68</v>
      </c>
      <c r="G123" s="7">
        <v>17648343040</v>
      </c>
      <c r="H123" s="6">
        <v>4.4400000000000004</v>
      </c>
      <c r="I123" s="6">
        <v>2.84</v>
      </c>
      <c r="J123" s="12">
        <f>E123/I123-1</f>
        <v>5.9859154929577496E-2</v>
      </c>
      <c r="K123" s="11">
        <v>4.651162790697675E-2</v>
      </c>
      <c r="L123" s="13">
        <v>-780356000</v>
      </c>
      <c r="M123" s="13">
        <v>8664599000</v>
      </c>
      <c r="N123" s="9" t="s">
        <v>68</v>
      </c>
      <c r="O123" s="6">
        <v>1</v>
      </c>
      <c r="P123" s="12">
        <v>-6.2270919429555621E-2</v>
      </c>
      <c r="Q123" s="12">
        <v>-9.0062563772426163E-2</v>
      </c>
      <c r="R123" s="14">
        <v>92</v>
      </c>
    </row>
    <row r="124" spans="2:18" x14ac:dyDescent="0.5">
      <c r="B124" s="1" t="s">
        <v>372</v>
      </c>
      <c r="C124" t="s">
        <v>374</v>
      </c>
      <c r="D124" t="s">
        <v>375</v>
      </c>
      <c r="E124">
        <v>3.27</v>
      </c>
      <c r="F124" s="9" t="s">
        <v>68</v>
      </c>
      <c r="G124" s="7">
        <v>6732271104</v>
      </c>
      <c r="H124" s="6">
        <v>3.64</v>
      </c>
      <c r="I124" s="6">
        <v>0.99</v>
      </c>
      <c r="J124" s="12">
        <f>E124/I124-1</f>
        <v>2.3030303030303032</v>
      </c>
      <c r="K124" s="11">
        <v>0</v>
      </c>
      <c r="L124" s="13">
        <v>-732033000</v>
      </c>
      <c r="M124" s="13">
        <v>7864121000</v>
      </c>
      <c r="N124" s="9" t="s">
        <v>51</v>
      </c>
      <c r="O124" s="6">
        <v>1.0683760683760684</v>
      </c>
      <c r="P124" s="12">
        <v>-0.48195427492990822</v>
      </c>
      <c r="Q124" s="12">
        <v>-9.3085164890011229E-2</v>
      </c>
      <c r="R124" s="14">
        <v>93</v>
      </c>
    </row>
    <row r="125" spans="2:18" x14ac:dyDescent="0.5">
      <c r="B125" s="1" t="s">
        <v>203</v>
      </c>
      <c r="C125" t="s">
        <v>229</v>
      </c>
      <c r="D125" t="s">
        <v>230</v>
      </c>
      <c r="E125">
        <v>6.92</v>
      </c>
      <c r="F125" s="9" t="s">
        <v>68</v>
      </c>
      <c r="G125" s="7">
        <v>664187895808</v>
      </c>
      <c r="H125" s="6">
        <v>7.62</v>
      </c>
      <c r="I125" s="6">
        <v>5.57</v>
      </c>
      <c r="J125" s="12">
        <f>E125/I125-1</f>
        <v>0.24236983842010762</v>
      </c>
      <c r="K125" s="11">
        <v>5.1011560693641614E-2</v>
      </c>
      <c r="M125" s="13">
        <v>2314289000000</v>
      </c>
      <c r="N125" s="9" t="s">
        <v>51</v>
      </c>
      <c r="O125" s="6">
        <v>1.0683760683760684</v>
      </c>
    </row>
    <row r="126" spans="2:18" x14ac:dyDescent="0.5">
      <c r="B126" s="1" t="s">
        <v>205</v>
      </c>
      <c r="C126" t="s">
        <v>232</v>
      </c>
      <c r="D126" t="s">
        <v>228</v>
      </c>
      <c r="E126">
        <v>5.73</v>
      </c>
      <c r="F126" s="9" t="s">
        <v>68</v>
      </c>
      <c r="G126" s="7">
        <v>781988069376</v>
      </c>
      <c r="H126" s="6">
        <v>5.95</v>
      </c>
      <c r="I126" s="6">
        <v>4.34</v>
      </c>
      <c r="J126" s="12">
        <f>E126/I126-1</f>
        <v>0.32027649769585276</v>
      </c>
      <c r="K126" s="11">
        <v>4.1361256544502616E-2</v>
      </c>
      <c r="M126" s="13">
        <v>1271649000000</v>
      </c>
      <c r="N126" s="9" t="s">
        <v>51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230</v>
      </c>
      <c r="E127">
        <v>6.07</v>
      </c>
      <c r="F127" s="9" t="s">
        <v>68</v>
      </c>
      <c r="G127" s="7">
        <v>2884125065216</v>
      </c>
      <c r="H127" s="6">
        <v>6.48</v>
      </c>
      <c r="I127" s="6">
        <v>4.5199999999999996</v>
      </c>
      <c r="J127" s="12">
        <f>E127/I127-1</f>
        <v>0.34292035398230114</v>
      </c>
      <c r="K127" s="11">
        <v>5.0411861614497525E-2</v>
      </c>
      <c r="M127" s="13">
        <v>6434377000000</v>
      </c>
      <c r="N127" s="9" t="s">
        <v>51</v>
      </c>
      <c r="O127" s="6">
        <v>1.0683760683760684</v>
      </c>
    </row>
    <row r="128" spans="2:18" x14ac:dyDescent="0.5">
      <c r="B128" s="1" t="s">
        <v>206</v>
      </c>
      <c r="C128" t="s">
        <v>233</v>
      </c>
      <c r="D128" t="s">
        <v>230</v>
      </c>
      <c r="E128">
        <v>7.93</v>
      </c>
      <c r="F128" s="9" t="s">
        <v>68</v>
      </c>
      <c r="G128" s="7">
        <v>2124636618752</v>
      </c>
      <c r="H128" s="6">
        <v>8.56</v>
      </c>
      <c r="I128" s="6">
        <v>5.8</v>
      </c>
      <c r="J128" s="12">
        <f>E128/I128-1</f>
        <v>0.36724137931034484</v>
      </c>
      <c r="K128" s="11">
        <v>4.9432534678436321E-2</v>
      </c>
      <c r="M128" s="13">
        <v>6128626000000</v>
      </c>
      <c r="N128" s="9" t="s">
        <v>51</v>
      </c>
      <c r="O128" s="6">
        <v>1.0683760683760684</v>
      </c>
    </row>
    <row r="129" spans="2:15" x14ac:dyDescent="0.5">
      <c r="B129" s="1" t="s">
        <v>207</v>
      </c>
      <c r="C129" t="s">
        <v>234</v>
      </c>
      <c r="D129" t="s">
        <v>228</v>
      </c>
      <c r="E129">
        <v>7.53</v>
      </c>
      <c r="F129" s="9" t="s">
        <v>68</v>
      </c>
      <c r="G129" s="7">
        <v>459415224320</v>
      </c>
      <c r="H129" s="6">
        <v>8.1199999999999992</v>
      </c>
      <c r="I129" s="6">
        <v>4.83</v>
      </c>
      <c r="J129" s="12">
        <f>E129/I129-1</f>
        <v>0.55900621118012417</v>
      </c>
      <c r="K129" s="11">
        <v>4.7543160690571046E-2</v>
      </c>
      <c r="M129" s="13">
        <v>2066897000000</v>
      </c>
      <c r="N129" s="9" t="s">
        <v>51</v>
      </c>
      <c r="O129" s="6">
        <v>1.0683760683760684</v>
      </c>
    </row>
    <row r="130" spans="2:15" x14ac:dyDescent="0.5">
      <c r="B130" s="1" t="s">
        <v>202</v>
      </c>
      <c r="C130" t="s">
        <v>227</v>
      </c>
      <c r="D130" t="s">
        <v>228</v>
      </c>
      <c r="E130">
        <v>38.14</v>
      </c>
      <c r="F130" s="9" t="s">
        <v>68</v>
      </c>
      <c r="G130" s="7">
        <v>403245858816</v>
      </c>
      <c r="H130" s="6">
        <v>39.24</v>
      </c>
      <c r="I130" s="6">
        <v>23.75</v>
      </c>
      <c r="J130" s="12">
        <f>E130/I130-1</f>
        <v>0.60589473684210526</v>
      </c>
      <c r="K130" s="11">
        <v>5.2412165705296276E-2</v>
      </c>
      <c r="M130" s="13">
        <v>415994000000</v>
      </c>
      <c r="N130" s="9" t="s">
        <v>68</v>
      </c>
      <c r="O130" s="6">
        <v>1</v>
      </c>
    </row>
  </sheetData>
  <autoFilter ref="B1:R20" xr:uid="{7A9EDF16-08C4-B24B-A5E4-CFD78B458569}">
    <sortState xmlns:xlrd2="http://schemas.microsoft.com/office/spreadsheetml/2017/richdata2" ref="B2:R130">
      <sortCondition ref="R1:R20"/>
    </sortState>
  </autoFilter>
  <conditionalFormatting sqref="J2:J1048576">
    <cfRule type="cellIs" dxfId="2" priority="1" operator="between">
      <formula>0</formula>
      <formula>0.1</formula>
    </cfRule>
    <cfRule type="cellIs" dxfId="3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7" priority="1" operator="between">
      <formula>0.100001</formula>
      <formula>0.2</formula>
    </cfRule>
    <cfRule type="cellIs" dxfId="6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6"/>
  <sheetViews>
    <sheetView zoomScale="89" zoomScaleNormal="100" workbookViewId="0">
      <selection activeCell="C10" sqref="C1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  <row r="36" spans="2:18" x14ac:dyDescent="0.5">
      <c r="B36" s="1" t="s">
        <v>466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5" priority="1" operator="between">
      <formula>0.10001</formula>
      <formula>0.2</formula>
    </cfRule>
    <cfRule type="cellIs" dxfId="4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B4" sqref="B4"/>
    </sheetView>
  </sheetViews>
  <sheetFormatPr defaultRowHeight="15.75" x14ac:dyDescent="0.5"/>
  <sheetData>
    <row r="1" spans="1:2" x14ac:dyDescent="0.5">
      <c r="A1" s="16" t="s">
        <v>446</v>
      </c>
      <c r="B1" s="16" t="s">
        <v>5</v>
      </c>
    </row>
    <row r="2" spans="1:2" x14ac:dyDescent="0.5">
      <c r="A2" t="s">
        <v>448</v>
      </c>
      <c r="B2" t="s">
        <v>447</v>
      </c>
    </row>
    <row r="3" spans="1:2" x14ac:dyDescent="0.5">
      <c r="A3" t="s">
        <v>450</v>
      </c>
      <c r="B3" t="s">
        <v>447</v>
      </c>
    </row>
    <row r="4" spans="1:2" x14ac:dyDescent="0.5">
      <c r="A4" t="s">
        <v>449</v>
      </c>
      <c r="B4" t="s">
        <v>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A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  <row r="5" spans="2:2" ht="220.5" x14ac:dyDescent="0.5">
      <c r="B5" s="17" t="s">
        <v>464</v>
      </c>
    </row>
    <row r="7" spans="2:2" ht="236.25" x14ac:dyDescent="0.5">
      <c r="B7" s="17" t="s">
        <v>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2025-10-30T03:08:33Z</dcterms:modified>
</cp:coreProperties>
</file>