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2D5773E-0C24-4006-9AFD-0CC0A5C9DF5D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4" l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2" i="3"/>
  <c r="J3" i="3"/>
  <c r="J4" i="3"/>
  <c r="J5" i="3"/>
  <c r="J6" i="3"/>
  <c r="J7" i="3"/>
  <c r="J8" i="3"/>
  <c r="J9" i="3"/>
  <c r="J10" i="3"/>
  <c r="J11" i="3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</calcChain>
</file>

<file path=xl/sharedStrings.xml><?xml version="1.0" encoding="utf-8"?>
<sst xmlns="http://schemas.openxmlformats.org/spreadsheetml/2006/main" count="509" uniqueCount="256">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</sst>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68"/>
  <sheetViews>
    <sheetView tabSelected="1" zoomScale="66" workbookViewId="0">
      <pane xSplit="3" ySplit="1" topLeftCell="D9" activePane="bottomRight" state="frozen"/>
      <selection pane="topRight" activeCell="D1" sqref="D1"/>
      <selection pane="bottomLeft" activeCell="A2" sqref="A2"/>
      <selection pane="bottomRight" activeCell="D21" sqref="D2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148</v>
      </c>
      <c r="D2" t="s">
        <v>149</v>
      </c>
      <c r="E2">
        <v>3.13</v>
      </c>
      <c r="F2" s="9" t="s">
        <v>68</v>
      </c>
      <c r="G2" s="7">
        <v>8755299328</v>
      </c>
      <c r="H2" s="6">
        <v>3.35</v>
      </c>
      <c r="I2" s="6">
        <v>2.36</v>
      </c>
      <c r="J2" s="12">
        <f t="shared" ref="J2:J33" si="0">E2/I2-1</f>
        <v>0.32627118644067798</v>
      </c>
      <c r="K2" s="11">
        <v>4.8881789137380192E-2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0.43860503555673142</v>
      </c>
      <c r="Q2" s="12">
        <v>0.28956319566547578</v>
      </c>
      <c r="R2" s="14">
        <v>1</v>
      </c>
    </row>
    <row r="3" spans="2:22" x14ac:dyDescent="0.5">
      <c r="B3" s="1" t="s">
        <v>21</v>
      </c>
      <c r="C3" t="s">
        <v>76</v>
      </c>
      <c r="D3" t="s">
        <v>77</v>
      </c>
      <c r="E3">
        <v>13.16</v>
      </c>
      <c r="F3" s="9" t="s">
        <v>68</v>
      </c>
      <c r="G3" s="7">
        <v>257500397568</v>
      </c>
      <c r="H3" s="6">
        <v>15.14</v>
      </c>
      <c r="I3" s="6">
        <v>9.52</v>
      </c>
      <c r="J3" s="12">
        <f t="shared" si="0"/>
        <v>0.38235294117647056</v>
      </c>
      <c r="K3" s="11">
        <v>0.11778115501519756</v>
      </c>
      <c r="L3" s="13">
        <v>70144988000</v>
      </c>
      <c r="M3" s="13">
        <v>269343749000</v>
      </c>
      <c r="N3" s="9" t="s">
        <v>51</v>
      </c>
      <c r="O3" s="6">
        <v>1.0683760683760684</v>
      </c>
      <c r="P3" s="12">
        <v>0.52719360007237348</v>
      </c>
      <c r="Q3" s="12">
        <v>0.26042924055386191</v>
      </c>
      <c r="R3" s="14">
        <v>2</v>
      </c>
    </row>
    <row r="4" spans="2:22" x14ac:dyDescent="0.5">
      <c r="B4" s="1" t="s">
        <v>31</v>
      </c>
      <c r="C4" t="s">
        <v>94</v>
      </c>
      <c r="D4" t="s">
        <v>75</v>
      </c>
      <c r="E4">
        <v>2.88</v>
      </c>
      <c r="F4" s="9" t="s">
        <v>68</v>
      </c>
      <c r="G4" s="7">
        <v>17859514368</v>
      </c>
      <c r="H4" s="6">
        <v>5.19</v>
      </c>
      <c r="I4" s="6">
        <v>2.11</v>
      </c>
      <c r="J4" s="12">
        <f t="shared" si="0"/>
        <v>0.36492890995260674</v>
      </c>
      <c r="K4" s="11">
        <v>5.5555555555555559E-2</v>
      </c>
      <c r="L4" s="13">
        <v>2906500000</v>
      </c>
      <c r="M4" s="13">
        <v>10569000000</v>
      </c>
      <c r="N4" s="9" t="s">
        <v>51</v>
      </c>
      <c r="O4" s="6">
        <v>1.0683760683760684</v>
      </c>
      <c r="P4" s="12">
        <v>0.16638325081256819</v>
      </c>
      <c r="Q4" s="12">
        <v>0.27500236540826944</v>
      </c>
      <c r="R4" s="14">
        <v>5</v>
      </c>
    </row>
    <row r="5" spans="2:22" x14ac:dyDescent="0.5">
      <c r="B5" s="1" t="s">
        <v>24</v>
      </c>
      <c r="C5" t="s">
        <v>82</v>
      </c>
      <c r="D5" t="s">
        <v>83</v>
      </c>
      <c r="E5">
        <v>15.26</v>
      </c>
      <c r="F5" s="9" t="s">
        <v>68</v>
      </c>
      <c r="G5" s="7">
        <v>31766437888</v>
      </c>
      <c r="H5" s="6">
        <v>15.48</v>
      </c>
      <c r="I5" s="6">
        <v>7.96</v>
      </c>
      <c r="J5" s="12">
        <f t="shared" si="0"/>
        <v>0.91708542713567831</v>
      </c>
      <c r="K5" s="11">
        <v>7.3394495412844041E-2</v>
      </c>
      <c r="L5" s="13">
        <v>5451928473.2399998</v>
      </c>
      <c r="M5" s="13">
        <v>25994816572.18</v>
      </c>
      <c r="N5" s="9" t="s">
        <v>51</v>
      </c>
      <c r="O5" s="6">
        <v>1.0683760683760684</v>
      </c>
      <c r="P5" s="12">
        <v>0.16532397994525591</v>
      </c>
      <c r="Q5" s="12">
        <v>0.20973136925592797</v>
      </c>
      <c r="R5" s="14">
        <v>7</v>
      </c>
    </row>
    <row r="6" spans="2:22" x14ac:dyDescent="0.5">
      <c r="B6" s="1" t="s">
        <v>110</v>
      </c>
      <c r="C6" t="s">
        <v>146</v>
      </c>
      <c r="D6" t="s">
        <v>147</v>
      </c>
      <c r="E6">
        <v>2.68</v>
      </c>
      <c r="F6" s="9" t="s">
        <v>68</v>
      </c>
      <c r="G6" s="7">
        <v>13644067840</v>
      </c>
      <c r="H6" s="6">
        <v>3.35</v>
      </c>
      <c r="I6" s="6">
        <v>2.23</v>
      </c>
      <c r="J6" s="12">
        <f t="shared" si="0"/>
        <v>0.20179372197309431</v>
      </c>
      <c r="K6" s="11">
        <v>0.11194029850746268</v>
      </c>
      <c r="L6" s="13">
        <v>2527643000</v>
      </c>
      <c r="M6" s="13">
        <v>16480074000</v>
      </c>
      <c r="N6" s="9" t="s">
        <v>68</v>
      </c>
      <c r="O6" s="6">
        <v>1</v>
      </c>
      <c r="P6" s="12">
        <v>0.42044234972482353</v>
      </c>
      <c r="Q6" s="12">
        <v>0.15337570692947131</v>
      </c>
      <c r="R6" s="14">
        <v>7</v>
      </c>
    </row>
    <row r="7" spans="2:22" x14ac:dyDescent="0.5">
      <c r="B7" s="1" t="s">
        <v>144</v>
      </c>
      <c r="C7" t="s">
        <v>194</v>
      </c>
      <c r="D7" t="s">
        <v>182</v>
      </c>
      <c r="E7">
        <v>9.1300000000000008</v>
      </c>
      <c r="F7" s="9" t="s">
        <v>68</v>
      </c>
      <c r="G7" s="7">
        <v>113254916096</v>
      </c>
      <c r="H7" s="6">
        <v>13.6</v>
      </c>
      <c r="I7" s="6">
        <v>6.57</v>
      </c>
      <c r="J7" s="12">
        <f t="shared" si="0"/>
        <v>0.38964992389649922</v>
      </c>
      <c r="K7" s="11">
        <v>5.4764512595837896E-3</v>
      </c>
      <c r="L7" s="13">
        <v>2125459000</v>
      </c>
      <c r="M7" s="13">
        <v>9202253000</v>
      </c>
      <c r="N7" s="9" t="s">
        <v>72</v>
      </c>
      <c r="O7" s="6">
        <v>7.6923076923076916</v>
      </c>
      <c r="P7" s="12">
        <v>0.14052624188977578</v>
      </c>
      <c r="Q7" s="12">
        <v>0.23097158924015673</v>
      </c>
      <c r="R7" s="14">
        <v>8</v>
      </c>
    </row>
    <row r="8" spans="2:22" x14ac:dyDescent="0.5">
      <c r="B8" s="1" t="s">
        <v>25</v>
      </c>
      <c r="C8" t="s">
        <v>84</v>
      </c>
      <c r="D8" t="s">
        <v>50</v>
      </c>
      <c r="E8">
        <v>6.36</v>
      </c>
      <c r="F8" s="9" t="s">
        <v>68</v>
      </c>
      <c r="G8" s="7">
        <v>7920871424</v>
      </c>
      <c r="H8" s="6">
        <v>8.6</v>
      </c>
      <c r="I8" s="6">
        <v>3.46</v>
      </c>
      <c r="J8" s="12">
        <f t="shared" si="0"/>
        <v>0.83815028901734112</v>
      </c>
      <c r="K8" s="11">
        <v>2.2169811320754712E-2</v>
      </c>
      <c r="L8" s="13">
        <v>921702000</v>
      </c>
      <c r="M8" s="13">
        <v>5262544000</v>
      </c>
      <c r="N8" s="9" t="s">
        <v>51</v>
      </c>
      <c r="O8" s="6">
        <v>1.0683760683760684</v>
      </c>
      <c r="P8" s="12">
        <v>0.18022120457207247</v>
      </c>
      <c r="Q8" s="12">
        <v>0.17514380877385538</v>
      </c>
      <c r="R8" s="14">
        <v>9</v>
      </c>
    </row>
    <row r="9" spans="2:22" x14ac:dyDescent="0.5">
      <c r="B9" s="1" t="s">
        <v>32</v>
      </c>
      <c r="C9" t="s">
        <v>95</v>
      </c>
      <c r="D9" t="s">
        <v>96</v>
      </c>
      <c r="E9">
        <v>14.18</v>
      </c>
      <c r="F9" s="9" t="s">
        <v>68</v>
      </c>
      <c r="G9" s="7">
        <v>11801843712</v>
      </c>
      <c r="H9" s="6">
        <v>19.440000000000001</v>
      </c>
      <c r="I9" s="6">
        <v>12.12</v>
      </c>
      <c r="J9" s="12">
        <f t="shared" si="0"/>
        <v>0.16996699669966997</v>
      </c>
      <c r="K9" s="11">
        <v>1.0437235543018335E-2</v>
      </c>
      <c r="L9" s="13">
        <v>199557000</v>
      </c>
      <c r="M9" s="13">
        <v>1108087000</v>
      </c>
      <c r="N9" s="9" t="s">
        <v>72</v>
      </c>
      <c r="O9" s="6">
        <v>7.6923076923076916</v>
      </c>
      <c r="P9" s="12">
        <v>0.1777488698356014</v>
      </c>
      <c r="Q9" s="12">
        <v>0.18009145491283626</v>
      </c>
      <c r="R9" s="14">
        <v>9</v>
      </c>
    </row>
    <row r="10" spans="2:22" x14ac:dyDescent="0.5">
      <c r="B10" s="1" t="s">
        <v>20</v>
      </c>
      <c r="C10" t="s">
        <v>73</v>
      </c>
      <c r="D10" t="s">
        <v>74</v>
      </c>
      <c r="E10">
        <v>2.3199999999999998</v>
      </c>
      <c r="F10" s="9" t="s">
        <v>68</v>
      </c>
      <c r="G10" s="7">
        <v>2412359168</v>
      </c>
      <c r="H10" s="6">
        <v>3.34</v>
      </c>
      <c r="I10" s="6">
        <v>1.92</v>
      </c>
      <c r="J10" s="12">
        <f t="shared" si="0"/>
        <v>0.20833333333333326</v>
      </c>
      <c r="K10" s="11">
        <v>0.12586206896551724</v>
      </c>
      <c r="L10" s="13">
        <v>762183000</v>
      </c>
      <c r="M10" s="13">
        <v>5008319000</v>
      </c>
      <c r="N10" s="9" t="s">
        <v>68</v>
      </c>
      <c r="O10" s="6">
        <v>1</v>
      </c>
      <c r="P10" s="12">
        <v>0.24139590873418154</v>
      </c>
      <c r="Q10" s="12">
        <v>0.15218339726363278</v>
      </c>
      <c r="R10" s="14">
        <v>10</v>
      </c>
    </row>
    <row r="11" spans="2:22" x14ac:dyDescent="0.5">
      <c r="B11" s="1" t="s">
        <v>34</v>
      </c>
      <c r="C11" t="s">
        <v>99</v>
      </c>
      <c r="D11" t="s">
        <v>71</v>
      </c>
      <c r="E11">
        <v>4.3899999999999997</v>
      </c>
      <c r="F11" s="9" t="s">
        <v>68</v>
      </c>
      <c r="G11" s="7">
        <v>50623721472</v>
      </c>
      <c r="H11" s="6">
        <v>5.14</v>
      </c>
      <c r="I11" s="6">
        <v>3.46</v>
      </c>
      <c r="J11" s="12">
        <f t="shared" si="0"/>
        <v>0.26878612716762995</v>
      </c>
      <c r="K11" s="11">
        <v>5.3758542141230069E-2</v>
      </c>
      <c r="L11" s="13">
        <v>4734613000</v>
      </c>
      <c r="M11" s="13">
        <v>16213395000</v>
      </c>
      <c r="N11" s="9" t="s">
        <v>51</v>
      </c>
      <c r="O11" s="6">
        <v>1.0683760683760684</v>
      </c>
      <c r="P11" s="12">
        <v>0.10669492405071343</v>
      </c>
      <c r="Q11" s="12">
        <v>0.29201860560357656</v>
      </c>
      <c r="R11" s="14">
        <v>8</v>
      </c>
    </row>
    <row r="12" spans="2:22" x14ac:dyDescent="0.5">
      <c r="B12" s="1" t="s">
        <v>22</v>
      </c>
      <c r="C12" t="s">
        <v>78</v>
      </c>
      <c r="D12" t="s">
        <v>79</v>
      </c>
      <c r="E12">
        <v>8.5500000000000007</v>
      </c>
      <c r="F12" s="9" t="s">
        <v>68</v>
      </c>
      <c r="G12" s="7">
        <v>140669730816</v>
      </c>
      <c r="H12" s="6">
        <v>10.76</v>
      </c>
      <c r="I12" s="6">
        <v>7.16</v>
      </c>
      <c r="J12" s="12">
        <f t="shared" si="0"/>
        <v>0.19413407821229067</v>
      </c>
      <c r="K12" s="11">
        <v>5.6023391812865489E-2</v>
      </c>
      <c r="L12" s="13">
        <v>32866046000</v>
      </c>
      <c r="M12" s="13">
        <v>215280386000</v>
      </c>
      <c r="N12" s="9" t="s">
        <v>51</v>
      </c>
      <c r="O12" s="6">
        <v>1.0683760683760684</v>
      </c>
      <c r="P12" s="12">
        <v>0.19770691217459413</v>
      </c>
      <c r="Q12" s="12">
        <v>0.15266623500015464</v>
      </c>
      <c r="R12" s="14">
        <v>11</v>
      </c>
    </row>
    <row r="13" spans="2:22" x14ac:dyDescent="0.5">
      <c r="B13" s="1" t="s">
        <v>23</v>
      </c>
      <c r="C13" t="s">
        <v>80</v>
      </c>
      <c r="D13" t="s">
        <v>81</v>
      </c>
      <c r="E13">
        <v>7.9</v>
      </c>
      <c r="F13" s="9" t="s">
        <v>68</v>
      </c>
      <c r="G13" s="7">
        <v>68406104064</v>
      </c>
      <c r="H13" s="6">
        <v>9.23</v>
      </c>
      <c r="I13" s="6">
        <v>7.08</v>
      </c>
      <c r="J13" s="12">
        <f t="shared" si="0"/>
        <v>0.11581920903954801</v>
      </c>
      <c r="K13" s="11">
        <v>0.04</v>
      </c>
      <c r="L13" s="13">
        <v>13438000000</v>
      </c>
      <c r="M13" s="13">
        <v>88611000000</v>
      </c>
      <c r="N13" s="9" t="s">
        <v>51</v>
      </c>
      <c r="O13" s="6">
        <v>1.0683760683760684</v>
      </c>
      <c r="P13" s="12">
        <v>0.22218873682092952</v>
      </c>
      <c r="Q13" s="12">
        <v>0.15165160081705431</v>
      </c>
      <c r="R13" s="14">
        <v>11</v>
      </c>
    </row>
    <row r="14" spans="2:22" x14ac:dyDescent="0.5">
      <c r="B14" s="1" t="s">
        <v>29</v>
      </c>
      <c r="C14" t="s">
        <v>91</v>
      </c>
      <c r="D14" t="s">
        <v>87</v>
      </c>
      <c r="E14">
        <v>5.21</v>
      </c>
      <c r="F14" s="9" t="s">
        <v>68</v>
      </c>
      <c r="G14" s="7">
        <v>61494153216</v>
      </c>
      <c r="H14" s="6">
        <v>5.77</v>
      </c>
      <c r="I14" s="6">
        <v>4.12</v>
      </c>
      <c r="J14" s="12">
        <f t="shared" si="0"/>
        <v>0.2645631067961165</v>
      </c>
      <c r="K14" s="11">
        <v>4.5681381957773513E-2</v>
      </c>
      <c r="L14" s="13">
        <v>5687261000</v>
      </c>
      <c r="M14" s="13">
        <v>21716551000</v>
      </c>
      <c r="N14" s="9" t="s">
        <v>51</v>
      </c>
      <c r="O14" s="6">
        <v>1.0683760683760684</v>
      </c>
      <c r="P14" s="12">
        <v>0.10402155086679897</v>
      </c>
      <c r="Q14" s="12">
        <v>0.26188601495697911</v>
      </c>
      <c r="R14" s="14">
        <v>13</v>
      </c>
    </row>
    <row r="15" spans="2:22" x14ac:dyDescent="0.5">
      <c r="B15" s="1" t="s">
        <v>27</v>
      </c>
      <c r="C15" t="s">
        <v>88</v>
      </c>
      <c r="D15" t="s">
        <v>89</v>
      </c>
      <c r="E15">
        <v>5.36</v>
      </c>
      <c r="F15" s="9" t="s">
        <v>68</v>
      </c>
      <c r="G15" s="7">
        <v>5679349248</v>
      </c>
      <c r="H15" s="6">
        <v>5.99</v>
      </c>
      <c r="I15" s="6">
        <v>3.97</v>
      </c>
      <c r="J15" s="12">
        <f t="shared" si="0"/>
        <v>0.35012594458438295</v>
      </c>
      <c r="K15" s="11">
        <v>9.141791044776118E-2</v>
      </c>
      <c r="L15" s="13">
        <v>866801000</v>
      </c>
      <c r="M15" s="13">
        <v>7530053000</v>
      </c>
      <c r="N15" s="9" t="s">
        <v>68</v>
      </c>
      <c r="O15" s="6">
        <v>1</v>
      </c>
      <c r="P15" s="12">
        <v>0.32300218808614228</v>
      </c>
      <c r="Q15" s="12">
        <v>0.11511220438953086</v>
      </c>
      <c r="R15" s="14">
        <v>13</v>
      </c>
    </row>
    <row r="16" spans="2:22" x14ac:dyDescent="0.5">
      <c r="B16" s="1" t="s">
        <v>19</v>
      </c>
      <c r="C16" t="s">
        <v>70</v>
      </c>
      <c r="D16" t="s">
        <v>71</v>
      </c>
      <c r="E16">
        <v>4.99</v>
      </c>
      <c r="F16" s="9" t="s">
        <v>68</v>
      </c>
      <c r="G16" s="7">
        <v>14235571200</v>
      </c>
      <c r="H16" s="6">
        <v>6.21</v>
      </c>
      <c r="I16" s="6">
        <v>3.22</v>
      </c>
      <c r="J16" s="12">
        <f t="shared" si="0"/>
        <v>0.54968944099378869</v>
      </c>
      <c r="K16" s="11">
        <v>8.4168336673346687E-3</v>
      </c>
      <c r="L16" s="13">
        <v>259348000</v>
      </c>
      <c r="M16" s="13">
        <v>1677627000</v>
      </c>
      <c r="N16" s="9" t="s">
        <v>72</v>
      </c>
      <c r="O16" s="6">
        <v>7.6923076923076916</v>
      </c>
      <c r="P16" s="12">
        <v>0.16223361728966321</v>
      </c>
      <c r="Q16" s="12">
        <v>0.15459217096529801</v>
      </c>
      <c r="R16" s="14">
        <v>15</v>
      </c>
    </row>
    <row r="17" spans="2:18" x14ac:dyDescent="0.5">
      <c r="B17" s="1" t="s">
        <v>28</v>
      </c>
      <c r="C17" t="s">
        <v>90</v>
      </c>
      <c r="D17" t="s">
        <v>87</v>
      </c>
      <c r="E17">
        <v>5.75</v>
      </c>
      <c r="F17" s="9" t="s">
        <v>68</v>
      </c>
      <c r="G17" s="7">
        <v>52136685568</v>
      </c>
      <c r="H17" s="6">
        <v>7.38</v>
      </c>
      <c r="I17" s="6">
        <v>3.39</v>
      </c>
      <c r="J17" s="12">
        <f t="shared" si="0"/>
        <v>0.69616519174041303</v>
      </c>
      <c r="K17" s="11">
        <v>5.3391304347826088E-2</v>
      </c>
      <c r="L17" s="13">
        <v>5594372000</v>
      </c>
      <c r="M17" s="13">
        <v>26933044000</v>
      </c>
      <c r="N17" s="9" t="s">
        <v>51</v>
      </c>
      <c r="O17" s="6">
        <v>1.0683760683760684</v>
      </c>
      <c r="P17" s="12">
        <v>0.13792889650292511</v>
      </c>
      <c r="Q17" s="12">
        <v>0.20771406306691512</v>
      </c>
      <c r="R17" s="14">
        <v>12</v>
      </c>
    </row>
    <row r="18" spans="2:18" x14ac:dyDescent="0.5">
      <c r="B18" s="1" t="s">
        <v>124</v>
      </c>
      <c r="C18" t="s">
        <v>166</v>
      </c>
      <c r="D18" t="s">
        <v>77</v>
      </c>
      <c r="E18">
        <v>4.84</v>
      </c>
      <c r="F18" s="9" t="s">
        <v>68</v>
      </c>
      <c r="G18" s="7">
        <v>7095295488</v>
      </c>
      <c r="H18" s="6">
        <v>5.04</v>
      </c>
      <c r="I18" s="6">
        <v>3.45</v>
      </c>
      <c r="J18" s="12">
        <f t="shared" si="0"/>
        <v>0.40289855072463765</v>
      </c>
      <c r="K18" s="11">
        <v>9.9173553719008267E-2</v>
      </c>
      <c r="L18" s="13">
        <v>784607000</v>
      </c>
      <c r="M18" s="13">
        <v>7872586000</v>
      </c>
      <c r="N18" s="9" t="s">
        <v>68</v>
      </c>
      <c r="O18" s="6">
        <v>1</v>
      </c>
      <c r="P18" s="12">
        <v>0.57070898782144941</v>
      </c>
      <c r="Q18" s="12">
        <v>9.9663185641922489E-2</v>
      </c>
      <c r="R18" s="14">
        <v>14</v>
      </c>
    </row>
    <row r="19" spans="2:18" x14ac:dyDescent="0.5">
      <c r="B19" s="1" t="s">
        <v>118</v>
      </c>
      <c r="C19" t="s">
        <v>159</v>
      </c>
      <c r="D19" t="s">
        <v>85</v>
      </c>
      <c r="E19">
        <v>96.85</v>
      </c>
      <c r="F19" s="9" t="s">
        <v>68</v>
      </c>
      <c r="G19" s="7">
        <v>270018756608</v>
      </c>
      <c r="H19" s="6">
        <v>107.5</v>
      </c>
      <c r="I19" s="6">
        <v>65.55</v>
      </c>
      <c r="J19" s="12">
        <f t="shared" si="0"/>
        <v>0.47749809305873381</v>
      </c>
      <c r="K19" s="11">
        <v>2.2901393908105319E-2</v>
      </c>
      <c r="L19" s="13">
        <v>22510000000</v>
      </c>
      <c r="M19" s="13">
        <v>82545000000</v>
      </c>
      <c r="N19" s="9" t="s">
        <v>51</v>
      </c>
      <c r="O19" s="6">
        <v>1.0683760683760684</v>
      </c>
      <c r="P19" s="12">
        <v>8.3535102773332204E-2</v>
      </c>
      <c r="Q19" s="12">
        <v>0.27269973953601068</v>
      </c>
      <c r="R19" s="14">
        <v>16</v>
      </c>
    </row>
    <row r="20" spans="2:18" x14ac:dyDescent="0.5">
      <c r="B20" s="1" t="s">
        <v>113</v>
      </c>
      <c r="C20" t="s">
        <v>151</v>
      </c>
      <c r="D20" t="s">
        <v>152</v>
      </c>
      <c r="E20">
        <v>4.2</v>
      </c>
      <c r="F20" s="9" t="s">
        <v>68</v>
      </c>
      <c r="G20" s="7">
        <v>6028722176</v>
      </c>
      <c r="H20" s="6">
        <v>7.92</v>
      </c>
      <c r="I20" s="6">
        <v>2.36</v>
      </c>
      <c r="J20" s="12">
        <f t="shared" si="0"/>
        <v>0.77966101694915269</v>
      </c>
      <c r="K20" s="11">
        <v>6.0476190476190475E-2</v>
      </c>
      <c r="L20" s="13">
        <v>811880000</v>
      </c>
      <c r="M20" s="13">
        <v>5532140000</v>
      </c>
      <c r="N20" s="9" t="s">
        <v>51</v>
      </c>
      <c r="O20" s="6">
        <v>1.0683760683760684</v>
      </c>
      <c r="P20" s="12">
        <v>0.14917127088890111</v>
      </c>
      <c r="Q20" s="12">
        <v>0.14675695119790894</v>
      </c>
      <c r="R20" s="14">
        <v>19</v>
      </c>
    </row>
    <row r="21" spans="2:18" x14ac:dyDescent="0.5">
      <c r="B21" s="1" t="s">
        <v>140</v>
      </c>
      <c r="C21" t="s">
        <v>188</v>
      </c>
      <c r="D21" t="s">
        <v>87</v>
      </c>
      <c r="E21">
        <v>13.12</v>
      </c>
      <c r="F21" s="9" t="s">
        <v>68</v>
      </c>
      <c r="G21" s="7">
        <v>73923854336</v>
      </c>
      <c r="H21" s="6">
        <v>14.24</v>
      </c>
      <c r="I21" s="6">
        <v>8.81</v>
      </c>
      <c r="J21" s="12">
        <f t="shared" si="0"/>
        <v>0.48921679909194071</v>
      </c>
      <c r="K21" s="11">
        <v>2.5228658536585367E-2</v>
      </c>
      <c r="L21" s="13">
        <v>6482967000</v>
      </c>
      <c r="M21" s="13">
        <v>27483863000</v>
      </c>
      <c r="N21" s="9" t="s">
        <v>51</v>
      </c>
      <c r="O21" s="6">
        <v>1.0683760683760684</v>
      </c>
      <c r="P21" s="12">
        <v>8.6218742696708636E-2</v>
      </c>
      <c r="Q21" s="12">
        <v>0.23588267049650188</v>
      </c>
      <c r="R21" s="14">
        <v>17</v>
      </c>
    </row>
    <row r="22" spans="2:18" x14ac:dyDescent="0.5">
      <c r="B22" s="1" t="s">
        <v>143</v>
      </c>
      <c r="C22" t="s">
        <v>192</v>
      </c>
      <c r="D22" t="s">
        <v>109</v>
      </c>
      <c r="E22">
        <v>49.9</v>
      </c>
      <c r="F22" s="9" t="s">
        <v>68</v>
      </c>
      <c r="G22" s="7">
        <v>127685124096</v>
      </c>
      <c r="H22" s="6">
        <v>71.7</v>
      </c>
      <c r="I22" s="6">
        <v>43.55</v>
      </c>
      <c r="J22" s="12">
        <f t="shared" si="0"/>
        <v>0.14580941446613083</v>
      </c>
      <c r="K22" s="11">
        <v>3.2865731462925853E-3</v>
      </c>
      <c r="L22" s="13">
        <v>1279098000</v>
      </c>
      <c r="M22" s="13">
        <v>4811702000</v>
      </c>
      <c r="N22" s="9" t="s">
        <v>193</v>
      </c>
      <c r="O22" s="6">
        <v>8.7546153846153842</v>
      </c>
      <c r="P22" s="12">
        <v>7.8180749364385127E-2</v>
      </c>
      <c r="Q22" s="12">
        <v>0.26583067696212276</v>
      </c>
      <c r="R22" s="14">
        <v>18</v>
      </c>
    </row>
    <row r="23" spans="2:18" x14ac:dyDescent="0.5">
      <c r="B23" s="1" t="s">
        <v>133</v>
      </c>
      <c r="C23" t="s">
        <v>177</v>
      </c>
      <c r="D23" t="s">
        <v>178</v>
      </c>
      <c r="E23">
        <v>18.34</v>
      </c>
      <c r="F23" s="9" t="s">
        <v>68</v>
      </c>
      <c r="G23" s="7">
        <v>518143541248</v>
      </c>
      <c r="H23" s="6">
        <v>19.260000000000002</v>
      </c>
      <c r="I23" s="6">
        <v>13.52</v>
      </c>
      <c r="J23" s="12">
        <f t="shared" si="0"/>
        <v>0.35650887573964507</v>
      </c>
      <c r="K23" s="11">
        <v>2.0719738276990186E-2</v>
      </c>
      <c r="L23" s="13">
        <v>52374992116</v>
      </c>
      <c r="M23" s="13">
        <v>269573093476</v>
      </c>
      <c r="N23" s="9" t="s">
        <v>51</v>
      </c>
      <c r="O23" s="6">
        <v>1.0683760683760684</v>
      </c>
      <c r="P23" s="12">
        <v>8.7100929788278658E-2</v>
      </c>
      <c r="Q23" s="12">
        <v>0.19428864891763736</v>
      </c>
      <c r="R23" s="14">
        <v>20</v>
      </c>
    </row>
    <row r="24" spans="2:18" x14ac:dyDescent="0.5">
      <c r="B24" s="1" t="s">
        <v>37</v>
      </c>
      <c r="C24" t="s">
        <v>103</v>
      </c>
      <c r="D24" t="s">
        <v>104</v>
      </c>
      <c r="E24">
        <v>6.25</v>
      </c>
      <c r="F24" s="9" t="s">
        <v>68</v>
      </c>
      <c r="G24" s="7">
        <v>4870012416</v>
      </c>
      <c r="H24" s="6">
        <v>8.09</v>
      </c>
      <c r="I24" s="6">
        <v>4.0199999999999996</v>
      </c>
      <c r="J24" s="12">
        <f t="shared" si="0"/>
        <v>0.55472636815920406</v>
      </c>
      <c r="K24" s="11">
        <v>2.7200000000000002E-2</v>
      </c>
      <c r="L24" s="13">
        <v>437453000</v>
      </c>
      <c r="M24" s="13">
        <v>4911072000</v>
      </c>
      <c r="N24" s="9" t="s">
        <v>68</v>
      </c>
      <c r="O24" s="6">
        <v>1</v>
      </c>
      <c r="P24" s="12">
        <v>0.16951840721592248</v>
      </c>
      <c r="Q24" s="12">
        <v>8.9074849645861431E-2</v>
      </c>
      <c r="R24" s="14">
        <v>23</v>
      </c>
    </row>
    <row r="25" spans="2:18" x14ac:dyDescent="0.5">
      <c r="B25" s="1" t="s">
        <v>35</v>
      </c>
      <c r="C25" t="s">
        <v>100</v>
      </c>
      <c r="D25" t="s">
        <v>101</v>
      </c>
      <c r="E25">
        <v>402.4</v>
      </c>
      <c r="F25" s="9" t="s">
        <v>68</v>
      </c>
      <c r="G25" s="7">
        <v>508569223168</v>
      </c>
      <c r="H25" s="6">
        <v>409.2</v>
      </c>
      <c r="I25" s="6">
        <v>218.4</v>
      </c>
      <c r="J25" s="12">
        <f t="shared" si="0"/>
        <v>0.84249084249084238</v>
      </c>
      <c r="K25" s="11">
        <v>2.301192842942346E-2</v>
      </c>
      <c r="L25" s="13">
        <v>20744000000</v>
      </c>
      <c r="M25" s="13">
        <v>53852000000</v>
      </c>
      <c r="N25" s="9" t="s">
        <v>68</v>
      </c>
      <c r="O25" s="6">
        <v>1</v>
      </c>
      <c r="P25" s="12">
        <v>5.5243936509172288E-2</v>
      </c>
      <c r="Q25" s="12">
        <v>0.38520389214885242</v>
      </c>
      <c r="R25" s="14">
        <v>21</v>
      </c>
    </row>
    <row r="26" spans="2:18" x14ac:dyDescent="0.5">
      <c r="B26" s="1" t="s">
        <v>120</v>
      </c>
      <c r="C26" t="s">
        <v>161</v>
      </c>
      <c r="D26" t="s">
        <v>69</v>
      </c>
      <c r="E26">
        <v>6.19</v>
      </c>
      <c r="F26" s="9" t="s">
        <v>68</v>
      </c>
      <c r="G26" s="7">
        <v>10069335040</v>
      </c>
      <c r="H26" s="6">
        <v>7.05</v>
      </c>
      <c r="I26" s="6">
        <v>4.2699999999999996</v>
      </c>
      <c r="J26" s="12">
        <f t="shared" si="0"/>
        <v>0.44964871194379419</v>
      </c>
      <c r="K26" s="11">
        <v>4.5234248788368341E-2</v>
      </c>
      <c r="L26" s="13">
        <v>4094312000</v>
      </c>
      <c r="M26" s="13">
        <v>37637054000</v>
      </c>
      <c r="N26" s="9" t="s">
        <v>68</v>
      </c>
      <c r="O26" s="6">
        <v>1</v>
      </c>
      <c r="P26" s="12">
        <v>0.13430259995228902</v>
      </c>
      <c r="Q26" s="12">
        <v>0.10878407220713927</v>
      </c>
      <c r="R26" s="14">
        <v>23</v>
      </c>
    </row>
    <row r="27" spans="2:18" x14ac:dyDescent="0.5">
      <c r="B27" s="1" t="s">
        <v>125</v>
      </c>
      <c r="C27" t="s">
        <v>167</v>
      </c>
      <c r="D27" t="s">
        <v>168</v>
      </c>
      <c r="E27">
        <v>21.95</v>
      </c>
      <c r="F27" s="9" t="s">
        <v>68</v>
      </c>
      <c r="G27" s="7">
        <v>24970758144</v>
      </c>
      <c r="H27" s="6">
        <v>28.75</v>
      </c>
      <c r="I27" s="6">
        <v>19.52</v>
      </c>
      <c r="J27" s="12">
        <f t="shared" si="0"/>
        <v>0.12448770491803285</v>
      </c>
      <c r="K27" s="11">
        <v>6.3781321184510242E-2</v>
      </c>
      <c r="L27" s="13">
        <v>3446618000</v>
      </c>
      <c r="M27" s="13">
        <v>34010798000</v>
      </c>
      <c r="N27" s="9" t="s">
        <v>51</v>
      </c>
      <c r="O27" s="6">
        <v>1.0683760683760684</v>
      </c>
      <c r="P27" s="12">
        <v>0.15508657118243896</v>
      </c>
      <c r="Q27" s="12">
        <v>0.10133893359397213</v>
      </c>
      <c r="R27" s="14">
        <v>22</v>
      </c>
    </row>
    <row r="28" spans="2:18" x14ac:dyDescent="0.5">
      <c r="B28" s="1" t="s">
        <v>119</v>
      </c>
      <c r="C28" t="s">
        <v>160</v>
      </c>
      <c r="D28" t="s">
        <v>85</v>
      </c>
      <c r="E28">
        <v>244.8</v>
      </c>
      <c r="F28" s="9" t="s">
        <v>68</v>
      </c>
      <c r="G28" s="7">
        <v>325133565952</v>
      </c>
      <c r="H28" s="6">
        <v>252.6</v>
      </c>
      <c r="I28" s="6">
        <v>34.4</v>
      </c>
      <c r="J28" s="12">
        <f t="shared" si="0"/>
        <v>6.1162790697674421</v>
      </c>
      <c r="K28" s="11">
        <v>3.3292483660130713E-3</v>
      </c>
      <c r="L28" s="13">
        <v>4414795000</v>
      </c>
      <c r="M28" s="13">
        <v>10683505000</v>
      </c>
      <c r="N28" s="9" t="s">
        <v>51</v>
      </c>
      <c r="O28" s="6">
        <v>1.0683760683760684</v>
      </c>
      <c r="P28" s="12">
        <v>1.4756289561246224E-2</v>
      </c>
      <c r="Q28" s="12">
        <v>0.41323470153287706</v>
      </c>
      <c r="R28" s="14">
        <v>23</v>
      </c>
    </row>
    <row r="29" spans="2:18" x14ac:dyDescent="0.5">
      <c r="B29" s="1" t="s">
        <v>197</v>
      </c>
      <c r="C29" t="s">
        <v>200</v>
      </c>
      <c r="D29" t="s">
        <v>186</v>
      </c>
      <c r="E29">
        <v>6.96</v>
      </c>
      <c r="F29" s="9" t="s">
        <v>68</v>
      </c>
      <c r="G29" s="7">
        <v>3992979968</v>
      </c>
      <c r="H29" s="6">
        <v>9.24</v>
      </c>
      <c r="I29" s="6">
        <v>6.85</v>
      </c>
      <c r="J29" s="12">
        <f t="shared" si="0"/>
        <v>1.6058394160584077E-2</v>
      </c>
      <c r="K29" s="11">
        <v>8.1896551724137928E-2</v>
      </c>
      <c r="L29" s="13">
        <v>498120000</v>
      </c>
      <c r="M29" s="13">
        <v>3284848000</v>
      </c>
      <c r="N29" s="9" t="s">
        <v>68</v>
      </c>
      <c r="O29" s="6">
        <v>1</v>
      </c>
      <c r="P29" s="12">
        <v>9.6159211151065974E-2</v>
      </c>
      <c r="Q29" s="12">
        <v>0.15164171979951585</v>
      </c>
      <c r="R29" s="14">
        <v>24</v>
      </c>
    </row>
    <row r="30" spans="2:18" x14ac:dyDescent="0.5">
      <c r="B30" s="1" t="s">
        <v>138</v>
      </c>
      <c r="C30" t="s">
        <v>185</v>
      </c>
      <c r="D30" t="s">
        <v>186</v>
      </c>
      <c r="E30">
        <v>339.4</v>
      </c>
      <c r="F30" s="9" t="s">
        <v>68</v>
      </c>
      <c r="G30" s="7">
        <v>126199775232</v>
      </c>
      <c r="H30" s="6">
        <v>421.4</v>
      </c>
      <c r="I30" s="6">
        <v>225.2</v>
      </c>
      <c r="J30" s="12">
        <f t="shared" si="0"/>
        <v>0.50710479573712264</v>
      </c>
      <c r="K30" s="11">
        <v>2.1213906894519742E-3</v>
      </c>
      <c r="L30" s="13">
        <v>1200000000</v>
      </c>
      <c r="M30" s="13">
        <v>5855000000</v>
      </c>
      <c r="N30" s="9" t="s">
        <v>72</v>
      </c>
      <c r="O30" s="6">
        <v>7.6923076923076916</v>
      </c>
      <c r="P30" s="12">
        <v>6.6327765757611262E-2</v>
      </c>
      <c r="Q30" s="12">
        <v>0.20495303159692571</v>
      </c>
      <c r="R30" s="14">
        <v>23</v>
      </c>
    </row>
    <row r="31" spans="2:18" x14ac:dyDescent="0.5">
      <c r="B31" s="1" t="s">
        <v>36</v>
      </c>
      <c r="C31" t="s">
        <v>102</v>
      </c>
      <c r="D31" t="s">
        <v>50</v>
      </c>
      <c r="E31">
        <v>12.54</v>
      </c>
      <c r="F31" s="9" t="s">
        <v>68</v>
      </c>
      <c r="G31" s="7">
        <v>58221084672</v>
      </c>
      <c r="H31" s="6">
        <v>13.44</v>
      </c>
      <c r="I31" s="6">
        <v>7.51</v>
      </c>
      <c r="J31" s="12">
        <f t="shared" si="0"/>
        <v>0.66977363515312915</v>
      </c>
      <c r="K31" s="11">
        <v>3.4928229665071774E-2</v>
      </c>
      <c r="L31" s="13">
        <v>3967214824.1399999</v>
      </c>
      <c r="M31" s="13">
        <v>41038539262.660004</v>
      </c>
      <c r="N31" s="9" t="s">
        <v>51</v>
      </c>
      <c r="O31" s="6">
        <v>1.0683760683760684</v>
      </c>
      <c r="P31" s="12">
        <v>0.12952645270905808</v>
      </c>
      <c r="Q31" s="12">
        <v>9.6670468672106824E-2</v>
      </c>
      <c r="R31" s="14">
        <v>25</v>
      </c>
    </row>
    <row r="32" spans="2:18" x14ac:dyDescent="0.5">
      <c r="B32" s="1" t="s">
        <v>126</v>
      </c>
      <c r="C32" t="s">
        <v>169</v>
      </c>
      <c r="D32" t="s">
        <v>109</v>
      </c>
      <c r="E32">
        <v>11.88</v>
      </c>
      <c r="F32" s="9" t="s">
        <v>68</v>
      </c>
      <c r="G32" s="7">
        <v>118649241600</v>
      </c>
      <c r="H32" s="6">
        <v>12.16</v>
      </c>
      <c r="I32" s="6">
        <v>5.83</v>
      </c>
      <c r="J32" s="12">
        <f t="shared" si="0"/>
        <v>1.0377358490566038</v>
      </c>
      <c r="K32" s="11">
        <v>4.2087542087542083E-2</v>
      </c>
      <c r="L32" s="13">
        <v>9432900000</v>
      </c>
      <c r="M32" s="13">
        <v>54338700000</v>
      </c>
      <c r="N32" s="9" t="s">
        <v>68</v>
      </c>
      <c r="O32" s="6">
        <v>1</v>
      </c>
      <c r="P32" s="12">
        <v>6.6973746359587194E-2</v>
      </c>
      <c r="Q32" s="12">
        <v>0.17359450999011755</v>
      </c>
      <c r="R32" s="14">
        <v>26</v>
      </c>
    </row>
    <row r="33" spans="2:18" x14ac:dyDescent="0.5">
      <c r="B33" s="1" t="s">
        <v>135</v>
      </c>
      <c r="C33" t="s">
        <v>180</v>
      </c>
      <c r="D33" t="s">
        <v>77</v>
      </c>
      <c r="E33">
        <v>14.48</v>
      </c>
      <c r="F33" s="9" t="s">
        <v>68</v>
      </c>
      <c r="G33" s="7">
        <v>60787183616</v>
      </c>
      <c r="H33" s="6">
        <v>15.38</v>
      </c>
      <c r="I33" s="6">
        <v>10.98</v>
      </c>
      <c r="J33" s="12">
        <f t="shared" si="0"/>
        <v>0.31876138433515488</v>
      </c>
      <c r="K33" s="11">
        <v>6.1187845303867401E-2</v>
      </c>
      <c r="L33" s="13">
        <v>11996000000</v>
      </c>
      <c r="M33" s="13">
        <v>138296000000</v>
      </c>
      <c r="N33" s="9" t="s">
        <v>68</v>
      </c>
      <c r="O33" s="6">
        <v>1</v>
      </c>
      <c r="P33" s="12">
        <v>0.14293683353601874</v>
      </c>
      <c r="Q33" s="12">
        <v>8.6741482038526066E-2</v>
      </c>
      <c r="R33" s="14">
        <v>26</v>
      </c>
    </row>
    <row r="34" spans="2:18" x14ac:dyDescent="0.5">
      <c r="B34" s="1" t="s">
        <v>137</v>
      </c>
      <c r="C34" t="s">
        <v>183</v>
      </c>
      <c r="D34" t="s">
        <v>184</v>
      </c>
      <c r="E34">
        <v>35</v>
      </c>
      <c r="F34" s="9" t="s">
        <v>68</v>
      </c>
      <c r="G34" s="7">
        <v>24208799744</v>
      </c>
      <c r="H34" s="6">
        <v>39.200000000000003</v>
      </c>
      <c r="I34" s="6">
        <v>13.48</v>
      </c>
      <c r="J34" s="12">
        <f t="shared" ref="J34:J65" si="1">E34/I34-1</f>
        <v>1.5964391691394657</v>
      </c>
      <c r="K34" s="11">
        <v>1.3142857142857144E-2</v>
      </c>
      <c r="L34" s="13">
        <v>1323087000</v>
      </c>
      <c r="M34" s="13">
        <v>5952918000</v>
      </c>
      <c r="N34" s="9" t="s">
        <v>68</v>
      </c>
      <c r="O34" s="6">
        <v>1</v>
      </c>
      <c r="P34" s="12">
        <v>4.9606487183200106E-2</v>
      </c>
      <c r="Q34" s="12">
        <v>0.222258562943417</v>
      </c>
      <c r="R34" s="14">
        <v>27</v>
      </c>
    </row>
    <row r="35" spans="2:18" x14ac:dyDescent="0.5">
      <c r="B35" s="1" t="s">
        <v>115</v>
      </c>
      <c r="C35" t="s">
        <v>155</v>
      </c>
      <c r="D35" t="s">
        <v>156</v>
      </c>
      <c r="E35">
        <v>57.05</v>
      </c>
      <c r="F35" s="9" t="s">
        <v>68</v>
      </c>
      <c r="G35" s="7">
        <v>161359642624</v>
      </c>
      <c r="H35" s="6">
        <v>60</v>
      </c>
      <c r="I35" s="6">
        <v>38.4</v>
      </c>
      <c r="J35" s="12">
        <f t="shared" si="1"/>
        <v>0.48567708333333326</v>
      </c>
      <c r="K35" s="11">
        <v>3.15512708150745E-2</v>
      </c>
      <c r="L35" s="13">
        <v>8955723006</v>
      </c>
      <c r="M35" s="13">
        <v>47495870210</v>
      </c>
      <c r="N35" s="9" t="s">
        <v>51</v>
      </c>
      <c r="O35" s="6">
        <v>1.0683760683760684</v>
      </c>
      <c r="P35" s="12">
        <v>6.0822593303914124E-2</v>
      </c>
      <c r="Q35" s="12">
        <v>0.18855793075067021</v>
      </c>
      <c r="R35" s="14">
        <v>28</v>
      </c>
    </row>
    <row r="36" spans="2:18" x14ac:dyDescent="0.5">
      <c r="B36" s="1" t="s">
        <v>130</v>
      </c>
      <c r="C36" t="s">
        <v>174</v>
      </c>
      <c r="D36" t="s">
        <v>175</v>
      </c>
      <c r="E36">
        <v>515</v>
      </c>
      <c r="F36" s="9" t="s">
        <v>68</v>
      </c>
      <c r="G36" s="7">
        <v>4683229822976</v>
      </c>
      <c r="H36" s="6">
        <v>547</v>
      </c>
      <c r="I36" s="6">
        <v>349</v>
      </c>
      <c r="J36" s="12">
        <f t="shared" si="1"/>
        <v>0.47564469914040108</v>
      </c>
      <c r="K36" s="11">
        <v>8.211650485436893E-3</v>
      </c>
      <c r="L36" s="13">
        <v>253932000000</v>
      </c>
      <c r="M36" s="13">
        <v>1312163000000</v>
      </c>
      <c r="N36" s="9" t="s">
        <v>51</v>
      </c>
      <c r="O36" s="6">
        <v>1.0683760683760684</v>
      </c>
      <c r="P36" s="12">
        <v>5.5093665591363035E-2</v>
      </c>
      <c r="Q36" s="12">
        <v>0.19352168899747973</v>
      </c>
      <c r="R36" s="14">
        <v>29</v>
      </c>
    </row>
    <row r="37" spans="2:18" x14ac:dyDescent="0.5">
      <c r="B37" s="1" t="s">
        <v>116</v>
      </c>
      <c r="C37" t="s">
        <v>157</v>
      </c>
      <c r="D37" t="s">
        <v>93</v>
      </c>
      <c r="E37">
        <v>19.760000000000002</v>
      </c>
      <c r="F37" s="9" t="s">
        <v>68</v>
      </c>
      <c r="G37" s="7">
        <v>125902422016</v>
      </c>
      <c r="H37" s="6">
        <v>26.6</v>
      </c>
      <c r="I37" s="6">
        <v>16.02</v>
      </c>
      <c r="J37" s="12">
        <f t="shared" si="1"/>
        <v>0.23345817727840212</v>
      </c>
      <c r="K37" s="11">
        <v>3.5931174089068818E-2</v>
      </c>
      <c r="L37" s="13">
        <v>10795274825</v>
      </c>
      <c r="M37" s="13">
        <v>215275428010</v>
      </c>
      <c r="N37" s="9" t="s">
        <v>51</v>
      </c>
      <c r="O37" s="6">
        <v>1.0683760683760684</v>
      </c>
      <c r="P37" s="12">
        <v>0.13990093886262106</v>
      </c>
      <c r="Q37" s="12">
        <v>5.0146340085309396E-2</v>
      </c>
      <c r="R37" s="14">
        <v>30</v>
      </c>
    </row>
    <row r="38" spans="2:18" x14ac:dyDescent="0.5">
      <c r="B38" s="1" t="s">
        <v>142</v>
      </c>
      <c r="C38" t="s">
        <v>191</v>
      </c>
      <c r="D38" t="s">
        <v>104</v>
      </c>
      <c r="E38">
        <v>32.049999999999997</v>
      </c>
      <c r="F38" s="9" t="s">
        <v>68</v>
      </c>
      <c r="G38" s="7">
        <v>72215052288</v>
      </c>
      <c r="H38" s="6">
        <v>61.55</v>
      </c>
      <c r="I38" s="6">
        <v>24.85</v>
      </c>
      <c r="J38" s="12">
        <f t="shared" si="1"/>
        <v>0.28973843058350091</v>
      </c>
      <c r="K38" s="11">
        <v>1.7722308892355695E-2</v>
      </c>
      <c r="L38" s="13">
        <v>5261270000</v>
      </c>
      <c r="M38" s="13">
        <v>43208997000</v>
      </c>
      <c r="N38" s="9" t="s">
        <v>51</v>
      </c>
      <c r="O38" s="6">
        <v>1.0683760683760684</v>
      </c>
      <c r="P38" s="12">
        <v>7.2071431632998909E-2</v>
      </c>
      <c r="Q38" s="12">
        <v>0.12176329850933591</v>
      </c>
      <c r="R38" s="14">
        <v>29</v>
      </c>
    </row>
    <row r="39" spans="2:18" x14ac:dyDescent="0.5">
      <c r="B39" s="1" t="s">
        <v>123</v>
      </c>
      <c r="C39" t="s">
        <v>164</v>
      </c>
      <c r="D39" t="s">
        <v>165</v>
      </c>
      <c r="E39">
        <v>5.88</v>
      </c>
      <c r="F39" s="9" t="s">
        <v>68</v>
      </c>
      <c r="G39" s="7">
        <v>45912571904</v>
      </c>
      <c r="H39" s="6">
        <v>11.72</v>
      </c>
      <c r="I39" s="6">
        <v>5</v>
      </c>
      <c r="J39" s="12">
        <f t="shared" si="1"/>
        <v>0.17599999999999993</v>
      </c>
      <c r="K39" s="11">
        <v>7.312925170068027E-2</v>
      </c>
      <c r="L39" s="13">
        <v>6749146000</v>
      </c>
      <c r="M39" s="13">
        <v>70848374000</v>
      </c>
      <c r="N39" s="9" t="s">
        <v>51</v>
      </c>
      <c r="O39" s="6">
        <v>1.0683760683760684</v>
      </c>
      <c r="P39" s="12">
        <v>9.1852537312565388E-2</v>
      </c>
      <c r="Q39" s="12">
        <v>9.5261833390841127E-2</v>
      </c>
      <c r="R39" s="14">
        <v>31</v>
      </c>
    </row>
    <row r="40" spans="2:18" x14ac:dyDescent="0.5">
      <c r="B40" s="1" t="s">
        <v>136</v>
      </c>
      <c r="C40" t="s">
        <v>181</v>
      </c>
      <c r="D40" t="s">
        <v>182</v>
      </c>
      <c r="E40">
        <v>8.18</v>
      </c>
      <c r="F40" s="9" t="s">
        <v>68</v>
      </c>
      <c r="G40" s="7">
        <v>19273961472</v>
      </c>
      <c r="H40" s="6">
        <v>11.68</v>
      </c>
      <c r="I40" s="6">
        <v>5.19</v>
      </c>
      <c r="J40" s="12">
        <f t="shared" si="1"/>
        <v>0.57610789980732169</v>
      </c>
      <c r="K40" s="11">
        <v>0</v>
      </c>
      <c r="L40" s="13">
        <v>13493113000</v>
      </c>
      <c r="M40" s="13">
        <v>208027754000</v>
      </c>
      <c r="N40" s="9" t="s">
        <v>51</v>
      </c>
      <c r="O40" s="6">
        <v>1.0683760683760684</v>
      </c>
      <c r="P40" s="12">
        <v>0.12171940299349211</v>
      </c>
      <c r="Q40" s="12">
        <v>6.4862080854845933E-2</v>
      </c>
      <c r="R40" s="14">
        <v>32</v>
      </c>
    </row>
    <row r="41" spans="2:18" x14ac:dyDescent="0.5">
      <c r="B41" s="1" t="s">
        <v>121</v>
      </c>
      <c r="C41" t="s">
        <v>162</v>
      </c>
      <c r="D41" t="s">
        <v>98</v>
      </c>
      <c r="E41">
        <v>9.2899999999999991</v>
      </c>
      <c r="F41" s="9" t="s">
        <v>68</v>
      </c>
      <c r="G41" s="7">
        <v>284255420416</v>
      </c>
      <c r="H41" s="6">
        <v>11.56</v>
      </c>
      <c r="I41" s="6">
        <v>5.88</v>
      </c>
      <c r="J41" s="12">
        <f t="shared" si="1"/>
        <v>0.57993197278911546</v>
      </c>
      <c r="K41" s="11">
        <v>0</v>
      </c>
      <c r="L41" s="13">
        <v>26994000000</v>
      </c>
      <c r="M41" s="13">
        <v>363169000000</v>
      </c>
      <c r="N41" s="9" t="s">
        <v>51</v>
      </c>
      <c r="O41" s="6">
        <v>1.0683760683760684</v>
      </c>
      <c r="P41" s="12">
        <v>9.7328961612878989E-2</v>
      </c>
      <c r="Q41" s="12">
        <v>7.4329031387590908E-2</v>
      </c>
      <c r="R41" s="14">
        <v>33</v>
      </c>
    </row>
    <row r="42" spans="2:18" x14ac:dyDescent="0.5">
      <c r="B42" s="1" t="s">
        <v>127</v>
      </c>
      <c r="C42" t="s">
        <v>170</v>
      </c>
      <c r="D42" t="s">
        <v>104</v>
      </c>
      <c r="E42">
        <v>9.8000000000000007</v>
      </c>
      <c r="F42" s="9" t="s">
        <v>68</v>
      </c>
      <c r="G42" s="7">
        <v>30576001024</v>
      </c>
      <c r="H42" s="6">
        <v>10.1</v>
      </c>
      <c r="I42" s="6">
        <v>5.6</v>
      </c>
      <c r="J42" s="12">
        <f t="shared" si="1"/>
        <v>0.75000000000000022</v>
      </c>
      <c r="K42" s="11">
        <v>3.2653061224489792E-2</v>
      </c>
      <c r="L42" s="13">
        <v>1990539000</v>
      </c>
      <c r="M42" s="13">
        <v>18620709000</v>
      </c>
      <c r="N42" s="9" t="s">
        <v>68</v>
      </c>
      <c r="O42" s="6">
        <v>1</v>
      </c>
      <c r="P42" s="12">
        <v>5.9723296140694736E-2</v>
      </c>
      <c r="Q42" s="12">
        <v>0.10689920561026972</v>
      </c>
      <c r="R42" s="14">
        <v>38</v>
      </c>
    </row>
    <row r="43" spans="2:18" x14ac:dyDescent="0.5">
      <c r="B43" s="1" t="s">
        <v>122</v>
      </c>
      <c r="C43" t="s">
        <v>163</v>
      </c>
      <c r="D43" t="s">
        <v>152</v>
      </c>
      <c r="E43">
        <v>32.950000000000003</v>
      </c>
      <c r="F43" s="9" t="s">
        <v>68</v>
      </c>
      <c r="G43" s="7">
        <v>115317760000</v>
      </c>
      <c r="H43" s="6">
        <v>37.25</v>
      </c>
      <c r="I43" s="6">
        <v>28.1</v>
      </c>
      <c r="J43" s="12">
        <f t="shared" si="1"/>
        <v>0.17259786476868322</v>
      </c>
      <c r="K43" s="11">
        <v>5.2807283763277688E-2</v>
      </c>
      <c r="L43" s="13">
        <v>16863000000</v>
      </c>
      <c r="M43" s="13">
        <v>448320000000</v>
      </c>
      <c r="N43" s="9" t="s">
        <v>68</v>
      </c>
      <c r="O43" s="6">
        <v>1</v>
      </c>
      <c r="P43" s="12">
        <v>0.12319481569213964</v>
      </c>
      <c r="Q43" s="12">
        <v>3.7613758029978586E-2</v>
      </c>
      <c r="R43" s="14">
        <v>35</v>
      </c>
    </row>
    <row r="44" spans="2:18" x14ac:dyDescent="0.5">
      <c r="B44" s="1" t="s">
        <v>18</v>
      </c>
      <c r="C44" t="s">
        <v>67</v>
      </c>
      <c r="D44" t="s">
        <v>66</v>
      </c>
      <c r="E44">
        <v>50.45</v>
      </c>
      <c r="F44" s="9" t="s">
        <v>68</v>
      </c>
      <c r="G44" s="7">
        <v>137381412864</v>
      </c>
      <c r="H44" s="6">
        <v>82.25</v>
      </c>
      <c r="I44" s="6">
        <v>37.85</v>
      </c>
      <c r="J44" s="12">
        <f t="shared" si="1"/>
        <v>0.33289299867899613</v>
      </c>
      <c r="K44" s="11">
        <v>2.0812685827552031E-2</v>
      </c>
      <c r="L44" s="13">
        <v>6350637223.7200003</v>
      </c>
      <c r="M44" s="13">
        <v>57896384836.860001</v>
      </c>
      <c r="N44" s="9" t="s">
        <v>51</v>
      </c>
      <c r="O44" s="6">
        <v>1.0683760683760684</v>
      </c>
      <c r="P44" s="12">
        <v>6.4192410583388496E-2</v>
      </c>
      <c r="Q44" s="12">
        <v>0.10968970241604512</v>
      </c>
      <c r="R44" s="14">
        <v>34</v>
      </c>
    </row>
    <row r="45" spans="2:18" x14ac:dyDescent="0.5">
      <c r="B45" s="1" t="s">
        <v>117</v>
      </c>
      <c r="C45" t="s">
        <v>158</v>
      </c>
      <c r="D45" t="s">
        <v>152</v>
      </c>
      <c r="E45">
        <v>1.69</v>
      </c>
      <c r="F45" s="9" t="s">
        <v>68</v>
      </c>
      <c r="G45" s="7">
        <v>6015335424</v>
      </c>
      <c r="H45" s="6">
        <v>2.95</v>
      </c>
      <c r="I45" s="6">
        <v>1.37</v>
      </c>
      <c r="J45" s="12">
        <f t="shared" si="1"/>
        <v>0.23357664233576636</v>
      </c>
      <c r="K45" s="11">
        <v>5.562130177514793E-2</v>
      </c>
      <c r="L45" s="13">
        <v>2220197000</v>
      </c>
      <c r="M45" s="13">
        <v>71097505000</v>
      </c>
      <c r="N45" s="9" t="s">
        <v>51</v>
      </c>
      <c r="O45" s="6">
        <v>1.0683760683760684</v>
      </c>
      <c r="P45" s="12">
        <v>0.12289415093467723</v>
      </c>
      <c r="Q45" s="12">
        <v>3.1227495254580313E-2</v>
      </c>
      <c r="R45" s="14">
        <v>36</v>
      </c>
    </row>
    <row r="46" spans="2:18" x14ac:dyDescent="0.5">
      <c r="B46" s="1" t="s">
        <v>128</v>
      </c>
      <c r="C46" t="s">
        <v>171</v>
      </c>
      <c r="D46" t="s">
        <v>172</v>
      </c>
      <c r="E46">
        <v>24</v>
      </c>
      <c r="F46" s="9" t="s">
        <v>68</v>
      </c>
      <c r="G46" s="7">
        <v>26599440384</v>
      </c>
      <c r="H46" s="6">
        <v>24.55</v>
      </c>
      <c r="I46" s="6">
        <v>14.52</v>
      </c>
      <c r="J46" s="12">
        <f t="shared" si="1"/>
        <v>0.65289256198347112</v>
      </c>
      <c r="K46" s="11">
        <v>3.9166666666666662E-2</v>
      </c>
      <c r="L46" s="13">
        <v>3838344000</v>
      </c>
      <c r="M46" s="13">
        <v>81520873000</v>
      </c>
      <c r="N46" s="9" t="s">
        <v>68</v>
      </c>
      <c r="O46" s="6">
        <v>1</v>
      </c>
      <c r="P46" s="12">
        <v>8.6415332705047476E-2</v>
      </c>
      <c r="Q46" s="12">
        <v>4.7084186647510511E-2</v>
      </c>
      <c r="R46" s="14">
        <v>39</v>
      </c>
    </row>
    <row r="47" spans="2:18" x14ac:dyDescent="0.5">
      <c r="B47" s="1" t="s">
        <v>129</v>
      </c>
      <c r="C47" t="s">
        <v>173</v>
      </c>
      <c r="D47" t="s">
        <v>98</v>
      </c>
      <c r="E47">
        <v>11.5</v>
      </c>
      <c r="F47" s="9" t="s">
        <v>68</v>
      </c>
      <c r="G47" s="7">
        <v>87116636160</v>
      </c>
      <c r="H47" s="6">
        <v>11.6</v>
      </c>
      <c r="I47" s="6">
        <v>8.5399999999999991</v>
      </c>
      <c r="J47" s="12">
        <f t="shared" si="1"/>
        <v>0.34660421545667464</v>
      </c>
      <c r="K47" s="11">
        <v>6.8521739130434786E-2</v>
      </c>
      <c r="L47" s="13">
        <v>8154000000</v>
      </c>
      <c r="M47" s="13">
        <v>79588000000</v>
      </c>
      <c r="N47" s="9" t="s">
        <v>68</v>
      </c>
      <c r="O47" s="6">
        <v>1</v>
      </c>
      <c r="P47" s="12">
        <v>6.3491996176225127E-2</v>
      </c>
      <c r="Q47" s="12">
        <v>0.10245263104990703</v>
      </c>
      <c r="R47" s="14">
        <v>36</v>
      </c>
    </row>
    <row r="48" spans="2:18" x14ac:dyDescent="0.5">
      <c r="B48" s="1" t="s">
        <v>112</v>
      </c>
      <c r="C48" t="s">
        <v>150</v>
      </c>
      <c r="D48" t="s">
        <v>98</v>
      </c>
      <c r="E48">
        <v>5.76</v>
      </c>
      <c r="F48" s="9" t="s">
        <v>68</v>
      </c>
      <c r="G48" s="7">
        <v>760584994816</v>
      </c>
      <c r="H48" s="6">
        <v>6.98</v>
      </c>
      <c r="I48" s="6">
        <v>4.08</v>
      </c>
      <c r="J48" s="12">
        <f t="shared" si="1"/>
        <v>0.41176470588235281</v>
      </c>
      <c r="K48" s="11">
        <v>4.5138888888888895E-2</v>
      </c>
      <c r="L48" s="13">
        <v>44563000000</v>
      </c>
      <c r="M48" s="13">
        <v>463922000000</v>
      </c>
      <c r="N48" s="9" t="s">
        <v>51</v>
      </c>
      <c r="O48" s="6">
        <v>1.0683760683760684</v>
      </c>
      <c r="P48" s="12">
        <v>6.4542567843163007E-2</v>
      </c>
      <c r="Q48" s="12">
        <v>9.605709580489824E-2</v>
      </c>
      <c r="R48" s="14">
        <v>37</v>
      </c>
    </row>
    <row r="49" spans="2:18" x14ac:dyDescent="0.5">
      <c r="B49" s="1" t="s">
        <v>30</v>
      </c>
      <c r="C49" t="s">
        <v>92</v>
      </c>
      <c r="D49" t="s">
        <v>93</v>
      </c>
      <c r="E49">
        <v>1.37</v>
      </c>
      <c r="F49" s="9" t="s">
        <v>68</v>
      </c>
      <c r="G49" s="7">
        <v>7483666432</v>
      </c>
      <c r="H49" s="6">
        <v>1.82</v>
      </c>
      <c r="I49" s="6">
        <v>0.81</v>
      </c>
      <c r="J49" s="12">
        <f t="shared" si="1"/>
        <v>0.69135802469135799</v>
      </c>
      <c r="K49" s="11">
        <v>2.4817518248175182E-2</v>
      </c>
      <c r="L49" s="13">
        <v>1384865000</v>
      </c>
      <c r="M49" s="13">
        <v>23827484000</v>
      </c>
      <c r="N49" s="9" t="s">
        <v>51</v>
      </c>
      <c r="O49" s="6">
        <v>1.0683760683760684</v>
      </c>
      <c r="P49" s="12">
        <v>7.9558472213253753E-2</v>
      </c>
      <c r="Q49" s="12">
        <v>5.8120488088461209E-2</v>
      </c>
      <c r="R49" s="14">
        <v>40</v>
      </c>
    </row>
    <row r="50" spans="2:18" x14ac:dyDescent="0.5">
      <c r="B50" s="1" t="s">
        <v>139</v>
      </c>
      <c r="C50" t="s">
        <v>187</v>
      </c>
      <c r="D50" t="s">
        <v>87</v>
      </c>
      <c r="E50">
        <v>1.96</v>
      </c>
      <c r="F50" s="9" t="s">
        <v>68</v>
      </c>
      <c r="G50" s="7">
        <v>3485154560</v>
      </c>
      <c r="H50" s="6">
        <v>2.73</v>
      </c>
      <c r="I50" s="6">
        <v>1.79</v>
      </c>
      <c r="J50" s="12">
        <f t="shared" si="1"/>
        <v>9.4972067039106101E-2</v>
      </c>
      <c r="K50" s="11">
        <v>2.8571428571428574E-2</v>
      </c>
      <c r="L50" s="13">
        <v>364157000</v>
      </c>
      <c r="M50" s="13">
        <v>7859317000</v>
      </c>
      <c r="N50" s="9" t="s">
        <v>51</v>
      </c>
      <c r="O50" s="6">
        <v>1.0683760683760684</v>
      </c>
      <c r="P50" s="12">
        <v>8.469165949285995E-2</v>
      </c>
      <c r="Q50" s="12">
        <v>4.6334433386514377E-2</v>
      </c>
      <c r="R50" s="14">
        <v>41</v>
      </c>
    </row>
    <row r="51" spans="2:18" x14ac:dyDescent="0.5">
      <c r="B51" s="1" t="s">
        <v>134</v>
      </c>
      <c r="C51" t="s">
        <v>179</v>
      </c>
      <c r="D51" t="s">
        <v>98</v>
      </c>
      <c r="E51">
        <v>5.2</v>
      </c>
      <c r="F51" s="9" t="s">
        <v>68</v>
      </c>
      <c r="G51" s="7">
        <v>40253509632</v>
      </c>
      <c r="H51" s="6">
        <v>5.49</v>
      </c>
      <c r="I51" s="6">
        <v>3.8</v>
      </c>
      <c r="J51" s="12">
        <f t="shared" si="1"/>
        <v>0.36842105263157898</v>
      </c>
      <c r="K51" s="11">
        <v>7.3653846153846153E-2</v>
      </c>
      <c r="L51" s="13">
        <v>5474000000</v>
      </c>
      <c r="M51" s="13">
        <v>59407000000</v>
      </c>
      <c r="N51" s="9" t="s">
        <v>68</v>
      </c>
      <c r="O51" s="6">
        <v>1</v>
      </c>
      <c r="P51" s="12">
        <v>5.9560525385179718E-2</v>
      </c>
      <c r="Q51" s="12">
        <v>9.2144023431582137E-2</v>
      </c>
      <c r="R51" s="14">
        <v>42</v>
      </c>
    </row>
    <row r="52" spans="2:18" x14ac:dyDescent="0.5">
      <c r="B52" s="1" t="s">
        <v>141</v>
      </c>
      <c r="C52" t="s">
        <v>189</v>
      </c>
      <c r="D52" t="s">
        <v>190</v>
      </c>
      <c r="E52">
        <v>2.23</v>
      </c>
      <c r="F52" s="9" t="s">
        <v>68</v>
      </c>
      <c r="G52" s="7">
        <v>9577849856</v>
      </c>
      <c r="H52" s="6">
        <v>3.04</v>
      </c>
      <c r="I52" s="6">
        <v>1.93</v>
      </c>
      <c r="J52" s="12">
        <f t="shared" si="1"/>
        <v>0.15544041450777213</v>
      </c>
      <c r="K52" s="11">
        <v>4.7982062780269057E-2</v>
      </c>
      <c r="L52" s="13">
        <v>1938532000</v>
      </c>
      <c r="M52" s="13">
        <v>49986396000</v>
      </c>
      <c r="N52" s="9" t="s">
        <v>68</v>
      </c>
      <c r="O52" s="6">
        <v>1</v>
      </c>
      <c r="P52" s="12">
        <v>6.4389413076261628E-2</v>
      </c>
      <c r="Q52" s="12">
        <v>3.8781191586606881E-2</v>
      </c>
      <c r="R52" s="14">
        <v>44</v>
      </c>
    </row>
    <row r="53" spans="2:18" x14ac:dyDescent="0.5">
      <c r="B53" s="1" t="s">
        <v>33</v>
      </c>
      <c r="C53" t="s">
        <v>97</v>
      </c>
      <c r="D53" t="s">
        <v>98</v>
      </c>
      <c r="E53">
        <v>11.42</v>
      </c>
      <c r="F53" s="9" t="s">
        <v>68</v>
      </c>
      <c r="G53" s="7">
        <v>201001140224</v>
      </c>
      <c r="H53" s="6">
        <v>12.46</v>
      </c>
      <c r="I53" s="6">
        <v>9.1999999999999993</v>
      </c>
      <c r="J53" s="12">
        <f t="shared" si="1"/>
        <v>0.24130434782608701</v>
      </c>
      <c r="K53" s="11">
        <v>3.6514886164623464E-2</v>
      </c>
      <c r="L53" s="13">
        <v>16758000000</v>
      </c>
      <c r="M53" s="13">
        <v>269590000000</v>
      </c>
      <c r="N53" s="9" t="s">
        <v>51</v>
      </c>
      <c r="O53" s="6">
        <v>1.0683760683760684</v>
      </c>
      <c r="P53" s="12">
        <v>6.0262352193499312E-2</v>
      </c>
      <c r="Q53" s="12">
        <v>6.2161059386475759E-2</v>
      </c>
      <c r="R53" s="14">
        <v>43</v>
      </c>
    </row>
    <row r="54" spans="2:18" x14ac:dyDescent="0.5">
      <c r="B54" s="1" t="s">
        <v>26</v>
      </c>
      <c r="C54" t="s">
        <v>86</v>
      </c>
      <c r="D54" t="s">
        <v>87</v>
      </c>
      <c r="E54">
        <v>7</v>
      </c>
      <c r="F54" s="9" t="s">
        <v>68</v>
      </c>
      <c r="G54" s="7">
        <v>7304779776</v>
      </c>
      <c r="H54" s="6">
        <v>7</v>
      </c>
      <c r="I54" s="6">
        <v>4.0199999999999996</v>
      </c>
      <c r="J54" s="12">
        <f t="shared" si="1"/>
        <v>0.74129353233830875</v>
      </c>
      <c r="K54" s="11">
        <v>0</v>
      </c>
      <c r="L54" s="13">
        <v>303335000</v>
      </c>
      <c r="M54" s="13">
        <v>3620162000</v>
      </c>
      <c r="N54" s="9" t="s">
        <v>68</v>
      </c>
      <c r="O54" s="6">
        <v>1</v>
      </c>
      <c r="P54" s="12">
        <v>4.8839744900169083E-2</v>
      </c>
      <c r="Q54" s="12">
        <v>8.3790449156695201E-2</v>
      </c>
      <c r="R54" s="14">
        <v>45</v>
      </c>
    </row>
    <row r="55" spans="2:18" x14ac:dyDescent="0.5">
      <c r="B55" s="1" t="s">
        <v>114</v>
      </c>
      <c r="C55" t="s">
        <v>153</v>
      </c>
      <c r="D55" t="s">
        <v>154</v>
      </c>
      <c r="E55">
        <v>14.04</v>
      </c>
      <c r="F55" s="9" t="s">
        <v>68</v>
      </c>
      <c r="G55" s="7">
        <v>14419220480</v>
      </c>
      <c r="H55" s="6">
        <v>14.5</v>
      </c>
      <c r="I55" s="6">
        <v>10.36</v>
      </c>
      <c r="J55" s="12">
        <f t="shared" si="1"/>
        <v>0.35521235521235517</v>
      </c>
      <c r="K55" s="11">
        <v>7.6923076923076927E-2</v>
      </c>
      <c r="L55" s="13">
        <v>984000000</v>
      </c>
      <c r="M55" s="13">
        <v>101944000000</v>
      </c>
      <c r="N55" s="9" t="s">
        <v>68</v>
      </c>
      <c r="O55" s="6">
        <v>1</v>
      </c>
      <c r="P55" s="12">
        <v>2.4994144867559236E-2</v>
      </c>
      <c r="Q55" s="12">
        <v>9.6523581574197593E-3</v>
      </c>
      <c r="R55" s="14">
        <v>46</v>
      </c>
    </row>
    <row r="56" spans="2:18" x14ac:dyDescent="0.5">
      <c r="B56" s="1" t="s">
        <v>196</v>
      </c>
      <c r="C56" t="s">
        <v>198</v>
      </c>
      <c r="D56" t="s">
        <v>199</v>
      </c>
      <c r="E56">
        <v>40.200000000000003</v>
      </c>
      <c r="F56" s="9" t="s">
        <v>68</v>
      </c>
      <c r="G56" s="7">
        <v>424905965568</v>
      </c>
      <c r="H56" s="6">
        <v>59.7</v>
      </c>
      <c r="I56" s="6">
        <v>15.24</v>
      </c>
      <c r="J56" s="12">
        <f t="shared" si="1"/>
        <v>1.6377952755905514</v>
      </c>
      <c r="K56" s="11">
        <v>0</v>
      </c>
      <c r="L56" s="13">
        <v>984027000</v>
      </c>
      <c r="M56" s="13">
        <v>32183526000</v>
      </c>
      <c r="N56" s="9" t="s">
        <v>72</v>
      </c>
      <c r="O56" s="6">
        <v>7.6923076923076916</v>
      </c>
      <c r="P56" s="12">
        <v>1.6273090414324575E-2</v>
      </c>
      <c r="Q56" s="12">
        <v>3.0575487595734537E-2</v>
      </c>
      <c r="R56" s="14">
        <v>46</v>
      </c>
    </row>
    <row r="57" spans="2:18" x14ac:dyDescent="0.5">
      <c r="B57" s="1" t="s">
        <v>131</v>
      </c>
      <c r="C57" t="s">
        <v>176</v>
      </c>
      <c r="D57" t="s">
        <v>175</v>
      </c>
      <c r="E57">
        <v>29.1</v>
      </c>
      <c r="F57" s="9" t="s">
        <v>68</v>
      </c>
      <c r="G57" s="7">
        <v>29713719296</v>
      </c>
      <c r="H57" s="6">
        <v>36</v>
      </c>
      <c r="I57" s="6">
        <v>22.4</v>
      </c>
      <c r="J57" s="12">
        <f t="shared" si="1"/>
        <v>0.29910714285714302</v>
      </c>
      <c r="K57" s="11">
        <v>0</v>
      </c>
      <c r="L57" s="13">
        <v>-90314000</v>
      </c>
      <c r="M57" s="13">
        <v>18374441000</v>
      </c>
      <c r="N57" s="9" t="s">
        <v>51</v>
      </c>
      <c r="O57" s="6">
        <v>1.0683760683760684</v>
      </c>
      <c r="P57" s="12">
        <v>-3.6543561486810142E-3</v>
      </c>
      <c r="Q57" s="12">
        <v>-4.9151971480384084E-3</v>
      </c>
      <c r="R57" s="14">
        <v>47</v>
      </c>
    </row>
    <row r="58" spans="2:18" x14ac:dyDescent="0.5">
      <c r="B58" s="1" t="s">
        <v>201</v>
      </c>
      <c r="C58" t="s">
        <v>223</v>
      </c>
      <c r="D58" t="s">
        <v>224</v>
      </c>
      <c r="E58">
        <v>6.35</v>
      </c>
      <c r="F58" s="9" t="s">
        <v>68</v>
      </c>
      <c r="G58" s="7">
        <v>24777953280</v>
      </c>
      <c r="H58" s="6">
        <v>7.28</v>
      </c>
      <c r="I58" s="6">
        <v>4.22</v>
      </c>
      <c r="J58" s="12">
        <f t="shared" si="1"/>
        <v>0.50473933649289093</v>
      </c>
      <c r="K58" s="11">
        <v>6.7716535433070867E-3</v>
      </c>
      <c r="L58" s="13">
        <v>786762000</v>
      </c>
      <c r="M58" s="13">
        <v>2279244000</v>
      </c>
      <c r="N58" s="9" t="s">
        <v>72</v>
      </c>
      <c r="O58" s="6">
        <v>7.6923076923076916</v>
      </c>
      <c r="P58" s="12">
        <v>0.34963394018564992</v>
      </c>
      <c r="Q58" s="12">
        <v>0.34518550887925997</v>
      </c>
      <c r="R58" s="14">
        <v>1</v>
      </c>
    </row>
    <row r="59" spans="2:18" x14ac:dyDescent="0.5">
      <c r="B59" s="1" t="s">
        <v>202</v>
      </c>
      <c r="C59" t="s">
        <v>225</v>
      </c>
      <c r="D59" t="s">
        <v>77</v>
      </c>
      <c r="E59">
        <v>127.7</v>
      </c>
      <c r="F59" s="9" t="s">
        <v>68</v>
      </c>
      <c r="G59" s="7">
        <v>84329627648</v>
      </c>
      <c r="H59" s="6">
        <v>149.5</v>
      </c>
      <c r="I59" s="6">
        <v>91</v>
      </c>
      <c r="J59" s="12">
        <f t="shared" si="1"/>
        <v>0.40329670329670342</v>
      </c>
      <c r="K59" s="11">
        <v>1.5270164447924823E-2</v>
      </c>
      <c r="L59" s="13">
        <v>2635100000</v>
      </c>
      <c r="M59" s="13">
        <v>13245550000</v>
      </c>
      <c r="N59" s="9" t="s">
        <v>72</v>
      </c>
      <c r="O59" s="6">
        <v>7.6923076923076916</v>
      </c>
      <c r="P59" s="12">
        <v>0.59448158016822761</v>
      </c>
      <c r="Q59" s="12">
        <v>0.19894228627727803</v>
      </c>
      <c r="R59" s="14">
        <v>4</v>
      </c>
    </row>
    <row r="60" spans="2:18" x14ac:dyDescent="0.5">
      <c r="B60" s="1" t="s">
        <v>203</v>
      </c>
      <c r="C60" t="s">
        <v>226</v>
      </c>
      <c r="D60" t="s">
        <v>227</v>
      </c>
      <c r="E60">
        <v>1.64</v>
      </c>
      <c r="F60" s="9" t="s">
        <v>68</v>
      </c>
      <c r="G60" s="7">
        <v>1640000000</v>
      </c>
      <c r="H60" s="6">
        <v>1.88</v>
      </c>
      <c r="I60" s="6">
        <v>1.35</v>
      </c>
      <c r="J60" s="12">
        <f t="shared" si="1"/>
        <v>0.21481481481481457</v>
      </c>
      <c r="K60" s="11">
        <v>0.12804878048780488</v>
      </c>
      <c r="L60" s="13">
        <v>315190000</v>
      </c>
      <c r="M60" s="13">
        <v>607806000</v>
      </c>
      <c r="N60" s="9" t="s">
        <v>68</v>
      </c>
      <c r="O60" s="6">
        <v>1</v>
      </c>
      <c r="P60" s="12">
        <v>0.1742687749876565</v>
      </c>
      <c r="Q60" s="12">
        <v>0.51857007005524791</v>
      </c>
      <c r="R60" s="14">
        <v>3</v>
      </c>
    </row>
    <row r="61" spans="2:18" x14ac:dyDescent="0.5">
      <c r="B61" s="1" t="s">
        <v>204</v>
      </c>
      <c r="C61" t="s">
        <v>228</v>
      </c>
      <c r="D61" t="s">
        <v>229</v>
      </c>
      <c r="E61">
        <v>15.8</v>
      </c>
      <c r="F61" s="9" t="s">
        <v>68</v>
      </c>
      <c r="G61" s="7">
        <v>143318171648</v>
      </c>
      <c r="H61" s="6">
        <v>17.88</v>
      </c>
      <c r="I61" s="6">
        <v>10.6</v>
      </c>
      <c r="J61" s="12">
        <f t="shared" si="1"/>
        <v>0.49056603773584917</v>
      </c>
      <c r="K61" s="11">
        <v>4.5506329113924049E-2</v>
      </c>
      <c r="L61" s="13">
        <v>21175963859.630001</v>
      </c>
      <c r="M61" s="13">
        <v>104071284594.97</v>
      </c>
      <c r="N61" s="9" t="s">
        <v>51</v>
      </c>
      <c r="O61" s="6">
        <v>1.0683760683760684</v>
      </c>
      <c r="P61" s="12">
        <v>0.20107063130825906</v>
      </c>
      <c r="Q61" s="12">
        <v>0.20347556909712136</v>
      </c>
      <c r="R61" s="14">
        <v>6</v>
      </c>
    </row>
    <row r="62" spans="2:18" x14ac:dyDescent="0.5">
      <c r="B62" s="1" t="s">
        <v>205</v>
      </c>
      <c r="C62" t="s">
        <v>230</v>
      </c>
      <c r="D62" t="s">
        <v>231</v>
      </c>
      <c r="E62">
        <v>0.69</v>
      </c>
      <c r="F62" s="9" t="s">
        <v>68</v>
      </c>
      <c r="G62" s="7">
        <v>1643724928</v>
      </c>
      <c r="H62" s="6">
        <v>1.03</v>
      </c>
      <c r="I62" s="6">
        <v>0.55000000000000004</v>
      </c>
      <c r="J62" s="12">
        <f t="shared" si="1"/>
        <v>0.25454545454545441</v>
      </c>
      <c r="K62" s="11">
        <v>1.4492753623188408E-2</v>
      </c>
      <c r="L62" s="13">
        <v>54195000</v>
      </c>
      <c r="M62" s="13">
        <v>586711000</v>
      </c>
      <c r="N62" s="9" t="s">
        <v>72</v>
      </c>
      <c r="O62" s="6">
        <v>7.6923076923076916</v>
      </c>
      <c r="P62" s="12">
        <v>1.2095413323209785</v>
      </c>
      <c r="Q62" s="12">
        <v>9.2370860611101543E-2</v>
      </c>
      <c r="R62" s="14">
        <v>15</v>
      </c>
    </row>
    <row r="63" spans="2:18" x14ac:dyDescent="0.5">
      <c r="B63" s="1" t="s">
        <v>206</v>
      </c>
      <c r="C63" t="s">
        <v>232</v>
      </c>
      <c r="D63" t="s">
        <v>233</v>
      </c>
      <c r="E63">
        <v>34.200000000000003</v>
      </c>
      <c r="F63" s="9" t="s">
        <v>68</v>
      </c>
      <c r="G63" s="7">
        <v>361589768192</v>
      </c>
      <c r="H63" s="6">
        <v>34.6</v>
      </c>
      <c r="I63" s="6">
        <v>21.5</v>
      </c>
      <c r="J63" s="12">
        <f t="shared" si="1"/>
        <v>0.59069767441860477</v>
      </c>
      <c r="K63" s="11">
        <v>5.8157894736842103E-2</v>
      </c>
      <c r="M63" s="13">
        <v>415994000000</v>
      </c>
      <c r="N63" s="9" t="s">
        <v>68</v>
      </c>
      <c r="O63" s="6">
        <v>1</v>
      </c>
    </row>
    <row r="64" spans="2:18" x14ac:dyDescent="0.5">
      <c r="B64" s="1" t="s">
        <v>207</v>
      </c>
      <c r="C64" t="s">
        <v>234</v>
      </c>
      <c r="D64" t="s">
        <v>235</v>
      </c>
      <c r="E64">
        <v>7.07</v>
      </c>
      <c r="F64" s="9" t="s">
        <v>68</v>
      </c>
      <c r="G64" s="7">
        <v>577521451008</v>
      </c>
      <c r="H64" s="6">
        <v>7.27</v>
      </c>
      <c r="I64" s="6">
        <v>5.08</v>
      </c>
      <c r="J64" s="12">
        <f t="shared" si="1"/>
        <v>0.3917322834645669</v>
      </c>
      <c r="K64" s="11">
        <v>5.3606789250353608E-2</v>
      </c>
      <c r="M64" s="13">
        <v>2314289000000</v>
      </c>
      <c r="N64" s="9" t="s">
        <v>51</v>
      </c>
      <c r="O64" s="6">
        <v>1.0683760683760684</v>
      </c>
    </row>
    <row r="65" spans="2:15" x14ac:dyDescent="0.5">
      <c r="B65" s="1" t="s">
        <v>208</v>
      </c>
      <c r="C65" t="s">
        <v>236</v>
      </c>
      <c r="D65" t="s">
        <v>235</v>
      </c>
      <c r="E65">
        <v>5.88</v>
      </c>
      <c r="F65" s="9" t="s">
        <v>68</v>
      </c>
      <c r="G65" s="7">
        <v>2603111415808</v>
      </c>
      <c r="H65" s="6">
        <v>5.97</v>
      </c>
      <c r="I65" s="6">
        <v>4.0599999999999996</v>
      </c>
      <c r="J65" s="12">
        <f t="shared" si="1"/>
        <v>0.44827586206896552</v>
      </c>
      <c r="K65" s="11">
        <v>5.2380952380952382E-2</v>
      </c>
      <c r="M65" s="13">
        <v>6434377000000</v>
      </c>
      <c r="N65" s="9" t="s">
        <v>51</v>
      </c>
      <c r="O65" s="6">
        <v>1.0683760683760684</v>
      </c>
    </row>
    <row r="66" spans="2:15" x14ac:dyDescent="0.5">
      <c r="B66" s="1" t="s">
        <v>209</v>
      </c>
      <c r="C66" t="s">
        <v>237</v>
      </c>
      <c r="D66" t="s">
        <v>233</v>
      </c>
      <c r="E66">
        <v>5.1100000000000003</v>
      </c>
      <c r="F66" s="9" t="s">
        <v>68</v>
      </c>
      <c r="G66" s="7">
        <v>566177759232</v>
      </c>
      <c r="H66" s="6">
        <v>5.39</v>
      </c>
      <c r="I66" s="6">
        <v>3.89</v>
      </c>
      <c r="J66" s="12">
        <f t="shared" ref="J66:J68" si="2">E66/I66-1</f>
        <v>0.31362467866323906</v>
      </c>
      <c r="K66" s="11">
        <v>0</v>
      </c>
      <c r="M66" s="13">
        <v>1271649000000</v>
      </c>
      <c r="N66" s="9" t="s">
        <v>51</v>
      </c>
      <c r="O66" s="6">
        <v>1.0683760683760684</v>
      </c>
    </row>
    <row r="67" spans="2:15" x14ac:dyDescent="0.5">
      <c r="B67" s="1" t="s">
        <v>210</v>
      </c>
      <c r="C67" t="s">
        <v>238</v>
      </c>
      <c r="D67" t="s">
        <v>235</v>
      </c>
      <c r="E67">
        <v>7.28</v>
      </c>
      <c r="F67" s="9" t="s">
        <v>68</v>
      </c>
      <c r="G67" s="7">
        <v>1844635631616</v>
      </c>
      <c r="H67" s="6">
        <v>7.32</v>
      </c>
      <c r="I67" s="6">
        <v>5.23</v>
      </c>
      <c r="J67" s="12">
        <f t="shared" si="2"/>
        <v>0.39196940726577423</v>
      </c>
      <c r="K67" s="11">
        <v>5.5357142857142862E-2</v>
      </c>
      <c r="M67" s="13">
        <v>6128626000000</v>
      </c>
      <c r="N67" s="9" t="s">
        <v>51</v>
      </c>
      <c r="O67" s="6">
        <v>1.0683760683760684</v>
      </c>
    </row>
    <row r="68" spans="2:15" x14ac:dyDescent="0.5">
      <c r="B68" s="1" t="s">
        <v>211</v>
      </c>
      <c r="C68" t="s">
        <v>239</v>
      </c>
      <c r="D68" t="s">
        <v>233</v>
      </c>
      <c r="E68">
        <v>7.21</v>
      </c>
      <c r="F68" s="9" t="s">
        <v>68</v>
      </c>
      <c r="G68" s="7">
        <v>482087305216</v>
      </c>
      <c r="H68" s="6">
        <v>7.3</v>
      </c>
      <c r="I68" s="6">
        <v>4.26</v>
      </c>
      <c r="J68" s="12">
        <f t="shared" si="2"/>
        <v>0.69248826291079824</v>
      </c>
      <c r="K68" s="11">
        <v>4.9237170596393896E-2</v>
      </c>
      <c r="M68" s="13">
        <v>2066897000000</v>
      </c>
      <c r="N68" s="9" t="s">
        <v>51</v>
      </c>
      <c r="O68" s="6">
        <v>1.0683760683760684</v>
      </c>
    </row>
  </sheetData>
  <autoFilter ref="B1:R21" xr:uid="{7A9EDF16-08C4-B24B-A5E4-CFD78B458569}">
    <sortState xmlns:xlrd2="http://schemas.microsoft.com/office/spreadsheetml/2017/richdata2" ref="B2:R58">
      <sortCondition ref="R1:R2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topLeftCell="B1" zoomScale="62" workbookViewId="0">
      <selection activeCell="A11" sqref="A1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125.09</v>
      </c>
      <c r="F2" s="9" t="s">
        <v>51</v>
      </c>
      <c r="G2" s="7">
        <v>485550587904</v>
      </c>
      <c r="H2" s="6">
        <v>178.76</v>
      </c>
      <c r="I2" s="6">
        <v>106.33</v>
      </c>
      <c r="J2" s="12">
        <f t="shared" ref="J2:J11" si="0">E2/I2-1</f>
        <v>0.17643186306780789</v>
      </c>
      <c r="K2" s="11">
        <v>4.5926932608521862E-2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0.12314594309994076</v>
      </c>
      <c r="Q2" s="12">
        <v>0.33164773684009302</v>
      </c>
      <c r="R2" s="14">
        <v>1</v>
      </c>
    </row>
    <row r="3" spans="2:22" x14ac:dyDescent="0.5">
      <c r="B3" s="1" t="s">
        <v>11</v>
      </c>
      <c r="C3" t="s">
        <v>57</v>
      </c>
      <c r="D3" t="s">
        <v>50</v>
      </c>
      <c r="E3">
        <v>8.68</v>
      </c>
      <c r="F3" s="9" t="s">
        <v>51</v>
      </c>
      <c r="G3" s="7">
        <v>14978208768</v>
      </c>
      <c r="H3" s="6">
        <v>9.76</v>
      </c>
      <c r="I3" s="6">
        <v>7.06</v>
      </c>
      <c r="J3" s="12">
        <f t="shared" si="0"/>
        <v>0.22946175637393762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0.19160856410336488</v>
      </c>
      <c r="Q3" s="12">
        <v>0.1287769864044232</v>
      </c>
      <c r="R3" s="14">
        <v>1</v>
      </c>
    </row>
    <row r="4" spans="2:22" x14ac:dyDescent="0.5">
      <c r="B4" s="1" t="s">
        <v>14</v>
      </c>
      <c r="C4" t="s">
        <v>62</v>
      </c>
      <c r="D4" t="s">
        <v>61</v>
      </c>
      <c r="E4">
        <v>13.16</v>
      </c>
      <c r="F4" s="9" t="s">
        <v>51</v>
      </c>
      <c r="G4" s="7">
        <v>13465312256</v>
      </c>
      <c r="H4" s="6">
        <v>13.58</v>
      </c>
      <c r="I4" s="6">
        <v>9.18</v>
      </c>
      <c r="J4" s="12">
        <f t="shared" si="0"/>
        <v>0.43355119825708077</v>
      </c>
      <c r="K4" s="11">
        <v>4.5592705167173252E-2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0.15914534730349833</v>
      </c>
      <c r="Q4" s="12">
        <v>0.11527544475940803</v>
      </c>
      <c r="R4" s="14">
        <v>2</v>
      </c>
    </row>
    <row r="5" spans="2:22" x14ac:dyDescent="0.5">
      <c r="B5" s="1" t="s">
        <v>13</v>
      </c>
      <c r="C5" t="s">
        <v>60</v>
      </c>
      <c r="D5" t="s">
        <v>61</v>
      </c>
      <c r="E5">
        <v>13.84</v>
      </c>
      <c r="F5" s="9" t="s">
        <v>51</v>
      </c>
      <c r="G5" s="7">
        <v>24856639488</v>
      </c>
      <c r="H5" s="6">
        <v>15.58</v>
      </c>
      <c r="I5" s="6">
        <v>11.47</v>
      </c>
      <c r="J5" s="12">
        <f t="shared" si="0"/>
        <v>0.20662598081952921</v>
      </c>
      <c r="K5" s="11">
        <v>3.9739884393063585E-2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0.14373303315463123</v>
      </c>
      <c r="Q5" s="12">
        <v>0.11487361117809598</v>
      </c>
      <c r="R5" s="14">
        <v>3</v>
      </c>
    </row>
    <row r="6" spans="2:22" x14ac:dyDescent="0.5">
      <c r="B6" s="1" t="s">
        <v>10</v>
      </c>
      <c r="C6" t="s">
        <v>55</v>
      </c>
      <c r="D6" t="s">
        <v>56</v>
      </c>
      <c r="E6">
        <v>105.42</v>
      </c>
      <c r="F6" s="9" t="s">
        <v>51</v>
      </c>
      <c r="G6" s="7">
        <v>56034734080</v>
      </c>
      <c r="H6" s="6">
        <v>121.53</v>
      </c>
      <c r="I6" s="6">
        <v>50.21</v>
      </c>
      <c r="J6" s="12">
        <f t="shared" si="0"/>
        <v>1.0995817566221868</v>
      </c>
      <c r="K6" s="11">
        <v>1.9920318725099601E-2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4.264214464208986E-2</v>
      </c>
      <c r="Q6" s="12">
        <v>0.22747360748931247</v>
      </c>
      <c r="R6" s="14">
        <v>4</v>
      </c>
    </row>
    <row r="7" spans="2:22" x14ac:dyDescent="0.5">
      <c r="B7" s="1" t="s">
        <v>8</v>
      </c>
      <c r="C7" t="s">
        <v>49</v>
      </c>
      <c r="D7" t="s">
        <v>50</v>
      </c>
      <c r="E7">
        <v>222.7</v>
      </c>
      <c r="F7" s="9" t="s">
        <v>51</v>
      </c>
      <c r="G7" s="7">
        <v>41166761984</v>
      </c>
      <c r="H7" s="6">
        <v>333.5</v>
      </c>
      <c r="I7" s="6">
        <v>173</v>
      </c>
      <c r="J7" s="12">
        <f t="shared" si="0"/>
        <v>0.28728323699421954</v>
      </c>
      <c r="K7" s="11">
        <v>4.8046699595868884E-3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5.2828479318259083E-2</v>
      </c>
      <c r="Q7" s="12">
        <v>0.16379150253744434</v>
      </c>
      <c r="R7" s="14">
        <v>4</v>
      </c>
    </row>
    <row r="8" spans="2:22" x14ac:dyDescent="0.5">
      <c r="B8" s="1" t="s">
        <v>15</v>
      </c>
      <c r="C8" t="s">
        <v>63</v>
      </c>
      <c r="D8" t="s">
        <v>61</v>
      </c>
      <c r="E8">
        <v>9.74</v>
      </c>
      <c r="F8" s="9" t="s">
        <v>51</v>
      </c>
      <c r="G8" s="7">
        <v>11820951552</v>
      </c>
      <c r="H8" s="6">
        <v>10.27</v>
      </c>
      <c r="I8" s="6">
        <v>7.54</v>
      </c>
      <c r="J8" s="12">
        <f t="shared" si="0"/>
        <v>0.29177718832891242</v>
      </c>
      <c r="K8" s="11">
        <v>4.1067761806981518E-2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0.10578965566101749</v>
      </c>
      <c r="Q8" s="12">
        <v>0.1128187617835559</v>
      </c>
      <c r="R8" s="14">
        <v>6</v>
      </c>
    </row>
    <row r="9" spans="2:22" x14ac:dyDescent="0.5">
      <c r="B9" s="1" t="s">
        <v>17</v>
      </c>
      <c r="C9" t="s">
        <v>65</v>
      </c>
      <c r="D9" t="s">
        <v>66</v>
      </c>
      <c r="E9">
        <v>13.02</v>
      </c>
      <c r="F9" s="9" t="s">
        <v>51</v>
      </c>
      <c r="G9" s="7">
        <v>4602869760</v>
      </c>
      <c r="H9" s="6">
        <v>14.68</v>
      </c>
      <c r="I9" s="6">
        <v>9.73</v>
      </c>
      <c r="J9" s="12">
        <f t="shared" si="0"/>
        <v>0.33812949640287759</v>
      </c>
      <c r="K9" s="11">
        <v>3.6866359447004608E-2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9.2294210563736004E-2</v>
      </c>
      <c r="Q9" s="12">
        <v>0.12344330708657501</v>
      </c>
      <c r="R9" s="14">
        <v>5</v>
      </c>
    </row>
    <row r="10" spans="2:22" x14ac:dyDescent="0.5">
      <c r="B10" s="1" t="s">
        <v>16</v>
      </c>
      <c r="C10" t="s">
        <v>64</v>
      </c>
      <c r="D10" t="s">
        <v>61</v>
      </c>
      <c r="E10">
        <v>8.26</v>
      </c>
      <c r="F10" s="9" t="s">
        <v>51</v>
      </c>
      <c r="G10" s="7">
        <v>18355537920</v>
      </c>
      <c r="H10" s="6">
        <v>10.53</v>
      </c>
      <c r="I10" s="6">
        <v>7.15</v>
      </c>
      <c r="J10" s="12">
        <f t="shared" si="0"/>
        <v>0.15524475524475512</v>
      </c>
      <c r="K10" s="11">
        <v>3.6319612590799029E-2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0.10979074265151259</v>
      </c>
      <c r="Q10" s="12">
        <v>9.9124832291360196E-2</v>
      </c>
      <c r="R10" s="14">
        <v>7</v>
      </c>
    </row>
    <row r="11" spans="2:22" x14ac:dyDescent="0.5">
      <c r="B11" s="1" t="s">
        <v>9</v>
      </c>
      <c r="C11" t="s">
        <v>53</v>
      </c>
      <c r="D11" t="s">
        <v>54</v>
      </c>
      <c r="E11">
        <v>53.03</v>
      </c>
      <c r="F11" s="9" t="s">
        <v>51</v>
      </c>
      <c r="G11" s="7">
        <v>30507945984</v>
      </c>
      <c r="H11" s="6">
        <v>68.39</v>
      </c>
      <c r="I11" s="6">
        <v>36.25</v>
      </c>
      <c r="J11" s="12">
        <f t="shared" si="0"/>
        <v>0.46289655172413791</v>
      </c>
      <c r="K11" s="11">
        <v>8.4857627757872894E-3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3.4295239856469741E-2</v>
      </c>
      <c r="Q11" s="12">
        <v>0.10362091390188061</v>
      </c>
      <c r="R11" s="14">
        <v>8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5"/>
  <sheetViews>
    <sheetView zoomScale="64" workbookViewId="0">
      <selection activeCell="J9" sqref="J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40</v>
      </c>
      <c r="C2" t="s">
        <v>108</v>
      </c>
      <c r="D2" t="s">
        <v>109</v>
      </c>
      <c r="E2">
        <v>77.680000000000007</v>
      </c>
      <c r="F2" s="9" t="s">
        <v>72</v>
      </c>
      <c r="G2" s="7">
        <v>3196547584</v>
      </c>
      <c r="H2" s="6">
        <v>109.52</v>
      </c>
      <c r="I2" s="6">
        <v>45.55</v>
      </c>
      <c r="J2" s="12">
        <f t="shared" ref="J2:J15" si="0">E2/I2-1</f>
        <v>0.70537870472008812</v>
      </c>
      <c r="K2" s="11">
        <v>1.5319258496395467E-2</v>
      </c>
      <c r="L2" s="13">
        <v>503000000</v>
      </c>
      <c r="M2" s="13">
        <v>1851800000</v>
      </c>
      <c r="N2" s="9" t="s">
        <v>72</v>
      </c>
      <c r="O2" s="6">
        <v>1</v>
      </c>
      <c r="P2" s="12">
        <v>0.13333518592368598</v>
      </c>
      <c r="Q2" s="12">
        <v>0.27162760557295607</v>
      </c>
      <c r="R2" s="14">
        <v>3</v>
      </c>
    </row>
    <row r="3" spans="2:22" x14ac:dyDescent="0.5">
      <c r="B3" s="1" t="s">
        <v>39</v>
      </c>
      <c r="C3" t="s">
        <v>106</v>
      </c>
      <c r="D3" t="s">
        <v>107</v>
      </c>
      <c r="E3">
        <v>211.83</v>
      </c>
      <c r="F3" s="9" t="s">
        <v>72</v>
      </c>
      <c r="G3" s="7">
        <v>89519775744</v>
      </c>
      <c r="H3" s="6">
        <v>236.53</v>
      </c>
      <c r="I3" s="6">
        <v>103.69</v>
      </c>
      <c r="J3" s="12">
        <f t="shared" si="0"/>
        <v>1.0429163853794967</v>
      </c>
      <c r="K3" s="11">
        <v>4.720766652504366E-3</v>
      </c>
      <c r="L3" s="13">
        <v>7886000000</v>
      </c>
      <c r="M3" s="13">
        <v>4294000000</v>
      </c>
      <c r="N3" s="9" t="s">
        <v>72</v>
      </c>
      <c r="O3" s="6">
        <v>1</v>
      </c>
      <c r="P3" s="12">
        <v>9.1803594690480092E-2</v>
      </c>
      <c r="Q3" s="12">
        <v>1.8365160689333955</v>
      </c>
      <c r="R3" s="14">
        <v>6</v>
      </c>
    </row>
    <row r="4" spans="2:22" x14ac:dyDescent="0.5">
      <c r="B4" s="1" t="s">
        <v>38</v>
      </c>
      <c r="C4" t="s">
        <v>105</v>
      </c>
      <c r="D4" t="s">
        <v>87</v>
      </c>
      <c r="E4">
        <v>167.93</v>
      </c>
      <c r="F4" s="9" t="s">
        <v>72</v>
      </c>
      <c r="G4" s="7">
        <v>4629678592</v>
      </c>
      <c r="H4" s="6">
        <v>202.63</v>
      </c>
      <c r="I4" s="6">
        <v>156.13999999999999</v>
      </c>
      <c r="J4" s="12">
        <f t="shared" si="0"/>
        <v>7.5509158447547131E-2</v>
      </c>
      <c r="K4" s="11">
        <v>2.2032989936282974E-2</v>
      </c>
      <c r="L4" s="13">
        <v>214237000</v>
      </c>
      <c r="M4" s="13">
        <v>925772000</v>
      </c>
      <c r="N4" s="9" t="s">
        <v>72</v>
      </c>
      <c r="O4" s="6">
        <v>1</v>
      </c>
      <c r="P4" s="12">
        <v>4.7356678364130433E-2</v>
      </c>
      <c r="Q4" s="12">
        <v>0.23141443033489886</v>
      </c>
      <c r="R4" s="14">
        <v>8</v>
      </c>
    </row>
    <row r="5" spans="2:22" x14ac:dyDescent="0.5">
      <c r="B5" s="1" t="s">
        <v>212</v>
      </c>
      <c r="C5" t="s">
        <v>240</v>
      </c>
      <c r="D5" t="s">
        <v>241</v>
      </c>
      <c r="E5">
        <v>24.52</v>
      </c>
      <c r="F5" s="9" t="s">
        <v>72</v>
      </c>
      <c r="G5" s="7">
        <v>66273640448</v>
      </c>
      <c r="H5" s="6">
        <v>29.03</v>
      </c>
      <c r="I5" s="6">
        <v>21.41</v>
      </c>
      <c r="J5" s="12">
        <f t="shared" si="0"/>
        <v>0.14525922466137309</v>
      </c>
      <c r="K5" s="11">
        <v>5.872756933115824E-2</v>
      </c>
      <c r="L5" s="13">
        <v>32043000000</v>
      </c>
      <c r="M5" s="13">
        <v>68927000000</v>
      </c>
      <c r="N5" s="9" t="s">
        <v>72</v>
      </c>
      <c r="O5" s="6">
        <v>1</v>
      </c>
      <c r="P5" s="12">
        <v>0.35420077546920636</v>
      </c>
      <c r="Q5" s="12">
        <v>0.46488313723214414</v>
      </c>
      <c r="R5" s="14">
        <v>1</v>
      </c>
    </row>
    <row r="6" spans="2:22" x14ac:dyDescent="0.5">
      <c r="B6" s="1" t="s">
        <v>213</v>
      </c>
      <c r="C6" t="s">
        <v>242</v>
      </c>
      <c r="D6" t="s">
        <v>77</v>
      </c>
      <c r="E6">
        <v>25.72</v>
      </c>
      <c r="F6" s="9" t="s">
        <v>72</v>
      </c>
      <c r="G6" s="7">
        <v>915956032</v>
      </c>
      <c r="H6" s="6">
        <v>30.19</v>
      </c>
      <c r="I6" s="6">
        <v>17.73</v>
      </c>
      <c r="J6" s="12">
        <f t="shared" si="0"/>
        <v>0.45064861816130852</v>
      </c>
      <c r="K6" s="11">
        <v>7.2900466562986002E-2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0.27032409093251997</v>
      </c>
      <c r="Q6" s="12">
        <v>0.18435624112536766</v>
      </c>
      <c r="R6" s="14">
        <v>4</v>
      </c>
    </row>
    <row r="7" spans="2:22" x14ac:dyDescent="0.5">
      <c r="B7" s="1" t="s">
        <v>214</v>
      </c>
      <c r="C7" t="s">
        <v>243</v>
      </c>
      <c r="D7" t="s">
        <v>89</v>
      </c>
      <c r="E7">
        <v>18.55</v>
      </c>
      <c r="F7" s="9" t="s">
        <v>72</v>
      </c>
      <c r="G7" s="7">
        <v>478500928</v>
      </c>
      <c r="H7" s="6">
        <v>25.75</v>
      </c>
      <c r="I7" s="6">
        <v>17.149999999999999</v>
      </c>
      <c r="J7" s="12">
        <f t="shared" si="0"/>
        <v>8.163265306122458E-2</v>
      </c>
      <c r="K7" s="11">
        <v>5.3908355795148244E-2</v>
      </c>
      <c r="L7" s="13">
        <v>51916000</v>
      </c>
      <c r="M7" s="13">
        <v>301980000</v>
      </c>
      <c r="N7" s="9" t="s">
        <v>72</v>
      </c>
      <c r="O7" s="6">
        <v>1</v>
      </c>
      <c r="P7" s="12">
        <v>0.12332267292330092</v>
      </c>
      <c r="Q7" s="12">
        <v>0.17191867011060336</v>
      </c>
      <c r="R7" s="14">
        <v>7</v>
      </c>
    </row>
    <row r="8" spans="2:22" x14ac:dyDescent="0.5">
      <c r="B8" s="1" t="s">
        <v>215</v>
      </c>
      <c r="C8" t="s">
        <v>244</v>
      </c>
      <c r="D8" t="s">
        <v>245</v>
      </c>
      <c r="E8">
        <v>68.31</v>
      </c>
      <c r="F8" s="9" t="s">
        <v>72</v>
      </c>
      <c r="G8" s="7">
        <v>2298740736</v>
      </c>
      <c r="H8" s="6">
        <v>153.32</v>
      </c>
      <c r="I8" s="6">
        <v>49.92</v>
      </c>
      <c r="J8" s="12">
        <f t="shared" si="0"/>
        <v>0.36838942307692313</v>
      </c>
      <c r="K8" s="11">
        <v>1.8884497145366712E-2</v>
      </c>
      <c r="L8" s="13">
        <v>622821000</v>
      </c>
      <c r="M8" s="13">
        <v>2304738000</v>
      </c>
      <c r="N8" s="9" t="s">
        <v>72</v>
      </c>
      <c r="O8" s="6">
        <v>1</v>
      </c>
      <c r="P8" s="12">
        <v>0.21487257697834797</v>
      </c>
      <c r="Q8" s="12">
        <v>0.27023505491730515</v>
      </c>
      <c r="R8" s="14">
        <v>2</v>
      </c>
    </row>
    <row r="9" spans="2:22" x14ac:dyDescent="0.5">
      <c r="B9" s="1" t="s">
        <v>216</v>
      </c>
      <c r="C9" t="s">
        <v>246</v>
      </c>
      <c r="D9" t="s">
        <v>247</v>
      </c>
      <c r="E9">
        <v>52</v>
      </c>
      <c r="F9" s="9" t="s">
        <v>72</v>
      </c>
      <c r="G9" s="7">
        <v>10533276672</v>
      </c>
      <c r="H9" s="6">
        <v>64.66</v>
      </c>
      <c r="I9" s="6">
        <v>49.19</v>
      </c>
      <c r="J9" s="12">
        <f t="shared" si="0"/>
        <v>5.712543199837361E-2</v>
      </c>
      <c r="K9" s="11">
        <v>3.4423076923076924E-2</v>
      </c>
      <c r="L9" s="13">
        <v>1785700000</v>
      </c>
      <c r="M9" s="13">
        <v>19238500000</v>
      </c>
      <c r="N9" s="9" t="s">
        <v>72</v>
      </c>
      <c r="O9" s="6">
        <v>1</v>
      </c>
      <c r="P9" s="12">
        <v>0.11332901628117967</v>
      </c>
      <c r="Q9" s="12">
        <v>9.2819086727135694E-2</v>
      </c>
      <c r="R9" s="14">
        <v>8</v>
      </c>
    </row>
    <row r="10" spans="2:22" x14ac:dyDescent="0.5">
      <c r="B10" s="1" t="s">
        <v>217</v>
      </c>
      <c r="C10" t="s">
        <v>248</v>
      </c>
      <c r="D10" t="s">
        <v>249</v>
      </c>
      <c r="E10">
        <v>9.4600000000000009</v>
      </c>
      <c r="F10" s="9" t="s">
        <v>72</v>
      </c>
      <c r="G10" s="7">
        <v>3126766336</v>
      </c>
      <c r="H10" s="6">
        <v>13.12</v>
      </c>
      <c r="I10" s="6">
        <v>9</v>
      </c>
      <c r="J10" s="12">
        <f t="shared" si="0"/>
        <v>5.1111111111111107E-2</v>
      </c>
      <c r="K10" s="11">
        <v>9.9365750528541213E-2</v>
      </c>
      <c r="L10" s="13">
        <v>738400000</v>
      </c>
      <c r="M10" s="13">
        <v>3909700000</v>
      </c>
      <c r="N10" s="9" t="s">
        <v>72</v>
      </c>
      <c r="O10" s="6">
        <v>1</v>
      </c>
      <c r="P10" s="12">
        <v>0.17779206038522605</v>
      </c>
      <c r="Q10" s="12">
        <v>0.18886359567230221</v>
      </c>
      <c r="R10" s="14">
        <v>5</v>
      </c>
    </row>
    <row r="11" spans="2:22" x14ac:dyDescent="0.5">
      <c r="B11" s="1" t="s">
        <v>218</v>
      </c>
      <c r="C11" t="s">
        <v>250</v>
      </c>
      <c r="D11" t="s">
        <v>87</v>
      </c>
      <c r="E11">
        <v>62.17</v>
      </c>
      <c r="F11" s="9" t="s">
        <v>72</v>
      </c>
      <c r="G11" s="7">
        <v>723714752</v>
      </c>
      <c r="H11" s="6">
        <v>105.63</v>
      </c>
      <c r="I11" s="6">
        <v>58.47</v>
      </c>
      <c r="J11" s="12">
        <f t="shared" si="0"/>
        <v>6.3280314691294803E-2</v>
      </c>
      <c r="K11" s="11">
        <v>1.3672189158758242E-2</v>
      </c>
      <c r="L11" s="13">
        <v>82486000</v>
      </c>
      <c r="M11" s="13">
        <v>350680000</v>
      </c>
      <c r="N11" s="9" t="s">
        <v>72</v>
      </c>
      <c r="O11" s="6">
        <v>1</v>
      </c>
      <c r="P11" s="12">
        <v>0.10627245963290494</v>
      </c>
      <c r="Q11" s="12">
        <v>0.23521729211817041</v>
      </c>
      <c r="R11" s="14">
        <v>7</v>
      </c>
    </row>
    <row r="12" spans="2:22" x14ac:dyDescent="0.5">
      <c r="B12" s="1" t="s">
        <v>219</v>
      </c>
      <c r="C12" t="s">
        <v>251</v>
      </c>
      <c r="D12" t="s">
        <v>241</v>
      </c>
      <c r="E12">
        <v>140.21</v>
      </c>
      <c r="F12" s="9" t="s">
        <v>72</v>
      </c>
      <c r="G12" s="7">
        <v>242875990016</v>
      </c>
      <c r="H12" s="6">
        <v>168.96</v>
      </c>
      <c r="I12" s="6">
        <v>132.04</v>
      </c>
      <c r="J12" s="12">
        <f t="shared" si="0"/>
        <v>6.1875189336564773E-2</v>
      </c>
      <c r="K12" s="11">
        <v>4.7072248769702583E-2</v>
      </c>
      <c r="L12" s="13">
        <v>28100000000</v>
      </c>
      <c r="M12" s="13">
        <v>176255000000</v>
      </c>
      <c r="N12" s="9" t="s">
        <v>72</v>
      </c>
      <c r="O12" s="6">
        <v>1</v>
      </c>
      <c r="P12" s="12">
        <v>0.1078131995442187</v>
      </c>
      <c r="Q12" s="12">
        <v>0.1594281013304587</v>
      </c>
      <c r="R12" s="14">
        <v>8</v>
      </c>
    </row>
    <row r="13" spans="2:22" x14ac:dyDescent="0.5">
      <c r="B13" s="1" t="s">
        <v>220</v>
      </c>
      <c r="C13" t="s">
        <v>252</v>
      </c>
      <c r="D13" t="s">
        <v>87</v>
      </c>
      <c r="E13">
        <v>17.04</v>
      </c>
      <c r="F13" s="9" t="s">
        <v>72</v>
      </c>
      <c r="G13" s="7">
        <v>2599486208</v>
      </c>
      <c r="H13" s="6">
        <v>20.81</v>
      </c>
      <c r="I13" s="6">
        <v>15.43</v>
      </c>
      <c r="J13" s="12">
        <f t="shared" si="0"/>
        <v>0.10434219053791316</v>
      </c>
      <c r="K13" s="11">
        <v>3.6208920187793425E-2</v>
      </c>
      <c r="L13" s="13">
        <v>408200000</v>
      </c>
      <c r="M13" s="13">
        <v>4745800000</v>
      </c>
      <c r="N13" s="9" t="s">
        <v>193</v>
      </c>
      <c r="O13" s="6">
        <v>1.1380999999999999</v>
      </c>
      <c r="P13" s="12">
        <v>0.10058007692432981</v>
      </c>
      <c r="Q13" s="12">
        <v>8.6012895612963047E-2</v>
      </c>
      <c r="R13" s="14">
        <v>10</v>
      </c>
    </row>
    <row r="14" spans="2:22" x14ac:dyDescent="0.5">
      <c r="B14" s="1" t="s">
        <v>221</v>
      </c>
      <c r="C14" t="s">
        <v>253</v>
      </c>
      <c r="D14" t="s">
        <v>109</v>
      </c>
      <c r="E14">
        <v>15.62</v>
      </c>
      <c r="F14" s="9" t="s">
        <v>72</v>
      </c>
      <c r="G14" s="7">
        <v>347340384</v>
      </c>
      <c r="H14" s="6">
        <v>26.59</v>
      </c>
      <c r="I14" s="6">
        <v>12.85</v>
      </c>
      <c r="J14" s="12">
        <f t="shared" si="0"/>
        <v>0.21556420233463025</v>
      </c>
      <c r="K14" s="11">
        <v>8.9628681177976954E-2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0.11617634257216922</v>
      </c>
      <c r="Q14" s="12">
        <v>5.638554917738179E-2</v>
      </c>
      <c r="R14" s="14">
        <v>9</v>
      </c>
    </row>
    <row r="15" spans="2:22" x14ac:dyDescent="0.5">
      <c r="B15" s="1" t="s">
        <v>222</v>
      </c>
      <c r="C15" t="s">
        <v>254</v>
      </c>
      <c r="D15" t="s">
        <v>255</v>
      </c>
      <c r="E15">
        <v>22.18</v>
      </c>
      <c r="F15" s="9" t="s">
        <v>72</v>
      </c>
      <c r="G15" s="7">
        <v>781592128</v>
      </c>
      <c r="H15" s="6">
        <v>25.04</v>
      </c>
      <c r="I15" s="6">
        <v>21.19</v>
      </c>
      <c r="J15" s="12">
        <f t="shared" si="0"/>
        <v>4.6720151014629563E-2</v>
      </c>
      <c r="K15" s="11">
        <v>8.5031559963931469E-2</v>
      </c>
      <c r="L15" s="13">
        <v>395695000</v>
      </c>
      <c r="M15" s="13">
        <v>675803000</v>
      </c>
      <c r="N15" s="9" t="s">
        <v>72</v>
      </c>
      <c r="O15" s="6">
        <v>1</v>
      </c>
      <c r="P15" s="12">
        <v>0.35237094696693422</v>
      </c>
      <c r="Q15" s="12">
        <v>0.58551826493815506</v>
      </c>
      <c r="R15" s="14">
        <v>1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195</v>
      </c>
    </row>
    <row r="4" spans="2:2" x14ac:dyDescent="0.5">
      <c r="B4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2025-06-07T06:35:36Z</dcterms:modified>
</cp:coreProperties>
</file>