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82F0205-3719-4711-AC88-3A642A6F124D}" xr6:coauthVersionLast="47" xr6:coauthVersionMax="47" xr10:uidLastSave="{00000000-0000-0000-0000-000000000000}"/>
  <bookViews>
    <workbookView xWindow="1837" yWindow="1837" windowWidth="12691" windowHeight="7643" firstSheet="2" activeTab="2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2" i="4"/>
  <c r="J3" i="4"/>
  <c r="J5" i="4"/>
  <c r="J6" i="4"/>
  <c r="J8" i="4"/>
  <c r="J9" i="4"/>
  <c r="J7" i="4"/>
  <c r="J10" i="4"/>
  <c r="J17" i="4"/>
  <c r="J20" i="4"/>
  <c r="J21" i="4"/>
  <c r="J18" i="4"/>
  <c r="J23" i="4"/>
  <c r="J26" i="4"/>
  <c r="J27" i="4"/>
  <c r="J12" i="4"/>
  <c r="J4" i="4"/>
  <c r="J25" i="4"/>
  <c r="J13" i="4"/>
  <c r="J28" i="4"/>
  <c r="J19" i="4"/>
  <c r="J14" i="4"/>
  <c r="J15" i="4"/>
  <c r="J11" i="4"/>
  <c r="J24" i="4"/>
  <c r="J16" i="4"/>
  <c r="J22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<sst xmlns="http://schemas.openxmlformats.org/spreadsheetml/2006/main" count="906" uniqueCount="432">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</sst>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23"/>
  <sheetViews>
    <sheetView zoomScaleNormal="100" workbookViewId="0">
      <pane xSplit="3" ySplit="1" topLeftCell="D83" activePane="bottomRight" state="frozen"/>
      <selection pane="topRight" activeCell="D1" sqref="D1"/>
      <selection pane="bottomLeft" activeCell="A2" sqref="A2"/>
      <selection pane="bottomRight" activeCell="C116" sqref="C11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14.51</v>
      </c>
      <c r="F2" s="9" t="s">
        <v>68</v>
      </c>
      <c r="G2" s="7">
        <v>256557121536</v>
      </c>
      <c r="H2" s="6">
        <v>15.6</v>
      </c>
      <c r="I2" s="6">
        <v>9.52</v>
      </c>
      <c r="J2" s="12">
        <f t="shared" ref="J2:J33" si="0">E2/I2-1</f>
        <v>0.52415966386554635</v>
      </c>
      <c r="K2" s="11">
        <v>0.10682288077188147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0.53071527871094615</v>
      </c>
      <c r="Q2" s="12">
        <v>0.26042924055386191</v>
      </c>
      <c r="R2" s="14">
        <v>2</v>
      </c>
    </row>
    <row r="3" spans="2:22" x14ac:dyDescent="0.5">
      <c r="B3" s="1" t="s">
        <v>296</v>
      </c>
      <c r="C3" t="s">
        <v>354</v>
      </c>
      <c r="D3" t="s">
        <v>153</v>
      </c>
      <c r="E3">
        <v>3.23</v>
      </c>
      <c r="F3" s="9" t="s">
        <v>68</v>
      </c>
      <c r="G3" s="7">
        <v>2920530432</v>
      </c>
      <c r="H3" s="6">
        <v>3.55</v>
      </c>
      <c r="I3" s="6">
        <v>2.3199999999999998</v>
      </c>
      <c r="J3" s="12">
        <f t="shared" si="0"/>
        <v>0.39224137931034497</v>
      </c>
      <c r="K3" s="11">
        <v>5.2321981424148609E-2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0.32393474918778059</v>
      </c>
      <c r="Q3" s="12">
        <v>0.29581628786323422</v>
      </c>
      <c r="R3" s="14">
        <v>3</v>
      </c>
    </row>
    <row r="4" spans="2:22" x14ac:dyDescent="0.5">
      <c r="B4" s="1" t="s">
        <v>111</v>
      </c>
      <c r="C4" t="s">
        <v>147</v>
      </c>
      <c r="D4" t="s">
        <v>148</v>
      </c>
      <c r="E4">
        <v>3.32</v>
      </c>
      <c r="F4" s="9" t="s">
        <v>68</v>
      </c>
      <c r="G4" s="7">
        <v>9286770688</v>
      </c>
      <c r="H4" s="6">
        <v>3.37</v>
      </c>
      <c r="I4" s="6">
        <v>2.36</v>
      </c>
      <c r="J4" s="12">
        <f t="shared" si="0"/>
        <v>0.40677966101694918</v>
      </c>
      <c r="K4" s="11">
        <v>4.608433734939759E-2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0.39280200743904892</v>
      </c>
      <c r="Q4" s="12">
        <v>0.28956319566547578</v>
      </c>
      <c r="R4" s="14">
        <v>1</v>
      </c>
    </row>
    <row r="5" spans="2:22" x14ac:dyDescent="0.5">
      <c r="B5" s="1" t="s">
        <v>197</v>
      </c>
      <c r="C5" t="s">
        <v>218</v>
      </c>
      <c r="D5" t="s">
        <v>219</v>
      </c>
      <c r="E5">
        <v>7.67</v>
      </c>
      <c r="F5" s="9" t="s">
        <v>68</v>
      </c>
      <c r="G5" s="7">
        <v>29928646656</v>
      </c>
      <c r="H5" s="6">
        <v>8.35</v>
      </c>
      <c r="I5" s="6">
        <v>4.22</v>
      </c>
      <c r="J5" s="12">
        <f t="shared" si="0"/>
        <v>0.81753554502369674</v>
      </c>
      <c r="K5" s="11">
        <v>5.6062581486310296E-3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0.26945426108325493</v>
      </c>
      <c r="Q5" s="12">
        <v>0.34518550887925997</v>
      </c>
      <c r="R5" s="14">
        <v>4</v>
      </c>
    </row>
    <row r="6" spans="2:22" x14ac:dyDescent="0.5">
      <c r="B6" s="1" t="s">
        <v>198</v>
      </c>
      <c r="C6" t="s">
        <v>220</v>
      </c>
      <c r="D6" t="s">
        <v>77</v>
      </c>
      <c r="E6">
        <v>139.9</v>
      </c>
      <c r="F6" s="9" t="s">
        <v>68</v>
      </c>
      <c r="G6" s="7">
        <v>92386181120</v>
      </c>
      <c r="H6" s="6">
        <v>149.5</v>
      </c>
      <c r="I6" s="6">
        <v>91</v>
      </c>
      <c r="J6" s="12">
        <f t="shared" si="0"/>
        <v>0.53736263736263745</v>
      </c>
      <c r="K6" s="11">
        <v>1.3938527519656897E-2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0.48086174053716052</v>
      </c>
      <c r="Q6" s="12">
        <v>0.19894228627727803</v>
      </c>
      <c r="R6" s="14">
        <v>5</v>
      </c>
    </row>
    <row r="7" spans="2:22" x14ac:dyDescent="0.5">
      <c r="B7" s="1" t="s">
        <v>253</v>
      </c>
      <c r="C7" t="s">
        <v>303</v>
      </c>
      <c r="D7" t="s">
        <v>304</v>
      </c>
      <c r="E7">
        <v>6.19</v>
      </c>
      <c r="F7" s="9" t="s">
        <v>68</v>
      </c>
      <c r="G7" s="7">
        <v>377941590016</v>
      </c>
      <c r="H7" s="6">
        <v>6.42</v>
      </c>
      <c r="I7" s="6">
        <v>2.5299999999999998</v>
      </c>
      <c r="J7" s="12">
        <f t="shared" si="0"/>
        <v>1.4466403162055341</v>
      </c>
      <c r="K7" s="11">
        <v>2.9079159935379642E-2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0.19000227454183852</v>
      </c>
      <c r="Q7" s="12">
        <v>0.22694806719794586</v>
      </c>
      <c r="R7" s="14">
        <v>6</v>
      </c>
    </row>
    <row r="8" spans="2:22" x14ac:dyDescent="0.5">
      <c r="B8" s="1" t="s">
        <v>110</v>
      </c>
      <c r="C8" t="s">
        <v>145</v>
      </c>
      <c r="D8" t="s">
        <v>146</v>
      </c>
      <c r="E8">
        <v>2.99</v>
      </c>
      <c r="F8" s="9" t="s">
        <v>68</v>
      </c>
      <c r="G8" s="7">
        <v>15222299648</v>
      </c>
      <c r="H8" s="6">
        <v>3.12</v>
      </c>
      <c r="I8" s="6">
        <v>2.23</v>
      </c>
      <c r="J8" s="12">
        <f t="shared" si="0"/>
        <v>0.34080717488789247</v>
      </c>
      <c r="K8" s="11">
        <v>0.10033444816053511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0.33301850874949374</v>
      </c>
      <c r="Q8" s="12">
        <v>0.15337570692947131</v>
      </c>
      <c r="R8" s="14">
        <v>9</v>
      </c>
    </row>
    <row r="9" spans="2:22" x14ac:dyDescent="0.5">
      <c r="B9" s="1" t="s">
        <v>200</v>
      </c>
      <c r="C9" t="s">
        <v>223</v>
      </c>
      <c r="D9" t="s">
        <v>224</v>
      </c>
      <c r="E9">
        <v>16.73</v>
      </c>
      <c r="F9" s="9" t="s">
        <v>68</v>
      </c>
      <c r="G9" s="7">
        <v>145236639744</v>
      </c>
      <c r="H9" s="6">
        <v>18.100000000000001</v>
      </c>
      <c r="I9" s="6">
        <v>10.6</v>
      </c>
      <c r="J9" s="12">
        <f t="shared" si="0"/>
        <v>0.57830188679245298</v>
      </c>
      <c r="K9" s="11">
        <v>4.2976688583383139E-2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0.19769976111407264</v>
      </c>
      <c r="Q9" s="12">
        <v>0.20347556909712136</v>
      </c>
      <c r="R9" s="14">
        <v>8</v>
      </c>
    </row>
    <row r="10" spans="2:22" x14ac:dyDescent="0.5">
      <c r="B10" s="1" t="s">
        <v>252</v>
      </c>
      <c r="C10" t="s">
        <v>301</v>
      </c>
      <c r="D10" t="s">
        <v>302</v>
      </c>
      <c r="E10">
        <v>9.48</v>
      </c>
      <c r="F10" s="9" t="s">
        <v>68</v>
      </c>
      <c r="G10" s="7">
        <v>219618410496</v>
      </c>
      <c r="H10" s="6">
        <v>9.77</v>
      </c>
      <c r="I10" s="6">
        <v>4.58</v>
      </c>
      <c r="J10" s="12">
        <f t="shared" si="0"/>
        <v>1.0698689956331879</v>
      </c>
      <c r="K10" s="11">
        <v>2.6898734177215188E-2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0.14201920726198899</v>
      </c>
      <c r="Q10" s="12">
        <v>0.2888078161719172</v>
      </c>
      <c r="R10" s="14">
        <v>13</v>
      </c>
    </row>
    <row r="11" spans="2:22" x14ac:dyDescent="0.5">
      <c r="B11" s="1" t="s">
        <v>199</v>
      </c>
      <c r="C11" t="s">
        <v>221</v>
      </c>
      <c r="D11" t="s">
        <v>222</v>
      </c>
      <c r="E11">
        <v>2.29</v>
      </c>
      <c r="F11" s="9" t="s">
        <v>68</v>
      </c>
      <c r="G11" s="7">
        <v>2289999872</v>
      </c>
      <c r="H11" s="6">
        <v>2.42</v>
      </c>
      <c r="I11" s="6">
        <v>1.35</v>
      </c>
      <c r="J11" s="12">
        <f t="shared" si="0"/>
        <v>0.69629629629629619</v>
      </c>
      <c r="K11" s="11">
        <v>9.1703056768558944E-2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0.12819673958731814</v>
      </c>
      <c r="Q11" s="12">
        <v>0.51857007005524791</v>
      </c>
      <c r="R11" s="14">
        <v>13</v>
      </c>
    </row>
    <row r="12" spans="2:22" x14ac:dyDescent="0.5">
      <c r="B12" s="1" t="s">
        <v>251</v>
      </c>
      <c r="C12" t="s">
        <v>300</v>
      </c>
      <c r="D12" t="s">
        <v>299</v>
      </c>
      <c r="E12">
        <v>1.45</v>
      </c>
      <c r="F12" s="9" t="s">
        <v>68</v>
      </c>
      <c r="G12" s="7">
        <v>2920662528</v>
      </c>
      <c r="H12" s="6">
        <v>1.66</v>
      </c>
      <c r="I12" s="6">
        <v>1.1299999999999999</v>
      </c>
      <c r="J12" s="12">
        <f t="shared" si="0"/>
        <v>0.2831858407079646</v>
      </c>
      <c r="K12" s="11">
        <v>8.2068965517241382E-2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0.3663830471878432</v>
      </c>
      <c r="Q12" s="12">
        <v>0.15429118804462028</v>
      </c>
      <c r="R12" s="14">
        <v>7</v>
      </c>
    </row>
    <row r="13" spans="2:22" x14ac:dyDescent="0.5">
      <c r="B13" s="1" t="s">
        <v>28</v>
      </c>
      <c r="C13" t="s">
        <v>90</v>
      </c>
      <c r="D13" t="s">
        <v>87</v>
      </c>
      <c r="E13">
        <v>4.59</v>
      </c>
      <c r="F13" s="9" t="s">
        <v>68</v>
      </c>
      <c r="G13" s="7">
        <v>41609498624</v>
      </c>
      <c r="H13" s="6">
        <v>7.38</v>
      </c>
      <c r="I13" s="6">
        <v>3.45</v>
      </c>
      <c r="J13" s="12">
        <f t="shared" si="0"/>
        <v>0.33043478260869552</v>
      </c>
      <c r="K13" s="11">
        <v>6.6884531590413951E-2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0.18218924649040652</v>
      </c>
      <c r="Q13" s="12">
        <v>0.20771406306691512</v>
      </c>
      <c r="R13" s="14">
        <v>10</v>
      </c>
    </row>
    <row r="14" spans="2:22" x14ac:dyDescent="0.5">
      <c r="B14" s="1" t="s">
        <v>250</v>
      </c>
      <c r="C14" t="s">
        <v>298</v>
      </c>
      <c r="D14" t="s">
        <v>299</v>
      </c>
      <c r="E14">
        <v>1.6</v>
      </c>
      <c r="F14" s="9" t="s">
        <v>68</v>
      </c>
      <c r="G14" s="7">
        <v>1892480000</v>
      </c>
      <c r="H14" s="6">
        <v>2.77</v>
      </c>
      <c r="I14" s="6">
        <v>1.36</v>
      </c>
      <c r="J14" s="12">
        <f t="shared" si="0"/>
        <v>0.17647058823529416</v>
      </c>
      <c r="K14" s="11">
        <v>3.8124999999999999E-2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0.5939956331507712</v>
      </c>
      <c r="Q14" s="12">
        <v>0.14567921288909008</v>
      </c>
      <c r="R14" s="14">
        <v>11</v>
      </c>
    </row>
    <row r="15" spans="2:22" x14ac:dyDescent="0.5">
      <c r="B15" s="1" t="s">
        <v>297</v>
      </c>
      <c r="C15" t="s">
        <v>355</v>
      </c>
      <c r="D15" t="s">
        <v>96</v>
      </c>
      <c r="E15">
        <v>6.48</v>
      </c>
      <c r="F15" s="9" t="s">
        <v>68</v>
      </c>
      <c r="G15" s="7">
        <v>13398566912</v>
      </c>
      <c r="H15" s="6">
        <v>6.61</v>
      </c>
      <c r="I15" s="6">
        <v>3.15</v>
      </c>
      <c r="J15" s="12">
        <f t="shared" si="0"/>
        <v>1.0571428571428574</v>
      </c>
      <c r="K15" s="11">
        <v>3.8580246913580245E-2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0.18432686891301175</v>
      </c>
      <c r="Q15" s="12">
        <v>0.16357040581906512</v>
      </c>
      <c r="R15" s="14">
        <v>16</v>
      </c>
    </row>
    <row r="16" spans="2:22" x14ac:dyDescent="0.5">
      <c r="B16" s="1" t="s">
        <v>254</v>
      </c>
      <c r="C16" t="s">
        <v>305</v>
      </c>
      <c r="D16" t="s">
        <v>306</v>
      </c>
      <c r="E16">
        <v>17.399999999999999</v>
      </c>
      <c r="F16" s="9" t="s">
        <v>68</v>
      </c>
      <c r="G16" s="7">
        <v>62535950336</v>
      </c>
      <c r="H16" s="6">
        <v>18.559999999999999</v>
      </c>
      <c r="I16" s="6">
        <v>7.68</v>
      </c>
      <c r="J16" s="12">
        <f t="shared" si="0"/>
        <v>1.265625</v>
      </c>
      <c r="K16" s="11">
        <v>2.0114942528735632E-2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0.25515949104951274</v>
      </c>
      <c r="Q16" s="12">
        <v>0.15251313559762292</v>
      </c>
      <c r="R16" s="14">
        <v>14</v>
      </c>
    </row>
    <row r="17" spans="2:18" x14ac:dyDescent="0.5">
      <c r="B17" s="1" t="s">
        <v>24</v>
      </c>
      <c r="C17" t="s">
        <v>82</v>
      </c>
      <c r="D17" t="s">
        <v>83</v>
      </c>
      <c r="E17">
        <v>15.98</v>
      </c>
      <c r="F17" s="9" t="s">
        <v>68</v>
      </c>
      <c r="G17" s="7">
        <v>32990390272</v>
      </c>
      <c r="H17" s="6">
        <v>17.059999999999999</v>
      </c>
      <c r="I17" s="6">
        <v>8.02</v>
      </c>
      <c r="J17" s="12">
        <f t="shared" si="0"/>
        <v>0.99251870324189539</v>
      </c>
      <c r="K17" s="11">
        <v>7.0087609511889873E-2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0.15977349648277978</v>
      </c>
      <c r="Q17" s="12">
        <v>0.20973136925592797</v>
      </c>
      <c r="R17" s="14">
        <v>12</v>
      </c>
    </row>
    <row r="18" spans="2:18" x14ac:dyDescent="0.5">
      <c r="B18" s="1" t="s">
        <v>294</v>
      </c>
      <c r="C18" t="s">
        <v>352</v>
      </c>
      <c r="D18" t="s">
        <v>77</v>
      </c>
      <c r="E18">
        <v>26.18</v>
      </c>
      <c r="F18" s="9" t="s">
        <v>68</v>
      </c>
      <c r="G18" s="7">
        <v>69459206144</v>
      </c>
      <c r="H18" s="6">
        <v>26.3</v>
      </c>
      <c r="I18" s="6">
        <v>15.7</v>
      </c>
      <c r="J18" s="12">
        <f t="shared" si="0"/>
        <v>0.66751592356687905</v>
      </c>
      <c r="K18" s="11">
        <v>1.0389610389610391E-2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0.12327035581315626</v>
      </c>
      <c r="Q18" s="12">
        <v>0.41587371596437778</v>
      </c>
      <c r="R18" s="14">
        <v>15</v>
      </c>
    </row>
    <row r="19" spans="2:18" x14ac:dyDescent="0.5">
      <c r="B19" s="1" t="s">
        <v>291</v>
      </c>
      <c r="C19" t="s">
        <v>349</v>
      </c>
      <c r="D19" t="s">
        <v>87</v>
      </c>
      <c r="E19">
        <v>8.0299999999999994</v>
      </c>
      <c r="F19" s="9" t="s">
        <v>68</v>
      </c>
      <c r="G19" s="7">
        <v>103026499584</v>
      </c>
      <c r="H19" s="6">
        <v>8.16</v>
      </c>
      <c r="I19" s="6">
        <v>4.95</v>
      </c>
      <c r="J19" s="12">
        <f t="shared" si="0"/>
        <v>0.62222222222222201</v>
      </c>
      <c r="K19" s="11">
        <v>7.9701120797011221E-3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0.16949439544285519</v>
      </c>
      <c r="Q19" s="12">
        <v>0.18273566673824351</v>
      </c>
      <c r="R19" s="14">
        <v>16</v>
      </c>
    </row>
    <row r="20" spans="2:18" x14ac:dyDescent="0.5">
      <c r="B20" s="1" t="s">
        <v>295</v>
      </c>
      <c r="C20" t="s">
        <v>353</v>
      </c>
      <c r="D20" t="s">
        <v>87</v>
      </c>
      <c r="E20">
        <v>0.79</v>
      </c>
      <c r="F20" s="9" t="s">
        <v>68</v>
      </c>
      <c r="G20" s="7">
        <v>1728922880</v>
      </c>
      <c r="H20" s="6">
        <v>0.82</v>
      </c>
      <c r="I20" s="6">
        <v>0.42</v>
      </c>
      <c r="J20" s="12">
        <f t="shared" si="0"/>
        <v>0.88095238095238115</v>
      </c>
      <c r="K20" s="11">
        <v>4.6835443037974676E-2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0.27668052261777509</v>
      </c>
      <c r="Q20" s="12">
        <v>0.14466826109721026</v>
      </c>
      <c r="R20" s="14">
        <v>16</v>
      </c>
    </row>
    <row r="21" spans="2:18" x14ac:dyDescent="0.5">
      <c r="B21" s="1" t="s">
        <v>32</v>
      </c>
      <c r="C21" t="s">
        <v>95</v>
      </c>
      <c r="D21" t="s">
        <v>96</v>
      </c>
      <c r="E21">
        <v>15.95</v>
      </c>
      <c r="F21" s="9" t="s">
        <v>68</v>
      </c>
      <c r="G21" s="7">
        <v>13274993664</v>
      </c>
      <c r="H21" s="6">
        <v>19.440000000000001</v>
      </c>
      <c r="I21" s="6">
        <v>12.5</v>
      </c>
      <c r="J21" s="12">
        <f t="shared" si="0"/>
        <v>0.27600000000000002</v>
      </c>
      <c r="K21" s="11">
        <v>9.2789968652037622E-3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0.15184673050249917</v>
      </c>
      <c r="Q21" s="12">
        <v>0.18009145491283626</v>
      </c>
      <c r="R21" s="14">
        <v>19</v>
      </c>
    </row>
    <row r="22" spans="2:18" x14ac:dyDescent="0.5">
      <c r="B22" s="1" t="s">
        <v>20</v>
      </c>
      <c r="C22" t="s">
        <v>73</v>
      </c>
      <c r="D22" t="s">
        <v>74</v>
      </c>
      <c r="E22">
        <v>2.93</v>
      </c>
      <c r="F22" s="9" t="s">
        <v>68</v>
      </c>
      <c r="G22" s="7">
        <v>3046643200</v>
      </c>
      <c r="H22" s="6">
        <v>3.34</v>
      </c>
      <c r="I22" s="6">
        <v>1.92</v>
      </c>
      <c r="J22" s="12">
        <f t="shared" si="0"/>
        <v>0.52604166666666674</v>
      </c>
      <c r="K22" s="11">
        <v>9.965870307167235E-2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0.20101447320664162</v>
      </c>
      <c r="Q22" s="12">
        <v>0.15218339726363278</v>
      </c>
      <c r="R22" s="14">
        <v>17</v>
      </c>
    </row>
    <row r="23" spans="2:18" x14ac:dyDescent="0.5">
      <c r="B23" s="1" t="s">
        <v>23</v>
      </c>
      <c r="C23" t="s">
        <v>80</v>
      </c>
      <c r="D23" t="s">
        <v>81</v>
      </c>
      <c r="E23">
        <v>7.59</v>
      </c>
      <c r="F23" s="9" t="s">
        <v>68</v>
      </c>
      <c r="G23" s="7">
        <v>65721815040</v>
      </c>
      <c r="H23" s="6">
        <v>8.6199999999999992</v>
      </c>
      <c r="I23" s="6">
        <v>7.08</v>
      </c>
      <c r="J23" s="12">
        <f t="shared" si="0"/>
        <v>7.2033898305084776E-2</v>
      </c>
      <c r="K23" s="11">
        <v>4.163372859025033E-2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0.23181907865513235</v>
      </c>
      <c r="Q23" s="12">
        <v>0.15165160081705431</v>
      </c>
      <c r="R23" s="14">
        <v>15</v>
      </c>
    </row>
    <row r="24" spans="2:18" x14ac:dyDescent="0.5">
      <c r="B24" s="1" t="s">
        <v>22</v>
      </c>
      <c r="C24" t="s">
        <v>78</v>
      </c>
      <c r="D24" t="s">
        <v>79</v>
      </c>
      <c r="E24">
        <v>10.42</v>
      </c>
      <c r="F24" s="9" t="s">
        <v>68</v>
      </c>
      <c r="G24" s="7">
        <v>168992604160</v>
      </c>
      <c r="H24" s="6">
        <v>10.76</v>
      </c>
      <c r="I24" s="6">
        <v>7.16</v>
      </c>
      <c r="J24" s="12">
        <f t="shared" si="0"/>
        <v>0.45530726256983245</v>
      </c>
      <c r="K24" s="11">
        <v>4.5969289827255275E-2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0.17051443871668887</v>
      </c>
      <c r="Q24" s="12">
        <v>0.15266623500015464</v>
      </c>
      <c r="R24" s="14">
        <v>20</v>
      </c>
    </row>
    <row r="25" spans="2:18" x14ac:dyDescent="0.5">
      <c r="B25" s="1" t="s">
        <v>289</v>
      </c>
      <c r="C25" t="s">
        <v>347</v>
      </c>
      <c r="D25" t="s">
        <v>71</v>
      </c>
      <c r="E25">
        <v>3.98</v>
      </c>
      <c r="F25" s="9" t="s">
        <v>68</v>
      </c>
      <c r="G25" s="7">
        <v>2285236224</v>
      </c>
      <c r="H25" s="6">
        <v>4.84</v>
      </c>
      <c r="I25" s="6">
        <v>2.8</v>
      </c>
      <c r="J25" s="12">
        <f t="shared" si="0"/>
        <v>0.42142857142857149</v>
      </c>
      <c r="K25" s="11">
        <v>6.5326633165829151E-2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0.11680571969596387</v>
      </c>
      <c r="Q25" s="12">
        <v>0.12269104771613493</v>
      </c>
      <c r="R25" s="14">
        <v>49</v>
      </c>
    </row>
    <row r="26" spans="2:18" x14ac:dyDescent="0.5">
      <c r="B26" s="1" t="s">
        <v>274</v>
      </c>
      <c r="C26" t="s">
        <v>330</v>
      </c>
      <c r="D26" t="s">
        <v>96</v>
      </c>
      <c r="E26">
        <v>12.57</v>
      </c>
      <c r="F26" s="9" t="s">
        <v>68</v>
      </c>
      <c r="G26" s="7">
        <v>20169193472</v>
      </c>
      <c r="H26" s="6">
        <v>18.399999999999999</v>
      </c>
      <c r="I26" s="6">
        <v>9.6300000000000008</v>
      </c>
      <c r="J26" s="12">
        <f t="shared" si="0"/>
        <v>0.30529595015576327</v>
      </c>
      <c r="K26" s="11">
        <v>0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0.22388384348421747</v>
      </c>
      <c r="Q26" s="12">
        <v>0.12218132992627646</v>
      </c>
      <c r="R26" s="14">
        <v>22</v>
      </c>
    </row>
    <row r="27" spans="2:18" x14ac:dyDescent="0.5">
      <c r="B27" s="1" t="s">
        <v>287</v>
      </c>
      <c r="C27" t="s">
        <v>345</v>
      </c>
      <c r="D27" t="s">
        <v>75</v>
      </c>
      <c r="E27">
        <v>5.77</v>
      </c>
      <c r="F27" s="9" t="s">
        <v>68</v>
      </c>
      <c r="G27" s="7">
        <v>15441328128</v>
      </c>
      <c r="H27" s="6">
        <v>7.13</v>
      </c>
      <c r="I27" s="6">
        <v>4.1500000000000004</v>
      </c>
      <c r="J27" s="12">
        <f t="shared" si="0"/>
        <v>0.39036144578313237</v>
      </c>
      <c r="K27" s="11">
        <v>3.9861351819757369E-2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0.14004626114078186</v>
      </c>
      <c r="Q27" s="12">
        <v>0.17526328902672489</v>
      </c>
      <c r="R27" s="14">
        <v>23</v>
      </c>
    </row>
    <row r="28" spans="2:18" x14ac:dyDescent="0.5">
      <c r="B28" s="1" t="s">
        <v>284</v>
      </c>
      <c r="C28" t="s">
        <v>342</v>
      </c>
      <c r="D28" t="s">
        <v>61</v>
      </c>
      <c r="E28">
        <v>12.06</v>
      </c>
      <c r="F28" s="9" t="s">
        <v>68</v>
      </c>
      <c r="G28" s="7">
        <v>18625826816</v>
      </c>
      <c r="H28" s="6">
        <v>12.2</v>
      </c>
      <c r="I28" s="6">
        <v>8.67</v>
      </c>
      <c r="J28" s="12">
        <f t="shared" si="0"/>
        <v>0.39100346020761245</v>
      </c>
      <c r="K28" s="11">
        <v>4.9751243781094523E-2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0.20278295969442489</v>
      </c>
      <c r="Q28" s="12">
        <v>0.11773304155211949</v>
      </c>
      <c r="R28" s="14">
        <v>25</v>
      </c>
    </row>
    <row r="29" spans="2:18" x14ac:dyDescent="0.5">
      <c r="B29" s="1" t="s">
        <v>293</v>
      </c>
      <c r="C29" t="s">
        <v>351</v>
      </c>
      <c r="D29" t="s">
        <v>54</v>
      </c>
      <c r="E29">
        <v>4.4400000000000004</v>
      </c>
      <c r="F29" s="9" t="s">
        <v>68</v>
      </c>
      <c r="G29" s="7">
        <v>17218674688</v>
      </c>
      <c r="H29" s="6">
        <v>6.97</v>
      </c>
      <c r="I29" s="6">
        <v>3.33</v>
      </c>
      <c r="J29" s="12">
        <f t="shared" si="0"/>
        <v>0.33333333333333348</v>
      </c>
      <c r="K29" s="11">
        <v>6.0810810810810807E-2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0.15477607079086442</v>
      </c>
      <c r="Q29" s="12">
        <v>0.16681818624944278</v>
      </c>
      <c r="R29" s="14">
        <v>19</v>
      </c>
    </row>
    <row r="30" spans="2:18" x14ac:dyDescent="0.5">
      <c r="B30" s="1" t="s">
        <v>292</v>
      </c>
      <c r="C30" t="s">
        <v>350</v>
      </c>
      <c r="D30" t="s">
        <v>239</v>
      </c>
      <c r="E30">
        <v>8.6300000000000008</v>
      </c>
      <c r="F30" s="9" t="s">
        <v>68</v>
      </c>
      <c r="G30" s="7">
        <v>8522418688</v>
      </c>
      <c r="H30" s="6">
        <v>9.65</v>
      </c>
      <c r="I30" s="6">
        <v>5</v>
      </c>
      <c r="J30" s="12">
        <f t="shared" si="0"/>
        <v>0.7260000000000002</v>
      </c>
      <c r="K30" s="11">
        <v>4.1019698725376585E-2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0.17071279494919075</v>
      </c>
      <c r="Q30" s="12">
        <v>0.16622802330680692</v>
      </c>
      <c r="R30" s="14">
        <v>18</v>
      </c>
    </row>
    <row r="31" spans="2:18" x14ac:dyDescent="0.5">
      <c r="B31" s="1" t="s">
        <v>201</v>
      </c>
      <c r="C31" t="s">
        <v>225</v>
      </c>
      <c r="D31" t="s">
        <v>226</v>
      </c>
      <c r="E31">
        <v>0.69</v>
      </c>
      <c r="F31" s="9" t="s">
        <v>68</v>
      </c>
      <c r="G31" s="7">
        <v>1643724928</v>
      </c>
      <c r="H31" s="6">
        <v>0.84</v>
      </c>
      <c r="I31" s="6">
        <v>0.55000000000000004</v>
      </c>
      <c r="J31" s="12">
        <f t="shared" si="0"/>
        <v>0.25454545454545441</v>
      </c>
      <c r="K31" s="11">
        <v>1.4492753623188408E-2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1.2095413323209785</v>
      </c>
      <c r="Q31" s="12">
        <v>9.2370860611101543E-2</v>
      </c>
      <c r="R31" s="14">
        <v>24</v>
      </c>
    </row>
    <row r="32" spans="2:18" x14ac:dyDescent="0.5">
      <c r="B32" s="1" t="s">
        <v>27</v>
      </c>
      <c r="C32" t="s">
        <v>88</v>
      </c>
      <c r="D32" t="s">
        <v>89</v>
      </c>
      <c r="E32">
        <v>6.65</v>
      </c>
      <c r="F32" s="9" t="s">
        <v>68</v>
      </c>
      <c r="G32" s="7">
        <v>7047936000</v>
      </c>
      <c r="H32" s="6">
        <v>6.91</v>
      </c>
      <c r="I32" s="6">
        <v>3.98</v>
      </c>
      <c r="J32" s="12">
        <f t="shared" si="0"/>
        <v>0.67085427135678399</v>
      </c>
      <c r="K32" s="11">
        <v>7.3684210526315783E-2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0.21391069411571054</v>
      </c>
      <c r="Q32" s="12">
        <v>0.11511220438953086</v>
      </c>
      <c r="R32" s="14">
        <v>26</v>
      </c>
    </row>
    <row r="33" spans="2:18" x14ac:dyDescent="0.5">
      <c r="B33" s="1" t="s">
        <v>25</v>
      </c>
      <c r="C33" t="s">
        <v>84</v>
      </c>
      <c r="D33" t="s">
        <v>50</v>
      </c>
      <c r="E33">
        <v>9.16</v>
      </c>
      <c r="F33" s="9" t="s">
        <v>68</v>
      </c>
      <c r="G33" s="7">
        <v>11408047104</v>
      </c>
      <c r="H33" s="6">
        <v>9.6</v>
      </c>
      <c r="I33" s="6">
        <v>3.46</v>
      </c>
      <c r="J33" s="12">
        <f t="shared" si="0"/>
        <v>1.647398843930636</v>
      </c>
      <c r="K33" s="11">
        <v>1.539301310043668E-2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0.1100109103769516</v>
      </c>
      <c r="Q33" s="12">
        <v>0.17514380877385538</v>
      </c>
      <c r="R33" s="14">
        <v>41</v>
      </c>
    </row>
    <row r="34" spans="2:18" x14ac:dyDescent="0.5">
      <c r="B34" s="1" t="s">
        <v>34</v>
      </c>
      <c r="C34" t="s">
        <v>99</v>
      </c>
      <c r="D34" t="s">
        <v>71</v>
      </c>
      <c r="E34">
        <v>4.5199999999999996</v>
      </c>
      <c r="F34" s="9" t="s">
        <v>68</v>
      </c>
      <c r="G34" s="7">
        <v>51998081024</v>
      </c>
      <c r="H34" s="6">
        <v>5.14</v>
      </c>
      <c r="I34" s="6">
        <v>3.46</v>
      </c>
      <c r="J34" s="12">
        <f t="shared" ref="J34:J65" si="1">E34/I34-1</f>
        <v>0.30635838150289008</v>
      </c>
      <c r="K34" s="11">
        <v>5.7743362831858415E-2</v>
      </c>
      <c r="L34" s="13">
        <v>5294586000</v>
      </c>
      <c r="M34" s="13">
        <v>17815083000</v>
      </c>
      <c r="N34" s="9" t="s">
        <v>51</v>
      </c>
      <c r="O34" s="6">
        <v>1.0683760683760684</v>
      </c>
      <c r="P34" s="12">
        <v>0.11424575867930646</v>
      </c>
      <c r="Q34" s="12">
        <v>0.29719681912231338</v>
      </c>
      <c r="R34" s="14">
        <v>21</v>
      </c>
    </row>
    <row r="35" spans="2:18" x14ac:dyDescent="0.5">
      <c r="B35" s="1" t="s">
        <v>290</v>
      </c>
      <c r="C35" t="s">
        <v>348</v>
      </c>
      <c r="D35" t="s">
        <v>50</v>
      </c>
      <c r="E35">
        <v>7.77</v>
      </c>
      <c r="F35" s="9" t="s">
        <v>68</v>
      </c>
      <c r="G35" s="7">
        <v>17375895552</v>
      </c>
      <c r="H35" s="6">
        <v>8.6999999999999993</v>
      </c>
      <c r="I35" s="6">
        <v>2.16</v>
      </c>
      <c r="J35" s="12">
        <f t="shared" si="1"/>
        <v>2.5972222222222219</v>
      </c>
      <c r="K35" s="11">
        <v>2.9729729729729731E-2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0.26507176516056435</v>
      </c>
      <c r="Q35" s="12">
        <v>9.29654274042198E-2</v>
      </c>
      <c r="R35" s="14">
        <v>36</v>
      </c>
    </row>
    <row r="36" spans="2:18" x14ac:dyDescent="0.5">
      <c r="B36" s="1" t="s">
        <v>143</v>
      </c>
      <c r="C36" t="s">
        <v>192</v>
      </c>
      <c r="D36" t="s">
        <v>181</v>
      </c>
      <c r="E36">
        <v>11.04</v>
      </c>
      <c r="F36" s="9" t="s">
        <v>68</v>
      </c>
      <c r="G36" s="7">
        <v>136947892224</v>
      </c>
      <c r="H36" s="6">
        <v>13.6</v>
      </c>
      <c r="I36" s="6">
        <v>6.57</v>
      </c>
      <c r="J36" s="12">
        <f t="shared" si="1"/>
        <v>0.68036529680365287</v>
      </c>
      <c r="K36" s="11">
        <v>4.5289855072463778E-3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0.11968220014728485</v>
      </c>
      <c r="Q36" s="12">
        <v>0.19681397761416858</v>
      </c>
      <c r="R36" s="14">
        <v>27</v>
      </c>
    </row>
    <row r="37" spans="2:18" x14ac:dyDescent="0.5">
      <c r="B37" s="1" t="s">
        <v>288</v>
      </c>
      <c r="C37" t="s">
        <v>346</v>
      </c>
      <c r="D37" t="s">
        <v>98</v>
      </c>
      <c r="E37">
        <v>4.67</v>
      </c>
      <c r="F37" s="9" t="s">
        <v>68</v>
      </c>
      <c r="G37" s="7">
        <v>5141436416</v>
      </c>
      <c r="H37" s="6">
        <v>4.71</v>
      </c>
      <c r="I37" s="6">
        <v>3.73</v>
      </c>
      <c r="J37" s="12">
        <f t="shared" si="1"/>
        <v>0.25201072386058976</v>
      </c>
      <c r="K37" s="11">
        <v>6.852248394004283E-2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0.16900952729213917</v>
      </c>
      <c r="Q37" s="12">
        <v>0.14577225152582682</v>
      </c>
      <c r="R37" s="14">
        <v>27</v>
      </c>
    </row>
    <row r="38" spans="2:18" x14ac:dyDescent="0.5">
      <c r="B38" s="1" t="s">
        <v>124</v>
      </c>
      <c r="C38" t="s">
        <v>165</v>
      </c>
      <c r="D38" t="s">
        <v>77</v>
      </c>
      <c r="E38">
        <v>5.75</v>
      </c>
      <c r="F38" s="9" t="s">
        <v>68</v>
      </c>
      <c r="G38" s="7">
        <v>8429327872</v>
      </c>
      <c r="H38" s="6">
        <v>6.07</v>
      </c>
      <c r="I38" s="6">
        <v>3.45</v>
      </c>
      <c r="J38" s="12">
        <f t="shared" si="1"/>
        <v>0.66666666666666652</v>
      </c>
      <c r="K38" s="11">
        <v>8.347826086956521E-2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0.28964837057640153</v>
      </c>
      <c r="Q38" s="12">
        <v>9.9663185641922489E-2</v>
      </c>
      <c r="R38" s="14">
        <v>28</v>
      </c>
    </row>
    <row r="39" spans="2:18" x14ac:dyDescent="0.5">
      <c r="B39" s="1" t="s">
        <v>19</v>
      </c>
      <c r="C39" t="s">
        <v>70</v>
      </c>
      <c r="D39" t="s">
        <v>71</v>
      </c>
      <c r="E39">
        <v>5.92</v>
      </c>
      <c r="F39" s="9" t="s">
        <v>68</v>
      </c>
      <c r="G39" s="7">
        <v>16888694784</v>
      </c>
      <c r="H39" s="6">
        <v>6.21</v>
      </c>
      <c r="I39" s="6">
        <v>3.3</v>
      </c>
      <c r="J39" s="12">
        <f t="shared" si="1"/>
        <v>0.79393939393939394</v>
      </c>
      <c r="K39" s="11">
        <v>7.094594594594595E-3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0.13344280362379313</v>
      </c>
      <c r="Q39" s="12">
        <v>0.15459217096529801</v>
      </c>
      <c r="R39" s="14">
        <v>30</v>
      </c>
    </row>
    <row r="40" spans="2:18" x14ac:dyDescent="0.5">
      <c r="B40" s="1" t="s">
        <v>286</v>
      </c>
      <c r="C40" t="s">
        <v>344</v>
      </c>
      <c r="D40" t="s">
        <v>98</v>
      </c>
      <c r="E40">
        <v>4.68</v>
      </c>
      <c r="F40" s="9" t="s">
        <v>68</v>
      </c>
      <c r="G40" s="7">
        <v>32413773824</v>
      </c>
      <c r="H40" s="6">
        <v>6.15</v>
      </c>
      <c r="I40" s="6">
        <v>3.71</v>
      </c>
      <c r="J40" s="12">
        <f t="shared" si="1"/>
        <v>0.26145552560646901</v>
      </c>
      <c r="K40" s="11">
        <v>4.6794871794871795E-2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0.3311937828749571</v>
      </c>
      <c r="Q40" s="12">
        <v>9.1377422623841298E-2</v>
      </c>
      <c r="R40" s="14">
        <v>33</v>
      </c>
    </row>
    <row r="41" spans="2:18" x14ac:dyDescent="0.5">
      <c r="B41" s="1" t="s">
        <v>276</v>
      </c>
      <c r="C41" t="s">
        <v>332</v>
      </c>
      <c r="D41" t="s">
        <v>304</v>
      </c>
      <c r="E41">
        <v>3.84</v>
      </c>
      <c r="F41" s="9" t="s">
        <v>68</v>
      </c>
      <c r="G41" s="7">
        <v>44165758976</v>
      </c>
      <c r="H41" s="6">
        <v>4.16</v>
      </c>
      <c r="I41" s="6">
        <v>2.35</v>
      </c>
      <c r="J41" s="12">
        <f t="shared" si="1"/>
        <v>0.63404255319148928</v>
      </c>
      <c r="K41" s="11">
        <v>4.9479166666666671E-2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0.17199499637681079</v>
      </c>
      <c r="Q41" s="12">
        <v>0.11538320116682396</v>
      </c>
      <c r="R41" s="14">
        <v>33</v>
      </c>
    </row>
    <row r="42" spans="2:18" x14ac:dyDescent="0.5">
      <c r="B42" s="1" t="s">
        <v>280</v>
      </c>
      <c r="C42" t="s">
        <v>338</v>
      </c>
      <c r="D42" t="s">
        <v>151</v>
      </c>
      <c r="E42">
        <v>28.68</v>
      </c>
      <c r="F42" s="9" t="s">
        <v>68</v>
      </c>
      <c r="G42" s="7">
        <v>204515360768</v>
      </c>
      <c r="H42" s="6">
        <v>32.299999999999997</v>
      </c>
      <c r="I42" s="6">
        <v>18.559999999999999</v>
      </c>
      <c r="J42" s="12">
        <f t="shared" si="1"/>
        <v>0.54525862068965525</v>
      </c>
      <c r="K42" s="11">
        <v>4.5990237099023709E-2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0.18742672182274359</v>
      </c>
      <c r="Q42" s="12">
        <v>0.11493949471384535</v>
      </c>
      <c r="R42" s="14">
        <v>32</v>
      </c>
    </row>
    <row r="43" spans="2:18" x14ac:dyDescent="0.5">
      <c r="B43" s="1" t="s">
        <v>139</v>
      </c>
      <c r="C43" t="s">
        <v>186</v>
      </c>
      <c r="D43" t="s">
        <v>87</v>
      </c>
      <c r="E43">
        <v>11.42</v>
      </c>
      <c r="F43" s="9" t="s">
        <v>68</v>
      </c>
      <c r="G43" s="7">
        <v>64345309184</v>
      </c>
      <c r="H43" s="6">
        <v>14.24</v>
      </c>
      <c r="I43" s="6">
        <v>8.81</v>
      </c>
      <c r="J43" s="12">
        <f t="shared" si="1"/>
        <v>0.29625425652667414</v>
      </c>
      <c r="K43" s="11">
        <v>2.8984238178633978E-2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9.7890731058188088E-2</v>
      </c>
      <c r="Q43" s="12">
        <v>0.23588267049650188</v>
      </c>
      <c r="R43" s="14">
        <v>33</v>
      </c>
    </row>
    <row r="44" spans="2:18" x14ac:dyDescent="0.5">
      <c r="B44" s="1" t="s">
        <v>29</v>
      </c>
      <c r="C44" t="s">
        <v>91</v>
      </c>
      <c r="D44" t="s">
        <v>87</v>
      </c>
      <c r="E44">
        <v>5.67</v>
      </c>
      <c r="F44" s="9" t="s">
        <v>68</v>
      </c>
      <c r="G44" s="7">
        <v>66923577344</v>
      </c>
      <c r="H44" s="6">
        <v>5.84</v>
      </c>
      <c r="I44" s="6">
        <v>4.34</v>
      </c>
      <c r="J44" s="12">
        <f t="shared" si="1"/>
        <v>0.30645161290322576</v>
      </c>
      <c r="K44" s="11">
        <v>2.6102292768959433E-2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0.10080860570912345</v>
      </c>
      <c r="Q44" s="12">
        <v>0.27010748742934609</v>
      </c>
      <c r="R44" s="14">
        <v>29</v>
      </c>
    </row>
    <row r="45" spans="2:18" x14ac:dyDescent="0.5">
      <c r="B45" s="1" t="s">
        <v>118</v>
      </c>
      <c r="C45" t="s">
        <v>158</v>
      </c>
      <c r="D45" t="s">
        <v>85</v>
      </c>
      <c r="E45">
        <v>89.15</v>
      </c>
      <c r="F45" s="9" t="s">
        <v>68</v>
      </c>
      <c r="G45" s="7">
        <v>248551096320</v>
      </c>
      <c r="H45" s="6">
        <v>107.5</v>
      </c>
      <c r="I45" s="6">
        <v>65.55</v>
      </c>
      <c r="J45" s="12">
        <f t="shared" si="1"/>
        <v>0.36003051106025952</v>
      </c>
      <c r="K45" s="11">
        <v>2.4879416713404372E-2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9.0266089056041568E-2</v>
      </c>
      <c r="Q45" s="12">
        <v>0.27269973953601068</v>
      </c>
      <c r="R45" s="14">
        <v>33</v>
      </c>
    </row>
    <row r="46" spans="2:18" x14ac:dyDescent="0.5">
      <c r="B46" s="1" t="s">
        <v>282</v>
      </c>
      <c r="C46" t="s">
        <v>340</v>
      </c>
      <c r="D46" t="s">
        <v>56</v>
      </c>
      <c r="E46">
        <v>10.08</v>
      </c>
      <c r="F46" s="9" t="s">
        <v>68</v>
      </c>
      <c r="G46" s="7">
        <v>25410066432</v>
      </c>
      <c r="H46" s="6">
        <v>11.22</v>
      </c>
      <c r="I46" s="6">
        <v>4.3499999999999996</v>
      </c>
      <c r="J46" s="12">
        <f t="shared" si="1"/>
        <v>1.317241379310345</v>
      </c>
      <c r="K46" s="11">
        <v>3.1547619047619047E-2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0.15280294666495017</v>
      </c>
      <c r="Q46" s="12">
        <v>0.15134190781174311</v>
      </c>
      <c r="R46" s="14">
        <v>28</v>
      </c>
    </row>
    <row r="47" spans="2:18" x14ac:dyDescent="0.5">
      <c r="B47" s="1" t="s">
        <v>281</v>
      </c>
      <c r="C47" t="s">
        <v>339</v>
      </c>
      <c r="D47" t="s">
        <v>54</v>
      </c>
      <c r="E47">
        <v>24.9</v>
      </c>
      <c r="F47" s="9" t="s">
        <v>68</v>
      </c>
      <c r="G47" s="7">
        <v>244684570624</v>
      </c>
      <c r="H47" s="6">
        <v>36.450000000000003</v>
      </c>
      <c r="I47" s="6">
        <v>19.239999999999998</v>
      </c>
      <c r="J47" s="12">
        <f t="shared" si="1"/>
        <v>0.29417879417879411</v>
      </c>
      <c r="K47" s="11">
        <v>3.8755020080321285E-2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0.11684139431424111</v>
      </c>
      <c r="Q47" s="12">
        <v>0.18884873513587705</v>
      </c>
      <c r="R47" s="14">
        <v>32</v>
      </c>
    </row>
    <row r="48" spans="2:18" x14ac:dyDescent="0.5">
      <c r="B48" s="1" t="s">
        <v>278</v>
      </c>
      <c r="C48" t="s">
        <v>334</v>
      </c>
      <c r="D48" t="s">
        <v>335</v>
      </c>
      <c r="E48">
        <v>6.32</v>
      </c>
      <c r="F48" s="9" t="s">
        <v>68</v>
      </c>
      <c r="G48" s="7">
        <v>8103756800</v>
      </c>
      <c r="H48" s="6">
        <v>6.73</v>
      </c>
      <c r="I48" s="6">
        <v>3.38</v>
      </c>
      <c r="J48" s="12">
        <f t="shared" si="1"/>
        <v>0.86982248520710082</v>
      </c>
      <c r="K48" s="11">
        <v>4.1139240506329111E-2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0.1452659340028008</v>
      </c>
      <c r="Q48" s="12">
        <v>0.1318118502166547</v>
      </c>
      <c r="R48" s="14">
        <v>37</v>
      </c>
    </row>
    <row r="49" spans="2:18" x14ac:dyDescent="0.5">
      <c r="B49" s="1" t="s">
        <v>273</v>
      </c>
      <c r="C49" t="s">
        <v>329</v>
      </c>
      <c r="D49" t="s">
        <v>87</v>
      </c>
      <c r="E49">
        <v>10.98</v>
      </c>
      <c r="F49" s="9" t="s">
        <v>68</v>
      </c>
      <c r="G49" s="7">
        <v>2577247488</v>
      </c>
      <c r="H49" s="6">
        <v>17</v>
      </c>
      <c r="I49" s="6">
        <v>7.4</v>
      </c>
      <c r="J49" s="12">
        <f t="shared" si="1"/>
        <v>0.48378378378378373</v>
      </c>
      <c r="K49" s="11">
        <v>3.8251366120218573E-2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0.27986348506788705</v>
      </c>
      <c r="Q49" s="12">
        <v>8.4294835486117978E-2</v>
      </c>
      <c r="R49" s="14">
        <v>40</v>
      </c>
    </row>
    <row r="50" spans="2:18" x14ac:dyDescent="0.5">
      <c r="B50" s="1" t="s">
        <v>142</v>
      </c>
      <c r="C50" t="s">
        <v>190</v>
      </c>
      <c r="D50" t="s">
        <v>109</v>
      </c>
      <c r="E50">
        <v>40.94</v>
      </c>
      <c r="F50" s="9" t="s">
        <v>68</v>
      </c>
      <c r="G50" s="7">
        <v>104758091776</v>
      </c>
      <c r="H50" s="6">
        <v>71.7</v>
      </c>
      <c r="I50" s="6">
        <v>39.549999999999997</v>
      </c>
      <c r="J50" s="12">
        <f t="shared" si="1"/>
        <v>3.5145385587863398E-2</v>
      </c>
      <c r="K50" s="11">
        <v>4.0058622374206159E-3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9.3079948119621142E-2</v>
      </c>
      <c r="Q50" s="12">
        <v>0.26583067696212276</v>
      </c>
      <c r="R50" s="14">
        <v>33</v>
      </c>
    </row>
    <row r="51" spans="2:18" x14ac:dyDescent="0.5">
      <c r="B51" s="1" t="s">
        <v>271</v>
      </c>
      <c r="C51" t="s">
        <v>326</v>
      </c>
      <c r="D51" t="s">
        <v>174</v>
      </c>
      <c r="E51">
        <v>76.7</v>
      </c>
      <c r="F51" s="9" t="s">
        <v>68</v>
      </c>
      <c r="G51" s="7">
        <v>18778075136</v>
      </c>
      <c r="H51" s="6">
        <v>95.5</v>
      </c>
      <c r="I51" s="6">
        <v>55.05</v>
      </c>
      <c r="J51" s="12">
        <f t="shared" si="1"/>
        <v>0.39327883742052694</v>
      </c>
      <c r="K51" s="11">
        <v>1.0691003911342893E-2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0.21418743445129659</v>
      </c>
      <c r="Q51" s="12">
        <v>9.8446219337080781E-2</v>
      </c>
      <c r="R51" s="14">
        <v>35</v>
      </c>
    </row>
    <row r="52" spans="2:18" x14ac:dyDescent="0.5">
      <c r="B52" s="1" t="s">
        <v>283</v>
      </c>
      <c r="C52" t="s">
        <v>341</v>
      </c>
      <c r="D52" t="s">
        <v>50</v>
      </c>
      <c r="E52">
        <v>21.4</v>
      </c>
      <c r="F52" s="9" t="s">
        <v>68</v>
      </c>
      <c r="G52" s="7">
        <v>34154399744</v>
      </c>
      <c r="H52" s="6">
        <v>27.5</v>
      </c>
      <c r="I52" s="6">
        <v>16.18</v>
      </c>
      <c r="J52" s="12">
        <f t="shared" si="1"/>
        <v>0.322620519159456</v>
      </c>
      <c r="K52" s="11">
        <v>3.2056074766355143E-2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0.12172138121025319</v>
      </c>
      <c r="Q52" s="12">
        <v>0.1667375806872122</v>
      </c>
      <c r="R52" s="14">
        <v>34</v>
      </c>
    </row>
    <row r="53" spans="2:18" x14ac:dyDescent="0.5">
      <c r="B53" s="1" t="s">
        <v>272</v>
      </c>
      <c r="C53" t="s">
        <v>327</v>
      </c>
      <c r="D53" t="s">
        <v>328</v>
      </c>
      <c r="E53">
        <v>6.65</v>
      </c>
      <c r="F53" s="9" t="s">
        <v>68</v>
      </c>
      <c r="G53" s="7">
        <v>13488062464</v>
      </c>
      <c r="H53" s="6">
        <v>7.86</v>
      </c>
      <c r="I53" s="6">
        <v>5.31</v>
      </c>
      <c r="J53" s="12">
        <f t="shared" si="1"/>
        <v>0.25235404896421865</v>
      </c>
      <c r="K53" s="11">
        <v>4.06015037593985E-2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0.18047125432561439</v>
      </c>
      <c r="Q53" s="12">
        <v>0.10614925092863724</v>
      </c>
      <c r="R53" s="14">
        <v>38</v>
      </c>
    </row>
    <row r="54" spans="2:18" x14ac:dyDescent="0.5">
      <c r="B54" s="1" t="s">
        <v>275</v>
      </c>
      <c r="C54" t="s">
        <v>331</v>
      </c>
      <c r="D54" t="s">
        <v>96</v>
      </c>
      <c r="E54">
        <v>0.51</v>
      </c>
      <c r="F54" s="9" t="s">
        <v>68</v>
      </c>
      <c r="G54" s="7">
        <v>2643692032</v>
      </c>
      <c r="H54" s="6">
        <v>0.68</v>
      </c>
      <c r="I54" s="6">
        <v>0.46</v>
      </c>
      <c r="J54" s="12">
        <f t="shared" si="1"/>
        <v>0.10869565217391308</v>
      </c>
      <c r="K54" s="11">
        <v>0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0.29497107313748638</v>
      </c>
      <c r="Q54" s="12">
        <v>8.5775443346640556E-2</v>
      </c>
      <c r="R54" s="14">
        <v>38</v>
      </c>
    </row>
    <row r="55" spans="2:18" x14ac:dyDescent="0.5">
      <c r="B55" s="1" t="s">
        <v>279</v>
      </c>
      <c r="C55" t="s">
        <v>336</v>
      </c>
      <c r="D55" t="s">
        <v>337</v>
      </c>
      <c r="E55">
        <v>3.3</v>
      </c>
      <c r="F55" s="9" t="s">
        <v>68</v>
      </c>
      <c r="G55" s="7">
        <v>7494497792</v>
      </c>
      <c r="H55" s="6">
        <v>4.91</v>
      </c>
      <c r="I55" s="6">
        <v>3.23</v>
      </c>
      <c r="J55" s="12">
        <f t="shared" si="1"/>
        <v>2.1671826625387025E-2</v>
      </c>
      <c r="K55" s="11">
        <v>4.5454545454545456E-2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0.16151040467118577</v>
      </c>
      <c r="Q55" s="12">
        <v>0.14788755315990715</v>
      </c>
      <c r="R55" s="14">
        <v>26</v>
      </c>
    </row>
    <row r="56" spans="2:18" x14ac:dyDescent="0.5">
      <c r="B56" s="1" t="s">
        <v>285</v>
      </c>
      <c r="C56" t="s">
        <v>343</v>
      </c>
      <c r="D56" t="s">
        <v>181</v>
      </c>
      <c r="E56">
        <v>7.21</v>
      </c>
      <c r="F56" s="9" t="s">
        <v>68</v>
      </c>
      <c r="G56" s="7">
        <v>2796643584</v>
      </c>
      <c r="H56" s="6">
        <v>14.18</v>
      </c>
      <c r="I56" s="6">
        <v>3.75</v>
      </c>
      <c r="J56" s="12">
        <f t="shared" si="1"/>
        <v>0.92266666666666675</v>
      </c>
      <c r="K56" s="11">
        <v>4.8543689320388349E-2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0.24995378729414736</v>
      </c>
      <c r="Q56" s="12">
        <v>9.4606035666412708E-2</v>
      </c>
      <c r="R56" s="14">
        <v>36</v>
      </c>
    </row>
    <row r="57" spans="2:18" x14ac:dyDescent="0.5">
      <c r="B57" s="1" t="s">
        <v>270</v>
      </c>
      <c r="C57" t="s">
        <v>325</v>
      </c>
      <c r="D57" t="s">
        <v>308</v>
      </c>
      <c r="E57">
        <v>6.22</v>
      </c>
      <c r="F57" s="9" t="s">
        <v>68</v>
      </c>
      <c r="G57" s="7">
        <v>27331674112</v>
      </c>
      <c r="H57" s="6">
        <v>6.87</v>
      </c>
      <c r="I57" s="6">
        <v>4.8</v>
      </c>
      <c r="J57" s="12">
        <f t="shared" si="1"/>
        <v>0.29583333333333339</v>
      </c>
      <c r="K57" s="11">
        <v>5.7556270096463025E-2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0.1984335561706029</v>
      </c>
      <c r="Q57" s="12">
        <v>9.2221214358852555E-2</v>
      </c>
      <c r="R57" s="14">
        <v>42</v>
      </c>
    </row>
    <row r="58" spans="2:18" x14ac:dyDescent="0.5">
      <c r="B58" s="1" t="s">
        <v>267</v>
      </c>
      <c r="C58" t="s">
        <v>321</v>
      </c>
      <c r="D58" t="s">
        <v>322</v>
      </c>
      <c r="E58">
        <v>8.92</v>
      </c>
      <c r="F58" s="9" t="s">
        <v>68</v>
      </c>
      <c r="G58" s="7">
        <v>22359318528</v>
      </c>
      <c r="H58" s="6">
        <v>9.02</v>
      </c>
      <c r="I58" s="6">
        <v>3.99</v>
      </c>
      <c r="J58" s="12">
        <f t="shared" si="1"/>
        <v>1.2355889724310773</v>
      </c>
      <c r="K58" s="11">
        <v>3.5986547085201798E-2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0.13579473152832722</v>
      </c>
      <c r="Q58" s="12">
        <v>0.102358453189061</v>
      </c>
      <c r="R58" s="14">
        <v>50</v>
      </c>
    </row>
    <row r="59" spans="2:18" x14ac:dyDescent="0.5">
      <c r="B59" s="1" t="s">
        <v>113</v>
      </c>
      <c r="C59" t="s">
        <v>150</v>
      </c>
      <c r="D59" t="s">
        <v>151</v>
      </c>
      <c r="E59">
        <v>4.1500000000000004</v>
      </c>
      <c r="F59" s="9" t="s">
        <v>68</v>
      </c>
      <c r="G59" s="7">
        <v>5956952064</v>
      </c>
      <c r="H59" s="6">
        <v>7.92</v>
      </c>
      <c r="I59" s="6">
        <v>2.36</v>
      </c>
      <c r="J59" s="12">
        <f t="shared" si="1"/>
        <v>0.75847457627118664</v>
      </c>
      <c r="K59" s="11">
        <v>6.1204819277108427E-2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0.151035467715083</v>
      </c>
      <c r="Q59" s="12">
        <v>0.14675695119790894</v>
      </c>
      <c r="R59" s="14">
        <v>31</v>
      </c>
    </row>
    <row r="60" spans="2:18" x14ac:dyDescent="0.5">
      <c r="B60" s="1" t="s">
        <v>269</v>
      </c>
      <c r="C60" t="s">
        <v>324</v>
      </c>
      <c r="D60" t="s">
        <v>306</v>
      </c>
      <c r="E60">
        <v>4.71</v>
      </c>
      <c r="F60" s="9" t="s">
        <v>68</v>
      </c>
      <c r="G60" s="7">
        <v>4352709120</v>
      </c>
      <c r="H60" s="6">
        <v>5.59</v>
      </c>
      <c r="I60" s="6">
        <v>3.4</v>
      </c>
      <c r="J60" s="12">
        <f t="shared" si="1"/>
        <v>0.38529411764705879</v>
      </c>
      <c r="K60" s="11">
        <v>3.0785562632696387E-2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0.41158526573005733</v>
      </c>
      <c r="Q60" s="12">
        <v>6.460670188445812E-2</v>
      </c>
      <c r="R60" s="14">
        <v>39</v>
      </c>
    </row>
    <row r="61" spans="2:18" x14ac:dyDescent="0.5">
      <c r="B61" s="1" t="s">
        <v>35</v>
      </c>
      <c r="C61" t="s">
        <v>100</v>
      </c>
      <c r="D61" t="s">
        <v>101</v>
      </c>
      <c r="E61">
        <v>428.4</v>
      </c>
      <c r="F61" s="9" t="s">
        <v>68</v>
      </c>
      <c r="G61" s="7">
        <v>541429039104</v>
      </c>
      <c r="H61" s="6">
        <v>452</v>
      </c>
      <c r="I61" s="6">
        <v>218.4</v>
      </c>
      <c r="J61" s="12">
        <f t="shared" si="1"/>
        <v>0.96153846153846145</v>
      </c>
      <c r="K61" s="11">
        <v>2.161531279178338E-2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5.0798559140688176E-2</v>
      </c>
      <c r="Q61" s="12">
        <v>0.38520389214885242</v>
      </c>
      <c r="R61" s="14">
        <v>42</v>
      </c>
    </row>
    <row r="62" spans="2:18" x14ac:dyDescent="0.5">
      <c r="B62" s="1" t="s">
        <v>133</v>
      </c>
      <c r="C62" t="s">
        <v>176</v>
      </c>
      <c r="D62" t="s">
        <v>177</v>
      </c>
      <c r="E62">
        <v>22.2</v>
      </c>
      <c r="F62" s="9" t="s">
        <v>68</v>
      </c>
      <c r="G62" s="7">
        <v>583900004352</v>
      </c>
      <c r="H62" s="6">
        <v>23</v>
      </c>
      <c r="I62" s="6">
        <v>13.52</v>
      </c>
      <c r="J62" s="12">
        <f t="shared" si="1"/>
        <v>0.64201183431952669</v>
      </c>
      <c r="K62" s="11">
        <v>1.7117117117117119E-2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7.9013434267594759E-2</v>
      </c>
      <c r="Q62" s="12">
        <v>0.19428864891763736</v>
      </c>
      <c r="R62" s="14">
        <v>43</v>
      </c>
    </row>
    <row r="63" spans="2:18" x14ac:dyDescent="0.5">
      <c r="B63" s="1" t="s">
        <v>277</v>
      </c>
      <c r="C63" t="s">
        <v>333</v>
      </c>
      <c r="D63" t="s">
        <v>83</v>
      </c>
      <c r="E63">
        <v>2.8</v>
      </c>
      <c r="F63" s="9" t="s">
        <v>68</v>
      </c>
      <c r="G63" s="7">
        <v>11984280576</v>
      </c>
      <c r="H63" s="6">
        <v>3.55</v>
      </c>
      <c r="I63" s="6">
        <v>1.34</v>
      </c>
      <c r="J63" s="12">
        <f t="shared" si="1"/>
        <v>1.08955223880597</v>
      </c>
      <c r="K63" s="11">
        <v>4.3571428571428573E-2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0.12302921184252287</v>
      </c>
      <c r="Q63" s="12">
        <v>0.11502419323187564</v>
      </c>
      <c r="R63" s="14">
        <v>50</v>
      </c>
    </row>
    <row r="64" spans="2:18" x14ac:dyDescent="0.5">
      <c r="B64" s="1" t="s">
        <v>119</v>
      </c>
      <c r="C64" t="s">
        <v>159</v>
      </c>
      <c r="D64" t="s">
        <v>85</v>
      </c>
      <c r="E64">
        <v>277</v>
      </c>
      <c r="F64" s="9" t="s">
        <v>68</v>
      </c>
      <c r="G64" s="7">
        <v>367900327936</v>
      </c>
      <c r="H64" s="6">
        <v>283.39999999999998</v>
      </c>
      <c r="I64" s="6">
        <v>37.85</v>
      </c>
      <c r="J64" s="12">
        <f t="shared" si="1"/>
        <v>6.318361955085865</v>
      </c>
      <c r="K64" s="11">
        <v>2.9422382671480144E-3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1.2996187431477575E-2</v>
      </c>
      <c r="Q64" s="12">
        <v>0.41263985929711272</v>
      </c>
      <c r="R64" s="14">
        <v>45</v>
      </c>
    </row>
    <row r="65" spans="2:18" x14ac:dyDescent="0.5">
      <c r="B65" s="1" t="s">
        <v>138</v>
      </c>
      <c r="C65" t="s">
        <v>184</v>
      </c>
      <c r="D65" t="s">
        <v>185</v>
      </c>
      <c r="E65">
        <v>348.6</v>
      </c>
      <c r="F65" s="9" t="s">
        <v>68</v>
      </c>
      <c r="G65" s="7">
        <v>128546947072</v>
      </c>
      <c r="H65" s="6">
        <v>421.4</v>
      </c>
      <c r="I65" s="6">
        <v>253.4</v>
      </c>
      <c r="J65" s="12">
        <f t="shared" si="1"/>
        <v>0.37569060773480678</v>
      </c>
      <c r="K65" s="11">
        <v>0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6.5227660692796369E-2</v>
      </c>
      <c r="Q65" s="12">
        <v>0.20495303159692571</v>
      </c>
      <c r="R65" s="14">
        <v>43</v>
      </c>
    </row>
    <row r="66" spans="2:18" x14ac:dyDescent="0.5">
      <c r="B66" s="1" t="s">
        <v>265</v>
      </c>
      <c r="C66" t="s">
        <v>318</v>
      </c>
      <c r="D66" t="s">
        <v>319</v>
      </c>
      <c r="E66">
        <v>8.39</v>
      </c>
      <c r="F66" s="9" t="s">
        <v>68</v>
      </c>
      <c r="G66" s="7">
        <v>15164338176</v>
      </c>
      <c r="H66" s="6">
        <v>9.0399999999999991</v>
      </c>
      <c r="I66" s="6">
        <v>5.49</v>
      </c>
      <c r="J66" s="12">
        <f t="shared" ref="J66:J97" si="2">E66/I66-1</f>
        <v>0.52823315118397085</v>
      </c>
      <c r="K66" s="11">
        <v>2.9797377830750892E-2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0.14430322642158061</v>
      </c>
      <c r="Q66" s="12">
        <v>0.11156568921912897</v>
      </c>
      <c r="R66" s="14">
        <v>44</v>
      </c>
    </row>
    <row r="67" spans="2:18" x14ac:dyDescent="0.5">
      <c r="B67" s="1" t="s">
        <v>371</v>
      </c>
      <c r="C67" t="s">
        <v>373</v>
      </c>
      <c r="D67" t="s">
        <v>174</v>
      </c>
      <c r="E67">
        <v>11.76</v>
      </c>
      <c r="F67" s="9" t="s">
        <v>68</v>
      </c>
      <c r="G67" s="7">
        <v>3096549120</v>
      </c>
      <c r="H67" s="6">
        <v>15.58</v>
      </c>
      <c r="I67" s="6">
        <v>7.51</v>
      </c>
      <c r="J67" s="12">
        <f t="shared" si="2"/>
        <v>0.56591211717709733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0.44476400553962786</v>
      </c>
      <c r="Q67" s="12">
        <v>-0.11631254679805218</v>
      </c>
      <c r="R67" s="14">
        <v>48</v>
      </c>
    </row>
    <row r="68" spans="2:18" x14ac:dyDescent="0.5">
      <c r="B68" s="1" t="s">
        <v>137</v>
      </c>
      <c r="C68" t="s">
        <v>182</v>
      </c>
      <c r="D68" t="s">
        <v>183</v>
      </c>
      <c r="E68">
        <v>31.6</v>
      </c>
      <c r="F68" s="9" t="s">
        <v>68</v>
      </c>
      <c r="G68" s="7">
        <v>21857087488</v>
      </c>
      <c r="H68" s="6">
        <v>39.200000000000003</v>
      </c>
      <c r="I68" s="6">
        <v>14.18</v>
      </c>
      <c r="J68" s="12">
        <f t="shared" si="2"/>
        <v>1.2284908321579691</v>
      </c>
      <c r="K68" s="11">
        <v>1.4556962025316455E-2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5.440338148248515E-2</v>
      </c>
      <c r="Q68" s="12">
        <v>0.222258562943417</v>
      </c>
      <c r="R68" s="14">
        <v>47</v>
      </c>
    </row>
    <row r="69" spans="2:18" x14ac:dyDescent="0.5">
      <c r="B69" s="1" t="s">
        <v>268</v>
      </c>
      <c r="C69" t="s">
        <v>323</v>
      </c>
      <c r="D69" t="s">
        <v>50</v>
      </c>
      <c r="E69">
        <v>3.44</v>
      </c>
      <c r="F69" s="9" t="s">
        <v>68</v>
      </c>
      <c r="G69" s="7">
        <v>6492277760</v>
      </c>
      <c r="H69" s="6">
        <v>4.18</v>
      </c>
      <c r="I69" s="6">
        <v>1.74</v>
      </c>
      <c r="J69" s="12">
        <f t="shared" si="2"/>
        <v>0.97701149425287359</v>
      </c>
      <c r="K69" s="11">
        <v>4.6511627906976744E-2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0.11087375468917419</v>
      </c>
      <c r="Q69" s="12">
        <v>0.12982345485897689</v>
      </c>
      <c r="R69" s="14">
        <v>51</v>
      </c>
    </row>
    <row r="70" spans="2:18" x14ac:dyDescent="0.5">
      <c r="B70" s="1" t="s">
        <v>125</v>
      </c>
      <c r="C70" t="s">
        <v>166</v>
      </c>
      <c r="D70" t="s">
        <v>167</v>
      </c>
      <c r="E70">
        <v>23.34</v>
      </c>
      <c r="F70" s="9" t="s">
        <v>68</v>
      </c>
      <c r="G70" s="7">
        <v>26552049664</v>
      </c>
      <c r="H70" s="6">
        <v>28.75</v>
      </c>
      <c r="I70" s="6">
        <v>19.52</v>
      </c>
      <c r="J70" s="12">
        <f t="shared" si="2"/>
        <v>0.19569672131147553</v>
      </c>
      <c r="K70" s="11">
        <v>5.9982862039417308E-2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0.14540286096154004</v>
      </c>
      <c r="Q70" s="12">
        <v>0.10133893359397213</v>
      </c>
      <c r="R70" s="14">
        <v>46</v>
      </c>
    </row>
    <row r="71" spans="2:18" x14ac:dyDescent="0.5">
      <c r="B71" s="1" t="s">
        <v>37</v>
      </c>
      <c r="C71" t="s">
        <v>103</v>
      </c>
      <c r="D71" t="s">
        <v>104</v>
      </c>
      <c r="E71">
        <v>6.09</v>
      </c>
      <c r="F71" s="9" t="s">
        <v>68</v>
      </c>
      <c r="G71" s="7">
        <v>4745340416</v>
      </c>
      <c r="H71" s="6">
        <v>8.09</v>
      </c>
      <c r="I71" s="6">
        <v>4.0199999999999996</v>
      </c>
      <c r="J71" s="12">
        <f t="shared" si="2"/>
        <v>0.5149253731343284</v>
      </c>
      <c r="K71" s="11">
        <v>2.7914614121510677E-2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0.1781239175111804</v>
      </c>
      <c r="Q71" s="12">
        <v>8.9074849645861431E-2</v>
      </c>
      <c r="R71" s="14">
        <v>46</v>
      </c>
    </row>
    <row r="72" spans="2:18" x14ac:dyDescent="0.5">
      <c r="B72" s="1" t="s">
        <v>115</v>
      </c>
      <c r="C72" t="s">
        <v>154</v>
      </c>
      <c r="D72" t="s">
        <v>155</v>
      </c>
      <c r="E72">
        <v>56.6</v>
      </c>
      <c r="F72" s="9" t="s">
        <v>68</v>
      </c>
      <c r="G72" s="7">
        <v>155346059264</v>
      </c>
      <c r="H72" s="6">
        <v>61.15</v>
      </c>
      <c r="I72" s="6">
        <v>39.5</v>
      </c>
      <c r="J72" s="12">
        <f t="shared" si="2"/>
        <v>0.43291139240506338</v>
      </c>
      <c r="K72" s="11">
        <v>3.1802120141342753E-2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6.3240090318063422E-2</v>
      </c>
      <c r="Q72" s="12">
        <v>0.18855793075067021</v>
      </c>
      <c r="R72" s="14">
        <v>47</v>
      </c>
    </row>
    <row r="73" spans="2:18" x14ac:dyDescent="0.5">
      <c r="B73" s="1" t="s">
        <v>130</v>
      </c>
      <c r="C73" t="s">
        <v>173</v>
      </c>
      <c r="D73" t="s">
        <v>174</v>
      </c>
      <c r="E73">
        <v>568.5</v>
      </c>
      <c r="F73" s="9" t="s">
        <v>68</v>
      </c>
      <c r="G73" s="7">
        <v>5156863213568</v>
      </c>
      <c r="H73" s="6">
        <v>570</v>
      </c>
      <c r="I73" s="6">
        <v>355.2</v>
      </c>
      <c r="J73" s="12">
        <f t="shared" si="2"/>
        <v>0.6005067567567568</v>
      </c>
      <c r="K73" s="11">
        <v>7.4388742304309589E-3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5.0259509777864322E-2</v>
      </c>
      <c r="Q73" s="12">
        <v>0.19352168899747973</v>
      </c>
      <c r="R73" s="14">
        <v>53</v>
      </c>
    </row>
    <row r="74" spans="2:18" x14ac:dyDescent="0.5">
      <c r="B74" s="1" t="s">
        <v>120</v>
      </c>
      <c r="C74" t="s">
        <v>160</v>
      </c>
      <c r="D74" t="s">
        <v>69</v>
      </c>
      <c r="E74">
        <v>6.21</v>
      </c>
      <c r="F74" s="9" t="s">
        <v>68</v>
      </c>
      <c r="G74" s="7">
        <v>10101869568</v>
      </c>
      <c r="H74" s="6">
        <v>7.05</v>
      </c>
      <c r="I74" s="6">
        <v>4.2699999999999996</v>
      </c>
      <c r="J74" s="12">
        <f t="shared" si="2"/>
        <v>0.45433255269320849</v>
      </c>
      <c r="K74" s="11">
        <v>4.5088566827697268E-2</v>
      </c>
      <c r="L74" s="13">
        <v>3597261000</v>
      </c>
      <c r="M74" s="13">
        <v>38357165000</v>
      </c>
      <c r="N74" s="9" t="s">
        <v>68</v>
      </c>
      <c r="O74" s="6">
        <v>1</v>
      </c>
      <c r="P74" s="12">
        <v>0.11615074873298879</v>
      </c>
      <c r="Q74" s="12">
        <v>9.3783286642795421E-2</v>
      </c>
      <c r="R74" s="14">
        <v>59</v>
      </c>
    </row>
    <row r="75" spans="2:18" x14ac:dyDescent="0.5">
      <c r="B75" s="1" t="s">
        <v>126</v>
      </c>
      <c r="C75" t="s">
        <v>168</v>
      </c>
      <c r="D75" t="s">
        <v>109</v>
      </c>
      <c r="E75">
        <v>13.39</v>
      </c>
      <c r="F75" s="9" t="s">
        <v>68</v>
      </c>
      <c r="G75" s="7">
        <v>132091543552</v>
      </c>
      <c r="H75" s="6">
        <v>14.32</v>
      </c>
      <c r="I75" s="6">
        <v>5.83</v>
      </c>
      <c r="J75" s="12">
        <f t="shared" si="2"/>
        <v>1.2967409948542024</v>
      </c>
      <c r="K75" s="11">
        <v>3.8834951456310676E-2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5.8569875257675541E-2</v>
      </c>
      <c r="Q75" s="12">
        <v>0.18453201842262756</v>
      </c>
      <c r="R75" s="14">
        <v>52</v>
      </c>
    </row>
    <row r="76" spans="2:18" x14ac:dyDescent="0.5">
      <c r="B76" s="1" t="s">
        <v>264</v>
      </c>
      <c r="C76" t="s">
        <v>317</v>
      </c>
      <c r="D76" t="s">
        <v>75</v>
      </c>
      <c r="E76">
        <v>6.83</v>
      </c>
      <c r="F76" s="9" t="s">
        <v>68</v>
      </c>
      <c r="G76" s="7">
        <v>4625713152</v>
      </c>
      <c r="H76" s="6">
        <v>10.06</v>
      </c>
      <c r="I76" s="6">
        <v>6.56</v>
      </c>
      <c r="J76" s="12">
        <f t="shared" si="2"/>
        <v>4.1158536585365946E-2</v>
      </c>
      <c r="K76" s="11">
        <v>5.226939970717423E-2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0.11699702814985732</v>
      </c>
      <c r="Q76" s="12">
        <v>0.12279555988606453</v>
      </c>
      <c r="R76" s="14">
        <v>48</v>
      </c>
    </row>
    <row r="77" spans="2:18" x14ac:dyDescent="0.5">
      <c r="B77" s="1" t="s">
        <v>262</v>
      </c>
      <c r="C77" t="s">
        <v>315</v>
      </c>
      <c r="D77" t="s">
        <v>155</v>
      </c>
      <c r="E77">
        <v>25.08</v>
      </c>
      <c r="F77" s="9" t="s">
        <v>68</v>
      </c>
      <c r="G77" s="7">
        <v>23094767616</v>
      </c>
      <c r="H77" s="6">
        <v>26.45</v>
      </c>
      <c r="I77" s="6">
        <v>9.9</v>
      </c>
      <c r="J77" s="12">
        <f t="shared" si="2"/>
        <v>1.5333333333333332</v>
      </c>
      <c r="K77" s="11">
        <v>3.1100478468899522E-3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0.12710096685411468</v>
      </c>
      <c r="Q77" s="12">
        <v>0.11071024253191752</v>
      </c>
      <c r="R77" s="14">
        <v>49</v>
      </c>
    </row>
    <row r="78" spans="2:18" x14ac:dyDescent="0.5">
      <c r="B78" s="1" t="s">
        <v>31</v>
      </c>
      <c r="C78" t="s">
        <v>94</v>
      </c>
      <c r="D78" t="s">
        <v>75</v>
      </c>
      <c r="E78">
        <v>3.11</v>
      </c>
      <c r="F78" s="9" t="s">
        <v>68</v>
      </c>
      <c r="G78" s="7">
        <v>19285794816</v>
      </c>
      <c r="H78" s="6">
        <v>4.13</v>
      </c>
      <c r="I78" s="6">
        <v>2.11</v>
      </c>
      <c r="J78" s="12">
        <f t="shared" si="2"/>
        <v>0.47393364928909953</v>
      </c>
      <c r="K78" s="11">
        <v>5.1446945337620585E-2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8.5887636895634611E-2</v>
      </c>
      <c r="Q78" s="12">
        <v>0.1499088374088374</v>
      </c>
      <c r="R78" s="14">
        <v>54</v>
      </c>
    </row>
    <row r="79" spans="2:18" x14ac:dyDescent="0.5">
      <c r="B79" s="1" t="s">
        <v>263</v>
      </c>
      <c r="C79" t="s">
        <v>316</v>
      </c>
      <c r="D79" t="s">
        <v>241</v>
      </c>
      <c r="E79">
        <v>8.1999999999999993</v>
      </c>
      <c r="F79" s="9" t="s">
        <v>68</v>
      </c>
      <c r="G79" s="7">
        <v>108183420928</v>
      </c>
      <c r="H79" s="6">
        <v>11</v>
      </c>
      <c r="I79" s="6">
        <v>6.84</v>
      </c>
      <c r="J79" s="12">
        <f t="shared" si="2"/>
        <v>0.19883040935672502</v>
      </c>
      <c r="K79" s="11">
        <v>0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0.10411509226601993</v>
      </c>
      <c r="Q79" s="12">
        <v>0.1154893948238957</v>
      </c>
      <c r="R79" s="14">
        <v>55</v>
      </c>
    </row>
    <row r="80" spans="2:18" x14ac:dyDescent="0.5">
      <c r="B80" s="1" t="s">
        <v>135</v>
      </c>
      <c r="C80" t="s">
        <v>179</v>
      </c>
      <c r="D80" t="s">
        <v>77</v>
      </c>
      <c r="E80">
        <v>15.5</v>
      </c>
      <c r="F80" s="9" t="s">
        <v>68</v>
      </c>
      <c r="G80" s="7">
        <v>65069158400</v>
      </c>
      <c r="H80" s="6">
        <v>15.98</v>
      </c>
      <c r="I80" s="6">
        <v>11.14</v>
      </c>
      <c r="J80" s="12">
        <f t="shared" si="2"/>
        <v>0.39138240574506278</v>
      </c>
      <c r="K80" s="11">
        <v>5.7161290322580646E-2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0.13599803255877246</v>
      </c>
      <c r="Q80" s="12">
        <v>8.6741482038526066E-2</v>
      </c>
      <c r="R80" s="14">
        <v>55</v>
      </c>
    </row>
    <row r="81" spans="2:18" x14ac:dyDescent="0.5">
      <c r="B81" s="1" t="s">
        <v>135</v>
      </c>
      <c r="C81" t="s">
        <v>179</v>
      </c>
      <c r="D81" t="s">
        <v>77</v>
      </c>
      <c r="E81">
        <v>15.5</v>
      </c>
      <c r="F81" s="9" t="s">
        <v>68</v>
      </c>
      <c r="G81" s="7">
        <v>65069158400</v>
      </c>
      <c r="H81" s="6">
        <v>15.98</v>
      </c>
      <c r="I81" s="6">
        <v>11.14</v>
      </c>
      <c r="J81" s="12">
        <f t="shared" si="2"/>
        <v>0.39138240574506278</v>
      </c>
      <c r="K81" s="11">
        <v>5.7161290322580646E-2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0.13599803255877246</v>
      </c>
      <c r="Q81" s="12">
        <v>8.6741482038526066E-2</v>
      </c>
      <c r="R81" s="14">
        <v>55</v>
      </c>
    </row>
    <row r="82" spans="2:18" x14ac:dyDescent="0.5">
      <c r="B82" s="1" t="s">
        <v>36</v>
      </c>
      <c r="C82" t="s">
        <v>102</v>
      </c>
      <c r="D82" t="s">
        <v>50</v>
      </c>
      <c r="E82">
        <v>18.399999999999999</v>
      </c>
      <c r="F82" s="9" t="s">
        <v>68</v>
      </c>
      <c r="G82" s="7">
        <v>72069488640</v>
      </c>
      <c r="H82" s="6">
        <v>119.9</v>
      </c>
      <c r="I82" s="6">
        <v>7.51</v>
      </c>
      <c r="J82" s="12">
        <f t="shared" si="2"/>
        <v>1.4500665778961386</v>
      </c>
      <c r="K82" s="11">
        <v>2.3804347826086959E-2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9.1010550988972233E-2</v>
      </c>
      <c r="Q82" s="12">
        <v>9.6670468672106824E-2</v>
      </c>
      <c r="R82" s="14">
        <v>62</v>
      </c>
    </row>
    <row r="83" spans="2:18" x14ac:dyDescent="0.5">
      <c r="B83" s="1" t="s">
        <v>389</v>
      </c>
      <c r="C83" t="s">
        <v>390</v>
      </c>
      <c r="D83" t="s">
        <v>185</v>
      </c>
      <c r="E83">
        <v>7.13</v>
      </c>
      <c r="F83" s="9" t="s">
        <v>68</v>
      </c>
      <c r="G83" s="7">
        <v>4090794752</v>
      </c>
      <c r="H83" s="6">
        <v>9.24</v>
      </c>
      <c r="I83" s="6">
        <v>6.78</v>
      </c>
      <c r="J83" s="12">
        <f t="shared" si="2"/>
        <v>5.1622418879055942E-2</v>
      </c>
      <c r="K83" s="11">
        <v>5.6100981767180931E-2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7.1843764757356057E-2</v>
      </c>
      <c r="Q83" s="12">
        <v>0.12232565520665489</v>
      </c>
      <c r="R83" s="14">
        <v>56</v>
      </c>
    </row>
    <row r="84" spans="2:18" x14ac:dyDescent="0.5">
      <c r="B84" s="1" t="s">
        <v>258</v>
      </c>
      <c r="C84" t="s">
        <v>311</v>
      </c>
      <c r="D84" t="s">
        <v>98</v>
      </c>
      <c r="E84">
        <v>2.06</v>
      </c>
      <c r="F84" s="9" t="s">
        <v>68</v>
      </c>
      <c r="G84" s="7">
        <v>1912860288</v>
      </c>
      <c r="H84" s="6">
        <v>2.54</v>
      </c>
      <c r="I84" s="6">
        <v>1.72</v>
      </c>
      <c r="J84" s="12">
        <f t="shared" si="2"/>
        <v>0.19767441860465129</v>
      </c>
      <c r="K84" s="11">
        <v>5.3398058252427182E-2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0.15293797729803119</v>
      </c>
      <c r="Q84" s="12">
        <v>3.9146558666946343E-2</v>
      </c>
      <c r="R84" s="14">
        <v>57</v>
      </c>
    </row>
    <row r="85" spans="2:18" x14ac:dyDescent="0.5">
      <c r="B85" s="1" t="s">
        <v>141</v>
      </c>
      <c r="C85" t="s">
        <v>189</v>
      </c>
      <c r="D85" t="s">
        <v>104</v>
      </c>
      <c r="E85">
        <v>37.799999999999997</v>
      </c>
      <c r="F85" s="9" t="s">
        <v>68</v>
      </c>
      <c r="G85" s="7">
        <v>85170954240</v>
      </c>
      <c r="H85" s="6">
        <v>61.55</v>
      </c>
      <c r="I85" s="6">
        <v>24.85</v>
      </c>
      <c r="J85" s="12">
        <f t="shared" si="2"/>
        <v>0.52112676056338003</v>
      </c>
      <c r="K85" s="11">
        <v>1.5026455026455027E-2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6.1804591470498042E-2</v>
      </c>
      <c r="Q85" s="12">
        <v>0.12176329850933591</v>
      </c>
      <c r="R85" s="14">
        <v>60</v>
      </c>
    </row>
    <row r="86" spans="2:18" x14ac:dyDescent="0.5">
      <c r="B86" s="1" t="s">
        <v>261</v>
      </c>
      <c r="C86" t="s">
        <v>314</v>
      </c>
      <c r="D86" t="s">
        <v>306</v>
      </c>
      <c r="E86">
        <v>53.85</v>
      </c>
      <c r="F86" s="9" t="s">
        <v>68</v>
      </c>
      <c r="G86" s="7">
        <v>1094404341760</v>
      </c>
      <c r="H86" s="6">
        <v>59.8</v>
      </c>
      <c r="I86" s="6">
        <v>32.75</v>
      </c>
      <c r="J86" s="12">
        <f t="shared" si="2"/>
        <v>0.64427480916030544</v>
      </c>
      <c r="K86" s="11">
        <v>4.7353760445682444E-2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0.12922125629495701</v>
      </c>
      <c r="Q86" s="12">
        <v>8.2016774784268678E-2</v>
      </c>
      <c r="R86" s="14">
        <v>58</v>
      </c>
    </row>
    <row r="87" spans="2:18" x14ac:dyDescent="0.5">
      <c r="B87" s="1" t="s">
        <v>18</v>
      </c>
      <c r="C87" t="s">
        <v>67</v>
      </c>
      <c r="D87" t="s">
        <v>66</v>
      </c>
      <c r="E87">
        <v>57.95</v>
      </c>
      <c r="F87" s="9" t="s">
        <v>68</v>
      </c>
      <c r="G87" s="7">
        <v>146210177024</v>
      </c>
      <c r="H87" s="6">
        <v>82.25</v>
      </c>
      <c r="I87" s="6">
        <v>37.85</v>
      </c>
      <c r="J87" s="12">
        <f t="shared" si="2"/>
        <v>0.53104359313077931</v>
      </c>
      <c r="K87" s="11">
        <v>1.8119068162208801E-2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5.9243781362586317E-2</v>
      </c>
      <c r="Q87" s="12">
        <v>0.10968970241604512</v>
      </c>
      <c r="R87" s="14">
        <v>65</v>
      </c>
    </row>
    <row r="88" spans="2:18" x14ac:dyDescent="0.5">
      <c r="B88" s="1" t="s">
        <v>123</v>
      </c>
      <c r="C88" t="s">
        <v>163</v>
      </c>
      <c r="D88" t="s">
        <v>164</v>
      </c>
      <c r="E88">
        <v>6.76</v>
      </c>
      <c r="F88" s="9" t="s">
        <v>68</v>
      </c>
      <c r="G88" s="7">
        <v>48580608000</v>
      </c>
      <c r="H88" s="6">
        <v>10.72</v>
      </c>
      <c r="I88" s="6">
        <v>5</v>
      </c>
      <c r="J88" s="12">
        <f t="shared" si="2"/>
        <v>0.35199999999999987</v>
      </c>
      <c r="K88" s="11">
        <v>6.3609467455621307E-2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8.883337779095217E-2</v>
      </c>
      <c r="Q88" s="12">
        <v>9.5261833390841127E-2</v>
      </c>
      <c r="R88" s="14">
        <v>65</v>
      </c>
    </row>
    <row r="89" spans="2:18" x14ac:dyDescent="0.5">
      <c r="B89" s="1" t="s">
        <v>136</v>
      </c>
      <c r="C89" t="s">
        <v>180</v>
      </c>
      <c r="D89" t="s">
        <v>181</v>
      </c>
      <c r="E89">
        <v>10.19</v>
      </c>
      <c r="F89" s="9" t="s">
        <v>68</v>
      </c>
      <c r="G89" s="7">
        <v>24009981952</v>
      </c>
      <c r="H89" s="6">
        <v>11.68</v>
      </c>
      <c r="I89" s="6">
        <v>5.19</v>
      </c>
      <c r="J89" s="12">
        <f t="shared" si="2"/>
        <v>0.96339113680154109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0.11703916133688902</v>
      </c>
      <c r="Q89" s="12">
        <v>6.4862080854845933E-2</v>
      </c>
      <c r="R89" s="14">
        <v>63</v>
      </c>
    </row>
    <row r="90" spans="2:18" x14ac:dyDescent="0.5">
      <c r="B90" s="1" t="s">
        <v>116</v>
      </c>
      <c r="C90" t="s">
        <v>156</v>
      </c>
      <c r="D90" t="s">
        <v>93</v>
      </c>
      <c r="E90">
        <v>22.68</v>
      </c>
      <c r="F90" s="9" t="s">
        <v>68</v>
      </c>
      <c r="G90" s="7">
        <v>132171104256</v>
      </c>
      <c r="H90" s="6">
        <v>26.6</v>
      </c>
      <c r="I90" s="6">
        <v>16.02</v>
      </c>
      <c r="J90" s="12">
        <f t="shared" si="2"/>
        <v>0.41573033707865181</v>
      </c>
      <c r="K90" s="11">
        <v>3.130511463844797E-2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0.13001469175765842</v>
      </c>
      <c r="Q90" s="12">
        <v>5.0146340085309396E-2</v>
      </c>
      <c r="R90" s="14">
        <v>61</v>
      </c>
    </row>
    <row r="91" spans="2:18" x14ac:dyDescent="0.5">
      <c r="B91" s="1" t="s">
        <v>259</v>
      </c>
      <c r="C91" t="s">
        <v>312</v>
      </c>
      <c r="D91" t="s">
        <v>308</v>
      </c>
      <c r="E91">
        <v>1.73</v>
      </c>
      <c r="F91" s="9" t="s">
        <v>68</v>
      </c>
      <c r="G91" s="7">
        <v>64955445248</v>
      </c>
      <c r="H91" s="6">
        <v>2.08</v>
      </c>
      <c r="I91" s="6">
        <v>1.18</v>
      </c>
      <c r="J91" s="12">
        <f t="shared" si="2"/>
        <v>0.46610169491525433</v>
      </c>
      <c r="K91" s="11">
        <v>3.236994219653179E-2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0.12370441093782578</v>
      </c>
      <c r="Q91" s="12">
        <v>5.4568577322633927E-2</v>
      </c>
      <c r="R91" s="14">
        <v>63</v>
      </c>
    </row>
    <row r="92" spans="2:18" x14ac:dyDescent="0.5">
      <c r="B92" s="1" t="s">
        <v>260</v>
      </c>
      <c r="C92" t="s">
        <v>313</v>
      </c>
      <c r="D92" t="s">
        <v>109</v>
      </c>
      <c r="E92">
        <v>8.5399999999999991</v>
      </c>
      <c r="F92" s="9" t="s">
        <v>68</v>
      </c>
      <c r="G92" s="7">
        <v>5736420352</v>
      </c>
      <c r="H92" s="6">
        <v>9.15</v>
      </c>
      <c r="I92" s="6">
        <v>5.6</v>
      </c>
      <c r="J92" s="12">
        <f t="shared" si="2"/>
        <v>0.52499999999999991</v>
      </c>
      <c r="K92" s="11">
        <v>5.9718969555035133E-2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0.10973642034761508</v>
      </c>
      <c r="Q92" s="12">
        <v>6.5089877530620205E-2</v>
      </c>
      <c r="R92" s="14">
        <v>67</v>
      </c>
    </row>
    <row r="93" spans="2:18" x14ac:dyDescent="0.5">
      <c r="B93" s="1" t="s">
        <v>129</v>
      </c>
      <c r="C93" t="s">
        <v>172</v>
      </c>
      <c r="D93" t="s">
        <v>98</v>
      </c>
      <c r="E93">
        <v>12.78</v>
      </c>
      <c r="F93" s="9" t="s">
        <v>68</v>
      </c>
      <c r="G93" s="7">
        <v>96813096960</v>
      </c>
      <c r="H93" s="6">
        <v>12.95</v>
      </c>
      <c r="I93" s="6">
        <v>9.39</v>
      </c>
      <c r="J93" s="12">
        <f t="shared" si="2"/>
        <v>0.36102236421725231</v>
      </c>
      <c r="K93" s="11">
        <v>6.2363067292644764E-2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5.9034724924292084E-2</v>
      </c>
      <c r="Q93" s="12">
        <v>0.10245263104990703</v>
      </c>
      <c r="R93" s="14">
        <v>67</v>
      </c>
    </row>
    <row r="94" spans="2:18" x14ac:dyDescent="0.5">
      <c r="B94" s="1" t="s">
        <v>112</v>
      </c>
      <c r="C94" t="s">
        <v>149</v>
      </c>
      <c r="D94" t="s">
        <v>98</v>
      </c>
      <c r="E94">
        <v>6</v>
      </c>
      <c r="F94" s="9" t="s">
        <v>68</v>
      </c>
      <c r="G94" s="7">
        <v>713255944192</v>
      </c>
      <c r="H94" s="6">
        <v>6.98</v>
      </c>
      <c r="I94" s="6">
        <v>4.08</v>
      </c>
      <c r="J94" s="12">
        <f t="shared" si="2"/>
        <v>0.47058823529411753</v>
      </c>
      <c r="K94" s="11">
        <v>4.3333333333333335E-2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6.8967645116552179E-2</v>
      </c>
      <c r="Q94" s="12">
        <v>9.605709580489824E-2</v>
      </c>
      <c r="R94" s="14">
        <v>66</v>
      </c>
    </row>
    <row r="95" spans="2:18" x14ac:dyDescent="0.5">
      <c r="B95" s="1" t="s">
        <v>127</v>
      </c>
      <c r="C95" t="s">
        <v>169</v>
      </c>
      <c r="D95" t="s">
        <v>104</v>
      </c>
      <c r="E95">
        <v>10.54</v>
      </c>
      <c r="F95" s="9" t="s">
        <v>68</v>
      </c>
      <c r="G95" s="7">
        <v>32884799488</v>
      </c>
      <c r="H95" s="6">
        <v>11.34</v>
      </c>
      <c r="I95" s="6">
        <v>5.6</v>
      </c>
      <c r="J95" s="12">
        <f t="shared" si="2"/>
        <v>0.88214285714285712</v>
      </c>
      <c r="K95" s="11">
        <v>3.0360531309297917E-2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5.5854154868492135E-2</v>
      </c>
      <c r="Q95" s="12">
        <v>0.10689920561026972</v>
      </c>
      <c r="R95" s="14">
        <v>68</v>
      </c>
    </row>
    <row r="96" spans="2:18" x14ac:dyDescent="0.5">
      <c r="B96" s="1" t="s">
        <v>121</v>
      </c>
      <c r="C96" t="s">
        <v>161</v>
      </c>
      <c r="D96" t="s">
        <v>98</v>
      </c>
      <c r="E96">
        <v>9.69</v>
      </c>
      <c r="F96" s="9" t="s">
        <v>68</v>
      </c>
      <c r="G96" s="7">
        <v>296494628864</v>
      </c>
      <c r="H96" s="6">
        <v>11.56</v>
      </c>
      <c r="I96" s="6">
        <v>5.88</v>
      </c>
      <c r="J96" s="12">
        <f t="shared" si="2"/>
        <v>0.64795918367346927</v>
      </c>
      <c r="K96" s="11">
        <v>0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9.3468243374290425E-2</v>
      </c>
      <c r="Q96" s="12">
        <v>7.4329031387590908E-2</v>
      </c>
      <c r="R96" s="14">
        <v>70</v>
      </c>
    </row>
    <row r="97" spans="2:18" x14ac:dyDescent="0.5">
      <c r="B97" s="1" t="s">
        <v>257</v>
      </c>
      <c r="C97" t="s">
        <v>310</v>
      </c>
      <c r="D97" t="s">
        <v>151</v>
      </c>
      <c r="E97">
        <v>9.9700000000000006</v>
      </c>
      <c r="F97" s="9" t="s">
        <v>68</v>
      </c>
      <c r="G97" s="7">
        <v>25266671616</v>
      </c>
      <c r="H97" s="6">
        <v>13.78</v>
      </c>
      <c r="I97" s="6">
        <v>5.44</v>
      </c>
      <c r="J97" s="12">
        <f t="shared" si="2"/>
        <v>0.83272058823529416</v>
      </c>
      <c r="K97" s="11">
        <v>3.0090270812437307E-2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0.10436962921918337</v>
      </c>
      <c r="Q97" s="12">
        <v>5.5629198178196171E-2</v>
      </c>
      <c r="R97" s="14">
        <v>71</v>
      </c>
    </row>
    <row r="98" spans="2:18" x14ac:dyDescent="0.5">
      <c r="B98" s="1" t="s">
        <v>117</v>
      </c>
      <c r="C98" t="s">
        <v>157</v>
      </c>
      <c r="D98" t="s">
        <v>151</v>
      </c>
      <c r="E98">
        <v>1.95</v>
      </c>
      <c r="F98" s="9" t="s">
        <v>68</v>
      </c>
      <c r="G98" s="7">
        <v>6940771840</v>
      </c>
      <c r="H98" s="6">
        <v>2.95</v>
      </c>
      <c r="I98" s="6">
        <v>1.37</v>
      </c>
      <c r="J98" s="12">
        <f t="shared" ref="J98:J129" si="3">E98/I98-1</f>
        <v>0.42335766423357657</v>
      </c>
      <c r="K98" s="11">
        <v>4.8205128205128206E-2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0.11727133329628484</v>
      </c>
      <c r="Q98" s="12">
        <v>3.1227495254580313E-2</v>
      </c>
      <c r="R98" s="14">
        <v>69</v>
      </c>
    </row>
    <row r="99" spans="2:18" x14ac:dyDescent="0.5">
      <c r="B99" s="1" t="s">
        <v>255</v>
      </c>
      <c r="C99" t="s">
        <v>307</v>
      </c>
      <c r="D99" t="s">
        <v>308</v>
      </c>
      <c r="E99">
        <v>5.59</v>
      </c>
      <c r="F99" s="9" t="s">
        <v>68</v>
      </c>
      <c r="G99" s="7">
        <v>113733025792</v>
      </c>
      <c r="H99" s="6">
        <v>7.03</v>
      </c>
      <c r="I99" s="6">
        <v>4.22</v>
      </c>
      <c r="J99" s="12">
        <f t="shared" si="3"/>
        <v>0.32464454976303325</v>
      </c>
      <c r="K99" s="11">
        <v>5.3667262969588549E-2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0.10040982522834566</v>
      </c>
      <c r="Q99" s="12">
        <v>5.643429507724386E-2</v>
      </c>
      <c r="R99" s="14">
        <v>73</v>
      </c>
    </row>
    <row r="100" spans="2:18" x14ac:dyDescent="0.5">
      <c r="B100" s="1" t="s">
        <v>256</v>
      </c>
      <c r="C100" t="s">
        <v>309</v>
      </c>
      <c r="D100" t="s">
        <v>171</v>
      </c>
      <c r="E100">
        <v>50.1</v>
      </c>
      <c r="F100" s="9" t="s">
        <v>68</v>
      </c>
      <c r="G100" s="7">
        <v>191885000704</v>
      </c>
      <c r="H100" s="6">
        <v>54.6</v>
      </c>
      <c r="I100" s="6">
        <v>37.450000000000003</v>
      </c>
      <c r="J100" s="12">
        <f t="shared" si="3"/>
        <v>0.33778371161548715</v>
      </c>
      <c r="K100" s="11">
        <v>4.3952095808383232E-2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0.1055796291183744</v>
      </c>
      <c r="Q100" s="12">
        <v>5.2504192208844336E-2</v>
      </c>
      <c r="R100" s="14">
        <v>72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36.22</v>
      </c>
      <c r="F101" s="9" t="s">
        <v>68</v>
      </c>
      <c r="G101" s="7">
        <v>126762041344</v>
      </c>
      <c r="H101" s="6">
        <v>37.25</v>
      </c>
      <c r="I101" s="6">
        <v>28.1</v>
      </c>
      <c r="J101" s="12">
        <f t="shared" si="3"/>
        <v>0.28896797153024911</v>
      </c>
      <c r="K101" s="11">
        <v>4.8039757040309224E-2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0.11368950143011126</v>
      </c>
      <c r="Q101" s="12">
        <v>3.7613758029978586E-2</v>
      </c>
      <c r="R101" s="14">
        <v>73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5.52</v>
      </c>
      <c r="F102" s="9" t="s">
        <v>68</v>
      </c>
      <c r="G102" s="7">
        <v>42730651648</v>
      </c>
      <c r="H102" s="6">
        <v>5.83</v>
      </c>
      <c r="I102" s="6">
        <v>4.09</v>
      </c>
      <c r="J102" s="12">
        <f t="shared" si="3"/>
        <v>0.34963325183374083</v>
      </c>
      <c r="K102" s="11">
        <v>6.9384057971014504E-2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5.7997332211886236E-2</v>
      </c>
      <c r="Q102" s="12">
        <v>9.2144023431582137E-2</v>
      </c>
      <c r="R102" s="14">
        <v>74</v>
      </c>
    </row>
    <row r="103" spans="2:18" x14ac:dyDescent="0.5">
      <c r="B103" s="1" t="s">
        <v>30</v>
      </c>
      <c r="C103" t="s">
        <v>92</v>
      </c>
      <c r="D103" t="s">
        <v>93</v>
      </c>
      <c r="E103">
        <v>2.16</v>
      </c>
      <c r="F103" s="9" t="s">
        <v>68</v>
      </c>
      <c r="G103" s="7">
        <v>11799065600</v>
      </c>
      <c r="H103" s="6">
        <v>2.25</v>
      </c>
      <c r="I103" s="6">
        <v>0.81</v>
      </c>
      <c r="J103" s="12">
        <f t="shared" si="3"/>
        <v>1.6666666666666665</v>
      </c>
      <c r="K103" s="11">
        <v>1.5740740740740739E-2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6.4574222463006425E-2</v>
      </c>
      <c r="Q103" s="12">
        <v>5.8120488088461209E-2</v>
      </c>
      <c r="R103" s="14">
        <v>75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28.98</v>
      </c>
      <c r="F104" s="9" t="s">
        <v>68</v>
      </c>
      <c r="G104" s="7">
        <v>32118822912</v>
      </c>
      <c r="H104" s="6">
        <v>29.35</v>
      </c>
      <c r="I104" s="6">
        <v>14.52</v>
      </c>
      <c r="J104" s="12">
        <f t="shared" si="3"/>
        <v>0.99586776859504145</v>
      </c>
      <c r="K104" s="11">
        <v>3.243616287094548E-2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7.6864070140128748E-2</v>
      </c>
      <c r="Q104" s="12">
        <v>4.7084186647510511E-2</v>
      </c>
      <c r="R104" s="14">
        <v>76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11.41</v>
      </c>
      <c r="F105" s="9" t="s">
        <v>68</v>
      </c>
      <c r="G105" s="7">
        <v>200825126912</v>
      </c>
      <c r="H105" s="6">
        <v>12.46</v>
      </c>
      <c r="I105" s="6">
        <v>9.1999999999999993</v>
      </c>
      <c r="J105" s="12">
        <f t="shared" si="3"/>
        <v>0.24021739130434794</v>
      </c>
      <c r="K105" s="11">
        <v>3.8562664329535493E-2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6.0298075257894483E-2</v>
      </c>
      <c r="Q105" s="12">
        <v>6.2161059386475759E-2</v>
      </c>
      <c r="R105" s="14">
        <v>76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6.86</v>
      </c>
      <c r="F106" s="9" t="s">
        <v>68</v>
      </c>
      <c r="G106" s="7">
        <v>7158684160</v>
      </c>
      <c r="H106" s="6">
        <v>7</v>
      </c>
      <c r="I106" s="6">
        <v>4.0199999999999996</v>
      </c>
      <c r="J106" s="12">
        <f t="shared" si="3"/>
        <v>0.70646766169154263</v>
      </c>
      <c r="K106" s="11">
        <v>0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5.0016264870190799E-2</v>
      </c>
      <c r="Q106" s="12">
        <v>8.3790449156695201E-2</v>
      </c>
      <c r="R106" s="14">
        <v>77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2.9</v>
      </c>
      <c r="F107" s="9" t="s">
        <v>68</v>
      </c>
      <c r="G107" s="7">
        <v>12455500800</v>
      </c>
      <c r="H107" s="6">
        <v>3.04</v>
      </c>
      <c r="I107" s="6">
        <v>1.93</v>
      </c>
      <c r="J107" s="12">
        <f t="shared" si="3"/>
        <v>0.50259067357512954</v>
      </c>
      <c r="K107" s="11">
        <v>3.689655172413793E-2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5.8771838084254888E-2</v>
      </c>
      <c r="Q107" s="12">
        <v>3.8781191586606881E-2</v>
      </c>
      <c r="R107" s="14">
        <v>78</v>
      </c>
    </row>
    <row r="108" spans="2:18" x14ac:dyDescent="0.5">
      <c r="B108" s="1" t="s">
        <v>266</v>
      </c>
      <c r="C108" t="s">
        <v>320</v>
      </c>
      <c r="D108" t="s">
        <v>87</v>
      </c>
      <c r="E108">
        <v>9.26</v>
      </c>
      <c r="F108" s="9" t="s">
        <v>68</v>
      </c>
      <c r="G108" s="7">
        <v>9727259648</v>
      </c>
      <c r="H108" s="6">
        <v>12.88</v>
      </c>
      <c r="I108" s="6">
        <v>4.47</v>
      </c>
      <c r="J108" s="12">
        <f t="shared" si="3"/>
        <v>1.0715883668903805</v>
      </c>
      <c r="K108" s="11">
        <v>1.5334773218142547E-2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3.8803947190185775E-2</v>
      </c>
      <c r="Q108" s="12">
        <v>0.10455432132537129</v>
      </c>
      <c r="R108" s="14">
        <v>73</v>
      </c>
    </row>
    <row r="109" spans="2:18" x14ac:dyDescent="0.5">
      <c r="B109" s="1" t="s">
        <v>387</v>
      </c>
      <c r="C109" t="s">
        <v>388</v>
      </c>
      <c r="D109" t="s">
        <v>85</v>
      </c>
      <c r="E109">
        <v>1.61</v>
      </c>
      <c r="F109" s="9" t="s">
        <v>68</v>
      </c>
      <c r="G109" s="7">
        <v>8913974272</v>
      </c>
      <c r="H109" s="6">
        <v>2.99</v>
      </c>
      <c r="I109" s="6">
        <v>0.91</v>
      </c>
      <c r="J109" s="12">
        <f t="shared" si="3"/>
        <v>0.76923076923076938</v>
      </c>
      <c r="K109" s="11">
        <v>9.3167701863354022E-3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4.754561802701418E-2</v>
      </c>
      <c r="Q109" s="12">
        <v>2.3421020321148112E-2</v>
      </c>
      <c r="R109" s="14">
        <v>80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52.6</v>
      </c>
      <c r="F110" s="9" t="s">
        <v>68</v>
      </c>
      <c r="G110" s="7">
        <v>517276794880</v>
      </c>
      <c r="H110" s="6">
        <v>59.7</v>
      </c>
      <c r="I110" s="6">
        <v>15.24</v>
      </c>
      <c r="J110" s="12">
        <f t="shared" si="3"/>
        <v>2.4514435695538057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1.3576945183937372E-2</v>
      </c>
      <c r="Q110" s="12">
        <v>3.0575487595734537E-2</v>
      </c>
      <c r="R110" s="14">
        <v>81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15.6</v>
      </c>
      <c r="F111" s="9" t="s">
        <v>68</v>
      </c>
      <c r="G111" s="7">
        <v>16021356544</v>
      </c>
      <c r="H111" s="6">
        <v>16.100000000000001</v>
      </c>
      <c r="I111" s="6">
        <v>10.52</v>
      </c>
      <c r="J111" s="12">
        <f t="shared" si="3"/>
        <v>0.4828897338403042</v>
      </c>
      <c r="K111" s="11">
        <v>6.9230769230769235E-2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2.4016778622969481E-2</v>
      </c>
      <c r="Q111" s="12">
        <v>9.6523581574197593E-3</v>
      </c>
      <c r="R111" s="14">
        <v>82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32.04</v>
      </c>
      <c r="F112" s="9" t="s">
        <v>68</v>
      </c>
      <c r="G112" s="7">
        <v>32715724800</v>
      </c>
      <c r="H112" s="6">
        <v>36</v>
      </c>
      <c r="I112" s="6">
        <v>22.4</v>
      </c>
      <c r="J112" s="12">
        <f t="shared" si="3"/>
        <v>0.43035714285714288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-3.2812885365110693E-3</v>
      </c>
      <c r="Q112" s="12">
        <v>-4.9151971480384084E-3</v>
      </c>
      <c r="R112" s="14">
        <v>83</v>
      </c>
    </row>
    <row r="113" spans="2:18" x14ac:dyDescent="0.5">
      <c r="B113" s="1" t="s">
        <v>372</v>
      </c>
      <c r="C113" t="s">
        <v>374</v>
      </c>
      <c r="D113" t="s">
        <v>375</v>
      </c>
      <c r="E113">
        <v>2.0699999999999998</v>
      </c>
      <c r="F113" s="9" t="s">
        <v>68</v>
      </c>
      <c r="G113" s="7">
        <v>4422617088</v>
      </c>
      <c r="H113" s="6">
        <v>2.62</v>
      </c>
      <c r="I113" s="6">
        <v>0.99</v>
      </c>
      <c r="J113" s="12">
        <f t="shared" si="3"/>
        <v>1.0909090909090908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1.1385510531397558</v>
      </c>
      <c r="Q113" s="12">
        <v>-9.3085164890011229E-2</v>
      </c>
      <c r="R113" s="14">
        <v>45</v>
      </c>
    </row>
    <row r="114" spans="2:18" x14ac:dyDescent="0.5">
      <c r="B114" s="1" t="s">
        <v>202</v>
      </c>
      <c r="C114" t="s">
        <v>227</v>
      </c>
      <c r="D114" t="s">
        <v>228</v>
      </c>
      <c r="E114">
        <v>36.479999999999997</v>
      </c>
      <c r="F114" s="9" t="s">
        <v>68</v>
      </c>
      <c r="G114" s="7">
        <v>385695744000</v>
      </c>
      <c r="H114" s="6">
        <v>37.950000000000003</v>
      </c>
      <c r="I114" s="6">
        <v>21.55</v>
      </c>
      <c r="J114" s="12">
        <f t="shared" si="3"/>
        <v>0.69280742459396727</v>
      </c>
      <c r="K114" s="11">
        <v>5.452302631578948E-2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232</v>
      </c>
      <c r="D115" t="s">
        <v>228</v>
      </c>
      <c r="E115">
        <v>5.56</v>
      </c>
      <c r="F115" s="9" t="s">
        <v>68</v>
      </c>
      <c r="G115" s="7">
        <v>751545155584</v>
      </c>
      <c r="H115" s="6">
        <v>5.95</v>
      </c>
      <c r="I115" s="6">
        <v>3.89</v>
      </c>
      <c r="J115" s="12">
        <f t="shared" si="3"/>
        <v>0.42930591259640094</v>
      </c>
      <c r="K115" s="11">
        <v>0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234</v>
      </c>
      <c r="D116" t="s">
        <v>228</v>
      </c>
      <c r="E116">
        <v>7.44</v>
      </c>
      <c r="F116" s="9" t="s">
        <v>68</v>
      </c>
      <c r="G116" s="7">
        <v>479011766272</v>
      </c>
      <c r="H116" s="6">
        <v>8.1199999999999992</v>
      </c>
      <c r="I116" s="6">
        <v>4.26</v>
      </c>
      <c r="J116" s="12">
        <f t="shared" si="3"/>
        <v>0.74647887323943674</v>
      </c>
      <c r="K116" s="11">
        <v>4.7715053763440853E-2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229</v>
      </c>
      <c r="D117" t="s">
        <v>230</v>
      </c>
      <c r="E117">
        <v>7.01</v>
      </c>
      <c r="F117" s="9" t="s">
        <v>68</v>
      </c>
      <c r="G117" s="7">
        <v>687948103680</v>
      </c>
      <c r="H117" s="6">
        <v>7.62</v>
      </c>
      <c r="I117" s="6">
        <v>5.08</v>
      </c>
      <c r="J117" s="12">
        <f t="shared" si="3"/>
        <v>0.37992125984251968</v>
      </c>
      <c r="K117" s="11">
        <v>5.4065620542082742E-2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231</v>
      </c>
      <c r="D118" t="s">
        <v>230</v>
      </c>
      <c r="E118">
        <v>6.11</v>
      </c>
      <c r="F118" s="9" t="s">
        <v>68</v>
      </c>
      <c r="G118" s="7">
        <v>2799259877376</v>
      </c>
      <c r="H118" s="6">
        <v>6.48</v>
      </c>
      <c r="I118" s="6">
        <v>4.0599999999999996</v>
      </c>
      <c r="J118" s="12">
        <f t="shared" si="3"/>
        <v>0.50492610837438456</v>
      </c>
      <c r="K118" s="11">
        <v>5.0409165302782319E-2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233</v>
      </c>
      <c r="D119" t="s">
        <v>230</v>
      </c>
      <c r="E119">
        <v>7.93</v>
      </c>
      <c r="F119" s="9" t="s">
        <v>68</v>
      </c>
      <c r="G119" s="7">
        <v>2127825076224</v>
      </c>
      <c r="H119" s="6">
        <v>8.56</v>
      </c>
      <c r="I119" s="6">
        <v>5.25</v>
      </c>
      <c r="J119" s="12">
        <f t="shared" si="3"/>
        <v>0.51047619047619053</v>
      </c>
      <c r="K119" s="11">
        <v>5.0819672131147547E-2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391</v>
      </c>
      <c r="C120" t="s">
        <v>394</v>
      </c>
      <c r="D120" t="s">
        <v>151</v>
      </c>
      <c r="E120">
        <v>9.31</v>
      </c>
      <c r="F120" s="9" t="s">
        <v>68</v>
      </c>
      <c r="G120" s="7">
        <v>85187436544</v>
      </c>
      <c r="H120" s="6">
        <v>9.35</v>
      </c>
      <c r="I120" s="6">
        <v>7.31</v>
      </c>
      <c r="J120" s="12">
        <f t="shared" si="3"/>
        <v>0.27359781121751037</v>
      </c>
      <c r="K120" s="11">
        <v>6.2298603651987104E-2</v>
      </c>
      <c r="L120" s="13">
        <v>4813000000</v>
      </c>
      <c r="M120" s="13">
        <v>168240000000</v>
      </c>
      <c r="N120" s="9" t="s">
        <v>68</v>
      </c>
      <c r="O120" s="6">
        <v>1</v>
      </c>
      <c r="P120" s="12">
        <v>5.606130930871487E-2</v>
      </c>
      <c r="Q120" s="12">
        <v>2.8607941036614362E-2</v>
      </c>
      <c r="R120" s="14">
        <v>79</v>
      </c>
    </row>
    <row r="121" spans="2:18" x14ac:dyDescent="0.5">
      <c r="B121" s="1" t="s">
        <v>392</v>
      </c>
      <c r="C121" t="s">
        <v>395</v>
      </c>
      <c r="D121" t="s">
        <v>85</v>
      </c>
      <c r="E121">
        <v>16.440000000000001</v>
      </c>
      <c r="F121" s="9" t="s">
        <v>68</v>
      </c>
      <c r="G121" s="7">
        <v>42336780288</v>
      </c>
      <c r="H121" s="6">
        <v>21</v>
      </c>
      <c r="I121" s="6">
        <v>12.56</v>
      </c>
      <c r="J121" s="12">
        <f t="shared" si="3"/>
        <v>0.30891719745222934</v>
      </c>
      <c r="K121" s="11">
        <v>3.5583941605839414E-2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0.12519618749294303</v>
      </c>
      <c r="Q121" s="12">
        <v>0.16337840218675606</v>
      </c>
      <c r="R121" s="14">
        <v>33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43.7</v>
      </c>
      <c r="F122" s="9" t="s">
        <v>68</v>
      </c>
      <c r="G122" s="7">
        <v>113067196416</v>
      </c>
      <c r="H122" s="6">
        <v>45.05</v>
      </c>
      <c r="I122" s="6">
        <v>31.1</v>
      </c>
      <c r="J122" s="12">
        <f t="shared" si="3"/>
        <v>0.40514469453376201</v>
      </c>
      <c r="K122" s="11">
        <v>6.23112128146453E-2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-4.1394419356757008E-2</v>
      </c>
      <c r="Q122" s="12">
        <v>-3.1158435700487111E-2</v>
      </c>
      <c r="R122" s="14">
        <v>84</v>
      </c>
    </row>
    <row r="123" spans="2:18" x14ac:dyDescent="0.5">
      <c r="B123" s="1" t="s">
        <v>398</v>
      </c>
      <c r="C123" t="s">
        <v>399</v>
      </c>
      <c r="D123" t="s">
        <v>56</v>
      </c>
      <c r="E123">
        <v>54</v>
      </c>
      <c r="F123" s="9" t="s">
        <v>68</v>
      </c>
      <c r="G123" s="7">
        <v>1399518003200</v>
      </c>
      <c r="H123" s="6">
        <v>61.45</v>
      </c>
      <c r="I123" s="6">
        <v>15.58</v>
      </c>
      <c r="J123" s="12">
        <f t="shared" si="3"/>
        <v>2.4659820282413349</v>
      </c>
      <c r="K123" s="11">
        <v>0</v>
      </c>
      <c r="L123" s="13">
        <v>29458798000</v>
      </c>
      <c r="M123" s="13">
        <v>219340795000</v>
      </c>
      <c r="N123" s="9" t="s">
        <v>51</v>
      </c>
      <c r="O123" s="6">
        <v>1.0683760683760684</v>
      </c>
      <c r="P123" s="12">
        <v>2.2448239975322564E-2</v>
      </c>
      <c r="Q123" s="12">
        <v>0.13430606011982404</v>
      </c>
      <c r="R123" s="14">
        <v>64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5"/>
  <sheetViews>
    <sheetView tabSelected="1" topLeftCell="A24" zoomScale="89" zoomScaleNormal="100" workbookViewId="0">
      <selection activeCell="B36" sqref="B3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21.82</v>
      </c>
      <c r="F2" s="9" t="s">
        <v>72</v>
      </c>
      <c r="G2" s="7">
        <v>768906240</v>
      </c>
      <c r="H2" s="6">
        <v>25.04</v>
      </c>
      <c r="I2" s="6">
        <v>21.19</v>
      </c>
      <c r="J2" s="12">
        <f t="shared" ref="J2:J28" si="0">E2/I2-1</f>
        <v>2.9731005191127924E-2</v>
      </c>
      <c r="K2" s="11">
        <v>8.6434463794683766E-2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0.35639714019790458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25.45</v>
      </c>
      <c r="F3" s="9" t="s">
        <v>72</v>
      </c>
      <c r="G3" s="7">
        <v>64406827008</v>
      </c>
      <c r="H3" s="6">
        <v>28.29</v>
      </c>
      <c r="I3" s="6">
        <v>21.41</v>
      </c>
      <c r="J3" s="12">
        <f t="shared" si="0"/>
        <v>0.1886968706212051</v>
      </c>
      <c r="K3" s="11">
        <v>5.7367387033398824E-2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0.36166393034872446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193.33</v>
      </c>
      <c r="F4" s="9" t="s">
        <v>72</v>
      </c>
      <c r="G4" s="7">
        <v>23170793472</v>
      </c>
      <c r="H4" s="6">
        <v>423.32</v>
      </c>
      <c r="I4" s="6">
        <v>191.44</v>
      </c>
      <c r="J4" s="12">
        <f t="shared" si="0"/>
        <v>9.8725449226912954E-3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0.110081260341318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75.92</v>
      </c>
      <c r="F5" s="9" t="s">
        <v>72</v>
      </c>
      <c r="G5" s="7">
        <v>2554829312</v>
      </c>
      <c r="H5" s="6">
        <v>121.78</v>
      </c>
      <c r="I5" s="6">
        <v>49.92</v>
      </c>
      <c r="J5" s="12">
        <f t="shared" si="0"/>
        <v>0.52083333333333326</v>
      </c>
      <c r="K5" s="11">
        <v>1.6991570073761855E-2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0.19742961446156918</v>
      </c>
      <c r="Q5" s="12">
        <v>0.27023505491730515</v>
      </c>
      <c r="R5" s="14">
        <v>4</v>
      </c>
    </row>
    <row r="6" spans="2:22" x14ac:dyDescent="0.5">
      <c r="B6" s="1" t="s">
        <v>40</v>
      </c>
      <c r="C6" t="s">
        <v>108</v>
      </c>
      <c r="D6" t="s">
        <v>109</v>
      </c>
      <c r="E6">
        <v>75.3</v>
      </c>
      <c r="F6" s="9" t="s">
        <v>72</v>
      </c>
      <c r="G6" s="7">
        <v>3098610176</v>
      </c>
      <c r="H6" s="6">
        <v>106.28</v>
      </c>
      <c r="I6" s="6">
        <v>45.55</v>
      </c>
      <c r="J6" s="12">
        <f t="shared" si="0"/>
        <v>0.65312843029637757</v>
      </c>
      <c r="K6" s="11">
        <v>1.5803452855245682E-2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0.1368889936093621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63.61</v>
      </c>
      <c r="F7" s="9" t="s">
        <v>72</v>
      </c>
      <c r="G7" s="7">
        <v>107929632768</v>
      </c>
      <c r="H7" s="6">
        <v>66.819999999999993</v>
      </c>
      <c r="I7" s="6">
        <v>25.922499999999999</v>
      </c>
      <c r="J7" s="12">
        <f t="shared" si="0"/>
        <v>1.4538528305526088</v>
      </c>
      <c r="K7" s="11">
        <v>4.2131740292406855E-3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7.5601113623186028E-2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28.24</v>
      </c>
      <c r="F8" s="9" t="s">
        <v>72</v>
      </c>
      <c r="G8" s="7">
        <v>1005699840</v>
      </c>
      <c r="H8" s="6">
        <v>29.23</v>
      </c>
      <c r="I8" s="6">
        <v>17.73</v>
      </c>
      <c r="J8" s="12">
        <f t="shared" si="0"/>
        <v>0.59278059785673975</v>
      </c>
      <c r="K8" s="11">
        <v>6.6395184135977336E-2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0.25465617705772109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7.92</v>
      </c>
      <c r="F9" s="9" t="s">
        <v>72</v>
      </c>
      <c r="G9" s="7">
        <v>2557898752</v>
      </c>
      <c r="H9" s="6">
        <v>12.4</v>
      </c>
      <c r="I9" s="6">
        <v>7.9</v>
      </c>
      <c r="J9" s="12">
        <f t="shared" si="0"/>
        <v>2.5316455696202667E-3</v>
      </c>
      <c r="K9" s="11">
        <v>0.11868686868686869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0.20600961334151646</v>
      </c>
      <c r="Q9" s="12">
        <v>0.18886359567230221</v>
      </c>
      <c r="R9" s="14">
        <v>6</v>
      </c>
    </row>
    <row r="10" spans="2:22" x14ac:dyDescent="0.5">
      <c r="B10" s="1" t="s">
        <v>213</v>
      </c>
      <c r="C10" t="s">
        <v>244</v>
      </c>
      <c r="D10" t="s">
        <v>87</v>
      </c>
      <c r="E10">
        <v>63.42</v>
      </c>
      <c r="F10" s="9" t="s">
        <v>72</v>
      </c>
      <c r="G10" s="7">
        <v>738145344</v>
      </c>
      <c r="H10" s="6">
        <v>103.22</v>
      </c>
      <c r="I10" s="6">
        <v>58.47</v>
      </c>
      <c r="J10" s="12">
        <f t="shared" si="0"/>
        <v>8.4658799384299765E-2</v>
      </c>
      <c r="K10" s="11">
        <v>1.3402712078208767E-2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0.10433271242851604</v>
      </c>
      <c r="Q10" s="12">
        <v>0.23521729211817041</v>
      </c>
      <c r="R10" s="14">
        <v>7</v>
      </c>
    </row>
    <row r="11" spans="2:22" x14ac:dyDescent="0.5">
      <c r="B11" s="1" t="s">
        <v>408</v>
      </c>
      <c r="C11" t="s">
        <v>421</v>
      </c>
      <c r="D11" t="s">
        <v>167</v>
      </c>
      <c r="E11">
        <v>83.51</v>
      </c>
      <c r="F11" s="9" t="s">
        <v>72</v>
      </c>
      <c r="G11" s="7">
        <v>67494535168</v>
      </c>
      <c r="H11" s="6">
        <v>109.3</v>
      </c>
      <c r="I11" s="6">
        <v>82.7</v>
      </c>
      <c r="J11" s="12">
        <f t="shared" si="0"/>
        <v>9.7944377267231708E-3</v>
      </c>
      <c r="K11" s="11">
        <v>2.4188719913782779E-2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5.6707644531882144E-2</v>
      </c>
      <c r="Q11" s="12">
        <v>0.52052444553363564</v>
      </c>
      <c r="R11" s="14">
        <v>7</v>
      </c>
    </row>
    <row r="12" spans="2:22" x14ac:dyDescent="0.5">
      <c r="B12" s="1" t="s">
        <v>400</v>
      </c>
      <c r="C12" t="s">
        <v>412</v>
      </c>
      <c r="D12" t="s">
        <v>413</v>
      </c>
      <c r="E12">
        <v>1381.07</v>
      </c>
      <c r="F12" s="9" t="s">
        <v>72</v>
      </c>
      <c r="G12" s="7">
        <v>33150789632</v>
      </c>
      <c r="H12" s="6">
        <v>2402.52</v>
      </c>
      <c r="I12" s="6">
        <v>1350</v>
      </c>
      <c r="J12" s="12">
        <f t="shared" si="0"/>
        <v>2.3014814814814821E-2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2.1214714365419243E-2</v>
      </c>
      <c r="Q12" s="12">
        <v>0.59988590611565684</v>
      </c>
      <c r="R12" s="14">
        <v>9</v>
      </c>
    </row>
    <row r="13" spans="2:22" x14ac:dyDescent="0.5">
      <c r="B13" s="1" t="s">
        <v>403</v>
      </c>
      <c r="C13" t="s">
        <v>416</v>
      </c>
      <c r="D13" t="s">
        <v>413</v>
      </c>
      <c r="E13">
        <v>347.8</v>
      </c>
      <c r="F13" s="9" t="s">
        <v>72</v>
      </c>
      <c r="G13" s="7">
        <v>147536756736</v>
      </c>
      <c r="H13" s="6">
        <v>587.75</v>
      </c>
      <c r="I13" s="6">
        <v>332.01</v>
      </c>
      <c r="J13" s="12">
        <f t="shared" si="0"/>
        <v>4.7558808469624569E-2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4.8636880611057164E-2</v>
      </c>
      <c r="Q13" s="12">
        <v>0.3598033750570111</v>
      </c>
      <c r="R13" s="14">
        <v>9</v>
      </c>
    </row>
    <row r="14" spans="2:22" x14ac:dyDescent="0.5">
      <c r="B14" s="1" t="s">
        <v>406</v>
      </c>
      <c r="C14" t="s">
        <v>419</v>
      </c>
      <c r="D14" t="s">
        <v>319</v>
      </c>
      <c r="E14">
        <v>84.5</v>
      </c>
      <c r="F14" s="9" t="s">
        <v>72</v>
      </c>
      <c r="G14" s="7">
        <v>71554433024</v>
      </c>
      <c r="H14" s="6">
        <v>145.01</v>
      </c>
      <c r="I14" s="6">
        <v>84.28</v>
      </c>
      <c r="J14" s="12">
        <f t="shared" si="0"/>
        <v>2.6103464641671348E-3</v>
      </c>
      <c r="K14" s="11">
        <v>7.7396449704142015E-2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9.1202060589269496E-2</v>
      </c>
      <c r="Q14" s="12">
        <v>0.21862007262775643</v>
      </c>
      <c r="R14" s="14">
        <v>9</v>
      </c>
    </row>
    <row r="15" spans="2:22" x14ac:dyDescent="0.5">
      <c r="B15" s="1" t="s">
        <v>407</v>
      </c>
      <c r="C15" t="s">
        <v>420</v>
      </c>
      <c r="D15" t="s">
        <v>59</v>
      </c>
      <c r="E15">
        <v>97.46</v>
      </c>
      <c r="F15" s="9" t="s">
        <v>72</v>
      </c>
      <c r="G15" s="7">
        <v>54147022848</v>
      </c>
      <c r="H15" s="6">
        <v>142.72999999999999</v>
      </c>
      <c r="I15" s="6">
        <v>97.1</v>
      </c>
      <c r="J15" s="12">
        <f t="shared" si="0"/>
        <v>3.7075180226571192E-3</v>
      </c>
      <c r="K15" s="11">
        <v>1.0619741432382515E-2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8.8488660165478045E-2</v>
      </c>
      <c r="Q15" s="12">
        <v>0.23017313599553196</v>
      </c>
      <c r="R15" s="14">
        <v>9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150.65</v>
      </c>
      <c r="F16" s="9" t="s">
        <v>72</v>
      </c>
      <c r="G16" s="7">
        <v>352822296576</v>
      </c>
      <c r="H16" s="6">
        <v>180.43</v>
      </c>
      <c r="I16" s="6">
        <v>149.91</v>
      </c>
      <c r="J16" s="12">
        <f t="shared" si="0"/>
        <v>4.9362951103997244E-3</v>
      </c>
      <c r="K16" s="11">
        <v>2.7056090275472948E-2</v>
      </c>
      <c r="L16" s="13">
        <v>19686000000</v>
      </c>
      <c r="M16" s="13">
        <v>81948000000</v>
      </c>
      <c r="N16" s="9" t="s">
        <v>72</v>
      </c>
      <c r="O16" s="6">
        <v>1</v>
      </c>
      <c r="P16" s="12">
        <v>5.2257802445893203E-2</v>
      </c>
      <c r="Q16" s="12">
        <v>0.24022550885927663</v>
      </c>
      <c r="R16" s="14">
        <v>10</v>
      </c>
    </row>
    <row r="17" spans="2:18" x14ac:dyDescent="0.5">
      <c r="B17" s="1" t="s">
        <v>211</v>
      </c>
      <c r="C17" t="s">
        <v>240</v>
      </c>
      <c r="D17" t="s">
        <v>241</v>
      </c>
      <c r="E17">
        <v>48.21</v>
      </c>
      <c r="F17" s="9" t="s">
        <v>72</v>
      </c>
      <c r="G17" s="7">
        <v>9763634176</v>
      </c>
      <c r="H17" s="6">
        <v>64.66</v>
      </c>
      <c r="I17" s="6">
        <v>46.94</v>
      </c>
      <c r="J17" s="12">
        <f t="shared" si="0"/>
        <v>2.7055815935236538E-2</v>
      </c>
      <c r="K17" s="11">
        <v>3.7129226301597179E-2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0.11914886322026613</v>
      </c>
      <c r="Q17" s="12">
        <v>9.2819086727135694E-2</v>
      </c>
      <c r="R17" s="14">
        <v>11</v>
      </c>
    </row>
    <row r="18" spans="2:18" x14ac:dyDescent="0.5">
      <c r="B18" s="1" t="s">
        <v>216</v>
      </c>
      <c r="C18" t="s">
        <v>247</v>
      </c>
      <c r="D18" t="s">
        <v>109</v>
      </c>
      <c r="E18">
        <v>15.1</v>
      </c>
      <c r="F18" s="9" t="s">
        <v>72</v>
      </c>
      <c r="G18" s="7">
        <v>335777184</v>
      </c>
      <c r="H18" s="6">
        <v>24.98</v>
      </c>
      <c r="I18" s="6">
        <v>12.85</v>
      </c>
      <c r="J18" s="12">
        <f t="shared" si="0"/>
        <v>0.17509727626459148</v>
      </c>
      <c r="K18" s="11">
        <v>9.2715231788079472E-2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0.12222627421386258</v>
      </c>
      <c r="Q18" s="12">
        <v>5.638554917738179E-2</v>
      </c>
      <c r="R18" s="14">
        <v>12</v>
      </c>
    </row>
    <row r="19" spans="2:18" x14ac:dyDescent="0.5">
      <c r="B19" s="1" t="s">
        <v>405</v>
      </c>
      <c r="C19" t="s">
        <v>418</v>
      </c>
      <c r="D19" t="s">
        <v>413</v>
      </c>
      <c r="E19">
        <v>297.02</v>
      </c>
      <c r="F19" s="9" t="s">
        <v>72</v>
      </c>
      <c r="G19" s="7">
        <v>63545937920</v>
      </c>
      <c r="H19" s="6">
        <v>326.62</v>
      </c>
      <c r="I19" s="6">
        <v>223.03</v>
      </c>
      <c r="J19" s="12">
        <f t="shared" si="0"/>
        <v>0.33174909205039671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2.1222852409305763E-2</v>
      </c>
      <c r="Q19" s="12">
        <v>0.2789323553382233</v>
      </c>
      <c r="R19" s="14">
        <v>12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13</v>
      </c>
    </row>
    <row r="21" spans="2:18" x14ac:dyDescent="0.5">
      <c r="B21" s="1" t="s">
        <v>214</v>
      </c>
      <c r="C21" t="s">
        <v>245</v>
      </c>
      <c r="D21" t="s">
        <v>236</v>
      </c>
      <c r="E21">
        <v>151.4</v>
      </c>
      <c r="F21" s="9" t="s">
        <v>72</v>
      </c>
      <c r="G21" s="7">
        <v>307831013376</v>
      </c>
      <c r="H21" s="6">
        <v>168.96</v>
      </c>
      <c r="I21" s="6">
        <v>132.04</v>
      </c>
      <c r="J21" s="12">
        <f t="shared" si="0"/>
        <v>0.14662223568615573</v>
      </c>
      <c r="K21" s="11">
        <v>4.4121532364597094E-2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8.630459332595114E-2</v>
      </c>
      <c r="Q21" s="12">
        <v>0.1594281013304587</v>
      </c>
      <c r="R21" s="14">
        <v>13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139.28</v>
      </c>
      <c r="F22" s="9" t="s">
        <v>72</v>
      </c>
      <c r="G22" s="7">
        <v>190685462528</v>
      </c>
      <c r="H22" s="6">
        <v>180.91</v>
      </c>
      <c r="I22" s="6">
        <v>127.6</v>
      </c>
      <c r="J22" s="12">
        <f t="shared" si="0"/>
        <v>9.1536050156739934E-2</v>
      </c>
      <c r="K22" s="11">
        <v>3.9402642159678349E-2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5.6641954323157648E-2</v>
      </c>
      <c r="Q22" s="12">
        <v>0.20634513288530323</v>
      </c>
      <c r="R22" s="14">
        <v>13</v>
      </c>
    </row>
    <row r="23" spans="2:18" x14ac:dyDescent="0.5">
      <c r="B23" s="1" t="s">
        <v>215</v>
      </c>
      <c r="C23" t="s">
        <v>246</v>
      </c>
      <c r="D23" t="s">
        <v>87</v>
      </c>
      <c r="E23">
        <v>16.97</v>
      </c>
      <c r="F23" s="9" t="s">
        <v>72</v>
      </c>
      <c r="G23" s="7">
        <v>2588807424</v>
      </c>
      <c r="H23" s="6">
        <v>20.81</v>
      </c>
      <c r="I23" s="6">
        <v>15.43</v>
      </c>
      <c r="J23" s="12">
        <f t="shared" si="0"/>
        <v>9.9805573558003902E-2</v>
      </c>
      <c r="K23" s="11">
        <v>3.6358279316440777E-2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0.10081315291523948</v>
      </c>
      <c r="Q23" s="12">
        <v>8.6012895612963047E-2</v>
      </c>
      <c r="R23" s="14">
        <v>14</v>
      </c>
    </row>
    <row r="24" spans="2:18" x14ac:dyDescent="0.5">
      <c r="B24" s="1" t="s">
        <v>409</v>
      </c>
      <c r="C24" t="s">
        <v>422</v>
      </c>
      <c r="D24" t="s">
        <v>87</v>
      </c>
      <c r="E24">
        <v>48.94</v>
      </c>
      <c r="F24" s="9" t="s">
        <v>72</v>
      </c>
      <c r="G24" s="7">
        <v>26546427904</v>
      </c>
      <c r="H24" s="6">
        <v>75.900000000000006</v>
      </c>
      <c r="I24" s="6">
        <v>48.59</v>
      </c>
      <c r="J24" s="12">
        <f t="shared" si="0"/>
        <v>7.2031282156821419E-3</v>
      </c>
      <c r="K24" s="11">
        <v>4.9039640375970577E-2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8.1578181923528212E-2</v>
      </c>
      <c r="Q24" s="12">
        <v>0.14053609549045179</v>
      </c>
      <c r="R24" s="14">
        <v>15</v>
      </c>
    </row>
    <row r="25" spans="2:18" x14ac:dyDescent="0.5">
      <c r="B25" s="1" t="s">
        <v>402</v>
      </c>
      <c r="C25" t="s">
        <v>415</v>
      </c>
      <c r="D25" t="s">
        <v>413</v>
      </c>
      <c r="E25">
        <v>250.74</v>
      </c>
      <c r="F25" s="9" t="s">
        <v>72</v>
      </c>
      <c r="G25" s="7">
        <v>239707439104</v>
      </c>
      <c r="H25" s="6">
        <v>369</v>
      </c>
      <c r="I25" s="6">
        <v>230</v>
      </c>
      <c r="J25" s="12">
        <f t="shared" si="0"/>
        <v>9.0173913043478215E-2</v>
      </c>
      <c r="K25" s="11">
        <v>6.4449230278376011E-3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3.164480685173119E-2</v>
      </c>
      <c r="Q25" s="12">
        <v>0.1101341838347269</v>
      </c>
      <c r="R25" s="14">
        <v>16</v>
      </c>
    </row>
    <row r="26" spans="2:18" x14ac:dyDescent="0.5">
      <c r="B26" s="1" t="s">
        <v>366</v>
      </c>
      <c r="C26" t="s">
        <v>368</v>
      </c>
      <c r="D26" t="s">
        <v>87</v>
      </c>
      <c r="E26">
        <v>27.41</v>
      </c>
      <c r="F26" s="9" t="s">
        <v>72</v>
      </c>
      <c r="G26" s="7">
        <v>32442476544</v>
      </c>
      <c r="H26" s="6">
        <v>36.53</v>
      </c>
      <c r="I26" s="6">
        <v>25.44</v>
      </c>
      <c r="J26" s="12">
        <f t="shared" si="0"/>
        <v>7.7437106918238907E-2</v>
      </c>
      <c r="K26" s="11">
        <v>5.8372856621670924E-2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3.4681983492729239E-2</v>
      </c>
      <c r="Q26" s="12">
        <v>2.5603151157065487E-2</v>
      </c>
      <c r="R26" s="14">
        <v>17</v>
      </c>
    </row>
    <row r="27" spans="2:18" x14ac:dyDescent="0.5">
      <c r="B27" s="1" t="s">
        <v>367</v>
      </c>
      <c r="C27" t="s">
        <v>369</v>
      </c>
      <c r="D27" t="s">
        <v>370</v>
      </c>
      <c r="E27">
        <v>21.18</v>
      </c>
      <c r="F27" s="9" t="s">
        <v>72</v>
      </c>
      <c r="G27" s="7">
        <v>7133847552</v>
      </c>
      <c r="H27" s="6">
        <v>36.4</v>
      </c>
      <c r="I27" s="6">
        <v>18.690000000000001</v>
      </c>
      <c r="J27" s="12">
        <f t="shared" si="0"/>
        <v>0.1332263242375602</v>
      </c>
      <c r="K27" s="11">
        <v>5.0802644003777153E-2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-7.8919238547303747E-2</v>
      </c>
      <c r="Q27" s="12">
        <v>-6.3825819385519136E-2</v>
      </c>
      <c r="R27" s="14">
        <v>18</v>
      </c>
    </row>
    <row r="28" spans="2:18" x14ac:dyDescent="0.5">
      <c r="B28" s="1" t="s">
        <v>404</v>
      </c>
      <c r="C28" t="s">
        <v>417</v>
      </c>
      <c r="D28" t="s">
        <v>196</v>
      </c>
      <c r="E28">
        <v>19.309999999999999</v>
      </c>
      <c r="F28" s="9" t="s">
        <v>72</v>
      </c>
      <c r="G28" s="7">
        <v>84519870464</v>
      </c>
      <c r="H28" s="6">
        <v>27.55</v>
      </c>
      <c r="I28" s="6">
        <v>17.670000000000002</v>
      </c>
      <c r="J28" s="12">
        <f t="shared" si="0"/>
        <v>9.2812676853423648E-2</v>
      </c>
      <c r="K28" s="11">
        <v>6.4733298808907309E-3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-8.0581638224157745E-2</v>
      </c>
      <c r="Q28" s="12">
        <v>-6.8166745935517581E-2</v>
      </c>
      <c r="R28" s="14">
        <v>19</v>
      </c>
    </row>
    <row r="29" spans="2:18" x14ac:dyDescent="0.5">
      <c r="B29" s="1" t="s">
        <v>425</v>
      </c>
    </row>
    <row r="30" spans="2:18" x14ac:dyDescent="0.5">
      <c r="B30" s="1" t="s">
        <v>426</v>
      </c>
    </row>
    <row r="31" spans="2:18" x14ac:dyDescent="0.5">
      <c r="B31" s="1" t="s">
        <v>427</v>
      </c>
    </row>
    <row r="32" spans="2:18" x14ac:dyDescent="0.5">
      <c r="B32" s="1" t="s">
        <v>428</v>
      </c>
    </row>
    <row r="33" spans="2:2" x14ac:dyDescent="0.5">
      <c r="B33" s="1" t="s">
        <v>429</v>
      </c>
    </row>
    <row r="34" spans="2:2" x14ac:dyDescent="0.5">
      <c r="B34" s="1" t="s">
        <v>430</v>
      </c>
    </row>
    <row r="35" spans="2:2" x14ac:dyDescent="0.5">
      <c r="B35" s="1" t="s">
        <v>431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2025-08-06T08:55:17Z</dcterms:modified>
</cp:coreProperties>
</file>