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FEB419FE-5A3F-4D35-BBF5-4C1E0E8ACD3F}" xr6:coauthVersionLast="47" xr6:coauthVersionMax="47" xr10:uidLastSave="{00000000-0000-0000-0000-000000000000}"/>
  <bookViews>
    <workbookView xWindow="-28920" yWindow="6150" windowWidth="29040" windowHeight="15720" activeTab="1" xr2:uid="{F6774656-057E-A240-BF5A-628B92823BF8}"/>
  </bookViews>
  <sheets>
    <sheet name="hk_screener" sheetId="1" r:id="rId1"/>
    <sheet name="cn_screener" sheetId="3" r:id="rId2"/>
    <sheet name="us_screener" sheetId="4" r:id="rId3"/>
    <sheet name="Note" sheetId="5" r:id="rId4"/>
  </sheets>
  <definedNames>
    <definedName name="_xlnm._FilterDatabase" localSheetId="1" hidden="1">cn_screener!$B$1:$R$11</definedName>
    <definedName name="_xlnm._FilterDatabase" localSheetId="0" hidden="1">hk_screener!$B$1:$R$18</definedName>
    <definedName name="_xlnm._FilterDatabase" localSheetId="2" hidden="1">us_screener!$A$1:$R$1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" i="3" l="1"/>
  <c r="J3" i="3"/>
  <c r="J7" i="3"/>
  <c r="J5" i="3"/>
  <c r="J6" i="3"/>
  <c r="J8" i="3"/>
  <c r="J9" i="3"/>
  <c r="J10" i="3"/>
  <c r="J11" i="3"/>
  <c r="J12" i="3"/>
  <c r="J13" i="3"/>
  <c r="J14" i="3"/>
  <c r="J15" i="3"/>
  <c r="J17" i="3"/>
  <c r="J19" i="3"/>
  <c r="J18" i="3"/>
  <c r="J20" i="3"/>
  <c r="J23" i="3"/>
  <c r="J21" i="3"/>
  <c r="J22" i="3"/>
  <c r="J24" i="3"/>
  <c r="J27" i="3"/>
  <c r="J25" i="3"/>
  <c r="J26" i="3"/>
  <c r="J28" i="3"/>
  <c r="J30" i="3"/>
  <c r="J29" i="3"/>
  <c r="J31" i="3"/>
  <c r="J33" i="3"/>
  <c r="J32" i="3"/>
  <c r="J34" i="3"/>
  <c r="J35" i="3"/>
  <c r="J37" i="3"/>
  <c r="J36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16" i="3"/>
  <c r="J4" i="3"/>
  <c r="J2" i="1"/>
  <c r="J3" i="1"/>
  <c r="J4" i="1"/>
  <c r="J5" i="1"/>
  <c r="J6" i="1"/>
  <c r="J7" i="1"/>
  <c r="J13" i="1"/>
  <c r="J8" i="1"/>
  <c r="J9" i="1"/>
  <c r="J10" i="1"/>
  <c r="J12" i="1"/>
  <c r="J11" i="1"/>
  <c r="J14" i="1"/>
  <c r="J15" i="1"/>
  <c r="J18" i="1"/>
  <c r="J19" i="1"/>
  <c r="J16" i="1"/>
  <c r="J20" i="1"/>
  <c r="J17" i="1"/>
  <c r="J21" i="1"/>
  <c r="J23" i="1"/>
  <c r="J24" i="1"/>
  <c r="J25" i="1"/>
  <c r="J27" i="1"/>
  <c r="J28" i="1"/>
  <c r="J22" i="1"/>
  <c r="J26" i="1"/>
  <c r="J38" i="1"/>
  <c r="J29" i="1"/>
  <c r="J30" i="1"/>
  <c r="J32" i="1"/>
  <c r="J31" i="1"/>
  <c r="J34" i="1"/>
  <c r="J33" i="1"/>
  <c r="J36" i="1"/>
  <c r="J37" i="1"/>
  <c r="J35" i="1"/>
  <c r="J39" i="1"/>
  <c r="J40" i="1"/>
  <c r="J41" i="1"/>
  <c r="J42" i="1"/>
  <c r="J46" i="1"/>
  <c r="J43" i="1"/>
  <c r="J44" i="1"/>
  <c r="J45" i="1"/>
  <c r="J47" i="1"/>
  <c r="J52" i="1"/>
  <c r="J49" i="1"/>
  <c r="J48" i="1"/>
  <c r="J53" i="1"/>
  <c r="J50" i="1"/>
  <c r="J54" i="1"/>
  <c r="J55" i="1"/>
  <c r="J58" i="1"/>
  <c r="J57" i="1"/>
  <c r="J51" i="1"/>
  <c r="J56" i="1"/>
  <c r="J60" i="1"/>
  <c r="J59" i="1"/>
  <c r="J62" i="1"/>
  <c r="J61" i="1"/>
  <c r="J64" i="1"/>
  <c r="J63" i="1"/>
  <c r="J67" i="1"/>
  <c r="J65" i="1"/>
  <c r="J70" i="1"/>
  <c r="J69" i="1"/>
  <c r="J72" i="1"/>
  <c r="J68" i="1"/>
  <c r="J71" i="1"/>
  <c r="J66" i="1"/>
  <c r="J73" i="1"/>
  <c r="J74" i="1"/>
  <c r="J77" i="1"/>
  <c r="J75" i="1"/>
  <c r="J78" i="1"/>
  <c r="J76" i="1"/>
  <c r="J82" i="1"/>
  <c r="J83" i="1"/>
  <c r="J87" i="1"/>
  <c r="J79" i="1"/>
  <c r="J80" i="1"/>
  <c r="J81" i="1"/>
  <c r="J85" i="1"/>
  <c r="J84" i="1"/>
  <c r="J86" i="1"/>
  <c r="J88" i="1"/>
  <c r="J89" i="1"/>
  <c r="J92" i="1"/>
  <c r="J90" i="1"/>
  <c r="J93" i="1"/>
  <c r="J91" i="1"/>
  <c r="J94" i="1"/>
  <c r="J95" i="1"/>
  <c r="J97" i="1"/>
  <c r="J96" i="1"/>
  <c r="J98" i="1"/>
  <c r="J99" i="1"/>
  <c r="J100" i="1"/>
  <c r="J136" i="1"/>
  <c r="J101" i="1"/>
  <c r="J102" i="1"/>
  <c r="J103" i="1"/>
  <c r="J107" i="1"/>
  <c r="J104" i="1"/>
  <c r="J105" i="1"/>
  <c r="J109" i="1"/>
  <c r="J106" i="1"/>
  <c r="J108" i="1"/>
  <c r="J114" i="1"/>
  <c r="J112" i="1"/>
  <c r="J110" i="1"/>
  <c r="J113" i="1"/>
  <c r="J111" i="1"/>
  <c r="J117" i="1"/>
  <c r="J115" i="1"/>
  <c r="J116" i="1"/>
  <c r="J118" i="1"/>
  <c r="J121" i="1"/>
  <c r="J119" i="1"/>
  <c r="J120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7" i="1"/>
  <c r="J138" i="1"/>
  <c r="J139" i="1"/>
  <c r="J140" i="1"/>
  <c r="J141" i="1"/>
  <c r="J142" i="1"/>
  <c r="J2" i="4"/>
  <c r="J3" i="4"/>
  <c r="J4" i="4"/>
  <c r="J5" i="4"/>
  <c r="J6" i="4"/>
  <c r="J7" i="4"/>
  <c r="J106" i="4"/>
  <c r="J10" i="4"/>
  <c r="J9" i="4"/>
  <c r="J24" i="4"/>
  <c r="J11" i="4"/>
  <c r="J12" i="4"/>
  <c r="J15" i="4"/>
  <c r="J8" i="4"/>
  <c r="J16" i="4"/>
  <c r="J14" i="4"/>
  <c r="J17" i="4"/>
  <c r="J19" i="4"/>
  <c r="J18" i="4"/>
  <c r="J21" i="4"/>
  <c r="J25" i="4"/>
  <c r="J20" i="4"/>
  <c r="J26" i="4"/>
  <c r="J23" i="4"/>
  <c r="J40" i="4"/>
  <c r="J27" i="4"/>
  <c r="J30" i="4"/>
  <c r="J22" i="4"/>
  <c r="J28" i="4"/>
  <c r="J44" i="4"/>
  <c r="J29" i="4"/>
  <c r="J31" i="4"/>
  <c r="J37" i="4"/>
  <c r="J13" i="4"/>
  <c r="J107" i="4"/>
  <c r="J32" i="4"/>
  <c r="J34" i="4"/>
  <c r="J45" i="4"/>
  <c r="J39" i="4"/>
  <c r="J35" i="4"/>
  <c r="J46" i="4"/>
  <c r="J41" i="4"/>
  <c r="J38" i="4"/>
  <c r="J36" i="4"/>
  <c r="J42" i="4"/>
  <c r="J43" i="4"/>
  <c r="J33" i="4"/>
  <c r="J48" i="4"/>
  <c r="J49" i="4"/>
  <c r="J54" i="4"/>
  <c r="J47" i="4"/>
  <c r="J51" i="4"/>
  <c r="J50" i="4"/>
  <c r="J81" i="4"/>
  <c r="J62" i="4"/>
  <c r="J52" i="4"/>
  <c r="J57" i="4"/>
  <c r="J53" i="4"/>
  <c r="J55" i="4"/>
  <c r="J59" i="4"/>
  <c r="J65" i="4"/>
  <c r="J60" i="4"/>
  <c r="J56" i="4"/>
  <c r="J58" i="4"/>
  <c r="J61" i="4"/>
  <c r="J66" i="4"/>
  <c r="J64" i="4"/>
  <c r="J69" i="4"/>
  <c r="J79" i="4"/>
  <c r="J63" i="4"/>
  <c r="J67" i="4"/>
  <c r="J72" i="4"/>
  <c r="J76" i="4"/>
  <c r="J82" i="4"/>
  <c r="J71" i="4"/>
  <c r="J74" i="4"/>
  <c r="J70" i="4"/>
  <c r="J78" i="4"/>
  <c r="J75" i="4"/>
  <c r="J68" i="4"/>
  <c r="J73" i="4"/>
  <c r="J90" i="4"/>
  <c r="J80" i="4"/>
  <c r="J85" i="4"/>
  <c r="J77" i="4"/>
  <c r="J88" i="4"/>
  <c r="J83" i="4"/>
  <c r="J84" i="4"/>
  <c r="J92" i="4"/>
  <c r="J96" i="4"/>
  <c r="J93" i="4"/>
  <c r="J86" i="4"/>
  <c r="J87" i="4"/>
  <c r="J91" i="4"/>
  <c r="J95" i="4"/>
  <c r="J94" i="4"/>
  <c r="J102" i="4"/>
  <c r="J99" i="4"/>
  <c r="J98" i="4"/>
  <c r="J97" i="4"/>
  <c r="J89" i="4"/>
  <c r="J101" i="4"/>
  <c r="J100" i="4"/>
  <c r="J104" i="4"/>
  <c r="J105" i="4"/>
  <c r="J108" i="4"/>
  <c r="J109" i="4"/>
  <c r="J110" i="4"/>
  <c r="J111" i="4"/>
  <c r="J112" i="4"/>
  <c r="J103" i="4"/>
  <c r="J113" i="4"/>
  <c r="J114" i="4"/>
  <c r="J115" i="4"/>
</calcChain>
</file>

<file path=xl/sharedStrings.xml><?xml version="1.0" encoding="utf-8"?>
<sst xmlns="http://schemas.openxmlformats.org/spreadsheetml/2006/main" count="1740" uniqueCount="798">
  <si>
    <t>Ticker</t>
  </si>
  <si>
    <t>Industry</t>
  </si>
  <si>
    <t>ROIC</t>
  </si>
  <si>
    <t>D/P</t>
  </si>
  <si>
    <t>Price</t>
  </si>
  <si>
    <t>Name</t>
  </si>
  <si>
    <t>EBIT/EV</t>
  </si>
  <si>
    <t>Ranking</t>
  </si>
  <si>
    <t>688169.SS</t>
  </si>
  <si>
    <t>603486.SS</t>
  </si>
  <si>
    <t>300866.SZ</t>
  </si>
  <si>
    <t>601369.SS</t>
  </si>
  <si>
    <t>000858.SZ</t>
  </si>
  <si>
    <t>601098.SS</t>
  </si>
  <si>
    <t>000719.SZ</t>
  </si>
  <si>
    <t>600757.SS</t>
  </si>
  <si>
    <t>601921.SS</t>
  </si>
  <si>
    <t>603230.SS</t>
  </si>
  <si>
    <t>1880.HK</t>
  </si>
  <si>
    <t>2232.HK</t>
  </si>
  <si>
    <t>2111.HK</t>
  </si>
  <si>
    <t>1919.HK</t>
  </si>
  <si>
    <t>1898.HK</t>
  </si>
  <si>
    <t>0135.HK</t>
  </si>
  <si>
    <t>0564.HK</t>
  </si>
  <si>
    <t>2155.HK</t>
  </si>
  <si>
    <t>1475.HK</t>
  </si>
  <si>
    <t>0327.HK</t>
  </si>
  <si>
    <t>6186.HK</t>
  </si>
  <si>
    <t>0151.HK</t>
  </si>
  <si>
    <t>2233.HK</t>
  </si>
  <si>
    <t>6110.HK</t>
  </si>
  <si>
    <t>1836.HK</t>
  </si>
  <si>
    <t>0788.HK</t>
  </si>
  <si>
    <t>3998.HK</t>
  </si>
  <si>
    <t>0388.HK</t>
  </si>
  <si>
    <t>1072.HK</t>
  </si>
  <si>
    <t>0710.HK</t>
  </si>
  <si>
    <t>IBKR</t>
  </si>
  <si>
    <t>SIG</t>
  </si>
  <si>
    <t>52 wk high</t>
  </si>
  <si>
    <t>52 wk low</t>
  </si>
  <si>
    <t>EBIT</t>
  </si>
  <si>
    <t>IC</t>
  </si>
  <si>
    <t>Rpt CCY</t>
  </si>
  <si>
    <t>CCY</t>
  </si>
  <si>
    <t>Market Cap</t>
  </si>
  <si>
    <t>Forex</t>
  </si>
  <si>
    <t xml:space="preserve">BEIJING ROBOROCK TECHNOLOGY CO </t>
  </si>
  <si>
    <t>Specialty Industrial Machinery</t>
  </si>
  <si>
    <t>CNY</t>
  </si>
  <si>
    <t>% from low</t>
  </si>
  <si>
    <t>ECOVACS ROBOTICS CO LTD</t>
  </si>
  <si>
    <t>Furnishings, Fixtures &amp; Appliances</t>
  </si>
  <si>
    <t>ANKER INNOVATIONS</t>
  </si>
  <si>
    <t>Consumer Electronics</t>
  </si>
  <si>
    <t>XI AN SHAANGU POWER CO LTD</t>
  </si>
  <si>
    <t>WULIANGYE YIBIN CO</t>
  </si>
  <si>
    <t>Beverages - Wineries &amp; Distilleries</t>
  </si>
  <si>
    <t xml:space="preserve">CHINA SOUTH PUBLISHING &amp; MEDIA </t>
  </si>
  <si>
    <t>Publishing</t>
  </si>
  <si>
    <t>CENTRAL CHINA LAND</t>
  </si>
  <si>
    <t>CHANGJIANG PUBLISHING AND MEDIA</t>
  </si>
  <si>
    <t xml:space="preserve">ZHEJIANG PUBLISHING &amp; MEDIA CO </t>
  </si>
  <si>
    <t>INNER MONGOLIA XINHUA DISTRIBUT</t>
  </si>
  <si>
    <t>Specialty Retail</t>
  </si>
  <si>
    <t>CTG DUTY-FREE</t>
  </si>
  <si>
    <t>HKD</t>
  </si>
  <si>
    <t>Utilities - Regulated Water</t>
  </si>
  <si>
    <t>CRYSTAL INTL</t>
  </si>
  <si>
    <t>Apparel Manufacturing</t>
  </si>
  <si>
    <t>USD</t>
  </si>
  <si>
    <t>BEST PACIFIC</t>
  </si>
  <si>
    <t>Textile Manufacturing</t>
  </si>
  <si>
    <t>Apparel Retail</t>
  </si>
  <si>
    <t>COSCO SHIP HOLD</t>
  </si>
  <si>
    <t>Marine Shipping</t>
  </si>
  <si>
    <t>CHINA COAL</t>
  </si>
  <si>
    <t>Thermal Coal</t>
  </si>
  <si>
    <t>KUNLUN ENERGY</t>
  </si>
  <si>
    <t>Oil &amp; Gas Refining &amp; Marketing</t>
  </si>
  <si>
    <t>Farm &amp; Heavy Construction Machinery</t>
  </si>
  <si>
    <t>MORIMATSU INTL</t>
  </si>
  <si>
    <t>Leisure</t>
  </si>
  <si>
    <t>NISSIN FOODS</t>
  </si>
  <si>
    <t>Packaged Foods</t>
  </si>
  <si>
    <t>PAX GLOBAL</t>
  </si>
  <si>
    <t>Business Equipment &amp; Supplies</t>
  </si>
  <si>
    <t>CHINA FEIHE</t>
  </si>
  <si>
    <t>WANT WANT CHINA</t>
  </si>
  <si>
    <t>WESTCHINACEMENT</t>
  </si>
  <si>
    <t>Building Materials</t>
  </si>
  <si>
    <t>TOPSPORTS</t>
  </si>
  <si>
    <t>STELLA HOLDINGS</t>
  </si>
  <si>
    <t>Footwear &amp; Accessories</t>
  </si>
  <si>
    <t>CHINA TOWER</t>
  </si>
  <si>
    <t>Telecom Services</t>
  </si>
  <si>
    <t>BOSIDENG</t>
  </si>
  <si>
    <t>HKEX</t>
  </si>
  <si>
    <t>Financial Data &amp; Stock Exchanges</t>
  </si>
  <si>
    <t>DONGFANG ELEC</t>
  </si>
  <si>
    <t>BOE VARITRONIX</t>
  </si>
  <si>
    <t>Electronic Components</t>
  </si>
  <si>
    <t>Interactive Brokers Group, Inc.</t>
  </si>
  <si>
    <t>Capital Markets</t>
  </si>
  <si>
    <t>Signet Jewelers Limited</t>
  </si>
  <si>
    <t>Luxury Goods</t>
  </si>
  <si>
    <t>0639.HK</t>
  </si>
  <si>
    <t>0506.HK</t>
  </si>
  <si>
    <t>0728.HK</t>
  </si>
  <si>
    <t>3990.HK</t>
  </si>
  <si>
    <t>0014.HK</t>
  </si>
  <si>
    <t>3606.HK</t>
  </si>
  <si>
    <t>0914.HK</t>
  </si>
  <si>
    <t>0081.HK</t>
  </si>
  <si>
    <t>2020.HK</t>
  </si>
  <si>
    <t>9992.HK</t>
  </si>
  <si>
    <t>0855.HK</t>
  </si>
  <si>
    <t>0762.HK</t>
  </si>
  <si>
    <t>1113.HK</t>
  </si>
  <si>
    <t>1138.HK</t>
  </si>
  <si>
    <t>0517.HK</t>
  </si>
  <si>
    <t>1044.HK</t>
  </si>
  <si>
    <t>1929.HK</t>
  </si>
  <si>
    <t>1888.HK</t>
  </si>
  <si>
    <t>0148.HK</t>
  </si>
  <si>
    <t>6823.HK</t>
  </si>
  <si>
    <t>0700.HK</t>
  </si>
  <si>
    <t>0772.HK</t>
  </si>
  <si>
    <t>AI提问</t>
  </si>
  <si>
    <t>2899.HK</t>
  </si>
  <si>
    <t>0008.HK</t>
  </si>
  <si>
    <t>0144.HK</t>
  </si>
  <si>
    <t>3396.HK</t>
  </si>
  <si>
    <t>6055.HK</t>
  </si>
  <si>
    <t>9987.HK</t>
  </si>
  <si>
    <t>0322.HK</t>
  </si>
  <si>
    <t>2314.HK</t>
  </si>
  <si>
    <t>0285.HK</t>
  </si>
  <si>
    <t>1913.HK</t>
  </si>
  <si>
    <t>0992.HK</t>
  </si>
  <si>
    <t> </t>
  </si>
  <si>
    <t>SHOUGANG RES</t>
  </si>
  <si>
    <t>Coking Coal</t>
  </si>
  <si>
    <t>CHINA FOODS</t>
  </si>
  <si>
    <t>Beverages - Non-Alcoholic</t>
  </si>
  <si>
    <t>CHINA TELECOM</t>
  </si>
  <si>
    <t>MIDEA REAL EST</t>
  </si>
  <si>
    <t>Real Estate - Development</t>
  </si>
  <si>
    <t>HYSAN DEV</t>
  </si>
  <si>
    <t>Real Estate Services</t>
  </si>
  <si>
    <t>FUYAO GLASS</t>
  </si>
  <si>
    <t>Auto Parts</t>
  </si>
  <si>
    <t>CONCH CEMENT</t>
  </si>
  <si>
    <t>CH OVS G OCEANS</t>
  </si>
  <si>
    <t>ANTA SPORTS</t>
  </si>
  <si>
    <t>POP MART</t>
  </si>
  <si>
    <t>CHINA WATER</t>
  </si>
  <si>
    <t>CHINA UNICOM</t>
  </si>
  <si>
    <t>CK ASSET</t>
  </si>
  <si>
    <t>COSCO SHIP ENGY</t>
  </si>
  <si>
    <t>Oil &amp; Gas Midstream</t>
  </si>
  <si>
    <t>COSCO SHIP INTL</t>
  </si>
  <si>
    <t>HENGAN INT'L</t>
  </si>
  <si>
    <t>Household &amp; Personal Products</t>
  </si>
  <si>
    <t>CHOW TAI FOOK</t>
  </si>
  <si>
    <t>KB LAMINATES</t>
  </si>
  <si>
    <t>KINGBOARD HLDG</t>
  </si>
  <si>
    <t>Conglomerates</t>
  </si>
  <si>
    <t>HKT-SS</t>
  </si>
  <si>
    <t>TENCENT</t>
  </si>
  <si>
    <t>Internet Content &amp; Information</t>
  </si>
  <si>
    <t>CHINA LIT</t>
  </si>
  <si>
    <t>ZIJIN MINING</t>
  </si>
  <si>
    <t>Gold</t>
  </si>
  <si>
    <t>PCCW</t>
  </si>
  <si>
    <t>CHINA MER PORT</t>
  </si>
  <si>
    <t>LEGENDHOLDING</t>
  </si>
  <si>
    <t>Computer Hardware</t>
  </si>
  <si>
    <t>CTIHK</t>
  </si>
  <si>
    <t>Tobacco</t>
  </si>
  <si>
    <t>YUM CHINA</t>
  </si>
  <si>
    <t>Restaurants</t>
  </si>
  <si>
    <t>TINGYI</t>
  </si>
  <si>
    <t>LEE &amp; MAN PAPER</t>
  </si>
  <si>
    <t>Paper &amp; Paper Products</t>
  </si>
  <si>
    <t>BYD ELECTRONIC</t>
  </si>
  <si>
    <t>PRADA</t>
  </si>
  <si>
    <t>EUR</t>
  </si>
  <si>
    <t>LENOVO GROUP</t>
  </si>
  <si>
    <t>Company Evaluation Framework (MECE Scorecard)
All data must be publicly observable. Score 0-2 per category (lower = better). No management speculation. 中文回答.
1. Five Forces Analysis (Porter's Model)
Competitive Rivalry (0-2):
0 = Monopoly/Oligopoly (Top 3 control &gt;80% market)
1 = Moderate competition (Top 5 control 50-80%)
2 = Fragmented market (Top 5 &lt;50%)
Supplier Power (0-2):
0 = 500+ suppliers/commoditized inputs
1 = 20-500 suppliers/moderate specialization
2 = &lt;5 suppliers/critical proprietary inputs
Buyer Power (0-2):
0 = Fragmented (Top 5 customers &lt;10% revenue)
1 = Moderate (Top 5 = 10-25% revenue)
2 = Concentrated (Top 5 &gt;25% revenue)
Threat of Substitutes (0-2):
0 = No functional substitutes
1 = Few substitutes (20%+ price premium)
2 = Many substitutes (price parity)
Threat of New Entrants (0-2):
0 = High barriers (regulatory+capital &gt;5x EBITDA)
1 = Moderate barriers (2-5x EBITDA)
2 = Low barriers (&lt;2x EBITDA)
2. Financial Filters
Stable Revenue (0-2):
0 = &lt;5% annual revenue variation (5y)
1 = 5-15% variation
2 = &gt;15% variation
Reinvestment Needs (0-2):
0 = CapEx &lt;5% revenue (5y avg)
1 = CapEx 5-15% revenue
2 = CapEx &gt;15% revenue
Operating Margin (0-2):
0 = &gt;20% margin (vs. industry avg)
1 = 10-20%
2 = &lt;10%
Debt Level (0-2):
0 = Debt/EBITDA &lt;2x
1 = 2-4x
2 = &gt;4x
ROE (0-2):
0 = &gt;15% (5y avg)
1 = 10-15%
2 = &lt;10%
3. MOAT Components
Switching Costs (0-2):
0 = High (contractual/technical/data barriers)
1 = Moderate (retraining costs)
2 = Low (commodity product)
Network Effects (0-2):
0 = Strong (user growth &gt;20% drives value)
1 = Moderate (localized networks)
2 = None
Intangible Assets (0-2):
0 = Strong (patents &gt;5% revenue, iconic brand)
1 = Moderate (some patents/trademarks)
2 = Weak (generic branding)
Cost Advantage (0-2):
0 = Sustained &gt;20% margin vs industry
1 = 10-20% margin advantage
2 = No advantage
Efficient Scale (0-2):
0 = Natural monopoly/duopoly
1 = Regional dominance
2 = No scale protection
Total Score (0-30): Sum of all 15 categories
Ideal Profile: Low Five Forces risk (0-5), Stable finances (0-5), Strong moat (0-5) → Total ≤15</t>
  </si>
  <si>
    <t>0981.HK</t>
  </si>
  <si>
    <t>SMIC</t>
  </si>
  <si>
    <t>Semiconductors</t>
  </si>
  <si>
    <t>1258.HK</t>
  </si>
  <si>
    <t>0316.HK</t>
  </si>
  <si>
    <t>2360.HK</t>
  </si>
  <si>
    <t>2338.HK</t>
  </si>
  <si>
    <t>0716.HK</t>
  </si>
  <si>
    <t>2388.HK</t>
  </si>
  <si>
    <t>3328.HK</t>
  </si>
  <si>
    <t>1398.HK</t>
  </si>
  <si>
    <t>1658.HK</t>
  </si>
  <si>
    <t>0939.HK</t>
  </si>
  <si>
    <t>0998.HK</t>
  </si>
  <si>
    <t>EQNR</t>
  </si>
  <si>
    <t>GSL</t>
  </si>
  <si>
    <t>ATKR</t>
  </si>
  <si>
    <t>TAP</t>
  </si>
  <si>
    <t>WU</t>
  </si>
  <si>
    <t>JBSS</t>
  </si>
  <si>
    <t>CVX</t>
  </si>
  <si>
    <t>NOMD</t>
  </si>
  <si>
    <t>MOV</t>
  </si>
  <si>
    <t>WLKP</t>
  </si>
  <si>
    <t>CHINFMINING</t>
  </si>
  <si>
    <t>Copper</t>
  </si>
  <si>
    <t>OOIL</t>
  </si>
  <si>
    <t>BEST MART 360</t>
  </si>
  <si>
    <t>Grocery Stores</t>
  </si>
  <si>
    <t>WEICHAI POWER</t>
  </si>
  <si>
    <t>Auto Manufacturers</t>
  </si>
  <si>
    <t>SINGAMAS CONT</t>
  </si>
  <si>
    <t>Packaging &amp; Containers</t>
  </si>
  <si>
    <t>BOC HONG KONG</t>
  </si>
  <si>
    <t>Banks - Regional</t>
  </si>
  <si>
    <t>BANKCOMM</t>
  </si>
  <si>
    <t>Banks - Diversified</t>
  </si>
  <si>
    <t>ICBC</t>
  </si>
  <si>
    <t>PSBC</t>
  </si>
  <si>
    <t>CCB</t>
  </si>
  <si>
    <t>CITIC BANK</t>
  </si>
  <si>
    <t>Equinor ASA</t>
  </si>
  <si>
    <t>Oil &amp; Gas Integrated</t>
  </si>
  <si>
    <t>Global Ship Lease Inc New</t>
  </si>
  <si>
    <t>Atkore Inc.</t>
  </si>
  <si>
    <t>Electrical Equipment &amp; Parts</t>
  </si>
  <si>
    <t>Molson Coors Beverage Company</t>
  </si>
  <si>
    <t>Beverages - Brewers</t>
  </si>
  <si>
    <t>Western Union Company (The)</t>
  </si>
  <si>
    <t>Credit Services</t>
  </si>
  <si>
    <t>John B. Sanfilippo &amp; Son, Inc.</t>
  </si>
  <si>
    <t>Chevron Corporation</t>
  </si>
  <si>
    <t>Nomad Foods Limited</t>
  </si>
  <si>
    <t>Movado Group Inc.</t>
  </si>
  <si>
    <t>Westlake Chemical Partners LP</t>
  </si>
  <si>
    <t>Chemicals</t>
  </si>
  <si>
    <t>1890.HK</t>
  </si>
  <si>
    <t>3993.HK</t>
  </si>
  <si>
    <t>1339.HK</t>
  </si>
  <si>
    <t>0966.HK</t>
  </si>
  <si>
    <t>1186.HK</t>
  </si>
  <si>
    <t>0001.HK</t>
  </si>
  <si>
    <t>3900.HK</t>
  </si>
  <si>
    <t>1045.HK</t>
  </si>
  <si>
    <t>1618.HK</t>
  </si>
  <si>
    <t>0116.HK</t>
  </si>
  <si>
    <t>2318.HK</t>
  </si>
  <si>
    <t>0179.HK</t>
  </si>
  <si>
    <t>1876.HK</t>
  </si>
  <si>
    <t>3709.HK</t>
  </si>
  <si>
    <t>0636.HK</t>
  </si>
  <si>
    <t>0345.HK</t>
  </si>
  <si>
    <t>0546.HK</t>
  </si>
  <si>
    <t>1286.HK</t>
  </si>
  <si>
    <t>0662.HK</t>
  </si>
  <si>
    <t>2386.HK</t>
  </si>
  <si>
    <t>9898.HK</t>
  </si>
  <si>
    <t>3899.HK</t>
  </si>
  <si>
    <t>0411.HK</t>
  </si>
  <si>
    <t>0551.HK</t>
  </si>
  <si>
    <t>3813.HK</t>
  </si>
  <si>
    <t>6963.HK</t>
  </si>
  <si>
    <t>3339.HK</t>
  </si>
  <si>
    <t>1866.HK</t>
  </si>
  <si>
    <t>1109.HK</t>
  </si>
  <si>
    <t>6690.HK</t>
  </si>
  <si>
    <t>1070.HK</t>
  </si>
  <si>
    <t>1882.HK</t>
  </si>
  <si>
    <t>0811.HK</t>
  </si>
  <si>
    <t>0552.HK</t>
  </si>
  <si>
    <t>1368.HK</t>
  </si>
  <si>
    <t>0315.HK</t>
  </si>
  <si>
    <t>2368.HK</t>
  </si>
  <si>
    <t>1133.HK</t>
  </si>
  <si>
    <t>0288.HK</t>
  </si>
  <si>
    <t>3393.HK</t>
  </si>
  <si>
    <t>1999.HK</t>
  </si>
  <si>
    <t>1308.HK</t>
  </si>
  <si>
    <t>1837.HK</t>
  </si>
  <si>
    <t>1361.HK</t>
  </si>
  <si>
    <t>Education &amp; Training Services</t>
  </si>
  <si>
    <t>CHINA KEPEI</t>
  </si>
  <si>
    <t>CMOC</t>
  </si>
  <si>
    <t>Other Industrial Metals &amp; Mining</t>
  </si>
  <si>
    <t>PICC GROUP</t>
  </si>
  <si>
    <t>Insurance - Property &amp; Casualty</t>
  </si>
  <si>
    <t>CHINA TAIPING</t>
  </si>
  <si>
    <t>Insurance - Life</t>
  </si>
  <si>
    <t>CHINA RAIL CONS</t>
  </si>
  <si>
    <t>Engineering &amp; Construction</t>
  </si>
  <si>
    <t>CKH HOLDINGS</t>
  </si>
  <si>
    <t>GREENTOWN CHINA</t>
  </si>
  <si>
    <t>APT SATELLITE</t>
  </si>
  <si>
    <t>MCC</t>
  </si>
  <si>
    <t>CHOW SANG SANG</t>
  </si>
  <si>
    <t>PING AN</t>
  </si>
  <si>
    <t>JOHNSON ELEC H</t>
  </si>
  <si>
    <t>BUD APAC</t>
  </si>
  <si>
    <t>EEKA FASHION</t>
  </si>
  <si>
    <t>KLN</t>
  </si>
  <si>
    <t>Integrated Freight &amp; Logistics</t>
  </si>
  <si>
    <t>VITASOY INT'L</t>
  </si>
  <si>
    <t>FUFENG GROUP</t>
  </si>
  <si>
    <t>Specialty Chemicals</t>
  </si>
  <si>
    <t>IMPRO PRECISION</t>
  </si>
  <si>
    <t>ASIA FINANCIAL</t>
  </si>
  <si>
    <t>SINOPEC SEG</t>
  </si>
  <si>
    <t>WB-SW</t>
  </si>
  <si>
    <t>CIMC ENRIC</t>
  </si>
  <si>
    <t>Oil &amp; Gas Equipment &amp; Services</t>
  </si>
  <si>
    <t>LAM SOON (HK)</t>
  </si>
  <si>
    <t>YUE YUEN IND</t>
  </si>
  <si>
    <t>POU SHENG INT'L</t>
  </si>
  <si>
    <t>SUNSHINE INS</t>
  </si>
  <si>
    <t>LONKING</t>
  </si>
  <si>
    <t>CHINA XLX FERT</t>
  </si>
  <si>
    <t>Agricultural Inputs</t>
  </si>
  <si>
    <t>CHINA RES LAND</t>
  </si>
  <si>
    <t>HAIER SMARTHOME</t>
  </si>
  <si>
    <t>TCL ELECTRONICS</t>
  </si>
  <si>
    <t>HAITIAN INT'L</t>
  </si>
  <si>
    <t>XINHUA WINSHARE</t>
  </si>
  <si>
    <t>CHINACOMSERVICE</t>
  </si>
  <si>
    <t>XTEP INT'L</t>
  </si>
  <si>
    <t>SMARTONE TELE</t>
  </si>
  <si>
    <t>EAGLE NICE</t>
  </si>
  <si>
    <t>HARBIN ELECTRIC</t>
  </si>
  <si>
    <t>WH GROUP</t>
  </si>
  <si>
    <t>WASION HOLDINGS</t>
  </si>
  <si>
    <t>MAN WAH HLDGS</t>
  </si>
  <si>
    <t>SITC</t>
  </si>
  <si>
    <t>NATURAL FOOD IH</t>
  </si>
  <si>
    <t>361 DEGREES</t>
  </si>
  <si>
    <t>603279.SS</t>
  </si>
  <si>
    <t>600132.SS</t>
  </si>
  <si>
    <t>603338.SS</t>
  </si>
  <si>
    <t>600583.SS</t>
  </si>
  <si>
    <t>002304.SZ</t>
  </si>
  <si>
    <t>600373.SS</t>
  </si>
  <si>
    <t>002557.SZ</t>
  </si>
  <si>
    <t>601166.SS</t>
  </si>
  <si>
    <t>600007.SS</t>
  </si>
  <si>
    <t>300481.SZ</t>
  </si>
  <si>
    <t>KHC</t>
  </si>
  <si>
    <t>SIRI</t>
  </si>
  <si>
    <t>The Kraft Heinz Company</t>
  </si>
  <si>
    <t>SiriusXM Holdings Inc.</t>
  </si>
  <si>
    <t>Entertainment</t>
  </si>
  <si>
    <t>2390.HK</t>
  </si>
  <si>
    <t>9959.HK</t>
  </si>
  <si>
    <t>ZHIHU-W</t>
  </si>
  <si>
    <t>LINKLOGIS-W</t>
  </si>
  <si>
    <t>Software - Infrastructure</t>
  </si>
  <si>
    <t>JINGJIN EQUIPMENT INC</t>
  </si>
  <si>
    <t>Pollution &amp; Treatment Controls</t>
  </si>
  <si>
    <t>CHONG QING BREWERY CO.LTD</t>
  </si>
  <si>
    <t>ZHEJIANG DINGLI MACHINERY CO LT</t>
  </si>
  <si>
    <t>OFFSHORE OIL ENGINEERING CO</t>
  </si>
  <si>
    <t>JIANGSU YANGHE DIS</t>
  </si>
  <si>
    <t>CHINESE UNIVERSE PUBLISHING&amp;MED</t>
  </si>
  <si>
    <t>CHACHA FOOD CO LTD</t>
  </si>
  <si>
    <t>INDUSTRIAL BANK CO LTD</t>
  </si>
  <si>
    <t>CHINA WORLD TRADE CENTER</t>
  </si>
  <si>
    <t>PUYANG HUICHENG EL</t>
  </si>
  <si>
    <t>0308.HK</t>
  </si>
  <si>
    <t>CHINA TRAVEL HK</t>
  </si>
  <si>
    <t>0341.HK</t>
  </si>
  <si>
    <t>CAFE DE CORAL H</t>
  </si>
  <si>
    <t>0083.HK</t>
  </si>
  <si>
    <t>2331.HK</t>
  </si>
  <si>
    <t>0823.HK</t>
  </si>
  <si>
    <t>SINO LAND</t>
  </si>
  <si>
    <t>LI NING</t>
  </si>
  <si>
    <t>LINK REIT</t>
  </si>
  <si>
    <t>REIT - Retail</t>
  </si>
  <si>
    <t>1810.HK</t>
  </si>
  <si>
    <t>XIAOMI-W</t>
  </si>
  <si>
    <t>FICO</t>
  </si>
  <si>
    <t>LULU</t>
  </si>
  <si>
    <t>CRM</t>
  </si>
  <si>
    <t>ADBE</t>
  </si>
  <si>
    <t>INTC</t>
  </si>
  <si>
    <t>ADSK</t>
  </si>
  <si>
    <t>UPS</t>
  </si>
  <si>
    <t>DEO</t>
  </si>
  <si>
    <t>CL</t>
  </si>
  <si>
    <t>GIS</t>
  </si>
  <si>
    <t>PG</t>
  </si>
  <si>
    <t>PEP</t>
  </si>
  <si>
    <t>Fair Isaac Corporation</t>
  </si>
  <si>
    <t>Software - Application</t>
  </si>
  <si>
    <t>lululemon athletica inc.</t>
  </si>
  <si>
    <t>Salesforce, Inc.</t>
  </si>
  <si>
    <t>Adobe Inc.</t>
  </si>
  <si>
    <t>Intel Corporation</t>
  </si>
  <si>
    <t>Autodesk, Inc.</t>
  </si>
  <si>
    <t>United Parcel Service, Inc.</t>
  </si>
  <si>
    <t>Diageo plc</t>
  </si>
  <si>
    <t>Colgate-Palmolive Company</t>
  </si>
  <si>
    <t>General Mills, Inc.</t>
  </si>
  <si>
    <t>Procter &amp; Gamble Company (The)</t>
  </si>
  <si>
    <t>Pepsico, Inc.</t>
  </si>
  <si>
    <t>XOM</t>
  </si>
  <si>
    <t>HRL</t>
  </si>
  <si>
    <t>NOK</t>
  </si>
  <si>
    <t>UHS</t>
  </si>
  <si>
    <t>COO</t>
  </si>
  <si>
    <t>CTRA</t>
  </si>
  <si>
    <t>KNBWY</t>
  </si>
  <si>
    <t>Exxon Mobil Corporation</t>
  </si>
  <si>
    <t>Hormel Foods Corporation</t>
  </si>
  <si>
    <t>Nokia Corporation Sponsored</t>
  </si>
  <si>
    <t>Communication Equipment</t>
  </si>
  <si>
    <t>Universal Health Services, Inc.</t>
  </si>
  <si>
    <t>Medical Care Facilities</t>
  </si>
  <si>
    <t>The Cooper Companies, Inc.</t>
  </si>
  <si>
    <t>Medical Instruments &amp; Supplies</t>
  </si>
  <si>
    <t>Coterra Energy Inc.</t>
  </si>
  <si>
    <t>Oil &amp; Gas E&amp;P</t>
  </si>
  <si>
    <t>Kirin Holdings Co., Ltd.</t>
  </si>
  <si>
    <t>JPY</t>
  </si>
  <si>
    <t>3690.HK</t>
  </si>
  <si>
    <t>6862.HK</t>
  </si>
  <si>
    <t>MEITUAN-W</t>
  </si>
  <si>
    <t>Internet Retail</t>
  </si>
  <si>
    <t>HAIDILAO</t>
  </si>
  <si>
    <t>6601.HK</t>
  </si>
  <si>
    <t>6993.HK</t>
  </si>
  <si>
    <t>9961.HK</t>
  </si>
  <si>
    <t>0525.HK</t>
  </si>
  <si>
    <t>CHEERWIN GP</t>
  </si>
  <si>
    <t>BLUE MOON GROUP</t>
  </si>
  <si>
    <t>TRIP.COM-S</t>
  </si>
  <si>
    <t>Travel Services</t>
  </si>
  <si>
    <t>GUANGSHEN RAIL</t>
  </si>
  <si>
    <t>Railroads</t>
  </si>
  <si>
    <t>角色：你是一名专业战略分析师，擅长用“护城河”框架快速拆解企业竞争优势。
任务：对【xx公司】进行护城河分析并打分。
输出格式：必须严格按以下 2 大维度、9 个子项逐一作答，每子项 0–5 分（保留 1 位小数），并给 1–2 句“关键事实+结论”作为得分理由；最后给出两大维度平均分与总护城河强度（0–5 分）。
维度 1. 独占生产要素
① 劳动力
② 土地 / 稀缺点位
③ 资本 / 融资能力
④ 技术 / 专利
⑤ 数据 / 算法
维度 2. 独占生产关系
① 政府合作 / 牌照 &amp; 政策红利
② 同行博弈 / 市占率 &amp; 定价权
③ 供应商绑定 / 原材料锁定
④ 客户锁定 / 转换成本 &amp; 品牌粘性</t>
  </si>
  <si>
    <t>Role: You are a professional strategy analyst who excels at quickly dissecting a company’s competitive advantages using the “moat” framework.
Task: Conduct a moat analysis and scoring for [XX Company].
Output format: Answer strictly in the following 2 dimensions and 9 sub-items. Each sub-item is scored 0–5 (1 decimal place) and justified with 1–2 sentences of “key fact + conclusion.” Finish with the average score of each dimension and the overall moat strength (0–5).
Dimension 1. Exclusive Factor Inputs
① Labor
② Land / Scarce Locations
③ Capital / Fund-raising Ability
④ Technology / Patents
⑤ Data / Algorithms
Dimension 2. Exclusive Production Relationships
① Government Partnership / Licenses &amp; Policy Windfalls
② Industry Rivalry / Market Share &amp; Pricing Power
③ Supplier Lock-in / Raw-material Securing
④ Customer Lock-in / Switching Costs &amp; Brand Stickiness</t>
  </si>
  <si>
    <t>APD</t>
  </si>
  <si>
    <t>Air Products and Chemicals, Inc</t>
  </si>
  <si>
    <t>601398.SS</t>
  </si>
  <si>
    <t>600036.SS</t>
  </si>
  <si>
    <t>000001.SZ</t>
  </si>
  <si>
    <t>601288.SS</t>
  </si>
  <si>
    <t>601988.SS</t>
  </si>
  <si>
    <t>601939.SS</t>
  </si>
  <si>
    <t>601328.SS</t>
  </si>
  <si>
    <t>601658.SS</t>
  </si>
  <si>
    <t>600000.SS</t>
  </si>
  <si>
    <t>601818.SS</t>
  </si>
  <si>
    <t>601998.SS</t>
  </si>
  <si>
    <t>600016.SS</t>
  </si>
  <si>
    <t>600015.SS</t>
  </si>
  <si>
    <t>601360.SS</t>
  </si>
  <si>
    <t>INDUSTRIAL &amp; COMMERCIAL BK OF C</t>
  </si>
  <si>
    <t>CHINA MERCHANTS BANK CO LTD</t>
  </si>
  <si>
    <t>PING AN BANK</t>
  </si>
  <si>
    <t>AGRICULTURAL BANK OF CHINA</t>
  </si>
  <si>
    <t>BANK OF CHINA LTD</t>
  </si>
  <si>
    <t>CHINA CONSTRUCTION BANK</t>
  </si>
  <si>
    <t>BANK OF COMMUNICATIONS CO LTD</t>
  </si>
  <si>
    <t>POSTAL SAVINGS BANK OF CHINA CO</t>
  </si>
  <si>
    <t>SHANGHAI PUDONG DEVELOPMENT BAN</t>
  </si>
  <si>
    <t>CHINA EVERBRIGHT BANK CO LTD</t>
  </si>
  <si>
    <t>CHINA CITIC BANK CORPORATION LT</t>
  </si>
  <si>
    <t>CHINA MINSHENG BANKING CORP</t>
  </si>
  <si>
    <t>HUAXIA BANK CO</t>
  </si>
  <si>
    <t>360 SECURITY TECHN</t>
  </si>
  <si>
    <t>601668.SS</t>
  </si>
  <si>
    <t>601390.SS</t>
  </si>
  <si>
    <t>601186.SS</t>
  </si>
  <si>
    <t>601800.SS</t>
  </si>
  <si>
    <t>601669.SS</t>
  </si>
  <si>
    <t>601868.SS</t>
  </si>
  <si>
    <t>601857.SS</t>
  </si>
  <si>
    <t>600028.SS</t>
  </si>
  <si>
    <t>601088.SS</t>
  </si>
  <si>
    <t>601898.SS</t>
  </si>
  <si>
    <t>600011.SS</t>
  </si>
  <si>
    <t>601991.SS</t>
  </si>
  <si>
    <t>600900.SS</t>
  </si>
  <si>
    <t>601766.SS</t>
  </si>
  <si>
    <t>601111.SS</t>
  </si>
  <si>
    <t>601598.SS</t>
  </si>
  <si>
    <t>601919.SS</t>
  </si>
  <si>
    <t>601866.SS</t>
  </si>
  <si>
    <t>601628.SS</t>
  </si>
  <si>
    <t>601601.SS</t>
  </si>
  <si>
    <t>600150.SS</t>
  </si>
  <si>
    <t>600760.SS</t>
  </si>
  <si>
    <t>600038.SS</t>
  </si>
  <si>
    <t>600765.SS</t>
  </si>
  <si>
    <t>002179.SZ</t>
  </si>
  <si>
    <t>601117.SS</t>
  </si>
  <si>
    <t>002080.SZ</t>
  </si>
  <si>
    <t>601068.SS</t>
  </si>
  <si>
    <t>601600.SS</t>
  </si>
  <si>
    <t>600941.SS</t>
  </si>
  <si>
    <t>601728.SS</t>
  </si>
  <si>
    <t>600050.SS</t>
  </si>
  <si>
    <t>603019.SS</t>
  </si>
  <si>
    <t>600536.SS</t>
  </si>
  <si>
    <t xml:space="preserve">CHINA CONSTRUCTION ENGINEERING </t>
  </si>
  <si>
    <t>CHINA RAILWAY GROUP LIMITED</t>
  </si>
  <si>
    <t>CHINA RAILWAY CONSTRUCTION CORP</t>
  </si>
  <si>
    <t>CHINA COMMUNICATIONS CONSTRUCTI</t>
  </si>
  <si>
    <t>POWER CONSTRUCTION CORP OF CHIN</t>
  </si>
  <si>
    <t>CHINA ENERGY ENGINEERING CORP L</t>
  </si>
  <si>
    <t>PETROCHINA CO</t>
  </si>
  <si>
    <t>CHINA PETROLEUM &amp; CHEMICAL CORP</t>
  </si>
  <si>
    <t>CHINA SHENHUA ENERGY COMPANY LT</t>
  </si>
  <si>
    <t>CHINA COAL ENERGY COMPANY</t>
  </si>
  <si>
    <t>HUANENG POWER INTERNATIONAL INC</t>
  </si>
  <si>
    <t>Utilities - Independent Power Producers</t>
  </si>
  <si>
    <t>DATANG INTERNATIONAL POWER GENE</t>
  </si>
  <si>
    <t>CHINA YANGTZE POWER CO</t>
  </si>
  <si>
    <t>Utilities - Renewable</t>
  </si>
  <si>
    <t>CRRC CORPORATION LIMITED</t>
  </si>
  <si>
    <t>AIR CHINA LTD</t>
  </si>
  <si>
    <t>Airlines</t>
  </si>
  <si>
    <t>SINOTRANS LIMITED</t>
  </si>
  <si>
    <t>COSCO SHIPPING HOLDINGS</t>
  </si>
  <si>
    <t>COSCO SHIPPING DEVELOPMENT CO L</t>
  </si>
  <si>
    <t>Aerospace &amp; Defense</t>
  </si>
  <si>
    <t>CHINA LIFE INSURANCE CO</t>
  </si>
  <si>
    <t>CHINA PACIFIC INSURANCE (GROUP)</t>
  </si>
  <si>
    <t>CHINA CSSC HOLDINGS LIMITED</t>
  </si>
  <si>
    <t>AVIC SHENYANG AIRCRAFT CO LTD</t>
  </si>
  <si>
    <t>AVICOPTER PLC</t>
  </si>
  <si>
    <t>AVIC HEAVY MACHINERY CO. LTD.</t>
  </si>
  <si>
    <t>JONHON OPTRONIC TE</t>
  </si>
  <si>
    <t>CHINA NATIONAL CHEMICAL ENGINEE</t>
  </si>
  <si>
    <t>SINOMA SCIENCE &amp; T</t>
  </si>
  <si>
    <t>CHINA ALUMINUM INTL ENG CORP LT</t>
  </si>
  <si>
    <t>ALUMINUM CORP OF CHINA(CHALCO)</t>
  </si>
  <si>
    <t>Aluminum</t>
  </si>
  <si>
    <t>CHINA MOBILE LTD</t>
  </si>
  <si>
    <t>CHINA TELECOM CORPORATION</t>
  </si>
  <si>
    <t>CHINA UNITED NETWORK COMMUNICAT</t>
  </si>
  <si>
    <t>DAWNING INFORMATION INDUSTRY CO</t>
  </si>
  <si>
    <t>CHINA NATIONAL SOFTWARE&amp; SERVIC</t>
  </si>
  <si>
    <t>003816.SZ</t>
  </si>
  <si>
    <t>688009.SS</t>
  </si>
  <si>
    <t>600118.SS</t>
  </si>
  <si>
    <t>600764.SS</t>
  </si>
  <si>
    <t>600879.SS</t>
  </si>
  <si>
    <t>600500.SS</t>
  </si>
  <si>
    <t>003004.SZ</t>
  </si>
  <si>
    <t>000063.SZ</t>
  </si>
  <si>
    <t>000066.SZ</t>
  </si>
  <si>
    <t>CGN POWER CO LTD</t>
  </si>
  <si>
    <t>CHINA RAILWAY SIGNAL &amp; COM CORP</t>
  </si>
  <si>
    <t>CHINA SPACESAT CO. LTD.</t>
  </si>
  <si>
    <t>CHINA MARINE INFORMATION ELECTR</t>
  </si>
  <si>
    <t>Scientific &amp; Technical Instruments</t>
  </si>
  <si>
    <t>CHINA AEROSPACE TIMES ELECTRONI</t>
  </si>
  <si>
    <t>SINOCHEM INTERNATIONAL CO</t>
  </si>
  <si>
    <t>BEIJING TELESOUND</t>
  </si>
  <si>
    <t>Security &amp; Protection Services</t>
  </si>
  <si>
    <t>ZTE CORP</t>
  </si>
  <si>
    <t>CHINA GREATWALL TE</t>
  </si>
  <si>
    <t>WBD</t>
  </si>
  <si>
    <t>MSFT</t>
  </si>
  <si>
    <t>UNH</t>
  </si>
  <si>
    <t>MA</t>
  </si>
  <si>
    <t>COST</t>
  </si>
  <si>
    <t>ABT</t>
  </si>
  <si>
    <t>WM</t>
  </si>
  <si>
    <t>AVGO</t>
  </si>
  <si>
    <t>NEE</t>
  </si>
  <si>
    <t>ICE</t>
  </si>
  <si>
    <t>CTAS</t>
  </si>
  <si>
    <t>ROP</t>
  </si>
  <si>
    <t>O</t>
  </si>
  <si>
    <t>LIN</t>
  </si>
  <si>
    <t>ADP</t>
  </si>
  <si>
    <t>TJX</t>
  </si>
  <si>
    <t>SYK</t>
  </si>
  <si>
    <t>ITW</t>
  </si>
  <si>
    <t>CSX</t>
  </si>
  <si>
    <t>VRSK</t>
  </si>
  <si>
    <t>POOL</t>
  </si>
  <si>
    <t>CPRT</t>
  </si>
  <si>
    <t>GD</t>
  </si>
  <si>
    <t>FAST</t>
  </si>
  <si>
    <t>A</t>
  </si>
  <si>
    <t>AEP</t>
  </si>
  <si>
    <t>AMT</t>
  </si>
  <si>
    <t>AMZN</t>
  </si>
  <si>
    <t>AXP</t>
  </si>
  <si>
    <t>BDX</t>
  </si>
  <si>
    <t>BKNG</t>
  </si>
  <si>
    <t>BRO</t>
  </si>
  <si>
    <t>CARR</t>
  </si>
  <si>
    <t>CAT</t>
  </si>
  <si>
    <t>CHD</t>
  </si>
  <si>
    <t>CLX</t>
  </si>
  <si>
    <t>COP</t>
  </si>
  <si>
    <t>CPAY</t>
  </si>
  <si>
    <t>DG</t>
  </si>
  <si>
    <t>DPZ</t>
  </si>
  <si>
    <t>DUK</t>
  </si>
  <si>
    <t>EL</t>
  </si>
  <si>
    <t>EW</t>
  </si>
  <si>
    <t>EXPD</t>
  </si>
  <si>
    <t>GOOGL</t>
  </si>
  <si>
    <t>GS</t>
  </si>
  <si>
    <t>HD</t>
  </si>
  <si>
    <t>HON</t>
  </si>
  <si>
    <t>INTU</t>
  </si>
  <si>
    <t>ISRG</t>
  </si>
  <si>
    <t>J</t>
  </si>
  <si>
    <t>JCI</t>
  </si>
  <si>
    <t>JNJ</t>
  </si>
  <si>
    <t>KMB</t>
  </si>
  <si>
    <t>KO</t>
  </si>
  <si>
    <t>LLY</t>
  </si>
  <si>
    <t>LMT</t>
  </si>
  <si>
    <t>LOW</t>
  </si>
  <si>
    <t>MCD</t>
  </si>
  <si>
    <t>MCK</t>
  </si>
  <si>
    <t>MDLZ</t>
  </si>
  <si>
    <t>MKC</t>
  </si>
  <si>
    <t>MMC</t>
  </si>
  <si>
    <t>MO</t>
  </si>
  <si>
    <t>MPW</t>
  </si>
  <si>
    <t>NEM</t>
  </si>
  <si>
    <t>NKE</t>
  </si>
  <si>
    <t>NOC</t>
  </si>
  <si>
    <t>NOW</t>
  </si>
  <si>
    <t>NVO</t>
  </si>
  <si>
    <t>NVR</t>
  </si>
  <si>
    <t>ODFL</t>
  </si>
  <si>
    <t>ORCL</t>
  </si>
  <si>
    <t>PAYX</t>
  </si>
  <si>
    <t>PGR</t>
  </si>
  <si>
    <t>PLD</t>
  </si>
  <si>
    <t>QCOM</t>
  </si>
  <si>
    <t>REXR</t>
  </si>
  <si>
    <t xml:space="preserve">Warner Bros. Discovery, Inc. - </t>
  </si>
  <si>
    <t>Microsoft Corporation</t>
  </si>
  <si>
    <t>UnitedHealth Group Incorporated</t>
  </si>
  <si>
    <t>Healthcare Plans</t>
  </si>
  <si>
    <t>Mastercard Incorporated</t>
  </si>
  <si>
    <t>Costco Wholesale Corporation</t>
  </si>
  <si>
    <t>Discount Stores</t>
  </si>
  <si>
    <t>Abbott Laboratories</t>
  </si>
  <si>
    <t>Medical Devices</t>
  </si>
  <si>
    <t>Waste Management, Inc.</t>
  </si>
  <si>
    <t>Waste Management</t>
  </si>
  <si>
    <t>Broadcom Inc.</t>
  </si>
  <si>
    <t>NextEra Energy, Inc.</t>
  </si>
  <si>
    <t>Utilities - Regulated Electric</t>
  </si>
  <si>
    <t>Intercontinental Exchange Inc.</t>
  </si>
  <si>
    <t>Cintas Corporation</t>
  </si>
  <si>
    <t>Specialty Business Services</t>
  </si>
  <si>
    <t>Roper Technologies, Inc.</t>
  </si>
  <si>
    <t>Realty Income Corporation</t>
  </si>
  <si>
    <t>Linde plc</t>
  </si>
  <si>
    <t>Automatic Data Processing, Inc.</t>
  </si>
  <si>
    <t>TJX Companies, Inc. (The)</t>
  </si>
  <si>
    <t>Stryker Corporation</t>
  </si>
  <si>
    <t>Illinois Tool Works Inc.</t>
  </si>
  <si>
    <t>CSX Corporation</t>
  </si>
  <si>
    <t>Verisk Analytics, Inc.</t>
  </si>
  <si>
    <t>Consulting Services</t>
  </si>
  <si>
    <t>Pool Corporation</t>
  </si>
  <si>
    <t>Industrial Distribution</t>
  </si>
  <si>
    <t>Copart, Inc.</t>
  </si>
  <si>
    <t>General Dynamics Corporation</t>
  </si>
  <si>
    <t>Fastenal Company</t>
  </si>
  <si>
    <t>Agilent Technologies, Inc.</t>
  </si>
  <si>
    <t>Diagnostics &amp; Research</t>
  </si>
  <si>
    <t>American Electric Power Company</t>
  </si>
  <si>
    <t>American Tower Corporation (REI</t>
  </si>
  <si>
    <t>REIT - Specialty</t>
  </si>
  <si>
    <t>Amazon.com, Inc.</t>
  </si>
  <si>
    <t>American Express Company</t>
  </si>
  <si>
    <t>Becton, Dickinson and Company</t>
  </si>
  <si>
    <t>Booking Holdings Inc. Common St</t>
  </si>
  <si>
    <t>Brown &amp; Brown, Inc.</t>
  </si>
  <si>
    <t>Insurance Brokers</t>
  </si>
  <si>
    <t>Carrier Global Corporation</t>
  </si>
  <si>
    <t>Building Products &amp; Equipment</t>
  </si>
  <si>
    <t>Caterpillar, Inc.</t>
  </si>
  <si>
    <t>Church &amp; Dwight Company, Inc.</t>
  </si>
  <si>
    <t>Clorox Company (The)</t>
  </si>
  <si>
    <t>ConocoPhillips</t>
  </si>
  <si>
    <t>Corpay, Inc.</t>
  </si>
  <si>
    <t>Dollar General Corporation</t>
  </si>
  <si>
    <t>Domino's Pizza Inc</t>
  </si>
  <si>
    <t>Duke Energy Corporation (Holdin</t>
  </si>
  <si>
    <t>Estee Lauder Companies, Inc. (T</t>
  </si>
  <si>
    <t>Edwards Lifesciences Corporatio</t>
  </si>
  <si>
    <t>Expeditors International of Was</t>
  </si>
  <si>
    <t>Alphabet Inc.</t>
  </si>
  <si>
    <t>Goldman Sachs Group, Inc. (The)</t>
  </si>
  <si>
    <t>Home Depot, Inc. (The)</t>
  </si>
  <si>
    <t>Home Improvement Retail</t>
  </si>
  <si>
    <t>Honeywell International Inc.</t>
  </si>
  <si>
    <t>Intuit Inc.</t>
  </si>
  <si>
    <t>Intuitive Surgical, Inc.</t>
  </si>
  <si>
    <t>Jacobs Solutions Inc.</t>
  </si>
  <si>
    <t xml:space="preserve">Johnson Controls International </t>
  </si>
  <si>
    <t>Johnson &amp; Johnson</t>
  </si>
  <si>
    <t>Drug Manufacturers - General</t>
  </si>
  <si>
    <t>Kimberly-Clark Corporation</t>
  </si>
  <si>
    <t>Coca-Cola Company (The)</t>
  </si>
  <si>
    <t>Eli Lilly and Company</t>
  </si>
  <si>
    <t>Lockheed Martin Corporation</t>
  </si>
  <si>
    <t>Lowe's Companies, Inc.</t>
  </si>
  <si>
    <t>McDonald's Corporation</t>
  </si>
  <si>
    <t>McKesson Corporation</t>
  </si>
  <si>
    <t>Medical Distribution</t>
  </si>
  <si>
    <t>Mondelez International, Inc.</t>
  </si>
  <si>
    <t>Confectioners</t>
  </si>
  <si>
    <t>McCormick &amp; Company, Incorporat</t>
  </si>
  <si>
    <t>Marsh &amp; McLennan Companies, Inc</t>
  </si>
  <si>
    <t>Altria Group, Inc.</t>
  </si>
  <si>
    <t>Medical Properties Trust, Inc.</t>
  </si>
  <si>
    <t>REIT - Healthcare Facilities</t>
  </si>
  <si>
    <t>Newmont Corporation</t>
  </si>
  <si>
    <t>Nike, Inc.</t>
  </si>
  <si>
    <t>Northrop Grumman Corporation</t>
  </si>
  <si>
    <t>ServiceNow, Inc.</t>
  </si>
  <si>
    <t>Novo Nordisk A/S</t>
  </si>
  <si>
    <t>DKK</t>
  </si>
  <si>
    <t>NVR, Inc.</t>
  </si>
  <si>
    <t>Residential Construction</t>
  </si>
  <si>
    <t>Old Dominion Freight Line, Inc.</t>
  </si>
  <si>
    <t>Trucking</t>
  </si>
  <si>
    <t>Oracle Corporation</t>
  </si>
  <si>
    <t>Paychex, Inc.</t>
  </si>
  <si>
    <t>Progressive Corporation (The)</t>
  </si>
  <si>
    <t>Prologis, Inc.</t>
  </si>
  <si>
    <t>REIT - Industrial</t>
  </si>
  <si>
    <t>QUALCOMM Incorporated</t>
  </si>
  <si>
    <t>Rexford Industrial Realty, Inc.</t>
  </si>
  <si>
    <t>DHR</t>
  </si>
  <si>
    <t>Sel.</t>
  </si>
  <si>
    <t>Y</t>
  </si>
  <si>
    <t>1112.HK</t>
  </si>
  <si>
    <t>Danaher Corporation</t>
  </si>
  <si>
    <t>H&amp;H INTL HLDG</t>
  </si>
  <si>
    <t>ZCZL</t>
  </si>
  <si>
    <t>6811.HK</t>
  </si>
  <si>
    <t>TAI HING GROUP</t>
  </si>
  <si>
    <t>6069.HK</t>
  </si>
  <si>
    <t>603533.SS</t>
  </si>
  <si>
    <t>IREADER TECHNOLOGY CO LTD</t>
  </si>
  <si>
    <t>SY HOLDINGS</t>
  </si>
  <si>
    <t>300266.SZ</t>
  </si>
  <si>
    <t>XINGYUAN ENVIRONME</t>
  </si>
  <si>
    <t>1397.HK</t>
  </si>
  <si>
    <t>1382.HK</t>
  </si>
  <si>
    <t>3828.HK</t>
  </si>
  <si>
    <t>0057.HK</t>
  </si>
  <si>
    <t>0255.HK</t>
  </si>
  <si>
    <t>BAGUIO GREEN</t>
  </si>
  <si>
    <t>PACIFICTEXTILES</t>
  </si>
  <si>
    <t>MING FAI INT'L</t>
  </si>
  <si>
    <t>CHEN HSONG HOLD</t>
  </si>
  <si>
    <t>LUNG KEE</t>
  </si>
  <si>
    <t>Metal Fabrication</t>
  </si>
  <si>
    <t>9618.HK</t>
  </si>
  <si>
    <t>9626.HK</t>
  </si>
  <si>
    <t>JD-SW</t>
  </si>
  <si>
    <t>BILIBILI-W</t>
  </si>
  <si>
    <t>0941.HK</t>
  </si>
  <si>
    <t>1211.HK</t>
  </si>
  <si>
    <t>9999.HK</t>
  </si>
  <si>
    <t>CHINA MOBILE</t>
  </si>
  <si>
    <t>BYD COMPANY</t>
  </si>
  <si>
    <t>NTES-S</t>
  </si>
  <si>
    <t>Electronic Gaming &amp; Multimedia</t>
  </si>
  <si>
    <t>0696.HK</t>
  </si>
  <si>
    <t>0856.HK</t>
  </si>
  <si>
    <t>0354.HK</t>
  </si>
  <si>
    <t>TRAVELSKY TECH</t>
  </si>
  <si>
    <t>Information Technology Services</t>
  </si>
  <si>
    <t>VSTECS</t>
  </si>
  <si>
    <t>CHINASOFT INT'L</t>
  </si>
  <si>
    <t>600809.SS</t>
  </si>
  <si>
    <t>000568.SZ</t>
  </si>
  <si>
    <t>7618.HK</t>
  </si>
  <si>
    <t>SHANXI XINGHUACUN FENWINE FACTO</t>
  </si>
  <si>
    <t>LUZHOU LAO JIAO 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</si>
</sst>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0000F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wrapText="1"/>
    </xf>
    <xf numFmtId="0" fontId="2" fillId="3" borderId="0" xfId="0" applyFont="1" applyFill="1" applyAlignment="1">
      <alignment horizontal="center" wrapText="1"/>
    </xf>
    <xf numFmtId="0" fontId="2" fillId="4" borderId="0" xfId="0" applyFont="1" applyFill="1" applyAlignment="1">
      <alignment horizontal="center" wrapText="1"/>
    </xf>
    <xf numFmtId="0" fontId="2" fillId="0" borderId="0" xfId="0" applyFont="1" applyAlignment="1">
      <alignment horizontal="center" wrapText="1"/>
    </xf>
    <xf numFmtId="4" fontId="0" fillId="0" borderId="0" xfId="0" applyNumberFormat="1"/>
    <xf numFmtId="3" fontId="0" fillId="0" borderId="0" xfId="0" applyNumberFormat="1"/>
    <xf numFmtId="0" fontId="3" fillId="3" borderId="0" xfId="0" applyFont="1" applyFill="1" applyAlignment="1">
      <alignment horizontal="center" wrapText="1"/>
    </xf>
    <xf numFmtId="0" fontId="0" fillId="0" borderId="0" xfId="0" applyAlignment="1">
      <alignment horizontal="center"/>
    </xf>
    <xf numFmtId="0" fontId="3" fillId="4" borderId="0" xfId="0" applyFont="1" applyFill="1" applyAlignment="1">
      <alignment horizontal="center" wrapText="1"/>
    </xf>
    <xf numFmtId="10" fontId="0" fillId="0" borderId="0" xfId="0" applyNumberFormat="1"/>
    <xf numFmtId="10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vertical="top" wrapText="1"/>
    </xf>
    <xf numFmtId="0" fontId="0" fillId="0" borderId="0" xfId="0" applyAlignment="1">
      <alignment wrapText="1"/>
    </xf>
  </cellXfs>
  <cellStyles count="1">
    <cellStyle name="常规" xfId="0" builtinId="0"/>
  </cellStyles>
  <dxfs count="6"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EDF16-08C4-B24B-A5E4-CFD78B458569}">
  <dimension ref="B1:V143"/>
  <sheetViews>
    <sheetView zoomScaleNormal="100" workbookViewId="0">
      <pane xSplit="3" ySplit="1" topLeftCell="D5" activePane="bottomRight" state="frozen"/>
      <selection pane="topRight" activeCell="D1" sqref="D1"/>
      <selection pane="bottomLeft" activeCell="A2" sqref="A2"/>
      <selection pane="bottomRight" activeCell="B144" sqref="B144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26.625" customWidth="1"/>
    <col min="4" max="4" width="32.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8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21</v>
      </c>
      <c r="C2" t="s">
        <v>75</v>
      </c>
      <c r="D2" t="s">
        <v>76</v>
      </c>
      <c r="E2">
        <v>14</v>
      </c>
      <c r="F2" s="9" t="s">
        <v>67</v>
      </c>
      <c r="G2" s="7">
        <v>251636678656</v>
      </c>
      <c r="H2" s="6">
        <v>15.6</v>
      </c>
      <c r="I2" s="6">
        <v>9.8000000000000007</v>
      </c>
      <c r="J2" s="12">
        <f t="shared" ref="J2:J33" si="0">E2/I2-1</f>
        <v>0.42857142857142838</v>
      </c>
      <c r="K2" s="11">
        <v>0.11357142857142857</v>
      </c>
      <c r="L2" s="13">
        <v>70144988000</v>
      </c>
      <c r="M2" s="13">
        <v>269343749000</v>
      </c>
      <c r="N2" s="9" t="s">
        <v>50</v>
      </c>
      <c r="O2" s="6">
        <v>1.0683760683760684</v>
      </c>
      <c r="P2" s="12">
        <v>0.54987590399644604</v>
      </c>
      <c r="Q2" s="12">
        <v>0.26042924055386191</v>
      </c>
      <c r="R2" s="14">
        <v>1</v>
      </c>
    </row>
    <row r="3" spans="2:22" x14ac:dyDescent="0.5">
      <c r="B3" s="1" t="s">
        <v>108</v>
      </c>
      <c r="C3" t="s">
        <v>144</v>
      </c>
      <c r="D3" t="s">
        <v>145</v>
      </c>
      <c r="E3">
        <v>4.3600000000000003</v>
      </c>
      <c r="F3" s="9" t="s">
        <v>67</v>
      </c>
      <c r="G3" s="7">
        <v>12195894272</v>
      </c>
      <c r="H3" s="6">
        <v>5.2</v>
      </c>
      <c r="I3" s="6">
        <v>2.5099999999999998</v>
      </c>
      <c r="J3" s="12">
        <f t="shared" si="0"/>
        <v>0.73705179282868549</v>
      </c>
      <c r="K3" s="11">
        <v>3.509174311926605E-2</v>
      </c>
      <c r="L3" s="13">
        <v>1871151000</v>
      </c>
      <c r="M3" s="13">
        <v>6461978000</v>
      </c>
      <c r="N3" s="9" t="s">
        <v>50</v>
      </c>
      <c r="O3" s="6">
        <v>1.0683760683760684</v>
      </c>
      <c r="P3" s="12">
        <v>0.24993541612351292</v>
      </c>
      <c r="Q3" s="12">
        <v>0.28956319566547578</v>
      </c>
      <c r="R3" s="14">
        <v>2</v>
      </c>
    </row>
    <row r="4" spans="2:22" x14ac:dyDescent="0.5">
      <c r="B4" s="1" t="s">
        <v>195</v>
      </c>
      <c r="C4" t="s">
        <v>217</v>
      </c>
      <c r="D4" t="s">
        <v>76</v>
      </c>
      <c r="E4">
        <v>136</v>
      </c>
      <c r="F4" s="9" t="s">
        <v>67</v>
      </c>
      <c r="G4" s="7">
        <v>89810771968</v>
      </c>
      <c r="H4" s="6">
        <v>149.5</v>
      </c>
      <c r="I4" s="6">
        <v>93</v>
      </c>
      <c r="J4" s="12">
        <f t="shared" si="0"/>
        <v>0.4623655913978495</v>
      </c>
      <c r="K4" s="11">
        <v>1.4999999999999999E-2</v>
      </c>
      <c r="L4" s="13">
        <v>2635100000</v>
      </c>
      <c r="M4" s="13">
        <v>13245550000</v>
      </c>
      <c r="N4" s="9" t="s">
        <v>71</v>
      </c>
      <c r="O4" s="6">
        <v>7.6923076923076916</v>
      </c>
      <c r="P4" s="12">
        <v>0.51215218560309539</v>
      </c>
      <c r="Q4" s="12">
        <v>0.19894228627727803</v>
      </c>
      <c r="R4" s="14">
        <v>3</v>
      </c>
    </row>
    <row r="5" spans="2:22" x14ac:dyDescent="0.5">
      <c r="B5" s="1" t="s">
        <v>28</v>
      </c>
      <c r="C5" t="s">
        <v>88</v>
      </c>
      <c r="D5" t="s">
        <v>85</v>
      </c>
      <c r="E5">
        <v>3.99</v>
      </c>
      <c r="F5" s="9" t="s">
        <v>67</v>
      </c>
      <c r="G5" s="7">
        <v>35142582272</v>
      </c>
      <c r="H5" s="6">
        <v>7.38</v>
      </c>
      <c r="I5" s="6">
        <v>3.77</v>
      </c>
      <c r="J5" s="12">
        <f t="shared" si="0"/>
        <v>5.8355437665782439E-2</v>
      </c>
      <c r="K5" s="11">
        <v>6.6416040100250623E-2</v>
      </c>
      <c r="L5" s="13">
        <v>5594372000</v>
      </c>
      <c r="M5" s="13">
        <v>26933044000</v>
      </c>
      <c r="N5" s="9" t="s">
        <v>50</v>
      </c>
      <c r="O5" s="6">
        <v>1.0683760683760684</v>
      </c>
      <c r="P5" s="12">
        <v>0.22692141770230911</v>
      </c>
      <c r="Q5" s="12">
        <v>0.20771406306691512</v>
      </c>
      <c r="R5" s="14">
        <v>4</v>
      </c>
    </row>
    <row r="6" spans="2:22" x14ac:dyDescent="0.5">
      <c r="B6" s="1" t="s">
        <v>249</v>
      </c>
      <c r="C6" t="s">
        <v>295</v>
      </c>
      <c r="D6" t="s">
        <v>296</v>
      </c>
      <c r="E6">
        <v>6.76</v>
      </c>
      <c r="F6" s="9" t="s">
        <v>67</v>
      </c>
      <c r="G6" s="7">
        <v>359072137216</v>
      </c>
      <c r="H6" s="6">
        <v>7.63</v>
      </c>
      <c r="I6" s="6">
        <v>3.66</v>
      </c>
      <c r="J6" s="12">
        <f t="shared" si="0"/>
        <v>0.84699453551912551</v>
      </c>
      <c r="K6" s="11">
        <v>2.8402366863905328E-2</v>
      </c>
      <c r="L6" s="13">
        <v>72477000000</v>
      </c>
      <c r="M6" s="13">
        <v>319355000000</v>
      </c>
      <c r="N6" s="9" t="s">
        <v>50</v>
      </c>
      <c r="O6" s="6">
        <v>1.0683760683760684</v>
      </c>
      <c r="P6" s="12">
        <v>0.19922674369512661</v>
      </c>
      <c r="Q6" s="12">
        <v>0.22694806719794586</v>
      </c>
      <c r="R6" s="14">
        <v>5</v>
      </c>
    </row>
    <row r="7" spans="2:22" x14ac:dyDescent="0.5">
      <c r="B7" s="1" t="s">
        <v>196</v>
      </c>
      <c r="C7" t="s">
        <v>218</v>
      </c>
      <c r="D7" t="s">
        <v>219</v>
      </c>
      <c r="E7">
        <v>2.0099999999999998</v>
      </c>
      <c r="F7" s="9" t="s">
        <v>67</v>
      </c>
      <c r="G7" s="7">
        <v>2010000000</v>
      </c>
      <c r="H7" s="6">
        <v>2.42</v>
      </c>
      <c r="I7" s="6">
        <v>1.55</v>
      </c>
      <c r="J7" s="12">
        <f t="shared" si="0"/>
        <v>0.29677419354838697</v>
      </c>
      <c r="K7" s="11">
        <v>0.10447761194029852</v>
      </c>
      <c r="L7" s="13">
        <v>315190000</v>
      </c>
      <c r="M7" s="13">
        <v>607806000</v>
      </c>
      <c r="N7" s="9" t="s">
        <v>67</v>
      </c>
      <c r="O7" s="6">
        <v>1</v>
      </c>
      <c r="P7" s="12">
        <v>0.14467262419772309</v>
      </c>
      <c r="Q7" s="12">
        <v>0.51857007005524791</v>
      </c>
      <c r="R7" s="14">
        <v>6</v>
      </c>
    </row>
    <row r="8" spans="2:22" x14ac:dyDescent="0.5">
      <c r="B8" s="1" t="s">
        <v>290</v>
      </c>
      <c r="C8" t="s">
        <v>343</v>
      </c>
      <c r="D8" t="s">
        <v>94</v>
      </c>
      <c r="E8">
        <v>5.69</v>
      </c>
      <c r="F8" s="9" t="s">
        <v>67</v>
      </c>
      <c r="G8" s="7">
        <v>11765110784</v>
      </c>
      <c r="H8" s="6">
        <v>6.7</v>
      </c>
      <c r="I8" s="6">
        <v>3.84</v>
      </c>
      <c r="J8" s="12">
        <f t="shared" si="0"/>
        <v>0.48177083333333348</v>
      </c>
      <c r="K8" s="11">
        <v>4.9736379613356758E-2</v>
      </c>
      <c r="L8" s="13">
        <v>1576240000</v>
      </c>
      <c r="M8" s="13">
        <v>9636462000</v>
      </c>
      <c r="N8" s="9" t="s">
        <v>50</v>
      </c>
      <c r="O8" s="6">
        <v>1.0683760683760684</v>
      </c>
      <c r="P8" s="12">
        <v>0.22445837283404554</v>
      </c>
      <c r="Q8" s="12">
        <v>0.16357040581906512</v>
      </c>
      <c r="R8" s="14">
        <v>7</v>
      </c>
    </row>
    <row r="9" spans="2:22" x14ac:dyDescent="0.5">
      <c r="B9" s="1" t="s">
        <v>107</v>
      </c>
      <c r="C9" t="s">
        <v>142</v>
      </c>
      <c r="D9" t="s">
        <v>143</v>
      </c>
      <c r="E9">
        <v>3.39</v>
      </c>
      <c r="F9" s="9" t="s">
        <v>67</v>
      </c>
      <c r="G9" s="7">
        <v>17258713088</v>
      </c>
      <c r="H9" s="6">
        <v>3.5</v>
      </c>
      <c r="I9" s="6">
        <v>2.23</v>
      </c>
      <c r="J9" s="12">
        <f t="shared" si="0"/>
        <v>0.52017937219730959</v>
      </c>
      <c r="K9" s="11">
        <v>7.9646017699115043E-2</v>
      </c>
      <c r="L9" s="13">
        <v>2527643000</v>
      </c>
      <c r="M9" s="13">
        <v>16480074000</v>
      </c>
      <c r="N9" s="9" t="s">
        <v>67</v>
      </c>
      <c r="O9" s="6">
        <v>1</v>
      </c>
      <c r="P9" s="12">
        <v>0.26257103709679952</v>
      </c>
      <c r="Q9" s="12">
        <v>0.15337570692947131</v>
      </c>
      <c r="R9" s="14">
        <v>8</v>
      </c>
    </row>
    <row r="10" spans="2:22" x14ac:dyDescent="0.5">
      <c r="B10" s="1" t="s">
        <v>775</v>
      </c>
      <c r="C10" t="s">
        <v>777</v>
      </c>
      <c r="D10" t="s">
        <v>435</v>
      </c>
      <c r="E10">
        <v>109.8</v>
      </c>
      <c r="F10" s="9" t="s">
        <v>67</v>
      </c>
      <c r="G10" s="7">
        <v>338877251584</v>
      </c>
      <c r="H10" s="6">
        <v>180.8</v>
      </c>
      <c r="I10" s="6">
        <v>105.9</v>
      </c>
      <c r="J10" s="12">
        <f t="shared" si="0"/>
        <v>3.6827195467421969E-2</v>
      </c>
      <c r="K10" s="11">
        <v>6.6475409836065577E-2</v>
      </c>
      <c r="L10" s="13">
        <v>54434000000</v>
      </c>
      <c r="M10" s="13">
        <v>303403000000</v>
      </c>
      <c r="N10" s="9" t="s">
        <v>50</v>
      </c>
      <c r="O10" s="6">
        <v>1.0683760683760684</v>
      </c>
      <c r="P10" s="12">
        <v>0.18229304874522292</v>
      </c>
      <c r="Q10" s="12">
        <v>0.17941154174480806</v>
      </c>
      <c r="R10" s="14">
        <v>8</v>
      </c>
    </row>
    <row r="11" spans="2:22" x14ac:dyDescent="0.5">
      <c r="B11" s="1" t="s">
        <v>766</v>
      </c>
      <c r="C11" t="s">
        <v>771</v>
      </c>
      <c r="D11" t="s">
        <v>164</v>
      </c>
      <c r="E11">
        <v>0.96</v>
      </c>
      <c r="F11" s="9" t="s">
        <v>67</v>
      </c>
      <c r="G11" s="7">
        <v>704892224</v>
      </c>
      <c r="H11" s="6">
        <v>1.06</v>
      </c>
      <c r="I11" s="6">
        <v>0.74</v>
      </c>
      <c r="J11" s="12">
        <f t="shared" si="0"/>
        <v>0.29729729729729737</v>
      </c>
      <c r="K11" s="11">
        <v>0.10416666666666667</v>
      </c>
      <c r="L11" s="13">
        <v>180447000</v>
      </c>
      <c r="M11" s="13">
        <v>1366457000</v>
      </c>
      <c r="N11" s="9" t="s">
        <v>67</v>
      </c>
      <c r="O11" s="6">
        <v>1</v>
      </c>
      <c r="P11" s="12">
        <v>0.42726214691553605</v>
      </c>
      <c r="Q11" s="12">
        <v>0.13205464935962127</v>
      </c>
      <c r="R11" s="14">
        <v>9</v>
      </c>
    </row>
    <row r="12" spans="2:22" x14ac:dyDescent="0.5">
      <c r="B12" s="1" t="s">
        <v>32</v>
      </c>
      <c r="C12" t="s">
        <v>93</v>
      </c>
      <c r="D12" t="s">
        <v>94</v>
      </c>
      <c r="E12">
        <v>15</v>
      </c>
      <c r="F12" s="9" t="s">
        <v>67</v>
      </c>
      <c r="G12" s="7">
        <v>12556612608</v>
      </c>
      <c r="H12" s="6">
        <v>19.440000000000001</v>
      </c>
      <c r="I12" s="6">
        <v>12.5</v>
      </c>
      <c r="J12" s="12">
        <f t="shared" si="0"/>
        <v>0.19999999999999996</v>
      </c>
      <c r="K12" s="11">
        <v>8.7333333333333343E-3</v>
      </c>
      <c r="L12" s="13">
        <v>199557000</v>
      </c>
      <c r="M12" s="13">
        <v>1108087000</v>
      </c>
      <c r="N12" s="9" t="s">
        <v>71</v>
      </c>
      <c r="O12" s="6">
        <v>7.6923076923076916</v>
      </c>
      <c r="P12" s="12">
        <v>0.16346269734094399</v>
      </c>
      <c r="Q12" s="12">
        <v>0.18009145491283626</v>
      </c>
      <c r="R12" s="14">
        <v>10</v>
      </c>
    </row>
    <row r="13" spans="2:22" x14ac:dyDescent="0.5">
      <c r="B13" s="1" t="s">
        <v>194</v>
      </c>
      <c r="C13" t="s">
        <v>215</v>
      </c>
      <c r="D13" t="s">
        <v>216</v>
      </c>
      <c r="E13">
        <v>15.45</v>
      </c>
      <c r="F13" s="9" t="s">
        <v>67</v>
      </c>
      <c r="G13" s="7">
        <v>60286455808</v>
      </c>
      <c r="H13" s="6">
        <v>19.05</v>
      </c>
      <c r="I13" s="6">
        <v>4.22</v>
      </c>
      <c r="J13" s="12">
        <f t="shared" si="0"/>
        <v>2.6611374407582939</v>
      </c>
      <c r="K13" s="11">
        <v>2.7831715210355984E-3</v>
      </c>
      <c r="L13" s="13">
        <v>786762000</v>
      </c>
      <c r="M13" s="13">
        <v>2279244000</v>
      </c>
      <c r="N13" s="9" t="s">
        <v>71</v>
      </c>
      <c r="O13" s="6">
        <v>7.6923076923076916</v>
      </c>
      <c r="P13" s="12">
        <v>0.11458227016929487</v>
      </c>
      <c r="Q13" s="12">
        <v>0.34518550887925997</v>
      </c>
      <c r="R13" s="14">
        <v>11</v>
      </c>
    </row>
    <row r="14" spans="2:22" x14ac:dyDescent="0.5">
      <c r="B14" s="1" t="s">
        <v>140</v>
      </c>
      <c r="C14" t="s">
        <v>189</v>
      </c>
      <c r="D14" t="s">
        <v>178</v>
      </c>
      <c r="E14">
        <v>9.43</v>
      </c>
      <c r="F14" s="9" t="s">
        <v>67</v>
      </c>
      <c r="G14" s="7">
        <v>116975943680</v>
      </c>
      <c r="H14" s="6">
        <v>13.6</v>
      </c>
      <c r="I14" s="6">
        <v>6.57</v>
      </c>
      <c r="J14" s="12">
        <f t="shared" si="0"/>
        <v>0.43531202435312011</v>
      </c>
      <c r="K14" s="11">
        <v>5.3022269353128317E-3</v>
      </c>
      <c r="L14" s="13">
        <v>2250990000</v>
      </c>
      <c r="M14" s="13">
        <v>11437145000</v>
      </c>
      <c r="N14" s="9" t="s">
        <v>71</v>
      </c>
      <c r="O14" s="6">
        <v>7.6923076923076916</v>
      </c>
      <c r="P14" s="12">
        <v>0.1388496624478873</v>
      </c>
      <c r="Q14" s="12">
        <v>0.19681397761416858</v>
      </c>
      <c r="R14" s="14">
        <v>12</v>
      </c>
    </row>
    <row r="15" spans="2:22" x14ac:dyDescent="0.5">
      <c r="B15" s="1" t="s">
        <v>23</v>
      </c>
      <c r="C15" t="s">
        <v>79</v>
      </c>
      <c r="D15" t="s">
        <v>80</v>
      </c>
      <c r="E15">
        <v>8.18</v>
      </c>
      <c r="F15" s="9" t="s">
        <v>67</v>
      </c>
      <c r="G15" s="7">
        <v>70830628864</v>
      </c>
      <c r="H15" s="6">
        <v>8.48</v>
      </c>
      <c r="I15" s="6">
        <v>6.8</v>
      </c>
      <c r="J15" s="12">
        <f t="shared" si="0"/>
        <v>0.20294117647058818</v>
      </c>
      <c r="K15" s="11">
        <v>3.8875305623471884E-2</v>
      </c>
      <c r="L15" s="13">
        <v>13438000000</v>
      </c>
      <c r="M15" s="13">
        <v>88611000000</v>
      </c>
      <c r="N15" s="9" t="s">
        <v>50</v>
      </c>
      <c r="O15" s="6">
        <v>1.0683760683760684</v>
      </c>
      <c r="P15" s="12">
        <v>0.21415320792729045</v>
      </c>
      <c r="Q15" s="12">
        <v>0.15165160081705431</v>
      </c>
      <c r="R15" s="14">
        <v>13</v>
      </c>
    </row>
    <row r="16" spans="2:22" x14ac:dyDescent="0.5">
      <c r="B16" s="1" t="s">
        <v>250</v>
      </c>
      <c r="C16" t="s">
        <v>297</v>
      </c>
      <c r="D16" t="s">
        <v>298</v>
      </c>
      <c r="E16">
        <v>24.98</v>
      </c>
      <c r="F16" s="9" t="s">
        <v>67</v>
      </c>
      <c r="G16" s="7">
        <v>89778585600</v>
      </c>
      <c r="H16" s="6">
        <v>25.96</v>
      </c>
      <c r="I16" s="6">
        <v>9.56</v>
      </c>
      <c r="J16" s="12">
        <f t="shared" si="0"/>
        <v>1.6129707112970713</v>
      </c>
      <c r="K16" s="11">
        <v>1.4011208967173738E-2</v>
      </c>
      <c r="L16" s="13">
        <v>25585077000</v>
      </c>
      <c r="M16" s="13">
        <v>167756547000</v>
      </c>
      <c r="N16" s="9" t="s">
        <v>67</v>
      </c>
      <c r="O16" s="6">
        <v>1</v>
      </c>
      <c r="P16" s="12">
        <v>0.20064593822682175</v>
      </c>
      <c r="Q16" s="12">
        <v>0.15251313559762292</v>
      </c>
      <c r="R16" s="14">
        <v>13</v>
      </c>
    </row>
    <row r="17" spans="2:18" x14ac:dyDescent="0.5">
      <c r="B17" s="1" t="s">
        <v>281</v>
      </c>
      <c r="C17" t="s">
        <v>334</v>
      </c>
      <c r="D17" t="s">
        <v>74</v>
      </c>
      <c r="E17">
        <v>5.26</v>
      </c>
      <c r="F17" s="9" t="s">
        <v>67</v>
      </c>
      <c r="G17" s="7">
        <v>14200519680</v>
      </c>
      <c r="H17" s="6">
        <v>6.83</v>
      </c>
      <c r="I17" s="6">
        <v>4.46</v>
      </c>
      <c r="J17" s="12">
        <f t="shared" si="0"/>
        <v>0.17937219730941689</v>
      </c>
      <c r="K17" s="11">
        <v>4.73384030418251E-2</v>
      </c>
      <c r="L17" s="13">
        <v>2030839000</v>
      </c>
      <c r="M17" s="13">
        <v>11587361000</v>
      </c>
      <c r="N17" s="9" t="s">
        <v>50</v>
      </c>
      <c r="O17" s="6">
        <v>1.0683760683760684</v>
      </c>
      <c r="P17" s="12">
        <v>0.15223903859356019</v>
      </c>
      <c r="Q17" s="12">
        <v>0.17526328902672489</v>
      </c>
      <c r="R17" s="14">
        <v>14</v>
      </c>
    </row>
    <row r="18" spans="2:18" x14ac:dyDescent="0.5">
      <c r="B18" s="1" t="s">
        <v>29</v>
      </c>
      <c r="C18" t="s">
        <v>89</v>
      </c>
      <c r="D18" t="s">
        <v>85</v>
      </c>
      <c r="E18">
        <v>5.07</v>
      </c>
      <c r="F18" s="9" t="s">
        <v>67</v>
      </c>
      <c r="G18" s="7">
        <v>59841572864</v>
      </c>
      <c r="H18" s="6">
        <v>5.97</v>
      </c>
      <c r="I18" s="6">
        <v>4.4800000000000004</v>
      </c>
      <c r="J18" s="12">
        <f t="shared" si="0"/>
        <v>0.1316964285714286</v>
      </c>
      <c r="K18" s="11">
        <v>2.9191321499013805E-2</v>
      </c>
      <c r="L18" s="13">
        <v>5915895000</v>
      </c>
      <c r="M18" s="13">
        <v>21902003000</v>
      </c>
      <c r="N18" s="9" t="s">
        <v>50</v>
      </c>
      <c r="O18" s="6">
        <v>1.0683760683760684</v>
      </c>
      <c r="P18" s="12">
        <v>0.11364554916845719</v>
      </c>
      <c r="Q18" s="12">
        <v>0.27010748742934609</v>
      </c>
      <c r="R18" s="14">
        <v>15</v>
      </c>
    </row>
    <row r="19" spans="2:18" x14ac:dyDescent="0.5">
      <c r="B19" s="1" t="s">
        <v>288</v>
      </c>
      <c r="C19" t="s">
        <v>341</v>
      </c>
      <c r="D19" t="s">
        <v>76</v>
      </c>
      <c r="E19">
        <v>30.8</v>
      </c>
      <c r="F19" s="9" t="s">
        <v>67</v>
      </c>
      <c r="G19" s="7">
        <v>82514173952</v>
      </c>
      <c r="H19" s="6">
        <v>33</v>
      </c>
      <c r="I19" s="6">
        <v>15.7</v>
      </c>
      <c r="J19" s="12">
        <f t="shared" si="0"/>
        <v>0.96178343949044609</v>
      </c>
      <c r="K19" s="11">
        <v>1.1428571428571427E-2</v>
      </c>
      <c r="L19" s="13">
        <v>1069250000</v>
      </c>
      <c r="M19" s="13">
        <v>2571093000</v>
      </c>
      <c r="N19" s="9" t="s">
        <v>71</v>
      </c>
      <c r="O19" s="6">
        <v>7.6923076923076916</v>
      </c>
      <c r="P19" s="12">
        <v>0.10309830422418</v>
      </c>
      <c r="Q19" s="12">
        <v>0.41587371596437778</v>
      </c>
      <c r="R19" s="14">
        <v>16</v>
      </c>
    </row>
    <row r="20" spans="2:18" x14ac:dyDescent="0.5">
      <c r="B20" s="1" t="s">
        <v>285</v>
      </c>
      <c r="C20" t="s">
        <v>338</v>
      </c>
      <c r="D20" t="s">
        <v>85</v>
      </c>
      <c r="E20">
        <v>9.85</v>
      </c>
      <c r="F20" s="9" t="s">
        <v>67</v>
      </c>
      <c r="G20" s="7">
        <v>126377664512</v>
      </c>
      <c r="H20" s="6">
        <v>9.85</v>
      </c>
      <c r="I20" s="6">
        <v>5.84</v>
      </c>
      <c r="J20" s="12">
        <f t="shared" si="0"/>
        <v>0.68664383561643838</v>
      </c>
      <c r="K20" s="11">
        <v>7.8172588832487316E-3</v>
      </c>
      <c r="L20" s="13">
        <v>2553000000</v>
      </c>
      <c r="M20" s="13">
        <v>13971000000</v>
      </c>
      <c r="N20" s="9" t="s">
        <v>71</v>
      </c>
      <c r="O20" s="6">
        <v>7.6923076923076916</v>
      </c>
      <c r="P20" s="12">
        <v>0.14106455980065988</v>
      </c>
      <c r="Q20" s="12">
        <v>0.18273566673824351</v>
      </c>
      <c r="R20" s="14">
        <v>16</v>
      </c>
    </row>
    <row r="21" spans="2:18" x14ac:dyDescent="0.5">
      <c r="B21" s="1" t="s">
        <v>20</v>
      </c>
      <c r="C21" t="s">
        <v>72</v>
      </c>
      <c r="D21" t="s">
        <v>73</v>
      </c>
      <c r="E21">
        <v>3.23</v>
      </c>
      <c r="F21" s="9" t="s">
        <v>67</v>
      </c>
      <c r="G21" s="7">
        <v>3358579968</v>
      </c>
      <c r="H21" s="6">
        <v>3.74</v>
      </c>
      <c r="I21" s="6">
        <v>1.92</v>
      </c>
      <c r="J21" s="12">
        <f t="shared" si="0"/>
        <v>0.68229166666666674</v>
      </c>
      <c r="K21" s="11">
        <v>8.7925696594427241E-2</v>
      </c>
      <c r="L21" s="13">
        <v>762183000</v>
      </c>
      <c r="M21" s="13">
        <v>5008319000</v>
      </c>
      <c r="N21" s="9" t="s">
        <v>67</v>
      </c>
      <c r="O21" s="6">
        <v>1</v>
      </c>
      <c r="P21" s="12">
        <v>0.18573434959324908</v>
      </c>
      <c r="Q21" s="12">
        <v>0.15218339726363278</v>
      </c>
      <c r="R21" s="14">
        <v>16</v>
      </c>
    </row>
    <row r="22" spans="2:18" x14ac:dyDescent="0.5">
      <c r="B22" s="1" t="s">
        <v>34</v>
      </c>
      <c r="C22" t="s">
        <v>97</v>
      </c>
      <c r="D22" t="s">
        <v>70</v>
      </c>
      <c r="E22">
        <v>4.8499999999999996</v>
      </c>
      <c r="F22" s="9" t="s">
        <v>67</v>
      </c>
      <c r="G22" s="7">
        <v>56353660928</v>
      </c>
      <c r="H22" s="6">
        <v>5.37</v>
      </c>
      <c r="I22" s="6">
        <v>3.5</v>
      </c>
      <c r="J22" s="12">
        <f t="shared" si="0"/>
        <v>0.38571428571428568</v>
      </c>
      <c r="K22" s="11">
        <v>5.4432989690721655E-2</v>
      </c>
      <c r="L22" s="13">
        <v>5294586000</v>
      </c>
      <c r="M22" s="13">
        <v>17815083000</v>
      </c>
      <c r="N22" s="9" t="s">
        <v>50</v>
      </c>
      <c r="O22" s="6">
        <v>1.0683760683760684</v>
      </c>
      <c r="P22" s="12">
        <v>0.10500827982135089</v>
      </c>
      <c r="Q22" s="12">
        <v>0.29719681912231338</v>
      </c>
      <c r="R22" s="14">
        <v>17</v>
      </c>
    </row>
    <row r="23" spans="2:18" x14ac:dyDescent="0.5">
      <c r="B23" s="1" t="s">
        <v>27</v>
      </c>
      <c r="C23" t="s">
        <v>86</v>
      </c>
      <c r="D23" t="s">
        <v>87</v>
      </c>
      <c r="E23">
        <v>4.78</v>
      </c>
      <c r="F23" s="9" t="s">
        <v>67</v>
      </c>
      <c r="G23" s="7">
        <v>5075795968</v>
      </c>
      <c r="H23" s="6">
        <v>7.12</v>
      </c>
      <c r="I23" s="6">
        <v>3.98</v>
      </c>
      <c r="J23" s="12">
        <f t="shared" si="0"/>
        <v>0.20100502512562812</v>
      </c>
      <c r="K23" s="11">
        <v>0.10460251046025104</v>
      </c>
      <c r="L23" s="13">
        <v>866801000</v>
      </c>
      <c r="M23" s="13">
        <v>7530053000</v>
      </c>
      <c r="N23" s="9" t="s">
        <v>67</v>
      </c>
      <c r="O23" s="6">
        <v>1</v>
      </c>
      <c r="P23" s="12">
        <v>0.41672664837612505</v>
      </c>
      <c r="Q23" s="12">
        <v>0.11511220438953086</v>
      </c>
      <c r="R23" s="14">
        <v>18</v>
      </c>
    </row>
    <row r="24" spans="2:18" x14ac:dyDescent="0.5">
      <c r="B24" s="1" t="s">
        <v>247</v>
      </c>
      <c r="C24" t="s">
        <v>292</v>
      </c>
      <c r="D24" t="s">
        <v>291</v>
      </c>
      <c r="E24">
        <v>1.32</v>
      </c>
      <c r="F24" s="9" t="s">
        <v>67</v>
      </c>
      <c r="G24" s="7">
        <v>2658808320</v>
      </c>
      <c r="H24" s="6">
        <v>1.85</v>
      </c>
      <c r="I24" s="6">
        <v>1.1299999999999999</v>
      </c>
      <c r="J24" s="12">
        <f t="shared" si="0"/>
        <v>0.16814159292035424</v>
      </c>
      <c r="K24" s="11">
        <v>9.0151515151515149E-2</v>
      </c>
      <c r="L24" s="13">
        <v>809534000</v>
      </c>
      <c r="M24" s="13">
        <v>6812238000</v>
      </c>
      <c r="N24" s="9" t="s">
        <v>50</v>
      </c>
      <c r="O24" s="6">
        <v>1.0683760683760684</v>
      </c>
      <c r="P24" s="12">
        <v>0.32566840040667683</v>
      </c>
      <c r="Q24" s="12">
        <v>0.11883524915013245</v>
      </c>
      <c r="R24" s="14">
        <v>19</v>
      </c>
    </row>
    <row r="25" spans="2:18" x14ac:dyDescent="0.5">
      <c r="B25" s="1" t="s">
        <v>287</v>
      </c>
      <c r="C25" t="s">
        <v>340</v>
      </c>
      <c r="D25" t="s">
        <v>53</v>
      </c>
      <c r="E25">
        <v>5</v>
      </c>
      <c r="F25" s="9" t="s">
        <v>67</v>
      </c>
      <c r="G25" s="7">
        <v>19390414848</v>
      </c>
      <c r="H25" s="6">
        <v>5.29</v>
      </c>
      <c r="I25" s="6">
        <v>3.33</v>
      </c>
      <c r="J25" s="12">
        <f t="shared" si="0"/>
        <v>0.50150150150150141</v>
      </c>
      <c r="K25" s="11">
        <v>5.4000000000000006E-2</v>
      </c>
      <c r="L25" s="13">
        <v>2823432000</v>
      </c>
      <c r="M25" s="13">
        <v>16925205000</v>
      </c>
      <c r="N25" s="9" t="s">
        <v>67</v>
      </c>
      <c r="O25" s="6">
        <v>1</v>
      </c>
      <c r="P25" s="12">
        <v>0.1428028451253103</v>
      </c>
      <c r="Q25" s="12">
        <v>0.16681818624944278</v>
      </c>
      <c r="R25" s="14">
        <v>19</v>
      </c>
    </row>
    <row r="26" spans="2:18" x14ac:dyDescent="0.5">
      <c r="B26" s="1" t="s">
        <v>764</v>
      </c>
      <c r="C26" t="s">
        <v>769</v>
      </c>
      <c r="D26" t="s">
        <v>660</v>
      </c>
      <c r="E26">
        <v>1.26</v>
      </c>
      <c r="F26" s="9" t="s">
        <v>67</v>
      </c>
      <c r="G26" s="7">
        <v>522900000</v>
      </c>
      <c r="H26" s="6">
        <v>1.41</v>
      </c>
      <c r="I26" s="6">
        <v>0.59</v>
      </c>
      <c r="J26" s="12">
        <f t="shared" si="0"/>
        <v>1.1355932203389831</v>
      </c>
      <c r="K26" s="11">
        <v>3.0158730158730159E-2</v>
      </c>
      <c r="L26" s="13">
        <v>76397000</v>
      </c>
      <c r="M26" s="13">
        <v>492379000</v>
      </c>
      <c r="N26" s="9" t="s">
        <v>67</v>
      </c>
      <c r="O26" s="6">
        <v>1</v>
      </c>
      <c r="P26" s="12">
        <v>0.14801690248906782</v>
      </c>
      <c r="Q26" s="12">
        <v>0.15515893244837817</v>
      </c>
      <c r="R26" s="14">
        <v>20</v>
      </c>
    </row>
    <row r="27" spans="2:18" x14ac:dyDescent="0.5">
      <c r="B27" s="1" t="s">
        <v>24</v>
      </c>
      <c r="C27" t="s">
        <v>755</v>
      </c>
      <c r="D27" t="s">
        <v>81</v>
      </c>
      <c r="E27">
        <v>23.36</v>
      </c>
      <c r="F27" s="9" t="s">
        <v>67</v>
      </c>
      <c r="G27" s="7">
        <v>49774870528</v>
      </c>
      <c r="H27" s="6">
        <v>26</v>
      </c>
      <c r="I27" s="6">
        <v>9.76</v>
      </c>
      <c r="J27" s="12">
        <f t="shared" si="0"/>
        <v>1.3934426229508197</v>
      </c>
      <c r="K27" s="11">
        <v>4.7945205479452059E-2</v>
      </c>
      <c r="L27" s="13">
        <v>5451928473.2399998</v>
      </c>
      <c r="M27" s="13">
        <v>25994816572.18</v>
      </c>
      <c r="N27" s="9" t="s">
        <v>50</v>
      </c>
      <c r="O27" s="6">
        <v>1.0683760683760684</v>
      </c>
      <c r="P27" s="12">
        <v>0.10940368808295436</v>
      </c>
      <c r="Q27" s="12">
        <v>0.20973136925592797</v>
      </c>
      <c r="R27" s="14">
        <v>21</v>
      </c>
    </row>
    <row r="28" spans="2:18" x14ac:dyDescent="0.5">
      <c r="B28" s="1" t="s">
        <v>22</v>
      </c>
      <c r="C28" t="s">
        <v>77</v>
      </c>
      <c r="D28" t="s">
        <v>78</v>
      </c>
      <c r="E28">
        <v>12.63</v>
      </c>
      <c r="F28" s="9" t="s">
        <v>67</v>
      </c>
      <c r="G28" s="7">
        <v>204273696768</v>
      </c>
      <c r="H28" s="6">
        <v>12.67</v>
      </c>
      <c r="I28" s="6">
        <v>7.16</v>
      </c>
      <c r="J28" s="12">
        <f t="shared" si="0"/>
        <v>0.7639664804469275</v>
      </c>
      <c r="K28" s="11">
        <v>3.3570863024544734E-2</v>
      </c>
      <c r="L28" s="13">
        <v>32866046000</v>
      </c>
      <c r="M28" s="13">
        <v>215280386000</v>
      </c>
      <c r="N28" s="9" t="s">
        <v>50</v>
      </c>
      <c r="O28" s="6">
        <v>1.0683760683760684</v>
      </c>
      <c r="P28" s="12">
        <v>0.14557344584672408</v>
      </c>
      <c r="Q28" s="12">
        <v>0.15266623500015464</v>
      </c>
      <c r="R28" s="14">
        <v>22</v>
      </c>
    </row>
    <row r="29" spans="2:18" x14ac:dyDescent="0.5">
      <c r="B29" s="1" t="s">
        <v>279</v>
      </c>
      <c r="C29" t="s">
        <v>332</v>
      </c>
      <c r="D29" t="s">
        <v>60</v>
      </c>
      <c r="E29">
        <v>11.08</v>
      </c>
      <c r="F29" s="9" t="s">
        <v>67</v>
      </c>
      <c r="G29" s="7">
        <v>17957345280</v>
      </c>
      <c r="H29" s="6">
        <v>12.4</v>
      </c>
      <c r="I29" s="6">
        <v>10.01</v>
      </c>
      <c r="J29" s="12">
        <f t="shared" si="0"/>
        <v>0.10689310689310694</v>
      </c>
      <c r="K29" s="11">
        <v>5.4151624548736461E-2</v>
      </c>
      <c r="L29" s="13">
        <v>1721368005.75</v>
      </c>
      <c r="M29" s="13">
        <v>14620942286.52</v>
      </c>
      <c r="N29" s="9" t="s">
        <v>50</v>
      </c>
      <c r="O29" s="6">
        <v>1.0683760683760684</v>
      </c>
      <c r="P29" s="12">
        <v>0.21680011899857843</v>
      </c>
      <c r="Q29" s="12">
        <v>0.11773304155211949</v>
      </c>
      <c r="R29" s="14">
        <v>23</v>
      </c>
    </row>
    <row r="30" spans="2:18" x14ac:dyDescent="0.5">
      <c r="B30" s="1" t="s">
        <v>282</v>
      </c>
      <c r="C30" t="s">
        <v>335</v>
      </c>
      <c r="D30" t="s">
        <v>96</v>
      </c>
      <c r="E30">
        <v>4.9400000000000004</v>
      </c>
      <c r="F30" s="9" t="s">
        <v>67</v>
      </c>
      <c r="G30" s="7">
        <v>5438700544</v>
      </c>
      <c r="H30" s="6">
        <v>4.9800000000000004</v>
      </c>
      <c r="I30" s="6">
        <v>4</v>
      </c>
      <c r="J30" s="12">
        <f t="shared" si="0"/>
        <v>0.2350000000000001</v>
      </c>
      <c r="K30" s="11">
        <v>6.4777327935222673E-2</v>
      </c>
      <c r="L30" s="13">
        <v>765224000</v>
      </c>
      <c r="M30" s="13">
        <v>5249449000</v>
      </c>
      <c r="N30" s="9" t="s">
        <v>67</v>
      </c>
      <c r="O30" s="6">
        <v>1</v>
      </c>
      <c r="P30" s="12">
        <v>0.1585969117104325</v>
      </c>
      <c r="Q30" s="12">
        <v>0.14577225152582682</v>
      </c>
      <c r="R30" s="14">
        <v>23</v>
      </c>
    </row>
    <row r="31" spans="2:18" x14ac:dyDescent="0.5">
      <c r="B31" s="1" t="s">
        <v>110</v>
      </c>
      <c r="C31" t="s">
        <v>147</v>
      </c>
      <c r="D31" t="s">
        <v>148</v>
      </c>
      <c r="E31">
        <v>4.1100000000000003</v>
      </c>
      <c r="F31" s="9" t="s">
        <v>67</v>
      </c>
      <c r="G31" s="7">
        <v>5899541504</v>
      </c>
      <c r="H31" s="6">
        <v>6.5</v>
      </c>
      <c r="I31" s="6">
        <v>2.88</v>
      </c>
      <c r="J31" s="12">
        <f t="shared" si="0"/>
        <v>0.42708333333333348</v>
      </c>
      <c r="K31" s="11">
        <v>9.5133819951338197E-2</v>
      </c>
      <c r="L31" s="13">
        <v>811880000</v>
      </c>
      <c r="M31" s="13">
        <v>5532140000</v>
      </c>
      <c r="N31" s="9" t="s">
        <v>50</v>
      </c>
      <c r="O31" s="6">
        <v>1.0683760683760684</v>
      </c>
      <c r="P31" s="12">
        <v>0.15256056313469238</v>
      </c>
      <c r="Q31" s="12">
        <v>0.14675695119790894</v>
      </c>
      <c r="R31" s="14">
        <v>23</v>
      </c>
    </row>
    <row r="32" spans="2:18" x14ac:dyDescent="0.5">
      <c r="B32" s="1" t="s">
        <v>289</v>
      </c>
      <c r="C32" t="s">
        <v>342</v>
      </c>
      <c r="D32" t="s">
        <v>85</v>
      </c>
      <c r="E32">
        <v>1.1100000000000001</v>
      </c>
      <c r="F32" s="9" t="s">
        <v>67</v>
      </c>
      <c r="G32" s="7">
        <v>2429250560</v>
      </c>
      <c r="H32" s="6">
        <v>1.29</v>
      </c>
      <c r="I32" s="6">
        <v>0.51</v>
      </c>
      <c r="J32" s="12">
        <f t="shared" si="0"/>
        <v>1.1764705882352944</v>
      </c>
      <c r="K32" s="11">
        <v>3.3333333333333326E-2</v>
      </c>
      <c r="L32" s="13">
        <v>219938000</v>
      </c>
      <c r="M32" s="13">
        <v>1520292000</v>
      </c>
      <c r="N32" s="9" t="s">
        <v>50</v>
      </c>
      <c r="O32" s="6">
        <v>1.0683760683760684</v>
      </c>
      <c r="P32" s="12">
        <v>0.15163708829624445</v>
      </c>
      <c r="Q32" s="12">
        <v>0.14466826109721026</v>
      </c>
      <c r="R32" s="14">
        <v>24</v>
      </c>
    </row>
    <row r="33" spans="2:18" x14ac:dyDescent="0.5">
      <c r="B33" s="1" t="s">
        <v>433</v>
      </c>
      <c r="C33" t="s">
        <v>436</v>
      </c>
      <c r="D33" t="s">
        <v>182</v>
      </c>
      <c r="E33">
        <v>17.21</v>
      </c>
      <c r="F33" s="9" t="s">
        <v>67</v>
      </c>
      <c r="G33" s="7">
        <v>93192142848</v>
      </c>
      <c r="H33" s="6">
        <v>18.88</v>
      </c>
      <c r="I33" s="6">
        <v>12.43</v>
      </c>
      <c r="J33" s="12">
        <f t="shared" si="0"/>
        <v>0.38455349959774754</v>
      </c>
      <c r="K33" s="11">
        <v>4.5148169668797207E-2</v>
      </c>
      <c r="L33" s="13">
        <v>6898733000</v>
      </c>
      <c r="M33" s="13">
        <v>12604518000</v>
      </c>
      <c r="N33" s="9" t="s">
        <v>50</v>
      </c>
      <c r="O33" s="6">
        <v>1.0683760683760684</v>
      </c>
      <c r="P33" s="12">
        <v>8.0291327898724424E-2</v>
      </c>
      <c r="Q33" s="12">
        <v>0.54732223794674262</v>
      </c>
      <c r="R33" s="14">
        <v>24</v>
      </c>
    </row>
    <row r="34" spans="2:18" x14ac:dyDescent="0.5">
      <c r="B34" s="1" t="s">
        <v>115</v>
      </c>
      <c r="C34" t="s">
        <v>155</v>
      </c>
      <c r="D34" t="s">
        <v>83</v>
      </c>
      <c r="E34">
        <v>84.2</v>
      </c>
      <c r="F34" s="9" t="s">
        <v>67</v>
      </c>
      <c r="G34" s="7">
        <v>233276063744</v>
      </c>
      <c r="H34" s="6">
        <v>106.3</v>
      </c>
      <c r="I34" s="6">
        <v>73.55</v>
      </c>
      <c r="J34" s="12">
        <f t="shared" ref="J34:J65" si="1">E34/I34-1</f>
        <v>0.14479945615227741</v>
      </c>
      <c r="K34" s="11">
        <v>2.8147268408551068E-2</v>
      </c>
      <c r="L34" s="13">
        <v>22510000000</v>
      </c>
      <c r="M34" s="13">
        <v>82545000000</v>
      </c>
      <c r="N34" s="9" t="s">
        <v>50</v>
      </c>
      <c r="O34" s="6">
        <v>1.0683760683760684</v>
      </c>
      <c r="P34" s="12">
        <v>9.5756104888290353E-2</v>
      </c>
      <c r="Q34" s="12">
        <v>0.27269973953601068</v>
      </c>
      <c r="R34" s="14">
        <v>25</v>
      </c>
    </row>
    <row r="35" spans="2:18" x14ac:dyDescent="0.5">
      <c r="B35" s="1" t="s">
        <v>270</v>
      </c>
      <c r="C35" t="s">
        <v>322</v>
      </c>
      <c r="D35" t="s">
        <v>94</v>
      </c>
      <c r="E35">
        <v>16.8</v>
      </c>
      <c r="F35" s="9" t="s">
        <v>67</v>
      </c>
      <c r="G35" s="7">
        <v>26956412928</v>
      </c>
      <c r="H35" s="6">
        <v>18.45</v>
      </c>
      <c r="I35" s="6">
        <v>9.6300000000000008</v>
      </c>
      <c r="J35" s="12">
        <f t="shared" si="1"/>
        <v>0.74454828660436134</v>
      </c>
      <c r="K35" s="11">
        <v>9.9404761904761905E-3</v>
      </c>
      <c r="L35" s="13">
        <v>634792000</v>
      </c>
      <c r="M35" s="13">
        <v>5195491000</v>
      </c>
      <c r="N35" s="9" t="s">
        <v>71</v>
      </c>
      <c r="O35" s="6">
        <v>7.6923076923076916</v>
      </c>
      <c r="P35" s="12">
        <v>0.17074850392264956</v>
      </c>
      <c r="Q35" s="12">
        <v>0.12218132992627646</v>
      </c>
      <c r="R35" s="14">
        <v>26</v>
      </c>
    </row>
    <row r="36" spans="2:18" x14ac:dyDescent="0.5">
      <c r="B36" s="1" t="s">
        <v>198</v>
      </c>
      <c r="C36" t="s">
        <v>222</v>
      </c>
      <c r="D36" t="s">
        <v>223</v>
      </c>
      <c r="E36">
        <v>0.68</v>
      </c>
      <c r="F36" s="9" t="s">
        <v>67</v>
      </c>
      <c r="G36" s="7">
        <v>1619900032</v>
      </c>
      <c r="H36" s="6">
        <v>0.74</v>
      </c>
      <c r="I36" s="6">
        <v>0.55000000000000004</v>
      </c>
      <c r="J36" s="12">
        <f t="shared" si="1"/>
        <v>0.23636363636363633</v>
      </c>
      <c r="K36" s="11">
        <v>1.4705882352941176E-2</v>
      </c>
      <c r="L36" s="13">
        <v>54195000</v>
      </c>
      <c r="M36" s="13">
        <v>586711000</v>
      </c>
      <c r="N36" s="9" t="s">
        <v>71</v>
      </c>
      <c r="O36" s="6">
        <v>7.6923076923076916</v>
      </c>
      <c r="P36" s="12">
        <v>1.2993597207955965</v>
      </c>
      <c r="Q36" s="12">
        <v>9.2370860611101543E-2</v>
      </c>
      <c r="R36" s="14">
        <v>27</v>
      </c>
    </row>
    <row r="37" spans="2:18" x14ac:dyDescent="0.5">
      <c r="B37" s="1" t="s">
        <v>139</v>
      </c>
      <c r="C37" t="s">
        <v>187</v>
      </c>
      <c r="D37" t="s">
        <v>106</v>
      </c>
      <c r="E37">
        <v>41.74</v>
      </c>
      <c r="F37" s="9" t="s">
        <v>67</v>
      </c>
      <c r="G37" s="7">
        <v>106805313536</v>
      </c>
      <c r="H37" s="6">
        <v>71.7</v>
      </c>
      <c r="I37" s="6">
        <v>39.08</v>
      </c>
      <c r="J37" s="12">
        <f t="shared" si="1"/>
        <v>6.8065506653019581E-2</v>
      </c>
      <c r="K37" s="11">
        <v>3.9290848107331093E-3</v>
      </c>
      <c r="L37" s="13">
        <v>1279098000</v>
      </c>
      <c r="M37" s="13">
        <v>4811702000</v>
      </c>
      <c r="N37" s="9" t="s">
        <v>188</v>
      </c>
      <c r="O37" s="6">
        <v>8.7546153846153842</v>
      </c>
      <c r="P37" s="12">
        <v>9.1522519687737169E-2</v>
      </c>
      <c r="Q37" s="12">
        <v>0.26583067696212276</v>
      </c>
      <c r="R37" s="14">
        <v>28</v>
      </c>
    </row>
    <row r="38" spans="2:18" x14ac:dyDescent="0.5">
      <c r="B38" s="1" t="s">
        <v>197</v>
      </c>
      <c r="C38" t="s">
        <v>220</v>
      </c>
      <c r="D38" t="s">
        <v>221</v>
      </c>
      <c r="E38">
        <v>29.58</v>
      </c>
      <c r="F38" s="9" t="s">
        <v>67</v>
      </c>
      <c r="G38" s="7">
        <v>257747746816</v>
      </c>
      <c r="H38" s="6">
        <v>29.8</v>
      </c>
      <c r="I38" s="6">
        <v>13.18</v>
      </c>
      <c r="J38" s="12">
        <f t="shared" si="1"/>
        <v>1.2443095599393019</v>
      </c>
      <c r="K38" s="11">
        <v>2.383367139959432E-2</v>
      </c>
      <c r="L38" s="13">
        <v>21175963859.630001</v>
      </c>
      <c r="M38" s="13">
        <v>104071284594.97</v>
      </c>
      <c r="N38" s="9" t="s">
        <v>50</v>
      </c>
      <c r="O38" s="6">
        <v>1.0683760683760684</v>
      </c>
      <c r="P38" s="12">
        <v>9.9688125816493431E-2</v>
      </c>
      <c r="Q38" s="12">
        <v>0.20347556909712136</v>
      </c>
      <c r="R38" s="14">
        <v>29</v>
      </c>
    </row>
    <row r="39" spans="2:18" x14ac:dyDescent="0.5">
      <c r="B39" s="1" t="s">
        <v>275</v>
      </c>
      <c r="C39" t="s">
        <v>328</v>
      </c>
      <c r="D39" t="s">
        <v>148</v>
      </c>
      <c r="E39">
        <v>32</v>
      </c>
      <c r="F39" s="9" t="s">
        <v>67</v>
      </c>
      <c r="G39" s="7">
        <v>228190060544</v>
      </c>
      <c r="H39" s="6">
        <v>34.119999999999997</v>
      </c>
      <c r="I39" s="6">
        <v>22.75</v>
      </c>
      <c r="J39" s="12">
        <f t="shared" si="1"/>
        <v>0.4065934065934067</v>
      </c>
      <c r="K39" s="11">
        <v>4.1218749999999998E-2</v>
      </c>
      <c r="L39" s="13">
        <v>61181051000</v>
      </c>
      <c r="M39" s="13">
        <v>532289194000</v>
      </c>
      <c r="N39" s="9" t="s">
        <v>50</v>
      </c>
      <c r="O39" s="6">
        <v>1.0683760683760684</v>
      </c>
      <c r="P39" s="12">
        <v>0.17551205618466736</v>
      </c>
      <c r="Q39" s="12">
        <v>0.11493949471384535</v>
      </c>
      <c r="R39" s="14">
        <v>30</v>
      </c>
    </row>
    <row r="40" spans="2:18" x14ac:dyDescent="0.5">
      <c r="B40" s="1" t="s">
        <v>276</v>
      </c>
      <c r="C40" t="s">
        <v>329</v>
      </c>
      <c r="D40" t="s">
        <v>53</v>
      </c>
      <c r="E40">
        <v>27.3</v>
      </c>
      <c r="F40" s="9" t="s">
        <v>67</v>
      </c>
      <c r="G40" s="7">
        <v>278913810432</v>
      </c>
      <c r="H40" s="6">
        <v>27.92</v>
      </c>
      <c r="I40" s="6">
        <v>19.239999999999998</v>
      </c>
      <c r="J40" s="12">
        <f t="shared" si="1"/>
        <v>0.41891891891891908</v>
      </c>
      <c r="K40" s="11">
        <v>4.5201465201465202E-2</v>
      </c>
      <c r="L40" s="13">
        <v>25459748125.549999</v>
      </c>
      <c r="M40" s="13">
        <v>134815560756.77</v>
      </c>
      <c r="N40" s="9" t="s">
        <v>50</v>
      </c>
      <c r="O40" s="6">
        <v>1.0683760683760684</v>
      </c>
      <c r="P40" s="12">
        <v>0.10186399419037177</v>
      </c>
      <c r="Q40" s="12">
        <v>0.18884873513587705</v>
      </c>
      <c r="R40" s="14">
        <v>31</v>
      </c>
    </row>
    <row r="41" spans="2:18" x14ac:dyDescent="0.5">
      <c r="B41" s="1" t="s">
        <v>272</v>
      </c>
      <c r="C41" t="s">
        <v>324</v>
      </c>
      <c r="D41" t="s">
        <v>296</v>
      </c>
      <c r="E41">
        <v>4.18</v>
      </c>
      <c r="F41" s="9" t="s">
        <v>67</v>
      </c>
      <c r="G41" s="7">
        <v>48076365824</v>
      </c>
      <c r="H41" s="6">
        <v>4.54</v>
      </c>
      <c r="I41" s="6">
        <v>2.76</v>
      </c>
      <c r="J41" s="12">
        <f t="shared" si="1"/>
        <v>0.51449275362318847</v>
      </c>
      <c r="K41" s="11">
        <v>4.5454545454545456E-2</v>
      </c>
      <c r="L41" s="13">
        <v>9414000000</v>
      </c>
      <c r="M41" s="13">
        <v>81589000000</v>
      </c>
      <c r="N41" s="9" t="s">
        <v>50</v>
      </c>
      <c r="O41" s="6">
        <v>1.0683760683760684</v>
      </c>
      <c r="P41" s="12">
        <v>0.16121387254627978</v>
      </c>
      <c r="Q41" s="12">
        <v>0.11538320116682396</v>
      </c>
      <c r="R41" s="14">
        <v>32</v>
      </c>
    </row>
    <row r="42" spans="2:18" x14ac:dyDescent="0.5">
      <c r="B42" s="1" t="s">
        <v>136</v>
      </c>
      <c r="C42" t="s">
        <v>183</v>
      </c>
      <c r="D42" t="s">
        <v>85</v>
      </c>
      <c r="E42">
        <v>12.94</v>
      </c>
      <c r="F42" s="9" t="s">
        <v>67</v>
      </c>
      <c r="G42" s="7">
        <v>72936521728</v>
      </c>
      <c r="H42" s="6">
        <v>14.24</v>
      </c>
      <c r="I42" s="6">
        <v>10.16</v>
      </c>
      <c r="J42" s="12">
        <f t="shared" si="1"/>
        <v>0.27362204724409445</v>
      </c>
      <c r="K42" s="11">
        <v>2.5579598145285938E-2</v>
      </c>
      <c r="L42" s="13">
        <v>6482967000</v>
      </c>
      <c r="M42" s="13">
        <v>27483863000</v>
      </c>
      <c r="N42" s="9" t="s">
        <v>50</v>
      </c>
      <c r="O42" s="6">
        <v>1.0683760683760684</v>
      </c>
      <c r="P42" s="12">
        <v>8.7291594236429931E-2</v>
      </c>
      <c r="Q42" s="12">
        <v>0.23588267049650188</v>
      </c>
      <c r="R42" s="14">
        <v>33</v>
      </c>
    </row>
    <row r="43" spans="2:18" x14ac:dyDescent="0.5">
      <c r="B43" s="1" t="s">
        <v>277</v>
      </c>
      <c r="C43" t="s">
        <v>330</v>
      </c>
      <c r="D43" t="s">
        <v>55</v>
      </c>
      <c r="E43">
        <v>12.7</v>
      </c>
      <c r="F43" s="9" t="s">
        <v>67</v>
      </c>
      <c r="G43" s="7">
        <v>32014637056</v>
      </c>
      <c r="H43" s="6">
        <v>13.1</v>
      </c>
      <c r="I43" s="6">
        <v>6.09</v>
      </c>
      <c r="J43" s="12">
        <f t="shared" si="1"/>
        <v>1.0853858784893267</v>
      </c>
      <c r="K43" s="11">
        <v>2.5039370078740159E-2</v>
      </c>
      <c r="L43" s="13">
        <v>3301437000</v>
      </c>
      <c r="M43" s="13">
        <v>21814427000</v>
      </c>
      <c r="N43" s="9" t="s">
        <v>67</v>
      </c>
      <c r="O43" s="6">
        <v>1</v>
      </c>
      <c r="P43" s="12">
        <v>0.11702900362821209</v>
      </c>
      <c r="Q43" s="12">
        <v>0.15134190781174311</v>
      </c>
      <c r="R43" s="14">
        <v>34</v>
      </c>
    </row>
    <row r="44" spans="2:18" x14ac:dyDescent="0.5">
      <c r="B44" s="1" t="s">
        <v>280</v>
      </c>
      <c r="C44" t="s">
        <v>333</v>
      </c>
      <c r="D44" t="s">
        <v>96</v>
      </c>
      <c r="E44">
        <v>4.5199999999999996</v>
      </c>
      <c r="F44" s="9" t="s">
        <v>67</v>
      </c>
      <c r="G44" s="7">
        <v>31305603072</v>
      </c>
      <c r="H44" s="6">
        <v>6.15</v>
      </c>
      <c r="I44" s="6">
        <v>3.78</v>
      </c>
      <c r="J44" s="12">
        <f t="shared" si="1"/>
        <v>0.19576719576719581</v>
      </c>
      <c r="K44" s="11">
        <v>4.8451327433628323E-2</v>
      </c>
      <c r="L44" s="13">
        <v>4216348000</v>
      </c>
      <c r="M44" s="13">
        <v>46142120000</v>
      </c>
      <c r="N44" s="9" t="s">
        <v>50</v>
      </c>
      <c r="O44" s="6">
        <v>1.0683760683760684</v>
      </c>
      <c r="P44" s="12">
        <v>0.36057161866600684</v>
      </c>
      <c r="Q44" s="12">
        <v>9.1377422623841298E-2</v>
      </c>
      <c r="R44" s="14">
        <v>34</v>
      </c>
    </row>
    <row r="45" spans="2:18" x14ac:dyDescent="0.5">
      <c r="B45" s="1" t="s">
        <v>278</v>
      </c>
      <c r="C45" t="s">
        <v>331</v>
      </c>
      <c r="D45" t="s">
        <v>49</v>
      </c>
      <c r="E45">
        <v>24.68</v>
      </c>
      <c r="F45" s="9" t="s">
        <v>67</v>
      </c>
      <c r="G45" s="7">
        <v>39389282304</v>
      </c>
      <c r="H45" s="6">
        <v>24.94</v>
      </c>
      <c r="I45" s="6">
        <v>16.18</v>
      </c>
      <c r="J45" s="12">
        <f t="shared" si="1"/>
        <v>0.5253399258343634</v>
      </c>
      <c r="K45" s="11">
        <v>2.7795786061588335E-2</v>
      </c>
      <c r="L45" s="13">
        <v>3811007000</v>
      </c>
      <c r="M45" s="13">
        <v>22856317000</v>
      </c>
      <c r="N45" s="9" t="s">
        <v>50</v>
      </c>
      <c r="O45" s="6">
        <v>1.0683760683760684</v>
      </c>
      <c r="P45" s="12">
        <v>0.10524993430808123</v>
      </c>
      <c r="Q45" s="12">
        <v>0.1667375806872122</v>
      </c>
      <c r="R45" s="14">
        <v>34</v>
      </c>
    </row>
    <row r="46" spans="2:18" x14ac:dyDescent="0.5">
      <c r="B46" s="1" t="s">
        <v>261</v>
      </c>
      <c r="C46" t="s">
        <v>310</v>
      </c>
      <c r="D46" t="s">
        <v>311</v>
      </c>
      <c r="E46">
        <v>7.18</v>
      </c>
      <c r="F46" s="9" t="s">
        <v>67</v>
      </c>
      <c r="G46" s="7">
        <v>12977342464</v>
      </c>
      <c r="H46" s="6">
        <v>9.7899999999999991</v>
      </c>
      <c r="I46" s="6">
        <v>5.49</v>
      </c>
      <c r="J46" s="12">
        <f t="shared" si="1"/>
        <v>0.30783242258652077</v>
      </c>
      <c r="K46" s="11">
        <v>3.6211699164345405E-2</v>
      </c>
      <c r="L46" s="13">
        <v>2897428000</v>
      </c>
      <c r="M46" s="13">
        <v>25970601000</v>
      </c>
      <c r="N46" s="9" t="s">
        <v>67</v>
      </c>
      <c r="O46" s="6">
        <v>1</v>
      </c>
      <c r="P46" s="12">
        <v>0.16194211091238978</v>
      </c>
      <c r="Q46" s="12">
        <v>0.11156568921912897</v>
      </c>
      <c r="R46" s="14">
        <v>35</v>
      </c>
    </row>
    <row r="47" spans="2:18" x14ac:dyDescent="0.5">
      <c r="B47" s="1" t="s">
        <v>267</v>
      </c>
      <c r="C47" t="s">
        <v>318</v>
      </c>
      <c r="D47" t="s">
        <v>171</v>
      </c>
      <c r="E47">
        <v>80.95</v>
      </c>
      <c r="F47" s="9" t="s">
        <v>67</v>
      </c>
      <c r="G47" s="7">
        <v>19818606592</v>
      </c>
      <c r="H47" s="6">
        <v>103.1</v>
      </c>
      <c r="I47" s="6">
        <v>58.2</v>
      </c>
      <c r="J47" s="12">
        <f t="shared" si="1"/>
        <v>0.39089347079037795</v>
      </c>
      <c r="K47" s="11">
        <v>1.0129709697344039E-2</v>
      </c>
      <c r="L47" s="13">
        <v>526052000</v>
      </c>
      <c r="M47" s="13">
        <v>5343547000</v>
      </c>
      <c r="N47" s="9" t="s">
        <v>71</v>
      </c>
      <c r="O47" s="6">
        <v>7.6923076923076916</v>
      </c>
      <c r="P47" s="12">
        <v>0.20300660440900034</v>
      </c>
      <c r="Q47" s="12">
        <v>9.8446219337080781E-2</v>
      </c>
      <c r="R47" s="14">
        <v>36</v>
      </c>
    </row>
    <row r="48" spans="2:18" x14ac:dyDescent="0.5">
      <c r="B48" s="1" t="s">
        <v>283</v>
      </c>
      <c r="C48" t="s">
        <v>336</v>
      </c>
      <c r="D48" t="s">
        <v>70</v>
      </c>
      <c r="E48">
        <v>3.48</v>
      </c>
      <c r="F48" s="9" t="s">
        <v>67</v>
      </c>
      <c r="G48" s="7">
        <v>1998146304</v>
      </c>
      <c r="H48" s="6">
        <v>4.84</v>
      </c>
      <c r="I48" s="6">
        <v>2.8</v>
      </c>
      <c r="J48" s="12">
        <f t="shared" si="1"/>
        <v>0.24285714285714288</v>
      </c>
      <c r="K48" s="11">
        <v>8.0459770114942541E-2</v>
      </c>
      <c r="L48" s="13">
        <v>392836000</v>
      </c>
      <c r="M48" s="13">
        <v>3201831000</v>
      </c>
      <c r="N48" s="9" t="s">
        <v>67</v>
      </c>
      <c r="O48" s="6">
        <v>1</v>
      </c>
      <c r="P48" s="12">
        <v>0.12770721872345611</v>
      </c>
      <c r="Q48" s="12">
        <v>0.12269104771613493</v>
      </c>
      <c r="R48" s="14">
        <v>37</v>
      </c>
    </row>
    <row r="49" spans="2:18" x14ac:dyDescent="0.5">
      <c r="B49" s="1" t="s">
        <v>37</v>
      </c>
      <c r="C49" t="s">
        <v>101</v>
      </c>
      <c r="D49" t="s">
        <v>102</v>
      </c>
      <c r="E49">
        <v>4.9800000000000004</v>
      </c>
      <c r="F49" s="9" t="s">
        <v>67</v>
      </c>
      <c r="G49" s="7">
        <v>3880426752</v>
      </c>
      <c r="H49" s="6">
        <v>8.83</v>
      </c>
      <c r="I49" s="6">
        <v>4.28</v>
      </c>
      <c r="J49" s="12">
        <f t="shared" si="1"/>
        <v>0.16355140186915884</v>
      </c>
      <c r="K49" s="11">
        <v>3.4136546184738957E-2</v>
      </c>
      <c r="L49" s="13">
        <v>437453000</v>
      </c>
      <c r="M49" s="13">
        <v>4911072000</v>
      </c>
      <c r="N49" s="9" t="s">
        <v>67</v>
      </c>
      <c r="O49" s="6">
        <v>1</v>
      </c>
      <c r="P49" s="12">
        <v>0.27495859037003051</v>
      </c>
      <c r="Q49" s="12">
        <v>8.9074849645861431E-2</v>
      </c>
      <c r="R49" s="14">
        <v>38</v>
      </c>
    </row>
    <row r="50" spans="2:18" x14ac:dyDescent="0.5">
      <c r="B50" s="1" t="s">
        <v>271</v>
      </c>
      <c r="C50" t="s">
        <v>323</v>
      </c>
      <c r="D50" t="s">
        <v>94</v>
      </c>
      <c r="E50">
        <v>0.46</v>
      </c>
      <c r="F50" s="9" t="s">
        <v>67</v>
      </c>
      <c r="G50" s="7">
        <v>2382233344</v>
      </c>
      <c r="H50" s="6">
        <v>0.68</v>
      </c>
      <c r="I50" s="6">
        <v>0.44500000000000001</v>
      </c>
      <c r="J50" s="12">
        <f t="shared" si="1"/>
        <v>3.3707865168539408E-2</v>
      </c>
      <c r="K50" s="11">
        <v>4.3478260869565216E-2</v>
      </c>
      <c r="L50" s="13">
        <v>756004000</v>
      </c>
      <c r="M50" s="13">
        <v>8813758000</v>
      </c>
      <c r="N50" s="9" t="s">
        <v>50</v>
      </c>
      <c r="O50" s="6">
        <v>1.0683760683760684</v>
      </c>
      <c r="P50" s="12">
        <v>0.32610958274159646</v>
      </c>
      <c r="Q50" s="12">
        <v>8.5775443346640556E-2</v>
      </c>
      <c r="R50" s="14">
        <v>38</v>
      </c>
    </row>
    <row r="51" spans="2:18" x14ac:dyDescent="0.5">
      <c r="B51" s="1" t="s">
        <v>779</v>
      </c>
      <c r="C51" t="s">
        <v>782</v>
      </c>
      <c r="D51" t="s">
        <v>96</v>
      </c>
      <c r="E51">
        <v>78.45</v>
      </c>
      <c r="F51" s="9" t="s">
        <v>67</v>
      </c>
      <c r="G51" s="7">
        <v>1717360918528</v>
      </c>
      <c r="H51" s="6">
        <v>90.6</v>
      </c>
      <c r="I51" s="6">
        <v>75.849999999999994</v>
      </c>
      <c r="J51" s="12">
        <f t="shared" si="1"/>
        <v>3.4278180619644161E-2</v>
      </c>
      <c r="K51" s="11">
        <v>6.3123008285532189E-2</v>
      </c>
      <c r="L51" s="13">
        <v>181466000000</v>
      </c>
      <c r="M51" s="13">
        <v>1392032000000</v>
      </c>
      <c r="N51" s="9" t="s">
        <v>50</v>
      </c>
      <c r="O51" s="6">
        <v>1.0683760683760684</v>
      </c>
      <c r="P51" s="12">
        <v>0.11871519008083829</v>
      </c>
      <c r="Q51" s="12">
        <v>0.13036050895381715</v>
      </c>
      <c r="R51" s="14">
        <v>39</v>
      </c>
    </row>
    <row r="52" spans="2:18" x14ac:dyDescent="0.5">
      <c r="B52" s="1" t="s">
        <v>780</v>
      </c>
      <c r="C52" t="s">
        <v>783</v>
      </c>
      <c r="D52" t="s">
        <v>221</v>
      </c>
      <c r="E52">
        <v>99.15</v>
      </c>
      <c r="F52" s="9" t="s">
        <v>67</v>
      </c>
      <c r="G52" s="7">
        <v>903970095104</v>
      </c>
      <c r="H52" s="6">
        <v>158.86667</v>
      </c>
      <c r="I52" s="6">
        <v>88.5</v>
      </c>
      <c r="J52" s="12">
        <f t="shared" si="1"/>
        <v>0.12033898305084745</v>
      </c>
      <c r="K52" s="11">
        <v>1.3363590519415026E-2</v>
      </c>
      <c r="L52" s="13">
        <v>51774458000</v>
      </c>
      <c r="M52" s="13">
        <v>205612162000</v>
      </c>
      <c r="N52" s="9" t="s">
        <v>50</v>
      </c>
      <c r="O52" s="6">
        <v>1.0683760683760684</v>
      </c>
      <c r="P52" s="12">
        <v>6.6052592892946488E-2</v>
      </c>
      <c r="Q52" s="12">
        <v>0.25180639849504621</v>
      </c>
      <c r="R52" s="14">
        <v>40</v>
      </c>
    </row>
    <row r="53" spans="2:18" x14ac:dyDescent="0.5">
      <c r="B53" s="1" t="s">
        <v>121</v>
      </c>
      <c r="C53" t="s">
        <v>162</v>
      </c>
      <c r="D53" t="s">
        <v>76</v>
      </c>
      <c r="E53">
        <v>7.01</v>
      </c>
      <c r="F53" s="9" t="s">
        <v>67</v>
      </c>
      <c r="G53" s="7">
        <v>10276460544</v>
      </c>
      <c r="H53" s="6">
        <v>7.05</v>
      </c>
      <c r="I53" s="6">
        <v>4.08</v>
      </c>
      <c r="J53" s="12">
        <f t="shared" si="1"/>
        <v>0.71813725490196068</v>
      </c>
      <c r="K53" s="11">
        <v>7.7746077032810279E-2</v>
      </c>
      <c r="L53" s="13">
        <v>784607000</v>
      </c>
      <c r="M53" s="13">
        <v>7872586000</v>
      </c>
      <c r="N53" s="9" t="s">
        <v>67</v>
      </c>
      <c r="O53" s="6">
        <v>1</v>
      </c>
      <c r="P53" s="12">
        <v>0.17221557053746536</v>
      </c>
      <c r="Q53" s="12">
        <v>9.9663185641922489E-2</v>
      </c>
      <c r="R53" s="14">
        <v>40</v>
      </c>
    </row>
    <row r="54" spans="2:18" x14ac:dyDescent="0.5">
      <c r="B54" s="1" t="s">
        <v>248</v>
      </c>
      <c r="C54" t="s">
        <v>293</v>
      </c>
      <c r="D54" t="s">
        <v>294</v>
      </c>
      <c r="E54">
        <v>23.1</v>
      </c>
      <c r="F54" s="9" t="s">
        <v>67</v>
      </c>
      <c r="G54" s="7">
        <v>562064523264</v>
      </c>
      <c r="H54" s="6">
        <v>25.24</v>
      </c>
      <c r="I54" s="6">
        <v>4.58</v>
      </c>
      <c r="J54" s="12">
        <f t="shared" si="1"/>
        <v>4.0436681222707422</v>
      </c>
      <c r="K54" s="11">
        <v>1.1038961038961039E-2</v>
      </c>
      <c r="L54" s="13">
        <v>29168443138.220001</v>
      </c>
      <c r="M54" s="13">
        <v>100996030941.41</v>
      </c>
      <c r="N54" s="9" t="s">
        <v>50</v>
      </c>
      <c r="O54" s="6">
        <v>1.0683760683760684</v>
      </c>
      <c r="P54" s="12">
        <v>5.5462450257159603E-2</v>
      </c>
      <c r="Q54" s="12">
        <v>0.2888078161719172</v>
      </c>
      <c r="R54" s="14">
        <v>41</v>
      </c>
    </row>
    <row r="55" spans="2:18" x14ac:dyDescent="0.5">
      <c r="B55" s="1" t="s">
        <v>25</v>
      </c>
      <c r="C55" t="s">
        <v>82</v>
      </c>
      <c r="D55" t="s">
        <v>49</v>
      </c>
      <c r="E55">
        <v>10.119999999999999</v>
      </c>
      <c r="F55" s="9" t="s">
        <v>67</v>
      </c>
      <c r="G55" s="7">
        <v>12603639808</v>
      </c>
      <c r="H55" s="6">
        <v>12.08</v>
      </c>
      <c r="I55" s="6">
        <v>4.3499999999999996</v>
      </c>
      <c r="J55" s="12">
        <f t="shared" si="1"/>
        <v>1.3264367816091953</v>
      </c>
      <c r="K55" s="11">
        <v>1.3932806324110671E-2</v>
      </c>
      <c r="L55" s="13">
        <v>921702000</v>
      </c>
      <c r="M55" s="13">
        <v>5262544000</v>
      </c>
      <c r="N55" s="9" t="s">
        <v>50</v>
      </c>
      <c r="O55" s="6">
        <v>1.0683760683760684</v>
      </c>
      <c r="P55" s="12">
        <v>9.7048305307680244E-2</v>
      </c>
      <c r="Q55" s="12">
        <v>0.17514380877385538</v>
      </c>
      <c r="R55" s="14">
        <v>41</v>
      </c>
    </row>
    <row r="56" spans="2:18" x14ac:dyDescent="0.5">
      <c r="B56" s="1" t="s">
        <v>19</v>
      </c>
      <c r="C56" t="s">
        <v>69</v>
      </c>
      <c r="D56" t="s">
        <v>70</v>
      </c>
      <c r="E56">
        <v>7.52</v>
      </c>
      <c r="F56" s="9" t="s">
        <v>67</v>
      </c>
      <c r="G56" s="7">
        <v>21453221888</v>
      </c>
      <c r="H56" s="6">
        <v>7.77</v>
      </c>
      <c r="I56" s="6">
        <v>3.6</v>
      </c>
      <c r="J56" s="12">
        <f t="shared" si="1"/>
        <v>1.0888888888888886</v>
      </c>
      <c r="K56" s="11">
        <v>5.9840425531914893E-3</v>
      </c>
      <c r="L56" s="13">
        <v>259348000</v>
      </c>
      <c r="M56" s="13">
        <v>1677627000</v>
      </c>
      <c r="N56" s="9" t="s">
        <v>71</v>
      </c>
      <c r="O56" s="6">
        <v>7.6923076923076916</v>
      </c>
      <c r="P56" s="12">
        <v>0.10223016638818848</v>
      </c>
      <c r="Q56" s="12">
        <v>0.15459217096529801</v>
      </c>
      <c r="R56" s="14">
        <v>41</v>
      </c>
    </row>
    <row r="57" spans="2:18" x14ac:dyDescent="0.5">
      <c r="B57" s="1" t="s">
        <v>265</v>
      </c>
      <c r="C57" t="s">
        <v>316</v>
      </c>
      <c r="D57" t="s">
        <v>298</v>
      </c>
      <c r="E57">
        <v>4.88</v>
      </c>
      <c r="F57" s="9" t="s">
        <v>67</v>
      </c>
      <c r="G57" s="7">
        <v>4509813248</v>
      </c>
      <c r="H57" s="6">
        <v>5.59</v>
      </c>
      <c r="I57" s="6">
        <v>3.78</v>
      </c>
      <c r="J57" s="12">
        <f t="shared" si="1"/>
        <v>0.29100529100529093</v>
      </c>
      <c r="K57" s="11">
        <v>3.1762295081967214E-2</v>
      </c>
      <c r="L57" s="13">
        <v>754477000</v>
      </c>
      <c r="M57" s="13">
        <v>11677999000</v>
      </c>
      <c r="N57" s="9" t="s">
        <v>67</v>
      </c>
      <c r="O57" s="6">
        <v>1</v>
      </c>
      <c r="P57" s="12">
        <v>0.37909526158342316</v>
      </c>
      <c r="Q57" s="12">
        <v>6.460670188445812E-2</v>
      </c>
      <c r="R57" s="14">
        <v>42</v>
      </c>
    </row>
    <row r="58" spans="2:18" x14ac:dyDescent="0.5">
      <c r="B58" s="1" t="s">
        <v>274</v>
      </c>
      <c r="C58" t="s">
        <v>326</v>
      </c>
      <c r="D58" t="s">
        <v>327</v>
      </c>
      <c r="E58">
        <v>11.04</v>
      </c>
      <c r="F58" s="9" t="s">
        <v>67</v>
      </c>
      <c r="G58" s="7">
        <v>14072467456</v>
      </c>
      <c r="H58" s="6">
        <v>11.99</v>
      </c>
      <c r="I58" s="6">
        <v>3.85</v>
      </c>
      <c r="J58" s="12">
        <f t="shared" si="1"/>
        <v>1.8675324675324672</v>
      </c>
      <c r="K58" s="11">
        <v>2.3550724637681163E-2</v>
      </c>
      <c r="L58" s="13">
        <v>2871477000</v>
      </c>
      <c r="M58" s="13">
        <v>21784665000</v>
      </c>
      <c r="N58" s="9" t="s">
        <v>50</v>
      </c>
      <c r="O58" s="6">
        <v>1.0683760683760684</v>
      </c>
      <c r="P58" s="12">
        <v>0.11325650257780751</v>
      </c>
      <c r="Q58" s="12">
        <v>0.1318118502166547</v>
      </c>
      <c r="R58" s="14">
        <v>43</v>
      </c>
    </row>
    <row r="59" spans="2:18" x14ac:dyDescent="0.5">
      <c r="B59" s="1" t="s">
        <v>767</v>
      </c>
      <c r="C59" t="s">
        <v>772</v>
      </c>
      <c r="D59" t="s">
        <v>49</v>
      </c>
      <c r="E59">
        <v>1.69</v>
      </c>
      <c r="F59" s="9" t="s">
        <v>67</v>
      </c>
      <c r="G59" s="7">
        <v>1065598400</v>
      </c>
      <c r="H59" s="6">
        <v>1.94</v>
      </c>
      <c r="I59" s="6">
        <v>1.28</v>
      </c>
      <c r="J59" s="12">
        <f t="shared" si="1"/>
        <v>0.3203125</v>
      </c>
      <c r="K59" s="11">
        <v>6.8639053254437879E-2</v>
      </c>
      <c r="L59" s="13">
        <v>191186000</v>
      </c>
      <c r="M59" s="13">
        <v>3081570000</v>
      </c>
      <c r="N59" s="9" t="s">
        <v>67</v>
      </c>
      <c r="O59" s="6">
        <v>1</v>
      </c>
      <c r="P59" s="12">
        <v>0.34450696398305158</v>
      </c>
      <c r="Q59" s="12">
        <v>6.2041751444880368E-2</v>
      </c>
      <c r="R59" s="14">
        <v>44</v>
      </c>
    </row>
    <row r="60" spans="2:18" x14ac:dyDescent="0.5">
      <c r="B60" s="1" t="s">
        <v>35</v>
      </c>
      <c r="C60" t="s">
        <v>98</v>
      </c>
      <c r="D60" t="s">
        <v>99</v>
      </c>
      <c r="E60">
        <v>418</v>
      </c>
      <c r="F60" s="9" t="s">
        <v>67</v>
      </c>
      <c r="G60" s="7">
        <v>528313253888</v>
      </c>
      <c r="H60" s="6">
        <v>466</v>
      </c>
      <c r="I60" s="6">
        <v>283.2</v>
      </c>
      <c r="J60" s="12">
        <f t="shared" si="1"/>
        <v>0.47598870056497189</v>
      </c>
      <c r="K60" s="11">
        <v>2.6076555023923444E-2</v>
      </c>
      <c r="L60" s="13">
        <v>20744000000</v>
      </c>
      <c r="M60" s="13">
        <v>53852000000</v>
      </c>
      <c r="N60" s="9" t="s">
        <v>67</v>
      </c>
      <c r="O60" s="6">
        <v>1</v>
      </c>
      <c r="P60" s="12">
        <v>5.2484267043670485E-2</v>
      </c>
      <c r="Q60" s="12">
        <v>0.38520389214885242</v>
      </c>
      <c r="R60" s="14">
        <v>45</v>
      </c>
    </row>
    <row r="61" spans="2:18" x14ac:dyDescent="0.5">
      <c r="B61" s="1" t="s">
        <v>260</v>
      </c>
      <c r="C61" t="s">
        <v>309</v>
      </c>
      <c r="D61" t="s">
        <v>74</v>
      </c>
      <c r="E61">
        <v>7.14</v>
      </c>
      <c r="F61" s="9" t="s">
        <v>67</v>
      </c>
      <c r="G61" s="7">
        <v>4868510208</v>
      </c>
      <c r="H61" s="6">
        <v>10.98</v>
      </c>
      <c r="I61" s="6">
        <v>6.56</v>
      </c>
      <c r="J61" s="12">
        <f t="shared" si="1"/>
        <v>8.8414634146341431E-2</v>
      </c>
      <c r="K61" s="11">
        <v>0.05</v>
      </c>
      <c r="L61" s="13">
        <v>618033000</v>
      </c>
      <c r="M61" s="13">
        <v>5033024000</v>
      </c>
      <c r="N61" s="9" t="s">
        <v>50</v>
      </c>
      <c r="O61" s="6">
        <v>1.0683760683760684</v>
      </c>
      <c r="P61" s="12">
        <v>0.11217128582278313</v>
      </c>
      <c r="Q61" s="12">
        <v>0.12279555988606453</v>
      </c>
      <c r="R61" s="14">
        <v>46</v>
      </c>
    </row>
    <row r="62" spans="2:18" x14ac:dyDescent="0.5">
      <c r="B62" s="1" t="s">
        <v>269</v>
      </c>
      <c r="C62" t="s">
        <v>321</v>
      </c>
      <c r="D62" t="s">
        <v>85</v>
      </c>
      <c r="E62">
        <v>12.86</v>
      </c>
      <c r="F62" s="9" t="s">
        <v>67</v>
      </c>
      <c r="G62" s="7">
        <v>3018524928</v>
      </c>
      <c r="H62" s="6">
        <v>17</v>
      </c>
      <c r="I62" s="6">
        <v>8.3000000000000007</v>
      </c>
      <c r="J62" s="12">
        <f t="shared" si="1"/>
        <v>0.54939759036144564</v>
      </c>
      <c r="K62" s="11">
        <v>3.7325038880248837E-2</v>
      </c>
      <c r="L62" s="13">
        <v>244811000</v>
      </c>
      <c r="M62" s="13">
        <v>2904223000</v>
      </c>
      <c r="N62" s="9" t="s">
        <v>67</v>
      </c>
      <c r="O62" s="6">
        <v>1</v>
      </c>
      <c r="P62" s="12">
        <v>0.18602250664204245</v>
      </c>
      <c r="Q62" s="12">
        <v>8.4294835486117978E-2</v>
      </c>
      <c r="R62" s="14">
        <v>47</v>
      </c>
    </row>
    <row r="63" spans="2:18" x14ac:dyDescent="0.5">
      <c r="B63" s="1" t="s">
        <v>263</v>
      </c>
      <c r="C63" t="s">
        <v>313</v>
      </c>
      <c r="D63" t="s">
        <v>314</v>
      </c>
      <c r="E63">
        <v>9.39</v>
      </c>
      <c r="F63" s="9" t="s">
        <v>67</v>
      </c>
      <c r="G63" s="7">
        <v>23541633024</v>
      </c>
      <c r="H63" s="6">
        <v>10.14</v>
      </c>
      <c r="I63" s="6">
        <v>5.25</v>
      </c>
      <c r="J63" s="12">
        <f t="shared" si="1"/>
        <v>0.7885714285714287</v>
      </c>
      <c r="K63" s="11">
        <v>4.2385516506922259E-2</v>
      </c>
      <c r="L63" s="13">
        <v>3040816000</v>
      </c>
      <c r="M63" s="13">
        <v>29707522000</v>
      </c>
      <c r="N63" s="9" t="s">
        <v>50</v>
      </c>
      <c r="O63" s="6">
        <v>1.0683760683760684</v>
      </c>
      <c r="P63" s="12">
        <v>0.12939980914164587</v>
      </c>
      <c r="Q63" s="12">
        <v>0.102358453189061</v>
      </c>
      <c r="R63" s="14">
        <v>48</v>
      </c>
    </row>
    <row r="64" spans="2:18" x14ac:dyDescent="0.5">
      <c r="B64" s="1" t="s">
        <v>380</v>
      </c>
      <c r="C64" t="s">
        <v>383</v>
      </c>
      <c r="D64" t="s">
        <v>83</v>
      </c>
      <c r="E64">
        <v>22.04</v>
      </c>
      <c r="F64" s="9" t="s">
        <v>67</v>
      </c>
      <c r="G64" s="7">
        <v>56753532928</v>
      </c>
      <c r="H64" s="6">
        <v>22.12</v>
      </c>
      <c r="I64" s="6">
        <v>13.5</v>
      </c>
      <c r="J64" s="12">
        <f t="shared" si="1"/>
        <v>0.6325925925925926</v>
      </c>
      <c r="K64" s="11">
        <v>2.4637023593466426E-2</v>
      </c>
      <c r="L64" s="13">
        <v>4264779000</v>
      </c>
      <c r="M64" s="13">
        <v>26103689000</v>
      </c>
      <c r="N64" s="9" t="s">
        <v>50</v>
      </c>
      <c r="O64" s="6">
        <v>1.0683760683760684</v>
      </c>
      <c r="P64" s="12">
        <v>8.9673724142492861E-2</v>
      </c>
      <c r="Q64" s="12">
        <v>0.16337840218675606</v>
      </c>
      <c r="R64" s="14">
        <v>49</v>
      </c>
    </row>
    <row r="65" spans="2:18" x14ac:dyDescent="0.5">
      <c r="B65" s="1" t="s">
        <v>432</v>
      </c>
      <c r="C65" t="s">
        <v>434</v>
      </c>
      <c r="D65" t="s">
        <v>435</v>
      </c>
      <c r="E65">
        <v>88.85</v>
      </c>
      <c r="F65" s="9" t="s">
        <v>67</v>
      </c>
      <c r="G65" s="7">
        <v>542595186688</v>
      </c>
      <c r="H65" s="6">
        <v>189.6</v>
      </c>
      <c r="I65" s="6">
        <v>87.25</v>
      </c>
      <c r="J65" s="12">
        <f t="shared" si="1"/>
        <v>1.8338108882521409E-2</v>
      </c>
      <c r="K65" s="11">
        <v>0</v>
      </c>
      <c r="L65" s="13">
        <v>39322363000</v>
      </c>
      <c r="M65" s="13">
        <v>228415685000</v>
      </c>
      <c r="N65" s="9" t="s">
        <v>50</v>
      </c>
      <c r="O65" s="6">
        <v>1.0683760683760684</v>
      </c>
      <c r="P65" s="12">
        <v>7.8874318929762766E-2</v>
      </c>
      <c r="Q65" s="12">
        <v>0.17215263916748974</v>
      </c>
      <c r="R65" s="14">
        <v>50</v>
      </c>
    </row>
    <row r="66" spans="2:18" x14ac:dyDescent="0.5">
      <c r="B66" s="1" t="s">
        <v>135</v>
      </c>
      <c r="C66" t="s">
        <v>181</v>
      </c>
      <c r="D66" t="s">
        <v>182</v>
      </c>
      <c r="E66">
        <v>445.6</v>
      </c>
      <c r="F66" s="9" t="s">
        <v>67</v>
      </c>
      <c r="G66" s="7">
        <v>157403054080</v>
      </c>
      <c r="H66" s="6">
        <v>451.2</v>
      </c>
      <c r="I66" s="6">
        <v>324</v>
      </c>
      <c r="J66" s="12">
        <f t="shared" ref="J66:J97" si="2">E66/I66-1</f>
        <v>0.37530864197530867</v>
      </c>
      <c r="K66" s="11">
        <v>2.1543985637342907E-3</v>
      </c>
      <c r="L66" s="13">
        <v>1200000000</v>
      </c>
      <c r="M66" s="13">
        <v>5855000000</v>
      </c>
      <c r="N66" s="9" t="s">
        <v>71</v>
      </c>
      <c r="O66" s="6">
        <v>7.6923076923076916</v>
      </c>
      <c r="P66" s="12">
        <v>5.4179993177516553E-2</v>
      </c>
      <c r="Q66" s="12">
        <v>0.20495303159692571</v>
      </c>
      <c r="R66" s="14">
        <v>51</v>
      </c>
    </row>
    <row r="67" spans="2:18" x14ac:dyDescent="0.5">
      <c r="B67" s="1" t="s">
        <v>258</v>
      </c>
      <c r="C67" t="s">
        <v>307</v>
      </c>
      <c r="D67" t="s">
        <v>152</v>
      </c>
      <c r="E67">
        <v>27.34</v>
      </c>
      <c r="F67" s="9" t="s">
        <v>67</v>
      </c>
      <c r="G67" s="7">
        <v>25360830464</v>
      </c>
      <c r="H67" s="6">
        <v>45.78</v>
      </c>
      <c r="I67" s="6">
        <v>11.06</v>
      </c>
      <c r="J67" s="12">
        <f t="shared" si="2"/>
        <v>1.4719710669077757</v>
      </c>
      <c r="K67" s="11">
        <v>2.8529626920263352E-3</v>
      </c>
      <c r="L67" s="13">
        <v>334940000</v>
      </c>
      <c r="M67" s="13">
        <v>3025375000</v>
      </c>
      <c r="N67" s="9" t="s">
        <v>71</v>
      </c>
      <c r="O67" s="6">
        <v>7.6923076923076916</v>
      </c>
      <c r="P67" s="12">
        <v>0.11432117393592776</v>
      </c>
      <c r="Q67" s="12">
        <v>0.11071024253191752</v>
      </c>
      <c r="R67" s="14">
        <v>52</v>
      </c>
    </row>
    <row r="68" spans="2:18" x14ac:dyDescent="0.5">
      <c r="B68" s="1" t="s">
        <v>786</v>
      </c>
      <c r="C68" t="s">
        <v>789</v>
      </c>
      <c r="D68" t="s">
        <v>790</v>
      </c>
      <c r="E68">
        <v>10.72</v>
      </c>
      <c r="F68" s="9" t="s">
        <v>67</v>
      </c>
      <c r="G68" s="7">
        <v>31368966144</v>
      </c>
      <c r="H68" s="6">
        <v>13.32</v>
      </c>
      <c r="I68" s="6">
        <v>9.4700000000000006</v>
      </c>
      <c r="J68" s="12">
        <f t="shared" si="2"/>
        <v>0.13199577613516356</v>
      </c>
      <c r="K68" s="11">
        <v>2.2294776119402983E-2</v>
      </c>
      <c r="L68" s="13">
        <v>2406008862.77</v>
      </c>
      <c r="M68" s="13">
        <v>23708343703.5</v>
      </c>
      <c r="N68" s="9" t="s">
        <v>50</v>
      </c>
      <c r="O68" s="6">
        <v>1.0683760683760684</v>
      </c>
      <c r="P68" s="12">
        <v>0.11872438891306177</v>
      </c>
      <c r="Q68" s="12">
        <v>0.10148363347772824</v>
      </c>
      <c r="R68" s="14">
        <v>52</v>
      </c>
    </row>
    <row r="69" spans="2:18" x14ac:dyDescent="0.5">
      <c r="B69" s="1" t="s">
        <v>31</v>
      </c>
      <c r="C69" t="s">
        <v>92</v>
      </c>
      <c r="D69" t="s">
        <v>74</v>
      </c>
      <c r="E69">
        <v>2.9</v>
      </c>
      <c r="F69" s="9" t="s">
        <v>67</v>
      </c>
      <c r="G69" s="7">
        <v>17983545344</v>
      </c>
      <c r="H69" s="6">
        <v>4.13</v>
      </c>
      <c r="I69" s="6">
        <v>2.6</v>
      </c>
      <c r="J69" s="12">
        <f t="shared" si="2"/>
        <v>0.11538461538461542</v>
      </c>
      <c r="K69" s="11">
        <v>5.1724137931034482E-2</v>
      </c>
      <c r="L69" s="13">
        <v>1677300000</v>
      </c>
      <c r="M69" s="13">
        <v>11188800000</v>
      </c>
      <c r="N69" s="9" t="s">
        <v>50</v>
      </c>
      <c r="O69" s="6">
        <v>1.0683760683760684</v>
      </c>
      <c r="P69" s="12">
        <v>9.1605187449677924E-2</v>
      </c>
      <c r="Q69" s="12">
        <v>0.1499088374088374</v>
      </c>
      <c r="R69" s="14">
        <v>53</v>
      </c>
    </row>
    <row r="70" spans="2:18" x14ac:dyDescent="0.5">
      <c r="B70" s="1" t="s">
        <v>266</v>
      </c>
      <c r="C70" t="s">
        <v>317</v>
      </c>
      <c r="D70" t="s">
        <v>300</v>
      </c>
      <c r="E70">
        <v>7.72</v>
      </c>
      <c r="F70" s="9" t="s">
        <v>67</v>
      </c>
      <c r="G70" s="7">
        <v>33921863680</v>
      </c>
      <c r="H70" s="6">
        <v>7.93</v>
      </c>
      <c r="I70" s="6">
        <v>4.8</v>
      </c>
      <c r="J70" s="12">
        <f t="shared" si="2"/>
        <v>0.60833333333333339</v>
      </c>
      <c r="K70" s="11">
        <v>4.7668393782383418E-2</v>
      </c>
      <c r="L70" s="13">
        <v>2919921000</v>
      </c>
      <c r="M70" s="13">
        <v>31662140000</v>
      </c>
      <c r="N70" s="9" t="s">
        <v>50</v>
      </c>
      <c r="O70" s="6">
        <v>1.0683760683760684</v>
      </c>
      <c r="P70" s="12">
        <v>0.13982104640715226</v>
      </c>
      <c r="Q70" s="12">
        <v>9.2221214358852555E-2</v>
      </c>
      <c r="R70" s="14">
        <v>54</v>
      </c>
    </row>
    <row r="71" spans="2:18" x14ac:dyDescent="0.5">
      <c r="B71" s="1" t="s">
        <v>116</v>
      </c>
      <c r="C71" t="s">
        <v>156</v>
      </c>
      <c r="D71" t="s">
        <v>83</v>
      </c>
      <c r="E71">
        <v>255</v>
      </c>
      <c r="F71" s="9" t="s">
        <v>67</v>
      </c>
      <c r="G71" s="7">
        <v>338675105792</v>
      </c>
      <c r="H71" s="6">
        <v>339.8</v>
      </c>
      <c r="I71" s="6">
        <v>101.6</v>
      </c>
      <c r="J71" s="12">
        <f t="shared" si="2"/>
        <v>1.5098425196850394</v>
      </c>
      <c r="K71" s="11">
        <v>3.196078431372549E-3</v>
      </c>
      <c r="L71" s="13">
        <v>4408440000</v>
      </c>
      <c r="M71" s="13">
        <v>10683505000</v>
      </c>
      <c r="N71" s="9" t="s">
        <v>50</v>
      </c>
      <c r="O71" s="6">
        <v>1.0683760683760684</v>
      </c>
      <c r="P71" s="12">
        <v>1.4136165004177045E-2</v>
      </c>
      <c r="Q71" s="12">
        <v>0.41263985929711272</v>
      </c>
      <c r="R71" s="14">
        <v>54</v>
      </c>
    </row>
    <row r="72" spans="2:18" x14ac:dyDescent="0.5">
      <c r="B72" s="1" t="s">
        <v>781</v>
      </c>
      <c r="C72" t="s">
        <v>784</v>
      </c>
      <c r="D72" t="s">
        <v>785</v>
      </c>
      <c r="E72">
        <v>195</v>
      </c>
      <c r="F72" s="9" t="s">
        <v>67</v>
      </c>
      <c r="G72" s="7">
        <v>628381384704</v>
      </c>
      <c r="H72" s="6">
        <v>248</v>
      </c>
      <c r="I72" s="6">
        <v>131.9</v>
      </c>
      <c r="J72" s="12">
        <f t="shared" si="2"/>
        <v>0.47839272175890812</v>
      </c>
      <c r="K72" s="11">
        <v>2.2784615384615382E-2</v>
      </c>
      <c r="L72" s="13">
        <v>29583990000</v>
      </c>
      <c r="M72" s="13">
        <v>150918654000</v>
      </c>
      <c r="N72" s="9" t="s">
        <v>50</v>
      </c>
      <c r="O72" s="6">
        <v>1.0683760683760684</v>
      </c>
      <c r="P72" s="12">
        <v>5.3828325998257577E-2</v>
      </c>
      <c r="Q72" s="12">
        <v>0.19602606580363485</v>
      </c>
      <c r="R72" s="14">
        <v>55</v>
      </c>
    </row>
    <row r="73" spans="2:18" x14ac:dyDescent="0.5">
      <c r="B73" s="1" t="s">
        <v>360</v>
      </c>
      <c r="C73" t="s">
        <v>362</v>
      </c>
      <c r="D73" t="s">
        <v>363</v>
      </c>
      <c r="E73">
        <v>2.25</v>
      </c>
      <c r="F73" s="9" t="s">
        <v>67</v>
      </c>
      <c r="G73" s="7">
        <v>4534445056</v>
      </c>
      <c r="H73" s="6">
        <v>3.64</v>
      </c>
      <c r="I73" s="6">
        <v>0.99</v>
      </c>
      <c r="J73" s="12">
        <f t="shared" si="2"/>
        <v>1.2727272727272729</v>
      </c>
      <c r="K73" s="11">
        <v>0</v>
      </c>
      <c r="L73" s="13">
        <v>-732033000</v>
      </c>
      <c r="M73" s="13">
        <v>7864121000</v>
      </c>
      <c r="N73" s="9" t="s">
        <v>50</v>
      </c>
      <c r="O73" s="6">
        <v>1.0683760683760684</v>
      </c>
      <c r="P73" s="12">
        <v>1.3599472737391409</v>
      </c>
      <c r="Q73" s="12">
        <v>-9.3085164890011229E-2</v>
      </c>
      <c r="R73" s="14">
        <v>55</v>
      </c>
    </row>
    <row r="74" spans="2:18" x14ac:dyDescent="0.5">
      <c r="B74" s="1" t="s">
        <v>122</v>
      </c>
      <c r="C74" t="s">
        <v>163</v>
      </c>
      <c r="D74" t="s">
        <v>164</v>
      </c>
      <c r="E74">
        <v>29.14</v>
      </c>
      <c r="F74" s="9" t="s">
        <v>67</v>
      </c>
      <c r="G74" s="7">
        <v>33150271488</v>
      </c>
      <c r="H74" s="6">
        <v>29.4</v>
      </c>
      <c r="I74" s="6">
        <v>19.52</v>
      </c>
      <c r="J74" s="12">
        <f t="shared" si="2"/>
        <v>0.49282786885245899</v>
      </c>
      <c r="K74" s="11">
        <v>4.804392587508579E-2</v>
      </c>
      <c r="L74" s="13">
        <v>3446618000</v>
      </c>
      <c r="M74" s="13">
        <v>34010798000</v>
      </c>
      <c r="N74" s="9" t="s">
        <v>50</v>
      </c>
      <c r="O74" s="6">
        <v>1.0683760683760684</v>
      </c>
      <c r="P74" s="12">
        <v>0.11534921291598885</v>
      </c>
      <c r="Q74" s="12">
        <v>0.10133893359397213</v>
      </c>
      <c r="R74" s="14">
        <v>56</v>
      </c>
    </row>
    <row r="75" spans="2:18" x14ac:dyDescent="0.5">
      <c r="B75" s="1" t="s">
        <v>259</v>
      </c>
      <c r="C75" t="s">
        <v>308</v>
      </c>
      <c r="D75" t="s">
        <v>238</v>
      </c>
      <c r="E75">
        <v>8.26</v>
      </c>
      <c r="F75" s="9" t="s">
        <v>67</v>
      </c>
      <c r="G75" s="7">
        <v>109179305984</v>
      </c>
      <c r="H75" s="6">
        <v>9.83</v>
      </c>
      <c r="I75" s="6">
        <v>7.27</v>
      </c>
      <c r="J75" s="12">
        <f t="shared" si="2"/>
        <v>0.13617606602475929</v>
      </c>
      <c r="K75" s="11">
        <v>0</v>
      </c>
      <c r="L75" s="13">
        <v>1187000000</v>
      </c>
      <c r="M75" s="13">
        <v>10278000000</v>
      </c>
      <c r="N75" s="9" t="s">
        <v>71</v>
      </c>
      <c r="O75" s="6">
        <v>7.6923076923076916</v>
      </c>
      <c r="P75" s="12">
        <v>0.10294606327689904</v>
      </c>
      <c r="Q75" s="12">
        <v>0.1154893948238957</v>
      </c>
      <c r="R75" s="14">
        <v>56</v>
      </c>
    </row>
    <row r="76" spans="2:18" x14ac:dyDescent="0.5">
      <c r="B76" s="1" t="s">
        <v>117</v>
      </c>
      <c r="C76" t="s">
        <v>157</v>
      </c>
      <c r="D76" t="s">
        <v>68</v>
      </c>
      <c r="E76">
        <v>5.55</v>
      </c>
      <c r="F76" s="9" t="s">
        <v>67</v>
      </c>
      <c r="G76" s="7">
        <v>9028253696</v>
      </c>
      <c r="H76" s="6">
        <v>7.05</v>
      </c>
      <c r="I76" s="6">
        <v>4.79</v>
      </c>
      <c r="J76" s="12">
        <f t="shared" si="2"/>
        <v>0.15866388308977042</v>
      </c>
      <c r="K76" s="11">
        <v>5.0450450450450456E-2</v>
      </c>
      <c r="L76" s="13">
        <v>3597261000</v>
      </c>
      <c r="M76" s="13">
        <v>38357165000</v>
      </c>
      <c r="N76" s="9" t="s">
        <v>67</v>
      </c>
      <c r="O76" s="6">
        <v>1</v>
      </c>
      <c r="P76" s="12">
        <v>0.12032177791502074</v>
      </c>
      <c r="Q76" s="12">
        <v>9.3783286642795421E-2</v>
      </c>
      <c r="R76" s="14">
        <v>56</v>
      </c>
    </row>
    <row r="77" spans="2:18" x14ac:dyDescent="0.5">
      <c r="B77" s="1" t="s">
        <v>123</v>
      </c>
      <c r="C77" t="s">
        <v>165</v>
      </c>
      <c r="D77" t="s">
        <v>106</v>
      </c>
      <c r="E77">
        <v>14.65</v>
      </c>
      <c r="F77" s="9" t="s">
        <v>67</v>
      </c>
      <c r="G77" s="7">
        <v>144521428992</v>
      </c>
      <c r="H77" s="6">
        <v>16.95</v>
      </c>
      <c r="I77" s="6">
        <v>7.32</v>
      </c>
      <c r="J77" s="12">
        <f t="shared" si="2"/>
        <v>1.0013661202185791</v>
      </c>
      <c r="K77" s="11">
        <v>3.6860068259385668E-2</v>
      </c>
      <c r="L77" s="13">
        <v>8510100000</v>
      </c>
      <c r="M77" s="13">
        <v>46117200000</v>
      </c>
      <c r="N77" s="9" t="s">
        <v>67</v>
      </c>
      <c r="O77" s="6">
        <v>1</v>
      </c>
      <c r="P77" s="12">
        <v>5.3954231590686234E-2</v>
      </c>
      <c r="Q77" s="12">
        <v>0.18453201842262756</v>
      </c>
      <c r="R77" s="14">
        <v>57</v>
      </c>
    </row>
    <row r="78" spans="2:18" x14ac:dyDescent="0.5">
      <c r="B78" s="1" t="s">
        <v>134</v>
      </c>
      <c r="C78" t="s">
        <v>179</v>
      </c>
      <c r="D78" t="s">
        <v>180</v>
      </c>
      <c r="E78">
        <v>44.5</v>
      </c>
      <c r="F78" s="9" t="s">
        <v>67</v>
      </c>
      <c r="G78" s="7">
        <v>30779760640</v>
      </c>
      <c r="H78" s="6">
        <v>48.1</v>
      </c>
      <c r="I78" s="6">
        <v>19.82</v>
      </c>
      <c r="J78" s="12">
        <f t="shared" si="2"/>
        <v>1.2452068617558023</v>
      </c>
      <c r="K78" s="11">
        <v>1.1235955056179775E-2</v>
      </c>
      <c r="L78" s="13">
        <v>1323087000</v>
      </c>
      <c r="M78" s="13">
        <v>5952918000</v>
      </c>
      <c r="N78" s="9" t="s">
        <v>67</v>
      </c>
      <c r="O78" s="6">
        <v>1</v>
      </c>
      <c r="P78" s="12">
        <v>3.9800931849954264E-2</v>
      </c>
      <c r="Q78" s="12">
        <v>0.222258562943417</v>
      </c>
      <c r="R78" s="14">
        <v>57</v>
      </c>
    </row>
    <row r="79" spans="2:18" x14ac:dyDescent="0.5">
      <c r="B79" s="1" t="s">
        <v>112</v>
      </c>
      <c r="C79" t="s">
        <v>151</v>
      </c>
      <c r="D79" t="s">
        <v>152</v>
      </c>
      <c r="E79">
        <v>64.95</v>
      </c>
      <c r="F79" s="9" t="s">
        <v>67</v>
      </c>
      <c r="G79" s="7">
        <v>184214454272</v>
      </c>
      <c r="H79" s="6">
        <v>86</v>
      </c>
      <c r="I79" s="6">
        <v>44.25</v>
      </c>
      <c r="J79" s="12">
        <f t="shared" si="2"/>
        <v>0.4677966101694917</v>
      </c>
      <c r="K79" s="11">
        <v>4.1570438799076216E-2</v>
      </c>
      <c r="L79" s="13">
        <v>8955723006</v>
      </c>
      <c r="M79" s="13">
        <v>47495870210</v>
      </c>
      <c r="N79" s="9" t="s">
        <v>50</v>
      </c>
      <c r="O79" s="6">
        <v>1.0683760683760684</v>
      </c>
      <c r="P79" s="12">
        <v>5.3106996629661389E-2</v>
      </c>
      <c r="Q79" s="12">
        <v>0.18855793075067021</v>
      </c>
      <c r="R79" s="14">
        <v>57</v>
      </c>
    </row>
    <row r="80" spans="2:18" x14ac:dyDescent="0.5">
      <c r="B80" s="1" t="s">
        <v>112</v>
      </c>
      <c r="C80" t="s">
        <v>151</v>
      </c>
      <c r="D80" t="s">
        <v>152</v>
      </c>
      <c r="E80">
        <v>64.95</v>
      </c>
      <c r="F80" s="9" t="s">
        <v>67</v>
      </c>
      <c r="G80" s="7">
        <v>184214454272</v>
      </c>
      <c r="H80" s="6">
        <v>86</v>
      </c>
      <c r="I80" s="6">
        <v>44.25</v>
      </c>
      <c r="J80" s="12">
        <f t="shared" si="2"/>
        <v>0.4677966101694917</v>
      </c>
      <c r="K80" s="11">
        <v>4.1570438799076216E-2</v>
      </c>
      <c r="L80" s="13">
        <v>8955723006</v>
      </c>
      <c r="M80" s="13">
        <v>47495870210</v>
      </c>
      <c r="N80" s="9" t="s">
        <v>50</v>
      </c>
      <c r="O80" s="6">
        <v>1.0683760683760684</v>
      </c>
      <c r="P80" s="12">
        <v>5.3106996629661389E-2</v>
      </c>
      <c r="Q80" s="12">
        <v>0.18855793075067021</v>
      </c>
      <c r="R80" s="14">
        <v>57</v>
      </c>
    </row>
    <row r="81" spans="2:18" x14ac:dyDescent="0.5">
      <c r="B81" s="1" t="s">
        <v>377</v>
      </c>
      <c r="C81" t="s">
        <v>378</v>
      </c>
      <c r="D81" t="s">
        <v>182</v>
      </c>
      <c r="E81">
        <v>4.7699999999999996</v>
      </c>
      <c r="F81" s="9" t="s">
        <v>67</v>
      </c>
      <c r="G81" s="7">
        <v>2736758784</v>
      </c>
      <c r="H81" s="6">
        <v>8.6199999999999992</v>
      </c>
      <c r="I81" s="6">
        <v>4.53</v>
      </c>
      <c r="J81" s="12">
        <f t="shared" si="2"/>
        <v>5.2980132450330952E-2</v>
      </c>
      <c r="K81" s="11">
        <v>7.337526205450734E-2</v>
      </c>
      <c r="L81" s="13">
        <v>371538000</v>
      </c>
      <c r="M81" s="13">
        <v>3037286000</v>
      </c>
      <c r="N81" s="9" t="s">
        <v>67</v>
      </c>
      <c r="O81" s="6">
        <v>1</v>
      </c>
      <c r="P81" s="12">
        <v>9.7326588061343533E-2</v>
      </c>
      <c r="Q81" s="12">
        <v>0.12232565520665489</v>
      </c>
      <c r="R81" s="14">
        <v>57</v>
      </c>
    </row>
    <row r="82" spans="2:18" x14ac:dyDescent="0.5">
      <c r="B82" s="1" t="s">
        <v>132</v>
      </c>
      <c r="C82" t="s">
        <v>176</v>
      </c>
      <c r="D82" t="s">
        <v>76</v>
      </c>
      <c r="E82">
        <v>16.91</v>
      </c>
      <c r="F82" s="9" t="s">
        <v>67</v>
      </c>
      <c r="G82" s="7">
        <v>70988333056</v>
      </c>
      <c r="H82" s="6">
        <v>16.989999999999998</v>
      </c>
      <c r="I82" s="6">
        <v>11.42</v>
      </c>
      <c r="J82" s="12">
        <f t="shared" si="2"/>
        <v>0.48073555166374793</v>
      </c>
      <c r="K82" s="11">
        <v>5.2395032525133056E-2</v>
      </c>
      <c r="L82" s="13">
        <v>11996000000</v>
      </c>
      <c r="M82" s="13">
        <v>138296000000</v>
      </c>
      <c r="N82" s="9" t="s">
        <v>67</v>
      </c>
      <c r="O82" s="6">
        <v>1</v>
      </c>
      <c r="P82" s="12">
        <v>0.12744573819595245</v>
      </c>
      <c r="Q82" s="12">
        <v>8.6741482038526066E-2</v>
      </c>
      <c r="R82" s="14">
        <v>58</v>
      </c>
    </row>
    <row r="83" spans="2:18" x14ac:dyDescent="0.5">
      <c r="B83" s="1" t="s">
        <v>132</v>
      </c>
      <c r="C83" t="s">
        <v>176</v>
      </c>
      <c r="D83" t="s">
        <v>76</v>
      </c>
      <c r="E83">
        <v>16.91</v>
      </c>
      <c r="F83" s="9" t="s">
        <v>67</v>
      </c>
      <c r="G83" s="7">
        <v>70988333056</v>
      </c>
      <c r="H83" s="6">
        <v>16.989999999999998</v>
      </c>
      <c r="I83" s="6">
        <v>11.42</v>
      </c>
      <c r="J83" s="12">
        <f t="shared" si="2"/>
        <v>0.48073555166374793</v>
      </c>
      <c r="K83" s="11">
        <v>5.2395032525133056E-2</v>
      </c>
      <c r="L83" s="13">
        <v>11996000000</v>
      </c>
      <c r="M83" s="13">
        <v>138296000000</v>
      </c>
      <c r="N83" s="9" t="s">
        <v>67</v>
      </c>
      <c r="O83" s="6">
        <v>1</v>
      </c>
      <c r="P83" s="12">
        <v>0.12744573819595245</v>
      </c>
      <c r="Q83" s="12">
        <v>8.6741482038526066E-2</v>
      </c>
      <c r="R83" s="14">
        <v>58</v>
      </c>
    </row>
    <row r="84" spans="2:18" x14ac:dyDescent="0.5">
      <c r="B84" s="1" t="s">
        <v>127</v>
      </c>
      <c r="C84" t="s">
        <v>170</v>
      </c>
      <c r="D84" t="s">
        <v>171</v>
      </c>
      <c r="E84">
        <v>548</v>
      </c>
      <c r="F84" s="9" t="s">
        <v>67</v>
      </c>
      <c r="G84" s="7">
        <v>4943612215296</v>
      </c>
      <c r="H84" s="6">
        <v>683</v>
      </c>
      <c r="I84" s="6">
        <v>419</v>
      </c>
      <c r="J84" s="12">
        <f t="shared" si="2"/>
        <v>0.30787589498806689</v>
      </c>
      <c r="K84" s="11">
        <v>7.7171532846715329E-3</v>
      </c>
      <c r="L84" s="13">
        <v>253932000000</v>
      </c>
      <c r="M84" s="13">
        <v>1312163000000</v>
      </c>
      <c r="N84" s="9" t="s">
        <v>50</v>
      </c>
      <c r="O84" s="6">
        <v>1.0683760683760684</v>
      </c>
      <c r="P84" s="12">
        <v>5.2326752734838236E-2</v>
      </c>
      <c r="Q84" s="12">
        <v>0.19352168899747973</v>
      </c>
      <c r="R84" s="14">
        <v>59</v>
      </c>
    </row>
    <row r="85" spans="2:18" x14ac:dyDescent="0.5">
      <c r="B85" s="1" t="s">
        <v>286</v>
      </c>
      <c r="C85" t="s">
        <v>339</v>
      </c>
      <c r="D85" t="s">
        <v>236</v>
      </c>
      <c r="E85">
        <v>25.74</v>
      </c>
      <c r="F85" s="9" t="s">
        <v>67</v>
      </c>
      <c r="G85" s="7">
        <v>25504573440</v>
      </c>
      <c r="H85" s="6">
        <v>25.98</v>
      </c>
      <c r="I85" s="6">
        <v>6.95</v>
      </c>
      <c r="J85" s="12">
        <f t="shared" si="2"/>
        <v>2.703597122302158</v>
      </c>
      <c r="K85" s="11">
        <v>1.3752913752913752E-2</v>
      </c>
      <c r="L85" s="13">
        <v>1333116000</v>
      </c>
      <c r="M85" s="13">
        <v>8019803000</v>
      </c>
      <c r="N85" s="9" t="s">
        <v>50</v>
      </c>
      <c r="O85" s="6">
        <v>1.0683760683760684</v>
      </c>
      <c r="P85" s="12">
        <v>5.623914899859267E-2</v>
      </c>
      <c r="Q85" s="12">
        <v>0.16622802330680692</v>
      </c>
      <c r="R85" s="14">
        <v>60</v>
      </c>
    </row>
    <row r="86" spans="2:18" x14ac:dyDescent="0.5">
      <c r="B86" s="1" t="s">
        <v>130</v>
      </c>
      <c r="C86" t="s">
        <v>173</v>
      </c>
      <c r="D86" t="s">
        <v>174</v>
      </c>
      <c r="E86">
        <v>43.52</v>
      </c>
      <c r="F86" s="9" t="s">
        <v>67</v>
      </c>
      <c r="G86" s="7">
        <v>1225534996480</v>
      </c>
      <c r="H86" s="6">
        <v>46.98</v>
      </c>
      <c r="I86" s="6">
        <v>14.02</v>
      </c>
      <c r="J86" s="12">
        <f t="shared" si="2"/>
        <v>2.1041369472182598</v>
      </c>
      <c r="K86" s="11">
        <v>1.1488970588235293E-2</v>
      </c>
      <c r="L86" s="13">
        <v>52374992116</v>
      </c>
      <c r="M86" s="13">
        <v>269573093476</v>
      </c>
      <c r="N86" s="9" t="s">
        <v>50</v>
      </c>
      <c r="O86" s="6">
        <v>1.0683760683760684</v>
      </c>
      <c r="P86" s="12">
        <v>4.1454532766686168E-2</v>
      </c>
      <c r="Q86" s="12">
        <v>0.19428864891763736</v>
      </c>
      <c r="R86" s="14">
        <v>61</v>
      </c>
    </row>
    <row r="87" spans="2:18" x14ac:dyDescent="0.5">
      <c r="B87" s="1" t="s">
        <v>273</v>
      </c>
      <c r="C87" t="s">
        <v>325</v>
      </c>
      <c r="D87" t="s">
        <v>81</v>
      </c>
      <c r="E87">
        <v>3.43</v>
      </c>
      <c r="F87" s="9" t="s">
        <v>67</v>
      </c>
      <c r="G87" s="7">
        <v>14680743936</v>
      </c>
      <c r="H87" s="6">
        <v>3.55</v>
      </c>
      <c r="I87" s="6">
        <v>1.68</v>
      </c>
      <c r="J87" s="12">
        <f t="shared" si="2"/>
        <v>1.041666666666667</v>
      </c>
      <c r="K87" s="11">
        <v>3.5568513119533525E-2</v>
      </c>
      <c r="L87" s="13">
        <v>1230913000</v>
      </c>
      <c r="M87" s="13">
        <v>10701340000</v>
      </c>
      <c r="N87" s="9" t="s">
        <v>50</v>
      </c>
      <c r="O87" s="6">
        <v>1.0683760683760684</v>
      </c>
      <c r="P87" s="12">
        <v>9.8245610653529616E-2</v>
      </c>
      <c r="Q87" s="12">
        <v>0.11502419323187564</v>
      </c>
      <c r="R87" s="14">
        <v>62</v>
      </c>
    </row>
    <row r="88" spans="2:18" x14ac:dyDescent="0.5">
      <c r="B88" s="1" t="s">
        <v>359</v>
      </c>
      <c r="C88" t="s">
        <v>361</v>
      </c>
      <c r="D88" t="s">
        <v>171</v>
      </c>
      <c r="E88">
        <v>9.6</v>
      </c>
      <c r="F88" s="9" t="s">
        <v>67</v>
      </c>
      <c r="G88" s="7">
        <v>2567486464</v>
      </c>
      <c r="H88" s="6">
        <v>15.58</v>
      </c>
      <c r="I88" s="6">
        <v>8.32</v>
      </c>
      <c r="J88" s="12">
        <f t="shared" si="2"/>
        <v>0.15384615384615374</v>
      </c>
      <c r="K88" s="11">
        <v>0</v>
      </c>
      <c r="L88" s="13">
        <v>-481083000</v>
      </c>
      <c r="M88" s="13">
        <v>4136123000</v>
      </c>
      <c r="N88" s="9" t="s">
        <v>50</v>
      </c>
      <c r="O88" s="6">
        <v>1.0683760683760684</v>
      </c>
      <c r="P88" s="12">
        <v>0.30508890490866392</v>
      </c>
      <c r="Q88" s="12">
        <v>-0.11631254679805218</v>
      </c>
      <c r="R88" s="14">
        <v>62</v>
      </c>
    </row>
    <row r="89" spans="2:18" x14ac:dyDescent="0.5">
      <c r="B89" s="1" t="s">
        <v>118</v>
      </c>
      <c r="C89" t="s">
        <v>158</v>
      </c>
      <c r="D89" t="s">
        <v>96</v>
      </c>
      <c r="E89">
        <v>7.21</v>
      </c>
      <c r="F89" s="9" t="s">
        <v>67</v>
      </c>
      <c r="G89" s="7">
        <v>220611592192</v>
      </c>
      <c r="H89" s="6">
        <v>11.56</v>
      </c>
      <c r="I89" s="6">
        <v>7.07</v>
      </c>
      <c r="J89" s="12">
        <f t="shared" si="2"/>
        <v>1.980198019801982E-2</v>
      </c>
      <c r="K89" s="11">
        <v>6.1026352288488211E-2</v>
      </c>
      <c r="L89" s="13">
        <v>26994000000</v>
      </c>
      <c r="M89" s="13">
        <v>363169000000</v>
      </c>
      <c r="N89" s="9" t="s">
        <v>50</v>
      </c>
      <c r="O89" s="6">
        <v>1.0683760683760684</v>
      </c>
      <c r="P89" s="12">
        <v>0.12395222721104342</v>
      </c>
      <c r="Q89" s="12">
        <v>7.4329031387590908E-2</v>
      </c>
      <c r="R89" s="14">
        <v>63</v>
      </c>
    </row>
    <row r="90" spans="2:18" x14ac:dyDescent="0.5">
      <c r="B90" s="1" t="s">
        <v>133</v>
      </c>
      <c r="C90" t="s">
        <v>177</v>
      </c>
      <c r="D90" t="s">
        <v>178</v>
      </c>
      <c r="E90">
        <v>8.8000000000000007</v>
      </c>
      <c r="F90" s="9" t="s">
        <v>67</v>
      </c>
      <c r="G90" s="7">
        <v>20734832640</v>
      </c>
      <c r="H90" s="6">
        <v>12.7</v>
      </c>
      <c r="I90" s="6">
        <v>6.33</v>
      </c>
      <c r="J90" s="12">
        <f t="shared" si="2"/>
        <v>0.39020537124802535</v>
      </c>
      <c r="K90" s="11">
        <v>0</v>
      </c>
      <c r="L90" s="13">
        <v>13493113000</v>
      </c>
      <c r="M90" s="13">
        <v>208027754000</v>
      </c>
      <c r="N90" s="9" t="s">
        <v>50</v>
      </c>
      <c r="O90" s="6">
        <v>1.0683760683760684</v>
      </c>
      <c r="P90" s="12">
        <v>0.12023630096274715</v>
      </c>
      <c r="Q90" s="12">
        <v>6.4862080854845933E-2</v>
      </c>
      <c r="R90" s="14">
        <v>64</v>
      </c>
    </row>
    <row r="91" spans="2:18" x14ac:dyDescent="0.5">
      <c r="B91" s="1" t="s">
        <v>437</v>
      </c>
      <c r="C91" t="s">
        <v>441</v>
      </c>
      <c r="D91" t="s">
        <v>164</v>
      </c>
      <c r="E91">
        <v>2.37</v>
      </c>
      <c r="F91" s="9" t="s">
        <v>67</v>
      </c>
      <c r="G91" s="7">
        <v>3160000256</v>
      </c>
      <c r="H91" s="6">
        <v>3.21</v>
      </c>
      <c r="I91" s="6">
        <v>1.81</v>
      </c>
      <c r="J91" s="12">
        <f t="shared" si="2"/>
        <v>0.30939226519337026</v>
      </c>
      <c r="K91" s="11">
        <v>5.0632911392405063E-2</v>
      </c>
      <c r="L91" s="13">
        <v>244399000</v>
      </c>
      <c r="M91" s="13">
        <v>2990882000</v>
      </c>
      <c r="N91" s="9" t="s">
        <v>50</v>
      </c>
      <c r="O91" s="6">
        <v>1.0683760683760684</v>
      </c>
      <c r="P91" s="12">
        <v>0.11551034011977127</v>
      </c>
      <c r="Q91" s="12">
        <v>8.171469151909036E-2</v>
      </c>
      <c r="R91" s="14">
        <v>64</v>
      </c>
    </row>
    <row r="92" spans="2:18" x14ac:dyDescent="0.5">
      <c r="B92" s="1" t="s">
        <v>787</v>
      </c>
      <c r="C92" t="s">
        <v>791</v>
      </c>
      <c r="D92" t="s">
        <v>790</v>
      </c>
      <c r="E92">
        <v>8.1999999999999993</v>
      </c>
      <c r="F92" s="9" t="s">
        <v>67</v>
      </c>
      <c r="G92" s="7">
        <v>11724261376</v>
      </c>
      <c r="H92" s="6">
        <v>12.22</v>
      </c>
      <c r="I92" s="6">
        <v>4.57</v>
      </c>
      <c r="J92" s="12">
        <f t="shared" si="2"/>
        <v>0.79431072210065623</v>
      </c>
      <c r="K92" s="11">
        <v>3.1341463414634146E-2</v>
      </c>
      <c r="L92" s="13">
        <v>1759966000</v>
      </c>
      <c r="M92" s="13">
        <v>17883609000</v>
      </c>
      <c r="N92" s="9" t="s">
        <v>67</v>
      </c>
      <c r="O92" s="6">
        <v>1</v>
      </c>
      <c r="P92" s="12">
        <v>0.10082539568658618</v>
      </c>
      <c r="Q92" s="12">
        <v>9.8412238827185278E-2</v>
      </c>
      <c r="R92" s="14">
        <v>65</v>
      </c>
    </row>
    <row r="93" spans="2:18" x14ac:dyDescent="0.5">
      <c r="B93" s="1" t="s">
        <v>756</v>
      </c>
      <c r="C93" t="s">
        <v>757</v>
      </c>
      <c r="D93" t="s">
        <v>182</v>
      </c>
      <c r="E93">
        <v>1.08</v>
      </c>
      <c r="F93" s="9" t="s">
        <v>67</v>
      </c>
      <c r="G93" s="7">
        <v>1049132544</v>
      </c>
      <c r="H93" s="6">
        <v>1.18</v>
      </c>
      <c r="I93" s="6">
        <v>0.78</v>
      </c>
      <c r="J93" s="12">
        <f t="shared" si="2"/>
        <v>0.38461538461538458</v>
      </c>
      <c r="K93" s="11">
        <v>5.5555555555555552E-2</v>
      </c>
      <c r="L93" s="13">
        <v>115617000</v>
      </c>
      <c r="M93" s="13">
        <v>935619000</v>
      </c>
      <c r="N93" s="9" t="s">
        <v>67</v>
      </c>
      <c r="O93" s="6">
        <v>1</v>
      </c>
      <c r="P93" s="12">
        <v>6.3449735253308409E-2</v>
      </c>
      <c r="Q93" s="12">
        <v>0.12357273633818894</v>
      </c>
      <c r="R93" s="14">
        <v>65</v>
      </c>
    </row>
    <row r="94" spans="2:18" x14ac:dyDescent="0.5">
      <c r="B94" s="1" t="s">
        <v>138</v>
      </c>
      <c r="C94" t="s">
        <v>186</v>
      </c>
      <c r="D94" t="s">
        <v>102</v>
      </c>
      <c r="E94">
        <v>33.380000000000003</v>
      </c>
      <c r="F94" s="9" t="s">
        <v>67</v>
      </c>
      <c r="G94" s="7">
        <v>75211964416</v>
      </c>
      <c r="H94" s="6">
        <v>61.55</v>
      </c>
      <c r="I94" s="6">
        <v>26.65</v>
      </c>
      <c r="J94" s="12">
        <f t="shared" si="2"/>
        <v>0.252532833020638</v>
      </c>
      <c r="K94" s="11">
        <v>1.7016177351707608E-2</v>
      </c>
      <c r="L94" s="13">
        <v>5261270000</v>
      </c>
      <c r="M94" s="13">
        <v>43208997000</v>
      </c>
      <c r="N94" s="9" t="s">
        <v>50</v>
      </c>
      <c r="O94" s="6">
        <v>1.0683760683760684</v>
      </c>
      <c r="P94" s="12">
        <v>6.940451085431748E-2</v>
      </c>
      <c r="Q94" s="12">
        <v>0.12176329850933591</v>
      </c>
      <c r="R94" s="14">
        <v>66</v>
      </c>
    </row>
    <row r="95" spans="2:18" x14ac:dyDescent="0.5">
      <c r="B95" s="1" t="s">
        <v>264</v>
      </c>
      <c r="C95" t="s">
        <v>315</v>
      </c>
      <c r="D95" t="s">
        <v>49</v>
      </c>
      <c r="E95">
        <v>7.42</v>
      </c>
      <c r="F95" s="9" t="s">
        <v>67</v>
      </c>
      <c r="G95" s="7">
        <v>14003659776</v>
      </c>
      <c r="H95" s="6">
        <v>7.66</v>
      </c>
      <c r="I95" s="6">
        <v>1.92</v>
      </c>
      <c r="J95" s="12">
        <f t="shared" si="2"/>
        <v>2.8645833333333335</v>
      </c>
      <c r="K95" s="11">
        <v>2.15633423180593E-2</v>
      </c>
      <c r="L95" s="13">
        <v>896597000</v>
      </c>
      <c r="M95" s="13">
        <v>6906279000</v>
      </c>
      <c r="N95" s="9" t="s">
        <v>67</v>
      </c>
      <c r="O95" s="6">
        <v>1</v>
      </c>
      <c r="P95" s="12">
        <v>5.7481426364472919E-2</v>
      </c>
      <c r="Q95" s="12">
        <v>0.12982345485897689</v>
      </c>
      <c r="R95" s="14">
        <v>67</v>
      </c>
    </row>
    <row r="96" spans="2:18" x14ac:dyDescent="0.5">
      <c r="B96" s="1" t="s">
        <v>257</v>
      </c>
      <c r="C96" t="s">
        <v>306</v>
      </c>
      <c r="D96" t="s">
        <v>298</v>
      </c>
      <c r="E96">
        <v>72.5</v>
      </c>
      <c r="F96" s="9" t="s">
        <v>67</v>
      </c>
      <c r="G96" s="7">
        <v>1404213133312</v>
      </c>
      <c r="H96" s="6">
        <v>74.7</v>
      </c>
      <c r="I96" s="6">
        <v>39.6</v>
      </c>
      <c r="J96" s="12">
        <f t="shared" si="2"/>
        <v>0.83080808080808066</v>
      </c>
      <c r="K96" s="11">
        <v>3.5448275862068966E-2</v>
      </c>
      <c r="L96" s="13">
        <v>189900000000</v>
      </c>
      <c r="M96" s="13">
        <v>2315380000000</v>
      </c>
      <c r="N96" s="9" t="s">
        <v>50</v>
      </c>
      <c r="O96" s="6">
        <v>1.0683760683760684</v>
      </c>
      <c r="P96" s="12">
        <v>0.10792510757940342</v>
      </c>
      <c r="Q96" s="12">
        <v>8.2016774784268678E-2</v>
      </c>
      <c r="R96" s="14">
        <v>68</v>
      </c>
    </row>
    <row r="97" spans="2:18" x14ac:dyDescent="0.5">
      <c r="B97" s="1" t="s">
        <v>268</v>
      </c>
      <c r="C97" t="s">
        <v>319</v>
      </c>
      <c r="D97" t="s">
        <v>320</v>
      </c>
      <c r="E97">
        <v>11.83</v>
      </c>
      <c r="F97" s="9" t="s">
        <v>67</v>
      </c>
      <c r="G97" s="7">
        <v>24980889600</v>
      </c>
      <c r="H97" s="6">
        <v>12.37</v>
      </c>
      <c r="I97" s="6">
        <v>5.31</v>
      </c>
      <c r="J97" s="12">
        <f t="shared" si="2"/>
        <v>1.2278719397363469</v>
      </c>
      <c r="K97" s="11">
        <v>2.2823330515638209E-2</v>
      </c>
      <c r="L97" s="13">
        <v>1537565000</v>
      </c>
      <c r="M97" s="13">
        <v>14484935000</v>
      </c>
      <c r="N97" s="9" t="s">
        <v>50</v>
      </c>
      <c r="O97" s="6">
        <v>1.0683760683760684</v>
      </c>
      <c r="P97" s="12">
        <v>7.9761597178912874E-2</v>
      </c>
      <c r="Q97" s="12">
        <v>0.10614925092863724</v>
      </c>
      <c r="R97" s="14">
        <v>69</v>
      </c>
    </row>
    <row r="98" spans="2:18" x14ac:dyDescent="0.5">
      <c r="B98" s="1" t="s">
        <v>255</v>
      </c>
      <c r="C98" t="s">
        <v>304</v>
      </c>
      <c r="D98" t="s">
        <v>300</v>
      </c>
      <c r="E98">
        <v>1.86</v>
      </c>
      <c r="F98" s="9" t="s">
        <v>67</v>
      </c>
      <c r="G98" s="7">
        <v>72185053184</v>
      </c>
      <c r="H98" s="6">
        <v>3.17</v>
      </c>
      <c r="I98" s="6">
        <v>1.35</v>
      </c>
      <c r="J98" s="12">
        <f t="shared" ref="J98:J129" si="3">E98/I98-1</f>
        <v>0.37777777777777777</v>
      </c>
      <c r="K98" s="11">
        <v>3.0107526881720428E-2</v>
      </c>
      <c r="L98" s="13">
        <v>12616717000</v>
      </c>
      <c r="M98" s="13">
        <v>231208465000</v>
      </c>
      <c r="N98" s="9" t="s">
        <v>50</v>
      </c>
      <c r="O98" s="6">
        <v>1.0683760683760684</v>
      </c>
      <c r="P98" s="12">
        <v>0.11600751620420693</v>
      </c>
      <c r="Q98" s="12">
        <v>5.4568577322633927E-2</v>
      </c>
      <c r="R98" s="14">
        <v>70</v>
      </c>
    </row>
    <row r="99" spans="2:18" x14ac:dyDescent="0.5">
      <c r="B99" s="1" t="s">
        <v>439</v>
      </c>
      <c r="C99" t="s">
        <v>443</v>
      </c>
      <c r="D99" t="s">
        <v>444</v>
      </c>
      <c r="E99">
        <v>446.2</v>
      </c>
      <c r="F99" s="9" t="s">
        <v>67</v>
      </c>
      <c r="G99" s="7">
        <v>291637854208</v>
      </c>
      <c r="H99" s="6">
        <v>613</v>
      </c>
      <c r="I99" s="6">
        <v>402.6</v>
      </c>
      <c r="J99" s="12">
        <f t="shared" si="3"/>
        <v>0.10829607550919018</v>
      </c>
      <c r="K99" s="11">
        <v>0</v>
      </c>
      <c r="L99" s="13">
        <v>18738000000</v>
      </c>
      <c r="M99" s="13">
        <v>182117000000</v>
      </c>
      <c r="N99" s="9" t="s">
        <v>50</v>
      </c>
      <c r="O99" s="6">
        <v>1.0683760683760684</v>
      </c>
      <c r="P99" s="12">
        <v>7.0747869667687396E-2</v>
      </c>
      <c r="Q99" s="12">
        <v>0.10288990044861271</v>
      </c>
      <c r="R99" s="14">
        <v>71</v>
      </c>
    </row>
    <row r="100" spans="2:18" x14ac:dyDescent="0.5">
      <c r="B100" s="1" t="s">
        <v>109</v>
      </c>
      <c r="C100" t="s">
        <v>146</v>
      </c>
      <c r="D100" t="s">
        <v>96</v>
      </c>
      <c r="E100">
        <v>4.8899999999999997</v>
      </c>
      <c r="F100" s="9" t="s">
        <v>67</v>
      </c>
      <c r="G100" s="7">
        <v>588359335936</v>
      </c>
      <c r="H100" s="6">
        <v>6.98</v>
      </c>
      <c r="I100" s="6">
        <v>4.87</v>
      </c>
      <c r="J100" s="12">
        <f t="shared" si="3"/>
        <v>4.1067761806981018E-3</v>
      </c>
      <c r="K100" s="11">
        <v>9.0184049079754608E-2</v>
      </c>
      <c r="L100" s="13">
        <v>44563000000</v>
      </c>
      <c r="M100" s="13">
        <v>463922000000</v>
      </c>
      <c r="N100" s="9" t="s">
        <v>50</v>
      </c>
      <c r="O100" s="6">
        <v>1.0683760683760684</v>
      </c>
      <c r="P100" s="12">
        <v>8.4201820540897462E-2</v>
      </c>
      <c r="Q100" s="12">
        <v>9.605709580489824E-2</v>
      </c>
      <c r="R100" s="14">
        <v>72</v>
      </c>
    </row>
    <row r="101" spans="2:18" x14ac:dyDescent="0.5">
      <c r="B101" s="1" t="s">
        <v>765</v>
      </c>
      <c r="C101" t="s">
        <v>770</v>
      </c>
      <c r="D101" t="s">
        <v>73</v>
      </c>
      <c r="E101">
        <v>1.26</v>
      </c>
      <c r="F101" s="9" t="s">
        <v>67</v>
      </c>
      <c r="G101" s="7">
        <v>1746824960</v>
      </c>
      <c r="H101" s="6">
        <v>1.6</v>
      </c>
      <c r="I101" s="6">
        <v>1.08</v>
      </c>
      <c r="J101" s="12">
        <f t="shared" si="3"/>
        <v>0.16666666666666652</v>
      </c>
      <c r="K101" s="11">
        <v>7.9365079365079375E-2</v>
      </c>
      <c r="L101" s="13">
        <v>255887000</v>
      </c>
      <c r="M101" s="13">
        <v>4229022000</v>
      </c>
      <c r="N101" s="9" t="s">
        <v>67</v>
      </c>
      <c r="O101" s="6">
        <v>1</v>
      </c>
      <c r="P101" s="12">
        <v>0.10512069537023459</v>
      </c>
      <c r="Q101" s="12">
        <v>6.0507370261966002E-2</v>
      </c>
      <c r="R101" s="14">
        <v>73</v>
      </c>
    </row>
    <row r="102" spans="2:18" x14ac:dyDescent="0.5">
      <c r="B102" s="1" t="s">
        <v>386</v>
      </c>
      <c r="C102" t="s">
        <v>387</v>
      </c>
      <c r="D102" t="s">
        <v>55</v>
      </c>
      <c r="E102">
        <v>37.1</v>
      </c>
      <c r="F102" s="9" t="s">
        <v>67</v>
      </c>
      <c r="G102" s="7">
        <v>962491318272</v>
      </c>
      <c r="H102" s="6">
        <v>61.45</v>
      </c>
      <c r="I102" s="6">
        <v>33.32</v>
      </c>
      <c r="J102" s="12">
        <f t="shared" si="3"/>
        <v>0.11344537815126055</v>
      </c>
      <c r="K102" s="11">
        <v>0</v>
      </c>
      <c r="L102" s="13">
        <v>29458798000</v>
      </c>
      <c r="M102" s="13">
        <v>219340795000</v>
      </c>
      <c r="N102" s="9" t="s">
        <v>50</v>
      </c>
      <c r="O102" s="6">
        <v>1.0683760683760684</v>
      </c>
      <c r="P102" s="12">
        <v>3.2614520062612021E-2</v>
      </c>
      <c r="Q102" s="12">
        <v>0.13430606011982404</v>
      </c>
      <c r="R102" s="14">
        <v>74</v>
      </c>
    </row>
    <row r="103" spans="2:18" x14ac:dyDescent="0.5">
      <c r="B103" s="1" t="s">
        <v>113</v>
      </c>
      <c r="C103" t="s">
        <v>153</v>
      </c>
      <c r="D103" t="s">
        <v>91</v>
      </c>
      <c r="E103">
        <v>25.82</v>
      </c>
      <c r="F103" s="9" t="s">
        <v>67</v>
      </c>
      <c r="G103" s="7">
        <v>155120566272</v>
      </c>
      <c r="H103" s="6">
        <v>26.02</v>
      </c>
      <c r="I103" s="6">
        <v>18.7</v>
      </c>
      <c r="J103" s="12">
        <f t="shared" si="3"/>
        <v>0.38074866310160438</v>
      </c>
      <c r="K103" s="11">
        <v>3.6793183578621221E-2</v>
      </c>
      <c r="L103" s="13">
        <v>10795274825</v>
      </c>
      <c r="M103" s="13">
        <v>215275428010</v>
      </c>
      <c r="N103" s="9" t="s">
        <v>50</v>
      </c>
      <c r="O103" s="6">
        <v>1.0683760683760684</v>
      </c>
      <c r="P103" s="12">
        <v>0.1032923143260118</v>
      </c>
      <c r="Q103" s="12">
        <v>5.0146340085309396E-2</v>
      </c>
      <c r="R103" s="14">
        <v>75</v>
      </c>
    </row>
    <row r="104" spans="2:18" x14ac:dyDescent="0.5">
      <c r="B104" s="1" t="s">
        <v>251</v>
      </c>
      <c r="C104" t="s">
        <v>299</v>
      </c>
      <c r="D104" t="s">
        <v>300</v>
      </c>
      <c r="E104">
        <v>5.45</v>
      </c>
      <c r="F104" s="9" t="s">
        <v>67</v>
      </c>
      <c r="G104" s="7">
        <v>112520888320</v>
      </c>
      <c r="H104" s="6">
        <v>6.07</v>
      </c>
      <c r="I104" s="6">
        <v>4.58</v>
      </c>
      <c r="J104" s="12">
        <f t="shared" si="3"/>
        <v>0.18995633187772931</v>
      </c>
      <c r="K104" s="11">
        <v>5.5045871559633024E-2</v>
      </c>
      <c r="L104" s="13">
        <v>42109966000</v>
      </c>
      <c r="M104" s="13">
        <v>746176876000</v>
      </c>
      <c r="N104" s="9" t="s">
        <v>50</v>
      </c>
      <c r="O104" s="6">
        <v>1.0683760683760684</v>
      </c>
      <c r="P104" s="12">
        <v>0.10068220305875951</v>
      </c>
      <c r="Q104" s="12">
        <v>5.643429507724386E-2</v>
      </c>
      <c r="R104" s="14">
        <v>76</v>
      </c>
    </row>
    <row r="105" spans="2:18" x14ac:dyDescent="0.5">
      <c r="B105" s="1" t="s">
        <v>253</v>
      </c>
      <c r="C105" t="s">
        <v>302</v>
      </c>
      <c r="D105" t="s">
        <v>148</v>
      </c>
      <c r="E105">
        <v>11.47</v>
      </c>
      <c r="F105" s="9" t="s">
        <v>67</v>
      </c>
      <c r="G105" s="7">
        <v>29129195520</v>
      </c>
      <c r="H105" s="6">
        <v>13.78</v>
      </c>
      <c r="I105" s="6">
        <v>8.1</v>
      </c>
      <c r="J105" s="12">
        <f t="shared" si="3"/>
        <v>0.41604938271604963</v>
      </c>
      <c r="K105" s="11">
        <v>2.6155187445510025E-2</v>
      </c>
      <c r="L105" s="13">
        <v>9652467000</v>
      </c>
      <c r="M105" s="13">
        <v>173514401000</v>
      </c>
      <c r="N105" s="9" t="s">
        <v>50</v>
      </c>
      <c r="O105" s="6">
        <v>1.0683760683760684</v>
      </c>
      <c r="P105" s="12">
        <v>0.10044315117590401</v>
      </c>
      <c r="Q105" s="12">
        <v>5.5629198178196171E-2</v>
      </c>
      <c r="R105" s="14">
        <v>77</v>
      </c>
    </row>
    <row r="106" spans="2:18" x14ac:dyDescent="0.5">
      <c r="B106" s="1" t="s">
        <v>114</v>
      </c>
      <c r="C106" t="s">
        <v>154</v>
      </c>
      <c r="D106" t="s">
        <v>148</v>
      </c>
      <c r="E106">
        <v>2.65</v>
      </c>
      <c r="F106" s="9" t="s">
        <v>67</v>
      </c>
      <c r="G106" s="7">
        <v>9432343552</v>
      </c>
      <c r="H106" s="6">
        <v>2.72</v>
      </c>
      <c r="I106" s="6">
        <v>1.6</v>
      </c>
      <c r="J106" s="12">
        <f t="shared" si="3"/>
        <v>0.65624999999999978</v>
      </c>
      <c r="K106" s="11">
        <v>2.8301886792452831E-2</v>
      </c>
      <c r="L106" s="13">
        <v>2220197000</v>
      </c>
      <c r="M106" s="13">
        <v>71097505000</v>
      </c>
      <c r="N106" s="9" t="s">
        <v>50</v>
      </c>
      <c r="O106" s="6">
        <v>1.0683760683760684</v>
      </c>
      <c r="P106" s="12">
        <v>0.10440984985891257</v>
      </c>
      <c r="Q106" s="12">
        <v>3.1227495254580313E-2</v>
      </c>
      <c r="R106" s="14">
        <v>78</v>
      </c>
    </row>
    <row r="107" spans="2:18" x14ac:dyDescent="0.5">
      <c r="B107" s="1" t="s">
        <v>284</v>
      </c>
      <c r="C107" t="s">
        <v>337</v>
      </c>
      <c r="D107" t="s">
        <v>49</v>
      </c>
      <c r="E107">
        <v>21.12</v>
      </c>
      <c r="F107" s="9" t="s">
        <v>67</v>
      </c>
      <c r="G107" s="7">
        <v>47230148608</v>
      </c>
      <c r="H107" s="6">
        <v>21.8</v>
      </c>
      <c r="I107" s="6">
        <v>3.29</v>
      </c>
      <c r="J107" s="12">
        <f t="shared" si="3"/>
        <v>5.4194528875379939</v>
      </c>
      <c r="K107" s="11">
        <v>1.0937499999999999E-2</v>
      </c>
      <c r="L107" s="13">
        <v>2184074765.02</v>
      </c>
      <c r="M107" s="13">
        <v>23493408528.349998</v>
      </c>
      <c r="N107" s="9" t="s">
        <v>50</v>
      </c>
      <c r="O107" s="6">
        <v>1.0683760683760684</v>
      </c>
      <c r="P107" s="12">
        <v>6.0361668481973371E-2</v>
      </c>
      <c r="Q107" s="12">
        <v>9.29654274042198E-2</v>
      </c>
      <c r="R107" s="14">
        <v>79</v>
      </c>
    </row>
    <row r="108" spans="2:18" x14ac:dyDescent="0.5">
      <c r="B108" s="1" t="s">
        <v>262</v>
      </c>
      <c r="C108" t="s">
        <v>312</v>
      </c>
      <c r="D108" t="s">
        <v>85</v>
      </c>
      <c r="E108">
        <v>7.24</v>
      </c>
      <c r="F108" s="9" t="s">
        <v>67</v>
      </c>
      <c r="G108" s="7">
        <v>7370733056</v>
      </c>
      <c r="H108" s="6">
        <v>10.76</v>
      </c>
      <c r="I108" s="6">
        <v>6.25</v>
      </c>
      <c r="J108" s="12">
        <f t="shared" si="3"/>
        <v>0.1584000000000001</v>
      </c>
      <c r="K108" s="11">
        <v>1.9613259668508284E-2</v>
      </c>
      <c r="L108" s="13">
        <v>350106000</v>
      </c>
      <c r="M108" s="13">
        <v>3348556000</v>
      </c>
      <c r="N108" s="9" t="s">
        <v>67</v>
      </c>
      <c r="O108" s="6">
        <v>1</v>
      </c>
      <c r="P108" s="12">
        <v>5.2521892306728303E-2</v>
      </c>
      <c r="Q108" s="12">
        <v>0.10455432132537129</v>
      </c>
      <c r="R108" s="14">
        <v>79</v>
      </c>
    </row>
    <row r="109" spans="2:18" x14ac:dyDescent="0.5">
      <c r="B109" s="1" t="s">
        <v>256</v>
      </c>
      <c r="C109" t="s">
        <v>305</v>
      </c>
      <c r="D109" t="s">
        <v>106</v>
      </c>
      <c r="E109">
        <v>14.33</v>
      </c>
      <c r="F109" s="9" t="s">
        <v>67</v>
      </c>
      <c r="G109" s="7">
        <v>9625632768</v>
      </c>
      <c r="H109" s="6">
        <v>15.74</v>
      </c>
      <c r="I109" s="6">
        <v>6.31</v>
      </c>
      <c r="J109" s="12">
        <f t="shared" si="3"/>
        <v>1.2709984152139464</v>
      </c>
      <c r="K109" s="11">
        <v>3.9776692254012556E-2</v>
      </c>
      <c r="L109" s="13">
        <v>1136392000</v>
      </c>
      <c r="M109" s="13">
        <v>17458813000</v>
      </c>
      <c r="N109" s="9" t="s">
        <v>67</v>
      </c>
      <c r="O109" s="6">
        <v>1</v>
      </c>
      <c r="P109" s="12">
        <v>7.9775566708358753E-2</v>
      </c>
      <c r="Q109" s="12">
        <v>6.5089877530620205E-2</v>
      </c>
      <c r="R109" s="14">
        <v>80</v>
      </c>
    </row>
    <row r="110" spans="2:18" x14ac:dyDescent="0.5">
      <c r="B110" s="1" t="s">
        <v>252</v>
      </c>
      <c r="C110" t="s">
        <v>301</v>
      </c>
      <c r="D110" t="s">
        <v>168</v>
      </c>
      <c r="E110">
        <v>64.05</v>
      </c>
      <c r="F110" s="9" t="s">
        <v>67</v>
      </c>
      <c r="G110" s="7">
        <v>245314355200</v>
      </c>
      <c r="H110" s="6">
        <v>66.5</v>
      </c>
      <c r="I110" s="6">
        <v>37.450000000000003</v>
      </c>
      <c r="J110" s="12">
        <f t="shared" si="3"/>
        <v>0.71028037383177556</v>
      </c>
      <c r="K110" s="11">
        <v>3.4722872755659648E-2</v>
      </c>
      <c r="L110" s="13">
        <v>41737000000</v>
      </c>
      <c r="M110" s="13">
        <v>794927000000</v>
      </c>
      <c r="N110" s="9" t="s">
        <v>67</v>
      </c>
      <c r="O110" s="6">
        <v>1</v>
      </c>
      <c r="P110" s="12">
        <v>9.3008826816443999E-2</v>
      </c>
      <c r="Q110" s="12">
        <v>5.2504192208844336E-2</v>
      </c>
      <c r="R110" s="14">
        <v>81</v>
      </c>
    </row>
    <row r="111" spans="2:18" x14ac:dyDescent="0.5">
      <c r="B111" s="1" t="s">
        <v>131</v>
      </c>
      <c r="C111" t="s">
        <v>175</v>
      </c>
      <c r="D111" t="s">
        <v>96</v>
      </c>
      <c r="E111">
        <v>6.15</v>
      </c>
      <c r="F111" s="9" t="s">
        <v>67</v>
      </c>
      <c r="G111" s="7">
        <v>47648739328</v>
      </c>
      <c r="H111" s="6">
        <v>6.2</v>
      </c>
      <c r="I111" s="6">
        <v>4.4000000000000004</v>
      </c>
      <c r="J111" s="12">
        <f t="shared" si="3"/>
        <v>0.39772727272727271</v>
      </c>
      <c r="K111" s="11">
        <v>6.2276422764227637E-2</v>
      </c>
      <c r="L111" s="13">
        <v>5474000000</v>
      </c>
      <c r="M111" s="13">
        <v>59407000000</v>
      </c>
      <c r="N111" s="9" t="s">
        <v>67</v>
      </c>
      <c r="O111" s="6">
        <v>1</v>
      </c>
      <c r="P111" s="12">
        <v>5.5124915606150945E-2</v>
      </c>
      <c r="Q111" s="12">
        <v>9.2144023431582137E-2</v>
      </c>
      <c r="R111" s="14">
        <v>82</v>
      </c>
    </row>
    <row r="112" spans="2:18" x14ac:dyDescent="0.5">
      <c r="B112" s="1" t="s">
        <v>124</v>
      </c>
      <c r="C112" t="s">
        <v>166</v>
      </c>
      <c r="D112" t="s">
        <v>102</v>
      </c>
      <c r="E112">
        <v>18.78</v>
      </c>
      <c r="F112" s="9" t="s">
        <v>67</v>
      </c>
      <c r="G112" s="7">
        <v>58881404928</v>
      </c>
      <c r="H112" s="6">
        <v>19.3</v>
      </c>
      <c r="I112" s="6">
        <v>6.7</v>
      </c>
      <c r="J112" s="12">
        <f t="shared" si="3"/>
        <v>1.8029850746268656</v>
      </c>
      <c r="K112" s="11">
        <v>1.8636847710330137E-2</v>
      </c>
      <c r="L112" s="13">
        <v>1990539000</v>
      </c>
      <c r="M112" s="13">
        <v>18620709000</v>
      </c>
      <c r="N112" s="9" t="s">
        <v>67</v>
      </c>
      <c r="O112" s="6">
        <v>1</v>
      </c>
      <c r="P112" s="12">
        <v>3.2295720829046658E-2</v>
      </c>
      <c r="Q112" s="12">
        <v>0.10689920561026972</v>
      </c>
      <c r="R112" s="14">
        <v>83</v>
      </c>
    </row>
    <row r="113" spans="2:18" x14ac:dyDescent="0.5">
      <c r="B113" s="1" t="s">
        <v>18</v>
      </c>
      <c r="C113" t="s">
        <v>66</v>
      </c>
      <c r="D113" t="s">
        <v>65</v>
      </c>
      <c r="E113">
        <v>101.6</v>
      </c>
      <c r="F113" s="9" t="s">
        <v>67</v>
      </c>
      <c r="G113" s="7">
        <v>265869508608</v>
      </c>
      <c r="H113" s="6">
        <v>105.8</v>
      </c>
      <c r="I113" s="6">
        <v>43.15</v>
      </c>
      <c r="J113" s="12">
        <f t="shared" si="3"/>
        <v>1.354577056778679</v>
      </c>
      <c r="K113" s="11">
        <v>1.2795275590551183E-2</v>
      </c>
      <c r="L113" s="13">
        <v>6350637223.7200003</v>
      </c>
      <c r="M113" s="13">
        <v>57896384836.860001</v>
      </c>
      <c r="N113" s="9" t="s">
        <v>50</v>
      </c>
      <c r="O113" s="6">
        <v>1.0683760683760684</v>
      </c>
      <c r="P113" s="12">
        <v>2.8972395899182664E-2</v>
      </c>
      <c r="Q113" s="12">
        <v>0.10968970241604512</v>
      </c>
      <c r="R113" s="14">
        <v>83</v>
      </c>
    </row>
    <row r="114" spans="2:18" x14ac:dyDescent="0.5">
      <c r="B114" s="1" t="s">
        <v>120</v>
      </c>
      <c r="C114" t="s">
        <v>160</v>
      </c>
      <c r="D114" t="s">
        <v>161</v>
      </c>
      <c r="E114">
        <v>16.2</v>
      </c>
      <c r="F114" s="9" t="s">
        <v>67</v>
      </c>
      <c r="G114" s="7">
        <v>109236994048</v>
      </c>
      <c r="H114" s="6">
        <v>16.32</v>
      </c>
      <c r="I114" s="6">
        <v>5</v>
      </c>
      <c r="J114" s="12">
        <f t="shared" si="3"/>
        <v>2.2399999999999998</v>
      </c>
      <c r="K114" s="11">
        <v>1.2962962962962963E-2</v>
      </c>
      <c r="L114" s="13">
        <v>6749146000</v>
      </c>
      <c r="M114" s="13">
        <v>70848374000</v>
      </c>
      <c r="N114" s="9" t="s">
        <v>50</v>
      </c>
      <c r="O114" s="6">
        <v>1.0683760683760684</v>
      </c>
      <c r="P114" s="12">
        <v>5.0841133085307799E-2</v>
      </c>
      <c r="Q114" s="12">
        <v>9.5261833390841127E-2</v>
      </c>
      <c r="R114" s="14">
        <v>84</v>
      </c>
    </row>
    <row r="115" spans="2:18" x14ac:dyDescent="0.5">
      <c r="B115" s="1" t="s">
        <v>752</v>
      </c>
      <c r="C115" t="s">
        <v>754</v>
      </c>
      <c r="D115" t="s">
        <v>85</v>
      </c>
      <c r="E115">
        <v>16.309999999999999</v>
      </c>
      <c r="F115" s="9" t="s">
        <v>67</v>
      </c>
      <c r="G115" s="7">
        <v>10529104896</v>
      </c>
      <c r="H115" s="6">
        <v>16.8</v>
      </c>
      <c r="I115" s="6">
        <v>8.0299999999999994</v>
      </c>
      <c r="J115" s="12">
        <f t="shared" si="3"/>
        <v>1.0311332503113326</v>
      </c>
      <c r="K115" s="11">
        <v>1.3672593500919683E-2</v>
      </c>
      <c r="L115" s="13">
        <v>1066661000</v>
      </c>
      <c r="M115" s="13">
        <v>15098330000</v>
      </c>
      <c r="N115" s="9" t="s">
        <v>50</v>
      </c>
      <c r="O115" s="6">
        <v>1.0683760683760684</v>
      </c>
      <c r="P115" s="12">
        <v>6.0567319056083729E-2</v>
      </c>
      <c r="Q115" s="12">
        <v>7.0647614669966816E-2</v>
      </c>
      <c r="R115" s="14">
        <v>84</v>
      </c>
    </row>
    <row r="116" spans="2:18" x14ac:dyDescent="0.5">
      <c r="B116" s="1" t="s">
        <v>119</v>
      </c>
      <c r="C116" t="s">
        <v>159</v>
      </c>
      <c r="D116" t="s">
        <v>148</v>
      </c>
      <c r="E116">
        <v>46.82</v>
      </c>
      <c r="F116" s="9" t="s">
        <v>67</v>
      </c>
      <c r="G116" s="7">
        <v>163859611648</v>
      </c>
      <c r="H116" s="6">
        <v>47.08</v>
      </c>
      <c r="I116" s="6">
        <v>28.1</v>
      </c>
      <c r="J116" s="12">
        <f t="shared" si="3"/>
        <v>0.66619217081850524</v>
      </c>
      <c r="K116" s="11">
        <v>3.7163605296881674E-2</v>
      </c>
      <c r="L116" s="13">
        <v>16863000000</v>
      </c>
      <c r="M116" s="13">
        <v>448320000000</v>
      </c>
      <c r="N116" s="9" t="s">
        <v>67</v>
      </c>
      <c r="O116" s="6">
        <v>1</v>
      </c>
      <c r="P116" s="12">
        <v>9.0943600945564002E-2</v>
      </c>
      <c r="Q116" s="12">
        <v>3.7613758029978586E-2</v>
      </c>
      <c r="R116" s="14">
        <v>85</v>
      </c>
    </row>
    <row r="117" spans="2:18" x14ac:dyDescent="0.5">
      <c r="B117" s="1" t="s">
        <v>36</v>
      </c>
      <c r="C117" t="s">
        <v>100</v>
      </c>
      <c r="D117" t="s">
        <v>49</v>
      </c>
      <c r="E117">
        <v>30.22</v>
      </c>
      <c r="F117" s="9" t="s">
        <v>67</v>
      </c>
      <c r="G117" s="7">
        <v>128988463104</v>
      </c>
      <c r="H117" s="6">
        <v>119.9</v>
      </c>
      <c r="I117" s="6">
        <v>8.92</v>
      </c>
      <c r="J117" s="12">
        <f t="shared" si="3"/>
        <v>2.3878923766816142</v>
      </c>
      <c r="K117" s="11">
        <v>1.3335539377895434E-2</v>
      </c>
      <c r="L117" s="13">
        <v>3967214824.1399999</v>
      </c>
      <c r="M117" s="13">
        <v>41038539262.660004</v>
      </c>
      <c r="N117" s="9" t="s">
        <v>50</v>
      </c>
      <c r="O117" s="6">
        <v>1.0683760683760684</v>
      </c>
      <c r="P117" s="12">
        <v>4.0955330651690332E-2</v>
      </c>
      <c r="Q117" s="12">
        <v>9.6670468672106824E-2</v>
      </c>
      <c r="R117" s="14">
        <v>86</v>
      </c>
    </row>
    <row r="118" spans="2:18" x14ac:dyDescent="0.5">
      <c r="B118" s="1" t="s">
        <v>33</v>
      </c>
      <c r="C118" t="s">
        <v>95</v>
      </c>
      <c r="D118" t="s">
        <v>96</v>
      </c>
      <c r="E118">
        <v>11.18</v>
      </c>
      <c r="F118" s="9" t="s">
        <v>67</v>
      </c>
      <c r="G118" s="7">
        <v>195439820800</v>
      </c>
      <c r="H118" s="6">
        <v>12.85</v>
      </c>
      <c r="I118" s="6">
        <v>9.89</v>
      </c>
      <c r="J118" s="12">
        <f t="shared" si="3"/>
        <v>0.13043478260869557</v>
      </c>
      <c r="K118" s="11">
        <v>3.9355992844364938E-2</v>
      </c>
      <c r="L118" s="13">
        <v>16758000000</v>
      </c>
      <c r="M118" s="13">
        <v>269590000000</v>
      </c>
      <c r="N118" s="9" t="s">
        <v>50</v>
      </c>
      <c r="O118" s="6">
        <v>1.0683760683760684</v>
      </c>
      <c r="P118" s="12">
        <v>6.1411908305873307E-2</v>
      </c>
      <c r="Q118" s="12">
        <v>6.2161059386475759E-2</v>
      </c>
      <c r="R118" s="14">
        <v>86</v>
      </c>
    </row>
    <row r="119" spans="2:18" x14ac:dyDescent="0.5">
      <c r="B119" s="1" t="s">
        <v>440</v>
      </c>
      <c r="C119" t="s">
        <v>445</v>
      </c>
      <c r="D119" t="s">
        <v>446</v>
      </c>
      <c r="E119">
        <v>2.21</v>
      </c>
      <c r="F119" s="9" t="s">
        <v>67</v>
      </c>
      <c r="G119" s="7">
        <v>24289384448</v>
      </c>
      <c r="H119" s="6">
        <v>2.64</v>
      </c>
      <c r="I119" s="6">
        <v>1.57</v>
      </c>
      <c r="J119" s="12">
        <f t="shared" si="3"/>
        <v>0.40764331210191074</v>
      </c>
      <c r="K119" s="11">
        <v>3.1674208144796386E-2</v>
      </c>
      <c r="L119" s="13">
        <v>1507922451</v>
      </c>
      <c r="M119" s="13">
        <v>27909411974</v>
      </c>
      <c r="N119" s="9" t="s">
        <v>50</v>
      </c>
      <c r="O119" s="6">
        <v>1.0683760683760684</v>
      </c>
      <c r="P119" s="12">
        <v>6.55744720935314E-2</v>
      </c>
      <c r="Q119" s="12">
        <v>5.4029173112094174E-2</v>
      </c>
      <c r="R119" s="14">
        <v>87</v>
      </c>
    </row>
    <row r="120" spans="2:18" x14ac:dyDescent="0.5">
      <c r="B120" s="1" t="s">
        <v>254</v>
      </c>
      <c r="C120" t="s">
        <v>303</v>
      </c>
      <c r="D120" t="s">
        <v>96</v>
      </c>
      <c r="E120">
        <v>3.96</v>
      </c>
      <c r="F120" s="9" t="s">
        <v>67</v>
      </c>
      <c r="G120" s="7">
        <v>3677149184</v>
      </c>
      <c r="H120" s="6">
        <v>5.39</v>
      </c>
      <c r="I120" s="6">
        <v>1.72</v>
      </c>
      <c r="J120" s="12">
        <f t="shared" si="3"/>
        <v>1.3023255813953489</v>
      </c>
      <c r="K120" s="11">
        <v>2.2727272727272728E-2</v>
      </c>
      <c r="L120" s="13">
        <v>238321000</v>
      </c>
      <c r="M120" s="13">
        <v>6087917000</v>
      </c>
      <c r="N120" s="9" t="s">
        <v>67</v>
      </c>
      <c r="O120" s="6">
        <v>1</v>
      </c>
      <c r="P120" s="12">
        <v>7.1727819095099551E-2</v>
      </c>
      <c r="Q120" s="12">
        <v>3.9146558666946343E-2</v>
      </c>
      <c r="R120" s="14">
        <v>87</v>
      </c>
    </row>
    <row r="121" spans="2:18" x14ac:dyDescent="0.5">
      <c r="B121" s="1" t="s">
        <v>125</v>
      </c>
      <c r="C121" t="s">
        <v>167</v>
      </c>
      <c r="D121" t="s">
        <v>168</v>
      </c>
      <c r="E121">
        <v>35.200000000000003</v>
      </c>
      <c r="F121" s="9" t="s">
        <v>67</v>
      </c>
      <c r="G121" s="7">
        <v>39012573184</v>
      </c>
      <c r="H121" s="6">
        <v>35.74</v>
      </c>
      <c r="I121" s="6">
        <v>17.8</v>
      </c>
      <c r="J121" s="12">
        <f t="shared" si="3"/>
        <v>0.97752808988764062</v>
      </c>
      <c r="K121" s="11">
        <v>3.4943181818181818E-2</v>
      </c>
      <c r="L121" s="13">
        <v>3838344000</v>
      </c>
      <c r="M121" s="13">
        <v>81520873000</v>
      </c>
      <c r="N121" s="9" t="s">
        <v>67</v>
      </c>
      <c r="O121" s="6">
        <v>1</v>
      </c>
      <c r="P121" s="12">
        <v>6.7540178186847169E-2</v>
      </c>
      <c r="Q121" s="12">
        <v>4.7084186647510511E-2</v>
      </c>
      <c r="R121" s="14">
        <v>88</v>
      </c>
    </row>
    <row r="122" spans="2:18" x14ac:dyDescent="0.5">
      <c r="B122" s="1" t="s">
        <v>26</v>
      </c>
      <c r="C122" t="s">
        <v>84</v>
      </c>
      <c r="D122" t="s">
        <v>85</v>
      </c>
      <c r="E122">
        <v>7.4</v>
      </c>
      <c r="F122" s="9" t="s">
        <v>67</v>
      </c>
      <c r="G122" s="7">
        <v>7723265536</v>
      </c>
      <c r="H122" s="6">
        <v>9.6</v>
      </c>
      <c r="I122" s="6">
        <v>5.25</v>
      </c>
      <c r="J122" s="12">
        <f t="shared" si="3"/>
        <v>0.40952380952380962</v>
      </c>
      <c r="K122" s="11">
        <v>1.2972972972972972E-2</v>
      </c>
      <c r="L122" s="13">
        <v>303335000</v>
      </c>
      <c r="M122" s="13">
        <v>3620162000</v>
      </c>
      <c r="N122" s="9" t="s">
        <v>67</v>
      </c>
      <c r="O122" s="6">
        <v>1</v>
      </c>
      <c r="P122" s="12">
        <v>4.5756657478341872E-2</v>
      </c>
      <c r="Q122" s="12">
        <v>8.3790449156695201E-2</v>
      </c>
      <c r="R122" s="14">
        <v>89</v>
      </c>
    </row>
    <row r="123" spans="2:18" x14ac:dyDescent="0.5">
      <c r="B123" s="1" t="s">
        <v>30</v>
      </c>
      <c r="C123" t="s">
        <v>90</v>
      </c>
      <c r="D123" t="s">
        <v>91</v>
      </c>
      <c r="E123">
        <v>2.93</v>
      </c>
      <c r="F123" s="9" t="s">
        <v>67</v>
      </c>
      <c r="G123" s="7">
        <v>16005221376</v>
      </c>
      <c r="H123" s="6">
        <v>3.83</v>
      </c>
      <c r="I123" s="6">
        <v>1.24</v>
      </c>
      <c r="J123" s="12">
        <f t="shared" si="3"/>
        <v>1.362903225806452</v>
      </c>
      <c r="K123" s="11">
        <v>1.1604095563139932E-2</v>
      </c>
      <c r="L123" s="13">
        <v>1384865000</v>
      </c>
      <c r="M123" s="13">
        <v>23827484000</v>
      </c>
      <c r="N123" s="9" t="s">
        <v>50</v>
      </c>
      <c r="O123" s="6">
        <v>1.0683760683760684</v>
      </c>
      <c r="P123" s="12">
        <v>5.4558634686777914E-2</v>
      </c>
      <c r="Q123" s="12">
        <v>5.8120488088461209E-2</v>
      </c>
      <c r="R123" s="14">
        <v>89</v>
      </c>
    </row>
    <row r="124" spans="2:18" x14ac:dyDescent="0.5">
      <c r="B124" s="1" t="s">
        <v>788</v>
      </c>
      <c r="C124" t="s">
        <v>792</v>
      </c>
      <c r="D124" t="s">
        <v>790</v>
      </c>
      <c r="E124">
        <v>4.5999999999999996</v>
      </c>
      <c r="F124" s="9" t="s">
        <v>67</v>
      </c>
      <c r="G124" s="7">
        <v>11506518016</v>
      </c>
      <c r="H124" s="6">
        <v>6.99</v>
      </c>
      <c r="I124" s="6">
        <v>4.04</v>
      </c>
      <c r="J124" s="12">
        <f t="shared" si="3"/>
        <v>0.13861386138613851</v>
      </c>
      <c r="K124" s="11">
        <v>1.0869565217391306E-2</v>
      </c>
      <c r="L124" s="13">
        <v>744014000</v>
      </c>
      <c r="M124" s="13">
        <v>15832072000</v>
      </c>
      <c r="N124" s="9" t="s">
        <v>50</v>
      </c>
      <c r="O124" s="6">
        <v>1.0683760683760684</v>
      </c>
      <c r="P124" s="12">
        <v>6.0880325063889636E-2</v>
      </c>
      <c r="Q124" s="12">
        <v>4.6994101593272192E-2</v>
      </c>
      <c r="R124" s="14">
        <v>90</v>
      </c>
    </row>
    <row r="125" spans="2:18" x14ac:dyDescent="0.5">
      <c r="B125" s="1" t="s">
        <v>758</v>
      </c>
      <c r="C125" t="s">
        <v>761</v>
      </c>
      <c r="D125" t="s">
        <v>240</v>
      </c>
      <c r="E125">
        <v>10.82</v>
      </c>
      <c r="F125" s="9" t="s">
        <v>67</v>
      </c>
      <c r="G125" s="7">
        <v>11521187840</v>
      </c>
      <c r="H125" s="6">
        <v>15.24</v>
      </c>
      <c r="I125" s="6">
        <v>7.64</v>
      </c>
      <c r="J125" s="12">
        <f t="shared" si="3"/>
        <v>0.41623036649214673</v>
      </c>
      <c r="K125" s="11">
        <v>3.2070240295748613E-2</v>
      </c>
      <c r="L125" s="13">
        <v>697194000</v>
      </c>
      <c r="M125" s="13">
        <v>9479979000</v>
      </c>
      <c r="N125" s="9" t="s">
        <v>50</v>
      </c>
      <c r="O125" s="6">
        <v>1.0683760683760684</v>
      </c>
      <c r="P125" s="12">
        <v>4.4440257844787126E-2</v>
      </c>
      <c r="Q125" s="12">
        <v>7.3543833799631836E-2</v>
      </c>
      <c r="R125" s="14">
        <v>91</v>
      </c>
    </row>
    <row r="126" spans="2:18" x14ac:dyDescent="0.5">
      <c r="B126" s="1" t="s">
        <v>375</v>
      </c>
      <c r="C126" t="s">
        <v>376</v>
      </c>
      <c r="D126" t="s">
        <v>83</v>
      </c>
      <c r="E126">
        <v>1.41</v>
      </c>
      <c r="F126" s="9" t="s">
        <v>67</v>
      </c>
      <c r="G126" s="7">
        <v>7806653440</v>
      </c>
      <c r="H126" s="6">
        <v>2.99</v>
      </c>
      <c r="I126" s="6">
        <v>0.91</v>
      </c>
      <c r="J126" s="12">
        <f t="shared" si="3"/>
        <v>0.54945054945054927</v>
      </c>
      <c r="K126" s="11">
        <v>0</v>
      </c>
      <c r="L126" s="13">
        <v>429393000</v>
      </c>
      <c r="M126" s="13">
        <v>18333659000</v>
      </c>
      <c r="N126" s="9" t="s">
        <v>67</v>
      </c>
      <c r="O126" s="6">
        <v>1</v>
      </c>
      <c r="P126" s="12">
        <v>5.4189887824396821E-2</v>
      </c>
      <c r="Q126" s="12">
        <v>2.3421020321148112E-2</v>
      </c>
      <c r="R126" s="14">
        <v>92</v>
      </c>
    </row>
    <row r="127" spans="2:18" x14ac:dyDescent="0.5">
      <c r="B127" s="1" t="s">
        <v>137</v>
      </c>
      <c r="C127" t="s">
        <v>184</v>
      </c>
      <c r="D127" t="s">
        <v>185</v>
      </c>
      <c r="E127">
        <v>4.01</v>
      </c>
      <c r="F127" s="9" t="s">
        <v>67</v>
      </c>
      <c r="G127" s="7">
        <v>17222950912</v>
      </c>
      <c r="H127" s="6">
        <v>4.12</v>
      </c>
      <c r="I127" s="6">
        <v>1.93</v>
      </c>
      <c r="J127" s="12">
        <f t="shared" si="3"/>
        <v>1.0777202072538858</v>
      </c>
      <c r="K127" s="11">
        <v>2.7680798004987534E-2</v>
      </c>
      <c r="L127" s="13">
        <v>1938532000</v>
      </c>
      <c r="M127" s="13">
        <v>49986396000</v>
      </c>
      <c r="N127" s="9" t="s">
        <v>67</v>
      </c>
      <c r="O127" s="6">
        <v>1</v>
      </c>
      <c r="P127" s="12">
        <v>5.134982935420318E-2</v>
      </c>
      <c r="Q127" s="12">
        <v>3.8781191586606881E-2</v>
      </c>
      <c r="R127" s="14">
        <v>93</v>
      </c>
    </row>
    <row r="128" spans="2:18" x14ac:dyDescent="0.5">
      <c r="B128" s="1" t="s">
        <v>379</v>
      </c>
      <c r="C128" t="s">
        <v>382</v>
      </c>
      <c r="D128" t="s">
        <v>148</v>
      </c>
      <c r="E128">
        <v>12.62</v>
      </c>
      <c r="F128" s="9" t="s">
        <v>67</v>
      </c>
      <c r="G128" s="7">
        <v>119694327808</v>
      </c>
      <c r="H128" s="6">
        <v>12.67</v>
      </c>
      <c r="I128" s="6">
        <v>7.31</v>
      </c>
      <c r="J128" s="12">
        <f t="shared" si="3"/>
        <v>0.72640218878248963</v>
      </c>
      <c r="K128" s="11">
        <v>4.5958795562599047E-2</v>
      </c>
      <c r="L128" s="13">
        <v>4532000000</v>
      </c>
      <c r="M128" s="13">
        <v>172303000000</v>
      </c>
      <c r="N128" s="9" t="s">
        <v>67</v>
      </c>
      <c r="O128" s="6">
        <v>1</v>
      </c>
      <c r="P128" s="12">
        <v>3.7662364574473903E-2</v>
      </c>
      <c r="Q128" s="12">
        <v>2.6302501987777345E-2</v>
      </c>
      <c r="R128" s="14">
        <v>94</v>
      </c>
    </row>
    <row r="129" spans="2:18" x14ac:dyDescent="0.5">
      <c r="B129" s="1" t="s">
        <v>191</v>
      </c>
      <c r="C129" t="s">
        <v>192</v>
      </c>
      <c r="D129" t="s">
        <v>193</v>
      </c>
      <c r="E129">
        <v>70</v>
      </c>
      <c r="F129" s="9" t="s">
        <v>67</v>
      </c>
      <c r="G129" s="7">
        <v>676543922176</v>
      </c>
      <c r="H129" s="6">
        <v>93.5</v>
      </c>
      <c r="I129" s="6">
        <v>37</v>
      </c>
      <c r="J129" s="12">
        <f t="shared" si="3"/>
        <v>0.89189189189189189</v>
      </c>
      <c r="K129" s="11">
        <v>0</v>
      </c>
      <c r="L129" s="13">
        <v>984027000</v>
      </c>
      <c r="M129" s="13">
        <v>32183526000</v>
      </c>
      <c r="N129" s="9" t="s">
        <v>71</v>
      </c>
      <c r="O129" s="6">
        <v>7.6923076923076916</v>
      </c>
      <c r="P129" s="12">
        <v>1.0560210459614449E-2</v>
      </c>
      <c r="Q129" s="12">
        <v>3.0575487595734537E-2</v>
      </c>
      <c r="R129" s="14">
        <v>95</v>
      </c>
    </row>
    <row r="130" spans="2:18" x14ac:dyDescent="0.5">
      <c r="B130" s="1" t="s">
        <v>111</v>
      </c>
      <c r="C130" t="s">
        <v>149</v>
      </c>
      <c r="D130" t="s">
        <v>150</v>
      </c>
      <c r="E130">
        <v>22.66</v>
      </c>
      <c r="F130" s="9" t="s">
        <v>67</v>
      </c>
      <c r="G130" s="7">
        <v>23272005632</v>
      </c>
      <c r="H130" s="6">
        <v>23.28</v>
      </c>
      <c r="I130" s="6">
        <v>11.34</v>
      </c>
      <c r="J130" s="12">
        <f t="shared" ref="J130:J142" si="4">E130/I130-1</f>
        <v>0.99823633156966496</v>
      </c>
      <c r="K130" s="11">
        <v>4.7661076787290382E-2</v>
      </c>
      <c r="L130" s="13">
        <v>984000000</v>
      </c>
      <c r="M130" s="13">
        <v>101944000000</v>
      </c>
      <c r="N130" s="9" t="s">
        <v>67</v>
      </c>
      <c r="O130" s="6">
        <v>1</v>
      </c>
      <c r="P130" s="12">
        <v>2.0405621605813509E-2</v>
      </c>
      <c r="Q130" s="12">
        <v>9.6523581574197593E-3</v>
      </c>
      <c r="R130" s="14">
        <v>96</v>
      </c>
    </row>
    <row r="131" spans="2:18" x14ac:dyDescent="0.5">
      <c r="B131" s="1" t="s">
        <v>128</v>
      </c>
      <c r="C131" t="s">
        <v>172</v>
      </c>
      <c r="D131" t="s">
        <v>171</v>
      </c>
      <c r="E131">
        <v>40.08</v>
      </c>
      <c r="F131" s="9" t="s">
        <v>67</v>
      </c>
      <c r="G131" s="7">
        <v>40940732416</v>
      </c>
      <c r="H131" s="6">
        <v>46.88</v>
      </c>
      <c r="I131" s="6">
        <v>22.4</v>
      </c>
      <c r="J131" s="12">
        <f t="shared" si="4"/>
        <v>0.78928571428571437</v>
      </c>
      <c r="K131" s="11">
        <v>0</v>
      </c>
      <c r="L131" s="13">
        <v>-90314000</v>
      </c>
      <c r="M131" s="13">
        <v>18374441000</v>
      </c>
      <c r="N131" s="9" t="s">
        <v>50</v>
      </c>
      <c r="O131" s="6">
        <v>1.0683760683760684</v>
      </c>
      <c r="P131" s="12">
        <v>-2.5640959729451725E-3</v>
      </c>
      <c r="Q131" s="12">
        <v>-4.9151971480384084E-3</v>
      </c>
      <c r="R131" s="14">
        <v>97</v>
      </c>
    </row>
    <row r="132" spans="2:18" x14ac:dyDescent="0.5">
      <c r="B132" s="1" t="s">
        <v>768</v>
      </c>
      <c r="C132" t="s">
        <v>773</v>
      </c>
      <c r="D132" t="s">
        <v>774</v>
      </c>
      <c r="E132">
        <v>1.42</v>
      </c>
      <c r="F132" s="9" t="s">
        <v>67</v>
      </c>
      <c r="G132" s="7">
        <v>900119936</v>
      </c>
      <c r="H132" s="6">
        <v>1.98</v>
      </c>
      <c r="I132" s="6">
        <v>1.17</v>
      </c>
      <c r="J132" s="12">
        <f t="shared" si="4"/>
        <v>0.21367521367521358</v>
      </c>
      <c r="K132" s="11">
        <v>9.8591549295774655E-2</v>
      </c>
      <c r="L132" s="13">
        <v>-19076000</v>
      </c>
      <c r="M132" s="13">
        <v>1673543000</v>
      </c>
      <c r="N132" s="9" t="s">
        <v>67</v>
      </c>
      <c r="O132" s="6">
        <v>1</v>
      </c>
      <c r="P132" s="12">
        <v>-5.279779957282163E-2</v>
      </c>
      <c r="Q132" s="12">
        <v>-1.1398571772580687E-2</v>
      </c>
      <c r="R132" s="14">
        <v>98</v>
      </c>
    </row>
    <row r="133" spans="2:18" x14ac:dyDescent="0.5">
      <c r="B133" s="1" t="s">
        <v>776</v>
      </c>
      <c r="C133" t="s">
        <v>778</v>
      </c>
      <c r="D133" t="s">
        <v>171</v>
      </c>
      <c r="E133">
        <v>252.8</v>
      </c>
      <c r="F133" s="9" t="s">
        <v>67</v>
      </c>
      <c r="G133" s="7">
        <v>103030415360</v>
      </c>
      <c r="H133" s="6">
        <v>285.60000000000002</v>
      </c>
      <c r="I133" s="6">
        <v>113.6</v>
      </c>
      <c r="J133" s="12">
        <f t="shared" si="4"/>
        <v>1.2253521126760565</v>
      </c>
      <c r="K133" s="11">
        <v>0</v>
      </c>
      <c r="L133" s="13">
        <v>-1311002000</v>
      </c>
      <c r="M133" s="13">
        <v>18944386000</v>
      </c>
      <c r="N133" s="9" t="s">
        <v>50</v>
      </c>
      <c r="O133" s="6">
        <v>1.0683760683760684</v>
      </c>
      <c r="P133" s="12">
        <v>-1.4369082114135713E-2</v>
      </c>
      <c r="Q133" s="12">
        <v>-6.9202665106169181E-2</v>
      </c>
      <c r="R133" s="14">
        <v>98</v>
      </c>
    </row>
    <row r="134" spans="2:18" x14ac:dyDescent="0.5">
      <c r="B134" s="1" t="s">
        <v>381</v>
      </c>
      <c r="C134" t="s">
        <v>384</v>
      </c>
      <c r="D134" t="s">
        <v>385</v>
      </c>
      <c r="E134">
        <v>36.880000000000003</v>
      </c>
      <c r="F134" s="9" t="s">
        <v>67</v>
      </c>
      <c r="G134" s="7">
        <v>95848882176</v>
      </c>
      <c r="H134" s="6">
        <v>45.05</v>
      </c>
      <c r="I134" s="6">
        <v>32.65</v>
      </c>
      <c r="J134" s="12">
        <f t="shared" si="4"/>
        <v>0.12955589586523741</v>
      </c>
      <c r="K134" s="11">
        <v>7.1664859002169193E-2</v>
      </c>
      <c r="L134" s="13">
        <v>-6742000000</v>
      </c>
      <c r="M134" s="13">
        <v>216378000000</v>
      </c>
      <c r="N134" s="9" t="s">
        <v>67</v>
      </c>
      <c r="O134" s="6">
        <v>1</v>
      </c>
      <c r="P134" s="12">
        <v>-4.6287815328213119E-2</v>
      </c>
      <c r="Q134" s="12">
        <v>-3.1158435700487111E-2</v>
      </c>
      <c r="R134" s="14">
        <v>98</v>
      </c>
    </row>
    <row r="135" spans="2:18" x14ac:dyDescent="0.5">
      <c r="B135" s="1" t="s">
        <v>438</v>
      </c>
      <c r="C135" t="s">
        <v>442</v>
      </c>
      <c r="D135" t="s">
        <v>164</v>
      </c>
      <c r="E135">
        <v>2.95</v>
      </c>
      <c r="F135" s="9" t="s">
        <v>67</v>
      </c>
      <c r="G135" s="7">
        <v>17296549888</v>
      </c>
      <c r="H135" s="6">
        <v>4.34</v>
      </c>
      <c r="I135" s="6">
        <v>2.57</v>
      </c>
      <c r="J135" s="12">
        <f t="shared" si="4"/>
        <v>0.14785992217898847</v>
      </c>
      <c r="K135" s="11">
        <v>4.7457627118644069E-2</v>
      </c>
      <c r="L135" s="13">
        <v>-780356000</v>
      </c>
      <c r="M135" s="13">
        <v>8664599000</v>
      </c>
      <c r="N135" s="9" t="s">
        <v>67</v>
      </c>
      <c r="O135" s="6">
        <v>1</v>
      </c>
      <c r="P135" s="12">
        <v>-6.4069505635813997E-2</v>
      </c>
      <c r="Q135" s="12">
        <v>-9.0062563772426163E-2</v>
      </c>
      <c r="R135" s="14">
        <v>99</v>
      </c>
    </row>
    <row r="136" spans="2:18" x14ac:dyDescent="0.5">
      <c r="B136" s="1" t="s">
        <v>126</v>
      </c>
      <c r="C136" t="s">
        <v>169</v>
      </c>
      <c r="D136" t="s">
        <v>96</v>
      </c>
      <c r="E136">
        <v>12.07</v>
      </c>
      <c r="F136" s="9" t="s">
        <v>67</v>
      </c>
      <c r="G136" s="7">
        <v>91493744640</v>
      </c>
      <c r="H136" s="6">
        <v>12.95</v>
      </c>
      <c r="I136" s="6">
        <v>9.6</v>
      </c>
      <c r="J136" s="12">
        <f t="shared" si="4"/>
        <v>0.2572916666666667</v>
      </c>
      <c r="K136" s="11">
        <v>6.7771333885666932E-2</v>
      </c>
      <c r="M136" s="13">
        <v>79588000000</v>
      </c>
      <c r="N136" s="9" t="s">
        <v>67</v>
      </c>
      <c r="O136" s="6">
        <v>1</v>
      </c>
    </row>
    <row r="137" spans="2:18" x14ac:dyDescent="0.5">
      <c r="B137" s="1" t="s">
        <v>200</v>
      </c>
      <c r="C137" t="s">
        <v>226</v>
      </c>
      <c r="D137" t="s">
        <v>227</v>
      </c>
      <c r="E137">
        <v>7.02</v>
      </c>
      <c r="F137" s="9" t="s">
        <v>67</v>
      </c>
      <c r="G137" s="7">
        <v>694949445632</v>
      </c>
      <c r="H137" s="6">
        <v>7.62</v>
      </c>
      <c r="I137" s="6">
        <v>6.28</v>
      </c>
      <c r="J137" s="12">
        <f t="shared" si="4"/>
        <v>0.11783439490445846</v>
      </c>
      <c r="K137" s="11">
        <v>7.6210826210826213E-2</v>
      </c>
      <c r="M137" s="13">
        <v>2314289000000</v>
      </c>
      <c r="N137" s="9" t="s">
        <v>50</v>
      </c>
      <c r="O137" s="6">
        <v>1.0683760683760684</v>
      </c>
    </row>
    <row r="138" spans="2:18" x14ac:dyDescent="0.5">
      <c r="B138" s="1" t="s">
        <v>202</v>
      </c>
      <c r="C138" t="s">
        <v>229</v>
      </c>
      <c r="D138" t="s">
        <v>225</v>
      </c>
      <c r="E138">
        <v>5.18</v>
      </c>
      <c r="F138" s="9" t="s">
        <v>67</v>
      </c>
      <c r="G138" s="7">
        <v>700638953472</v>
      </c>
      <c r="H138" s="6">
        <v>5.95</v>
      </c>
      <c r="I138" s="6">
        <v>4.3600000000000003</v>
      </c>
      <c r="J138" s="12">
        <f t="shared" si="4"/>
        <v>0.18807339449541272</v>
      </c>
      <c r="K138" s="11">
        <v>4.5752895752895754E-2</v>
      </c>
      <c r="M138" s="13">
        <v>1271649000000</v>
      </c>
      <c r="N138" s="9" t="s">
        <v>50</v>
      </c>
      <c r="O138" s="6">
        <v>1.0683760683760684</v>
      </c>
    </row>
    <row r="139" spans="2:18" x14ac:dyDescent="0.5">
      <c r="B139" s="1" t="s">
        <v>201</v>
      </c>
      <c r="C139" t="s">
        <v>228</v>
      </c>
      <c r="D139" t="s">
        <v>227</v>
      </c>
      <c r="E139">
        <v>6.56</v>
      </c>
      <c r="F139" s="9" t="s">
        <v>67</v>
      </c>
      <c r="G139" s="7">
        <v>2931192758272</v>
      </c>
      <c r="H139" s="6">
        <v>6.66</v>
      </c>
      <c r="I139" s="6">
        <v>4.8600000000000003</v>
      </c>
      <c r="J139" s="12">
        <f t="shared" si="4"/>
        <v>0.34979423868312742</v>
      </c>
      <c r="K139" s="11">
        <v>4.6646341463414634E-2</v>
      </c>
      <c r="M139" s="13">
        <v>6434377000000</v>
      </c>
      <c r="N139" s="9" t="s">
        <v>50</v>
      </c>
      <c r="O139" s="6">
        <v>1.0683760683760684</v>
      </c>
    </row>
    <row r="140" spans="2:18" x14ac:dyDescent="0.5">
      <c r="B140" s="1" t="s">
        <v>203</v>
      </c>
      <c r="C140" t="s">
        <v>230</v>
      </c>
      <c r="D140" t="s">
        <v>227</v>
      </c>
      <c r="E140">
        <v>8.15</v>
      </c>
      <c r="F140" s="9" t="s">
        <v>67</v>
      </c>
      <c r="G140" s="7">
        <v>2184589475840</v>
      </c>
      <c r="H140" s="6">
        <v>8.56</v>
      </c>
      <c r="I140" s="6">
        <v>6.02</v>
      </c>
      <c r="J140" s="12">
        <f t="shared" si="4"/>
        <v>0.35382059800664467</v>
      </c>
      <c r="K140" s="11">
        <v>4.8098159509202452E-2</v>
      </c>
      <c r="M140" s="13">
        <v>6128626000000</v>
      </c>
      <c r="N140" s="9" t="s">
        <v>50</v>
      </c>
      <c r="O140" s="6">
        <v>1.0683760683760684</v>
      </c>
    </row>
    <row r="141" spans="2:18" x14ac:dyDescent="0.5">
      <c r="B141" s="1" t="s">
        <v>204</v>
      </c>
      <c r="C141" t="s">
        <v>231</v>
      </c>
      <c r="D141" t="s">
        <v>225</v>
      </c>
      <c r="E141">
        <v>7.57</v>
      </c>
      <c r="F141" s="9" t="s">
        <v>67</v>
      </c>
      <c r="G141" s="7">
        <v>496393551872</v>
      </c>
      <c r="H141" s="6">
        <v>8.1199999999999992</v>
      </c>
      <c r="I141" s="6">
        <v>5.44</v>
      </c>
      <c r="J141" s="12">
        <f t="shared" si="4"/>
        <v>0.39154411764705888</v>
      </c>
      <c r="K141" s="11">
        <v>6.7371202113606338E-2</v>
      </c>
      <c r="M141" s="13">
        <v>2066897000000</v>
      </c>
      <c r="N141" s="9" t="s">
        <v>50</v>
      </c>
      <c r="O141" s="6">
        <v>1.0683760683760684</v>
      </c>
    </row>
    <row r="142" spans="2:18" x14ac:dyDescent="0.5">
      <c r="B142" s="1" t="s">
        <v>199</v>
      </c>
      <c r="C142" t="s">
        <v>224</v>
      </c>
      <c r="D142" t="s">
        <v>225</v>
      </c>
      <c r="E142">
        <v>43.7</v>
      </c>
      <c r="F142" s="9" t="s">
        <v>67</v>
      </c>
      <c r="G142" s="7">
        <v>462030503936</v>
      </c>
      <c r="H142" s="6">
        <v>43.96</v>
      </c>
      <c r="I142" s="6">
        <v>25.7</v>
      </c>
      <c r="J142" s="12">
        <f t="shared" si="4"/>
        <v>0.70038910505836594</v>
      </c>
      <c r="K142" s="11">
        <v>4.5743707093821508E-2</v>
      </c>
      <c r="M142" s="13">
        <v>415994000000</v>
      </c>
      <c r="N142" s="9" t="s">
        <v>67</v>
      </c>
      <c r="O142" s="6">
        <v>1</v>
      </c>
    </row>
    <row r="143" spans="2:18" x14ac:dyDescent="0.5">
      <c r="B143" s="1" t="s">
        <v>795</v>
      </c>
    </row>
  </sheetData>
  <autoFilter ref="B1:R18" xr:uid="{7A9EDF16-08C4-B24B-A5E4-CFD78B458569}">
    <sortState xmlns:xlrd2="http://schemas.microsoft.com/office/spreadsheetml/2017/richdata2" ref="B2:R142">
      <sortCondition ref="R1:R18"/>
    </sortState>
  </autoFilter>
  <conditionalFormatting sqref="J2:J1048576">
    <cfRule type="cellIs" dxfId="5" priority="1" operator="between">
      <formula>0</formula>
      <formula>0.1</formula>
    </cfRule>
    <cfRule type="cellIs" dxfId="4" priority="2" operator="between">
      <formula>0.10001</formula>
      <formula>0.2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46D05-099C-4A4C-836A-6062A20AA7D3}">
  <dimension ref="B1:V82"/>
  <sheetViews>
    <sheetView tabSelected="1" zoomScaleNormal="100" workbookViewId="0">
      <selection activeCell="C18" sqref="C18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40.0625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495</v>
      </c>
      <c r="C2" t="s">
        <v>532</v>
      </c>
      <c r="D2" t="s">
        <v>76</v>
      </c>
      <c r="E2">
        <v>14.31</v>
      </c>
      <c r="F2" s="9" t="s">
        <v>50</v>
      </c>
      <c r="G2" s="7">
        <v>219516420096</v>
      </c>
      <c r="H2" s="6">
        <v>16.88</v>
      </c>
      <c r="I2" s="6">
        <v>12.74</v>
      </c>
      <c r="J2" s="12">
        <f>E2/I2-1</f>
        <v>0.12323390894819464</v>
      </c>
      <c r="K2" s="11">
        <v>0.11111111111111112</v>
      </c>
      <c r="L2" s="13">
        <v>70144988000</v>
      </c>
      <c r="M2" s="13">
        <v>269343749000</v>
      </c>
      <c r="N2" s="9" t="s">
        <v>50</v>
      </c>
      <c r="O2" s="6">
        <v>1</v>
      </c>
      <c r="P2" s="12">
        <v>0.62882322988994122</v>
      </c>
      <c r="Q2" s="12">
        <v>0.26042924055386191</v>
      </c>
      <c r="R2" s="14">
        <v>1</v>
      </c>
    </row>
    <row r="3" spans="2:22" x14ac:dyDescent="0.5">
      <c r="B3" s="1" t="s">
        <v>12</v>
      </c>
      <c r="C3" t="s">
        <v>57</v>
      </c>
      <c r="D3" t="s">
        <v>58</v>
      </c>
      <c r="E3">
        <v>106.06</v>
      </c>
      <c r="F3" s="9" t="s">
        <v>50</v>
      </c>
      <c r="G3" s="7">
        <v>411683323904</v>
      </c>
      <c r="H3" s="6">
        <v>142.96</v>
      </c>
      <c r="I3" s="6">
        <v>100.5</v>
      </c>
      <c r="J3" s="12">
        <f>E3/I3-1</f>
        <v>5.5323383084577182E-2</v>
      </c>
      <c r="K3" s="11">
        <v>5.4186309636055058E-2</v>
      </c>
      <c r="L3" s="13">
        <v>44203762134.690002</v>
      </c>
      <c r="M3" s="13">
        <v>133285282015.97</v>
      </c>
      <c r="N3" s="9" t="s">
        <v>50</v>
      </c>
      <c r="O3" s="6">
        <v>1</v>
      </c>
      <c r="P3" s="12">
        <v>0.15505358424585186</v>
      </c>
      <c r="Q3" s="12">
        <v>0.33164773684009302</v>
      </c>
      <c r="R3" s="14">
        <v>2</v>
      </c>
    </row>
    <row r="4" spans="2:22" x14ac:dyDescent="0.5">
      <c r="B4" s="1" t="s">
        <v>794</v>
      </c>
      <c r="C4" t="s">
        <v>797</v>
      </c>
      <c r="D4" t="s">
        <v>58</v>
      </c>
      <c r="E4">
        <v>116.25</v>
      </c>
      <c r="F4" s="9" t="s">
        <v>50</v>
      </c>
      <c r="G4" s="7">
        <v>171113267200</v>
      </c>
      <c r="H4" s="6">
        <v>146.72</v>
      </c>
      <c r="I4" s="6">
        <v>106.75</v>
      </c>
      <c r="J4" s="12">
        <f>E4/I4-1</f>
        <v>8.8992974238875977E-2</v>
      </c>
      <c r="K4" s="11">
        <v>5.1182795698924734E-2</v>
      </c>
      <c r="L4" s="13">
        <v>18509611236.189999</v>
      </c>
      <c r="M4" s="13">
        <v>53668400553.459999</v>
      </c>
      <c r="N4" s="9" t="s">
        <v>50</v>
      </c>
      <c r="O4" s="6">
        <v>1</v>
      </c>
      <c r="P4" s="12">
        <v>0.12581650097416403</v>
      </c>
      <c r="Q4" s="12">
        <v>0.34488844544104241</v>
      </c>
      <c r="R4" s="14">
        <v>3</v>
      </c>
    </row>
    <row r="5" spans="2:22" x14ac:dyDescent="0.5">
      <c r="B5" s="1" t="s">
        <v>345</v>
      </c>
      <c r="C5" t="s">
        <v>366</v>
      </c>
      <c r="D5" t="s">
        <v>238</v>
      </c>
      <c r="E5">
        <v>54.12</v>
      </c>
      <c r="F5" s="9" t="s">
        <v>50</v>
      </c>
      <c r="G5" s="7">
        <v>26192521216</v>
      </c>
      <c r="H5" s="6">
        <v>60.5</v>
      </c>
      <c r="I5" s="6">
        <v>51.7</v>
      </c>
      <c r="J5" s="12">
        <f>E5/I5-1</f>
        <v>4.6808510638297829E-2</v>
      </c>
      <c r="K5" s="11">
        <v>0</v>
      </c>
      <c r="L5" s="13">
        <v>2927600473.4699998</v>
      </c>
      <c r="M5" s="13">
        <v>1185220264.01</v>
      </c>
      <c r="N5" s="9" t="s">
        <v>50</v>
      </c>
      <c r="O5" s="6">
        <v>1</v>
      </c>
      <c r="P5" s="12">
        <v>0.11579264787402734</v>
      </c>
      <c r="Q5" s="12">
        <v>2.4700897903693781</v>
      </c>
      <c r="R5" s="14">
        <v>4</v>
      </c>
    </row>
    <row r="6" spans="2:22" x14ac:dyDescent="0.5">
      <c r="B6" s="1" t="s">
        <v>348</v>
      </c>
      <c r="C6" t="s">
        <v>369</v>
      </c>
      <c r="D6" t="s">
        <v>58</v>
      </c>
      <c r="E6">
        <v>54.07</v>
      </c>
      <c r="F6" s="9" t="s">
        <v>50</v>
      </c>
      <c r="G6" s="7">
        <v>81453481984</v>
      </c>
      <c r="H6" s="6">
        <v>80.33</v>
      </c>
      <c r="I6" s="6">
        <v>53.88</v>
      </c>
      <c r="J6" s="12">
        <f>E6/I6-1</f>
        <v>3.5263548626576213E-3</v>
      </c>
      <c r="K6" s="11">
        <v>4.2851858701683003E-2</v>
      </c>
      <c r="L6" s="13">
        <v>9147980437.1399994</v>
      </c>
      <c r="M6" s="13">
        <v>51588243128.650002</v>
      </c>
      <c r="N6" s="9" t="s">
        <v>50</v>
      </c>
      <c r="O6" s="6">
        <v>1</v>
      </c>
      <c r="P6" s="12">
        <v>0.15305584260484839</v>
      </c>
      <c r="Q6" s="12">
        <v>0.177326845853752</v>
      </c>
      <c r="R6" s="14">
        <v>4</v>
      </c>
    </row>
    <row r="7" spans="2:22" x14ac:dyDescent="0.5">
      <c r="B7" s="1" t="s">
        <v>344</v>
      </c>
      <c r="C7" t="s">
        <v>364</v>
      </c>
      <c r="D7" t="s">
        <v>365</v>
      </c>
      <c r="E7">
        <v>18.05</v>
      </c>
      <c r="F7" s="9" t="s">
        <v>50</v>
      </c>
      <c r="G7" s="7">
        <v>10403531776</v>
      </c>
      <c r="H7" s="6">
        <v>21.05</v>
      </c>
      <c r="I7" s="6">
        <v>14.43</v>
      </c>
      <c r="J7" s="12">
        <f>E7/I7-1</f>
        <v>0.25086625086625092</v>
      </c>
      <c r="K7" s="11">
        <v>4.9861495844875349E-2</v>
      </c>
      <c r="L7" s="13">
        <v>1115194928.8599999</v>
      </c>
      <c r="M7" s="13">
        <v>4734235892.8000002</v>
      </c>
      <c r="N7" s="9" t="s">
        <v>50</v>
      </c>
      <c r="O7" s="6">
        <v>1</v>
      </c>
      <c r="P7" s="12">
        <v>0.12431032363391688</v>
      </c>
      <c r="Q7" s="12">
        <v>0.23555964555041065</v>
      </c>
      <c r="R7" s="14">
        <v>5</v>
      </c>
    </row>
    <row r="8" spans="2:22" x14ac:dyDescent="0.5">
      <c r="B8" s="1" t="s">
        <v>510</v>
      </c>
      <c r="C8" t="s">
        <v>549</v>
      </c>
      <c r="D8" t="s">
        <v>96</v>
      </c>
      <c r="E8">
        <v>4.8</v>
      </c>
      <c r="F8" s="9" t="s">
        <v>50</v>
      </c>
      <c r="G8" s="7">
        <v>150069248000</v>
      </c>
      <c r="H8" s="6">
        <v>6.93</v>
      </c>
      <c r="I8" s="6">
        <v>4.78</v>
      </c>
      <c r="J8" s="12">
        <f>E8/I8-1</f>
        <v>4.1841004184099972E-3</v>
      </c>
      <c r="K8" s="11">
        <v>3.6249999999999998E-2</v>
      </c>
      <c r="L8" s="13">
        <v>25203382526</v>
      </c>
      <c r="M8" s="13">
        <v>167684980370</v>
      </c>
      <c r="N8" s="9" t="s">
        <v>50</v>
      </c>
      <c r="O8" s="6">
        <v>1</v>
      </c>
      <c r="P8" s="12">
        <v>0.18455263025021265</v>
      </c>
      <c r="Q8" s="12">
        <v>0.15030196783509336</v>
      </c>
      <c r="R8" s="14">
        <v>6</v>
      </c>
    </row>
    <row r="9" spans="2:22" x14ac:dyDescent="0.5">
      <c r="B9" s="1" t="s">
        <v>487</v>
      </c>
      <c r="C9" t="s">
        <v>521</v>
      </c>
      <c r="D9" t="s">
        <v>78</v>
      </c>
      <c r="E9">
        <v>41.45</v>
      </c>
      <c r="F9" s="9" t="s">
        <v>50</v>
      </c>
      <c r="G9" s="7">
        <v>823550214144</v>
      </c>
      <c r="H9" s="6">
        <v>44.39</v>
      </c>
      <c r="I9" s="6">
        <v>34.78</v>
      </c>
      <c r="J9" s="12">
        <f>E9/I9-1</f>
        <v>0.19177688326624498</v>
      </c>
      <c r="K9" s="11">
        <v>7.8166465621230391E-2</v>
      </c>
      <c r="L9" s="13">
        <v>88468000000</v>
      </c>
      <c r="M9" s="13">
        <v>456835000000</v>
      </c>
      <c r="N9" s="9" t="s">
        <v>50</v>
      </c>
      <c r="O9" s="6">
        <v>1</v>
      </c>
      <c r="P9" s="12">
        <v>0.12210849900027687</v>
      </c>
      <c r="Q9" s="12">
        <v>0.19365416397605262</v>
      </c>
      <c r="R9" s="14">
        <v>7</v>
      </c>
    </row>
    <row r="10" spans="2:22" x14ac:dyDescent="0.5">
      <c r="B10" s="1" t="s">
        <v>488</v>
      </c>
      <c r="C10" t="s">
        <v>522</v>
      </c>
      <c r="D10" t="s">
        <v>78</v>
      </c>
      <c r="E10">
        <v>14.42</v>
      </c>
      <c r="F10" s="9" t="s">
        <v>50</v>
      </c>
      <c r="G10" s="7">
        <v>191189925888</v>
      </c>
      <c r="H10" s="6">
        <v>15.35</v>
      </c>
      <c r="I10" s="6">
        <v>9.42</v>
      </c>
      <c r="J10" s="12">
        <f>E10/I10-1</f>
        <v>0.53078556263269649</v>
      </c>
      <c r="K10" s="11">
        <v>2.9403606102635229E-2</v>
      </c>
      <c r="L10" s="13">
        <v>32866046000</v>
      </c>
      <c r="M10" s="13">
        <v>215280386000</v>
      </c>
      <c r="N10" s="9" t="s">
        <v>50</v>
      </c>
      <c r="O10" s="6">
        <v>1</v>
      </c>
      <c r="P10" s="12">
        <v>0.14558005798692389</v>
      </c>
      <c r="Q10" s="12">
        <v>0.15266623500015464</v>
      </c>
      <c r="R10" s="14">
        <v>7</v>
      </c>
    </row>
    <row r="11" spans="2:22" x14ac:dyDescent="0.5">
      <c r="B11" s="1" t="s">
        <v>485</v>
      </c>
      <c r="C11" t="s">
        <v>519</v>
      </c>
      <c r="D11" t="s">
        <v>233</v>
      </c>
      <c r="E11">
        <v>10.54</v>
      </c>
      <c r="F11" s="9" t="s">
        <v>50</v>
      </c>
      <c r="G11" s="7">
        <v>1929041149952</v>
      </c>
      <c r="H11" s="6">
        <v>11.15</v>
      </c>
      <c r="I11" s="6">
        <v>7.33</v>
      </c>
      <c r="J11" s="12">
        <f>E11/I11-1</f>
        <v>0.43792633015006799</v>
      </c>
      <c r="K11" s="11">
        <v>4.4592030360531311E-2</v>
      </c>
      <c r="L11" s="13">
        <v>262233000000</v>
      </c>
      <c r="M11" s="13">
        <v>1659398000000</v>
      </c>
      <c r="N11" s="9" t="s">
        <v>50</v>
      </c>
      <c r="O11" s="6">
        <v>1</v>
      </c>
      <c r="P11" s="12">
        <v>0.12677158459070417</v>
      </c>
      <c r="Q11" s="12">
        <v>0.15802899605760642</v>
      </c>
      <c r="R11" s="14">
        <v>8</v>
      </c>
    </row>
    <row r="12" spans="2:22" x14ac:dyDescent="0.5">
      <c r="B12" s="1" t="s">
        <v>13</v>
      </c>
      <c r="C12" t="s">
        <v>59</v>
      </c>
      <c r="D12" t="s">
        <v>60</v>
      </c>
      <c r="E12">
        <v>10.93</v>
      </c>
      <c r="F12" s="9" t="s">
        <v>50</v>
      </c>
      <c r="G12" s="7">
        <v>19630280704</v>
      </c>
      <c r="H12" s="6">
        <v>15.58</v>
      </c>
      <c r="I12" s="6">
        <v>10.75</v>
      </c>
      <c r="J12" s="12">
        <f>E12/I12-1</f>
        <v>1.6744186046511622E-2</v>
      </c>
      <c r="K12" s="11">
        <v>5.0320219579139985E-2</v>
      </c>
      <c r="L12" s="13">
        <v>1789808265.4000001</v>
      </c>
      <c r="M12" s="13">
        <v>15580673812.24</v>
      </c>
      <c r="N12" s="9" t="s">
        <v>50</v>
      </c>
      <c r="O12" s="6">
        <v>1</v>
      </c>
      <c r="P12" s="12">
        <v>0.24769172217455526</v>
      </c>
      <c r="Q12" s="12">
        <v>0.11487361117809598</v>
      </c>
      <c r="R12" s="14">
        <v>8</v>
      </c>
    </row>
    <row r="13" spans="2:22" x14ac:dyDescent="0.5">
      <c r="B13" s="1" t="s">
        <v>14</v>
      </c>
      <c r="C13" t="s">
        <v>61</v>
      </c>
      <c r="D13" t="s">
        <v>60</v>
      </c>
      <c r="E13">
        <v>13.2</v>
      </c>
      <c r="F13" s="9" t="s">
        <v>50</v>
      </c>
      <c r="G13" s="7">
        <v>13506289664</v>
      </c>
      <c r="H13" s="6">
        <v>14.08</v>
      </c>
      <c r="I13" s="6">
        <v>10.53</v>
      </c>
      <c r="J13" s="12">
        <f>E13/I13-1</f>
        <v>0.25356125356125347</v>
      </c>
      <c r="K13" s="11">
        <v>0</v>
      </c>
      <c r="L13" s="13">
        <v>1324661161.8800001</v>
      </c>
      <c r="M13" s="13">
        <v>11491269147.950001</v>
      </c>
      <c r="N13" s="9" t="s">
        <v>50</v>
      </c>
      <c r="O13" s="6">
        <v>1</v>
      </c>
      <c r="P13" s="12">
        <v>0.15836570612641099</v>
      </c>
      <c r="Q13" s="12">
        <v>0.11527544475940803</v>
      </c>
      <c r="R13" s="14">
        <v>9</v>
      </c>
    </row>
    <row r="14" spans="2:22" x14ac:dyDescent="0.5">
      <c r="B14" s="1" t="s">
        <v>504</v>
      </c>
      <c r="C14" t="s">
        <v>542</v>
      </c>
      <c r="D14" t="s">
        <v>300</v>
      </c>
      <c r="E14">
        <v>8.31</v>
      </c>
      <c r="F14" s="9" t="s">
        <v>50</v>
      </c>
      <c r="G14" s="7">
        <v>50746396672</v>
      </c>
      <c r="H14" s="6">
        <v>9.3000000000000007</v>
      </c>
      <c r="I14" s="6">
        <v>6.57</v>
      </c>
      <c r="J14" s="12">
        <f>E14/I14-1</f>
        <v>0.26484018264840192</v>
      </c>
      <c r="K14" s="11">
        <v>3.4416365824308057E-2</v>
      </c>
      <c r="L14" s="13">
        <v>7711333496.6800003</v>
      </c>
      <c r="M14" s="13">
        <v>72343923041.960007</v>
      </c>
      <c r="N14" s="9" t="s">
        <v>50</v>
      </c>
      <c r="O14" s="6">
        <v>1</v>
      </c>
      <c r="P14" s="12">
        <v>0.56011814529758563</v>
      </c>
      <c r="Q14" s="12">
        <v>0.10659269185896057</v>
      </c>
      <c r="R14" s="14">
        <v>10</v>
      </c>
    </row>
    <row r="15" spans="2:22" x14ac:dyDescent="0.5">
      <c r="B15" s="1" t="s">
        <v>11</v>
      </c>
      <c r="C15" t="s">
        <v>56</v>
      </c>
      <c r="D15" t="s">
        <v>49</v>
      </c>
      <c r="E15">
        <v>10.69</v>
      </c>
      <c r="F15" s="9" t="s">
        <v>50</v>
      </c>
      <c r="G15" s="7">
        <v>18423941120</v>
      </c>
      <c r="H15" s="6">
        <v>11.35</v>
      </c>
      <c r="I15" s="6">
        <v>7.97</v>
      </c>
      <c r="J15" s="12">
        <f>E15/I15-1</f>
        <v>0.341279799247177</v>
      </c>
      <c r="K15" s="11">
        <v>4.0224508886810104E-2</v>
      </c>
      <c r="L15" s="13">
        <v>1541495041.8099999</v>
      </c>
      <c r="M15" s="13">
        <v>11970268017.99</v>
      </c>
      <c r="N15" s="9" t="s">
        <v>50</v>
      </c>
      <c r="O15" s="6">
        <v>1</v>
      </c>
      <c r="P15" s="12">
        <v>0.13415090470574872</v>
      </c>
      <c r="Q15" s="12">
        <v>0.1287769864044232</v>
      </c>
      <c r="R15" s="14">
        <v>11</v>
      </c>
    </row>
    <row r="16" spans="2:22" x14ac:dyDescent="0.5">
      <c r="B16" s="1" t="s">
        <v>793</v>
      </c>
      <c r="C16" t="s">
        <v>796</v>
      </c>
      <c r="D16" t="s">
        <v>58</v>
      </c>
      <c r="E16">
        <v>165.84</v>
      </c>
      <c r="F16" s="9" t="s">
        <v>50</v>
      </c>
      <c r="G16" s="7">
        <v>202318856192</v>
      </c>
      <c r="H16" s="6">
        <v>228.93</v>
      </c>
      <c r="I16" s="6">
        <v>160.15</v>
      </c>
      <c r="J16" s="12">
        <f>E16/I16-1</f>
        <v>3.5529191383078418E-2</v>
      </c>
      <c r="K16" s="11">
        <v>2.1707670043415339E-2</v>
      </c>
      <c r="L16" s="13">
        <v>16562531526.059999</v>
      </c>
      <c r="M16" s="13">
        <v>34753830416.040001</v>
      </c>
      <c r="N16" s="9" t="s">
        <v>50</v>
      </c>
      <c r="O16" s="6">
        <v>1</v>
      </c>
      <c r="P16" s="12">
        <v>8.4253343438980333E-2</v>
      </c>
      <c r="Q16" s="12">
        <v>0.4765670813199302</v>
      </c>
      <c r="R16" s="14">
        <v>11</v>
      </c>
    </row>
    <row r="17" spans="2:18" x14ac:dyDescent="0.5">
      <c r="B17" s="1" t="s">
        <v>350</v>
      </c>
      <c r="C17" t="s">
        <v>371</v>
      </c>
      <c r="D17" t="s">
        <v>85</v>
      </c>
      <c r="E17">
        <v>23.05</v>
      </c>
      <c r="F17" s="9" t="s">
        <v>50</v>
      </c>
      <c r="G17" s="7">
        <v>11659962368</v>
      </c>
      <c r="H17" s="6">
        <v>28.1</v>
      </c>
      <c r="I17" s="6">
        <v>20.87</v>
      </c>
      <c r="J17" s="12">
        <f>E17/I17-1</f>
        <v>0.1044561571633924</v>
      </c>
      <c r="K17" s="11">
        <v>4.3383947939262472E-2</v>
      </c>
      <c r="L17" s="13">
        <v>1139111857.1300001</v>
      </c>
      <c r="M17" s="13">
        <v>7932700024.4300003</v>
      </c>
      <c r="N17" s="9" t="s">
        <v>50</v>
      </c>
      <c r="O17" s="6">
        <v>1</v>
      </c>
      <c r="P17" s="12">
        <v>0.12133943835384604</v>
      </c>
      <c r="Q17" s="12">
        <v>0.14359699139283291</v>
      </c>
      <c r="R17" s="14">
        <v>12</v>
      </c>
    </row>
    <row r="18" spans="2:18" x14ac:dyDescent="0.5">
      <c r="B18" s="1" t="s">
        <v>494</v>
      </c>
      <c r="C18" t="s">
        <v>531</v>
      </c>
      <c r="D18" t="s">
        <v>311</v>
      </c>
      <c r="E18">
        <v>5.85</v>
      </c>
      <c r="F18" s="9" t="s">
        <v>50</v>
      </c>
      <c r="G18" s="7">
        <v>41963069440</v>
      </c>
      <c r="H18" s="6">
        <v>7.95</v>
      </c>
      <c r="I18" s="6">
        <v>4.62</v>
      </c>
      <c r="J18" s="12">
        <f>E18/I18-1</f>
        <v>0.26623376623376616</v>
      </c>
      <c r="K18" s="11">
        <v>4.957264957264957E-2</v>
      </c>
      <c r="L18" s="13">
        <v>5417853662.29</v>
      </c>
      <c r="M18" s="13">
        <v>48593502362.830002</v>
      </c>
      <c r="N18" s="9" t="s">
        <v>50</v>
      </c>
      <c r="O18" s="6">
        <v>1</v>
      </c>
      <c r="P18" s="12">
        <v>0.1345948239883144</v>
      </c>
      <c r="Q18" s="12">
        <v>0.11149337666251874</v>
      </c>
      <c r="R18" s="14">
        <v>13</v>
      </c>
    </row>
    <row r="19" spans="2:18" x14ac:dyDescent="0.5">
      <c r="B19" s="1" t="s">
        <v>507</v>
      </c>
      <c r="C19" t="s">
        <v>545</v>
      </c>
      <c r="D19" t="s">
        <v>546</v>
      </c>
      <c r="E19">
        <v>12.69</v>
      </c>
      <c r="F19" s="9" t="s">
        <v>50</v>
      </c>
      <c r="G19" s="7">
        <v>217696583680</v>
      </c>
      <c r="H19" s="6">
        <v>15.85</v>
      </c>
      <c r="I19" s="6">
        <v>5.96</v>
      </c>
      <c r="J19" s="12">
        <f>E19/I19-1</f>
        <v>1.1291946308724832</v>
      </c>
      <c r="K19" s="11">
        <v>1.0638297872340427E-2</v>
      </c>
      <c r="L19" s="13">
        <v>22993550000</v>
      </c>
      <c r="M19" s="13">
        <v>116111506000</v>
      </c>
      <c r="N19" s="9" t="s">
        <v>50</v>
      </c>
      <c r="O19" s="6">
        <v>1</v>
      </c>
      <c r="P19" s="12">
        <v>8.8750156836183314E-2</v>
      </c>
      <c r="Q19" s="12">
        <v>0.19802990067151485</v>
      </c>
      <c r="R19" s="14">
        <v>14</v>
      </c>
    </row>
    <row r="20" spans="2:18" x14ac:dyDescent="0.5">
      <c r="B20" s="1" t="s">
        <v>352</v>
      </c>
      <c r="C20" t="s">
        <v>373</v>
      </c>
      <c r="D20" t="s">
        <v>150</v>
      </c>
      <c r="E20">
        <v>20.56</v>
      </c>
      <c r="F20" s="9" t="s">
        <v>50</v>
      </c>
      <c r="G20" s="7">
        <v>20709728256</v>
      </c>
      <c r="H20" s="6">
        <v>24.43</v>
      </c>
      <c r="I20" s="6">
        <v>18.559999999999999</v>
      </c>
      <c r="J20" s="12">
        <f>E20/I20-1</f>
        <v>0.10775862068965525</v>
      </c>
      <c r="K20" s="11">
        <v>5.3501945525291833E-2</v>
      </c>
      <c r="L20" s="13">
        <v>1686709166</v>
      </c>
      <c r="M20" s="13">
        <v>10738080107</v>
      </c>
      <c r="N20" s="9" t="s">
        <v>50</v>
      </c>
      <c r="O20" s="6">
        <v>1</v>
      </c>
      <c r="P20" s="12">
        <v>9.4506248543654553E-2</v>
      </c>
      <c r="Q20" s="12">
        <v>0.15707734987937541</v>
      </c>
      <c r="R20" s="14">
        <v>15</v>
      </c>
    </row>
    <row r="21" spans="2:18" x14ac:dyDescent="0.5">
      <c r="B21" s="1" t="s">
        <v>349</v>
      </c>
      <c r="C21" t="s">
        <v>370</v>
      </c>
      <c r="D21" t="s">
        <v>60</v>
      </c>
      <c r="E21">
        <v>9.57</v>
      </c>
      <c r="F21" s="9" t="s">
        <v>50</v>
      </c>
      <c r="G21" s="7">
        <v>12894222336</v>
      </c>
      <c r="H21" s="6">
        <v>12.28</v>
      </c>
      <c r="I21" s="6">
        <v>9.19</v>
      </c>
      <c r="J21" s="12">
        <f>E21/I21-1</f>
        <v>4.1349292709466967E-2</v>
      </c>
      <c r="K21" s="11">
        <v>4.1797283176593522E-2</v>
      </c>
      <c r="L21" s="13">
        <v>1310024443.6900001</v>
      </c>
      <c r="M21" s="13">
        <v>19473263524.830002</v>
      </c>
      <c r="N21" s="9" t="s">
        <v>50</v>
      </c>
      <c r="O21" s="6">
        <v>1</v>
      </c>
      <c r="P21" s="12">
        <v>0.2578268501445502</v>
      </c>
      <c r="Q21" s="12">
        <v>6.7272978770076819E-2</v>
      </c>
      <c r="R21" s="14">
        <v>16</v>
      </c>
    </row>
    <row r="22" spans="2:18" x14ac:dyDescent="0.5">
      <c r="B22" s="1" t="s">
        <v>479</v>
      </c>
      <c r="C22" t="s">
        <v>513</v>
      </c>
      <c r="D22" t="s">
        <v>300</v>
      </c>
      <c r="E22">
        <v>5</v>
      </c>
      <c r="F22" s="9" t="s">
        <v>50</v>
      </c>
      <c r="G22" s="7">
        <v>206601945088</v>
      </c>
      <c r="H22" s="6">
        <v>6.2</v>
      </c>
      <c r="I22" s="6">
        <v>4.9000000000000004</v>
      </c>
      <c r="J22" s="12">
        <f>E22/I22-1</f>
        <v>2.0408163265306145E-2</v>
      </c>
      <c r="K22" s="11">
        <v>5.4400000000000004E-2</v>
      </c>
      <c r="L22" s="13">
        <v>101828438000</v>
      </c>
      <c r="M22" s="13">
        <v>1200367605000</v>
      </c>
      <c r="N22" s="9" t="s">
        <v>50</v>
      </c>
      <c r="O22" s="6">
        <v>1</v>
      </c>
      <c r="P22" s="12">
        <v>0.15772989030480686</v>
      </c>
      <c r="Q22" s="12">
        <v>8.4831044736499703E-2</v>
      </c>
      <c r="R22" s="14">
        <v>16</v>
      </c>
    </row>
    <row r="23" spans="2:18" x14ac:dyDescent="0.5">
      <c r="B23" s="1" t="s">
        <v>346</v>
      </c>
      <c r="C23" t="s">
        <v>367</v>
      </c>
      <c r="D23" t="s">
        <v>81</v>
      </c>
      <c r="E23">
        <v>59.03</v>
      </c>
      <c r="F23" s="9" t="s">
        <v>50</v>
      </c>
      <c r="G23" s="7">
        <v>29889714176</v>
      </c>
      <c r="H23" s="6">
        <v>64.599999999999994</v>
      </c>
      <c r="I23" s="6">
        <v>39.03</v>
      </c>
      <c r="J23" s="12">
        <f>E23/I23-1</f>
        <v>0.51242633871380994</v>
      </c>
      <c r="K23" s="11">
        <v>1.694053870913095E-2</v>
      </c>
      <c r="L23" s="13">
        <v>1949016683.5799999</v>
      </c>
      <c r="M23" s="13">
        <v>10523421872.709999</v>
      </c>
      <c r="N23" s="9" t="s">
        <v>50</v>
      </c>
      <c r="O23" s="6">
        <v>1</v>
      </c>
      <c r="P23" s="12">
        <v>7.5227876272916508E-2</v>
      </c>
      <c r="Q23" s="12">
        <v>0.18520750257426369</v>
      </c>
      <c r="R23" s="14">
        <v>17</v>
      </c>
    </row>
    <row r="24" spans="2:18" x14ac:dyDescent="0.5">
      <c r="B24" s="1" t="s">
        <v>15</v>
      </c>
      <c r="C24" t="s">
        <v>62</v>
      </c>
      <c r="D24" t="s">
        <v>60</v>
      </c>
      <c r="E24">
        <v>9.1199999999999992</v>
      </c>
      <c r="F24" s="9" t="s">
        <v>50</v>
      </c>
      <c r="G24" s="7">
        <v>11068490752</v>
      </c>
      <c r="H24" s="6">
        <v>10.07</v>
      </c>
      <c r="I24" s="6">
        <v>8.15</v>
      </c>
      <c r="J24" s="12">
        <f>E24/I24-1</f>
        <v>0.11901840490797522</v>
      </c>
      <c r="K24" s="11">
        <v>4.4956140350877194E-2</v>
      </c>
      <c r="L24" s="13">
        <v>1074859531.29</v>
      </c>
      <c r="M24" s="13">
        <v>9527311896.5100002</v>
      </c>
      <c r="N24" s="9" t="s">
        <v>50</v>
      </c>
      <c r="O24" s="6">
        <v>1</v>
      </c>
      <c r="P24" s="12">
        <v>0.11425091609462029</v>
      </c>
      <c r="Q24" s="12">
        <v>0.1128187617835559</v>
      </c>
      <c r="R24" s="14">
        <v>18</v>
      </c>
    </row>
    <row r="25" spans="2:18" x14ac:dyDescent="0.5">
      <c r="B25" s="1" t="s">
        <v>17</v>
      </c>
      <c r="C25" t="s">
        <v>64</v>
      </c>
      <c r="D25" t="s">
        <v>65</v>
      </c>
      <c r="E25">
        <v>12.36</v>
      </c>
      <c r="F25" s="9" t="s">
        <v>50</v>
      </c>
      <c r="G25" s="7">
        <v>4369544192</v>
      </c>
      <c r="H25" s="6">
        <v>15.53</v>
      </c>
      <c r="I25" s="6">
        <v>10.66</v>
      </c>
      <c r="J25" s="12">
        <f>E25/I25-1</f>
        <v>0.15947467166979346</v>
      </c>
      <c r="K25" s="11">
        <v>3.8834951456310683E-2</v>
      </c>
      <c r="L25" s="13">
        <v>339663210.94999999</v>
      </c>
      <c r="M25" s="13">
        <v>2751572515.0799999</v>
      </c>
      <c r="N25" s="9" t="s">
        <v>50</v>
      </c>
      <c r="O25" s="6">
        <v>1</v>
      </c>
      <c r="P25" s="12">
        <v>9.854174300814085E-2</v>
      </c>
      <c r="Q25" s="12">
        <v>0.12344330708657501</v>
      </c>
      <c r="R25" s="14">
        <v>18</v>
      </c>
    </row>
    <row r="26" spans="2:18" x14ac:dyDescent="0.5">
      <c r="B26" s="1" t="s">
        <v>492</v>
      </c>
      <c r="C26" t="s">
        <v>528</v>
      </c>
      <c r="D26" t="s">
        <v>446</v>
      </c>
      <c r="E26">
        <v>6.31</v>
      </c>
      <c r="F26" s="9" t="s">
        <v>50</v>
      </c>
      <c r="G26" s="7">
        <v>181089828864</v>
      </c>
      <c r="H26" s="6">
        <v>8.23</v>
      </c>
      <c r="I26" s="6">
        <v>6.22</v>
      </c>
      <c r="J26" s="12">
        <f>E26/I26-1</f>
        <v>1.4469453376205754E-2</v>
      </c>
      <c r="K26" s="11">
        <v>5.0713153724247229E-2</v>
      </c>
      <c r="L26" s="13">
        <v>17484674000</v>
      </c>
      <c r="M26" s="13">
        <v>181488019000</v>
      </c>
      <c r="N26" s="9" t="s">
        <v>50</v>
      </c>
      <c r="O26" s="6">
        <v>1</v>
      </c>
      <c r="P26" s="12">
        <v>0.1311095638290104</v>
      </c>
      <c r="Q26" s="12">
        <v>9.6340651555626933E-2</v>
      </c>
      <c r="R26" s="14">
        <v>18</v>
      </c>
    </row>
    <row r="27" spans="2:18" x14ac:dyDescent="0.5">
      <c r="B27" s="1" t="s">
        <v>508</v>
      </c>
      <c r="C27" t="s">
        <v>547</v>
      </c>
      <c r="D27" t="s">
        <v>96</v>
      </c>
      <c r="E27">
        <v>92.61</v>
      </c>
      <c r="F27" s="9" t="s">
        <v>50</v>
      </c>
      <c r="G27" s="7">
        <v>2001446109184</v>
      </c>
      <c r="H27" s="6">
        <v>118.68</v>
      </c>
      <c r="I27" s="6">
        <v>91.51</v>
      </c>
      <c r="J27" s="12">
        <f>E27/I27-1</f>
        <v>1.2020544202819394E-2</v>
      </c>
      <c r="K27" s="11">
        <v>5.3471547349098369E-2</v>
      </c>
      <c r="L27" s="13">
        <v>181466000000</v>
      </c>
      <c r="M27" s="13">
        <v>1392032000000</v>
      </c>
      <c r="N27" s="9" t="s">
        <v>50</v>
      </c>
      <c r="O27" s="6">
        <v>1</v>
      </c>
      <c r="P27" s="12">
        <v>9.4386753259281794E-2</v>
      </c>
      <c r="Q27" s="12">
        <v>0.13036050895381715</v>
      </c>
      <c r="R27" s="14">
        <v>19</v>
      </c>
    </row>
    <row r="28" spans="2:18" x14ac:dyDescent="0.5">
      <c r="B28" s="1" t="s">
        <v>10</v>
      </c>
      <c r="C28" t="s">
        <v>54</v>
      </c>
      <c r="D28" t="s">
        <v>55</v>
      </c>
      <c r="E28">
        <v>98.69</v>
      </c>
      <c r="F28" s="9" t="s">
        <v>50</v>
      </c>
      <c r="G28" s="7">
        <v>52913520640</v>
      </c>
      <c r="H28" s="6">
        <v>149.5</v>
      </c>
      <c r="I28" s="6">
        <v>69.98</v>
      </c>
      <c r="J28" s="12">
        <f>E28/I28-1</f>
        <v>0.41026007430694467</v>
      </c>
      <c r="K28" s="11">
        <v>2.127875164657007E-2</v>
      </c>
      <c r="L28" s="13">
        <v>2351242906.4000001</v>
      </c>
      <c r="M28" s="13">
        <v>10336332783.18</v>
      </c>
      <c r="N28" s="9" t="s">
        <v>50</v>
      </c>
      <c r="O28" s="6">
        <v>1</v>
      </c>
      <c r="P28" s="12">
        <v>4.5200795868851257E-2</v>
      </c>
      <c r="Q28" s="12">
        <v>0.22747360748931247</v>
      </c>
      <c r="R28" s="14">
        <v>20</v>
      </c>
    </row>
    <row r="29" spans="2:18" x14ac:dyDescent="0.5">
      <c r="B29" s="1" t="s">
        <v>347</v>
      </c>
      <c r="C29" t="s">
        <v>368</v>
      </c>
      <c r="D29" t="s">
        <v>320</v>
      </c>
      <c r="E29">
        <v>6.86</v>
      </c>
      <c r="F29" s="9" t="s">
        <v>50</v>
      </c>
      <c r="G29" s="7">
        <v>30330494976</v>
      </c>
      <c r="H29" s="6">
        <v>7.42</v>
      </c>
      <c r="I29" s="6">
        <v>4.96</v>
      </c>
      <c r="J29" s="12">
        <f>E29/I29-1</f>
        <v>0.38306451612903225</v>
      </c>
      <c r="K29" s="11">
        <v>2.9300291545189504E-2</v>
      </c>
      <c r="L29" s="13">
        <v>2697498300</v>
      </c>
      <c r="M29" s="13">
        <v>26396524300</v>
      </c>
      <c r="N29" s="9" t="s">
        <v>50</v>
      </c>
      <c r="O29" s="6">
        <v>1</v>
      </c>
      <c r="P29" s="12">
        <v>0.10580383912499045</v>
      </c>
      <c r="Q29" s="12">
        <v>0.10219141995145171</v>
      </c>
      <c r="R29" s="14">
        <v>20</v>
      </c>
    </row>
    <row r="30" spans="2:18" x14ac:dyDescent="0.5">
      <c r="B30" s="1" t="s">
        <v>8</v>
      </c>
      <c r="C30" t="s">
        <v>48</v>
      </c>
      <c r="D30" t="s">
        <v>49</v>
      </c>
      <c r="E30">
        <v>148.19999999999999</v>
      </c>
      <c r="F30" s="9" t="s">
        <v>50</v>
      </c>
      <c r="G30" s="7">
        <v>38399561728</v>
      </c>
      <c r="H30" s="6">
        <v>222.1</v>
      </c>
      <c r="I30" s="6">
        <v>123.57143000000001</v>
      </c>
      <c r="J30" s="12">
        <f>E30/I30-1</f>
        <v>0.1993063445166896</v>
      </c>
      <c r="K30" s="11">
        <v>5.1551956815114718E-3</v>
      </c>
      <c r="L30" s="13">
        <v>2107869808</v>
      </c>
      <c r="M30" s="13">
        <v>12869225664</v>
      </c>
      <c r="N30" s="9" t="s">
        <v>50</v>
      </c>
      <c r="O30" s="6">
        <v>1</v>
      </c>
      <c r="P30" s="12">
        <v>5.6765321617167228E-2</v>
      </c>
      <c r="Q30" s="12">
        <v>0.16379150253744434</v>
      </c>
      <c r="R30" s="14">
        <v>21</v>
      </c>
    </row>
    <row r="31" spans="2:18" x14ac:dyDescent="0.5">
      <c r="B31" s="1" t="s">
        <v>16</v>
      </c>
      <c r="C31" t="s">
        <v>63</v>
      </c>
      <c r="D31" t="s">
        <v>60</v>
      </c>
      <c r="E31">
        <v>8.18</v>
      </c>
      <c r="F31" s="9" t="s">
        <v>50</v>
      </c>
      <c r="G31" s="7">
        <v>18177779712</v>
      </c>
      <c r="H31" s="6">
        <v>10.28</v>
      </c>
      <c r="I31" s="6">
        <v>7.24</v>
      </c>
      <c r="J31" s="12">
        <f>E31/I31-1</f>
        <v>0.12983425414364635</v>
      </c>
      <c r="K31" s="11">
        <v>4.8899755501222497E-2</v>
      </c>
      <c r="L31" s="13">
        <v>1357643494.6700001</v>
      </c>
      <c r="M31" s="13">
        <v>13696300546.360001</v>
      </c>
      <c r="N31" s="9" t="s">
        <v>50</v>
      </c>
      <c r="O31" s="6">
        <v>1</v>
      </c>
      <c r="P31" s="12">
        <v>0.11139200938579157</v>
      </c>
      <c r="Q31" s="12">
        <v>9.9124832291360196E-2</v>
      </c>
      <c r="R31" s="14">
        <v>21</v>
      </c>
    </row>
    <row r="32" spans="2:18" x14ac:dyDescent="0.5">
      <c r="B32" s="1" t="s">
        <v>553</v>
      </c>
      <c r="C32" t="s">
        <v>562</v>
      </c>
      <c r="D32" t="s">
        <v>446</v>
      </c>
      <c r="E32">
        <v>5.47</v>
      </c>
      <c r="F32" s="9" t="s">
        <v>50</v>
      </c>
      <c r="G32" s="7">
        <v>57926307840</v>
      </c>
      <c r="H32" s="6">
        <v>6.05</v>
      </c>
      <c r="I32" s="6">
        <v>4.8499999999999996</v>
      </c>
      <c r="J32" s="12">
        <f>E32/I32-1</f>
        <v>0.12783505154639174</v>
      </c>
      <c r="K32" s="11">
        <v>3.1078610603290681E-2</v>
      </c>
      <c r="L32" s="13">
        <v>4783630821.25</v>
      </c>
      <c r="M32" s="13">
        <v>53393138493.459999</v>
      </c>
      <c r="N32" s="9" t="s">
        <v>50</v>
      </c>
      <c r="O32" s="6">
        <v>1</v>
      </c>
      <c r="P32" s="12">
        <v>0.11715533566119281</v>
      </c>
      <c r="Q32" s="12">
        <v>8.9592613512238767E-2</v>
      </c>
      <c r="R32" s="14">
        <v>21</v>
      </c>
    </row>
    <row r="33" spans="2:18" x14ac:dyDescent="0.5">
      <c r="B33" s="1" t="s">
        <v>503</v>
      </c>
      <c r="C33" t="s">
        <v>541</v>
      </c>
      <c r="D33" t="s">
        <v>102</v>
      </c>
      <c r="E33">
        <v>34.29</v>
      </c>
      <c r="F33" s="9" t="s">
        <v>50</v>
      </c>
      <c r="G33" s="7">
        <v>72635514880</v>
      </c>
      <c r="H33" s="6">
        <v>44</v>
      </c>
      <c r="I33" s="6">
        <v>32.17</v>
      </c>
      <c r="J33" s="12">
        <f>E33/I33-1</f>
        <v>6.5899906745414905E-2</v>
      </c>
      <c r="K33" s="11">
        <v>2.3330417031204434E-2</v>
      </c>
      <c r="L33" s="13">
        <v>3792362642.79</v>
      </c>
      <c r="M33" s="13">
        <v>24727711046.299999</v>
      </c>
      <c r="N33" s="9" t="s">
        <v>50</v>
      </c>
      <c r="O33" s="6">
        <v>1</v>
      </c>
      <c r="P33" s="12">
        <v>5.8510906299648113E-2</v>
      </c>
      <c r="Q33" s="12">
        <v>0.1533648883104953</v>
      </c>
      <c r="R33" s="14">
        <v>22</v>
      </c>
    </row>
    <row r="34" spans="2:18" x14ac:dyDescent="0.5">
      <c r="B34" s="1" t="s">
        <v>500</v>
      </c>
      <c r="C34" t="s">
        <v>538</v>
      </c>
      <c r="D34" t="s">
        <v>534</v>
      </c>
      <c r="E34">
        <v>55.66</v>
      </c>
      <c r="F34" s="9" t="s">
        <v>50</v>
      </c>
      <c r="G34" s="7">
        <v>157801381888</v>
      </c>
      <c r="H34" s="6">
        <v>73.66</v>
      </c>
      <c r="I34" s="6">
        <v>39.06</v>
      </c>
      <c r="J34" s="12">
        <f>E34/I34-1</f>
        <v>0.42498719918074745</v>
      </c>
      <c r="K34" s="11">
        <v>4.6712181099532882E-3</v>
      </c>
      <c r="L34" s="13">
        <v>3918841276.4000001</v>
      </c>
      <c r="M34" s="13">
        <v>17076522943.65</v>
      </c>
      <c r="N34" s="9" t="s">
        <v>50</v>
      </c>
      <c r="O34" s="6">
        <v>1</v>
      </c>
      <c r="P34" s="12">
        <v>2.6487058032501388E-2</v>
      </c>
      <c r="Q34" s="12">
        <v>0.22948707352964048</v>
      </c>
      <c r="R34" s="14">
        <v>23</v>
      </c>
    </row>
    <row r="35" spans="2:18" x14ac:dyDescent="0.5">
      <c r="B35" s="1" t="s">
        <v>509</v>
      </c>
      <c r="C35" t="s">
        <v>548</v>
      </c>
      <c r="D35" t="s">
        <v>96</v>
      </c>
      <c r="E35">
        <v>5.67</v>
      </c>
      <c r="F35" s="9" t="s">
        <v>50</v>
      </c>
      <c r="G35" s="7">
        <v>518845497344</v>
      </c>
      <c r="H35" s="6">
        <v>8.61</v>
      </c>
      <c r="I35" s="6">
        <v>5.62</v>
      </c>
      <c r="J35" s="12">
        <f>E35/I35-1</f>
        <v>8.8967971530249379E-3</v>
      </c>
      <c r="K35" s="11">
        <v>7.7777777777777779E-2</v>
      </c>
      <c r="L35" s="13">
        <v>44563000000</v>
      </c>
      <c r="M35" s="13">
        <v>463922000000</v>
      </c>
      <c r="N35" s="9" t="s">
        <v>50</v>
      </c>
      <c r="O35" s="6">
        <v>1</v>
      </c>
      <c r="P35" s="12">
        <v>8.9595210593809538E-2</v>
      </c>
      <c r="Q35" s="12">
        <v>9.605709580489824E-2</v>
      </c>
      <c r="R35" s="14">
        <v>24</v>
      </c>
    </row>
    <row r="36" spans="2:18" x14ac:dyDescent="0.5">
      <c r="B36" s="1" t="s">
        <v>482</v>
      </c>
      <c r="C36" t="s">
        <v>516</v>
      </c>
      <c r="D36" t="s">
        <v>300</v>
      </c>
      <c r="E36">
        <v>8.02</v>
      </c>
      <c r="F36" s="9" t="s">
        <v>50</v>
      </c>
      <c r="G36" s="7">
        <v>130140168192</v>
      </c>
      <c r="H36" s="6">
        <v>10.6</v>
      </c>
      <c r="I36" s="6">
        <v>7.98</v>
      </c>
      <c r="J36" s="12">
        <f>E36/I36-1</f>
        <v>5.0125313283206907E-3</v>
      </c>
      <c r="K36" s="11">
        <v>3.4912718204488782E-2</v>
      </c>
      <c r="L36" s="13">
        <v>59165000000</v>
      </c>
      <c r="M36" s="13">
        <v>924142000000</v>
      </c>
      <c r="N36" s="9" t="s">
        <v>50</v>
      </c>
      <c r="O36" s="6">
        <v>1</v>
      </c>
      <c r="P36" s="12">
        <v>9.7060832912505599E-2</v>
      </c>
      <c r="Q36" s="12">
        <v>6.4021546472295382E-2</v>
      </c>
      <c r="R36" s="14">
        <v>25</v>
      </c>
    </row>
    <row r="37" spans="2:18" x14ac:dyDescent="0.5">
      <c r="B37" s="1" t="s">
        <v>559</v>
      </c>
      <c r="C37" t="s">
        <v>570</v>
      </c>
      <c r="D37" t="s">
        <v>423</v>
      </c>
      <c r="E37">
        <v>37.159999999999997</v>
      </c>
      <c r="F37" s="9" t="s">
        <v>50</v>
      </c>
      <c r="G37" s="7">
        <v>177756160000</v>
      </c>
      <c r="H37" s="6">
        <v>55.85</v>
      </c>
      <c r="I37" s="6">
        <v>28.67</v>
      </c>
      <c r="J37" s="12">
        <f>E37/I37-1</f>
        <v>0.29612835716777108</v>
      </c>
      <c r="K37" s="11">
        <v>1.6603875134553286E-2</v>
      </c>
      <c r="L37" s="13">
        <v>12676627000</v>
      </c>
      <c r="M37" s="13">
        <v>124899348000</v>
      </c>
      <c r="N37" s="9" t="s">
        <v>50</v>
      </c>
      <c r="O37" s="6">
        <v>1</v>
      </c>
      <c r="P37" s="12">
        <v>6.5843249499707476E-2</v>
      </c>
      <c r="Q37" s="12">
        <v>0.10149474118952166</v>
      </c>
      <c r="R37" s="14">
        <v>26</v>
      </c>
    </row>
    <row r="38" spans="2:18" x14ac:dyDescent="0.5">
      <c r="B38" s="1" t="s">
        <v>491</v>
      </c>
      <c r="C38" t="s">
        <v>526</v>
      </c>
      <c r="D38" t="s">
        <v>527</v>
      </c>
      <c r="E38">
        <v>26</v>
      </c>
      <c r="F38" s="9" t="s">
        <v>50</v>
      </c>
      <c r="G38" s="7">
        <v>636173680640</v>
      </c>
      <c r="H38" s="6">
        <v>31.19</v>
      </c>
      <c r="I38" s="6">
        <v>25.38</v>
      </c>
      <c r="J38" s="12">
        <f>E38/I38-1</f>
        <v>2.4428684003152235E-2</v>
      </c>
      <c r="K38" s="11">
        <v>0</v>
      </c>
      <c r="L38" s="13">
        <v>50189673691.849998</v>
      </c>
      <c r="M38" s="13">
        <v>460310037215.31</v>
      </c>
      <c r="N38" s="9" t="s">
        <v>50</v>
      </c>
      <c r="O38" s="6">
        <v>1</v>
      </c>
      <c r="P38" s="12">
        <v>5.4137298143700704E-2</v>
      </c>
      <c r="Q38" s="12">
        <v>0.10903449769524313</v>
      </c>
      <c r="R38" s="14">
        <v>26</v>
      </c>
    </row>
    <row r="39" spans="2:18" x14ac:dyDescent="0.5">
      <c r="B39" s="1" t="s">
        <v>481</v>
      </c>
      <c r="C39" t="s">
        <v>515</v>
      </c>
      <c r="D39" t="s">
        <v>300</v>
      </c>
      <c r="E39">
        <v>7.17</v>
      </c>
      <c r="F39" s="9" t="s">
        <v>50</v>
      </c>
      <c r="G39" s="7">
        <v>97365311488</v>
      </c>
      <c r="H39" s="6">
        <v>8.93</v>
      </c>
      <c r="I39" s="6">
        <v>7.12</v>
      </c>
      <c r="J39" s="12">
        <f>E39/I39-1</f>
        <v>7.0224719101124045E-3</v>
      </c>
      <c r="K39" s="11">
        <v>4.1841004184100417E-2</v>
      </c>
      <c r="L39" s="13">
        <v>42109966000</v>
      </c>
      <c r="M39" s="13">
        <v>746176876000</v>
      </c>
      <c r="N39" s="9" t="s">
        <v>50</v>
      </c>
      <c r="O39" s="6">
        <v>1</v>
      </c>
      <c r="P39" s="12">
        <v>0.10263410597204133</v>
      </c>
      <c r="Q39" s="12">
        <v>5.643429507724386E-2</v>
      </c>
      <c r="R39" s="14">
        <v>27</v>
      </c>
    </row>
    <row r="40" spans="2:18" x14ac:dyDescent="0.5">
      <c r="B40" s="1" t="s">
        <v>486</v>
      </c>
      <c r="C40" t="s">
        <v>520</v>
      </c>
      <c r="D40" t="s">
        <v>233</v>
      </c>
      <c r="E40">
        <v>6.37</v>
      </c>
      <c r="F40" s="9" t="s">
        <v>50</v>
      </c>
      <c r="G40" s="7">
        <v>770608398336</v>
      </c>
      <c r="H40" s="6">
        <v>6.68</v>
      </c>
      <c r="I40" s="6">
        <v>5.25</v>
      </c>
      <c r="J40" s="12">
        <f>E40/I40-1</f>
        <v>0.21333333333333337</v>
      </c>
      <c r="K40" s="11">
        <v>3.579277864992151E-2</v>
      </c>
      <c r="L40" s="13">
        <v>86964000000</v>
      </c>
      <c r="M40" s="13">
        <v>1118775000000</v>
      </c>
      <c r="N40" s="9" t="s">
        <v>50</v>
      </c>
      <c r="O40" s="6">
        <v>1</v>
      </c>
      <c r="P40" s="12">
        <v>7.5292959016824021E-2</v>
      </c>
      <c r="Q40" s="12">
        <v>7.7731447341958845E-2</v>
      </c>
      <c r="R40" s="14">
        <v>28</v>
      </c>
    </row>
    <row r="41" spans="2:18" x14ac:dyDescent="0.5">
      <c r="B41" s="1" t="s">
        <v>552</v>
      </c>
      <c r="C41" t="s">
        <v>561</v>
      </c>
      <c r="D41" t="s">
        <v>524</v>
      </c>
      <c r="E41">
        <v>3.83</v>
      </c>
      <c r="F41" s="9" t="s">
        <v>50</v>
      </c>
      <c r="G41" s="7">
        <v>193409662976</v>
      </c>
      <c r="H41" s="6">
        <v>4.2</v>
      </c>
      <c r="I41" s="6">
        <v>3.33</v>
      </c>
      <c r="J41" s="12">
        <f>E41/I41-1</f>
        <v>0.1501501501501501</v>
      </c>
      <c r="K41" s="11">
        <v>2.4804177545691905E-2</v>
      </c>
      <c r="L41" s="13">
        <v>26751928946.529999</v>
      </c>
      <c r="M41" s="13">
        <v>324659027578.44</v>
      </c>
      <c r="N41" s="9" t="s">
        <v>50</v>
      </c>
      <c r="O41" s="6">
        <v>1</v>
      </c>
      <c r="P41" s="12">
        <v>6.9795645353366159E-2</v>
      </c>
      <c r="Q41" s="12">
        <v>8.2400077232001614E-2</v>
      </c>
      <c r="R41" s="14">
        <v>29</v>
      </c>
    </row>
    <row r="42" spans="2:18" x14ac:dyDescent="0.5">
      <c r="B42" s="1" t="s">
        <v>511</v>
      </c>
      <c r="C42" t="s">
        <v>550</v>
      </c>
      <c r="D42" t="s">
        <v>178</v>
      </c>
      <c r="E42">
        <v>91.7</v>
      </c>
      <c r="F42" s="9" t="s">
        <v>50</v>
      </c>
      <c r="G42" s="7">
        <v>134167715840</v>
      </c>
      <c r="H42" s="6">
        <v>128.12</v>
      </c>
      <c r="I42" s="6">
        <v>58.7</v>
      </c>
      <c r="J42" s="12">
        <f>E42/I42-1</f>
        <v>0.56218057921635434</v>
      </c>
      <c r="K42" s="11">
        <v>3.7077426390403493E-3</v>
      </c>
      <c r="L42" s="13">
        <v>2349708213.3800001</v>
      </c>
      <c r="M42" s="13">
        <v>20522336937.23</v>
      </c>
      <c r="N42" s="9" t="s">
        <v>50</v>
      </c>
      <c r="O42" s="6">
        <v>1</v>
      </c>
      <c r="P42" s="12">
        <v>1.8275802438056647E-2</v>
      </c>
      <c r="Q42" s="12">
        <v>0.11449515815702964</v>
      </c>
      <c r="R42" s="14">
        <v>30</v>
      </c>
    </row>
    <row r="43" spans="2:18" x14ac:dyDescent="0.5">
      <c r="B43" s="1" t="s">
        <v>483</v>
      </c>
      <c r="C43" t="s">
        <v>517</v>
      </c>
      <c r="D43" t="s">
        <v>300</v>
      </c>
      <c r="E43">
        <v>5.44</v>
      </c>
      <c r="F43" s="9" t="s">
        <v>50</v>
      </c>
      <c r="G43" s="7">
        <v>93710311424</v>
      </c>
      <c r="H43" s="6">
        <v>7.84</v>
      </c>
      <c r="I43" s="6">
        <v>4.38</v>
      </c>
      <c r="J43" s="12">
        <f>E43/I43-1</f>
        <v>0.24200913242009148</v>
      </c>
      <c r="K43" s="11">
        <v>2.3345588235294118E-2</v>
      </c>
      <c r="L43" s="13">
        <v>34317184820.950001</v>
      </c>
      <c r="M43" s="13">
        <v>588966357094.34998</v>
      </c>
      <c r="N43" s="9" t="s">
        <v>50</v>
      </c>
      <c r="O43" s="6">
        <v>1</v>
      </c>
      <c r="P43" s="12">
        <v>7.6428947284213442E-2</v>
      </c>
      <c r="Q43" s="12">
        <v>5.8266799805430196E-2</v>
      </c>
      <c r="R43" s="14">
        <v>31</v>
      </c>
    </row>
    <row r="44" spans="2:18" x14ac:dyDescent="0.5">
      <c r="B44" s="1" t="s">
        <v>353</v>
      </c>
      <c r="C44" t="s">
        <v>374</v>
      </c>
      <c r="D44" t="s">
        <v>246</v>
      </c>
      <c r="E44">
        <v>17.260000000000002</v>
      </c>
      <c r="F44" s="9" t="s">
        <v>50</v>
      </c>
      <c r="G44" s="7">
        <v>5037424640</v>
      </c>
      <c r="H44" s="6">
        <v>18.8</v>
      </c>
      <c r="I44" s="6">
        <v>11.95</v>
      </c>
      <c r="J44" s="12">
        <f>E44/I44-1</f>
        <v>0.44435146443514673</v>
      </c>
      <c r="K44" s="11">
        <v>2.3174971031286209E-2</v>
      </c>
      <c r="L44" s="13">
        <v>225008130.19999999</v>
      </c>
      <c r="M44" s="13">
        <v>2512019918.8400002</v>
      </c>
      <c r="N44" s="9" t="s">
        <v>50</v>
      </c>
      <c r="O44" s="6">
        <v>1</v>
      </c>
      <c r="P44" s="12">
        <v>5.3243627944638661E-2</v>
      </c>
      <c r="Q44" s="12">
        <v>8.957258997528339E-2</v>
      </c>
      <c r="R44" s="14">
        <v>32</v>
      </c>
    </row>
    <row r="45" spans="2:18" x14ac:dyDescent="0.5">
      <c r="B45" s="1" t="s">
        <v>489</v>
      </c>
      <c r="C45" t="s">
        <v>523</v>
      </c>
      <c r="D45" t="s">
        <v>524</v>
      </c>
      <c r="E45">
        <v>6.97</v>
      </c>
      <c r="F45" s="9" t="s">
        <v>50</v>
      </c>
      <c r="G45" s="7">
        <v>109415702528</v>
      </c>
      <c r="H45" s="6">
        <v>8.49</v>
      </c>
      <c r="I45" s="6">
        <v>6.34</v>
      </c>
      <c r="J45" s="12">
        <f>E45/I45-1</f>
        <v>9.9369085173501626E-2</v>
      </c>
      <c r="K45" s="11">
        <v>3.8737446197991396E-2</v>
      </c>
      <c r="L45" s="13">
        <v>25872572232</v>
      </c>
      <c r="M45" s="13">
        <v>387656475215</v>
      </c>
      <c r="N45" s="9" t="s">
        <v>50</v>
      </c>
      <c r="O45" s="6">
        <v>1</v>
      </c>
      <c r="P45" s="12">
        <v>6.67572948128589E-2</v>
      </c>
      <c r="Q45" s="12">
        <v>6.6740977866165369E-2</v>
      </c>
      <c r="R45" s="14">
        <v>32</v>
      </c>
    </row>
    <row r="46" spans="2:18" x14ac:dyDescent="0.5">
      <c r="B46" s="1" t="s">
        <v>9</v>
      </c>
      <c r="C46" t="s">
        <v>52</v>
      </c>
      <c r="D46" t="s">
        <v>53</v>
      </c>
      <c r="E46">
        <v>70.86</v>
      </c>
      <c r="F46" s="9" t="s">
        <v>50</v>
      </c>
      <c r="G46" s="7">
        <v>41022361600</v>
      </c>
      <c r="H46" s="6">
        <v>111.69</v>
      </c>
      <c r="I46" s="6">
        <v>42.3</v>
      </c>
      <c r="J46" s="12">
        <f>E46/I46-1</f>
        <v>0.67517730496453909</v>
      </c>
      <c r="K46" s="11">
        <v>6.3505503810330228E-3</v>
      </c>
      <c r="L46" s="13">
        <v>939613185.05999994</v>
      </c>
      <c r="M46" s="13">
        <v>9067794807.8099995</v>
      </c>
      <c r="N46" s="9" t="s">
        <v>50</v>
      </c>
      <c r="O46" s="6">
        <v>1</v>
      </c>
      <c r="P46" s="12">
        <v>2.4783934340840301E-2</v>
      </c>
      <c r="Q46" s="12">
        <v>0.10362091390188061</v>
      </c>
      <c r="R46" s="14">
        <v>32</v>
      </c>
    </row>
    <row r="47" spans="2:18" x14ac:dyDescent="0.5">
      <c r="B47" s="1" t="s">
        <v>480</v>
      </c>
      <c r="C47" t="s">
        <v>514</v>
      </c>
      <c r="D47" t="s">
        <v>300</v>
      </c>
      <c r="E47">
        <v>5.5</v>
      </c>
      <c r="F47" s="9" t="s">
        <v>50</v>
      </c>
      <c r="G47" s="7">
        <v>135774216192</v>
      </c>
      <c r="H47" s="6">
        <v>6.31</v>
      </c>
      <c r="I47" s="6">
        <v>5.16</v>
      </c>
      <c r="J47" s="12">
        <f>E47/I47-1</f>
        <v>6.5891472868216949E-2</v>
      </c>
      <c r="K47" s="11">
        <v>4.7272727272727272E-2</v>
      </c>
      <c r="L47" s="13">
        <v>33501619000</v>
      </c>
      <c r="M47" s="13">
        <v>818795014000</v>
      </c>
      <c r="N47" s="9" t="s">
        <v>50</v>
      </c>
      <c r="O47" s="6">
        <v>1</v>
      </c>
      <c r="P47" s="12">
        <v>8.3415783320609477E-2</v>
      </c>
      <c r="Q47" s="12">
        <v>4.0915758434259347E-2</v>
      </c>
      <c r="R47" s="14">
        <v>33</v>
      </c>
    </row>
    <row r="48" spans="2:18" x14ac:dyDescent="0.5">
      <c r="B48" s="1" t="s">
        <v>484</v>
      </c>
      <c r="C48" t="s">
        <v>518</v>
      </c>
      <c r="D48" t="s">
        <v>300</v>
      </c>
      <c r="E48">
        <v>2.39</v>
      </c>
      <c r="F48" s="9" t="s">
        <v>50</v>
      </c>
      <c r="G48" s="7">
        <v>99641884672</v>
      </c>
      <c r="H48" s="6">
        <v>3.09</v>
      </c>
      <c r="I48" s="6">
        <v>2.13</v>
      </c>
      <c r="J48" s="12">
        <f>E48/I48-1</f>
        <v>0.12206572769953072</v>
      </c>
      <c r="K48" s="11">
        <v>1.0878661087866108E-2</v>
      </c>
      <c r="L48" s="13">
        <v>21889640000</v>
      </c>
      <c r="M48" s="13">
        <v>403626754000</v>
      </c>
      <c r="N48" s="9" t="s">
        <v>50</v>
      </c>
      <c r="O48" s="6">
        <v>1</v>
      </c>
      <c r="P48" s="12">
        <v>7.3254543337312378E-2</v>
      </c>
      <c r="Q48" s="12">
        <v>5.4232381236056518E-2</v>
      </c>
      <c r="R48" s="14">
        <v>34</v>
      </c>
    </row>
    <row r="49" spans="2:18" x14ac:dyDescent="0.5">
      <c r="B49" s="1" t="s">
        <v>490</v>
      </c>
      <c r="C49" t="s">
        <v>525</v>
      </c>
      <c r="D49" t="s">
        <v>524</v>
      </c>
      <c r="E49">
        <v>3.63</v>
      </c>
      <c r="F49" s="9" t="s">
        <v>50</v>
      </c>
      <c r="G49" s="7">
        <v>67179364352</v>
      </c>
      <c r="H49" s="6">
        <v>4.1399999999999997</v>
      </c>
      <c r="I49" s="6">
        <v>2.69</v>
      </c>
      <c r="J49" s="12">
        <f>E49/I49-1</f>
        <v>0.34944237918215615</v>
      </c>
      <c r="K49" s="11">
        <v>3.2231404958677691E-2</v>
      </c>
      <c r="L49" s="13">
        <v>13880855000</v>
      </c>
      <c r="M49" s="13">
        <v>234487155000</v>
      </c>
      <c r="N49" s="9" t="s">
        <v>50</v>
      </c>
      <c r="O49" s="6">
        <v>1</v>
      </c>
      <c r="P49" s="12">
        <v>5.7056989700865049E-2</v>
      </c>
      <c r="Q49" s="12">
        <v>5.9196654076851249E-2</v>
      </c>
      <c r="R49" s="14">
        <v>34</v>
      </c>
    </row>
    <row r="50" spans="2:18" x14ac:dyDescent="0.5">
      <c r="B50" s="1" t="s">
        <v>496</v>
      </c>
      <c r="C50" t="s">
        <v>533</v>
      </c>
      <c r="D50" t="s">
        <v>534</v>
      </c>
      <c r="E50">
        <v>2.61</v>
      </c>
      <c r="F50" s="9" t="s">
        <v>50</v>
      </c>
      <c r="G50" s="7">
        <v>34445881344</v>
      </c>
      <c r="H50" s="6">
        <v>2.87</v>
      </c>
      <c r="I50" s="6">
        <v>2.11</v>
      </c>
      <c r="J50" s="12">
        <f>E50/I50-1</f>
        <v>0.23696682464454977</v>
      </c>
      <c r="K50" s="11">
        <v>1.5708812260536401E-2</v>
      </c>
      <c r="L50" s="13">
        <v>5814662389.1800003</v>
      </c>
      <c r="M50" s="13">
        <v>102256651904.24001</v>
      </c>
      <c r="N50" s="9" t="s">
        <v>50</v>
      </c>
      <c r="O50" s="6">
        <v>1</v>
      </c>
      <c r="P50" s="12">
        <v>5.0741311858282144E-2</v>
      </c>
      <c r="Q50" s="12">
        <v>5.686341456422063E-2</v>
      </c>
      <c r="R50" s="14">
        <v>35</v>
      </c>
    </row>
    <row r="51" spans="2:18" x14ac:dyDescent="0.5">
      <c r="B51" s="1" t="s">
        <v>499</v>
      </c>
      <c r="C51" t="s">
        <v>537</v>
      </c>
      <c r="D51" t="s">
        <v>534</v>
      </c>
      <c r="E51">
        <v>36.35</v>
      </c>
      <c r="F51" s="9" t="s">
        <v>50</v>
      </c>
      <c r="G51" s="7">
        <v>273556324352</v>
      </c>
      <c r="H51" s="6">
        <v>40.98</v>
      </c>
      <c r="I51" s="6">
        <v>26.93</v>
      </c>
      <c r="J51" s="12">
        <f>E51/I51-1</f>
        <v>0.34979576680282221</v>
      </c>
      <c r="K51" s="11">
        <v>6.8775790921595595E-3</v>
      </c>
      <c r="L51" s="13">
        <v>4449656593.3100004</v>
      </c>
      <c r="M51" s="13">
        <v>63010033611.870003</v>
      </c>
      <c r="N51" s="9" t="s">
        <v>50</v>
      </c>
      <c r="O51" s="6">
        <v>1</v>
      </c>
      <c r="P51" s="12">
        <v>1.9682723262899573E-2</v>
      </c>
      <c r="Q51" s="12">
        <v>7.0618222817004847E-2</v>
      </c>
      <c r="R51" s="14">
        <v>36</v>
      </c>
    </row>
    <row r="52" spans="2:18" x14ac:dyDescent="0.5">
      <c r="B52" s="1" t="s">
        <v>502</v>
      </c>
      <c r="C52" t="s">
        <v>540</v>
      </c>
      <c r="D52" t="s">
        <v>49</v>
      </c>
      <c r="E52">
        <v>19.78</v>
      </c>
      <c r="F52" s="9" t="s">
        <v>50</v>
      </c>
      <c r="G52" s="7">
        <v>30926983168</v>
      </c>
      <c r="H52" s="6">
        <v>21.1</v>
      </c>
      <c r="I52" s="6">
        <v>14.35</v>
      </c>
      <c r="J52" s="12">
        <f>E52/I52-1</f>
        <v>0.37839721254355418</v>
      </c>
      <c r="K52" s="11">
        <v>6.1678463094034372E-3</v>
      </c>
      <c r="L52" s="13">
        <v>968110478.09000003</v>
      </c>
      <c r="M52" s="13">
        <v>17054713794</v>
      </c>
      <c r="N52" s="9" t="s">
        <v>50</v>
      </c>
      <c r="O52" s="6">
        <v>1</v>
      </c>
      <c r="P52" s="12">
        <v>3.3368238307867955E-2</v>
      </c>
      <c r="Q52" s="12">
        <v>5.6764979452812038E-2</v>
      </c>
      <c r="R52" s="14">
        <v>37</v>
      </c>
    </row>
    <row r="53" spans="2:18" x14ac:dyDescent="0.5">
      <c r="B53" s="1" t="s">
        <v>506</v>
      </c>
      <c r="C53" t="s">
        <v>544</v>
      </c>
      <c r="D53" t="s">
        <v>300</v>
      </c>
      <c r="E53">
        <v>5.52</v>
      </c>
      <c r="F53" s="9" t="s">
        <v>50</v>
      </c>
      <c r="G53" s="7">
        <v>16492855296</v>
      </c>
      <c r="H53" s="6">
        <v>7.11</v>
      </c>
      <c r="I53" s="6">
        <v>3.95</v>
      </c>
      <c r="J53" s="12">
        <f>E53/I53-1</f>
        <v>0.39746835443037964</v>
      </c>
      <c r="K53" s="11">
        <v>0</v>
      </c>
      <c r="L53" s="13">
        <v>798742000</v>
      </c>
      <c r="M53" s="13">
        <v>19715428000</v>
      </c>
      <c r="N53" s="9" t="s">
        <v>50</v>
      </c>
      <c r="O53" s="6">
        <v>1</v>
      </c>
      <c r="P53" s="12">
        <v>3.0149200730572437E-2</v>
      </c>
      <c r="Q53" s="12">
        <v>4.0513551113371724E-2</v>
      </c>
      <c r="R53" s="14">
        <v>38</v>
      </c>
    </row>
    <row r="54" spans="2:18" x14ac:dyDescent="0.5">
      <c r="B54" s="1" t="s">
        <v>505</v>
      </c>
      <c r="C54" t="s">
        <v>543</v>
      </c>
      <c r="D54" t="s">
        <v>246</v>
      </c>
      <c r="E54">
        <v>47.81</v>
      </c>
      <c r="F54" s="9" t="s">
        <v>50</v>
      </c>
      <c r="G54" s="7">
        <v>80231088128</v>
      </c>
      <c r="H54" s="6">
        <v>49.98</v>
      </c>
      <c r="I54" s="6">
        <v>12.28</v>
      </c>
      <c r="J54" s="12">
        <f>E54/I54-1</f>
        <v>2.8933224755700331</v>
      </c>
      <c r="K54" s="11">
        <v>4.7061284250156871E-3</v>
      </c>
      <c r="L54" s="13">
        <v>1617339292.8699999</v>
      </c>
      <c r="M54" s="13">
        <v>31007772337.259998</v>
      </c>
      <c r="N54" s="9" t="s">
        <v>50</v>
      </c>
      <c r="O54" s="6">
        <v>1</v>
      </c>
      <c r="P54" s="12">
        <v>1.7313136327929732E-2</v>
      </c>
      <c r="Q54" s="12">
        <v>5.2159157880766228E-2</v>
      </c>
      <c r="R54" s="14">
        <v>39</v>
      </c>
    </row>
    <row r="55" spans="2:18" x14ac:dyDescent="0.5">
      <c r="B55" s="1" t="s">
        <v>501</v>
      </c>
      <c r="C55" t="s">
        <v>539</v>
      </c>
      <c r="D55" t="s">
        <v>534</v>
      </c>
      <c r="E55">
        <v>37.97</v>
      </c>
      <c r="F55" s="9" t="s">
        <v>50</v>
      </c>
      <c r="G55" s="7">
        <v>31131344896</v>
      </c>
      <c r="H55" s="6">
        <v>41.5</v>
      </c>
      <c r="I55" s="6">
        <v>33.39</v>
      </c>
      <c r="J55" s="12">
        <f>E55/I55-1</f>
        <v>0.13716681641209938</v>
      </c>
      <c r="K55" s="11">
        <v>5.3726626283908344E-3</v>
      </c>
      <c r="L55" s="13">
        <v>605951793.63999999</v>
      </c>
      <c r="M55" s="13">
        <v>19290166367.68</v>
      </c>
      <c r="N55" s="9" t="s">
        <v>50</v>
      </c>
      <c r="O55" s="6">
        <v>1</v>
      </c>
      <c r="P55" s="12">
        <v>2.8470906056432366E-2</v>
      </c>
      <c r="Q55" s="12">
        <v>3.141247110523894E-2</v>
      </c>
      <c r="R55" s="14">
        <v>40</v>
      </c>
    </row>
    <row r="56" spans="2:18" x14ac:dyDescent="0.5">
      <c r="B56" s="1" t="s">
        <v>555</v>
      </c>
      <c r="C56" t="s">
        <v>564</v>
      </c>
      <c r="D56" t="s">
        <v>565</v>
      </c>
      <c r="E56">
        <v>28.82</v>
      </c>
      <c r="F56" s="9" t="s">
        <v>50</v>
      </c>
      <c r="G56" s="7">
        <v>20480337920</v>
      </c>
      <c r="H56" s="6">
        <v>39</v>
      </c>
      <c r="I56" s="6">
        <v>24.9</v>
      </c>
      <c r="J56" s="12">
        <f>E56/I56-1</f>
        <v>0.15742971887550206</v>
      </c>
      <c r="K56" s="11">
        <v>4.4760582928521859E-3</v>
      </c>
      <c r="L56" s="13">
        <v>299280592.93000001</v>
      </c>
      <c r="M56" s="13">
        <v>8835084844.8099995</v>
      </c>
      <c r="N56" s="9" t="s">
        <v>50</v>
      </c>
      <c r="O56" s="6">
        <v>1</v>
      </c>
      <c r="P56" s="12">
        <v>1.5920863986003096E-2</v>
      </c>
      <c r="Q56" s="12">
        <v>3.3874105137293234E-2</v>
      </c>
      <c r="R56" s="14">
        <v>41</v>
      </c>
    </row>
    <row r="57" spans="2:18" x14ac:dyDescent="0.5">
      <c r="B57" s="1" t="s">
        <v>556</v>
      </c>
      <c r="C57" t="s">
        <v>566</v>
      </c>
      <c r="D57" t="s">
        <v>534</v>
      </c>
      <c r="E57">
        <v>23.96</v>
      </c>
      <c r="F57" s="9" t="s">
        <v>50</v>
      </c>
      <c r="G57" s="7">
        <v>79051210752</v>
      </c>
      <c r="H57" s="6">
        <v>32.24</v>
      </c>
      <c r="I57" s="6">
        <v>8.02</v>
      </c>
      <c r="J57" s="12">
        <f>E57/I57-1</f>
        <v>1.9875311720698257</v>
      </c>
      <c r="K57" s="11">
        <v>2.0868113522537562E-3</v>
      </c>
      <c r="L57" s="13">
        <v>823353214.80999994</v>
      </c>
      <c r="M57" s="13">
        <v>24600134953.169998</v>
      </c>
      <c r="N57" s="9" t="s">
        <v>50</v>
      </c>
      <c r="O57" s="6">
        <v>1</v>
      </c>
      <c r="P57" s="12">
        <v>1.049765571423952E-2</v>
      </c>
      <c r="Q57" s="12">
        <v>3.3469459268307869E-2</v>
      </c>
      <c r="R57" s="14">
        <v>42</v>
      </c>
    </row>
    <row r="58" spans="2:18" x14ac:dyDescent="0.5">
      <c r="B58" s="1" t="s">
        <v>493</v>
      </c>
      <c r="C58" t="s">
        <v>529</v>
      </c>
      <c r="D58" t="s">
        <v>530</v>
      </c>
      <c r="E58">
        <v>8.5399999999999991</v>
      </c>
      <c r="F58" s="9" t="s">
        <v>50</v>
      </c>
      <c r="G58" s="7">
        <v>149009514496</v>
      </c>
      <c r="H58" s="6">
        <v>9.4499999999999993</v>
      </c>
      <c r="I58" s="6">
        <v>6.71</v>
      </c>
      <c r="J58" s="12">
        <f>E58/I58-1</f>
        <v>0.27272727272727271</v>
      </c>
      <c r="K58" s="11">
        <v>0</v>
      </c>
      <c r="L58" s="13">
        <v>4793550000</v>
      </c>
      <c r="M58" s="13">
        <v>148871512000</v>
      </c>
      <c r="N58" s="9" t="s">
        <v>50</v>
      </c>
      <c r="O58" s="6">
        <v>1</v>
      </c>
      <c r="P58" s="12">
        <v>1.331149027636393E-2</v>
      </c>
      <c r="Q58" s="12">
        <v>3.2199243062702283E-2</v>
      </c>
      <c r="R58" s="14">
        <v>42</v>
      </c>
    </row>
    <row r="59" spans="2:18" x14ac:dyDescent="0.5">
      <c r="B59" s="1" t="s">
        <v>759</v>
      </c>
      <c r="C59" t="s">
        <v>760</v>
      </c>
      <c r="D59" t="s">
        <v>401</v>
      </c>
      <c r="E59">
        <v>37.619999999999997</v>
      </c>
      <c r="F59" s="9" t="s">
        <v>50</v>
      </c>
      <c r="G59" s="7">
        <v>16511298560</v>
      </c>
      <c r="H59" s="6">
        <v>37.619999999999997</v>
      </c>
      <c r="I59" s="6">
        <v>15.18</v>
      </c>
      <c r="J59" s="12">
        <f>E59/I59-1</f>
        <v>1.4782608695652173</v>
      </c>
      <c r="K59" s="11">
        <v>2.6581605528973955E-3</v>
      </c>
      <c r="L59" s="13">
        <v>77003052.530000001</v>
      </c>
      <c r="M59" s="13">
        <v>2584081781.4400001</v>
      </c>
      <c r="N59" s="9" t="s">
        <v>50</v>
      </c>
      <c r="O59" s="6">
        <v>1</v>
      </c>
      <c r="P59" s="12">
        <v>5.2979201109151523E-3</v>
      </c>
      <c r="Q59" s="12">
        <v>2.9798999816131762E-2</v>
      </c>
      <c r="R59" s="14">
        <v>43</v>
      </c>
    </row>
    <row r="60" spans="2:18" x14ac:dyDescent="0.5">
      <c r="B60" s="1" t="s">
        <v>554</v>
      </c>
      <c r="C60" t="s">
        <v>563</v>
      </c>
      <c r="D60" t="s">
        <v>534</v>
      </c>
      <c r="E60">
        <v>86.25</v>
      </c>
      <c r="F60" s="9" t="s">
        <v>50</v>
      </c>
      <c r="G60" s="7">
        <v>101989687296</v>
      </c>
      <c r="H60" s="6">
        <v>127.77</v>
      </c>
      <c r="I60" s="6">
        <v>23.87</v>
      </c>
      <c r="J60" s="12">
        <f>E60/I60-1</f>
        <v>2.6133221617092581</v>
      </c>
      <c r="K60" s="11">
        <v>1.1594202898550725E-4</v>
      </c>
      <c r="L60" s="13">
        <v>-41030373.009999998</v>
      </c>
      <c r="M60" s="13">
        <v>6579370456.6700001</v>
      </c>
      <c r="N60" s="9" t="s">
        <v>50</v>
      </c>
      <c r="O60" s="6">
        <v>1</v>
      </c>
      <c r="P60" s="12">
        <v>-4.0692817454730221E-4</v>
      </c>
      <c r="Q60" s="12">
        <v>-6.2362156501469587E-3</v>
      </c>
      <c r="R60" s="14">
        <v>44</v>
      </c>
    </row>
    <row r="61" spans="2:18" x14ac:dyDescent="0.5">
      <c r="B61" s="1" t="s">
        <v>762</v>
      </c>
      <c r="C61" t="s">
        <v>763</v>
      </c>
      <c r="D61" t="s">
        <v>49</v>
      </c>
      <c r="E61">
        <v>2.48</v>
      </c>
      <c r="F61" s="9" t="s">
        <v>50</v>
      </c>
      <c r="G61" s="7">
        <v>3853442304</v>
      </c>
      <c r="H61" s="6">
        <v>3.21</v>
      </c>
      <c r="I61" s="6">
        <v>1.81</v>
      </c>
      <c r="J61" s="12">
        <f>E61/I61-1</f>
        <v>0.37016574585635365</v>
      </c>
      <c r="K61" s="11">
        <v>0</v>
      </c>
      <c r="L61" s="13">
        <v>-11448340.02</v>
      </c>
      <c r="M61" s="13">
        <v>2419968780.5500002</v>
      </c>
      <c r="N61" s="9" t="s">
        <v>50</v>
      </c>
      <c r="O61" s="6">
        <v>1</v>
      </c>
      <c r="P61" s="12">
        <v>-1.8804934511259389E-3</v>
      </c>
      <c r="Q61" s="12">
        <v>-4.7307800464260821E-3</v>
      </c>
      <c r="R61" s="14">
        <v>44</v>
      </c>
    </row>
    <row r="62" spans="2:18" x14ac:dyDescent="0.5">
      <c r="B62" s="1" t="s">
        <v>464</v>
      </c>
      <c r="C62" t="s">
        <v>478</v>
      </c>
      <c r="D62" t="s">
        <v>363</v>
      </c>
      <c r="E62">
        <v>12.9</v>
      </c>
      <c r="F62" s="9" t="s">
        <v>50</v>
      </c>
      <c r="G62" s="7">
        <v>90294288384</v>
      </c>
      <c r="H62" s="6">
        <v>14.68</v>
      </c>
      <c r="I62" s="6">
        <v>8.98</v>
      </c>
      <c r="J62" s="12">
        <f>E62/I62-1</f>
        <v>0.43652561247216037</v>
      </c>
      <c r="K62" s="11">
        <v>1.5503875968992248E-2</v>
      </c>
      <c r="L62" s="13">
        <v>-931377000</v>
      </c>
      <c r="M62" s="13">
        <v>31106254000</v>
      </c>
      <c r="N62" s="9" t="s">
        <v>50</v>
      </c>
      <c r="O62" s="6">
        <v>1</v>
      </c>
      <c r="P62" s="12">
        <v>-1.3695628284539584E-2</v>
      </c>
      <c r="Q62" s="12">
        <v>-2.9941792412548292E-2</v>
      </c>
      <c r="R62" s="14">
        <v>45</v>
      </c>
    </row>
    <row r="63" spans="2:18" x14ac:dyDescent="0.5">
      <c r="B63" s="1" t="s">
        <v>512</v>
      </c>
      <c r="C63" t="s">
        <v>551</v>
      </c>
      <c r="D63" t="s">
        <v>401</v>
      </c>
      <c r="E63">
        <v>45.13</v>
      </c>
      <c r="F63" s="9" t="s">
        <v>50</v>
      </c>
      <c r="G63" s="7">
        <v>42141790208</v>
      </c>
      <c r="H63" s="6">
        <v>56.74</v>
      </c>
      <c r="I63" s="6">
        <v>42.58</v>
      </c>
      <c r="J63" s="12">
        <f>E63/I63-1</f>
        <v>5.9887271019257948E-2</v>
      </c>
      <c r="K63" s="11">
        <v>0</v>
      </c>
      <c r="L63" s="13">
        <v>-243865509.30000001</v>
      </c>
      <c r="M63" s="13">
        <v>3088241018.6100001</v>
      </c>
      <c r="N63" s="9" t="s">
        <v>50</v>
      </c>
      <c r="O63" s="6">
        <v>1</v>
      </c>
      <c r="P63" s="12">
        <v>-5.9362801111653195E-3</v>
      </c>
      <c r="Q63" s="12">
        <v>-7.8965828065376359E-2</v>
      </c>
      <c r="R63" s="14">
        <v>46</v>
      </c>
    </row>
    <row r="64" spans="2:18" x14ac:dyDescent="0.5">
      <c r="B64" s="1" t="s">
        <v>558</v>
      </c>
      <c r="C64" t="s">
        <v>568</v>
      </c>
      <c r="D64" t="s">
        <v>569</v>
      </c>
      <c r="E64">
        <v>26.43</v>
      </c>
      <c r="F64" s="9" t="s">
        <v>50</v>
      </c>
      <c r="G64" s="7">
        <v>2163619840</v>
      </c>
      <c r="H64" s="6">
        <v>30.96</v>
      </c>
      <c r="I64" s="6">
        <v>16.600000000000001</v>
      </c>
      <c r="J64" s="12">
        <f>E64/I64-1</f>
        <v>0.59216867469879508</v>
      </c>
      <c r="K64" s="11">
        <v>0</v>
      </c>
      <c r="L64" s="13">
        <v>-44822598.270000003</v>
      </c>
      <c r="M64" s="13">
        <v>1000072896.86</v>
      </c>
      <c r="N64" s="9" t="s">
        <v>50</v>
      </c>
      <c r="O64" s="6">
        <v>1</v>
      </c>
      <c r="P64" s="12">
        <v>-2.0699567184615963E-2</v>
      </c>
      <c r="Q64" s="12">
        <v>-4.4819331081496862E-2</v>
      </c>
      <c r="R64" s="14">
        <v>47</v>
      </c>
    </row>
    <row r="65" spans="2:18" x14ac:dyDescent="0.5">
      <c r="B65" s="1" t="s">
        <v>560</v>
      </c>
      <c r="C65" t="s">
        <v>571</v>
      </c>
      <c r="D65" t="s">
        <v>178</v>
      </c>
      <c r="E65">
        <v>16.72</v>
      </c>
      <c r="F65" s="9" t="s">
        <v>50</v>
      </c>
      <c r="G65" s="7">
        <v>53935357952</v>
      </c>
      <c r="H65" s="6">
        <v>19.75</v>
      </c>
      <c r="I65" s="6">
        <v>13.01</v>
      </c>
      <c r="J65" s="12">
        <f>E65/I65-1</f>
        <v>0.28516525749423516</v>
      </c>
      <c r="K65" s="11">
        <v>0</v>
      </c>
      <c r="L65" s="13">
        <v>-1185481187.71</v>
      </c>
      <c r="M65" s="13">
        <v>18993088958.560001</v>
      </c>
      <c r="N65" s="9" t="s">
        <v>50</v>
      </c>
      <c r="O65" s="6">
        <v>1</v>
      </c>
      <c r="P65" s="12">
        <v>-1.9656130056384662E-2</v>
      </c>
      <c r="Q65" s="12">
        <v>-6.241645002013825E-2</v>
      </c>
      <c r="R65" s="14">
        <v>47</v>
      </c>
    </row>
    <row r="66" spans="2:18" x14ac:dyDescent="0.5">
      <c r="B66" s="1" t="s">
        <v>557</v>
      </c>
      <c r="C66" t="s">
        <v>567</v>
      </c>
      <c r="D66" t="s">
        <v>168</v>
      </c>
      <c r="E66">
        <v>4.45</v>
      </c>
      <c r="F66" s="9" t="s">
        <v>50</v>
      </c>
      <c r="G66" s="7">
        <v>15968928768</v>
      </c>
      <c r="H66" s="6">
        <v>4.84</v>
      </c>
      <c r="I66" s="6">
        <v>3.46</v>
      </c>
      <c r="J66" s="12">
        <f>E66/I66-1</f>
        <v>0.28612716763005785</v>
      </c>
      <c r="K66" s="11">
        <v>0</v>
      </c>
      <c r="L66" s="13">
        <v>-2407942158.9699998</v>
      </c>
      <c r="M66" s="13">
        <v>29426622086.59</v>
      </c>
      <c r="N66" s="9" t="s">
        <v>50</v>
      </c>
      <c r="O66" s="6">
        <v>1</v>
      </c>
      <c r="P66" s="12">
        <v>-6.740556279004703E-2</v>
      </c>
      <c r="Q66" s="12">
        <v>-8.182869756115578E-2</v>
      </c>
      <c r="R66" s="14">
        <v>48</v>
      </c>
    </row>
    <row r="67" spans="2:18" x14ac:dyDescent="0.5">
      <c r="B67" s="1" t="s">
        <v>351</v>
      </c>
      <c r="C67" t="s">
        <v>372</v>
      </c>
      <c r="D67" t="s">
        <v>225</v>
      </c>
      <c r="E67">
        <v>18.489999999999998</v>
      </c>
      <c r="F67" s="9" t="s">
        <v>50</v>
      </c>
      <c r="G67" s="7">
        <v>391301201920</v>
      </c>
      <c r="H67" s="6">
        <v>25.45</v>
      </c>
      <c r="I67" s="6">
        <v>18.350000000000001</v>
      </c>
      <c r="J67" s="12">
        <f>E67/I67-1</f>
        <v>7.6294277929154219E-3</v>
      </c>
      <c r="K67" s="11">
        <v>0</v>
      </c>
      <c r="M67" s="13">
        <v>2415915000000</v>
      </c>
      <c r="N67" s="9" t="s">
        <v>50</v>
      </c>
      <c r="O67" s="6">
        <v>1</v>
      </c>
    </row>
    <row r="68" spans="2:18" x14ac:dyDescent="0.5">
      <c r="B68" s="1" t="s">
        <v>451</v>
      </c>
      <c r="C68" t="s">
        <v>465</v>
      </c>
      <c r="D68" t="s">
        <v>227</v>
      </c>
      <c r="E68">
        <v>7.11</v>
      </c>
      <c r="F68" s="9" t="s">
        <v>50</v>
      </c>
      <c r="G68" s="7">
        <v>2534048530432</v>
      </c>
      <c r="H68" s="6">
        <v>8.4</v>
      </c>
      <c r="I68" s="6">
        <v>6.6</v>
      </c>
      <c r="J68" s="12">
        <f>E68/I68-1</f>
        <v>7.7272727272727382E-2</v>
      </c>
      <c r="K68" s="11">
        <v>4.3037974683544304E-2</v>
      </c>
      <c r="M68" s="13">
        <v>6434377000000</v>
      </c>
      <c r="N68" s="9" t="s">
        <v>50</v>
      </c>
      <c r="O68" s="6">
        <v>1</v>
      </c>
    </row>
    <row r="69" spans="2:18" x14ac:dyDescent="0.5">
      <c r="B69" s="1" t="s">
        <v>452</v>
      </c>
      <c r="C69" t="s">
        <v>466</v>
      </c>
      <c r="D69" t="s">
        <v>225</v>
      </c>
      <c r="E69">
        <v>38.71</v>
      </c>
      <c r="F69" s="9" t="s">
        <v>50</v>
      </c>
      <c r="G69" s="7">
        <v>992393625600</v>
      </c>
      <c r="H69" s="6">
        <v>48.55</v>
      </c>
      <c r="I69" s="6">
        <v>37.31</v>
      </c>
      <c r="J69" s="12">
        <f>E69/I69-1</f>
        <v>3.7523452157598447E-2</v>
      </c>
      <c r="K69" s="11">
        <v>0</v>
      </c>
      <c r="M69" s="13">
        <v>1656843000000</v>
      </c>
      <c r="N69" s="9" t="s">
        <v>50</v>
      </c>
      <c r="O69" s="6">
        <v>1</v>
      </c>
    </row>
    <row r="70" spans="2:18" x14ac:dyDescent="0.5">
      <c r="B70" s="1" t="s">
        <v>453</v>
      </c>
      <c r="C70" t="s">
        <v>467</v>
      </c>
      <c r="D70" t="s">
        <v>225</v>
      </c>
      <c r="E70">
        <v>10.91</v>
      </c>
      <c r="F70" s="9" t="s">
        <v>50</v>
      </c>
      <c r="G70" s="7">
        <v>211718569984</v>
      </c>
      <c r="H70" s="6">
        <v>13.33</v>
      </c>
      <c r="I70" s="6">
        <v>10.48</v>
      </c>
      <c r="J70" s="12">
        <f>E70/I70-1</f>
        <v>4.1030534351145009E-2</v>
      </c>
      <c r="K70" s="11">
        <v>5.4812098991750685E-2</v>
      </c>
      <c r="M70" s="13">
        <v>1225730000000</v>
      </c>
      <c r="N70" s="9" t="s">
        <v>50</v>
      </c>
      <c r="O70" s="6">
        <v>1</v>
      </c>
    </row>
    <row r="71" spans="2:18" x14ac:dyDescent="0.5">
      <c r="B71" s="1" t="s">
        <v>454</v>
      </c>
      <c r="C71" t="s">
        <v>468</v>
      </c>
      <c r="D71" t="s">
        <v>227</v>
      </c>
      <c r="E71">
        <v>6.51</v>
      </c>
      <c r="F71" s="9" t="s">
        <v>50</v>
      </c>
      <c r="G71" s="7">
        <v>2278389710848</v>
      </c>
      <c r="H71" s="6">
        <v>8.68</v>
      </c>
      <c r="I71" s="6">
        <v>4.92</v>
      </c>
      <c r="J71" s="12">
        <f>E71/I71-1</f>
        <v>0.32317073170731714</v>
      </c>
      <c r="K71" s="11">
        <v>3.7634408602150539E-2</v>
      </c>
      <c r="M71" s="13">
        <v>6053339000000</v>
      </c>
      <c r="N71" s="9" t="s">
        <v>50</v>
      </c>
      <c r="O71" s="6">
        <v>1</v>
      </c>
    </row>
    <row r="72" spans="2:18" x14ac:dyDescent="0.5">
      <c r="B72" s="1" t="s">
        <v>455</v>
      </c>
      <c r="C72" t="s">
        <v>469</v>
      </c>
      <c r="D72" t="s">
        <v>227</v>
      </c>
      <c r="E72">
        <v>5.31</v>
      </c>
      <c r="F72" s="9" t="s">
        <v>50</v>
      </c>
      <c r="G72" s="7">
        <v>1710947827712</v>
      </c>
      <c r="H72" s="6">
        <v>6.39</v>
      </c>
      <c r="I72" s="6">
        <v>5.13</v>
      </c>
      <c r="J72" s="12">
        <f>E72/I72-1</f>
        <v>3.5087719298245501E-2</v>
      </c>
      <c r="K72" s="11">
        <v>4.3502824858757068E-2</v>
      </c>
      <c r="M72" s="13">
        <v>5199928000000</v>
      </c>
      <c r="N72" s="9" t="s">
        <v>50</v>
      </c>
      <c r="O72" s="6">
        <v>1</v>
      </c>
    </row>
    <row r="73" spans="2:18" x14ac:dyDescent="0.5">
      <c r="B73" s="1" t="s">
        <v>456</v>
      </c>
      <c r="C73" t="s">
        <v>470</v>
      </c>
      <c r="D73" t="s">
        <v>227</v>
      </c>
      <c r="E73">
        <v>8.6999999999999993</v>
      </c>
      <c r="F73" s="9" t="s">
        <v>50</v>
      </c>
      <c r="G73" s="7">
        <v>2275923197952</v>
      </c>
      <c r="H73" s="6">
        <v>10.029999999999999</v>
      </c>
      <c r="I73" s="6">
        <v>8.4</v>
      </c>
      <c r="J73" s="12">
        <f>E73/I73-1</f>
        <v>3.5714285714285587E-2</v>
      </c>
      <c r="K73" s="11">
        <v>4.5057471264367821E-2</v>
      </c>
      <c r="M73" s="13">
        <v>6128626000000</v>
      </c>
      <c r="N73" s="9" t="s">
        <v>50</v>
      </c>
      <c r="O73" s="6">
        <v>1</v>
      </c>
    </row>
    <row r="74" spans="2:18" x14ac:dyDescent="0.5">
      <c r="B74" s="1" t="s">
        <v>457</v>
      </c>
      <c r="C74" t="s">
        <v>471</v>
      </c>
      <c r="D74" t="s">
        <v>227</v>
      </c>
      <c r="E74">
        <v>6.65</v>
      </c>
      <c r="F74" s="9" t="s">
        <v>50</v>
      </c>
      <c r="G74" s="7">
        <v>587619172352</v>
      </c>
      <c r="H74" s="6">
        <v>8.34</v>
      </c>
      <c r="I74" s="6">
        <v>6.48</v>
      </c>
      <c r="J74" s="12">
        <f>E74/I74-1</f>
        <v>2.6234567901234573E-2</v>
      </c>
      <c r="K74" s="11">
        <v>8.045112781954887E-2</v>
      </c>
      <c r="M74" s="13">
        <v>2314289000000</v>
      </c>
      <c r="N74" s="9" t="s">
        <v>50</v>
      </c>
      <c r="O74" s="6">
        <v>1</v>
      </c>
    </row>
    <row r="75" spans="2:18" x14ac:dyDescent="0.5">
      <c r="B75" s="1" t="s">
        <v>458</v>
      </c>
      <c r="C75" t="s">
        <v>472</v>
      </c>
      <c r="D75" t="s">
        <v>225</v>
      </c>
      <c r="E75">
        <v>5.07</v>
      </c>
      <c r="F75" s="9" t="s">
        <v>50</v>
      </c>
      <c r="G75" s="7">
        <v>608881934336</v>
      </c>
      <c r="H75" s="6">
        <v>6.44</v>
      </c>
      <c r="I75" s="6">
        <v>4.9400000000000004</v>
      </c>
      <c r="J75" s="12">
        <f>E75/I75-1</f>
        <v>2.6315789473684292E-2</v>
      </c>
      <c r="K75" s="11">
        <v>4.6745562130177512E-2</v>
      </c>
      <c r="M75" s="13">
        <v>1271649000000</v>
      </c>
      <c r="N75" s="9" t="s">
        <v>50</v>
      </c>
      <c r="O75" s="6">
        <v>1</v>
      </c>
    </row>
    <row r="76" spans="2:18" x14ac:dyDescent="0.5">
      <c r="B76" s="1" t="s">
        <v>459</v>
      </c>
      <c r="C76" t="s">
        <v>473</v>
      </c>
      <c r="D76" t="s">
        <v>225</v>
      </c>
      <c r="E76">
        <v>9.89</v>
      </c>
      <c r="F76" s="9" t="s">
        <v>50</v>
      </c>
      <c r="G76" s="7">
        <v>329394749440</v>
      </c>
      <c r="H76" s="6">
        <v>14.8</v>
      </c>
      <c r="I76" s="6">
        <v>9.4600000000000009</v>
      </c>
      <c r="J76" s="12">
        <f>E76/I76-1</f>
        <v>4.5454545454545414E-2</v>
      </c>
      <c r="K76" s="11">
        <v>0</v>
      </c>
      <c r="M76" s="13">
        <v>2505906000000</v>
      </c>
      <c r="N76" s="9" t="s">
        <v>50</v>
      </c>
      <c r="O76" s="6">
        <v>1</v>
      </c>
    </row>
    <row r="77" spans="2:18" x14ac:dyDescent="0.5">
      <c r="B77" s="1" t="s">
        <v>460</v>
      </c>
      <c r="C77" t="s">
        <v>474</v>
      </c>
      <c r="D77" t="s">
        <v>225</v>
      </c>
      <c r="E77">
        <v>3.29</v>
      </c>
      <c r="F77" s="9" t="s">
        <v>50</v>
      </c>
      <c r="G77" s="7">
        <v>194391457792</v>
      </c>
      <c r="H77" s="6">
        <v>4.5</v>
      </c>
      <c r="I77" s="6">
        <v>3.26</v>
      </c>
      <c r="J77" s="12">
        <f>E77/I77-1</f>
        <v>9.2024539877302303E-3</v>
      </c>
      <c r="K77" s="11">
        <v>5.7750759878419454E-2</v>
      </c>
      <c r="M77" s="13">
        <v>1970468000000</v>
      </c>
      <c r="N77" s="9" t="s">
        <v>50</v>
      </c>
      <c r="O77" s="6">
        <v>1</v>
      </c>
    </row>
    <row r="78" spans="2:18" x14ac:dyDescent="0.5">
      <c r="B78" s="1" t="s">
        <v>461</v>
      </c>
      <c r="C78" t="s">
        <v>475</v>
      </c>
      <c r="D78" t="s">
        <v>225</v>
      </c>
      <c r="E78">
        <v>7.34</v>
      </c>
      <c r="F78" s="9" t="s">
        <v>50</v>
      </c>
      <c r="G78" s="7">
        <v>408435523584</v>
      </c>
      <c r="H78" s="6">
        <v>9.07</v>
      </c>
      <c r="I78" s="6">
        <v>6.43</v>
      </c>
      <c r="J78" s="12">
        <f>E78/I78-1</f>
        <v>0.14152410575427687</v>
      </c>
      <c r="K78" s="11">
        <v>4.877384196185286E-2</v>
      </c>
      <c r="M78" s="13">
        <v>2066897000000</v>
      </c>
      <c r="N78" s="9" t="s">
        <v>50</v>
      </c>
      <c r="O78" s="6">
        <v>1</v>
      </c>
    </row>
    <row r="79" spans="2:18" x14ac:dyDescent="0.5">
      <c r="B79" s="1" t="s">
        <v>462</v>
      </c>
      <c r="C79" t="s">
        <v>476</v>
      </c>
      <c r="D79" t="s">
        <v>225</v>
      </c>
      <c r="E79">
        <v>3.93</v>
      </c>
      <c r="F79" s="9" t="s">
        <v>50</v>
      </c>
      <c r="G79" s="7">
        <v>172064915456</v>
      </c>
      <c r="H79" s="6">
        <v>5.68</v>
      </c>
      <c r="I79" s="6">
        <v>3.7</v>
      </c>
      <c r="J79" s="12">
        <f>E79/I79-1</f>
        <v>6.2162162162162193E-2</v>
      </c>
      <c r="K79" s="11">
        <v>5.0381679389312976E-2</v>
      </c>
      <c r="M79" s="13">
        <v>1646749000000</v>
      </c>
      <c r="N79" s="9" t="s">
        <v>50</v>
      </c>
      <c r="O79" s="6">
        <v>1</v>
      </c>
    </row>
    <row r="80" spans="2:18" x14ac:dyDescent="0.5">
      <c r="B80" s="1" t="s">
        <v>463</v>
      </c>
      <c r="C80" t="s">
        <v>477</v>
      </c>
      <c r="D80" t="s">
        <v>225</v>
      </c>
      <c r="E80">
        <v>6.73</v>
      </c>
      <c r="F80" s="9" t="s">
        <v>50</v>
      </c>
      <c r="G80" s="7">
        <v>107107467264</v>
      </c>
      <c r="H80" s="6">
        <v>8.7200000000000006</v>
      </c>
      <c r="I80" s="6">
        <v>6.31</v>
      </c>
      <c r="J80" s="12">
        <f>E80/I80-1</f>
        <v>6.6561014263074592E-2</v>
      </c>
      <c r="K80" s="11">
        <v>0</v>
      </c>
      <c r="M80" s="13">
        <v>1231745000000</v>
      </c>
      <c r="N80" s="9" t="s">
        <v>50</v>
      </c>
      <c r="O80" s="6">
        <v>1</v>
      </c>
    </row>
    <row r="81" spans="2:15" x14ac:dyDescent="0.5">
      <c r="B81" s="1" t="s">
        <v>497</v>
      </c>
      <c r="C81" t="s">
        <v>535</v>
      </c>
      <c r="D81" t="s">
        <v>298</v>
      </c>
      <c r="E81">
        <v>47.39</v>
      </c>
      <c r="F81" s="9" t="s">
        <v>50</v>
      </c>
      <c r="G81" s="7">
        <v>1339464351744</v>
      </c>
      <c r="H81" s="6">
        <v>51.92</v>
      </c>
      <c r="I81" s="6">
        <v>33.61</v>
      </c>
      <c r="J81" s="12">
        <f>E81/I81-1</f>
        <v>0.4099970246950313</v>
      </c>
      <c r="K81" s="11">
        <v>1.4517830765984384E-2</v>
      </c>
      <c r="M81" s="13">
        <v>557627000000</v>
      </c>
      <c r="N81" s="9" t="s">
        <v>50</v>
      </c>
      <c r="O81" s="6">
        <v>1</v>
      </c>
    </row>
    <row r="82" spans="2:15" x14ac:dyDescent="0.5">
      <c r="B82" s="1" t="s">
        <v>498</v>
      </c>
      <c r="C82" t="s">
        <v>536</v>
      </c>
      <c r="D82" t="s">
        <v>298</v>
      </c>
      <c r="E82">
        <v>42.89</v>
      </c>
      <c r="F82" s="9" t="s">
        <v>50</v>
      </c>
      <c r="G82" s="7">
        <v>412616458240</v>
      </c>
      <c r="H82" s="6">
        <v>48.39</v>
      </c>
      <c r="I82" s="6">
        <v>28.7</v>
      </c>
      <c r="J82" s="12">
        <f>E82/I82-1</f>
        <v>0.49442508710801403</v>
      </c>
      <c r="K82" s="11">
        <v>2.5180694800652836E-2</v>
      </c>
      <c r="M82" s="13">
        <v>301703000000</v>
      </c>
      <c r="N82" s="9" t="s">
        <v>50</v>
      </c>
      <c r="O82" s="6">
        <v>1</v>
      </c>
    </row>
  </sheetData>
  <autoFilter ref="B1:R11" xr:uid="{7A9EDF16-08C4-B24B-A5E4-CFD78B458569}">
    <sortState xmlns:xlrd2="http://schemas.microsoft.com/office/spreadsheetml/2017/richdata2" ref="B2:R82">
      <sortCondition ref="R1:R11"/>
    </sortState>
  </autoFilter>
  <conditionalFormatting sqref="J2:J1048576">
    <cfRule type="cellIs" dxfId="3" priority="1" operator="between">
      <formula>0.100001</formula>
      <formula>0.2</formula>
    </cfRule>
    <cfRule type="cellIs" dxfId="2" priority="2" operator="between">
      <formula>0</formula>
      <formula>0.1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A5E83-3B3C-124C-A85B-B3DA799E441B}">
  <dimension ref="A1:V115"/>
  <sheetViews>
    <sheetView topLeftCell="A25" zoomScale="80" zoomScaleNormal="80" workbookViewId="0">
      <selection activeCell="B8" sqref="B8:J8"/>
    </sheetView>
  </sheetViews>
  <sheetFormatPr defaultColWidth="11" defaultRowHeight="15.75" x14ac:dyDescent="0.5"/>
  <cols>
    <col min="1" max="1" width="4.4375" style="1" customWidth="1"/>
    <col min="2" max="2" width="11.25" style="1" bestFit="1" customWidth="1"/>
    <col min="3" max="3" width="32.6875" bestFit="1" customWidth="1"/>
    <col min="4" max="4" width="28.56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1:22" ht="31.5" x14ac:dyDescent="0.5">
      <c r="A1" s="2" t="s">
        <v>750</v>
      </c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1:22" x14ac:dyDescent="0.5">
      <c r="B2" s="1" t="s">
        <v>214</v>
      </c>
      <c r="C2" t="s">
        <v>245</v>
      </c>
      <c r="D2" t="s">
        <v>246</v>
      </c>
      <c r="E2">
        <v>20.91</v>
      </c>
      <c r="F2" s="9" t="s">
        <v>71</v>
      </c>
      <c r="G2" s="7">
        <v>736991360</v>
      </c>
      <c r="H2" s="6">
        <v>25.04</v>
      </c>
      <c r="I2" s="6">
        <v>17.75</v>
      </c>
      <c r="J2" s="12">
        <f t="shared" ref="J2:J33" si="0">E2/I2-1</f>
        <v>0.17802816901408458</v>
      </c>
      <c r="K2" s="11">
        <v>9.0196078431372548E-2</v>
      </c>
      <c r="L2" s="13">
        <v>395695000</v>
      </c>
      <c r="M2" s="13">
        <v>675803000</v>
      </c>
      <c r="N2" s="9" t="s">
        <v>71</v>
      </c>
      <c r="O2" s="6">
        <v>1</v>
      </c>
      <c r="P2" s="12">
        <v>0.36694508725817765</v>
      </c>
      <c r="Q2" s="12">
        <v>0.58551826493815506</v>
      </c>
      <c r="R2" s="14">
        <v>1</v>
      </c>
    </row>
    <row r="3" spans="1:22" x14ac:dyDescent="0.5">
      <c r="B3" s="1" t="s">
        <v>635</v>
      </c>
      <c r="C3" t="s">
        <v>729</v>
      </c>
      <c r="D3" t="s">
        <v>180</v>
      </c>
      <c r="E3">
        <v>61.47</v>
      </c>
      <c r="F3" s="9" t="s">
        <v>71</v>
      </c>
      <c r="G3" s="7">
        <v>103262896128</v>
      </c>
      <c r="H3" s="6">
        <v>68.599999999999994</v>
      </c>
      <c r="I3" s="6">
        <v>50.08</v>
      </c>
      <c r="J3" s="12">
        <f t="shared" si="0"/>
        <v>0.22743610223642174</v>
      </c>
      <c r="K3" s="11">
        <v>6.6373840897999026E-2</v>
      </c>
      <c r="L3" s="13">
        <v>14782000000</v>
      </c>
      <c r="M3" s="13">
        <v>22688000000</v>
      </c>
      <c r="N3" s="9" t="s">
        <v>71</v>
      </c>
      <c r="O3" s="6">
        <v>1</v>
      </c>
      <c r="P3" s="12">
        <v>0.1181974722730153</v>
      </c>
      <c r="Q3" s="12">
        <v>0.65153385049365298</v>
      </c>
      <c r="R3" s="14">
        <v>2</v>
      </c>
    </row>
    <row r="4" spans="1:22" x14ac:dyDescent="0.5">
      <c r="B4" s="1" t="s">
        <v>205</v>
      </c>
      <c r="C4" t="s">
        <v>232</v>
      </c>
      <c r="D4" t="s">
        <v>233</v>
      </c>
      <c r="E4">
        <v>24.95</v>
      </c>
      <c r="F4" s="9" t="s">
        <v>71</v>
      </c>
      <c r="G4" s="7">
        <v>63090016256</v>
      </c>
      <c r="H4" s="6">
        <v>28.27</v>
      </c>
      <c r="I4" s="6">
        <v>21.41</v>
      </c>
      <c r="J4" s="12">
        <f t="shared" si="0"/>
        <v>0.16534329752452126</v>
      </c>
      <c r="K4" s="11">
        <v>5.9318637274549099E-2</v>
      </c>
      <c r="L4" s="13">
        <v>32043000000</v>
      </c>
      <c r="M4" s="13">
        <v>68927000000</v>
      </c>
      <c r="N4" s="9" t="s">
        <v>71</v>
      </c>
      <c r="O4" s="6">
        <v>1</v>
      </c>
      <c r="P4" s="12">
        <v>0.36712030008584129</v>
      </c>
      <c r="Q4" s="12">
        <v>0.46488313723214414</v>
      </c>
      <c r="R4" s="14">
        <v>3</v>
      </c>
    </row>
    <row r="5" spans="1:22" x14ac:dyDescent="0.5">
      <c r="B5" s="1" t="s">
        <v>389</v>
      </c>
      <c r="C5" t="s">
        <v>402</v>
      </c>
      <c r="D5" t="s">
        <v>74</v>
      </c>
      <c r="E5">
        <v>203.14</v>
      </c>
      <c r="F5" s="9" t="s">
        <v>71</v>
      </c>
      <c r="G5" s="7">
        <v>24090202112</v>
      </c>
      <c r="H5" s="6">
        <v>423.32</v>
      </c>
      <c r="I5" s="6">
        <v>159.25</v>
      </c>
      <c r="J5" s="12">
        <f t="shared" si="0"/>
        <v>0.27560439560439542</v>
      </c>
      <c r="K5" s="11">
        <v>0</v>
      </c>
      <c r="L5" s="13">
        <v>2505697000</v>
      </c>
      <c r="M5" s="13">
        <v>4324047000</v>
      </c>
      <c r="N5" s="9" t="s">
        <v>71</v>
      </c>
      <c r="O5" s="6">
        <v>1</v>
      </c>
      <c r="P5" s="12">
        <v>0.10580750274989456</v>
      </c>
      <c r="Q5" s="12">
        <v>0.57947959400071281</v>
      </c>
      <c r="R5" s="14">
        <v>4</v>
      </c>
    </row>
    <row r="6" spans="1:22" x14ac:dyDescent="0.5">
      <c r="B6" s="1" t="s">
        <v>642</v>
      </c>
      <c r="C6" t="s">
        <v>738</v>
      </c>
      <c r="D6" t="s">
        <v>739</v>
      </c>
      <c r="E6">
        <v>7580.76</v>
      </c>
      <c r="F6" s="9" t="s">
        <v>71</v>
      </c>
      <c r="G6" s="7">
        <v>20946427904</v>
      </c>
      <c r="H6" s="6">
        <v>8618.2800000000007</v>
      </c>
      <c r="I6" s="6">
        <v>6562.85</v>
      </c>
      <c r="J6" s="12">
        <f t="shared" si="0"/>
        <v>0.15510182314086096</v>
      </c>
      <c r="K6" s="11">
        <v>0</v>
      </c>
      <c r="L6" s="13">
        <v>2143289000</v>
      </c>
      <c r="M6" s="13">
        <v>5121190000</v>
      </c>
      <c r="N6" s="9" t="s">
        <v>71</v>
      </c>
      <c r="O6" s="6">
        <v>1</v>
      </c>
      <c r="P6" s="12">
        <v>0.11073030977006176</v>
      </c>
      <c r="Q6" s="12">
        <v>0.41851386103620447</v>
      </c>
      <c r="R6" s="14">
        <v>5</v>
      </c>
    </row>
    <row r="7" spans="1:22" x14ac:dyDescent="0.5">
      <c r="B7" s="1" t="s">
        <v>38</v>
      </c>
      <c r="C7" t="s">
        <v>103</v>
      </c>
      <c r="D7" t="s">
        <v>104</v>
      </c>
      <c r="E7">
        <v>71.349999999999994</v>
      </c>
      <c r="F7" s="9" t="s">
        <v>71</v>
      </c>
      <c r="G7" s="7">
        <v>121290539008</v>
      </c>
      <c r="H7" s="6">
        <v>73.349999999999994</v>
      </c>
      <c r="I7" s="6">
        <v>32.82</v>
      </c>
      <c r="J7" s="12">
        <f t="shared" si="0"/>
        <v>1.1739792809262641</v>
      </c>
      <c r="K7" s="11">
        <v>3.994393833216538E-3</v>
      </c>
      <c r="L7" s="13">
        <v>7886000000</v>
      </c>
      <c r="M7" s="13">
        <v>4294000000</v>
      </c>
      <c r="N7" s="9" t="s">
        <v>71</v>
      </c>
      <c r="O7" s="6">
        <v>1</v>
      </c>
      <c r="P7" s="12">
        <v>6.7017054986115751E-2</v>
      </c>
      <c r="Q7" s="12">
        <v>1.8365160689333955</v>
      </c>
      <c r="R7" s="14">
        <v>6</v>
      </c>
    </row>
    <row r="8" spans="1:22" x14ac:dyDescent="0.5">
      <c r="B8" s="1" t="s">
        <v>625</v>
      </c>
      <c r="C8" t="s">
        <v>717</v>
      </c>
      <c r="D8" t="s">
        <v>164</v>
      </c>
      <c r="E8">
        <v>99.15</v>
      </c>
      <c r="F8" s="9" t="s">
        <v>71</v>
      </c>
      <c r="G8" s="7">
        <v>32907202560</v>
      </c>
      <c r="H8" s="6">
        <v>150.44999999999999</v>
      </c>
      <c r="I8" s="6">
        <v>96.26</v>
      </c>
      <c r="J8" s="12">
        <f t="shared" si="0"/>
        <v>3.0022854768335661E-2</v>
      </c>
      <c r="K8" s="11">
        <v>5.0428643469490671E-2</v>
      </c>
      <c r="L8" s="13">
        <v>3197000000</v>
      </c>
      <c r="M8" s="13">
        <v>8283000000</v>
      </c>
      <c r="N8" s="9" t="s">
        <v>71</v>
      </c>
      <c r="O8" s="6">
        <v>1</v>
      </c>
      <c r="P8" s="12">
        <v>8.1018337276371102E-2</v>
      </c>
      <c r="Q8" s="12">
        <v>0.38597126644935409</v>
      </c>
      <c r="R8" s="14">
        <v>7</v>
      </c>
    </row>
    <row r="9" spans="1:22" x14ac:dyDescent="0.5">
      <c r="B9" s="1" t="s">
        <v>607</v>
      </c>
      <c r="C9" t="s">
        <v>697</v>
      </c>
      <c r="D9" t="s">
        <v>164</v>
      </c>
      <c r="E9">
        <v>111.41</v>
      </c>
      <c r="F9" s="9" t="s">
        <v>71</v>
      </c>
      <c r="G9" s="7">
        <v>13589833728</v>
      </c>
      <c r="H9" s="6">
        <v>164.22</v>
      </c>
      <c r="I9" s="6">
        <v>96.66</v>
      </c>
      <c r="J9" s="12">
        <f t="shared" si="0"/>
        <v>0.15259673080902125</v>
      </c>
      <c r="K9" s="11">
        <v>4.4161206354905308E-2</v>
      </c>
      <c r="L9" s="13">
        <v>1166000000</v>
      </c>
      <c r="M9" s="13">
        <v>2809000000</v>
      </c>
      <c r="N9" s="9" t="s">
        <v>71</v>
      </c>
      <c r="O9" s="6">
        <v>1</v>
      </c>
      <c r="P9" s="12">
        <v>7.1521308470281666E-2</v>
      </c>
      <c r="Q9" s="12">
        <v>0.41509433962264153</v>
      </c>
      <c r="R9" s="14">
        <v>8</v>
      </c>
    </row>
    <row r="10" spans="1:22" x14ac:dyDescent="0.5">
      <c r="B10" s="1" t="s">
        <v>646</v>
      </c>
      <c r="C10" t="s">
        <v>744</v>
      </c>
      <c r="D10" t="s">
        <v>296</v>
      </c>
      <c r="E10">
        <v>205.5</v>
      </c>
      <c r="F10" s="9" t="s">
        <v>71</v>
      </c>
      <c r="G10" s="7">
        <v>120464097280</v>
      </c>
      <c r="H10" s="6">
        <v>292.99</v>
      </c>
      <c r="I10" s="6">
        <v>199.9</v>
      </c>
      <c r="J10" s="12">
        <f t="shared" si="0"/>
        <v>2.8014007003501762E-2</v>
      </c>
      <c r="K10" s="11">
        <v>2.3844282238442822E-2</v>
      </c>
      <c r="L10" s="13">
        <v>10992000000</v>
      </c>
      <c r="M10" s="13">
        <v>32484000000</v>
      </c>
      <c r="N10" s="9" t="s">
        <v>71</v>
      </c>
      <c r="O10" s="6">
        <v>1</v>
      </c>
      <c r="P10" s="12">
        <v>8.6405518217108082E-2</v>
      </c>
      <c r="Q10" s="12">
        <v>0.33838197266346509</v>
      </c>
      <c r="R10" s="14">
        <v>9</v>
      </c>
    </row>
    <row r="11" spans="1:22" x14ac:dyDescent="0.5">
      <c r="B11" s="1" t="s">
        <v>39</v>
      </c>
      <c r="C11" t="s">
        <v>105</v>
      </c>
      <c r="D11" t="s">
        <v>106</v>
      </c>
      <c r="E11">
        <v>89.36</v>
      </c>
      <c r="F11" s="9" t="s">
        <v>71</v>
      </c>
      <c r="G11" s="7">
        <v>3659190272</v>
      </c>
      <c r="H11" s="6">
        <v>110.2</v>
      </c>
      <c r="I11" s="6">
        <v>45.55</v>
      </c>
      <c r="J11" s="12">
        <f t="shared" si="0"/>
        <v>0.96180021953896833</v>
      </c>
      <c r="K11" s="11">
        <v>1.3988361683079677E-2</v>
      </c>
      <c r="L11" s="13">
        <v>503000000</v>
      </c>
      <c r="M11" s="13">
        <v>1851800000</v>
      </c>
      <c r="N11" s="9" t="s">
        <v>71</v>
      </c>
      <c r="O11" s="6">
        <v>1</v>
      </c>
      <c r="P11" s="12">
        <v>0.11876960529638506</v>
      </c>
      <c r="Q11" s="12">
        <v>0.27162760557295607</v>
      </c>
      <c r="R11" s="14">
        <v>9</v>
      </c>
    </row>
    <row r="12" spans="1:22" x14ac:dyDescent="0.5">
      <c r="B12" s="1" t="s">
        <v>396</v>
      </c>
      <c r="C12" t="s">
        <v>409</v>
      </c>
      <c r="D12" t="s">
        <v>164</v>
      </c>
      <c r="E12">
        <v>84.55</v>
      </c>
      <c r="F12" s="9" t="s">
        <v>71</v>
      </c>
      <c r="G12" s="7">
        <v>68335071232</v>
      </c>
      <c r="H12" s="6">
        <v>100.18</v>
      </c>
      <c r="I12" s="6">
        <v>74.55</v>
      </c>
      <c r="J12" s="12">
        <f t="shared" si="0"/>
        <v>0.13413816230717646</v>
      </c>
      <c r="K12" s="11">
        <v>2.4127735068007097E-2</v>
      </c>
      <c r="L12" s="13">
        <v>4248000000</v>
      </c>
      <c r="M12" s="13">
        <v>8161000000</v>
      </c>
      <c r="N12" s="9" t="s">
        <v>71</v>
      </c>
      <c r="O12" s="6">
        <v>1</v>
      </c>
      <c r="P12" s="12">
        <v>5.6078414877986447E-2</v>
      </c>
      <c r="Q12" s="12">
        <v>0.52052444553363564</v>
      </c>
      <c r="R12" s="14">
        <v>10</v>
      </c>
    </row>
    <row r="13" spans="1:22" x14ac:dyDescent="0.5">
      <c r="B13" s="1" t="s">
        <v>648</v>
      </c>
      <c r="C13" t="s">
        <v>747</v>
      </c>
      <c r="D13" t="s">
        <v>193</v>
      </c>
      <c r="E13">
        <v>164.54</v>
      </c>
      <c r="F13" s="9" t="s">
        <v>71</v>
      </c>
      <c r="G13" s="7">
        <v>177538662400</v>
      </c>
      <c r="H13" s="6">
        <v>205.95</v>
      </c>
      <c r="I13" s="6">
        <v>120.8</v>
      </c>
      <c r="J13" s="12">
        <f t="shared" si="0"/>
        <v>0.36208609271523184</v>
      </c>
      <c r="K13" s="11">
        <v>2.1149872371459828E-2</v>
      </c>
      <c r="L13" s="13">
        <v>13327000000</v>
      </c>
      <c r="M13" s="13">
        <v>36017000000</v>
      </c>
      <c r="N13" s="9" t="s">
        <v>71</v>
      </c>
      <c r="O13" s="6">
        <v>1</v>
      </c>
      <c r="P13" s="12">
        <v>7.1332356055255605E-2</v>
      </c>
      <c r="Q13" s="12">
        <v>0.37001971291334645</v>
      </c>
      <c r="R13" s="14">
        <v>10</v>
      </c>
    </row>
    <row r="14" spans="1:22" x14ac:dyDescent="0.5">
      <c r="B14" s="1" t="s">
        <v>589</v>
      </c>
      <c r="C14" t="s">
        <v>673</v>
      </c>
      <c r="D14" t="s">
        <v>49</v>
      </c>
      <c r="E14">
        <v>258.89</v>
      </c>
      <c r="F14" s="9" t="s">
        <v>71</v>
      </c>
      <c r="G14" s="7">
        <v>75466440704</v>
      </c>
      <c r="H14" s="6">
        <v>278.13</v>
      </c>
      <c r="I14" s="6">
        <v>214.66</v>
      </c>
      <c r="J14" s="12">
        <f t="shared" si="0"/>
        <v>0.20604677163887075</v>
      </c>
      <c r="K14" s="11">
        <v>2.3600757078295804E-2</v>
      </c>
      <c r="L14" s="13">
        <v>4705000000</v>
      </c>
      <c r="M14" s="13">
        <v>11179000000</v>
      </c>
      <c r="N14" s="9" t="s">
        <v>71</v>
      </c>
      <c r="O14" s="6">
        <v>1</v>
      </c>
      <c r="P14" s="12">
        <v>5.6963713689083276E-2</v>
      </c>
      <c r="Q14" s="12">
        <v>0.42087843277574022</v>
      </c>
      <c r="R14" s="14">
        <v>11</v>
      </c>
    </row>
    <row r="15" spans="1:22" x14ac:dyDescent="0.5">
      <c r="B15" s="1" t="s">
        <v>629</v>
      </c>
      <c r="C15" t="s">
        <v>721</v>
      </c>
      <c r="D15" t="s">
        <v>709</v>
      </c>
      <c r="E15">
        <v>274.95</v>
      </c>
      <c r="F15" s="9" t="s">
        <v>71</v>
      </c>
      <c r="G15" s="7">
        <v>154233618432</v>
      </c>
      <c r="H15" s="6">
        <v>278.10000000000002</v>
      </c>
      <c r="I15" s="6">
        <v>206.39</v>
      </c>
      <c r="J15" s="12">
        <f t="shared" si="0"/>
        <v>0.3321866369494646</v>
      </c>
      <c r="K15" s="11">
        <v>1.7094017094017096E-2</v>
      </c>
      <c r="L15" s="13">
        <v>10625000000</v>
      </c>
      <c r="M15" s="13">
        <v>21256000000</v>
      </c>
      <c r="N15" s="9" t="s">
        <v>71</v>
      </c>
      <c r="O15" s="6">
        <v>1</v>
      </c>
      <c r="P15" s="12">
        <v>5.5295164213900627E-2</v>
      </c>
      <c r="Q15" s="12">
        <v>0.49985886337975161</v>
      </c>
      <c r="R15" s="14">
        <v>12</v>
      </c>
    </row>
    <row r="16" spans="1:22" x14ac:dyDescent="0.5">
      <c r="B16" s="1" t="s">
        <v>209</v>
      </c>
      <c r="C16" t="s">
        <v>239</v>
      </c>
      <c r="D16" t="s">
        <v>240</v>
      </c>
      <c r="E16">
        <v>9.4</v>
      </c>
      <c r="F16" s="9" t="s">
        <v>71</v>
      </c>
      <c r="G16" s="7">
        <v>3035892480</v>
      </c>
      <c r="H16" s="6">
        <v>11.95</v>
      </c>
      <c r="I16" s="6">
        <v>7.85</v>
      </c>
      <c r="J16" s="12">
        <f t="shared" si="0"/>
        <v>0.19745222929936324</v>
      </c>
      <c r="K16" s="11">
        <v>9.9999999999999992E-2</v>
      </c>
      <c r="L16" s="13">
        <v>738400000</v>
      </c>
      <c r="M16" s="13">
        <v>3909700000</v>
      </c>
      <c r="N16" s="9" t="s">
        <v>71</v>
      </c>
      <c r="O16" s="6">
        <v>1</v>
      </c>
      <c r="P16" s="12">
        <v>0.18176928511065751</v>
      </c>
      <c r="Q16" s="12">
        <v>0.18886359567230221</v>
      </c>
      <c r="R16" s="14">
        <v>12</v>
      </c>
    </row>
    <row r="17" spans="1:18" x14ac:dyDescent="0.5">
      <c r="B17" s="1" t="s">
        <v>602</v>
      </c>
      <c r="C17" t="s">
        <v>690</v>
      </c>
      <c r="D17" t="s">
        <v>444</v>
      </c>
      <c r="E17">
        <v>5187.0200000000004</v>
      </c>
      <c r="F17" s="9" t="s">
        <v>71</v>
      </c>
      <c r="G17" s="7">
        <v>168110735360</v>
      </c>
      <c r="H17" s="6">
        <v>5839.41</v>
      </c>
      <c r="I17" s="6">
        <v>4096.2299999999996</v>
      </c>
      <c r="J17" s="12">
        <f t="shared" si="0"/>
        <v>0.26629119946877999</v>
      </c>
      <c r="K17" s="11">
        <v>7.2392240631422265E-3</v>
      </c>
      <c r="L17" s="13">
        <v>8587000000</v>
      </c>
      <c r="M17" s="13">
        <v>12578000000</v>
      </c>
      <c r="N17" s="9" t="s">
        <v>71</v>
      </c>
      <c r="O17" s="6">
        <v>1</v>
      </c>
      <c r="P17" s="12">
        <v>5.0802313488441213E-2</v>
      </c>
      <c r="Q17" s="12">
        <v>0.68269995229766256</v>
      </c>
      <c r="R17" s="14">
        <v>12</v>
      </c>
    </row>
    <row r="18" spans="1:18" x14ac:dyDescent="0.5">
      <c r="B18" s="1" t="s">
        <v>611</v>
      </c>
      <c r="C18" t="s">
        <v>701</v>
      </c>
      <c r="D18" t="s">
        <v>182</v>
      </c>
      <c r="E18">
        <v>407.38</v>
      </c>
      <c r="F18" s="9" t="s">
        <v>71</v>
      </c>
      <c r="G18" s="7">
        <v>13830111232</v>
      </c>
      <c r="H18" s="6">
        <v>500.55</v>
      </c>
      <c r="I18" s="6">
        <v>392.89</v>
      </c>
      <c r="J18" s="12">
        <f t="shared" si="0"/>
        <v>3.6880551808394335E-2</v>
      </c>
      <c r="K18" s="11">
        <v>1.6520202268152585E-2</v>
      </c>
      <c r="L18" s="13">
        <v>918085000</v>
      </c>
      <c r="M18" s="13">
        <v>1013047000</v>
      </c>
      <c r="N18" s="9" t="s">
        <v>71</v>
      </c>
      <c r="O18" s="6">
        <v>1</v>
      </c>
      <c r="P18" s="12">
        <v>4.8727454821423537E-2</v>
      </c>
      <c r="Q18" s="12">
        <v>0.90626101256901215</v>
      </c>
      <c r="R18" s="14">
        <v>13</v>
      </c>
    </row>
    <row r="19" spans="1:18" x14ac:dyDescent="0.5">
      <c r="B19" s="1" t="s">
        <v>206</v>
      </c>
      <c r="C19" t="s">
        <v>234</v>
      </c>
      <c r="D19" t="s">
        <v>76</v>
      </c>
      <c r="E19">
        <v>36.42</v>
      </c>
      <c r="F19" s="9" t="s">
        <v>71</v>
      </c>
      <c r="G19" s="7">
        <v>1302767104</v>
      </c>
      <c r="H19" s="6">
        <v>37.22</v>
      </c>
      <c r="I19" s="6">
        <v>17.73</v>
      </c>
      <c r="J19" s="12">
        <f t="shared" si="0"/>
        <v>1.05414551607445</v>
      </c>
      <c r="K19" s="11">
        <v>5.8347062053816581E-2</v>
      </c>
      <c r="L19" s="13">
        <v>394305000</v>
      </c>
      <c r="M19" s="13">
        <v>2138821000</v>
      </c>
      <c r="N19" s="9" t="s">
        <v>71</v>
      </c>
      <c r="O19" s="6">
        <v>1</v>
      </c>
      <c r="P19" s="12">
        <v>0.21366343788368167</v>
      </c>
      <c r="Q19" s="12">
        <v>0.18435624112536766</v>
      </c>
      <c r="R19" s="14">
        <v>14</v>
      </c>
    </row>
    <row r="20" spans="1:18" x14ac:dyDescent="0.5">
      <c r="B20" s="1" t="s">
        <v>631</v>
      </c>
      <c r="C20" t="s">
        <v>723</v>
      </c>
      <c r="D20" t="s">
        <v>724</v>
      </c>
      <c r="E20">
        <v>834.16</v>
      </c>
      <c r="F20" s="9" t="s">
        <v>71</v>
      </c>
      <c r="G20" s="7">
        <v>103756480512</v>
      </c>
      <c r="H20" s="6">
        <v>895.58</v>
      </c>
      <c r="I20" s="6">
        <v>570.51</v>
      </c>
      <c r="J20" s="12">
        <f t="shared" si="0"/>
        <v>0.4621303745771328</v>
      </c>
      <c r="K20" s="11">
        <v>3.5364918001342671E-3</v>
      </c>
      <c r="L20" s="13">
        <v>4624000000</v>
      </c>
      <c r="M20" s="13">
        <v>3580000000</v>
      </c>
      <c r="N20" s="9" t="s">
        <v>71</v>
      </c>
      <c r="O20" s="6">
        <v>1</v>
      </c>
      <c r="P20" s="12">
        <v>4.3847887066180743E-2</v>
      </c>
      <c r="Q20" s="12">
        <v>1.2916201117318435</v>
      </c>
      <c r="R20" s="14">
        <v>15</v>
      </c>
    </row>
    <row r="21" spans="1:18" x14ac:dyDescent="0.5">
      <c r="B21" s="1" t="s">
        <v>394</v>
      </c>
      <c r="C21" t="s">
        <v>407</v>
      </c>
      <c r="D21" t="s">
        <v>311</v>
      </c>
      <c r="E21">
        <v>107.4</v>
      </c>
      <c r="F21" s="9" t="s">
        <v>71</v>
      </c>
      <c r="G21" s="7">
        <v>91116617728</v>
      </c>
      <c r="H21" s="6">
        <v>136.99</v>
      </c>
      <c r="I21" s="6">
        <v>82</v>
      </c>
      <c r="J21" s="12">
        <f t="shared" si="0"/>
        <v>0.30975609756097566</v>
      </c>
      <c r="K21" s="11">
        <v>6.0986964618249533E-2</v>
      </c>
      <c r="L21" s="13">
        <v>8308000000</v>
      </c>
      <c r="M21" s="13">
        <v>38002000000</v>
      </c>
      <c r="N21" s="9" t="s">
        <v>71</v>
      </c>
      <c r="O21" s="6">
        <v>1</v>
      </c>
      <c r="P21" s="12">
        <v>7.5079106614495641E-2</v>
      </c>
      <c r="Q21" s="12">
        <v>0.21862007262775643</v>
      </c>
      <c r="R21" s="14">
        <v>16</v>
      </c>
    </row>
    <row r="22" spans="1:18" x14ac:dyDescent="0.5">
      <c r="B22" s="1" t="s">
        <v>391</v>
      </c>
      <c r="C22" t="s">
        <v>404</v>
      </c>
      <c r="D22" t="s">
        <v>401</v>
      </c>
      <c r="E22">
        <v>304.44</v>
      </c>
      <c r="F22" s="9" t="s">
        <v>71</v>
      </c>
      <c r="G22" s="7">
        <v>129143447552</v>
      </c>
      <c r="H22" s="6">
        <v>465.7</v>
      </c>
      <c r="I22" s="6">
        <v>302.47000000000003</v>
      </c>
      <c r="J22" s="12">
        <f t="shared" si="0"/>
        <v>6.5130426157964383E-3</v>
      </c>
      <c r="K22" s="11">
        <v>0</v>
      </c>
      <c r="L22" s="13">
        <v>7100000000</v>
      </c>
      <c r="M22" s="13">
        <v>19733000000</v>
      </c>
      <c r="N22" s="9" t="s">
        <v>71</v>
      </c>
      <c r="O22" s="6">
        <v>1</v>
      </c>
      <c r="P22" s="12">
        <v>5.5648543683342822E-2</v>
      </c>
      <c r="Q22" s="12">
        <v>0.3598033750570111</v>
      </c>
      <c r="R22" s="14">
        <v>17</v>
      </c>
    </row>
    <row r="23" spans="1:18" x14ac:dyDescent="0.5">
      <c r="B23" s="1" t="s">
        <v>586</v>
      </c>
      <c r="C23" t="s">
        <v>670</v>
      </c>
      <c r="D23" t="s">
        <v>401</v>
      </c>
      <c r="E23">
        <v>258.5</v>
      </c>
      <c r="F23" s="9" t="s">
        <v>71</v>
      </c>
      <c r="G23" s="7">
        <v>104715640832</v>
      </c>
      <c r="H23" s="6">
        <v>329.93</v>
      </c>
      <c r="I23" s="6">
        <v>247.18</v>
      </c>
      <c r="J23" s="12">
        <f t="shared" si="0"/>
        <v>4.5796585484262353E-2</v>
      </c>
      <c r="K23" s="11">
        <v>2.3829787234042554E-2</v>
      </c>
      <c r="L23" s="13">
        <v>5766000000</v>
      </c>
      <c r="M23" s="13">
        <v>14932200000</v>
      </c>
      <c r="N23" s="9" t="s">
        <v>71</v>
      </c>
      <c r="O23" s="6">
        <v>1</v>
      </c>
      <c r="P23" s="12">
        <v>5.2212539961330184E-2</v>
      </c>
      <c r="Q23" s="12">
        <v>0.38614537710451241</v>
      </c>
      <c r="R23" s="14">
        <v>18</v>
      </c>
    </row>
    <row r="24" spans="1:18" x14ac:dyDescent="0.5">
      <c r="B24" s="1" t="s">
        <v>615</v>
      </c>
      <c r="C24" t="s">
        <v>705</v>
      </c>
      <c r="D24" t="s">
        <v>311</v>
      </c>
      <c r="E24">
        <v>162.22</v>
      </c>
      <c r="F24" s="9" t="s">
        <v>71</v>
      </c>
      <c r="G24" s="7">
        <v>22016260096</v>
      </c>
      <c r="H24" s="6">
        <v>162.44999999999999</v>
      </c>
      <c r="I24" s="6">
        <v>100.47</v>
      </c>
      <c r="J24" s="12">
        <f t="shared" si="0"/>
        <v>0.61461132676420815</v>
      </c>
      <c r="K24" s="11">
        <v>9.2467020096165704E-3</v>
      </c>
      <c r="L24" s="13">
        <v>1041323000</v>
      </c>
      <c r="M24" s="13">
        <v>2223012000</v>
      </c>
      <c r="N24" s="9" t="s">
        <v>71</v>
      </c>
      <c r="O24" s="6">
        <v>1</v>
      </c>
      <c r="P24" s="12">
        <v>4.8576245286880197E-2</v>
      </c>
      <c r="Q24" s="12">
        <v>0.46842887037946712</v>
      </c>
      <c r="R24" s="14">
        <v>19</v>
      </c>
    </row>
    <row r="25" spans="1:18" x14ac:dyDescent="0.5">
      <c r="B25" s="1" t="s">
        <v>210</v>
      </c>
      <c r="C25" t="s">
        <v>241</v>
      </c>
      <c r="D25" t="s">
        <v>85</v>
      </c>
      <c r="E25">
        <v>73.91</v>
      </c>
      <c r="F25" s="9" t="s">
        <v>71</v>
      </c>
      <c r="G25" s="7">
        <v>860627200</v>
      </c>
      <c r="H25" s="6">
        <v>91.26</v>
      </c>
      <c r="I25" s="6">
        <v>58.47</v>
      </c>
      <c r="J25" s="12">
        <f t="shared" si="0"/>
        <v>0.26406704292799721</v>
      </c>
      <c r="K25" s="11">
        <v>1.2176971992964417E-2</v>
      </c>
      <c r="L25" s="13">
        <v>81417000</v>
      </c>
      <c r="M25" s="13">
        <v>434080000</v>
      </c>
      <c r="N25" s="9" t="s">
        <v>71</v>
      </c>
      <c r="O25" s="6">
        <v>1</v>
      </c>
      <c r="P25" s="12">
        <v>8.5017561754345952E-2</v>
      </c>
      <c r="Q25" s="12">
        <v>0.18756220051603392</v>
      </c>
      <c r="R25" s="14">
        <v>19</v>
      </c>
    </row>
    <row r="26" spans="1:18" x14ac:dyDescent="0.5">
      <c r="B26" s="1" t="s">
        <v>608</v>
      </c>
      <c r="C26" t="s">
        <v>698</v>
      </c>
      <c r="D26" t="s">
        <v>429</v>
      </c>
      <c r="E26">
        <v>100.34</v>
      </c>
      <c r="F26" s="9" t="s">
        <v>71</v>
      </c>
      <c r="G26" s="7">
        <v>125318873088</v>
      </c>
      <c r="H26" s="6">
        <v>106.2</v>
      </c>
      <c r="I26" s="6">
        <v>79.88</v>
      </c>
      <c r="J26" s="12">
        <f t="shared" si="0"/>
        <v>0.25613420130195297</v>
      </c>
      <c r="K26" s="11">
        <v>3.1094279449870442E-2</v>
      </c>
      <c r="L26" s="13">
        <v>14780000000</v>
      </c>
      <c r="M26" s="13">
        <v>88180000000</v>
      </c>
      <c r="N26" s="9" t="s">
        <v>71</v>
      </c>
      <c r="O26" s="6">
        <v>1</v>
      </c>
      <c r="P26" s="12">
        <v>0.10261332599393505</v>
      </c>
      <c r="Q26" s="12">
        <v>0.16761170333408937</v>
      </c>
      <c r="R26" s="14">
        <v>20</v>
      </c>
    </row>
    <row r="27" spans="1:18" x14ac:dyDescent="0.5">
      <c r="B27" s="1" t="s">
        <v>413</v>
      </c>
      <c r="C27" t="s">
        <v>420</v>
      </c>
      <c r="D27" t="s">
        <v>233</v>
      </c>
      <c r="E27">
        <v>130.19999999999999</v>
      </c>
      <c r="F27" s="9" t="s">
        <v>71</v>
      </c>
      <c r="G27" s="7">
        <v>555074781184</v>
      </c>
      <c r="H27" s="6">
        <v>131.721</v>
      </c>
      <c r="I27" s="6">
        <v>97.8</v>
      </c>
      <c r="J27" s="12">
        <f t="shared" si="0"/>
        <v>0.33128834355828207</v>
      </c>
      <c r="K27" s="11">
        <v>3.0414746543778803E-2</v>
      </c>
      <c r="L27" s="13">
        <v>49869000000</v>
      </c>
      <c r="M27" s="13">
        <v>301464000000</v>
      </c>
      <c r="N27" s="9" t="s">
        <v>71</v>
      </c>
      <c r="O27" s="6">
        <v>1</v>
      </c>
      <c r="P27" s="12">
        <v>8.6916771273468557E-2</v>
      </c>
      <c r="Q27" s="12">
        <v>0.16542273704322905</v>
      </c>
      <c r="R27" s="14">
        <v>21</v>
      </c>
    </row>
    <row r="28" spans="1:18" x14ac:dyDescent="0.5">
      <c r="B28" s="1" t="s">
        <v>618</v>
      </c>
      <c r="C28" t="s">
        <v>708</v>
      </c>
      <c r="D28" t="s">
        <v>709</v>
      </c>
      <c r="E28">
        <v>375.95</v>
      </c>
      <c r="F28" s="9" t="s">
        <v>71</v>
      </c>
      <c r="G28" s="7">
        <v>374262562816</v>
      </c>
      <c r="H28" s="6">
        <v>426.75</v>
      </c>
      <c r="I28" s="6">
        <v>326.31</v>
      </c>
      <c r="J28" s="12">
        <f t="shared" si="0"/>
        <v>0.15212527964205802</v>
      </c>
      <c r="K28" s="11">
        <v>2.4471339273839605E-2</v>
      </c>
      <c r="L28" s="13">
        <v>21727000000</v>
      </c>
      <c r="M28" s="13">
        <v>60023000000</v>
      </c>
      <c r="N28" s="9" t="s">
        <v>71</v>
      </c>
      <c r="O28" s="6">
        <v>1</v>
      </c>
      <c r="P28" s="12">
        <v>4.9959350649649695E-2</v>
      </c>
      <c r="Q28" s="12">
        <v>0.36197790846842043</v>
      </c>
      <c r="R28" s="14">
        <v>21</v>
      </c>
    </row>
    <row r="29" spans="1:18" x14ac:dyDescent="0.5">
      <c r="B29" s="1" t="s">
        <v>398</v>
      </c>
      <c r="C29" t="s">
        <v>411</v>
      </c>
      <c r="D29" t="s">
        <v>164</v>
      </c>
      <c r="E29">
        <v>146.35</v>
      </c>
      <c r="F29" s="9" t="s">
        <v>71</v>
      </c>
      <c r="G29" s="7">
        <v>342530064384</v>
      </c>
      <c r="H29" s="6">
        <v>179.99</v>
      </c>
      <c r="I29" s="6">
        <v>137.62</v>
      </c>
      <c r="J29" s="12">
        <f t="shared" si="0"/>
        <v>6.3435547158843031E-2</v>
      </c>
      <c r="K29" s="11">
        <v>2.8199521694567818E-2</v>
      </c>
      <c r="L29" s="13">
        <v>21074000000</v>
      </c>
      <c r="M29" s="13">
        <v>85742000000</v>
      </c>
      <c r="N29" s="9" t="s">
        <v>71</v>
      </c>
      <c r="O29" s="6">
        <v>1</v>
      </c>
      <c r="P29" s="12">
        <v>5.7198371274709281E-2</v>
      </c>
      <c r="Q29" s="12">
        <v>0.24578386321755966</v>
      </c>
      <c r="R29" s="14">
        <v>21</v>
      </c>
    </row>
    <row r="30" spans="1:18" x14ac:dyDescent="0.5">
      <c r="A30" s="1" t="s">
        <v>751</v>
      </c>
      <c r="B30" s="1" t="s">
        <v>592</v>
      </c>
      <c r="C30" t="s">
        <v>677</v>
      </c>
      <c r="D30" t="s">
        <v>678</v>
      </c>
      <c r="E30">
        <v>265.33999999999997</v>
      </c>
      <c r="F30" s="9" t="s">
        <v>71</v>
      </c>
      <c r="G30" s="7">
        <v>9901960192</v>
      </c>
      <c r="H30" s="6">
        <v>374.74</v>
      </c>
      <c r="I30" s="6">
        <v>226.1</v>
      </c>
      <c r="J30" s="12">
        <f t="shared" si="0"/>
        <v>0.1735515258735072</v>
      </c>
      <c r="K30" s="11">
        <v>1.8466872691640917E-2</v>
      </c>
      <c r="L30" s="13">
        <v>617204000</v>
      </c>
      <c r="M30" s="13">
        <v>2223821000</v>
      </c>
      <c r="N30" s="9" t="s">
        <v>71</v>
      </c>
      <c r="O30" s="6">
        <v>1</v>
      </c>
      <c r="P30" s="12">
        <v>5.5623902416930424E-2</v>
      </c>
      <c r="Q30" s="12">
        <v>0.27754212232009678</v>
      </c>
      <c r="R30" s="14">
        <v>22</v>
      </c>
    </row>
    <row r="31" spans="1:18" x14ac:dyDescent="0.5">
      <c r="B31" s="1" t="s">
        <v>211</v>
      </c>
      <c r="C31" t="s">
        <v>242</v>
      </c>
      <c r="D31" t="s">
        <v>233</v>
      </c>
      <c r="E31">
        <v>167.24</v>
      </c>
      <c r="F31" s="9" t="s">
        <v>71</v>
      </c>
      <c r="G31" s="7">
        <v>336958914560</v>
      </c>
      <c r="H31" s="6">
        <v>169.36</v>
      </c>
      <c r="I31" s="6">
        <v>132.04</v>
      </c>
      <c r="J31" s="12">
        <f t="shared" si="0"/>
        <v>0.26658588306573772</v>
      </c>
      <c r="K31" s="11">
        <v>4.0420951925376702E-2</v>
      </c>
      <c r="L31" s="13">
        <v>28100000000</v>
      </c>
      <c r="M31" s="13">
        <v>176255000000</v>
      </c>
      <c r="N31" s="9" t="s">
        <v>71</v>
      </c>
      <c r="O31" s="6">
        <v>1</v>
      </c>
      <c r="P31" s="12">
        <v>7.9217653320956302E-2</v>
      </c>
      <c r="Q31" s="12">
        <v>0.1594281013304587</v>
      </c>
      <c r="R31" s="14">
        <v>23</v>
      </c>
    </row>
    <row r="32" spans="1:18" x14ac:dyDescent="0.5">
      <c r="A32" s="1" t="s">
        <v>751</v>
      </c>
      <c r="B32" s="1" t="s">
        <v>416</v>
      </c>
      <c r="C32" t="s">
        <v>424</v>
      </c>
      <c r="D32" t="s">
        <v>425</v>
      </c>
      <c r="E32">
        <v>199.22</v>
      </c>
      <c r="F32" s="9" t="s">
        <v>71</v>
      </c>
      <c r="G32" s="7">
        <v>12678099968</v>
      </c>
      <c r="H32" s="6">
        <v>246.33</v>
      </c>
      <c r="I32" s="6">
        <v>152.33000000000001</v>
      </c>
      <c r="J32" s="12">
        <f t="shared" si="0"/>
        <v>0.30781855182826745</v>
      </c>
      <c r="K32" s="11">
        <v>4.015661078205E-3</v>
      </c>
      <c r="L32" s="13">
        <v>1680449000</v>
      </c>
      <c r="M32" s="13">
        <v>11170748000</v>
      </c>
      <c r="N32" s="9" t="s">
        <v>71</v>
      </c>
      <c r="O32" s="6">
        <v>1</v>
      </c>
      <c r="P32" s="12">
        <v>9.5984268901620859E-2</v>
      </c>
      <c r="Q32" s="12">
        <v>0.15043298801476856</v>
      </c>
      <c r="R32" s="14">
        <v>23</v>
      </c>
    </row>
    <row r="33" spans="2:18" x14ac:dyDescent="0.5">
      <c r="B33" s="1" t="s">
        <v>645</v>
      </c>
      <c r="C33" t="s">
        <v>743</v>
      </c>
      <c r="D33" t="s">
        <v>401</v>
      </c>
      <c r="E33">
        <v>110.29</v>
      </c>
      <c r="F33" s="9" t="s">
        <v>71</v>
      </c>
      <c r="G33" s="7">
        <v>39590522880</v>
      </c>
      <c r="H33" s="6">
        <v>161.24</v>
      </c>
      <c r="I33" s="6">
        <v>107.8</v>
      </c>
      <c r="J33" s="12">
        <f t="shared" si="0"/>
        <v>2.309833024118757E-2</v>
      </c>
      <c r="K33" s="11">
        <v>3.8262761809774226E-2</v>
      </c>
      <c r="L33" s="13">
        <v>2281300000</v>
      </c>
      <c r="M33" s="13">
        <v>9094800000</v>
      </c>
      <c r="N33" s="9" t="s">
        <v>71</v>
      </c>
      <c r="O33" s="6">
        <v>1</v>
      </c>
      <c r="P33" s="12">
        <v>5.3072961360003071E-2</v>
      </c>
      <c r="Q33" s="12">
        <v>0.25083564234507633</v>
      </c>
      <c r="R33" s="14">
        <v>23</v>
      </c>
    </row>
    <row r="34" spans="2:18" x14ac:dyDescent="0.5">
      <c r="B34" s="1" t="s">
        <v>591</v>
      </c>
      <c r="C34" t="s">
        <v>675</v>
      </c>
      <c r="D34" t="s">
        <v>676</v>
      </c>
      <c r="E34">
        <v>224.16</v>
      </c>
      <c r="F34" s="9" t="s">
        <v>71</v>
      </c>
      <c r="G34" s="7">
        <v>31318509568</v>
      </c>
      <c r="H34" s="6">
        <v>322.92</v>
      </c>
      <c r="I34" s="6">
        <v>197</v>
      </c>
      <c r="J34" s="12">
        <f t="shared" ref="J34:J65" si="1">E34/I34-1</f>
        <v>0.13786802030456857</v>
      </c>
      <c r="K34" s="11">
        <v>7.7623126338329769E-3</v>
      </c>
      <c r="L34" s="13">
        <v>1353200000</v>
      </c>
      <c r="M34" s="13">
        <v>3119800000</v>
      </c>
      <c r="N34" s="9" t="s">
        <v>71</v>
      </c>
      <c r="O34" s="6">
        <v>1</v>
      </c>
      <c r="P34" s="12">
        <v>3.9482848713075371E-2</v>
      </c>
      <c r="Q34" s="12">
        <v>0.43374575293288031</v>
      </c>
      <c r="R34" s="14">
        <v>24</v>
      </c>
    </row>
    <row r="35" spans="2:18" x14ac:dyDescent="0.5">
      <c r="B35" s="1" t="s">
        <v>399</v>
      </c>
      <c r="C35" t="s">
        <v>412</v>
      </c>
      <c r="D35" t="s">
        <v>145</v>
      </c>
      <c r="E35">
        <v>145.91999999999999</v>
      </c>
      <c r="F35" s="9" t="s">
        <v>71</v>
      </c>
      <c r="G35" s="7">
        <v>199775748096</v>
      </c>
      <c r="H35" s="6">
        <v>160.15</v>
      </c>
      <c r="I35" s="6">
        <v>127.6</v>
      </c>
      <c r="J35" s="12">
        <f t="shared" si="1"/>
        <v>0.14357366771159863</v>
      </c>
      <c r="K35" s="11">
        <v>3.8068804824561403E-2</v>
      </c>
      <c r="L35" s="13">
        <v>12865000000</v>
      </c>
      <c r="M35" s="13">
        <v>62347000000</v>
      </c>
      <c r="N35" s="9" t="s">
        <v>71</v>
      </c>
      <c r="O35" s="6">
        <v>1</v>
      </c>
      <c r="P35" s="12">
        <v>5.4462230892747029E-2</v>
      </c>
      <c r="Q35" s="12">
        <v>0.20634513288530323</v>
      </c>
      <c r="R35" s="14">
        <v>25</v>
      </c>
    </row>
    <row r="36" spans="2:18" x14ac:dyDescent="0.5">
      <c r="B36" s="1" t="s">
        <v>399</v>
      </c>
      <c r="C36" t="s">
        <v>412</v>
      </c>
      <c r="D36" t="s">
        <v>145</v>
      </c>
      <c r="E36">
        <v>145.91999999999999</v>
      </c>
      <c r="F36" s="9" t="s">
        <v>71</v>
      </c>
      <c r="G36" s="7">
        <v>199775748096</v>
      </c>
      <c r="H36" s="6">
        <v>160.15</v>
      </c>
      <c r="I36" s="6">
        <v>127.6</v>
      </c>
      <c r="J36" s="12">
        <f t="shared" si="1"/>
        <v>0.14357366771159863</v>
      </c>
      <c r="K36" s="11">
        <v>3.8068804824561403E-2</v>
      </c>
      <c r="L36" s="13">
        <v>12865000000</v>
      </c>
      <c r="M36" s="13">
        <v>62347000000</v>
      </c>
      <c r="N36" s="9" t="s">
        <v>71</v>
      </c>
      <c r="O36" s="6">
        <v>1</v>
      </c>
      <c r="P36" s="12">
        <v>5.4462230892747029E-2</v>
      </c>
      <c r="Q36" s="12">
        <v>0.20634513288530323</v>
      </c>
      <c r="R36" s="14">
        <v>25</v>
      </c>
    </row>
    <row r="37" spans="2:18" x14ac:dyDescent="0.5">
      <c r="B37" s="1" t="s">
        <v>587</v>
      </c>
      <c r="C37" t="s">
        <v>671</v>
      </c>
      <c r="D37" t="s">
        <v>74</v>
      </c>
      <c r="E37">
        <v>155.13</v>
      </c>
      <c r="F37" s="9" t="s">
        <v>71</v>
      </c>
      <c r="G37" s="7">
        <v>172650201088</v>
      </c>
      <c r="H37" s="6">
        <v>159.47999999999999</v>
      </c>
      <c r="I37" s="6">
        <v>112.1</v>
      </c>
      <c r="J37" s="12">
        <f t="shared" si="1"/>
        <v>0.38385370205173963</v>
      </c>
      <c r="K37" s="11">
        <v>1.0636240572423128E-2</v>
      </c>
      <c r="L37" s="13">
        <v>6559000000</v>
      </c>
      <c r="M37" s="13">
        <v>11259000000</v>
      </c>
      <c r="N37" s="9" t="s">
        <v>71</v>
      </c>
      <c r="O37" s="6">
        <v>1</v>
      </c>
      <c r="P37" s="12">
        <v>3.642003118593598E-2</v>
      </c>
      <c r="Q37" s="12">
        <v>0.58255617728039788</v>
      </c>
      <c r="R37" s="14">
        <v>26</v>
      </c>
    </row>
    <row r="38" spans="2:18" x14ac:dyDescent="0.5">
      <c r="B38" s="1" t="s">
        <v>634</v>
      </c>
      <c r="C38" t="s">
        <v>728</v>
      </c>
      <c r="D38" t="s">
        <v>692</v>
      </c>
      <c r="E38">
        <v>182.7</v>
      </c>
      <c r="F38" s="9" t="s">
        <v>71</v>
      </c>
      <c r="G38" s="7">
        <v>89819709440</v>
      </c>
      <c r="H38" s="6">
        <v>248</v>
      </c>
      <c r="I38" s="6">
        <v>174.18</v>
      </c>
      <c r="J38" s="12">
        <f t="shared" si="1"/>
        <v>4.8914915604546971E-2</v>
      </c>
      <c r="K38" s="11">
        <v>1.8773946360153258E-2</v>
      </c>
      <c r="L38" s="13">
        <v>6180000000</v>
      </c>
      <c r="M38" s="13">
        <v>33289000000</v>
      </c>
      <c r="N38" s="9" t="s">
        <v>71</v>
      </c>
      <c r="O38" s="6">
        <v>1</v>
      </c>
      <c r="P38" s="12">
        <v>5.6550057018269533E-2</v>
      </c>
      <c r="Q38" s="12">
        <v>0.18564691039081979</v>
      </c>
      <c r="R38" s="14">
        <v>26</v>
      </c>
    </row>
    <row r="39" spans="2:18" x14ac:dyDescent="0.5">
      <c r="B39" s="1" t="s">
        <v>590</v>
      </c>
      <c r="C39" t="s">
        <v>674</v>
      </c>
      <c r="D39" t="s">
        <v>446</v>
      </c>
      <c r="E39">
        <v>36.18</v>
      </c>
      <c r="F39" s="9" t="s">
        <v>71</v>
      </c>
      <c r="G39" s="7">
        <v>67449540608</v>
      </c>
      <c r="H39" s="6">
        <v>37.54</v>
      </c>
      <c r="I39" s="6">
        <v>26.22</v>
      </c>
      <c r="J39" s="12">
        <f t="shared" si="1"/>
        <v>0.37986270022883306</v>
      </c>
      <c r="K39" s="11">
        <v>1.4096185737976783E-2</v>
      </c>
      <c r="L39" s="13">
        <v>5387000000</v>
      </c>
      <c r="M39" s="13">
        <v>31005000000</v>
      </c>
      <c r="N39" s="9" t="s">
        <v>71</v>
      </c>
      <c r="O39" s="6">
        <v>1</v>
      </c>
      <c r="P39" s="12">
        <v>6.3001765285558411E-2</v>
      </c>
      <c r="Q39" s="12">
        <v>0.17374616997258507</v>
      </c>
      <c r="R39" s="14">
        <v>27</v>
      </c>
    </row>
    <row r="40" spans="2:18" x14ac:dyDescent="0.5">
      <c r="B40" s="1" t="s">
        <v>643</v>
      </c>
      <c r="C40" t="s">
        <v>740</v>
      </c>
      <c r="D40" t="s">
        <v>741</v>
      </c>
      <c r="E40">
        <v>173.52</v>
      </c>
      <c r="F40" s="9" t="s">
        <v>71</v>
      </c>
      <c r="G40" s="7">
        <v>36468375552</v>
      </c>
      <c r="H40" s="6">
        <v>209.61</v>
      </c>
      <c r="I40" s="6">
        <v>126.01</v>
      </c>
      <c r="J40" s="12">
        <f t="shared" si="1"/>
        <v>0.37703356876438376</v>
      </c>
      <c r="K40" s="11">
        <v>6.3393268787459659E-3</v>
      </c>
      <c r="L40" s="13">
        <v>1557809000</v>
      </c>
      <c r="M40" s="13">
        <v>4304575000</v>
      </c>
      <c r="N40" s="9" t="s">
        <v>71</v>
      </c>
      <c r="O40" s="6">
        <v>1</v>
      </c>
      <c r="P40" s="12">
        <v>4.2773816786582208E-2</v>
      </c>
      <c r="Q40" s="12">
        <v>0.36189612214910882</v>
      </c>
      <c r="R40" s="14">
        <v>28</v>
      </c>
    </row>
    <row r="41" spans="2:18" x14ac:dyDescent="0.5">
      <c r="B41" s="1" t="s">
        <v>630</v>
      </c>
      <c r="C41" t="s">
        <v>722</v>
      </c>
      <c r="D41" t="s">
        <v>182</v>
      </c>
      <c r="E41">
        <v>308.13</v>
      </c>
      <c r="F41" s="9" t="s">
        <v>71</v>
      </c>
      <c r="G41" s="7">
        <v>219882930176</v>
      </c>
      <c r="H41" s="6">
        <v>326.32</v>
      </c>
      <c r="I41" s="6">
        <v>276.52999999999997</v>
      </c>
      <c r="J41" s="12">
        <f t="shared" si="1"/>
        <v>0.11427331573427857</v>
      </c>
      <c r="K41" s="11">
        <v>2.2977314769740045E-2</v>
      </c>
      <c r="L41" s="13">
        <v>11851000000</v>
      </c>
      <c r="M41" s="13">
        <v>34628000000</v>
      </c>
      <c r="N41" s="9" t="s">
        <v>71</v>
      </c>
      <c r="O41" s="6">
        <v>1</v>
      </c>
      <c r="P41" s="12">
        <v>4.377166442463673E-2</v>
      </c>
      <c r="Q41" s="12">
        <v>0.34223749566824535</v>
      </c>
      <c r="R41" s="14">
        <v>28</v>
      </c>
    </row>
    <row r="42" spans="2:18" x14ac:dyDescent="0.5">
      <c r="B42" s="1" t="s">
        <v>397</v>
      </c>
      <c r="C42" t="s">
        <v>410</v>
      </c>
      <c r="D42" t="s">
        <v>85</v>
      </c>
      <c r="E42">
        <v>45.62</v>
      </c>
      <c r="F42" s="9" t="s">
        <v>71</v>
      </c>
      <c r="G42" s="7">
        <v>24342013952</v>
      </c>
      <c r="H42" s="6">
        <v>67.349999999999994</v>
      </c>
      <c r="I42" s="6">
        <v>42.79</v>
      </c>
      <c r="J42" s="12">
        <f t="shared" si="1"/>
        <v>6.6136947885019781E-2</v>
      </c>
      <c r="K42" s="11">
        <v>5.3046909250328803E-2</v>
      </c>
      <c r="L42" s="13">
        <v>3383800000</v>
      </c>
      <c r="M42" s="13">
        <v>24077800000</v>
      </c>
      <c r="N42" s="9" t="s">
        <v>71</v>
      </c>
      <c r="O42" s="6">
        <v>1</v>
      </c>
      <c r="P42" s="12">
        <v>8.6156996291199134E-2</v>
      </c>
      <c r="Q42" s="12">
        <v>0.14053609549045179</v>
      </c>
      <c r="R42" s="14">
        <v>29</v>
      </c>
    </row>
    <row r="43" spans="2:18" x14ac:dyDescent="0.5">
      <c r="B43" s="1" t="s">
        <v>632</v>
      </c>
      <c r="C43" t="s">
        <v>725</v>
      </c>
      <c r="D43" t="s">
        <v>726</v>
      </c>
      <c r="E43">
        <v>57.23</v>
      </c>
      <c r="F43" s="9" t="s">
        <v>71</v>
      </c>
      <c r="G43" s="7">
        <v>74052501504</v>
      </c>
      <c r="H43" s="6">
        <v>71.150000000000006</v>
      </c>
      <c r="I43" s="6">
        <v>51.2</v>
      </c>
      <c r="J43" s="12">
        <f t="shared" si="1"/>
        <v>0.11777343749999991</v>
      </c>
      <c r="K43" s="11">
        <v>3.3374104490651757E-2</v>
      </c>
      <c r="L43" s="13">
        <v>6769000000</v>
      </c>
      <c r="M43" s="13">
        <v>44681000000</v>
      </c>
      <c r="N43" s="9" t="s">
        <v>71</v>
      </c>
      <c r="O43" s="6">
        <v>1</v>
      </c>
      <c r="P43" s="12">
        <v>7.4324582762448216E-2</v>
      </c>
      <c r="Q43" s="12">
        <v>0.15149616167946106</v>
      </c>
      <c r="R43" s="14">
        <v>30</v>
      </c>
    </row>
    <row r="44" spans="2:18" x14ac:dyDescent="0.5">
      <c r="B44" s="1" t="s">
        <v>628</v>
      </c>
      <c r="C44" t="s">
        <v>720</v>
      </c>
      <c r="D44" t="s">
        <v>534</v>
      </c>
      <c r="E44">
        <v>572.70000000000005</v>
      </c>
      <c r="F44" s="9" t="s">
        <v>71</v>
      </c>
      <c r="G44" s="7">
        <v>133705441280</v>
      </c>
      <c r="H44" s="6">
        <v>578.02</v>
      </c>
      <c r="I44" s="6">
        <v>410.11</v>
      </c>
      <c r="J44" s="12">
        <f t="shared" si="1"/>
        <v>0.39645460973885061</v>
      </c>
      <c r="K44" s="11">
        <v>2.3048716605552643E-2</v>
      </c>
      <c r="L44" s="13">
        <v>7256000000</v>
      </c>
      <c r="M44" s="13">
        <v>26603000000</v>
      </c>
      <c r="N44" s="9" t="s">
        <v>71</v>
      </c>
      <c r="O44" s="6">
        <v>1</v>
      </c>
      <c r="P44" s="12">
        <v>4.7896779130972629E-2</v>
      </c>
      <c r="Q44" s="12">
        <v>0.27275119347442017</v>
      </c>
      <c r="R44" s="14">
        <v>31</v>
      </c>
    </row>
    <row r="45" spans="2:18" x14ac:dyDescent="0.5">
      <c r="B45" s="1" t="s">
        <v>639</v>
      </c>
      <c r="C45" t="s">
        <v>734</v>
      </c>
      <c r="D45" t="s">
        <v>534</v>
      </c>
      <c r="E45">
        <v>653.14</v>
      </c>
      <c r="F45" s="9" t="s">
        <v>71</v>
      </c>
      <c r="G45" s="7">
        <v>93518528512</v>
      </c>
      <c r="H45" s="6">
        <v>654.52</v>
      </c>
      <c r="I45" s="6">
        <v>426.24</v>
      </c>
      <c r="J45" s="12">
        <f t="shared" si="1"/>
        <v>0.53232920420420404</v>
      </c>
      <c r="K45" s="11">
        <v>1.3381510855253086E-2</v>
      </c>
      <c r="L45" s="13">
        <v>5637000000</v>
      </c>
      <c r="M45" s="13">
        <v>29982000000</v>
      </c>
      <c r="N45" s="9" t="s">
        <v>71</v>
      </c>
      <c r="O45" s="6">
        <v>1</v>
      </c>
      <c r="P45" s="12">
        <v>5.3352626969820786E-2</v>
      </c>
      <c r="Q45" s="12">
        <v>0.18801280768461076</v>
      </c>
      <c r="R45" s="14">
        <v>31</v>
      </c>
    </row>
    <row r="46" spans="2:18" x14ac:dyDescent="0.5">
      <c r="B46" s="1" t="s">
        <v>609</v>
      </c>
      <c r="C46" t="s">
        <v>699</v>
      </c>
      <c r="D46" t="s">
        <v>363</v>
      </c>
      <c r="E46">
        <v>327.77</v>
      </c>
      <c r="F46" s="9" t="s">
        <v>71</v>
      </c>
      <c r="G46" s="7">
        <v>23145275392</v>
      </c>
      <c r="H46" s="6">
        <v>400.81</v>
      </c>
      <c r="I46" s="6">
        <v>252.84</v>
      </c>
      <c r="J46" s="12">
        <f t="shared" si="1"/>
        <v>0.29635342509096652</v>
      </c>
      <c r="K46" s="11">
        <v>0</v>
      </c>
      <c r="L46" s="13">
        <v>1768156000</v>
      </c>
      <c r="M46" s="13">
        <v>11118422000</v>
      </c>
      <c r="N46" s="9" t="s">
        <v>71</v>
      </c>
      <c r="O46" s="6">
        <v>1</v>
      </c>
      <c r="P46" s="12">
        <v>5.9759805584641036E-2</v>
      </c>
      <c r="Q46" s="12">
        <v>0.15902940183418116</v>
      </c>
      <c r="R46" s="14">
        <v>32</v>
      </c>
    </row>
    <row r="47" spans="2:18" x14ac:dyDescent="0.5">
      <c r="B47" s="1" t="s">
        <v>212</v>
      </c>
      <c r="C47" t="s">
        <v>243</v>
      </c>
      <c r="D47" t="s">
        <v>85</v>
      </c>
      <c r="E47">
        <v>11.85</v>
      </c>
      <c r="F47" s="9" t="s">
        <v>71</v>
      </c>
      <c r="G47" s="7">
        <v>1780290816</v>
      </c>
      <c r="H47" s="6">
        <v>20.81</v>
      </c>
      <c r="I47" s="6">
        <v>11.04</v>
      </c>
      <c r="J47" s="12">
        <f t="shared" si="1"/>
        <v>7.3369565217391353E-2</v>
      </c>
      <c r="K47" s="11">
        <v>5.3164556962025315E-2</v>
      </c>
      <c r="L47" s="13">
        <v>408200000</v>
      </c>
      <c r="M47" s="13">
        <v>4745800000</v>
      </c>
      <c r="N47" s="9" t="s">
        <v>188</v>
      </c>
      <c r="O47" s="6">
        <v>1.1380999999999999</v>
      </c>
      <c r="P47" s="12">
        <v>0.12226441166224178</v>
      </c>
      <c r="Q47" s="12">
        <v>8.6012895612963047E-2</v>
      </c>
      <c r="R47" s="14">
        <v>33</v>
      </c>
    </row>
    <row r="48" spans="2:18" x14ac:dyDescent="0.5">
      <c r="B48" s="1" t="s">
        <v>208</v>
      </c>
      <c r="C48" t="s">
        <v>237</v>
      </c>
      <c r="D48" t="s">
        <v>238</v>
      </c>
      <c r="E48">
        <v>50.49</v>
      </c>
      <c r="F48" s="9" t="s">
        <v>71</v>
      </c>
      <c r="G48" s="7">
        <v>9984691200</v>
      </c>
      <c r="H48" s="6">
        <v>64.66</v>
      </c>
      <c r="I48" s="6">
        <v>42.94</v>
      </c>
      <c r="J48" s="12">
        <f t="shared" si="1"/>
        <v>0.17582673497904056</v>
      </c>
      <c r="K48" s="11">
        <v>3.6640918993860169E-2</v>
      </c>
      <c r="L48" s="13">
        <v>1785700000</v>
      </c>
      <c r="M48" s="13">
        <v>19238500000</v>
      </c>
      <c r="N48" s="9" t="s">
        <v>71</v>
      </c>
      <c r="O48" s="6">
        <v>1</v>
      </c>
      <c r="P48" s="12">
        <v>0.11741698776117439</v>
      </c>
      <c r="Q48" s="12">
        <v>9.2819086727135694E-2</v>
      </c>
      <c r="R48" s="14">
        <v>34</v>
      </c>
    </row>
    <row r="49" spans="2:18" x14ac:dyDescent="0.5">
      <c r="B49" s="1" t="s">
        <v>575</v>
      </c>
      <c r="C49" t="s">
        <v>654</v>
      </c>
      <c r="D49" t="s">
        <v>240</v>
      </c>
      <c r="E49">
        <v>546.82000000000005</v>
      </c>
      <c r="F49" s="9" t="s">
        <v>71</v>
      </c>
      <c r="G49" s="7">
        <v>494331756544</v>
      </c>
      <c r="H49" s="6">
        <v>601.77</v>
      </c>
      <c r="I49" s="6">
        <v>465.59</v>
      </c>
      <c r="J49" s="12">
        <f t="shared" si="1"/>
        <v>0.17446680555853877</v>
      </c>
      <c r="K49" s="11">
        <v>5.5594162612925642E-3</v>
      </c>
      <c r="L49" s="13">
        <v>15900000000</v>
      </c>
      <c r="M49" s="13">
        <v>24711000000</v>
      </c>
      <c r="N49" s="9" t="s">
        <v>71</v>
      </c>
      <c r="O49" s="6">
        <v>1</v>
      </c>
      <c r="P49" s="12">
        <v>3.1540374990465553E-2</v>
      </c>
      <c r="Q49" s="12">
        <v>0.64343814495568774</v>
      </c>
      <c r="R49" s="14">
        <v>34</v>
      </c>
    </row>
    <row r="50" spans="2:18" x14ac:dyDescent="0.5">
      <c r="B50" s="1" t="s">
        <v>574</v>
      </c>
      <c r="C50" t="s">
        <v>652</v>
      </c>
      <c r="D50" t="s">
        <v>653</v>
      </c>
      <c r="E50">
        <v>334.96</v>
      </c>
      <c r="F50" s="9" t="s">
        <v>71</v>
      </c>
      <c r="G50" s="7">
        <v>303419686912</v>
      </c>
      <c r="H50" s="6">
        <v>606.36</v>
      </c>
      <c r="I50" s="6">
        <v>234.6</v>
      </c>
      <c r="J50" s="12">
        <f t="shared" si="1"/>
        <v>0.42779198635976123</v>
      </c>
      <c r="K50" s="11">
        <v>2.5734416049677574E-2</v>
      </c>
      <c r="L50" s="13">
        <v>23977000000</v>
      </c>
      <c r="M50" s="13">
        <v>169562000000</v>
      </c>
      <c r="N50" s="9" t="s">
        <v>71</v>
      </c>
      <c r="O50" s="6">
        <v>1</v>
      </c>
      <c r="P50" s="12">
        <v>6.7538621639640264E-2</v>
      </c>
      <c r="Q50" s="12">
        <v>0.14140550359160661</v>
      </c>
      <c r="R50" s="14">
        <v>35</v>
      </c>
    </row>
    <row r="51" spans="2:18" x14ac:dyDescent="0.5">
      <c r="B51" s="1" t="s">
        <v>605</v>
      </c>
      <c r="C51" t="s">
        <v>695</v>
      </c>
      <c r="D51" t="s">
        <v>81</v>
      </c>
      <c r="E51">
        <v>638.75</v>
      </c>
      <c r="F51" s="9" t="s">
        <v>71</v>
      </c>
      <c r="G51" s="7">
        <v>299240914944</v>
      </c>
      <c r="H51" s="6">
        <v>644.59</v>
      </c>
      <c r="I51" s="6">
        <v>267.3</v>
      </c>
      <c r="J51" s="12">
        <f t="shared" si="1"/>
        <v>1.3896371118593338</v>
      </c>
      <c r="K51" s="11">
        <v>9.1428571428571418E-3</v>
      </c>
      <c r="L51" s="13">
        <v>13885000000</v>
      </c>
      <c r="M51" s="13">
        <v>58003000000</v>
      </c>
      <c r="N51" s="9" t="s">
        <v>71</v>
      </c>
      <c r="O51" s="6">
        <v>1</v>
      </c>
      <c r="P51" s="12">
        <v>4.197896236425281E-2</v>
      </c>
      <c r="Q51" s="12">
        <v>0.2393841697843215</v>
      </c>
      <c r="R51" s="14">
        <v>36</v>
      </c>
    </row>
    <row r="52" spans="2:18" x14ac:dyDescent="0.5">
      <c r="B52" s="1" t="s">
        <v>626</v>
      </c>
      <c r="C52" t="s">
        <v>718</v>
      </c>
      <c r="D52" t="s">
        <v>145</v>
      </c>
      <c r="E52">
        <v>71.44</v>
      </c>
      <c r="F52" s="9" t="s">
        <v>71</v>
      </c>
      <c r="G52" s="7">
        <v>307453984768</v>
      </c>
      <c r="H52" s="6">
        <v>74.38</v>
      </c>
      <c r="I52" s="6">
        <v>61.32</v>
      </c>
      <c r="J52" s="12">
        <f t="shared" si="1"/>
        <v>0.16503587736464453</v>
      </c>
      <c r="K52" s="11">
        <v>2.8205487122060474E-2</v>
      </c>
      <c r="L52" s="13">
        <v>14742000000</v>
      </c>
      <c r="M52" s="13">
        <v>69378000000</v>
      </c>
      <c r="N52" s="9" t="s">
        <v>71</v>
      </c>
      <c r="O52" s="6">
        <v>1</v>
      </c>
      <c r="P52" s="12">
        <v>4.3212918317619246E-2</v>
      </c>
      <c r="Q52" s="12">
        <v>0.21248810862232984</v>
      </c>
      <c r="R52" s="14">
        <v>36</v>
      </c>
    </row>
    <row r="53" spans="2:18" x14ac:dyDescent="0.5">
      <c r="B53" s="1" t="s">
        <v>415</v>
      </c>
      <c r="C53" t="s">
        <v>422</v>
      </c>
      <c r="D53" t="s">
        <v>423</v>
      </c>
      <c r="E53">
        <v>6.36</v>
      </c>
      <c r="F53" s="9" t="s">
        <v>71</v>
      </c>
      <c r="G53" s="7">
        <v>36044406784</v>
      </c>
      <c r="H53" s="6">
        <v>8.19</v>
      </c>
      <c r="I53" s="6">
        <v>4</v>
      </c>
      <c r="J53" s="12">
        <f t="shared" si="1"/>
        <v>0.59000000000000008</v>
      </c>
      <c r="K53" s="11">
        <v>2.2012578616352203E-2</v>
      </c>
      <c r="L53" s="13">
        <v>2418000000</v>
      </c>
      <c r="M53" s="13">
        <v>24544000000</v>
      </c>
      <c r="N53" s="9" t="s">
        <v>188</v>
      </c>
      <c r="O53" s="6">
        <v>1.1380999999999999</v>
      </c>
      <c r="P53" s="12">
        <v>8.1147243041656866E-2</v>
      </c>
      <c r="Q53" s="12">
        <v>9.8516949152542374E-2</v>
      </c>
      <c r="R53" s="14">
        <v>36</v>
      </c>
    </row>
    <row r="54" spans="2:18" x14ac:dyDescent="0.5">
      <c r="B54" s="1" t="s">
        <v>619</v>
      </c>
      <c r="C54" t="s">
        <v>710</v>
      </c>
      <c r="D54" t="s">
        <v>168</v>
      </c>
      <c r="E54">
        <v>213.04</v>
      </c>
      <c r="F54" s="9" t="s">
        <v>71</v>
      </c>
      <c r="G54" s="7">
        <v>143561195520</v>
      </c>
      <c r="H54" s="6">
        <v>227.82281</v>
      </c>
      <c r="I54" s="6">
        <v>169.04807</v>
      </c>
      <c r="J54" s="12">
        <f t="shared" si="1"/>
        <v>0.26023325791297114</v>
      </c>
      <c r="K54" s="11">
        <v>2.1216672925272247E-2</v>
      </c>
      <c r="L54" s="13">
        <v>8271000000</v>
      </c>
      <c r="M54" s="13">
        <v>49718000000</v>
      </c>
      <c r="N54" s="9" t="s">
        <v>71</v>
      </c>
      <c r="O54" s="6">
        <v>1</v>
      </c>
      <c r="P54" s="12">
        <v>5.0060769113228036E-2</v>
      </c>
      <c r="Q54" s="12">
        <v>0.16635826058972605</v>
      </c>
      <c r="R54" s="14">
        <v>37</v>
      </c>
    </row>
    <row r="55" spans="2:18" x14ac:dyDescent="0.5">
      <c r="B55" s="1" t="s">
        <v>395</v>
      </c>
      <c r="C55" t="s">
        <v>408</v>
      </c>
      <c r="D55" t="s">
        <v>58</v>
      </c>
      <c r="E55">
        <v>91.37</v>
      </c>
      <c r="F55" s="9" t="s">
        <v>71</v>
      </c>
      <c r="G55" s="7">
        <v>50788618240</v>
      </c>
      <c r="H55" s="6">
        <v>125.94</v>
      </c>
      <c r="I55" s="6">
        <v>84.52</v>
      </c>
      <c r="J55" s="12">
        <f t="shared" si="1"/>
        <v>8.1045906294368253E-2</v>
      </c>
      <c r="K55" s="11">
        <v>1.1327569224034146E-2</v>
      </c>
      <c r="L55" s="13">
        <v>4641000000</v>
      </c>
      <c r="M55" s="13">
        <v>34838000000</v>
      </c>
      <c r="N55" s="9" t="s">
        <v>71</v>
      </c>
      <c r="O55" s="6">
        <v>1</v>
      </c>
      <c r="P55" s="12">
        <v>6.3584385175707428E-2</v>
      </c>
      <c r="Q55" s="12">
        <v>0.13321660256042253</v>
      </c>
      <c r="R55" s="14">
        <v>37</v>
      </c>
    </row>
    <row r="56" spans="2:18" x14ac:dyDescent="0.5">
      <c r="B56" s="1" t="s">
        <v>573</v>
      </c>
      <c r="C56" t="s">
        <v>651</v>
      </c>
      <c r="D56" t="s">
        <v>363</v>
      </c>
      <c r="E56">
        <v>459.38</v>
      </c>
      <c r="F56" s="9" t="s">
        <v>71</v>
      </c>
      <c r="G56" s="7">
        <v>3414647898112</v>
      </c>
      <c r="H56" s="6">
        <v>555.45000000000005</v>
      </c>
      <c r="I56" s="6">
        <v>344.79</v>
      </c>
      <c r="J56" s="12">
        <f t="shared" si="1"/>
        <v>0.33234722584761722</v>
      </c>
      <c r="K56" s="11">
        <v>7.4012799860681787E-3</v>
      </c>
      <c r="L56" s="13">
        <v>126012000000</v>
      </c>
      <c r="M56" s="13">
        <v>386630000000</v>
      </c>
      <c r="N56" s="9" t="s">
        <v>71</v>
      </c>
      <c r="O56" s="6">
        <v>1</v>
      </c>
      <c r="P56" s="12">
        <v>3.657829410643073E-2</v>
      </c>
      <c r="Q56" s="12">
        <v>0.32592401003543442</v>
      </c>
      <c r="R56" s="14">
        <v>38</v>
      </c>
    </row>
    <row r="57" spans="2:18" x14ac:dyDescent="0.5">
      <c r="B57" s="1" t="s">
        <v>388</v>
      </c>
      <c r="C57" t="s">
        <v>400</v>
      </c>
      <c r="D57" t="s">
        <v>401</v>
      </c>
      <c r="E57">
        <v>1616.29</v>
      </c>
      <c r="F57" s="9" t="s">
        <v>71</v>
      </c>
      <c r="G57" s="7">
        <v>38796869632</v>
      </c>
      <c r="H57" s="6">
        <v>2217.6</v>
      </c>
      <c r="I57" s="6">
        <v>1300</v>
      </c>
      <c r="J57" s="12">
        <f t="shared" si="1"/>
        <v>0.24330000000000007</v>
      </c>
      <c r="K57" s="11">
        <v>0</v>
      </c>
      <c r="L57" s="13">
        <v>936242000</v>
      </c>
      <c r="M57" s="13">
        <v>1309907000</v>
      </c>
      <c r="N57" s="9" t="s">
        <v>71</v>
      </c>
      <c r="O57" s="6">
        <v>1</v>
      </c>
      <c r="P57" s="12">
        <v>2.2431614157868783E-2</v>
      </c>
      <c r="Q57" s="12">
        <v>0.71473929065193176</v>
      </c>
      <c r="R57" s="14">
        <v>39</v>
      </c>
    </row>
    <row r="58" spans="2:18" x14ac:dyDescent="0.5">
      <c r="B58" s="1" t="s">
        <v>593</v>
      </c>
      <c r="C58" t="s">
        <v>679</v>
      </c>
      <c r="D58" t="s">
        <v>666</v>
      </c>
      <c r="E58">
        <v>39.99</v>
      </c>
      <c r="F58" s="9" t="s">
        <v>71</v>
      </c>
      <c r="G58" s="7">
        <v>38711029760</v>
      </c>
      <c r="H58" s="6">
        <v>63.85</v>
      </c>
      <c r="I58" s="6">
        <v>37.409999999999997</v>
      </c>
      <c r="J58" s="12">
        <f t="shared" si="1"/>
        <v>6.8965517241379448E-2</v>
      </c>
      <c r="K58" s="11">
        <v>0</v>
      </c>
      <c r="L58" s="13">
        <v>1696714000</v>
      </c>
      <c r="M58" s="13">
        <v>9187033000</v>
      </c>
      <c r="N58" s="9" t="s">
        <v>71</v>
      </c>
      <c r="O58" s="6">
        <v>1</v>
      </c>
      <c r="P58" s="12">
        <v>4.7086163201249857E-2</v>
      </c>
      <c r="Q58" s="12">
        <v>0.18468574130516349</v>
      </c>
      <c r="R58" s="14">
        <v>39</v>
      </c>
    </row>
    <row r="59" spans="2:18" x14ac:dyDescent="0.5">
      <c r="B59" s="1" t="s">
        <v>595</v>
      </c>
      <c r="C59" t="s">
        <v>681</v>
      </c>
      <c r="D59" t="s">
        <v>678</v>
      </c>
      <c r="E59">
        <v>42.42</v>
      </c>
      <c r="F59" s="9" t="s">
        <v>71</v>
      </c>
      <c r="G59" s="7">
        <v>48699674624</v>
      </c>
      <c r="H59" s="6">
        <v>50.63</v>
      </c>
      <c r="I59" s="6">
        <v>35.305</v>
      </c>
      <c r="J59" s="12">
        <f t="shared" si="1"/>
        <v>0.20152952839541149</v>
      </c>
      <c r="K59" s="11">
        <v>2.0037718057520037E-2</v>
      </c>
      <c r="L59" s="13">
        <v>1515400000</v>
      </c>
      <c r="M59" s="13">
        <v>3816300000</v>
      </c>
      <c r="N59" s="9" t="s">
        <v>71</v>
      </c>
      <c r="O59" s="6">
        <v>1</v>
      </c>
      <c r="P59" s="12">
        <v>3.0971233717343734E-2</v>
      </c>
      <c r="Q59" s="12">
        <v>0.39708618295207398</v>
      </c>
      <c r="R59" s="14">
        <v>40</v>
      </c>
    </row>
    <row r="60" spans="2:18" x14ac:dyDescent="0.5">
      <c r="B60" s="1" t="s">
        <v>418</v>
      </c>
      <c r="C60" t="s">
        <v>428</v>
      </c>
      <c r="D60" t="s">
        <v>429</v>
      </c>
      <c r="E60">
        <v>25.36</v>
      </c>
      <c r="F60" s="9" t="s">
        <v>71</v>
      </c>
      <c r="G60" s="7">
        <v>19353229312</v>
      </c>
      <c r="H60" s="6">
        <v>29.95</v>
      </c>
      <c r="I60" s="6">
        <v>22.33</v>
      </c>
      <c r="J60" s="12">
        <f t="shared" si="1"/>
        <v>0.13569189431258399</v>
      </c>
      <c r="K60" s="11">
        <v>3.4305993690851737E-2</v>
      </c>
      <c r="L60" s="13">
        <v>1463000000</v>
      </c>
      <c r="M60" s="13">
        <v>16657000000</v>
      </c>
      <c r="N60" s="9" t="s">
        <v>71</v>
      </c>
      <c r="O60" s="6">
        <v>1</v>
      </c>
      <c r="P60" s="12">
        <v>6.9279922019345644E-2</v>
      </c>
      <c r="Q60" s="12">
        <v>8.7830941946328872E-2</v>
      </c>
      <c r="R60" s="14">
        <v>41</v>
      </c>
    </row>
    <row r="61" spans="2:18" x14ac:dyDescent="0.5">
      <c r="B61" s="1" t="s">
        <v>594</v>
      </c>
      <c r="C61" t="s">
        <v>680</v>
      </c>
      <c r="D61" t="s">
        <v>534</v>
      </c>
      <c r="E61">
        <v>366</v>
      </c>
      <c r="F61" s="9" t="s">
        <v>71</v>
      </c>
      <c r="G61" s="7">
        <v>98864087040</v>
      </c>
      <c r="H61" s="6">
        <v>367.66</v>
      </c>
      <c r="I61" s="6">
        <v>239.2</v>
      </c>
      <c r="J61" s="12">
        <f t="shared" si="1"/>
        <v>0.53010033444816052</v>
      </c>
      <c r="K61" s="11">
        <v>1.617486338797814E-2</v>
      </c>
      <c r="L61" s="13">
        <v>4933000000</v>
      </c>
      <c r="M61" s="13">
        <v>30825000000</v>
      </c>
      <c r="N61" s="9" t="s">
        <v>71</v>
      </c>
      <c r="O61" s="6">
        <v>1</v>
      </c>
      <c r="P61" s="12">
        <v>4.5742384935348747E-2</v>
      </c>
      <c r="Q61" s="12">
        <v>0.16003244120032442</v>
      </c>
      <c r="R61" s="14">
        <v>42</v>
      </c>
    </row>
    <row r="62" spans="2:18" x14ac:dyDescent="0.5">
      <c r="B62" s="1" t="s">
        <v>616</v>
      </c>
      <c r="C62" t="s">
        <v>706</v>
      </c>
      <c r="D62" t="s">
        <v>171</v>
      </c>
      <c r="E62">
        <v>335.84</v>
      </c>
      <c r="F62" s="9" t="s">
        <v>71</v>
      </c>
      <c r="G62" s="7">
        <v>4067734847488</v>
      </c>
      <c r="H62" s="6">
        <v>340.49</v>
      </c>
      <c r="I62" s="6">
        <v>140.53</v>
      </c>
      <c r="J62" s="12">
        <f t="shared" si="1"/>
        <v>1.3898100049811428</v>
      </c>
      <c r="K62" s="11">
        <v>3.0371605526441164E-3</v>
      </c>
      <c r="L62" s="13">
        <v>120083000000</v>
      </c>
      <c r="M62" s="13">
        <v>335967000000</v>
      </c>
      <c r="N62" s="9" t="s">
        <v>71</v>
      </c>
      <c r="O62" s="6">
        <v>1</v>
      </c>
      <c r="P62" s="12">
        <v>2.9506381135868277E-2</v>
      </c>
      <c r="Q62" s="12">
        <v>0.357424985191998</v>
      </c>
      <c r="R62" s="14">
        <v>43</v>
      </c>
    </row>
    <row r="63" spans="2:18" x14ac:dyDescent="0.5">
      <c r="B63" s="1" t="s">
        <v>603</v>
      </c>
      <c r="C63" t="s">
        <v>691</v>
      </c>
      <c r="D63" t="s">
        <v>692</v>
      </c>
      <c r="E63">
        <v>79.430000000000007</v>
      </c>
      <c r="F63" s="9" t="s">
        <v>71</v>
      </c>
      <c r="G63" s="7">
        <v>27119054848</v>
      </c>
      <c r="H63" s="6">
        <v>125.68</v>
      </c>
      <c r="I63" s="6">
        <v>76.17</v>
      </c>
      <c r="J63" s="12">
        <f t="shared" si="1"/>
        <v>4.2799002231849848E-2</v>
      </c>
      <c r="K63" s="11">
        <v>7.553820974442905E-3</v>
      </c>
      <c r="L63" s="13">
        <v>1504000000</v>
      </c>
      <c r="M63" s="13">
        <v>10244000000</v>
      </c>
      <c r="N63" s="9" t="s">
        <v>71</v>
      </c>
      <c r="O63" s="6">
        <v>1</v>
      </c>
      <c r="P63" s="12">
        <v>4.9304920525954594E-2</v>
      </c>
      <c r="Q63" s="12">
        <v>0.14681764935572042</v>
      </c>
      <c r="R63" s="14">
        <v>43</v>
      </c>
    </row>
    <row r="64" spans="2:18" x14ac:dyDescent="0.5">
      <c r="B64" s="1" t="s">
        <v>419</v>
      </c>
      <c r="C64" t="s">
        <v>430</v>
      </c>
      <c r="D64" t="s">
        <v>238</v>
      </c>
      <c r="E64">
        <v>15.06</v>
      </c>
      <c r="F64" s="9" t="s">
        <v>71</v>
      </c>
      <c r="G64" s="7">
        <v>12200864768</v>
      </c>
      <c r="H64" s="6">
        <v>16.149999999999999</v>
      </c>
      <c r="I64" s="6">
        <v>12.25</v>
      </c>
      <c r="J64" s="12">
        <f t="shared" si="1"/>
        <v>0.2293877551020409</v>
      </c>
      <c r="K64" s="11">
        <v>4.8140770252324039</v>
      </c>
      <c r="L64" s="13">
        <v>157715000000</v>
      </c>
      <c r="M64" s="13">
        <v>2039094000000</v>
      </c>
      <c r="N64" s="9" t="s">
        <v>431</v>
      </c>
      <c r="O64" s="6">
        <v>7.0111477248825634E-3</v>
      </c>
      <c r="P64" s="12">
        <v>6.3616271090159826E-2</v>
      </c>
      <c r="Q64" s="12">
        <v>7.7345625066818885E-2</v>
      </c>
      <c r="R64" s="14">
        <v>44</v>
      </c>
    </row>
    <row r="65" spans="2:18" x14ac:dyDescent="0.5">
      <c r="B65" s="1" t="s">
        <v>213</v>
      </c>
      <c r="C65" t="s">
        <v>244</v>
      </c>
      <c r="D65" t="s">
        <v>106</v>
      </c>
      <c r="E65">
        <v>22.16</v>
      </c>
      <c r="F65" s="9" t="s">
        <v>71</v>
      </c>
      <c r="G65" s="7">
        <v>490577056</v>
      </c>
      <c r="H65" s="6">
        <v>22.92</v>
      </c>
      <c r="I65" s="6">
        <v>12.85</v>
      </c>
      <c r="J65" s="12">
        <f t="shared" si="1"/>
        <v>0.72451361867704289</v>
      </c>
      <c r="K65" s="11">
        <v>6.3176895306859202E-2</v>
      </c>
      <c r="L65" s="13">
        <v>27140000</v>
      </c>
      <c r="M65" s="13">
        <v>481329000</v>
      </c>
      <c r="N65" s="9" t="s">
        <v>71</v>
      </c>
      <c r="O65" s="6">
        <v>1</v>
      </c>
      <c r="P65" s="12">
        <v>7.2018606933206344E-2</v>
      </c>
      <c r="Q65" s="12">
        <v>5.638554917738179E-2</v>
      </c>
      <c r="R65" s="14">
        <v>45</v>
      </c>
    </row>
    <row r="66" spans="2:18" x14ac:dyDescent="0.5">
      <c r="B66" s="1" t="s">
        <v>582</v>
      </c>
      <c r="C66" t="s">
        <v>665</v>
      </c>
      <c r="D66" t="s">
        <v>666</v>
      </c>
      <c r="E66">
        <v>194.23</v>
      </c>
      <c r="F66" s="9" t="s">
        <v>71</v>
      </c>
      <c r="G66" s="7">
        <v>78264590336</v>
      </c>
      <c r="H66" s="6">
        <v>229.24</v>
      </c>
      <c r="I66" s="6">
        <v>180.39</v>
      </c>
      <c r="J66" s="12">
        <f t="shared" ref="J66:J97" si="2">E66/I66-1</f>
        <v>7.6722656466544636E-2</v>
      </c>
      <c r="K66" s="11">
        <v>8.6495392060958656E-3</v>
      </c>
      <c r="L66" s="13">
        <v>2365310000</v>
      </c>
      <c r="M66" s="13">
        <v>7109480000</v>
      </c>
      <c r="N66" s="9" t="s">
        <v>71</v>
      </c>
      <c r="O66" s="6">
        <v>1</v>
      </c>
      <c r="P66" s="12">
        <v>2.9326230440466224E-2</v>
      </c>
      <c r="Q66" s="12">
        <v>0.33269803136094339</v>
      </c>
      <c r="R66" s="14">
        <v>45</v>
      </c>
    </row>
    <row r="67" spans="2:18" x14ac:dyDescent="0.5">
      <c r="B67" s="1" t="s">
        <v>638</v>
      </c>
      <c r="C67" t="s">
        <v>733</v>
      </c>
      <c r="D67" t="s">
        <v>94</v>
      </c>
      <c r="E67">
        <v>65.569999999999993</v>
      </c>
      <c r="F67" s="9" t="s">
        <v>71</v>
      </c>
      <c r="G67" s="7">
        <v>97068736512</v>
      </c>
      <c r="H67" s="6">
        <v>82.44</v>
      </c>
      <c r="I67" s="6">
        <v>52.28</v>
      </c>
      <c r="J67" s="12">
        <f t="shared" si="2"/>
        <v>0.25420811017597544</v>
      </c>
      <c r="K67" s="11">
        <v>2.4553911849931376E-2</v>
      </c>
      <c r="L67" s="13">
        <v>3702000000</v>
      </c>
      <c r="M67" s="13">
        <v>21179000000</v>
      </c>
      <c r="N67" s="9" t="s">
        <v>71</v>
      </c>
      <c r="O67" s="6">
        <v>1</v>
      </c>
      <c r="P67" s="12">
        <v>3.6790889696768574E-2</v>
      </c>
      <c r="Q67" s="12">
        <v>0.17479578828084424</v>
      </c>
      <c r="R67" s="14">
        <v>46</v>
      </c>
    </row>
    <row r="68" spans="2:18" x14ac:dyDescent="0.5">
      <c r="B68" s="1" t="s">
        <v>604</v>
      </c>
      <c r="C68" t="s">
        <v>693</v>
      </c>
      <c r="D68" t="s">
        <v>694</v>
      </c>
      <c r="E68">
        <v>55.6</v>
      </c>
      <c r="F68" s="9" t="s">
        <v>71</v>
      </c>
      <c r="G68" s="7">
        <v>47316869120</v>
      </c>
      <c r="H68" s="6">
        <v>81.09</v>
      </c>
      <c r="I68" s="6">
        <v>50.24</v>
      </c>
      <c r="J68" s="12">
        <f t="shared" si="2"/>
        <v>0.1066878980891719</v>
      </c>
      <c r="K68" s="11">
        <v>1.618705035971223E-2</v>
      </c>
      <c r="L68" s="13">
        <v>2854000000</v>
      </c>
      <c r="M68" s="13">
        <v>26359000000</v>
      </c>
      <c r="N68" s="9" t="s">
        <v>71</v>
      </c>
      <c r="O68" s="6">
        <v>1</v>
      </c>
      <c r="P68" s="12">
        <v>5.0911674753291086E-2</v>
      </c>
      <c r="Q68" s="12">
        <v>0.10827421374103721</v>
      </c>
      <c r="R68" s="14">
        <v>47</v>
      </c>
    </row>
    <row r="69" spans="2:18" x14ac:dyDescent="0.5">
      <c r="B69" s="1" t="s">
        <v>576</v>
      </c>
      <c r="C69" t="s">
        <v>655</v>
      </c>
      <c r="D69" t="s">
        <v>656</v>
      </c>
      <c r="E69">
        <v>950.98</v>
      </c>
      <c r="F69" s="9" t="s">
        <v>71</v>
      </c>
      <c r="G69" s="7">
        <v>422194872320</v>
      </c>
      <c r="H69" s="6">
        <v>1078.23</v>
      </c>
      <c r="I69" s="6">
        <v>844.06</v>
      </c>
      <c r="J69" s="12">
        <f t="shared" si="2"/>
        <v>0.12667345923275608</v>
      </c>
      <c r="K69" s="11">
        <v>5.3208269364234785E-3</v>
      </c>
      <c r="L69" s="13">
        <v>10972000000</v>
      </c>
      <c r="M69" s="13">
        <v>34877000000</v>
      </c>
      <c r="N69" s="9" t="s">
        <v>71</v>
      </c>
      <c r="O69" s="6">
        <v>1</v>
      </c>
      <c r="P69" s="12">
        <v>2.6361890515743804E-2</v>
      </c>
      <c r="Q69" s="12">
        <v>0.31459127791954583</v>
      </c>
      <c r="R69" s="14">
        <v>48</v>
      </c>
    </row>
    <row r="70" spans="2:18" x14ac:dyDescent="0.5">
      <c r="B70" s="1" t="s">
        <v>585</v>
      </c>
      <c r="C70" t="s">
        <v>669</v>
      </c>
      <c r="D70" t="s">
        <v>314</v>
      </c>
      <c r="E70">
        <v>439.98</v>
      </c>
      <c r="F70" s="9" t="s">
        <v>71</v>
      </c>
      <c r="G70" s="7">
        <v>206310817792</v>
      </c>
      <c r="H70" s="6">
        <v>486.38</v>
      </c>
      <c r="I70" s="6">
        <v>387.78</v>
      </c>
      <c r="J70" s="12">
        <f t="shared" si="2"/>
        <v>0.13461240909794236</v>
      </c>
      <c r="K70" s="11">
        <v>1.3386972135097049E-2</v>
      </c>
      <c r="L70" s="13">
        <v>9056000000</v>
      </c>
      <c r="M70" s="13">
        <v>59715000000</v>
      </c>
      <c r="N70" s="9" t="s">
        <v>71</v>
      </c>
      <c r="O70" s="6">
        <v>1</v>
      </c>
      <c r="P70" s="12">
        <v>4.0415974312107146E-2</v>
      </c>
      <c r="Q70" s="12">
        <v>0.15165368835301013</v>
      </c>
      <c r="R70" s="14">
        <v>48</v>
      </c>
    </row>
    <row r="71" spans="2:18" x14ac:dyDescent="0.5">
      <c r="B71" s="1" t="s">
        <v>633</v>
      </c>
      <c r="C71" t="s">
        <v>727</v>
      </c>
      <c r="D71" t="s">
        <v>85</v>
      </c>
      <c r="E71">
        <v>68.569999999999993</v>
      </c>
      <c r="F71" s="9" t="s">
        <v>71</v>
      </c>
      <c r="G71" s="7">
        <v>18402519040</v>
      </c>
      <c r="H71" s="6">
        <v>86.24</v>
      </c>
      <c r="I71" s="6">
        <v>62.64</v>
      </c>
      <c r="J71" s="12">
        <f t="shared" si="2"/>
        <v>9.4667943805874621E-2</v>
      </c>
      <c r="K71" s="11">
        <v>2.5813037771620244E-2</v>
      </c>
      <c r="L71" s="13">
        <v>1107700000</v>
      </c>
      <c r="M71" s="13">
        <v>9632900000</v>
      </c>
      <c r="N71" s="9" t="s">
        <v>71</v>
      </c>
      <c r="O71" s="6">
        <v>1</v>
      </c>
      <c r="P71" s="12">
        <v>4.8743848022087387E-2</v>
      </c>
      <c r="Q71" s="12">
        <v>0.11499133179001131</v>
      </c>
      <c r="R71" s="14">
        <v>49</v>
      </c>
    </row>
    <row r="72" spans="2:18" x14ac:dyDescent="0.5">
      <c r="B72" s="1" t="s">
        <v>393</v>
      </c>
      <c r="C72" t="s">
        <v>406</v>
      </c>
      <c r="D72" t="s">
        <v>401</v>
      </c>
      <c r="E72">
        <v>261.27999999999997</v>
      </c>
      <c r="F72" s="9" t="s">
        <v>71</v>
      </c>
      <c r="G72" s="7">
        <v>55652638720</v>
      </c>
      <c r="H72" s="6">
        <v>329.09</v>
      </c>
      <c r="I72" s="6">
        <v>232.67</v>
      </c>
      <c r="J72" s="12">
        <f t="shared" si="2"/>
        <v>0.12296385438604029</v>
      </c>
      <c r="K72" s="11">
        <v>0</v>
      </c>
      <c r="L72" s="13">
        <v>1369000000</v>
      </c>
      <c r="M72" s="13">
        <v>4908000000</v>
      </c>
      <c r="N72" s="9" t="s">
        <v>71</v>
      </c>
      <c r="O72" s="6">
        <v>1</v>
      </c>
      <c r="P72" s="12">
        <v>2.4181879363916001E-2</v>
      </c>
      <c r="Q72" s="12">
        <v>0.2789323553382233</v>
      </c>
      <c r="R72" s="14">
        <v>50</v>
      </c>
    </row>
    <row r="73" spans="2:18" x14ac:dyDescent="0.5">
      <c r="B73" s="1" t="s">
        <v>620</v>
      </c>
      <c r="C73" t="s">
        <v>711</v>
      </c>
      <c r="D73" t="s">
        <v>401</v>
      </c>
      <c r="E73">
        <v>566.6</v>
      </c>
      <c r="F73" s="9" t="s">
        <v>71</v>
      </c>
      <c r="G73" s="7">
        <v>157741432832</v>
      </c>
      <c r="H73" s="6">
        <v>813.7</v>
      </c>
      <c r="I73" s="6">
        <v>532.65</v>
      </c>
      <c r="J73" s="12">
        <f t="shared" si="2"/>
        <v>6.3737914202572243E-2</v>
      </c>
      <c r="K73" s="11">
        <v>7.6244264031062482E-3</v>
      </c>
      <c r="L73" s="13">
        <v>5081000000</v>
      </c>
      <c r="M73" s="13">
        <v>25683000000</v>
      </c>
      <c r="N73" s="9" t="s">
        <v>71</v>
      </c>
      <c r="O73" s="6">
        <v>1</v>
      </c>
      <c r="P73" s="12">
        <v>3.1461995233576553E-2</v>
      </c>
      <c r="Q73" s="12">
        <v>0.19783514386948564</v>
      </c>
      <c r="R73" s="14">
        <v>51</v>
      </c>
    </row>
    <row r="74" spans="2:18" x14ac:dyDescent="0.5">
      <c r="B74" s="1" t="s">
        <v>627</v>
      </c>
      <c r="C74" t="s">
        <v>719</v>
      </c>
      <c r="D74" t="s">
        <v>716</v>
      </c>
      <c r="E74">
        <v>1073.29</v>
      </c>
      <c r="F74" s="9" t="s">
        <v>71</v>
      </c>
      <c r="G74" s="7">
        <v>962158133248</v>
      </c>
      <c r="H74" s="6">
        <v>1133.95</v>
      </c>
      <c r="I74" s="6">
        <v>623.78</v>
      </c>
      <c r="J74" s="12">
        <f t="shared" si="2"/>
        <v>0.72062265542338655</v>
      </c>
      <c r="K74" s="11">
        <v>5.4039448797622265E-3</v>
      </c>
      <c r="L74" s="13">
        <v>13461000000</v>
      </c>
      <c r="M74" s="13">
        <v>47836300000</v>
      </c>
      <c r="N74" s="9" t="s">
        <v>71</v>
      </c>
      <c r="O74" s="6">
        <v>1</v>
      </c>
      <c r="P74" s="12">
        <v>1.3562256713933992E-2</v>
      </c>
      <c r="Q74" s="12">
        <v>0.28139718163821198</v>
      </c>
      <c r="R74" s="14">
        <v>52</v>
      </c>
    </row>
    <row r="75" spans="2:18" x14ac:dyDescent="0.5">
      <c r="B75" s="1" t="s">
        <v>599</v>
      </c>
      <c r="C75" t="s">
        <v>687</v>
      </c>
      <c r="D75" t="s">
        <v>435</v>
      </c>
      <c r="E75">
        <v>236.65</v>
      </c>
      <c r="F75" s="9" t="s">
        <v>71</v>
      </c>
      <c r="G75" s="7">
        <v>2529839546368</v>
      </c>
      <c r="H75" s="6">
        <v>258.60000000000002</v>
      </c>
      <c r="I75" s="6">
        <v>161.38</v>
      </c>
      <c r="J75" s="12">
        <f t="shared" si="2"/>
        <v>0.46641467344156662</v>
      </c>
      <c r="K75" s="11">
        <v>0</v>
      </c>
      <c r="L75" s="13">
        <v>71020000000</v>
      </c>
      <c r="M75" s="13">
        <v>338593000000</v>
      </c>
      <c r="N75" s="9" t="s">
        <v>71</v>
      </c>
      <c r="O75" s="6">
        <v>1</v>
      </c>
      <c r="P75" s="12">
        <v>2.7506229752388211E-2</v>
      </c>
      <c r="Q75" s="12">
        <v>0.20975034923935226</v>
      </c>
      <c r="R75" s="14">
        <v>53</v>
      </c>
    </row>
    <row r="76" spans="2:18" x14ac:dyDescent="0.5">
      <c r="B76" s="1" t="s">
        <v>596</v>
      </c>
      <c r="C76" t="s">
        <v>682</v>
      </c>
      <c r="D76" t="s">
        <v>683</v>
      </c>
      <c r="E76">
        <v>145.91999999999999</v>
      </c>
      <c r="F76" s="9" t="s">
        <v>71</v>
      </c>
      <c r="G76" s="7">
        <v>41368379392</v>
      </c>
      <c r="H76" s="6">
        <v>160.27000000000001</v>
      </c>
      <c r="I76" s="6">
        <v>96.43</v>
      </c>
      <c r="J76" s="12">
        <f t="shared" si="2"/>
        <v>0.51322202634035019</v>
      </c>
      <c r="K76" s="11">
        <v>6.798245614035088E-3</v>
      </c>
      <c r="L76" s="13">
        <v>1547000000</v>
      </c>
      <c r="M76" s="13">
        <v>10095000000</v>
      </c>
      <c r="N76" s="9" t="s">
        <v>71</v>
      </c>
      <c r="O76" s="6">
        <v>1</v>
      </c>
      <c r="P76" s="12">
        <v>3.6032570040090077E-2</v>
      </c>
      <c r="Q76" s="12">
        <v>0.15324418028727094</v>
      </c>
      <c r="R76" s="14">
        <v>54</v>
      </c>
    </row>
    <row r="77" spans="2:18" x14ac:dyDescent="0.5">
      <c r="B77" s="1" t="s">
        <v>598</v>
      </c>
      <c r="C77" t="s">
        <v>685</v>
      </c>
      <c r="D77" t="s">
        <v>686</v>
      </c>
      <c r="E77">
        <v>177.48</v>
      </c>
      <c r="F77" s="9" t="s">
        <v>71</v>
      </c>
      <c r="G77" s="7">
        <v>83105226752</v>
      </c>
      <c r="H77" s="6">
        <v>234.33</v>
      </c>
      <c r="I77" s="6">
        <v>166.88</v>
      </c>
      <c r="J77" s="12">
        <f t="shared" si="2"/>
        <v>6.351869606903171E-2</v>
      </c>
      <c r="K77" s="11">
        <v>3.7863421230561189E-2</v>
      </c>
      <c r="L77" s="13">
        <v>5029300000</v>
      </c>
      <c r="M77" s="13">
        <v>39884000000</v>
      </c>
      <c r="N77" s="9" t="s">
        <v>71</v>
      </c>
      <c r="O77" s="6">
        <v>1</v>
      </c>
      <c r="P77" s="12">
        <v>4.0215184621131994E-2</v>
      </c>
      <c r="Q77" s="12">
        <v>0.12609818473573361</v>
      </c>
      <c r="R77" s="14">
        <v>55</v>
      </c>
    </row>
    <row r="78" spans="2:18" x14ac:dyDescent="0.5">
      <c r="B78" s="1" t="s">
        <v>624</v>
      </c>
      <c r="C78" t="s">
        <v>715</v>
      </c>
      <c r="D78" t="s">
        <v>716</v>
      </c>
      <c r="E78">
        <v>218.55</v>
      </c>
      <c r="F78" s="9" t="s">
        <v>71</v>
      </c>
      <c r="G78" s="7">
        <v>526551449600</v>
      </c>
      <c r="H78" s="6">
        <v>218.86</v>
      </c>
      <c r="I78" s="6">
        <v>141.5</v>
      </c>
      <c r="J78" s="12">
        <f t="shared" si="2"/>
        <v>0.54452296819788004</v>
      </c>
      <c r="K78" s="11">
        <v>2.3244108899565318E-2</v>
      </c>
      <c r="L78" s="13">
        <v>17442000000</v>
      </c>
      <c r="M78" s="13">
        <v>108124000000</v>
      </c>
      <c r="N78" s="9" t="s">
        <v>71</v>
      </c>
      <c r="O78" s="6">
        <v>1</v>
      </c>
      <c r="P78" s="12">
        <v>3.2355096559227921E-2</v>
      </c>
      <c r="Q78" s="12">
        <v>0.16131478672635122</v>
      </c>
      <c r="R78" s="14">
        <v>56</v>
      </c>
    </row>
    <row r="79" spans="2:18" x14ac:dyDescent="0.5">
      <c r="B79" s="1" t="s">
        <v>637</v>
      </c>
      <c r="C79" t="s">
        <v>732</v>
      </c>
      <c r="D79" t="s">
        <v>174</v>
      </c>
      <c r="E79">
        <v>114.15</v>
      </c>
      <c r="F79" s="9" t="s">
        <v>71</v>
      </c>
      <c r="G79" s="7">
        <v>125388029952</v>
      </c>
      <c r="H79" s="6">
        <v>115.68989999999999</v>
      </c>
      <c r="I79" s="6">
        <v>40.35</v>
      </c>
      <c r="J79" s="12">
        <f t="shared" si="2"/>
        <v>1.8289962825278812</v>
      </c>
      <c r="K79" s="11">
        <v>8.7604029785370123E-3</v>
      </c>
      <c r="L79" s="13">
        <v>4952000000</v>
      </c>
      <c r="M79" s="13">
        <v>38404000000</v>
      </c>
      <c r="N79" s="9" t="s">
        <v>71</v>
      </c>
      <c r="O79" s="6">
        <v>1</v>
      </c>
      <c r="P79" s="12">
        <v>3.7876403465829107E-2</v>
      </c>
      <c r="Q79" s="12">
        <v>0.12894490157275285</v>
      </c>
      <c r="R79" s="14">
        <v>57</v>
      </c>
    </row>
    <row r="80" spans="2:18" x14ac:dyDescent="0.5">
      <c r="B80" s="1" t="s">
        <v>606</v>
      </c>
      <c r="C80" t="s">
        <v>696</v>
      </c>
      <c r="D80" t="s">
        <v>164</v>
      </c>
      <c r="E80">
        <v>90.16</v>
      </c>
      <c r="F80" s="9" t="s">
        <v>71</v>
      </c>
      <c r="G80" s="7">
        <v>21963761664</v>
      </c>
      <c r="H80" s="6">
        <v>116.46</v>
      </c>
      <c r="I80" s="6">
        <v>81.33</v>
      </c>
      <c r="J80" s="12">
        <f t="shared" si="2"/>
        <v>0.10857002336161314</v>
      </c>
      <c r="K80" s="11">
        <v>1.2976929902395741E-2</v>
      </c>
      <c r="L80" s="13">
        <v>851300000</v>
      </c>
      <c r="M80" s="13">
        <v>6565400000</v>
      </c>
      <c r="N80" s="9" t="s">
        <v>71</v>
      </c>
      <c r="O80" s="6">
        <v>1</v>
      </c>
      <c r="P80" s="12">
        <v>3.6687226352077391E-2</v>
      </c>
      <c r="Q80" s="12">
        <v>0.12966460535534774</v>
      </c>
      <c r="R80" s="14">
        <v>58</v>
      </c>
    </row>
    <row r="81" spans="2:18" x14ac:dyDescent="0.5">
      <c r="B81" s="1" t="s">
        <v>414</v>
      </c>
      <c r="C81" t="s">
        <v>421</v>
      </c>
      <c r="D81" t="s">
        <v>85</v>
      </c>
      <c r="E81">
        <v>24.49</v>
      </c>
      <c r="F81" s="9" t="s">
        <v>71</v>
      </c>
      <c r="G81" s="7">
        <v>13472126976</v>
      </c>
      <c r="H81" s="6">
        <v>32.07</v>
      </c>
      <c r="I81" s="6">
        <v>21.03</v>
      </c>
      <c r="J81" s="12">
        <f t="shared" si="2"/>
        <v>0.16452686638135972</v>
      </c>
      <c r="K81" s="11">
        <v>4.7366271947733768E-2</v>
      </c>
      <c r="L81" s="13">
        <v>741487000</v>
      </c>
      <c r="M81" s="13">
        <v>10758595000</v>
      </c>
      <c r="N81" s="9" t="s">
        <v>71</v>
      </c>
      <c r="O81" s="6">
        <v>1</v>
      </c>
      <c r="P81" s="12">
        <v>4.735251690776069E-2</v>
      </c>
      <c r="Q81" s="12">
        <v>6.8920430595258958E-2</v>
      </c>
      <c r="R81" s="14">
        <v>59</v>
      </c>
    </row>
    <row r="82" spans="2:18" x14ac:dyDescent="0.5">
      <c r="B82" s="1" t="s">
        <v>622</v>
      </c>
      <c r="C82" t="s">
        <v>713</v>
      </c>
      <c r="D82" t="s">
        <v>300</v>
      </c>
      <c r="E82">
        <v>139</v>
      </c>
      <c r="F82" s="9" t="s">
        <v>71</v>
      </c>
      <c r="G82" s="7">
        <v>16506133504</v>
      </c>
      <c r="H82" s="6">
        <v>168.44</v>
      </c>
      <c r="I82" s="6">
        <v>105.17821499999999</v>
      </c>
      <c r="J82" s="12">
        <f t="shared" si="2"/>
        <v>0.32156644795692735</v>
      </c>
      <c r="K82" s="11">
        <v>8.9928057553956831E-3</v>
      </c>
      <c r="L82" s="13">
        <v>689265000</v>
      </c>
      <c r="M82" s="13">
        <v>5877263000</v>
      </c>
      <c r="N82" s="9" t="s">
        <v>71</v>
      </c>
      <c r="O82" s="6">
        <v>1</v>
      </c>
      <c r="P82" s="12">
        <v>3.8333937913534268E-2</v>
      </c>
      <c r="Q82" s="12">
        <v>0.11727652820709232</v>
      </c>
      <c r="R82" s="14">
        <v>59</v>
      </c>
    </row>
    <row r="83" spans="2:18" x14ac:dyDescent="0.5">
      <c r="B83" s="1" t="s">
        <v>614</v>
      </c>
      <c r="C83" t="s">
        <v>704</v>
      </c>
      <c r="D83" t="s">
        <v>658</v>
      </c>
      <c r="E83">
        <v>83.1</v>
      </c>
      <c r="F83" s="9" t="s">
        <v>71</v>
      </c>
      <c r="G83" s="7">
        <v>48788013056</v>
      </c>
      <c r="H83" s="6">
        <v>87.89</v>
      </c>
      <c r="I83" s="6">
        <v>65.94</v>
      </c>
      <c r="J83" s="12">
        <f t="shared" si="2"/>
        <v>0.26023657870791617</v>
      </c>
      <c r="K83" s="11">
        <v>0</v>
      </c>
      <c r="L83" s="13">
        <v>1567900000</v>
      </c>
      <c r="M83" s="13">
        <v>10596100000</v>
      </c>
      <c r="N83" s="9" t="s">
        <v>71</v>
      </c>
      <c r="O83" s="6">
        <v>1</v>
      </c>
      <c r="P83" s="12">
        <v>3.3759798272973936E-2</v>
      </c>
      <c r="Q83" s="12">
        <v>0.14796953596134427</v>
      </c>
      <c r="R83" s="14">
        <v>59</v>
      </c>
    </row>
    <row r="84" spans="2:18" x14ac:dyDescent="0.5">
      <c r="B84" s="1" t="s">
        <v>612</v>
      </c>
      <c r="C84" t="s">
        <v>702</v>
      </c>
      <c r="D84" t="s">
        <v>663</v>
      </c>
      <c r="E84">
        <v>118.68</v>
      </c>
      <c r="F84" s="9" t="s">
        <v>71</v>
      </c>
      <c r="G84" s="7">
        <v>92292833280</v>
      </c>
      <c r="H84" s="6">
        <v>130.03</v>
      </c>
      <c r="I84" s="6">
        <v>105.9</v>
      </c>
      <c r="J84" s="12">
        <f t="shared" si="2"/>
        <v>0.12067988668555252</v>
      </c>
      <c r="K84" s="11">
        <v>3.5389282103134481E-2</v>
      </c>
      <c r="L84" s="13">
        <v>8578000000</v>
      </c>
      <c r="M84" s="13">
        <v>133426000000</v>
      </c>
      <c r="N84" s="9" t="s">
        <v>71</v>
      </c>
      <c r="O84" s="6">
        <v>1</v>
      </c>
      <c r="P84" s="12">
        <v>4.8406164869029267E-2</v>
      </c>
      <c r="Q84" s="12">
        <v>6.4290318228830967E-2</v>
      </c>
      <c r="R84" s="14">
        <v>59</v>
      </c>
    </row>
    <row r="85" spans="2:18" x14ac:dyDescent="0.5">
      <c r="B85" s="1" t="s">
        <v>578</v>
      </c>
      <c r="C85" t="s">
        <v>659</v>
      </c>
      <c r="D85" t="s">
        <v>660</v>
      </c>
      <c r="E85">
        <v>218.79</v>
      </c>
      <c r="F85" s="9" t="s">
        <v>71</v>
      </c>
      <c r="G85" s="7">
        <v>88143273984</v>
      </c>
      <c r="H85" s="6">
        <v>242.58</v>
      </c>
      <c r="I85" s="6">
        <v>194.11</v>
      </c>
      <c r="J85" s="12">
        <f t="shared" si="2"/>
        <v>0.12714440265828642</v>
      </c>
      <c r="K85" s="11">
        <v>1.4740161798985329E-2</v>
      </c>
      <c r="L85" s="13">
        <v>4056000000</v>
      </c>
      <c r="M85" s="13">
        <v>32152000000</v>
      </c>
      <c r="N85" s="9" t="s">
        <v>71</v>
      </c>
      <c r="O85" s="6">
        <v>1</v>
      </c>
      <c r="P85" s="12">
        <v>3.6334555043163255E-2</v>
      </c>
      <c r="Q85" s="12">
        <v>0.12615078377705896</v>
      </c>
      <c r="R85" s="14">
        <v>60</v>
      </c>
    </row>
    <row r="86" spans="2:18" x14ac:dyDescent="0.5">
      <c r="B86" s="1" t="s">
        <v>597</v>
      </c>
      <c r="C86" t="s">
        <v>684</v>
      </c>
      <c r="D86" t="s">
        <v>663</v>
      </c>
      <c r="E86">
        <v>118.11</v>
      </c>
      <c r="F86" s="9" t="s">
        <v>71</v>
      </c>
      <c r="G86" s="7">
        <v>63220219904</v>
      </c>
      <c r="H86" s="6">
        <v>124.8</v>
      </c>
      <c r="I86" s="6">
        <v>94.53</v>
      </c>
      <c r="J86" s="12">
        <f t="shared" si="2"/>
        <v>0.24944462075531582</v>
      </c>
      <c r="K86" s="11">
        <v>3.1496062992125984E-2</v>
      </c>
      <c r="L86" s="13">
        <v>4705700000</v>
      </c>
      <c r="M86" s="13">
        <v>72110400000</v>
      </c>
      <c r="N86" s="9" t="s">
        <v>71</v>
      </c>
      <c r="O86" s="6">
        <v>1</v>
      </c>
      <c r="P86" s="12">
        <v>4.3258823433480739E-2</v>
      </c>
      <c r="Q86" s="12">
        <v>6.5256883889147757E-2</v>
      </c>
      <c r="R86" s="14">
        <v>61</v>
      </c>
    </row>
    <row r="87" spans="2:18" x14ac:dyDescent="0.5">
      <c r="B87" s="1" t="s">
        <v>583</v>
      </c>
      <c r="C87" t="s">
        <v>667</v>
      </c>
      <c r="D87" t="s">
        <v>401</v>
      </c>
      <c r="E87">
        <v>424.2</v>
      </c>
      <c r="F87" s="9" t="s">
        <v>71</v>
      </c>
      <c r="G87" s="7">
        <v>45659799552</v>
      </c>
      <c r="H87" s="6">
        <v>595.16999999999996</v>
      </c>
      <c r="I87" s="6">
        <v>420.42</v>
      </c>
      <c r="J87" s="12">
        <f t="shared" si="2"/>
        <v>8.9910089910090196E-3</v>
      </c>
      <c r="K87" s="11">
        <v>7.7793493635077791E-3</v>
      </c>
      <c r="L87" s="13">
        <v>2226400000</v>
      </c>
      <c r="M87" s="13">
        <v>26490600000</v>
      </c>
      <c r="N87" s="9" t="s">
        <v>71</v>
      </c>
      <c r="O87" s="6">
        <v>1</v>
      </c>
      <c r="P87" s="12">
        <v>4.1896245799263807E-2</v>
      </c>
      <c r="Q87" s="12">
        <v>8.4044906495134117E-2</v>
      </c>
      <c r="R87" s="14">
        <v>61</v>
      </c>
    </row>
    <row r="88" spans="2:18" x14ac:dyDescent="0.5">
      <c r="B88" s="1" t="s">
        <v>581</v>
      </c>
      <c r="C88" t="s">
        <v>664</v>
      </c>
      <c r="D88" t="s">
        <v>99</v>
      </c>
      <c r="E88">
        <v>172.94</v>
      </c>
      <c r="F88" s="9" t="s">
        <v>71</v>
      </c>
      <c r="G88" s="7">
        <v>98994855936</v>
      </c>
      <c r="H88" s="6">
        <v>189.35</v>
      </c>
      <c r="I88" s="6">
        <v>143.16999999999999</v>
      </c>
      <c r="J88" s="12">
        <f t="shared" si="2"/>
        <v>0.20793462317524636</v>
      </c>
      <c r="K88" s="11">
        <v>1.0928645773100498E-2</v>
      </c>
      <c r="L88" s="13">
        <v>4538000000</v>
      </c>
      <c r="M88" s="13">
        <v>48015000000</v>
      </c>
      <c r="N88" s="9" t="s">
        <v>71</v>
      </c>
      <c r="O88" s="6">
        <v>1</v>
      </c>
      <c r="P88" s="12">
        <v>3.8181344343120059E-2</v>
      </c>
      <c r="Q88" s="12">
        <v>9.4512131625533694E-2</v>
      </c>
      <c r="R88" s="14">
        <v>62</v>
      </c>
    </row>
    <row r="89" spans="2:18" x14ac:dyDescent="0.5">
      <c r="B89" s="1" t="s">
        <v>579</v>
      </c>
      <c r="C89" t="s">
        <v>661</v>
      </c>
      <c r="D89" t="s">
        <v>193</v>
      </c>
      <c r="E89">
        <v>339.89</v>
      </c>
      <c r="F89" s="9" t="s">
        <v>71</v>
      </c>
      <c r="G89" s="7">
        <v>1611511496704</v>
      </c>
      <c r="H89" s="6">
        <v>414.61</v>
      </c>
      <c r="I89" s="6">
        <v>138.1</v>
      </c>
      <c r="J89" s="12">
        <f t="shared" si="2"/>
        <v>1.4611875452570602</v>
      </c>
      <c r="K89" s="11">
        <v>7.1199505722439613E-3</v>
      </c>
      <c r="L89" s="13">
        <v>25939000000</v>
      </c>
      <c r="M89" s="13">
        <v>146428000000</v>
      </c>
      <c r="N89" s="9" t="s">
        <v>71</v>
      </c>
      <c r="O89" s="6">
        <v>1</v>
      </c>
      <c r="P89" s="12">
        <v>1.5621485400056078E-2</v>
      </c>
      <c r="Q89" s="12">
        <v>0.17714508154178163</v>
      </c>
      <c r="R89" s="14">
        <v>62</v>
      </c>
    </row>
    <row r="90" spans="2:18" x14ac:dyDescent="0.5">
      <c r="B90" s="1" t="s">
        <v>610</v>
      </c>
      <c r="C90" t="s">
        <v>700</v>
      </c>
      <c r="D90" t="s">
        <v>656</v>
      </c>
      <c r="E90">
        <v>150.94999999999999</v>
      </c>
      <c r="F90" s="9" t="s">
        <v>71</v>
      </c>
      <c r="G90" s="7">
        <v>33226942464</v>
      </c>
      <c r="H90" s="6">
        <v>154.75</v>
      </c>
      <c r="I90" s="6">
        <v>66.430000000000007</v>
      </c>
      <c r="J90" s="12">
        <f t="shared" si="2"/>
        <v>1.2723167243715183</v>
      </c>
      <c r="K90" s="11">
        <v>1.5634315998675059E-2</v>
      </c>
      <c r="L90" s="13">
        <v>1714074000</v>
      </c>
      <c r="M90" s="13">
        <v>13652195000</v>
      </c>
      <c r="N90" s="9" t="s">
        <v>71</v>
      </c>
      <c r="O90" s="6">
        <v>1</v>
      </c>
      <c r="P90" s="12">
        <v>3.4448381399230663E-2</v>
      </c>
      <c r="Q90" s="12">
        <v>0.1255529971554025</v>
      </c>
      <c r="R90" s="14">
        <v>63</v>
      </c>
    </row>
    <row r="91" spans="2:18" x14ac:dyDescent="0.5">
      <c r="B91" s="1" t="s">
        <v>644</v>
      </c>
      <c r="C91" t="s">
        <v>742</v>
      </c>
      <c r="D91" t="s">
        <v>363</v>
      </c>
      <c r="E91">
        <v>193.61</v>
      </c>
      <c r="F91" s="9" t="s">
        <v>71</v>
      </c>
      <c r="G91" s="7">
        <v>556266684416</v>
      </c>
      <c r="H91" s="6">
        <v>345.72</v>
      </c>
      <c r="I91" s="6">
        <v>118.86</v>
      </c>
      <c r="J91" s="12">
        <f t="shared" si="2"/>
        <v>0.62889113242470152</v>
      </c>
      <c r="K91" s="11">
        <v>1.0330044935695469E-2</v>
      </c>
      <c r="L91" s="13">
        <v>17738000000</v>
      </c>
      <c r="M91" s="13">
        <v>113019000000</v>
      </c>
      <c r="N91" s="9" t="s">
        <v>71</v>
      </c>
      <c r="O91" s="6">
        <v>1</v>
      </c>
      <c r="P91" s="12">
        <v>2.7306678290833011E-2</v>
      </c>
      <c r="Q91" s="12">
        <v>0.15694706199842504</v>
      </c>
      <c r="R91" s="14">
        <v>64</v>
      </c>
    </row>
    <row r="92" spans="2:18" x14ac:dyDescent="0.5">
      <c r="B92" s="1" t="s">
        <v>588</v>
      </c>
      <c r="C92" t="s">
        <v>672</v>
      </c>
      <c r="D92" t="s">
        <v>658</v>
      </c>
      <c r="E92">
        <v>359.39</v>
      </c>
      <c r="F92" s="9" t="s">
        <v>71</v>
      </c>
      <c r="G92" s="7">
        <v>137439248384</v>
      </c>
      <c r="H92" s="6">
        <v>406.19</v>
      </c>
      <c r="I92" s="6">
        <v>329.16</v>
      </c>
      <c r="J92" s="12">
        <f t="shared" si="2"/>
        <v>9.1839834730829795E-2</v>
      </c>
      <c r="K92" s="11">
        <v>9.3491749909568999E-3</v>
      </c>
      <c r="L92" s="13">
        <v>4666000000</v>
      </c>
      <c r="M92" s="13">
        <v>34231000000</v>
      </c>
      <c r="N92" s="9" t="s">
        <v>71</v>
      </c>
      <c r="O92" s="6">
        <v>1</v>
      </c>
      <c r="P92" s="12">
        <v>3.1658742716135058E-2</v>
      </c>
      <c r="Q92" s="12">
        <v>0.13630919342116796</v>
      </c>
      <c r="R92" s="14">
        <v>65</v>
      </c>
    </row>
    <row r="93" spans="2:18" x14ac:dyDescent="0.5">
      <c r="B93" s="1" t="s">
        <v>577</v>
      </c>
      <c r="C93" t="s">
        <v>657</v>
      </c>
      <c r="D93" t="s">
        <v>658</v>
      </c>
      <c r="E93">
        <v>125</v>
      </c>
      <c r="F93" s="9" t="s">
        <v>71</v>
      </c>
      <c r="G93" s="7">
        <v>217557368832</v>
      </c>
      <c r="H93" s="6">
        <v>141.22999999999999</v>
      </c>
      <c r="I93" s="6">
        <v>110.86</v>
      </c>
      <c r="J93" s="12">
        <f t="shared" si="2"/>
        <v>0.12754825906548795</v>
      </c>
      <c r="K93" s="11">
        <v>1.8879999999999997E-2</v>
      </c>
      <c r="L93" s="13">
        <v>7572000000</v>
      </c>
      <c r="M93" s="13">
        <v>61789000000</v>
      </c>
      <c r="N93" s="9" t="s">
        <v>71</v>
      </c>
      <c r="O93" s="6">
        <v>1</v>
      </c>
      <c r="P93" s="12">
        <v>3.3658962782591902E-2</v>
      </c>
      <c r="Q93" s="12">
        <v>0.12254608425447895</v>
      </c>
      <c r="R93" s="14">
        <v>65</v>
      </c>
    </row>
    <row r="94" spans="2:18" x14ac:dyDescent="0.5">
      <c r="B94" s="1" t="s">
        <v>390</v>
      </c>
      <c r="C94" t="s">
        <v>403</v>
      </c>
      <c r="D94" t="s">
        <v>401</v>
      </c>
      <c r="E94">
        <v>239.57</v>
      </c>
      <c r="F94" s="9" t="s">
        <v>71</v>
      </c>
      <c r="G94" s="7">
        <v>228070653952</v>
      </c>
      <c r="H94" s="6">
        <v>367.09</v>
      </c>
      <c r="I94" s="6">
        <v>221.96</v>
      </c>
      <c r="J94" s="12">
        <f t="shared" si="2"/>
        <v>7.9338619571093894E-2</v>
      </c>
      <c r="K94" s="11">
        <v>6.8789915264849521E-3</v>
      </c>
      <c r="L94" s="13">
        <v>7666000000</v>
      </c>
      <c r="M94" s="13">
        <v>69606000000</v>
      </c>
      <c r="N94" s="9" t="s">
        <v>71</v>
      </c>
      <c r="O94" s="6">
        <v>1</v>
      </c>
      <c r="P94" s="12">
        <v>3.3241599649585132E-2</v>
      </c>
      <c r="Q94" s="12">
        <v>0.1101341838347269</v>
      </c>
      <c r="R94" s="14">
        <v>66</v>
      </c>
    </row>
    <row r="95" spans="2:18" x14ac:dyDescent="0.5">
      <c r="B95" s="1" t="s">
        <v>640</v>
      </c>
      <c r="C95" t="s">
        <v>735</v>
      </c>
      <c r="D95" t="s">
        <v>401</v>
      </c>
      <c r="E95">
        <v>134.61000000000001</v>
      </c>
      <c r="F95" s="9" t="s">
        <v>71</v>
      </c>
      <c r="G95" s="7">
        <v>142032797696</v>
      </c>
      <c r="H95" s="6">
        <v>239.61799999999999</v>
      </c>
      <c r="I95" s="6">
        <v>132.61000000000001</v>
      </c>
      <c r="J95" s="12">
        <f t="shared" si="2"/>
        <v>1.5081818867355379E-2</v>
      </c>
      <c r="K95" s="11">
        <v>0</v>
      </c>
      <c r="L95" s="13">
        <v>1761000000</v>
      </c>
      <c r="M95" s="13">
        <v>11098000000</v>
      </c>
      <c r="N95" s="9" t="s">
        <v>71</v>
      </c>
      <c r="O95" s="6">
        <v>1</v>
      </c>
      <c r="P95" s="12">
        <v>1.2400814810075836E-2</v>
      </c>
      <c r="Q95" s="12">
        <v>0.15867723914218779</v>
      </c>
      <c r="R95" s="14">
        <v>67</v>
      </c>
    </row>
    <row r="96" spans="2:18" x14ac:dyDescent="0.5">
      <c r="B96" s="1" t="s">
        <v>417</v>
      </c>
      <c r="C96" t="s">
        <v>426</v>
      </c>
      <c r="D96" t="s">
        <v>427</v>
      </c>
      <c r="E96">
        <v>81.69</v>
      </c>
      <c r="F96" s="9" t="s">
        <v>71</v>
      </c>
      <c r="G96" s="7">
        <v>16240701440</v>
      </c>
      <c r="H96" s="6">
        <v>100.24</v>
      </c>
      <c r="I96" s="6">
        <v>61.78</v>
      </c>
      <c r="J96" s="12">
        <f t="shared" si="2"/>
        <v>0.32227258012301707</v>
      </c>
      <c r="K96" s="11">
        <v>0</v>
      </c>
      <c r="L96" s="13">
        <v>666500000</v>
      </c>
      <c r="M96" s="13">
        <v>10741700000</v>
      </c>
      <c r="N96" s="9" t="s">
        <v>71</v>
      </c>
      <c r="O96" s="6">
        <v>1</v>
      </c>
      <c r="P96" s="12">
        <v>3.5765261196326552E-2</v>
      </c>
      <c r="Q96" s="12">
        <v>6.2047906755913866E-2</v>
      </c>
      <c r="R96" s="14">
        <v>68</v>
      </c>
    </row>
    <row r="97" spans="2:18" x14ac:dyDescent="0.5">
      <c r="B97" s="1" t="s">
        <v>354</v>
      </c>
      <c r="C97" t="s">
        <v>356</v>
      </c>
      <c r="D97" t="s">
        <v>85</v>
      </c>
      <c r="E97">
        <v>24.32</v>
      </c>
      <c r="F97" s="9" t="s">
        <v>71</v>
      </c>
      <c r="G97" s="7">
        <v>28786503680</v>
      </c>
      <c r="H97" s="6">
        <v>33.35</v>
      </c>
      <c r="I97" s="6">
        <v>22.91</v>
      </c>
      <c r="J97" s="12">
        <f t="shared" si="2"/>
        <v>6.1545176778699195E-2</v>
      </c>
      <c r="K97" s="11">
        <v>6.5789473684210523E-2</v>
      </c>
      <c r="L97" s="13">
        <v>1768000000</v>
      </c>
      <c r="M97" s="13">
        <v>69054000000</v>
      </c>
      <c r="N97" s="9" t="s">
        <v>71</v>
      </c>
      <c r="O97" s="6">
        <v>1</v>
      </c>
      <c r="P97" s="12">
        <v>3.7361450133868615E-2</v>
      </c>
      <c r="Q97" s="12">
        <v>2.5603151157065487E-2</v>
      </c>
      <c r="R97" s="14">
        <v>68</v>
      </c>
    </row>
    <row r="98" spans="2:18" x14ac:dyDescent="0.5">
      <c r="B98" s="1" t="s">
        <v>580</v>
      </c>
      <c r="C98" t="s">
        <v>662</v>
      </c>
      <c r="D98" t="s">
        <v>663</v>
      </c>
      <c r="E98">
        <v>81.98</v>
      </c>
      <c r="F98" s="9" t="s">
        <v>71</v>
      </c>
      <c r="G98" s="7">
        <v>170732339200</v>
      </c>
      <c r="H98" s="6">
        <v>87.53</v>
      </c>
      <c r="I98" s="6">
        <v>61.72</v>
      </c>
      <c r="J98" s="12">
        <f t="shared" ref="J98:J115" si="3">E98/I98-1</f>
        <v>0.32825664290343504</v>
      </c>
      <c r="K98" s="11">
        <v>2.701878506952915E-2</v>
      </c>
      <c r="L98" s="13">
        <v>8272000000</v>
      </c>
      <c r="M98" s="13">
        <v>132434000000</v>
      </c>
      <c r="N98" s="9" t="s">
        <v>71</v>
      </c>
      <c r="O98" s="6">
        <v>1</v>
      </c>
      <c r="P98" s="12">
        <v>3.2880414213339398E-2</v>
      </c>
      <c r="Q98" s="12">
        <v>6.2461301478472293E-2</v>
      </c>
      <c r="R98" s="14">
        <v>69</v>
      </c>
    </row>
    <row r="99" spans="2:18" x14ac:dyDescent="0.5">
      <c r="B99" s="1" t="s">
        <v>647</v>
      </c>
      <c r="C99" t="s">
        <v>745</v>
      </c>
      <c r="D99" t="s">
        <v>746</v>
      </c>
      <c r="E99">
        <v>132.21</v>
      </c>
      <c r="F99" s="9" t="s">
        <v>71</v>
      </c>
      <c r="G99" s="7">
        <v>122805510144</v>
      </c>
      <c r="H99" s="6">
        <v>132.21</v>
      </c>
      <c r="I99" s="6">
        <v>85.35</v>
      </c>
      <c r="J99" s="12">
        <f t="shared" si="3"/>
        <v>0.5490333919156416</v>
      </c>
      <c r="K99" s="11">
        <v>3.0179260267755841E-2</v>
      </c>
      <c r="L99" s="13">
        <v>4952174000</v>
      </c>
      <c r="M99" s="13">
        <v>84766453000</v>
      </c>
      <c r="N99" s="9" t="s">
        <v>71</v>
      </c>
      <c r="O99" s="6">
        <v>1</v>
      </c>
      <c r="P99" s="12">
        <v>3.2371067195461151E-2</v>
      </c>
      <c r="Q99" s="12">
        <v>5.8421389886397626E-2</v>
      </c>
      <c r="R99" s="14">
        <v>70</v>
      </c>
    </row>
    <row r="100" spans="2:18" x14ac:dyDescent="0.5">
      <c r="B100" s="1" t="s">
        <v>623</v>
      </c>
      <c r="C100" t="s">
        <v>714</v>
      </c>
      <c r="D100" t="s">
        <v>694</v>
      </c>
      <c r="E100">
        <v>112.13</v>
      </c>
      <c r="F100" s="9" t="s">
        <v>71</v>
      </c>
      <c r="G100" s="7">
        <v>73376243712</v>
      </c>
      <c r="H100" s="6">
        <v>124.07</v>
      </c>
      <c r="I100" s="6">
        <v>68.03</v>
      </c>
      <c r="J100" s="12">
        <f t="shared" si="3"/>
        <v>0.64824342201969709</v>
      </c>
      <c r="K100" s="11">
        <v>1.3466512084187997E-2</v>
      </c>
      <c r="L100" s="13">
        <v>2196000000</v>
      </c>
      <c r="M100" s="13">
        <v>22807000000</v>
      </c>
      <c r="N100" s="9" t="s">
        <v>71</v>
      </c>
      <c r="O100" s="6">
        <v>1</v>
      </c>
      <c r="P100" s="12">
        <v>2.6497020190863751E-2</v>
      </c>
      <c r="Q100" s="12">
        <v>9.6286227912483008E-2</v>
      </c>
      <c r="R100" s="14">
        <v>70</v>
      </c>
    </row>
    <row r="101" spans="2:18" x14ac:dyDescent="0.5">
      <c r="B101" s="1" t="s">
        <v>636</v>
      </c>
      <c r="C101" t="s">
        <v>730</v>
      </c>
      <c r="D101" t="s">
        <v>731</v>
      </c>
      <c r="E101">
        <v>5.14</v>
      </c>
      <c r="F101" s="9" t="s">
        <v>71</v>
      </c>
      <c r="G101" s="7">
        <v>3091710208</v>
      </c>
      <c r="H101" s="6">
        <v>6.34</v>
      </c>
      <c r="I101" s="6">
        <v>3.93</v>
      </c>
      <c r="J101" s="12">
        <f t="shared" si="3"/>
        <v>0.307888040712468</v>
      </c>
      <c r="K101" s="11">
        <v>6.2256809338521409E-2</v>
      </c>
      <c r="L101" s="13">
        <v>386846000</v>
      </c>
      <c r="M101" s="13">
        <v>13680841000</v>
      </c>
      <c r="N101" s="9" t="s">
        <v>71</v>
      </c>
      <c r="O101" s="6">
        <v>1</v>
      </c>
      <c r="P101" s="12">
        <v>3.2960843385775679E-2</v>
      </c>
      <c r="Q101" s="12">
        <v>2.8276478032308101E-2</v>
      </c>
      <c r="R101" s="14">
        <v>71</v>
      </c>
    </row>
    <row r="102" spans="2:18" x14ac:dyDescent="0.5">
      <c r="B102" s="1" t="s">
        <v>601</v>
      </c>
      <c r="C102" t="s">
        <v>689</v>
      </c>
      <c r="D102" t="s">
        <v>427</v>
      </c>
      <c r="E102">
        <v>207.42</v>
      </c>
      <c r="F102" s="9" t="s">
        <v>71</v>
      </c>
      <c r="G102" s="7">
        <v>59201515520</v>
      </c>
      <c r="H102" s="6">
        <v>251.99</v>
      </c>
      <c r="I102" s="6">
        <v>162.29</v>
      </c>
      <c r="J102" s="12">
        <f t="shared" si="3"/>
        <v>0.27808244500585366</v>
      </c>
      <c r="K102" s="11">
        <v>2.0055925175971462E-2</v>
      </c>
      <c r="L102" s="13">
        <v>2494000000</v>
      </c>
      <c r="M102" s="13">
        <v>44571000000</v>
      </c>
      <c r="N102" s="9" t="s">
        <v>71</v>
      </c>
      <c r="O102" s="6">
        <v>1</v>
      </c>
      <c r="P102" s="12">
        <v>3.2080671225895856E-2</v>
      </c>
      <c r="Q102" s="12">
        <v>5.5955666240380515E-2</v>
      </c>
      <c r="R102" s="14">
        <v>72</v>
      </c>
    </row>
    <row r="103" spans="2:18" x14ac:dyDescent="0.5">
      <c r="B103" s="1" t="s">
        <v>749</v>
      </c>
      <c r="C103" t="s">
        <v>753</v>
      </c>
      <c r="D103" t="s">
        <v>683</v>
      </c>
      <c r="E103">
        <v>237.95</v>
      </c>
      <c r="F103" s="9" t="s">
        <v>71</v>
      </c>
      <c r="G103" s="7">
        <v>170384474112</v>
      </c>
      <c r="H103" s="6">
        <v>258.23</v>
      </c>
      <c r="I103" s="6">
        <v>171</v>
      </c>
      <c r="J103" s="12">
        <f t="shared" si="3"/>
        <v>0.39152046783625716</v>
      </c>
      <c r="K103" s="11">
        <v>5.1691531834418998E-3</v>
      </c>
      <c r="L103" s="13">
        <v>4924000000</v>
      </c>
      <c r="M103" s="13">
        <v>65548000000</v>
      </c>
      <c r="N103" s="9" t="s">
        <v>71</v>
      </c>
      <c r="O103" s="6">
        <v>1</v>
      </c>
      <c r="P103" s="12">
        <v>2.6551276943473166E-2</v>
      </c>
      <c r="Q103" s="12">
        <v>7.5120522365289558E-2</v>
      </c>
      <c r="R103" s="14">
        <v>73</v>
      </c>
    </row>
    <row r="104" spans="2:18" x14ac:dyDescent="0.5">
      <c r="B104" s="1" t="s">
        <v>649</v>
      </c>
      <c r="C104" t="s">
        <v>748</v>
      </c>
      <c r="D104" t="s">
        <v>746</v>
      </c>
      <c r="E104">
        <v>40.950000000000003</v>
      </c>
      <c r="F104" s="9" t="s">
        <v>71</v>
      </c>
      <c r="G104" s="7">
        <v>10025696256</v>
      </c>
      <c r="H104" s="6">
        <v>44.38</v>
      </c>
      <c r="I104" s="6">
        <v>29.68</v>
      </c>
      <c r="J104" s="12">
        <f t="shared" si="3"/>
        <v>0.37971698113207553</v>
      </c>
      <c r="K104" s="11">
        <v>4.1709401709401704E-2</v>
      </c>
      <c r="L104" s="13">
        <v>384522000</v>
      </c>
      <c r="M104" s="13">
        <v>11514356000</v>
      </c>
      <c r="N104" s="9" t="s">
        <v>71</v>
      </c>
      <c r="O104" s="6">
        <v>1</v>
      </c>
      <c r="P104" s="12">
        <v>2.8877367920062541E-2</v>
      </c>
      <c r="Q104" s="12">
        <v>3.3395007067698795E-2</v>
      </c>
      <c r="R104" s="14">
        <v>74</v>
      </c>
    </row>
    <row r="105" spans="2:18" x14ac:dyDescent="0.5">
      <c r="B105" s="1" t="s">
        <v>584</v>
      </c>
      <c r="C105" t="s">
        <v>668</v>
      </c>
      <c r="D105" t="s">
        <v>385</v>
      </c>
      <c r="E105">
        <v>60.31</v>
      </c>
      <c r="F105" s="9" t="s">
        <v>71</v>
      </c>
      <c r="G105" s="7">
        <v>55370960896</v>
      </c>
      <c r="H105" s="6">
        <v>61.09</v>
      </c>
      <c r="I105" s="6">
        <v>50.71</v>
      </c>
      <c r="J105" s="12">
        <f t="shared" si="3"/>
        <v>0.18931177282587264</v>
      </c>
      <c r="K105" s="11">
        <v>5.3142099154369092E-2</v>
      </c>
      <c r="L105" s="13">
        <v>1932046000</v>
      </c>
      <c r="M105" s="13">
        <v>65067732000</v>
      </c>
      <c r="N105" s="9" t="s">
        <v>71</v>
      </c>
      <c r="O105" s="6">
        <v>1</v>
      </c>
      <c r="P105" s="12">
        <v>2.3652935307247502E-2</v>
      </c>
      <c r="Q105" s="12">
        <v>2.969284375856223E-2</v>
      </c>
      <c r="R105" s="14">
        <v>75</v>
      </c>
    </row>
    <row r="106" spans="2:18" x14ac:dyDescent="0.5">
      <c r="B106" s="1" t="s">
        <v>207</v>
      </c>
      <c r="C106" t="s">
        <v>235</v>
      </c>
      <c r="D106" t="s">
        <v>236</v>
      </c>
      <c r="E106">
        <v>69.66</v>
      </c>
      <c r="F106" s="9" t="s">
        <v>71</v>
      </c>
      <c r="G106" s="7">
        <v>2351069696</v>
      </c>
      <c r="H106" s="6">
        <v>89.465000000000003</v>
      </c>
      <c r="I106" s="6">
        <v>49.92</v>
      </c>
      <c r="J106" s="12">
        <f t="shared" si="3"/>
        <v>0.39543269230769229</v>
      </c>
      <c r="K106" s="11">
        <v>1.8662072925638817E-2</v>
      </c>
      <c r="L106" s="13">
        <v>14679000</v>
      </c>
      <c r="M106" s="13">
        <v>2158873000</v>
      </c>
      <c r="N106" s="9" t="s">
        <v>71</v>
      </c>
      <c r="O106" s="6">
        <v>1</v>
      </c>
      <c r="P106" s="12">
        <v>5.2874609878744436E-3</v>
      </c>
      <c r="Q106" s="12">
        <v>6.7993809733133907E-3</v>
      </c>
      <c r="R106" s="14">
        <v>76</v>
      </c>
    </row>
    <row r="107" spans="2:18" x14ac:dyDescent="0.5">
      <c r="B107" s="1" t="s">
        <v>449</v>
      </c>
      <c r="C107" t="s">
        <v>450</v>
      </c>
      <c r="D107" t="s">
        <v>314</v>
      </c>
      <c r="E107">
        <v>267.25</v>
      </c>
      <c r="F107" s="9" t="s">
        <v>71</v>
      </c>
      <c r="G107" s="7">
        <v>59487649792</v>
      </c>
      <c r="H107" s="6">
        <v>341.14</v>
      </c>
      <c r="I107" s="6">
        <v>229.11</v>
      </c>
      <c r="J107" s="12">
        <f t="shared" si="3"/>
        <v>0.16647025446292174</v>
      </c>
      <c r="K107" s="11">
        <v>2.6716557530402245E-2</v>
      </c>
      <c r="L107" s="13">
        <v>-226700000</v>
      </c>
      <c r="M107" s="13">
        <v>32723300000</v>
      </c>
      <c r="N107" s="9" t="s">
        <v>71</v>
      </c>
      <c r="O107" s="6">
        <v>1</v>
      </c>
      <c r="P107" s="12">
        <v>-2.9814099244012456E-3</v>
      </c>
      <c r="Q107" s="12">
        <v>-6.9277854006166862E-3</v>
      </c>
      <c r="R107" s="14">
        <v>77</v>
      </c>
    </row>
    <row r="108" spans="2:18" x14ac:dyDescent="0.5">
      <c r="B108" s="1" t="s">
        <v>613</v>
      </c>
      <c r="C108" t="s">
        <v>703</v>
      </c>
      <c r="D108" t="s">
        <v>164</v>
      </c>
      <c r="E108">
        <v>116.91</v>
      </c>
      <c r="F108" s="9" t="s">
        <v>71</v>
      </c>
      <c r="G108" s="7">
        <v>42129719296</v>
      </c>
      <c r="H108" s="6">
        <v>119.43</v>
      </c>
      <c r="I108" s="6">
        <v>48.37</v>
      </c>
      <c r="J108" s="12">
        <f t="shared" si="3"/>
        <v>1.4169940045482736</v>
      </c>
      <c r="K108" s="11">
        <v>1.1975023522367633E-2</v>
      </c>
      <c r="L108" s="13">
        <v>-683000000</v>
      </c>
      <c r="M108" s="13">
        <v>11182000000</v>
      </c>
      <c r="N108" s="9" t="s">
        <v>71</v>
      </c>
      <c r="O108" s="6">
        <v>1</v>
      </c>
      <c r="P108" s="12">
        <v>-1.4031636509501495E-2</v>
      </c>
      <c r="Q108" s="12">
        <v>-6.1080307637274192E-2</v>
      </c>
      <c r="R108" s="14">
        <v>78</v>
      </c>
    </row>
    <row r="109" spans="2:18" x14ac:dyDescent="0.5">
      <c r="B109" s="1" t="s">
        <v>355</v>
      </c>
      <c r="C109" t="s">
        <v>357</v>
      </c>
      <c r="D109" t="s">
        <v>358</v>
      </c>
      <c r="E109">
        <v>21.11</v>
      </c>
      <c r="F109" s="9" t="s">
        <v>71</v>
      </c>
      <c r="G109" s="7">
        <v>7108591104</v>
      </c>
      <c r="H109" s="6">
        <v>27.41</v>
      </c>
      <c r="I109" s="6">
        <v>18.690000000000001</v>
      </c>
      <c r="J109" s="12">
        <f t="shared" si="3"/>
        <v>0.12948100588550027</v>
      </c>
      <c r="K109" s="11">
        <v>5.1160587399336814E-2</v>
      </c>
      <c r="L109" s="13">
        <v>-1369000000</v>
      </c>
      <c r="M109" s="13">
        <v>21449000000</v>
      </c>
      <c r="N109" s="9" t="s">
        <v>71</v>
      </c>
      <c r="O109" s="6">
        <v>1</v>
      </c>
      <c r="P109" s="12">
        <v>-7.9034309941877268E-2</v>
      </c>
      <c r="Q109" s="12">
        <v>-6.3825819385519136E-2</v>
      </c>
      <c r="R109" s="14">
        <v>79</v>
      </c>
    </row>
    <row r="110" spans="2:18" x14ac:dyDescent="0.5">
      <c r="B110" s="1" t="s">
        <v>392</v>
      </c>
      <c r="C110" t="s">
        <v>405</v>
      </c>
      <c r="D110" t="s">
        <v>193</v>
      </c>
      <c r="E110">
        <v>48.72</v>
      </c>
      <c r="F110" s="9" t="s">
        <v>71</v>
      </c>
      <c r="G110" s="7">
        <v>232394391552</v>
      </c>
      <c r="H110" s="6">
        <v>49</v>
      </c>
      <c r="I110" s="6">
        <v>17.670000000000002</v>
      </c>
      <c r="J110" s="12">
        <f t="shared" si="3"/>
        <v>1.7572156196943971</v>
      </c>
      <c r="K110" s="11">
        <v>0</v>
      </c>
      <c r="L110" s="13">
        <v>-10176000000</v>
      </c>
      <c r="M110" s="13">
        <v>149281000000</v>
      </c>
      <c r="N110" s="9" t="s">
        <v>71</v>
      </c>
      <c r="O110" s="6">
        <v>1</v>
      </c>
      <c r="P110" s="12">
        <v>-3.7117500498141366E-2</v>
      </c>
      <c r="Q110" s="12">
        <v>-6.8166745935517581E-2</v>
      </c>
      <c r="R110" s="14">
        <v>79</v>
      </c>
    </row>
    <row r="111" spans="2:18" x14ac:dyDescent="0.5">
      <c r="B111" s="1" t="s">
        <v>572</v>
      </c>
      <c r="C111" t="s">
        <v>650</v>
      </c>
      <c r="D111" t="s">
        <v>358</v>
      </c>
      <c r="E111">
        <v>28.63</v>
      </c>
      <c r="F111" s="9" t="s">
        <v>71</v>
      </c>
      <c r="G111" s="7">
        <v>70987702272</v>
      </c>
      <c r="H111" s="6">
        <v>30</v>
      </c>
      <c r="I111" s="6">
        <v>7.52</v>
      </c>
      <c r="J111" s="12">
        <f t="shared" si="3"/>
        <v>2.8071808510638299</v>
      </c>
      <c r="K111" s="11">
        <v>0</v>
      </c>
      <c r="L111" s="13">
        <v>-9371000000</v>
      </c>
      <c r="M111" s="13">
        <v>73542000000</v>
      </c>
      <c r="N111" s="9" t="s">
        <v>71</v>
      </c>
      <c r="O111" s="6">
        <v>1</v>
      </c>
      <c r="P111" s="12">
        <v>-8.9094290089130168E-2</v>
      </c>
      <c r="Q111" s="12">
        <v>-0.12742378504799978</v>
      </c>
      <c r="R111" s="14">
        <v>80</v>
      </c>
    </row>
    <row r="112" spans="2:18" x14ac:dyDescent="0.5">
      <c r="B112" s="1" t="s">
        <v>600</v>
      </c>
      <c r="C112" t="s">
        <v>688</v>
      </c>
      <c r="D112" t="s">
        <v>240</v>
      </c>
      <c r="E112">
        <v>358.26</v>
      </c>
      <c r="F112" s="9" t="s">
        <v>71</v>
      </c>
      <c r="G112" s="7">
        <v>249306775552</v>
      </c>
      <c r="H112" s="6">
        <v>387.49</v>
      </c>
      <c r="I112" s="6">
        <v>220.43</v>
      </c>
      <c r="J112" s="12">
        <f t="shared" si="3"/>
        <v>0.62527786598920287</v>
      </c>
      <c r="K112" s="11">
        <v>8.8204097582761133E-3</v>
      </c>
      <c r="M112" s="13">
        <v>81353000000</v>
      </c>
      <c r="N112" s="9" t="s">
        <v>71</v>
      </c>
      <c r="O112" s="6">
        <v>1</v>
      </c>
    </row>
    <row r="113" spans="2:17" x14ac:dyDescent="0.5">
      <c r="B113" s="1" t="s">
        <v>617</v>
      </c>
      <c r="C113" t="s">
        <v>707</v>
      </c>
      <c r="D113" t="s">
        <v>104</v>
      </c>
      <c r="E113">
        <v>932.67</v>
      </c>
      <c r="F113" s="9" t="s">
        <v>71</v>
      </c>
      <c r="G113" s="7">
        <v>282338885632</v>
      </c>
      <c r="H113" s="6">
        <v>961.69</v>
      </c>
      <c r="I113" s="6">
        <v>439.38</v>
      </c>
      <c r="J113" s="12">
        <f t="shared" si="3"/>
        <v>1.1226956165505939</v>
      </c>
      <c r="K113" s="11">
        <v>1.3938477703796628E-2</v>
      </c>
      <c r="M113" s="13">
        <v>449236000000</v>
      </c>
      <c r="N113" s="9" t="s">
        <v>71</v>
      </c>
      <c r="O113" s="6">
        <v>1</v>
      </c>
    </row>
    <row r="114" spans="2:17" x14ac:dyDescent="0.5">
      <c r="B114" s="1" t="s">
        <v>621</v>
      </c>
      <c r="C114" t="s">
        <v>712</v>
      </c>
      <c r="D114" t="s">
        <v>427</v>
      </c>
      <c r="E114">
        <v>546.76</v>
      </c>
      <c r="F114" s="9" t="s">
        <v>71</v>
      </c>
      <c r="G114" s="7">
        <v>196000628736</v>
      </c>
      <c r="H114" s="6">
        <v>616</v>
      </c>
      <c r="I114" s="6">
        <v>425</v>
      </c>
      <c r="J114" s="12">
        <f t="shared" si="3"/>
        <v>0.28649411764705879</v>
      </c>
      <c r="K114" s="11">
        <v>0</v>
      </c>
      <c r="L114" s="13">
        <v>2348900000</v>
      </c>
      <c r="M114" s="13">
        <v>16433700000</v>
      </c>
      <c r="N114" s="9" t="s">
        <v>71</v>
      </c>
      <c r="O114" s="6">
        <v>1</v>
      </c>
      <c r="Q114" s="12">
        <v>0.1429319021279444</v>
      </c>
    </row>
    <row r="115" spans="2:17" x14ac:dyDescent="0.5">
      <c r="B115" s="1" t="s">
        <v>641</v>
      </c>
      <c r="C115" t="s">
        <v>736</v>
      </c>
      <c r="D115" t="s">
        <v>716</v>
      </c>
      <c r="E115">
        <v>58.91</v>
      </c>
      <c r="F115" s="9" t="s">
        <v>71</v>
      </c>
      <c r="G115" s="7">
        <v>261765382144</v>
      </c>
      <c r="H115" s="6">
        <v>93.8</v>
      </c>
      <c r="I115" s="6">
        <v>43.08</v>
      </c>
      <c r="J115" s="12">
        <f t="shared" si="3"/>
        <v>0.36745589600742812</v>
      </c>
      <c r="K115" s="11">
        <v>0.19775929383805807</v>
      </c>
      <c r="L115" s="13">
        <v>128831000000</v>
      </c>
      <c r="M115" s="13">
        <v>239507000000</v>
      </c>
      <c r="N115" s="9" t="s">
        <v>737</v>
      </c>
      <c r="Q115" s="12">
        <v>0.53790077116743973</v>
      </c>
    </row>
  </sheetData>
  <autoFilter ref="A1:R1" xr:uid="{F0FA5E83-3B3C-124C-A85B-B3DA799E441B}">
    <sortState xmlns:xlrd2="http://schemas.microsoft.com/office/spreadsheetml/2017/richdata2" ref="A2:R115">
      <sortCondition ref="R1"/>
    </sortState>
  </autoFilter>
  <conditionalFormatting sqref="J2:J1048576">
    <cfRule type="cellIs" dxfId="1" priority="1" operator="between">
      <formula>0.10001</formula>
      <formula>0.2</formula>
    </cfRule>
    <cfRule type="cellIs" dxfId="0" priority="2" operator="between">
      <formula>0</formula>
      <formula>0.1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03291-9A5D-4E46-9F96-9938DF840B6E}">
  <dimension ref="B2:B7"/>
  <sheetViews>
    <sheetView topLeftCell="B4" workbookViewId="0">
      <selection activeCell="B7" sqref="B7"/>
    </sheetView>
  </sheetViews>
  <sheetFormatPr defaultColWidth="11" defaultRowHeight="15.75" x14ac:dyDescent="0.5"/>
  <cols>
    <col min="1" max="1" width="2.6875" customWidth="1"/>
    <col min="2" max="2" width="210.1875" customWidth="1"/>
  </cols>
  <sheetData>
    <row r="2" spans="2:2" x14ac:dyDescent="0.5">
      <c r="B2" t="s">
        <v>129</v>
      </c>
    </row>
    <row r="3" spans="2:2" ht="409.5" x14ac:dyDescent="0.5">
      <c r="B3" s="15" t="s">
        <v>190</v>
      </c>
    </row>
    <row r="4" spans="2:2" x14ac:dyDescent="0.5">
      <c r="B4" t="s">
        <v>141</v>
      </c>
    </row>
    <row r="5" spans="2:2" ht="220.5" x14ac:dyDescent="0.5">
      <c r="B5" s="16" t="s">
        <v>447</v>
      </c>
    </row>
    <row r="7" spans="2:2" ht="236.25" x14ac:dyDescent="0.5">
      <c r="B7" s="16" t="s">
        <v>448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hk_screener</vt:lpstr>
      <vt:lpstr>cn_screener</vt:lpstr>
      <vt:lpstr>us_screener</vt:lpstr>
      <vt:lpstr>Note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2760</dc:creator>
  <cp:lastModifiedBy>Jerry Chen</cp:lastModifiedBy>
  <dcterms:created xsi:type="dcterms:W3CDTF">2025-05-25T03:08:01Z</dcterms:created>
  <dcterms:modified xsi:type="dcterms:W3CDTF">2026-02-13T09:16:39Z</dcterms:modified>
</cp:coreProperties>
</file>