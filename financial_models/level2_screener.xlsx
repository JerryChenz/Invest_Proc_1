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0A5E82C-794C-4184-B699-FABC56D98E7B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<sst xmlns="http://schemas.openxmlformats.org/spreadsheetml/2006/main" count="1689" uniqueCount="775">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</sst>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4"/>
  <sheetViews>
    <sheetView tabSelected="1" zoomScaleNormal="100" workbookViewId="0">
      <pane xSplit="3" ySplit="1" topLeftCell="D104" activePane="bottomRight" state="frozen"/>
      <selection pane="topRight" activeCell="D1" sqref="D1"/>
      <selection pane="bottomLeft" activeCell="A2" sqref="A2"/>
      <selection pane="bottomRight" activeCell="B135" sqref="B13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13.34</v>
      </c>
      <c r="F2" s="9" t="s">
        <v>67</v>
      </c>
      <c r="G2" s="7">
        <v>239773810688</v>
      </c>
      <c r="H2" s="6">
        <v>15.6</v>
      </c>
      <c r="I2" s="6">
        <v>9.8000000000000007</v>
      </c>
      <c r="J2" s="12">
        <f t="shared" ref="J2:J33" si="0">E2/I2-1</f>
        <v>0.36122448979591826</v>
      </c>
      <c r="K2" s="11">
        <v>0.11919040479760121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0.60230204972554413</v>
      </c>
      <c r="Q2" s="12">
        <v>0.26042924055386191</v>
      </c>
      <c r="R2" s="14">
        <v>1</v>
      </c>
    </row>
    <row r="3" spans="2:22" x14ac:dyDescent="0.5">
      <c r="B3" s="1" t="s">
        <v>195</v>
      </c>
      <c r="C3" t="s">
        <v>217</v>
      </c>
      <c r="D3" t="s">
        <v>76</v>
      </c>
      <c r="E3">
        <v>122.2</v>
      </c>
      <c r="F3" s="9" t="s">
        <v>67</v>
      </c>
      <c r="G3" s="7">
        <v>80697614336</v>
      </c>
      <c r="H3" s="6">
        <v>149.5</v>
      </c>
      <c r="I3" s="6">
        <v>93</v>
      </c>
      <c r="J3" s="12">
        <f t="shared" si="0"/>
        <v>0.3139784946236559</v>
      </c>
      <c r="K3" s="11">
        <v>1.6693944353518821E-2</v>
      </c>
      <c r="L3" s="13">
        <v>2635100000</v>
      </c>
      <c r="M3" s="13">
        <v>13245550000</v>
      </c>
      <c r="N3" s="9" t="s">
        <v>71</v>
      </c>
      <c r="O3" s="6">
        <v>7.6923076923076916</v>
      </c>
      <c r="P3" s="12">
        <v>0.66535538745726397</v>
      </c>
      <c r="Q3" s="12">
        <v>0.19894228627727803</v>
      </c>
      <c r="R3" s="14">
        <v>3</v>
      </c>
    </row>
    <row r="4" spans="2:22" x14ac:dyDescent="0.5">
      <c r="B4" s="1" t="s">
        <v>108</v>
      </c>
      <c r="C4" t="s">
        <v>144</v>
      </c>
      <c r="D4" t="s">
        <v>145</v>
      </c>
      <c r="E4">
        <v>4.16</v>
      </c>
      <c r="F4" s="9" t="s">
        <v>67</v>
      </c>
      <c r="G4" s="7">
        <v>11636449280</v>
      </c>
      <c r="H4" s="6">
        <v>5.2</v>
      </c>
      <c r="I4" s="6">
        <v>2.5099999999999998</v>
      </c>
      <c r="J4" s="12">
        <f t="shared" si="0"/>
        <v>0.65737051792828716</v>
      </c>
      <c r="K4" s="11">
        <v>3.6778846153846155E-2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0.2687316584785972</v>
      </c>
      <c r="Q4" s="12">
        <v>0.28956319566547578</v>
      </c>
      <c r="R4" s="14">
        <v>2</v>
      </c>
    </row>
    <row r="5" spans="2:22" x14ac:dyDescent="0.5">
      <c r="B5" s="1" t="s">
        <v>28</v>
      </c>
      <c r="C5" t="s">
        <v>88</v>
      </c>
      <c r="D5" t="s">
        <v>85</v>
      </c>
      <c r="E5">
        <v>3.94</v>
      </c>
      <c r="F5" s="9" t="s">
        <v>67</v>
      </c>
      <c r="G5" s="7">
        <v>34702200832</v>
      </c>
      <c r="H5" s="6">
        <v>7.38</v>
      </c>
      <c r="I5" s="6">
        <v>3.8</v>
      </c>
      <c r="J5" s="12">
        <f t="shared" si="0"/>
        <v>3.6842105263158009E-2</v>
      </c>
      <c r="K5" s="11">
        <v>6.7258883248730972E-2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0.23077999461509055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6.63</v>
      </c>
      <c r="F6" s="9" t="s">
        <v>67</v>
      </c>
      <c r="G6" s="7">
        <v>352166903808</v>
      </c>
      <c r="H6" s="6">
        <v>7.63</v>
      </c>
      <c r="I6" s="6">
        <v>3.66</v>
      </c>
      <c r="J6" s="12">
        <f t="shared" si="0"/>
        <v>0.81147540983606548</v>
      </c>
      <c r="K6" s="11">
        <v>2.8959276018099549E-2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0.20283032669958959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2.04</v>
      </c>
      <c r="F7" s="9" t="s">
        <v>67</v>
      </c>
      <c r="G7" s="7">
        <v>2040000000</v>
      </c>
      <c r="H7" s="6">
        <v>2.42</v>
      </c>
      <c r="I7" s="6">
        <v>1.55</v>
      </c>
      <c r="J7" s="12">
        <f t="shared" si="0"/>
        <v>0.31612903225806455</v>
      </c>
      <c r="K7" s="11">
        <v>0.10294117647058823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0.14270753580365864</v>
      </c>
      <c r="Q7" s="12">
        <v>0.51857007005524791</v>
      </c>
      <c r="R7" s="14">
        <v>6</v>
      </c>
    </row>
    <row r="8" spans="2:22" x14ac:dyDescent="0.5">
      <c r="B8" s="1" t="s">
        <v>247</v>
      </c>
      <c r="C8" t="s">
        <v>292</v>
      </c>
      <c r="D8" t="s">
        <v>291</v>
      </c>
      <c r="E8">
        <v>1.31</v>
      </c>
      <c r="F8" s="9" t="s">
        <v>67</v>
      </c>
      <c r="G8" s="7">
        <v>2638665728</v>
      </c>
      <c r="H8" s="6">
        <v>1.85</v>
      </c>
      <c r="I8" s="6">
        <v>1.1299999999999999</v>
      </c>
      <c r="J8" s="12">
        <f t="shared" si="0"/>
        <v>0.15929203539823034</v>
      </c>
      <c r="K8" s="11">
        <v>9.0839694656488543E-2</v>
      </c>
      <c r="L8" s="13">
        <v>809534000</v>
      </c>
      <c r="M8" s="13">
        <v>6812238000</v>
      </c>
      <c r="N8" s="9" t="s">
        <v>50</v>
      </c>
      <c r="O8" s="6">
        <v>1.0683760683760684</v>
      </c>
      <c r="P8" s="12">
        <v>0.32815733710339989</v>
      </c>
      <c r="Q8" s="12">
        <v>0.11883524915013245</v>
      </c>
      <c r="R8" s="14">
        <v>19</v>
      </c>
    </row>
    <row r="9" spans="2:22" x14ac:dyDescent="0.5">
      <c r="B9" s="1" t="s">
        <v>107</v>
      </c>
      <c r="C9" t="s">
        <v>142</v>
      </c>
      <c r="D9" t="s">
        <v>143</v>
      </c>
      <c r="E9">
        <v>3.42</v>
      </c>
      <c r="F9" s="9" t="s">
        <v>67</v>
      </c>
      <c r="G9" s="7">
        <v>17411444736</v>
      </c>
      <c r="H9" s="6">
        <v>3.45</v>
      </c>
      <c r="I9" s="6">
        <v>2.23</v>
      </c>
      <c r="J9" s="12">
        <f t="shared" si="0"/>
        <v>0.53363228699551568</v>
      </c>
      <c r="K9" s="11">
        <v>7.8947368421052641E-2</v>
      </c>
      <c r="L9" s="13">
        <v>2527643000</v>
      </c>
      <c r="M9" s="13">
        <v>16480074000</v>
      </c>
      <c r="N9" s="9" t="s">
        <v>67</v>
      </c>
      <c r="O9" s="6">
        <v>1</v>
      </c>
      <c r="P9" s="12">
        <v>0.25847021781094276</v>
      </c>
      <c r="Q9" s="12">
        <v>0.15337570692947131</v>
      </c>
      <c r="R9" s="14">
        <v>8</v>
      </c>
    </row>
    <row r="10" spans="2:22" x14ac:dyDescent="0.5">
      <c r="B10" s="1" t="s">
        <v>290</v>
      </c>
      <c r="C10" t="s">
        <v>343</v>
      </c>
      <c r="D10" t="s">
        <v>94</v>
      </c>
      <c r="E10">
        <v>5.82</v>
      </c>
      <c r="F10" s="9" t="s">
        <v>67</v>
      </c>
      <c r="G10" s="7">
        <v>12033909760</v>
      </c>
      <c r="H10" s="6">
        <v>6.7</v>
      </c>
      <c r="I10" s="6">
        <v>3.84</v>
      </c>
      <c r="J10" s="12">
        <f t="shared" si="0"/>
        <v>0.51562500000000022</v>
      </c>
      <c r="K10" s="11">
        <v>4.8625429553264599E-2</v>
      </c>
      <c r="L10" s="13">
        <v>1576240000</v>
      </c>
      <c r="M10" s="13">
        <v>9636462000</v>
      </c>
      <c r="N10" s="9" t="s">
        <v>50</v>
      </c>
      <c r="O10" s="6">
        <v>1.0683760683760684</v>
      </c>
      <c r="P10" s="12">
        <v>0.21669473471930503</v>
      </c>
      <c r="Q10" s="12">
        <v>0.16357040581906512</v>
      </c>
      <c r="R10" s="14">
        <v>8</v>
      </c>
    </row>
    <row r="11" spans="2:22" x14ac:dyDescent="0.5">
      <c r="B11" s="1" t="s">
        <v>250</v>
      </c>
      <c r="C11" t="s">
        <v>297</v>
      </c>
      <c r="D11" t="s">
        <v>298</v>
      </c>
      <c r="E11">
        <v>23.58</v>
      </c>
      <c r="F11" s="9" t="s">
        <v>67</v>
      </c>
      <c r="G11" s="7">
        <v>84746960896</v>
      </c>
      <c r="H11" s="6">
        <v>24.08</v>
      </c>
      <c r="I11" s="6">
        <v>9.56</v>
      </c>
      <c r="J11" s="12">
        <f t="shared" si="0"/>
        <v>1.4665271966527196</v>
      </c>
      <c r="K11" s="11">
        <v>1.4843087362171332E-2</v>
      </c>
      <c r="L11" s="13">
        <v>25585077000</v>
      </c>
      <c r="M11" s="13">
        <v>167756547000</v>
      </c>
      <c r="N11" s="9" t="s">
        <v>67</v>
      </c>
      <c r="O11" s="6">
        <v>1</v>
      </c>
      <c r="P11" s="12">
        <v>0.20888858309822378</v>
      </c>
      <c r="Q11" s="12">
        <v>0.15251313559762292</v>
      </c>
      <c r="R11" s="14">
        <v>14</v>
      </c>
    </row>
    <row r="12" spans="2:22" x14ac:dyDescent="0.5">
      <c r="B12" s="1" t="s">
        <v>197</v>
      </c>
      <c r="C12" t="s">
        <v>220</v>
      </c>
      <c r="D12" t="s">
        <v>221</v>
      </c>
      <c r="E12">
        <v>24.88</v>
      </c>
      <c r="F12" s="9" t="s">
        <v>67</v>
      </c>
      <c r="G12" s="7">
        <v>216793907200</v>
      </c>
      <c r="H12" s="6">
        <v>25.06</v>
      </c>
      <c r="I12" s="6">
        <v>12.76</v>
      </c>
      <c r="J12" s="12">
        <f t="shared" si="0"/>
        <v>0.94984326018808773</v>
      </c>
      <c r="K12" s="11">
        <v>2.8336012861736332E-2</v>
      </c>
      <c r="L12" s="13">
        <v>21175963859.630001</v>
      </c>
      <c r="M12" s="13">
        <v>104071284594.97</v>
      </c>
      <c r="N12" s="9" t="s">
        <v>50</v>
      </c>
      <c r="O12" s="6">
        <v>1.0683760683760684</v>
      </c>
      <c r="P12" s="12">
        <v>0.12163849049775034</v>
      </c>
      <c r="Q12" s="12">
        <v>0.20347556909712136</v>
      </c>
      <c r="R12" s="14">
        <v>16</v>
      </c>
    </row>
    <row r="13" spans="2:22" x14ac:dyDescent="0.5">
      <c r="B13" s="1" t="s">
        <v>194</v>
      </c>
      <c r="C13" t="s">
        <v>215</v>
      </c>
      <c r="D13" t="s">
        <v>216</v>
      </c>
      <c r="E13">
        <v>14.99</v>
      </c>
      <c r="F13" s="9" t="s">
        <v>67</v>
      </c>
      <c r="G13" s="7">
        <v>58491518976</v>
      </c>
      <c r="H13" s="6">
        <v>17.55</v>
      </c>
      <c r="I13" s="6">
        <v>4.22</v>
      </c>
      <c r="J13" s="12">
        <f t="shared" si="0"/>
        <v>2.5521327014218014</v>
      </c>
      <c r="K13" s="11">
        <v>2.8685790527018008E-3</v>
      </c>
      <c r="L13" s="13">
        <v>786762000</v>
      </c>
      <c r="M13" s="13">
        <v>2279244000</v>
      </c>
      <c r="N13" s="9" t="s">
        <v>71</v>
      </c>
      <c r="O13" s="6">
        <v>7.6923076923076916</v>
      </c>
      <c r="P13" s="12">
        <v>0.11861314574351403</v>
      </c>
      <c r="Q13" s="12">
        <v>0.34518550887925997</v>
      </c>
      <c r="R13" s="14">
        <v>11</v>
      </c>
    </row>
    <row r="14" spans="2:22" x14ac:dyDescent="0.5">
      <c r="B14" s="1" t="s">
        <v>23</v>
      </c>
      <c r="C14" t="s">
        <v>79</v>
      </c>
      <c r="D14" t="s">
        <v>80</v>
      </c>
      <c r="E14">
        <v>7.91</v>
      </c>
      <c r="F14" s="9" t="s">
        <v>67</v>
      </c>
      <c r="G14" s="7">
        <v>68492689408</v>
      </c>
      <c r="H14" s="6">
        <v>8.48</v>
      </c>
      <c r="I14" s="6">
        <v>6.8</v>
      </c>
      <c r="J14" s="12">
        <f t="shared" si="0"/>
        <v>0.16323529411764715</v>
      </c>
      <c r="K14" s="11">
        <v>4.0202275600505689E-2</v>
      </c>
      <c r="L14" s="13">
        <v>13438000000</v>
      </c>
      <c r="M14" s="13">
        <v>88611000000</v>
      </c>
      <c r="N14" s="9" t="s">
        <v>50</v>
      </c>
      <c r="O14" s="6">
        <v>1.0683760683760684</v>
      </c>
      <c r="P14" s="12">
        <v>0.22189140039982905</v>
      </c>
      <c r="Q14" s="12">
        <v>0.15165160081705431</v>
      </c>
      <c r="R14" s="14">
        <v>13</v>
      </c>
    </row>
    <row r="15" spans="2:22" x14ac:dyDescent="0.5">
      <c r="B15" s="1" t="s">
        <v>285</v>
      </c>
      <c r="C15" t="s">
        <v>338</v>
      </c>
      <c r="D15" t="s">
        <v>85</v>
      </c>
      <c r="E15">
        <v>8.68</v>
      </c>
      <c r="F15" s="9" t="s">
        <v>67</v>
      </c>
      <c r="G15" s="7">
        <v>111366307840</v>
      </c>
      <c r="H15" s="6">
        <v>9.06</v>
      </c>
      <c r="I15" s="6">
        <v>5.84</v>
      </c>
      <c r="J15" s="12">
        <f t="shared" si="0"/>
        <v>0.48630136986301364</v>
      </c>
      <c r="K15" s="11">
        <v>8.870967741935484E-3</v>
      </c>
      <c r="L15" s="13">
        <v>2553000000</v>
      </c>
      <c r="M15" s="13">
        <v>13971000000</v>
      </c>
      <c r="N15" s="9" t="s">
        <v>71</v>
      </c>
      <c r="O15" s="6">
        <v>7.6923076923076916</v>
      </c>
      <c r="P15" s="12">
        <v>0.15811358643259202</v>
      </c>
      <c r="Q15" s="12">
        <v>0.18273566673824351</v>
      </c>
      <c r="R15" s="14">
        <v>14</v>
      </c>
    </row>
    <row r="16" spans="2:22" x14ac:dyDescent="0.5">
      <c r="B16" s="1" t="s">
        <v>288</v>
      </c>
      <c r="C16" t="s">
        <v>341</v>
      </c>
      <c r="D16" t="s">
        <v>76</v>
      </c>
      <c r="E16">
        <v>26.44</v>
      </c>
      <c r="F16" s="9" t="s">
        <v>67</v>
      </c>
      <c r="G16" s="7">
        <v>70833602560</v>
      </c>
      <c r="H16" s="6">
        <v>33</v>
      </c>
      <c r="I16" s="6">
        <v>15.7</v>
      </c>
      <c r="J16" s="12">
        <f t="shared" si="0"/>
        <v>0.68407643312101918</v>
      </c>
      <c r="K16" s="11">
        <v>1.3313161875945535E-2</v>
      </c>
      <c r="L16" s="13">
        <v>1069250000</v>
      </c>
      <c r="M16" s="13">
        <v>2571093000</v>
      </c>
      <c r="N16" s="9" t="s">
        <v>71</v>
      </c>
      <c r="O16" s="6">
        <v>7.6923076923076916</v>
      </c>
      <c r="P16" s="12">
        <v>0.12078242386116421</v>
      </c>
      <c r="Q16" s="12">
        <v>0.41587371596437778</v>
      </c>
      <c r="R16" s="14">
        <v>7</v>
      </c>
    </row>
    <row r="17" spans="2:18" x14ac:dyDescent="0.5">
      <c r="B17" s="1" t="s">
        <v>287</v>
      </c>
      <c r="C17" t="s">
        <v>340</v>
      </c>
      <c r="D17" t="s">
        <v>53</v>
      </c>
      <c r="E17">
        <v>4.55</v>
      </c>
      <c r="F17" s="9" t="s">
        <v>67</v>
      </c>
      <c r="G17" s="7">
        <v>17645279232</v>
      </c>
      <c r="H17" s="6">
        <v>5.29</v>
      </c>
      <c r="I17" s="6">
        <v>3.33</v>
      </c>
      <c r="J17" s="12">
        <f t="shared" si="0"/>
        <v>0.36636636636636633</v>
      </c>
      <c r="K17" s="11">
        <v>5.9340659340659345E-2</v>
      </c>
      <c r="L17" s="13">
        <v>2823432000</v>
      </c>
      <c r="M17" s="13">
        <v>16925205000</v>
      </c>
      <c r="N17" s="9" t="s">
        <v>67</v>
      </c>
      <c r="O17" s="6">
        <v>1</v>
      </c>
      <c r="P17" s="12">
        <v>0.15662758475234356</v>
      </c>
      <c r="Q17" s="12">
        <v>0.16681818624944278</v>
      </c>
      <c r="R17" s="14">
        <v>18</v>
      </c>
    </row>
    <row r="18" spans="2:18" x14ac:dyDescent="0.5">
      <c r="B18" s="1" t="s">
        <v>32</v>
      </c>
      <c r="C18" t="s">
        <v>93</v>
      </c>
      <c r="D18" t="s">
        <v>94</v>
      </c>
      <c r="E18">
        <v>14.64</v>
      </c>
      <c r="F18" s="9" t="s">
        <v>67</v>
      </c>
      <c r="G18" s="7">
        <v>12255254528</v>
      </c>
      <c r="H18" s="6">
        <v>19.440000000000001</v>
      </c>
      <c r="I18" s="6">
        <v>12.5</v>
      </c>
      <c r="J18" s="12">
        <f t="shared" si="0"/>
        <v>0.17120000000000002</v>
      </c>
      <c r="K18" s="11">
        <v>8.9480874316939883E-3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0.16888223005624337</v>
      </c>
      <c r="Q18" s="12">
        <v>0.18009145491283626</v>
      </c>
      <c r="R18" s="14">
        <v>10</v>
      </c>
    </row>
    <row r="19" spans="2:18" x14ac:dyDescent="0.5">
      <c r="B19" s="1" t="s">
        <v>140</v>
      </c>
      <c r="C19" t="s">
        <v>189</v>
      </c>
      <c r="D19" t="s">
        <v>178</v>
      </c>
      <c r="E19">
        <v>8.65</v>
      </c>
      <c r="F19" s="9" t="s">
        <v>67</v>
      </c>
      <c r="G19" s="7">
        <v>107300298752</v>
      </c>
      <c r="H19" s="6">
        <v>13.6</v>
      </c>
      <c r="I19" s="6">
        <v>6.57</v>
      </c>
      <c r="J19" s="12">
        <f t="shared" si="0"/>
        <v>0.31659056316590561</v>
      </c>
      <c r="K19" s="11">
        <v>5.7803468208092483E-3</v>
      </c>
      <c r="L19" s="13">
        <v>2250990000</v>
      </c>
      <c r="M19" s="13">
        <v>11437145000</v>
      </c>
      <c r="N19" s="9" t="s">
        <v>71</v>
      </c>
      <c r="O19" s="6">
        <v>7.6923076923076916</v>
      </c>
      <c r="P19" s="12">
        <v>0.15052889806017533</v>
      </c>
      <c r="Q19" s="12">
        <v>0.19681397761416858</v>
      </c>
      <c r="R19" s="14">
        <v>12</v>
      </c>
    </row>
    <row r="20" spans="2:18" x14ac:dyDescent="0.5">
      <c r="B20" s="1" t="s">
        <v>29</v>
      </c>
      <c r="C20" t="s">
        <v>89</v>
      </c>
      <c r="D20" t="s">
        <v>85</v>
      </c>
      <c r="E20">
        <v>4.63</v>
      </c>
      <c r="F20" s="9" t="s">
        <v>67</v>
      </c>
      <c r="G20" s="7">
        <v>54648221696</v>
      </c>
      <c r="H20" s="6">
        <v>5.97</v>
      </c>
      <c r="I20" s="6">
        <v>4.4800000000000004</v>
      </c>
      <c r="J20" s="12">
        <f t="shared" si="0"/>
        <v>3.3482142857142794E-2</v>
      </c>
      <c r="K20" s="11">
        <v>3.1965442764578834E-2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0.12535085644251714</v>
      </c>
      <c r="Q20" s="12">
        <v>0.27010748742934609</v>
      </c>
      <c r="R20" s="14">
        <v>9</v>
      </c>
    </row>
    <row r="21" spans="2:18" x14ac:dyDescent="0.5">
      <c r="B21" s="1" t="s">
        <v>20</v>
      </c>
      <c r="C21" t="s">
        <v>72</v>
      </c>
      <c r="D21" t="s">
        <v>73</v>
      </c>
      <c r="E21">
        <v>3.2</v>
      </c>
      <c r="F21" s="9" t="s">
        <v>67</v>
      </c>
      <c r="G21" s="7">
        <v>3327385600</v>
      </c>
      <c r="H21" s="6">
        <v>3.74</v>
      </c>
      <c r="I21" s="6">
        <v>1.92</v>
      </c>
      <c r="J21" s="12">
        <f t="shared" si="0"/>
        <v>0.66666666666666674</v>
      </c>
      <c r="K21" s="11">
        <v>8.8749999999999982E-2</v>
      </c>
      <c r="L21" s="13">
        <v>762183000</v>
      </c>
      <c r="M21" s="13">
        <v>5008319000</v>
      </c>
      <c r="N21" s="9" t="s">
        <v>67</v>
      </c>
      <c r="O21" s="6">
        <v>1</v>
      </c>
      <c r="P21" s="12">
        <v>0.1871570562656949</v>
      </c>
      <c r="Q21" s="12">
        <v>0.15218339726363278</v>
      </c>
      <c r="R21" s="14">
        <v>17</v>
      </c>
    </row>
    <row r="22" spans="2:18" x14ac:dyDescent="0.5">
      <c r="B22" s="1" t="s">
        <v>281</v>
      </c>
      <c r="C22" t="s">
        <v>334</v>
      </c>
      <c r="D22" t="s">
        <v>74</v>
      </c>
      <c r="E22">
        <v>5.16</v>
      </c>
      <c r="F22" s="9" t="s">
        <v>67</v>
      </c>
      <c r="G22" s="7">
        <v>13930546176</v>
      </c>
      <c r="H22" s="6">
        <v>6.83</v>
      </c>
      <c r="I22" s="6">
        <v>4.46</v>
      </c>
      <c r="J22" s="12">
        <f t="shared" si="0"/>
        <v>0.15695067264573992</v>
      </c>
      <c r="K22" s="11">
        <v>4.8255813953488373E-2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0.15517857807606716</v>
      </c>
      <c r="Q22" s="12">
        <v>0.17526328902672489</v>
      </c>
      <c r="R22" s="14">
        <v>17</v>
      </c>
    </row>
    <row r="23" spans="2:18" x14ac:dyDescent="0.5">
      <c r="B23" s="1" t="s">
        <v>22</v>
      </c>
      <c r="C23" t="s">
        <v>77</v>
      </c>
      <c r="D23" t="s">
        <v>78</v>
      </c>
      <c r="E23">
        <v>11.15</v>
      </c>
      <c r="F23" s="9" t="s">
        <v>67</v>
      </c>
      <c r="G23" s="7">
        <v>180336623616</v>
      </c>
      <c r="H23" s="6">
        <v>12.31</v>
      </c>
      <c r="I23" s="6">
        <v>7.16</v>
      </c>
      <c r="J23" s="12">
        <f t="shared" si="0"/>
        <v>0.5572625698324023</v>
      </c>
      <c r="K23" s="11">
        <v>3.8026905829596412E-2</v>
      </c>
      <c r="L23" s="13">
        <v>32866046000</v>
      </c>
      <c r="M23" s="13">
        <v>215280386000</v>
      </c>
      <c r="N23" s="9" t="s">
        <v>50</v>
      </c>
      <c r="O23" s="6">
        <v>1.0683760683760684</v>
      </c>
      <c r="P23" s="12">
        <v>0.16161158957415001</v>
      </c>
      <c r="Q23" s="12">
        <v>0.15266623500015464</v>
      </c>
      <c r="R23" s="14">
        <v>21</v>
      </c>
    </row>
    <row r="24" spans="2:18" x14ac:dyDescent="0.5">
      <c r="B24" s="1" t="s">
        <v>27</v>
      </c>
      <c r="C24" t="s">
        <v>86</v>
      </c>
      <c r="D24" t="s">
        <v>87</v>
      </c>
      <c r="E24">
        <v>4.9000000000000004</v>
      </c>
      <c r="F24" s="9" t="s">
        <v>67</v>
      </c>
      <c r="G24" s="7">
        <v>5203222016</v>
      </c>
      <c r="H24" s="6">
        <v>7.12</v>
      </c>
      <c r="I24" s="6">
        <v>3.98</v>
      </c>
      <c r="J24" s="12">
        <f t="shared" si="0"/>
        <v>0.23115577889447247</v>
      </c>
      <c r="K24" s="11">
        <v>0.1020408163265306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0.39267090370706892</v>
      </c>
      <c r="Q24" s="12">
        <v>0.11511220438953086</v>
      </c>
      <c r="R24" s="14">
        <v>20</v>
      </c>
    </row>
    <row r="25" spans="2:18" x14ac:dyDescent="0.5">
      <c r="B25" s="1" t="s">
        <v>24</v>
      </c>
      <c r="C25" t="s">
        <v>755</v>
      </c>
      <c r="D25" t="s">
        <v>81</v>
      </c>
      <c r="E25">
        <v>22.76</v>
      </c>
      <c r="F25" s="9" t="s">
        <v>67</v>
      </c>
      <c r="G25" s="7">
        <v>48496406528</v>
      </c>
      <c r="H25" s="6">
        <v>26</v>
      </c>
      <c r="I25" s="6">
        <v>9.76</v>
      </c>
      <c r="J25" s="12">
        <f t="shared" si="0"/>
        <v>1.3319672131147544</v>
      </c>
      <c r="K25" s="11">
        <v>4.9209138840070298E-2</v>
      </c>
      <c r="L25" s="13">
        <v>5451928473.2399998</v>
      </c>
      <c r="M25" s="13">
        <v>25994816572.18</v>
      </c>
      <c r="N25" s="9" t="s">
        <v>50</v>
      </c>
      <c r="O25" s="6">
        <v>1.0683760683760684</v>
      </c>
      <c r="P25" s="12">
        <v>0.11209543415912912</v>
      </c>
      <c r="Q25" s="12">
        <v>0.20973136925592797</v>
      </c>
      <c r="R25" s="14">
        <v>23</v>
      </c>
    </row>
    <row r="26" spans="2:18" x14ac:dyDescent="0.5">
      <c r="B26" s="1" t="s">
        <v>34</v>
      </c>
      <c r="C26" t="s">
        <v>97</v>
      </c>
      <c r="D26" t="s">
        <v>70</v>
      </c>
      <c r="E26">
        <v>4.53</v>
      </c>
      <c r="F26" s="9" t="s">
        <v>67</v>
      </c>
      <c r="G26" s="7">
        <v>52230701056</v>
      </c>
      <c r="H26" s="6">
        <v>5.37</v>
      </c>
      <c r="I26" s="6">
        <v>3.5</v>
      </c>
      <c r="J26" s="12">
        <f t="shared" si="0"/>
        <v>0.29428571428571426</v>
      </c>
      <c r="K26" s="11">
        <v>5.8278145695364235E-2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0.11371151978481586</v>
      </c>
      <c r="Q26" s="12">
        <v>0.29719681912231338</v>
      </c>
      <c r="R26" s="14">
        <v>15</v>
      </c>
    </row>
    <row r="27" spans="2:18" x14ac:dyDescent="0.5">
      <c r="B27" s="1" t="s">
        <v>279</v>
      </c>
      <c r="C27" t="s">
        <v>332</v>
      </c>
      <c r="D27" t="s">
        <v>60</v>
      </c>
      <c r="E27">
        <v>10.6</v>
      </c>
      <c r="F27" s="9" t="s">
        <v>67</v>
      </c>
      <c r="G27" s="7">
        <v>17179410432</v>
      </c>
      <c r="H27" s="6">
        <v>12.4</v>
      </c>
      <c r="I27" s="6">
        <v>10.01</v>
      </c>
      <c r="J27" s="12">
        <f t="shared" si="0"/>
        <v>5.8941058941058833E-2</v>
      </c>
      <c r="K27" s="11">
        <v>5.6603773584905662E-2</v>
      </c>
      <c r="L27" s="13">
        <v>1721368005.75</v>
      </c>
      <c r="M27" s="13">
        <v>14620942286.52</v>
      </c>
      <c r="N27" s="9" t="s">
        <v>50</v>
      </c>
      <c r="O27" s="6">
        <v>1.0683760683760684</v>
      </c>
      <c r="P27" s="12">
        <v>0.23868976074586645</v>
      </c>
      <c r="Q27" s="12">
        <v>0.11773304155211949</v>
      </c>
      <c r="R27" s="14">
        <v>22</v>
      </c>
    </row>
    <row r="28" spans="2:18" x14ac:dyDescent="0.5">
      <c r="B28" s="1" t="s">
        <v>433</v>
      </c>
      <c r="C28" t="s">
        <v>436</v>
      </c>
      <c r="D28" t="s">
        <v>182</v>
      </c>
      <c r="E28">
        <v>15.65</v>
      </c>
      <c r="F28" s="9" t="s">
        <v>67</v>
      </c>
      <c r="G28" s="7">
        <v>84744749056</v>
      </c>
      <c r="H28" s="6">
        <v>18.88</v>
      </c>
      <c r="I28" s="6">
        <v>12.43</v>
      </c>
      <c r="J28" s="12">
        <f t="shared" si="0"/>
        <v>0.25905068382944485</v>
      </c>
      <c r="K28" s="11">
        <v>4.9648562300319492E-2</v>
      </c>
      <c r="L28" s="13">
        <v>6898733000</v>
      </c>
      <c r="M28" s="13">
        <v>12604518000</v>
      </c>
      <c r="N28" s="9" t="s">
        <v>50</v>
      </c>
      <c r="O28" s="6">
        <v>1.0683760683760684</v>
      </c>
      <c r="P28" s="12">
        <v>8.8428843573799598E-2</v>
      </c>
      <c r="Q28" s="12">
        <v>0.54732223794674262</v>
      </c>
      <c r="R28" s="14">
        <v>26</v>
      </c>
    </row>
    <row r="29" spans="2:18" x14ac:dyDescent="0.5">
      <c r="B29" s="1" t="s">
        <v>282</v>
      </c>
      <c r="C29" t="s">
        <v>335</v>
      </c>
      <c r="D29" t="s">
        <v>96</v>
      </c>
      <c r="E29">
        <v>4.7300000000000004</v>
      </c>
      <c r="F29" s="9" t="s">
        <v>67</v>
      </c>
      <c r="G29" s="7">
        <v>5207500800</v>
      </c>
      <c r="H29" s="6">
        <v>4.95</v>
      </c>
      <c r="I29" s="6">
        <v>4</v>
      </c>
      <c r="J29" s="12">
        <f t="shared" si="0"/>
        <v>0.18250000000000011</v>
      </c>
      <c r="K29" s="11">
        <v>6.7653276955602526E-2</v>
      </c>
      <c r="L29" s="13">
        <v>765224000</v>
      </c>
      <c r="M29" s="13">
        <v>5249449000</v>
      </c>
      <c r="N29" s="9" t="s">
        <v>67</v>
      </c>
      <c r="O29" s="6">
        <v>1</v>
      </c>
      <c r="P29" s="12">
        <v>0.16657894625707412</v>
      </c>
      <c r="Q29" s="12">
        <v>0.14577225152582682</v>
      </c>
      <c r="R29" s="14">
        <v>24</v>
      </c>
    </row>
    <row r="30" spans="2:18" x14ac:dyDescent="0.5">
      <c r="B30" s="1" t="s">
        <v>289</v>
      </c>
      <c r="C30" t="s">
        <v>342</v>
      </c>
      <c r="D30" t="s">
        <v>85</v>
      </c>
      <c r="E30">
        <v>1.04</v>
      </c>
      <c r="F30" s="9" t="s">
        <v>67</v>
      </c>
      <c r="G30" s="7">
        <v>2276054528</v>
      </c>
      <c r="H30" s="6">
        <v>1.29</v>
      </c>
      <c r="I30" s="6">
        <v>0.47</v>
      </c>
      <c r="J30" s="12">
        <f t="shared" si="0"/>
        <v>1.2127659574468086</v>
      </c>
      <c r="K30" s="11">
        <v>3.5576923076923075E-2</v>
      </c>
      <c r="L30" s="13">
        <v>219938000</v>
      </c>
      <c r="M30" s="13">
        <v>1520292000</v>
      </c>
      <c r="N30" s="9" t="s">
        <v>50</v>
      </c>
      <c r="O30" s="6">
        <v>1.0683760683760684</v>
      </c>
      <c r="P30" s="12">
        <v>0.16827284532485134</v>
      </c>
      <c r="Q30" s="12">
        <v>0.14466826109721026</v>
      </c>
      <c r="R30" s="14">
        <v>23</v>
      </c>
    </row>
    <row r="31" spans="2:18" x14ac:dyDescent="0.5">
      <c r="B31" s="1" t="s">
        <v>25</v>
      </c>
      <c r="C31" t="s">
        <v>82</v>
      </c>
      <c r="D31" t="s">
        <v>49</v>
      </c>
      <c r="E31">
        <v>11.02</v>
      </c>
      <c r="F31" s="9" t="s">
        <v>67</v>
      </c>
      <c r="G31" s="7">
        <v>13724518400</v>
      </c>
      <c r="H31" s="6">
        <v>11.68</v>
      </c>
      <c r="I31" s="6">
        <v>4.3499999999999996</v>
      </c>
      <c r="J31" s="12">
        <f t="shared" si="0"/>
        <v>1.5333333333333337</v>
      </c>
      <c r="K31" s="11">
        <v>1.2794918330308529E-2</v>
      </c>
      <c r="L31" s="13">
        <v>921702000</v>
      </c>
      <c r="M31" s="13">
        <v>5262544000</v>
      </c>
      <c r="N31" s="9" t="s">
        <v>50</v>
      </c>
      <c r="O31" s="6">
        <v>1.0683760683760684</v>
      </c>
      <c r="P31" s="12">
        <v>8.7394151380486187E-2</v>
      </c>
      <c r="Q31" s="12">
        <v>0.17514380877385538</v>
      </c>
      <c r="R31" s="14">
        <v>46</v>
      </c>
    </row>
    <row r="32" spans="2:18" x14ac:dyDescent="0.5">
      <c r="B32" s="1" t="s">
        <v>198</v>
      </c>
      <c r="C32" t="s">
        <v>222</v>
      </c>
      <c r="D32" t="s">
        <v>223</v>
      </c>
      <c r="E32">
        <v>0.66</v>
      </c>
      <c r="F32" s="9" t="s">
        <v>67</v>
      </c>
      <c r="G32" s="7">
        <v>1572256000</v>
      </c>
      <c r="H32" s="6">
        <v>0.75</v>
      </c>
      <c r="I32" s="6">
        <v>0.55000000000000004</v>
      </c>
      <c r="J32" s="12">
        <f t="shared" si="0"/>
        <v>0.19999999999999996</v>
      </c>
      <c r="K32" s="11">
        <v>1.5151515151515152E-2</v>
      </c>
      <c r="L32" s="13">
        <v>54195000</v>
      </c>
      <c r="M32" s="13">
        <v>586711000</v>
      </c>
      <c r="N32" s="9" t="s">
        <v>71</v>
      </c>
      <c r="O32" s="6">
        <v>7.6923076923076916</v>
      </c>
      <c r="P32" s="12">
        <v>1.525962909485719</v>
      </c>
      <c r="Q32" s="12">
        <v>9.2370860611101543E-2</v>
      </c>
      <c r="R32" s="14">
        <v>28</v>
      </c>
    </row>
    <row r="33" spans="2:18" x14ac:dyDescent="0.5">
      <c r="B33" s="1" t="s">
        <v>270</v>
      </c>
      <c r="C33" t="s">
        <v>322</v>
      </c>
      <c r="D33" t="s">
        <v>94</v>
      </c>
      <c r="E33">
        <v>17.190000000000001</v>
      </c>
      <c r="F33" s="9" t="s">
        <v>67</v>
      </c>
      <c r="G33" s="7">
        <v>27582189568</v>
      </c>
      <c r="H33" s="6">
        <v>18.45</v>
      </c>
      <c r="I33" s="6">
        <v>9.6300000000000008</v>
      </c>
      <c r="J33" s="12">
        <f t="shared" si="0"/>
        <v>0.7850467289719627</v>
      </c>
      <c r="K33" s="11">
        <v>9.7149505526468883E-3</v>
      </c>
      <c r="L33" s="13">
        <v>634792000</v>
      </c>
      <c r="M33" s="13">
        <v>5195491000</v>
      </c>
      <c r="N33" s="9" t="s">
        <v>71</v>
      </c>
      <c r="O33" s="6">
        <v>7.6923076923076916</v>
      </c>
      <c r="P33" s="12">
        <v>0.16709218310761967</v>
      </c>
      <c r="Q33" s="12">
        <v>0.12218132992627646</v>
      </c>
      <c r="R33" s="14">
        <v>29</v>
      </c>
    </row>
    <row r="34" spans="2:18" x14ac:dyDescent="0.5">
      <c r="B34" s="1" t="s">
        <v>115</v>
      </c>
      <c r="C34" t="s">
        <v>155</v>
      </c>
      <c r="D34" t="s">
        <v>83</v>
      </c>
      <c r="E34">
        <v>79.099999999999994</v>
      </c>
      <c r="F34" s="9" t="s">
        <v>67</v>
      </c>
      <c r="G34" s="7">
        <v>219146518528</v>
      </c>
      <c r="H34" s="6">
        <v>106.3</v>
      </c>
      <c r="I34" s="6">
        <v>73.55</v>
      </c>
      <c r="J34" s="12">
        <f t="shared" ref="J34:J65" si="1">E34/I34-1</f>
        <v>7.5458871515975412E-2</v>
      </c>
      <c r="K34" s="11">
        <v>2.9962073324905188E-2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0.10146443179788765</v>
      </c>
      <c r="Q34" s="12">
        <v>0.27269973953601068</v>
      </c>
      <c r="R34" s="14">
        <v>25</v>
      </c>
    </row>
    <row r="35" spans="2:18" x14ac:dyDescent="0.5">
      <c r="B35" s="1" t="s">
        <v>110</v>
      </c>
      <c r="C35" t="s">
        <v>147</v>
      </c>
      <c r="D35" t="s">
        <v>148</v>
      </c>
      <c r="E35">
        <v>4.1100000000000003</v>
      </c>
      <c r="F35" s="9" t="s">
        <v>67</v>
      </c>
      <c r="G35" s="7">
        <v>5899541504</v>
      </c>
      <c r="H35" s="6">
        <v>6.5</v>
      </c>
      <c r="I35" s="6">
        <v>2.84</v>
      </c>
      <c r="J35" s="12">
        <f t="shared" si="1"/>
        <v>0.44718309859154948</v>
      </c>
      <c r="K35" s="11">
        <v>9.5133819951338197E-2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0.15256056313469238</v>
      </c>
      <c r="Q35" s="12">
        <v>0.14675695119790894</v>
      </c>
      <c r="R35" s="14">
        <v>27</v>
      </c>
    </row>
    <row r="36" spans="2:18" x14ac:dyDescent="0.5">
      <c r="B36" s="1" t="s">
        <v>272</v>
      </c>
      <c r="C36" t="s">
        <v>324</v>
      </c>
      <c r="D36" t="s">
        <v>296</v>
      </c>
      <c r="E36">
        <v>4.21</v>
      </c>
      <c r="F36" s="9" t="s">
        <v>67</v>
      </c>
      <c r="G36" s="7">
        <v>48421412864</v>
      </c>
      <c r="H36" s="6">
        <v>4.54</v>
      </c>
      <c r="I36" s="6">
        <v>2.66</v>
      </c>
      <c r="J36" s="12">
        <f t="shared" si="1"/>
        <v>0.58270676691729317</v>
      </c>
      <c r="K36" s="11">
        <v>4.5130641330166268E-2</v>
      </c>
      <c r="L36" s="13">
        <v>9414000000</v>
      </c>
      <c r="M36" s="13">
        <v>81589000000</v>
      </c>
      <c r="N36" s="9" t="s">
        <v>50</v>
      </c>
      <c r="O36" s="6">
        <v>1.0683760683760684</v>
      </c>
      <c r="P36" s="12">
        <v>0.16032714656308061</v>
      </c>
      <c r="Q36" s="12">
        <v>0.11538320116682396</v>
      </c>
      <c r="R36" s="14">
        <v>35</v>
      </c>
    </row>
    <row r="37" spans="2:18" x14ac:dyDescent="0.5">
      <c r="B37" s="1" t="s">
        <v>277</v>
      </c>
      <c r="C37" t="s">
        <v>330</v>
      </c>
      <c r="D37" t="s">
        <v>55</v>
      </c>
      <c r="E37">
        <v>12.5</v>
      </c>
      <c r="F37" s="9" t="s">
        <v>67</v>
      </c>
      <c r="G37" s="7">
        <v>31510470656</v>
      </c>
      <c r="H37" s="6">
        <v>12.92</v>
      </c>
      <c r="I37" s="6">
        <v>6.09</v>
      </c>
      <c r="J37" s="12">
        <f t="shared" si="1"/>
        <v>1.0525451559934318</v>
      </c>
      <c r="K37" s="11">
        <v>2.5440000000000001E-2</v>
      </c>
      <c r="L37" s="13">
        <v>3301437000</v>
      </c>
      <c r="M37" s="13">
        <v>21814427000</v>
      </c>
      <c r="N37" s="9" t="s">
        <v>67</v>
      </c>
      <c r="O37" s="6">
        <v>1</v>
      </c>
      <c r="P37" s="12">
        <v>0.11915856248434858</v>
      </c>
      <c r="Q37" s="12">
        <v>0.15134190781174311</v>
      </c>
      <c r="R37" s="14">
        <v>36</v>
      </c>
    </row>
    <row r="38" spans="2:18" x14ac:dyDescent="0.5">
      <c r="B38" s="1" t="s">
        <v>275</v>
      </c>
      <c r="C38" t="s">
        <v>328</v>
      </c>
      <c r="D38" t="s">
        <v>148</v>
      </c>
      <c r="E38">
        <v>28.76</v>
      </c>
      <c r="F38" s="9" t="s">
        <v>67</v>
      </c>
      <c r="G38" s="7">
        <v>205085818880</v>
      </c>
      <c r="H38" s="6">
        <v>34.119999999999997</v>
      </c>
      <c r="I38" s="6">
        <v>22.2</v>
      </c>
      <c r="J38" s="12">
        <f t="shared" si="1"/>
        <v>0.29549549549549559</v>
      </c>
      <c r="K38" s="11">
        <v>4.5862308762169679E-2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0.18712064116786153</v>
      </c>
      <c r="Q38" s="12">
        <v>0.11493949471384535</v>
      </c>
      <c r="R38" s="14">
        <v>30</v>
      </c>
    </row>
    <row r="39" spans="2:18" x14ac:dyDescent="0.5">
      <c r="B39" s="1" t="s">
        <v>276</v>
      </c>
      <c r="C39" t="s">
        <v>329</v>
      </c>
      <c r="D39" t="s">
        <v>53</v>
      </c>
      <c r="E39">
        <v>26.8</v>
      </c>
      <c r="F39" s="9" t="s">
        <v>67</v>
      </c>
      <c r="G39" s="7">
        <v>273805492224</v>
      </c>
      <c r="H39" s="6">
        <v>27.92</v>
      </c>
      <c r="I39" s="6">
        <v>19.239999999999998</v>
      </c>
      <c r="J39" s="12">
        <f t="shared" si="1"/>
        <v>0.39293139293139312</v>
      </c>
      <c r="K39" s="11">
        <v>4.6044776119402983E-2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0.10385068253985309</v>
      </c>
      <c r="Q39" s="12">
        <v>0.18884873513587705</v>
      </c>
      <c r="R39" s="14">
        <v>33</v>
      </c>
    </row>
    <row r="40" spans="2:18" x14ac:dyDescent="0.5">
      <c r="B40" s="1" t="s">
        <v>136</v>
      </c>
      <c r="C40" t="s">
        <v>183</v>
      </c>
      <c r="D40" t="s">
        <v>85</v>
      </c>
      <c r="E40">
        <v>12.09</v>
      </c>
      <c r="F40" s="9" t="s">
        <v>67</v>
      </c>
      <c r="G40" s="7">
        <v>68145483776</v>
      </c>
      <c r="H40" s="6">
        <v>14.24</v>
      </c>
      <c r="I40" s="6">
        <v>10.16</v>
      </c>
      <c r="J40" s="12">
        <f t="shared" si="1"/>
        <v>0.18996062992125973</v>
      </c>
      <c r="K40" s="11">
        <v>2.7377998345740284E-2</v>
      </c>
      <c r="L40" s="13">
        <v>6482967000</v>
      </c>
      <c r="M40" s="13">
        <v>27483863000</v>
      </c>
      <c r="N40" s="9" t="s">
        <v>50</v>
      </c>
      <c r="O40" s="6">
        <v>1.0683760683760684</v>
      </c>
      <c r="P40" s="12">
        <v>9.2901104562185241E-2</v>
      </c>
      <c r="Q40" s="12">
        <v>0.23588267049650188</v>
      </c>
      <c r="R40" s="14">
        <v>32</v>
      </c>
    </row>
    <row r="41" spans="2:18" x14ac:dyDescent="0.5">
      <c r="B41" s="1" t="s">
        <v>278</v>
      </c>
      <c r="C41" t="s">
        <v>331</v>
      </c>
      <c r="D41" t="s">
        <v>49</v>
      </c>
      <c r="E41">
        <v>24.2</v>
      </c>
      <c r="F41" s="9" t="s">
        <v>67</v>
      </c>
      <c r="G41" s="7">
        <v>38623199232</v>
      </c>
      <c r="H41" s="6">
        <v>24.5</v>
      </c>
      <c r="I41" s="6">
        <v>16.18</v>
      </c>
      <c r="J41" s="12">
        <f t="shared" si="1"/>
        <v>0.49567367119901107</v>
      </c>
      <c r="K41" s="11">
        <v>2.8347107438016533E-2</v>
      </c>
      <c r="L41" s="13">
        <v>3811007000</v>
      </c>
      <c r="M41" s="13">
        <v>22856317000</v>
      </c>
      <c r="N41" s="9" t="s">
        <v>50</v>
      </c>
      <c r="O41" s="6">
        <v>1.0683760683760684</v>
      </c>
      <c r="P41" s="12">
        <v>0.10737632137890407</v>
      </c>
      <c r="Q41" s="12">
        <v>0.1667375806872122</v>
      </c>
      <c r="R41" s="14">
        <v>38</v>
      </c>
    </row>
    <row r="42" spans="2:18" x14ac:dyDescent="0.5">
      <c r="B42" s="1" t="s">
        <v>121</v>
      </c>
      <c r="C42" t="s">
        <v>162</v>
      </c>
      <c r="D42" t="s">
        <v>76</v>
      </c>
      <c r="E42">
        <v>6.44</v>
      </c>
      <c r="F42" s="9" t="s">
        <v>67</v>
      </c>
      <c r="G42" s="7">
        <v>9440856064</v>
      </c>
      <c r="H42" s="6">
        <v>6.57</v>
      </c>
      <c r="I42" s="6">
        <v>4.08</v>
      </c>
      <c r="J42" s="12">
        <f t="shared" si="1"/>
        <v>0.57843137254901977</v>
      </c>
      <c r="K42" s="11">
        <v>8.4627329192546591E-2</v>
      </c>
      <c r="L42" s="13">
        <v>784607000</v>
      </c>
      <c r="M42" s="13">
        <v>7872586000</v>
      </c>
      <c r="N42" s="9" t="s">
        <v>67</v>
      </c>
      <c r="O42" s="6">
        <v>1</v>
      </c>
      <c r="P42" s="12">
        <v>0.21089578747147975</v>
      </c>
      <c r="Q42" s="12">
        <v>9.9663185641922489E-2</v>
      </c>
      <c r="R42" s="14">
        <v>35</v>
      </c>
    </row>
    <row r="43" spans="2:18" x14ac:dyDescent="0.5">
      <c r="B43" s="1" t="s">
        <v>139</v>
      </c>
      <c r="C43" t="s">
        <v>187</v>
      </c>
      <c r="D43" t="s">
        <v>106</v>
      </c>
      <c r="E43">
        <v>41.36</v>
      </c>
      <c r="F43" s="9" t="s">
        <v>67</v>
      </c>
      <c r="G43" s="7">
        <v>105832955904</v>
      </c>
      <c r="H43" s="6">
        <v>71.7</v>
      </c>
      <c r="I43" s="6">
        <v>39.549999999999997</v>
      </c>
      <c r="J43" s="12">
        <f t="shared" si="1"/>
        <v>4.5764854614412265E-2</v>
      </c>
      <c r="K43" s="11">
        <v>3.9651837524177953E-3</v>
      </c>
      <c r="L43" s="13">
        <v>1279098000</v>
      </c>
      <c r="M43" s="13">
        <v>4811702000</v>
      </c>
      <c r="N43" s="9" t="s">
        <v>188</v>
      </c>
      <c r="O43" s="6">
        <v>8.7546153846153842</v>
      </c>
      <c r="P43" s="12">
        <v>9.2255692373548567E-2</v>
      </c>
      <c r="Q43" s="12">
        <v>0.26583067696212276</v>
      </c>
      <c r="R43" s="14">
        <v>31</v>
      </c>
    </row>
    <row r="44" spans="2:18" x14ac:dyDescent="0.5">
      <c r="B44" s="1" t="s">
        <v>380</v>
      </c>
      <c r="C44" t="s">
        <v>383</v>
      </c>
      <c r="D44" t="s">
        <v>83</v>
      </c>
      <c r="E44">
        <v>20.9</v>
      </c>
      <c r="F44" s="9" t="s">
        <v>67</v>
      </c>
      <c r="G44" s="7">
        <v>53817946112</v>
      </c>
      <c r="H44" s="6">
        <v>21.62</v>
      </c>
      <c r="I44" s="6">
        <v>13.5</v>
      </c>
      <c r="J44" s="12">
        <f t="shared" si="1"/>
        <v>0.54814814814814805</v>
      </c>
      <c r="K44" s="11">
        <v>2.5980861244019143E-2</v>
      </c>
      <c r="L44" s="13">
        <v>4264779000</v>
      </c>
      <c r="M44" s="13">
        <v>26103689000</v>
      </c>
      <c r="N44" s="9" t="s">
        <v>50</v>
      </c>
      <c r="O44" s="6">
        <v>1.0683760683760684</v>
      </c>
      <c r="P44" s="12">
        <v>9.5172297267351921E-2</v>
      </c>
      <c r="Q44" s="12">
        <v>0.16337840218675606</v>
      </c>
      <c r="R44" s="14">
        <v>47</v>
      </c>
    </row>
    <row r="45" spans="2:18" x14ac:dyDescent="0.5">
      <c r="B45" s="1" t="s">
        <v>280</v>
      </c>
      <c r="C45" t="s">
        <v>333</v>
      </c>
      <c r="D45" t="s">
        <v>96</v>
      </c>
      <c r="E45">
        <v>4.62</v>
      </c>
      <c r="F45" s="9" t="s">
        <v>67</v>
      </c>
      <c r="G45" s="7">
        <v>31998205952</v>
      </c>
      <c r="H45" s="6">
        <v>6.15</v>
      </c>
      <c r="I45" s="6">
        <v>3.78</v>
      </c>
      <c r="J45" s="12">
        <f t="shared" si="1"/>
        <v>0.22222222222222232</v>
      </c>
      <c r="K45" s="11">
        <v>4.7402597402597405E-2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0.34163189481467371</v>
      </c>
      <c r="Q45" s="12">
        <v>9.1377422623841298E-2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7.02</v>
      </c>
      <c r="F46" s="9" t="s">
        <v>67</v>
      </c>
      <c r="G46" s="7">
        <v>12688154624</v>
      </c>
      <c r="H46" s="6">
        <v>9.7899999999999991</v>
      </c>
      <c r="I46" s="6">
        <v>5.49</v>
      </c>
      <c r="J46" s="12">
        <f t="shared" si="1"/>
        <v>0.2786885245901638</v>
      </c>
      <c r="K46" s="11">
        <v>3.7037037037037042E-2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0.16460261481739724</v>
      </c>
      <c r="Q46" s="12">
        <v>0.11156568921912897</v>
      </c>
      <c r="R46" s="14">
        <v>37</v>
      </c>
    </row>
    <row r="47" spans="2:18" x14ac:dyDescent="0.5">
      <c r="B47" s="1" t="s">
        <v>248</v>
      </c>
      <c r="C47" t="s">
        <v>293</v>
      </c>
      <c r="D47" t="s">
        <v>294</v>
      </c>
      <c r="E47">
        <v>22.1</v>
      </c>
      <c r="F47" s="9" t="s">
        <v>67</v>
      </c>
      <c r="G47" s="7">
        <v>537732710400</v>
      </c>
      <c r="H47" s="6">
        <v>23.46</v>
      </c>
      <c r="I47" s="6">
        <v>4.58</v>
      </c>
      <c r="J47" s="12">
        <f t="shared" si="1"/>
        <v>3.825327510917031</v>
      </c>
      <c r="K47" s="11">
        <v>1.1538461538461537E-2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5.7972958087035127E-2</v>
      </c>
      <c r="Q47" s="12">
        <v>0.2888078161719172</v>
      </c>
      <c r="R47" s="14">
        <v>42</v>
      </c>
    </row>
    <row r="48" spans="2:18" x14ac:dyDescent="0.5">
      <c r="B48" s="1" t="s">
        <v>274</v>
      </c>
      <c r="C48" t="s">
        <v>326</v>
      </c>
      <c r="D48" t="s">
        <v>327</v>
      </c>
      <c r="E48">
        <v>10.09</v>
      </c>
      <c r="F48" s="9" t="s">
        <v>67</v>
      </c>
      <c r="G48" s="7">
        <v>12882770944</v>
      </c>
      <c r="H48" s="6">
        <v>10.38</v>
      </c>
      <c r="I48" s="6">
        <v>3.85</v>
      </c>
      <c r="J48" s="12">
        <f t="shared" si="1"/>
        <v>1.6207792207792209</v>
      </c>
      <c r="K48" s="11">
        <v>2.5768087215064423E-2</v>
      </c>
      <c r="L48" s="13">
        <v>2871477000</v>
      </c>
      <c r="M48" s="13">
        <v>21784665000</v>
      </c>
      <c r="N48" s="9" t="s">
        <v>50</v>
      </c>
      <c r="O48" s="6">
        <v>1.0683760683760684</v>
      </c>
      <c r="P48" s="12">
        <v>0.11845932614892325</v>
      </c>
      <c r="Q48" s="12">
        <v>0.1318118502166547</v>
      </c>
      <c r="R48" s="14">
        <v>41</v>
      </c>
    </row>
    <row r="49" spans="2:18" x14ac:dyDescent="0.5">
      <c r="B49" s="1" t="s">
        <v>267</v>
      </c>
      <c r="C49" t="s">
        <v>318</v>
      </c>
      <c r="D49" t="s">
        <v>171</v>
      </c>
      <c r="E49">
        <v>84.4</v>
      </c>
      <c r="F49" s="9" t="s">
        <v>67</v>
      </c>
      <c r="G49" s="7">
        <v>20663252992</v>
      </c>
      <c r="H49" s="6">
        <v>103.1</v>
      </c>
      <c r="I49" s="6">
        <v>58.2</v>
      </c>
      <c r="J49" s="12">
        <f t="shared" si="1"/>
        <v>0.45017182130584188</v>
      </c>
      <c r="K49" s="11">
        <v>9.7156398104265383E-3</v>
      </c>
      <c r="L49" s="13">
        <v>526052000</v>
      </c>
      <c r="M49" s="13">
        <v>5343547000</v>
      </c>
      <c r="N49" s="9" t="s">
        <v>71</v>
      </c>
      <c r="O49" s="6">
        <v>7.6923076923076916</v>
      </c>
      <c r="P49" s="12">
        <v>0.19475408864488397</v>
      </c>
      <c r="Q49" s="12">
        <v>9.8446219337080781E-2</v>
      </c>
      <c r="R49" s="14">
        <v>39</v>
      </c>
    </row>
    <row r="50" spans="2:18" x14ac:dyDescent="0.5">
      <c r="B50" s="1" t="s">
        <v>271</v>
      </c>
      <c r="C50" t="s">
        <v>323</v>
      </c>
      <c r="D50" t="s">
        <v>94</v>
      </c>
      <c r="E50">
        <v>0.48</v>
      </c>
      <c r="F50" s="9" t="s">
        <v>67</v>
      </c>
      <c r="G50" s="7">
        <v>2485808640</v>
      </c>
      <c r="H50" s="6">
        <v>0.68</v>
      </c>
      <c r="I50" s="6">
        <v>0.44500000000000001</v>
      </c>
      <c r="J50" s="12">
        <f t="shared" si="1"/>
        <v>7.8651685393258397E-2</v>
      </c>
      <c r="K50" s="11">
        <v>4.1666666666666671E-2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0.31301948550747433</v>
      </c>
      <c r="Q50" s="12">
        <v>8.5775443346640556E-2</v>
      </c>
      <c r="R50" s="14">
        <v>40</v>
      </c>
    </row>
    <row r="51" spans="2:18" x14ac:dyDescent="0.5">
      <c r="B51" s="1" t="s">
        <v>37</v>
      </c>
      <c r="C51" t="s">
        <v>101</v>
      </c>
      <c r="D51" t="s">
        <v>102</v>
      </c>
      <c r="E51">
        <v>4.9800000000000004</v>
      </c>
      <c r="F51" s="9" t="s">
        <v>67</v>
      </c>
      <c r="G51" s="7">
        <v>3880426752</v>
      </c>
      <c r="H51" s="6">
        <v>8.83</v>
      </c>
      <c r="I51" s="6">
        <v>4.28</v>
      </c>
      <c r="J51" s="12">
        <f t="shared" si="1"/>
        <v>0.16355140186915884</v>
      </c>
      <c r="K51" s="11">
        <v>3.4136546184738957E-2</v>
      </c>
      <c r="L51" s="13">
        <v>437453000</v>
      </c>
      <c r="M51" s="13">
        <v>4911072000</v>
      </c>
      <c r="N51" s="9" t="s">
        <v>67</v>
      </c>
      <c r="O51" s="6">
        <v>1</v>
      </c>
      <c r="P51" s="12">
        <v>0.27495859037003051</v>
      </c>
      <c r="Q51" s="12">
        <v>8.9074849645861431E-2</v>
      </c>
      <c r="R51" s="14">
        <v>39</v>
      </c>
    </row>
    <row r="52" spans="2:18" x14ac:dyDescent="0.5">
      <c r="B52" s="1" t="s">
        <v>19</v>
      </c>
      <c r="C52" t="s">
        <v>69</v>
      </c>
      <c r="D52" t="s">
        <v>70</v>
      </c>
      <c r="E52">
        <v>7.06</v>
      </c>
      <c r="F52" s="9" t="s">
        <v>67</v>
      </c>
      <c r="G52" s="7">
        <v>20140922880</v>
      </c>
      <c r="H52" s="6">
        <v>7.77</v>
      </c>
      <c r="I52" s="6">
        <v>3.6</v>
      </c>
      <c r="J52" s="12">
        <f t="shared" si="1"/>
        <v>0.96111111111111103</v>
      </c>
      <c r="K52" s="11">
        <v>6.3739376770538241E-3</v>
      </c>
      <c r="L52" s="13">
        <v>259348000</v>
      </c>
      <c r="M52" s="13">
        <v>1677627000</v>
      </c>
      <c r="N52" s="9" t="s">
        <v>71</v>
      </c>
      <c r="O52" s="6">
        <v>7.6923076923076916</v>
      </c>
      <c r="P52" s="12">
        <v>0.10960045826984686</v>
      </c>
      <c r="Q52" s="12">
        <v>0.15459217096529801</v>
      </c>
      <c r="R52" s="14">
        <v>40</v>
      </c>
    </row>
    <row r="53" spans="2:18" x14ac:dyDescent="0.5">
      <c r="B53" s="1" t="s">
        <v>283</v>
      </c>
      <c r="C53" t="s">
        <v>336</v>
      </c>
      <c r="D53" t="s">
        <v>70</v>
      </c>
      <c r="E53">
        <v>3.4</v>
      </c>
      <c r="F53" s="9" t="s">
        <v>67</v>
      </c>
      <c r="G53" s="7">
        <v>1952211968</v>
      </c>
      <c r="H53" s="6">
        <v>4.84</v>
      </c>
      <c r="I53" s="6">
        <v>2.8</v>
      </c>
      <c r="J53" s="12">
        <f t="shared" si="1"/>
        <v>0.21428571428571441</v>
      </c>
      <c r="K53" s="11">
        <v>8.2352941176470601E-2</v>
      </c>
      <c r="L53" s="13">
        <v>392836000</v>
      </c>
      <c r="M53" s="13">
        <v>3201831000</v>
      </c>
      <c r="N53" s="9" t="s">
        <v>67</v>
      </c>
      <c r="O53" s="6">
        <v>1</v>
      </c>
      <c r="P53" s="12">
        <v>0.12964315564649506</v>
      </c>
      <c r="Q53" s="12">
        <v>0.12269104771613493</v>
      </c>
      <c r="R53" s="14">
        <v>39</v>
      </c>
    </row>
    <row r="54" spans="2:18" x14ac:dyDescent="0.5">
      <c r="B54" s="1" t="s">
        <v>269</v>
      </c>
      <c r="C54" t="s">
        <v>321</v>
      </c>
      <c r="D54" t="s">
        <v>85</v>
      </c>
      <c r="E54">
        <v>12.9</v>
      </c>
      <c r="F54" s="9" t="s">
        <v>67</v>
      </c>
      <c r="G54" s="7">
        <v>3027913728</v>
      </c>
      <c r="H54" s="6">
        <v>17</v>
      </c>
      <c r="I54" s="6">
        <v>8.3000000000000007</v>
      </c>
      <c r="J54" s="12">
        <f t="shared" si="1"/>
        <v>0.55421686746987953</v>
      </c>
      <c r="K54" s="11">
        <v>3.7209302325581395E-2</v>
      </c>
      <c r="L54" s="13">
        <v>244811000</v>
      </c>
      <c r="M54" s="13">
        <v>2904223000</v>
      </c>
      <c r="N54" s="9" t="s">
        <v>67</v>
      </c>
      <c r="O54" s="6">
        <v>1</v>
      </c>
      <c r="P54" s="12">
        <v>0.18470478765167084</v>
      </c>
      <c r="Q54" s="12">
        <v>8.4294835486117978E-2</v>
      </c>
      <c r="R54" s="14">
        <v>49</v>
      </c>
    </row>
    <row r="55" spans="2:18" x14ac:dyDescent="0.5">
      <c r="B55" s="1" t="s">
        <v>265</v>
      </c>
      <c r="C55" t="s">
        <v>316</v>
      </c>
      <c r="D55" t="s">
        <v>298</v>
      </c>
      <c r="E55">
        <v>4.8</v>
      </c>
      <c r="F55" s="9" t="s">
        <v>67</v>
      </c>
      <c r="G55" s="7">
        <v>4435881984</v>
      </c>
      <c r="H55" s="6">
        <v>5.59</v>
      </c>
      <c r="I55" s="6">
        <v>3.5</v>
      </c>
      <c r="J55" s="12">
        <f t="shared" si="1"/>
        <v>0.37142857142857144</v>
      </c>
      <c r="K55" s="11">
        <v>3.229166666666667E-2</v>
      </c>
      <c r="L55" s="13">
        <v>754477000</v>
      </c>
      <c r="M55" s="13">
        <v>11677999000</v>
      </c>
      <c r="N55" s="9" t="s">
        <v>67</v>
      </c>
      <c r="O55" s="6">
        <v>1</v>
      </c>
      <c r="P55" s="12">
        <v>0.39372104407855074</v>
      </c>
      <c r="Q55" s="12">
        <v>6.460670188445812E-2</v>
      </c>
      <c r="R55" s="14">
        <v>41</v>
      </c>
    </row>
    <row r="56" spans="2:18" x14ac:dyDescent="0.5">
      <c r="B56" s="1" t="s">
        <v>35</v>
      </c>
      <c r="C56" t="s">
        <v>98</v>
      </c>
      <c r="D56" t="s">
        <v>99</v>
      </c>
      <c r="E56">
        <v>427.4</v>
      </c>
      <c r="F56" s="9" t="s">
        <v>67</v>
      </c>
      <c r="G56" s="7">
        <v>540193980416</v>
      </c>
      <c r="H56" s="6">
        <v>466</v>
      </c>
      <c r="I56" s="6">
        <v>283.2</v>
      </c>
      <c r="J56" s="12">
        <f t="shared" si="1"/>
        <v>0.50918079096045199</v>
      </c>
      <c r="K56" s="11">
        <v>2.550304164716893E-2</v>
      </c>
      <c r="L56" s="13">
        <v>20744000000</v>
      </c>
      <c r="M56" s="13">
        <v>53852000000</v>
      </c>
      <c r="N56" s="9" t="s">
        <v>67</v>
      </c>
      <c r="O56" s="6">
        <v>1</v>
      </c>
      <c r="P56" s="12">
        <v>5.0952662949174943E-2</v>
      </c>
      <c r="Q56" s="12">
        <v>0.38520389214885242</v>
      </c>
      <c r="R56" s="14">
        <v>45</v>
      </c>
    </row>
    <row r="57" spans="2:18" x14ac:dyDescent="0.5">
      <c r="B57" s="1" t="s">
        <v>268</v>
      </c>
      <c r="C57" t="s">
        <v>319</v>
      </c>
      <c r="D57" t="s">
        <v>320</v>
      </c>
      <c r="E57">
        <v>10.45</v>
      </c>
      <c r="F57" s="9" t="s">
        <v>67</v>
      </c>
      <c r="G57" s="7">
        <v>21206458368</v>
      </c>
      <c r="H57" s="6">
        <v>11.11</v>
      </c>
      <c r="I57" s="6">
        <v>5.31</v>
      </c>
      <c r="J57" s="12">
        <f t="shared" si="1"/>
        <v>0.96798493408662911</v>
      </c>
      <c r="K57" s="11">
        <v>2.5837320574162683E-2</v>
      </c>
      <c r="L57" s="13">
        <v>1537565000</v>
      </c>
      <c r="M57" s="13">
        <v>14484935000</v>
      </c>
      <c r="N57" s="9" t="s">
        <v>50</v>
      </c>
      <c r="O57" s="6">
        <v>1.0683760683760684</v>
      </c>
      <c r="P57" s="12">
        <v>9.7659503737367717E-2</v>
      </c>
      <c r="Q57" s="12">
        <v>0.10614925092863724</v>
      </c>
      <c r="R57" s="14">
        <v>63</v>
      </c>
    </row>
    <row r="58" spans="2:18" x14ac:dyDescent="0.5">
      <c r="B58" s="1" t="s">
        <v>263</v>
      </c>
      <c r="C58" t="s">
        <v>313</v>
      </c>
      <c r="D58" t="s">
        <v>314</v>
      </c>
      <c r="E58">
        <v>8.58</v>
      </c>
      <c r="F58" s="9" t="s">
        <v>67</v>
      </c>
      <c r="G58" s="7">
        <v>21510883328</v>
      </c>
      <c r="H58" s="6">
        <v>10.14</v>
      </c>
      <c r="I58" s="6">
        <v>5.1100000000000003</v>
      </c>
      <c r="J58" s="12">
        <f t="shared" si="1"/>
        <v>0.67906066536203524</v>
      </c>
      <c r="K58" s="11">
        <v>4.638694638694639E-2</v>
      </c>
      <c r="L58" s="13">
        <v>3040816000</v>
      </c>
      <c r="M58" s="13">
        <v>29707522000</v>
      </c>
      <c r="N58" s="9" t="s">
        <v>50</v>
      </c>
      <c r="O58" s="6">
        <v>1.0683760683760684</v>
      </c>
      <c r="P58" s="12">
        <v>0.1407876189063115</v>
      </c>
      <c r="Q58" s="12">
        <v>0.102358453189061</v>
      </c>
      <c r="R58" s="14">
        <v>48</v>
      </c>
    </row>
    <row r="59" spans="2:18" x14ac:dyDescent="0.5">
      <c r="B59" s="1" t="s">
        <v>135</v>
      </c>
      <c r="C59" t="s">
        <v>181</v>
      </c>
      <c r="D59" t="s">
        <v>182</v>
      </c>
      <c r="E59">
        <v>375.8</v>
      </c>
      <c r="F59" s="9" t="s">
        <v>67</v>
      </c>
      <c r="G59" s="7">
        <v>133507366912</v>
      </c>
      <c r="H59" s="6">
        <v>421.4</v>
      </c>
      <c r="I59" s="6">
        <v>324</v>
      </c>
      <c r="J59" s="12">
        <f t="shared" si="1"/>
        <v>0.15987654320987654</v>
      </c>
      <c r="K59" s="11">
        <v>2.3416711016498136E-3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6.3018730479101254E-2</v>
      </c>
      <c r="Q59" s="12">
        <v>0.20495303159692571</v>
      </c>
      <c r="R59" s="14">
        <v>47</v>
      </c>
    </row>
    <row r="60" spans="2:18" x14ac:dyDescent="0.5">
      <c r="B60" s="1" t="s">
        <v>286</v>
      </c>
      <c r="C60" t="s">
        <v>339</v>
      </c>
      <c r="D60" t="s">
        <v>236</v>
      </c>
      <c r="E60">
        <v>23.48</v>
      </c>
      <c r="F60" s="9" t="s">
        <v>67</v>
      </c>
      <c r="G60" s="7">
        <v>23265245184</v>
      </c>
      <c r="H60" s="6">
        <v>24.12</v>
      </c>
      <c r="I60" s="6">
        <v>6.95</v>
      </c>
      <c r="J60" s="12">
        <f t="shared" si="1"/>
        <v>2.3784172661870504</v>
      </c>
      <c r="K60" s="11">
        <v>1.5076660988074956E-2</v>
      </c>
      <c r="L60" s="13">
        <v>1333116000</v>
      </c>
      <c r="M60" s="13">
        <v>8019803000</v>
      </c>
      <c r="N60" s="9" t="s">
        <v>50</v>
      </c>
      <c r="O60" s="6">
        <v>1.0683760683760684</v>
      </c>
      <c r="P60" s="12">
        <v>6.1694336829114141E-2</v>
      </c>
      <c r="Q60" s="12">
        <v>0.16622802330680692</v>
      </c>
      <c r="R60" s="14">
        <v>57</v>
      </c>
    </row>
    <row r="61" spans="2:18" x14ac:dyDescent="0.5">
      <c r="B61" s="1" t="s">
        <v>266</v>
      </c>
      <c r="C61" t="s">
        <v>317</v>
      </c>
      <c r="D61" t="s">
        <v>300</v>
      </c>
      <c r="E61">
        <v>6.84</v>
      </c>
      <c r="F61" s="9" t="s">
        <v>67</v>
      </c>
      <c r="G61" s="7">
        <v>30055124992</v>
      </c>
      <c r="H61" s="6">
        <v>7.93</v>
      </c>
      <c r="I61" s="6">
        <v>4.8</v>
      </c>
      <c r="J61" s="12">
        <f t="shared" si="1"/>
        <v>0.42500000000000004</v>
      </c>
      <c r="K61" s="11">
        <v>5.3801169590643273E-2</v>
      </c>
      <c r="L61" s="13">
        <v>2919921000</v>
      </c>
      <c r="M61" s="13">
        <v>31662140000</v>
      </c>
      <c r="N61" s="9" t="s">
        <v>50</v>
      </c>
      <c r="O61" s="6">
        <v>1.0683760683760684</v>
      </c>
      <c r="P61" s="12">
        <v>0.1691334659174665</v>
      </c>
      <c r="Q61" s="12">
        <v>9.2221214358852555E-2</v>
      </c>
      <c r="R61" s="14">
        <v>44</v>
      </c>
    </row>
    <row r="62" spans="2:18" x14ac:dyDescent="0.5">
      <c r="B62" s="1" t="s">
        <v>116</v>
      </c>
      <c r="C62" t="s">
        <v>156</v>
      </c>
      <c r="D62" t="s">
        <v>83</v>
      </c>
      <c r="E62">
        <v>194.4</v>
      </c>
      <c r="F62" s="9" t="s">
        <v>67</v>
      </c>
      <c r="G62" s="7">
        <v>258287157248</v>
      </c>
      <c r="H62" s="6">
        <v>339.8</v>
      </c>
      <c r="I62" s="6">
        <v>88.35</v>
      </c>
      <c r="J62" s="12">
        <f t="shared" si="1"/>
        <v>1.2003395585738543</v>
      </c>
      <c r="K62" s="11">
        <v>4.1923868312757195E-3</v>
      </c>
      <c r="L62" s="13">
        <v>4408440000</v>
      </c>
      <c r="M62" s="13">
        <v>10683505000</v>
      </c>
      <c r="N62" s="9" t="s">
        <v>50</v>
      </c>
      <c r="O62" s="6">
        <v>1.0683760683760684</v>
      </c>
      <c r="P62" s="12">
        <v>1.8631489436707914E-2</v>
      </c>
      <c r="Q62" s="12">
        <v>0.41263985929711272</v>
      </c>
      <c r="R62" s="14">
        <v>51</v>
      </c>
    </row>
    <row r="63" spans="2:18" x14ac:dyDescent="0.5">
      <c r="B63" s="1" t="s">
        <v>360</v>
      </c>
      <c r="C63" t="s">
        <v>362</v>
      </c>
      <c r="D63" t="s">
        <v>363</v>
      </c>
      <c r="E63">
        <v>2.4500000000000002</v>
      </c>
      <c r="F63" s="9" t="s">
        <v>67</v>
      </c>
      <c r="G63" s="7">
        <v>4940937216</v>
      </c>
      <c r="H63" s="6">
        <v>3.64</v>
      </c>
      <c r="I63" s="6">
        <v>0.99</v>
      </c>
      <c r="J63" s="12">
        <f t="shared" si="1"/>
        <v>1.4747474747474749</v>
      </c>
      <c r="K63" s="11">
        <v>0</v>
      </c>
      <c r="L63" s="13">
        <v>-732033000</v>
      </c>
      <c r="M63" s="13">
        <v>7864121000</v>
      </c>
      <c r="N63" s="9" t="s">
        <v>50</v>
      </c>
      <c r="O63" s="6">
        <v>1.0683760683760684</v>
      </c>
      <c r="P63" s="12">
        <v>4.6388816906717096</v>
      </c>
      <c r="Q63" s="12">
        <v>-9.3085164890011229E-2</v>
      </c>
      <c r="R63" s="14">
        <v>52</v>
      </c>
    </row>
    <row r="64" spans="2:18" x14ac:dyDescent="0.5">
      <c r="B64" s="1" t="s">
        <v>432</v>
      </c>
      <c r="C64" t="s">
        <v>434</v>
      </c>
      <c r="D64" t="s">
        <v>435</v>
      </c>
      <c r="E64">
        <v>97.3</v>
      </c>
      <c r="F64" s="9" t="s">
        <v>67</v>
      </c>
      <c r="G64" s="7">
        <v>594198265856</v>
      </c>
      <c r="H64" s="6">
        <v>189.6</v>
      </c>
      <c r="I64" s="6">
        <v>94.05</v>
      </c>
      <c r="J64" s="12">
        <f t="shared" si="1"/>
        <v>3.4556087187666229E-2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7.1907687976952253E-2</v>
      </c>
      <c r="Q64" s="12">
        <v>0.17215263916748974</v>
      </c>
      <c r="R64" s="14">
        <v>50</v>
      </c>
    </row>
    <row r="65" spans="2:18" x14ac:dyDescent="0.5">
      <c r="B65" s="1" t="s">
        <v>134</v>
      </c>
      <c r="C65" t="s">
        <v>179</v>
      </c>
      <c r="D65" t="s">
        <v>180</v>
      </c>
      <c r="E65">
        <v>40.58</v>
      </c>
      <c r="F65" s="9" t="s">
        <v>67</v>
      </c>
      <c r="G65" s="7">
        <v>28068376576</v>
      </c>
      <c r="H65" s="6">
        <v>48.1</v>
      </c>
      <c r="I65" s="6">
        <v>19.82</v>
      </c>
      <c r="J65" s="12">
        <f t="shared" si="1"/>
        <v>1.0474268415741674</v>
      </c>
      <c r="K65" s="11">
        <v>1.232134056185313E-2</v>
      </c>
      <c r="L65" s="13">
        <v>1323087000</v>
      </c>
      <c r="M65" s="13">
        <v>5952918000</v>
      </c>
      <c r="N65" s="9" t="s">
        <v>67</v>
      </c>
      <c r="O65" s="6">
        <v>1</v>
      </c>
      <c r="P65" s="12">
        <v>4.3335529501243954E-2</v>
      </c>
      <c r="Q65" s="12">
        <v>0.222258562943417</v>
      </c>
      <c r="R65" s="14">
        <v>54</v>
      </c>
    </row>
    <row r="66" spans="2:18" x14ac:dyDescent="0.5">
      <c r="B66" s="1" t="s">
        <v>123</v>
      </c>
      <c r="C66" t="s">
        <v>165</v>
      </c>
      <c r="D66" t="s">
        <v>106</v>
      </c>
      <c r="E66">
        <v>13.71</v>
      </c>
      <c r="F66" s="9" t="s">
        <v>67</v>
      </c>
      <c r="G66" s="7">
        <v>135248388096</v>
      </c>
      <c r="H66" s="6">
        <v>16.95</v>
      </c>
      <c r="I66" s="6">
        <v>6.67</v>
      </c>
      <c r="J66" s="12">
        <f t="shared" ref="J66:J97" si="2">E66/I66-1</f>
        <v>1.055472263868066</v>
      </c>
      <c r="K66" s="11">
        <v>3.9387308533916851E-2</v>
      </c>
      <c r="L66" s="13">
        <v>8510100000</v>
      </c>
      <c r="M66" s="13">
        <v>46117200000</v>
      </c>
      <c r="N66" s="9" t="s">
        <v>67</v>
      </c>
      <c r="O66" s="6">
        <v>1</v>
      </c>
      <c r="P66" s="12">
        <v>5.732440773263936E-2</v>
      </c>
      <c r="Q66" s="12">
        <v>0.18453201842262756</v>
      </c>
      <c r="R66" s="14">
        <v>54</v>
      </c>
    </row>
    <row r="67" spans="2:18" x14ac:dyDescent="0.5">
      <c r="B67" s="1" t="s">
        <v>260</v>
      </c>
      <c r="C67" t="s">
        <v>309</v>
      </c>
      <c r="D67" t="s">
        <v>74</v>
      </c>
      <c r="E67">
        <v>7.5</v>
      </c>
      <c r="F67" s="9" t="s">
        <v>67</v>
      </c>
      <c r="G67" s="7">
        <v>5113981440</v>
      </c>
      <c r="H67" s="6">
        <v>10.98</v>
      </c>
      <c r="I67" s="6">
        <v>6.56</v>
      </c>
      <c r="J67" s="12">
        <f t="shared" si="2"/>
        <v>0.14329268292682928</v>
      </c>
      <c r="K67" s="11">
        <v>4.7599999999999996E-2</v>
      </c>
      <c r="L67" s="13">
        <v>618033000</v>
      </c>
      <c r="M67" s="13">
        <v>5033024000</v>
      </c>
      <c r="N67" s="9" t="s">
        <v>50</v>
      </c>
      <c r="O67" s="6">
        <v>1.0683760683760684</v>
      </c>
      <c r="P67" s="12">
        <v>0.10768088508163154</v>
      </c>
      <c r="Q67" s="12">
        <v>0.12279555988606453</v>
      </c>
      <c r="R67" s="14">
        <v>50</v>
      </c>
    </row>
    <row r="68" spans="2:18" x14ac:dyDescent="0.5">
      <c r="B68" s="1" t="s">
        <v>259</v>
      </c>
      <c r="C68" t="s">
        <v>308</v>
      </c>
      <c r="D68" t="s">
        <v>238</v>
      </c>
      <c r="E68">
        <v>7.62</v>
      </c>
      <c r="F68" s="9" t="s">
        <v>67</v>
      </c>
      <c r="G68" s="7">
        <v>100719886336</v>
      </c>
      <c r="H68" s="6">
        <v>9.83</v>
      </c>
      <c r="I68" s="6">
        <v>6.93</v>
      </c>
      <c r="J68" s="12">
        <f t="shared" si="2"/>
        <v>9.9567099567099637E-2</v>
      </c>
      <c r="K68" s="11">
        <v>0</v>
      </c>
      <c r="L68" s="13">
        <v>1187000000</v>
      </c>
      <c r="M68" s="13">
        <v>10278000000</v>
      </c>
      <c r="N68" s="9" t="s">
        <v>71</v>
      </c>
      <c r="O68" s="6">
        <v>7.6923076923076916</v>
      </c>
      <c r="P68" s="12">
        <v>0.11379994262500413</v>
      </c>
      <c r="Q68" s="12">
        <v>0.1154893948238957</v>
      </c>
      <c r="R68" s="14">
        <v>50</v>
      </c>
    </row>
    <row r="69" spans="2:18" x14ac:dyDescent="0.5">
      <c r="B69" s="1" t="s">
        <v>273</v>
      </c>
      <c r="C69" t="s">
        <v>325</v>
      </c>
      <c r="D69" t="s">
        <v>81</v>
      </c>
      <c r="E69">
        <v>3.2</v>
      </c>
      <c r="F69" s="9" t="s">
        <v>67</v>
      </c>
      <c r="G69" s="7">
        <v>13696320512</v>
      </c>
      <c r="H69" s="6">
        <v>3.55</v>
      </c>
      <c r="I69" s="6">
        <v>1.62</v>
      </c>
      <c r="J69" s="12">
        <f t="shared" si="2"/>
        <v>0.97530864197530853</v>
      </c>
      <c r="K69" s="11">
        <v>3.8124999999999999E-2</v>
      </c>
      <c r="L69" s="13">
        <v>1230913000</v>
      </c>
      <c r="M69" s="13">
        <v>10701340000</v>
      </c>
      <c r="N69" s="9" t="s">
        <v>50</v>
      </c>
      <c r="O69" s="6">
        <v>1.0683760683760684</v>
      </c>
      <c r="P69" s="12">
        <v>0.10604448015246692</v>
      </c>
      <c r="Q69" s="12">
        <v>0.11502419323187564</v>
      </c>
      <c r="R69" s="14">
        <v>57</v>
      </c>
    </row>
    <row r="70" spans="2:18" x14ac:dyDescent="0.5">
      <c r="B70" s="1" t="s">
        <v>130</v>
      </c>
      <c r="C70" t="s">
        <v>173</v>
      </c>
      <c r="D70" t="s">
        <v>174</v>
      </c>
      <c r="E70">
        <v>40.92</v>
      </c>
      <c r="F70" s="9" t="s">
        <v>67</v>
      </c>
      <c r="G70" s="7">
        <v>1113633062912</v>
      </c>
      <c r="H70" s="6">
        <v>41.68</v>
      </c>
      <c r="I70" s="6">
        <v>14.02</v>
      </c>
      <c r="J70" s="12">
        <f t="shared" si="2"/>
        <v>1.9186875891583455</v>
      </c>
      <c r="K70" s="11">
        <v>1.2218963831867057E-2</v>
      </c>
      <c r="L70" s="13">
        <v>52374992116</v>
      </c>
      <c r="M70" s="13">
        <v>269573093476</v>
      </c>
      <c r="N70" s="9" t="s">
        <v>50</v>
      </c>
      <c r="O70" s="6">
        <v>1.0683760683760684</v>
      </c>
      <c r="P70" s="12">
        <v>4.5201824060739963E-2</v>
      </c>
      <c r="Q70" s="12">
        <v>0.19428864891763736</v>
      </c>
      <c r="R70" s="14">
        <v>59</v>
      </c>
    </row>
    <row r="71" spans="2:18" x14ac:dyDescent="0.5">
      <c r="B71" s="1" t="s">
        <v>31</v>
      </c>
      <c r="C71" t="s">
        <v>92</v>
      </c>
      <c r="D71" t="s">
        <v>74</v>
      </c>
      <c r="E71">
        <v>2.83</v>
      </c>
      <c r="F71" s="9" t="s">
        <v>67</v>
      </c>
      <c r="G71" s="7">
        <v>17549457408</v>
      </c>
      <c r="H71" s="6">
        <v>4.13</v>
      </c>
      <c r="I71" s="6">
        <v>2.6</v>
      </c>
      <c r="J71" s="12">
        <f t="shared" si="2"/>
        <v>8.8461538461538369E-2</v>
      </c>
      <c r="K71" s="11">
        <v>5.3003533568904589E-2</v>
      </c>
      <c r="L71" s="13">
        <v>1677300000</v>
      </c>
      <c r="M71" s="13">
        <v>11188800000</v>
      </c>
      <c r="N71" s="9" t="s">
        <v>50</v>
      </c>
      <c r="O71" s="6">
        <v>1.0683760683760684</v>
      </c>
      <c r="P71" s="12">
        <v>9.3684063546807736E-2</v>
      </c>
      <c r="Q71" s="12">
        <v>0.1499088374088374</v>
      </c>
      <c r="R71" s="14">
        <v>51</v>
      </c>
    </row>
    <row r="72" spans="2:18" x14ac:dyDescent="0.5">
      <c r="B72" s="1" t="s">
        <v>112</v>
      </c>
      <c r="C72" t="s">
        <v>151</v>
      </c>
      <c r="D72" t="s">
        <v>152</v>
      </c>
      <c r="E72">
        <v>64.55</v>
      </c>
      <c r="F72" s="9" t="s">
        <v>67</v>
      </c>
      <c r="G72" s="7">
        <v>183079976960</v>
      </c>
      <c r="H72" s="6">
        <v>86</v>
      </c>
      <c r="I72" s="6">
        <v>44.25</v>
      </c>
      <c r="J72" s="12">
        <f t="shared" si="2"/>
        <v>0.4587570621468926</v>
      </c>
      <c r="K72" s="11">
        <v>4.1828040278853604E-2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5.3443522009797198E-2</v>
      </c>
      <c r="Q72" s="12">
        <v>0.18855793075067021</v>
      </c>
      <c r="R72" s="14">
        <v>56</v>
      </c>
    </row>
    <row r="73" spans="2:18" x14ac:dyDescent="0.5">
      <c r="B73" s="1" t="s">
        <v>112</v>
      </c>
      <c r="C73" t="s">
        <v>151</v>
      </c>
      <c r="D73" t="s">
        <v>152</v>
      </c>
      <c r="E73">
        <v>64.55</v>
      </c>
      <c r="F73" s="9" t="s">
        <v>67</v>
      </c>
      <c r="G73" s="7">
        <v>183079976960</v>
      </c>
      <c r="H73" s="6">
        <v>86</v>
      </c>
      <c r="I73" s="6">
        <v>44.25</v>
      </c>
      <c r="J73" s="12">
        <f t="shared" si="2"/>
        <v>0.4587570621468926</v>
      </c>
      <c r="K73" s="11">
        <v>4.1828040278853604E-2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5.3443522009797198E-2</v>
      </c>
      <c r="Q73" s="12">
        <v>0.18855793075067021</v>
      </c>
      <c r="R73" s="14">
        <v>56</v>
      </c>
    </row>
    <row r="74" spans="2:18" x14ac:dyDescent="0.5">
      <c r="B74" s="1" t="s">
        <v>132</v>
      </c>
      <c r="C74" t="s">
        <v>176</v>
      </c>
      <c r="D74" t="s">
        <v>76</v>
      </c>
      <c r="E74">
        <v>14.93</v>
      </c>
      <c r="F74" s="9" t="s">
        <v>67</v>
      </c>
      <c r="G74" s="7">
        <v>62676275200</v>
      </c>
      <c r="H74" s="6">
        <v>16.73</v>
      </c>
      <c r="I74" s="6">
        <v>11.42</v>
      </c>
      <c r="J74" s="12">
        <f t="shared" si="2"/>
        <v>0.30735551663747818</v>
      </c>
      <c r="K74" s="11">
        <v>5.9343603482920296E-2</v>
      </c>
      <c r="L74" s="13">
        <v>11996000000</v>
      </c>
      <c r="M74" s="13">
        <v>138296000000</v>
      </c>
      <c r="N74" s="9" t="s">
        <v>67</v>
      </c>
      <c r="O74" s="6">
        <v>1</v>
      </c>
      <c r="P74" s="12">
        <v>0.13979026184212298</v>
      </c>
      <c r="Q74" s="12">
        <v>8.6741482038526066E-2</v>
      </c>
      <c r="R74" s="14">
        <v>56</v>
      </c>
    </row>
    <row r="75" spans="2:18" x14ac:dyDescent="0.5">
      <c r="B75" s="1" t="s">
        <v>132</v>
      </c>
      <c r="C75" t="s">
        <v>176</v>
      </c>
      <c r="D75" t="s">
        <v>76</v>
      </c>
      <c r="E75">
        <v>14.93</v>
      </c>
      <c r="F75" s="9" t="s">
        <v>67</v>
      </c>
      <c r="G75" s="7">
        <v>62676275200</v>
      </c>
      <c r="H75" s="6">
        <v>16.73</v>
      </c>
      <c r="I75" s="6">
        <v>11.42</v>
      </c>
      <c r="J75" s="12">
        <f t="shared" si="2"/>
        <v>0.30735551663747818</v>
      </c>
      <c r="K75" s="11">
        <v>5.9343603482920296E-2</v>
      </c>
      <c r="L75" s="13">
        <v>11996000000</v>
      </c>
      <c r="M75" s="13">
        <v>138296000000</v>
      </c>
      <c r="N75" s="9" t="s">
        <v>67</v>
      </c>
      <c r="O75" s="6">
        <v>1</v>
      </c>
      <c r="P75" s="12">
        <v>0.13979026184212298</v>
      </c>
      <c r="Q75" s="12">
        <v>8.6741482038526066E-2</v>
      </c>
      <c r="R75" s="14">
        <v>56</v>
      </c>
    </row>
    <row r="76" spans="2:18" x14ac:dyDescent="0.5">
      <c r="B76" s="1" t="s">
        <v>117</v>
      </c>
      <c r="C76" t="s">
        <v>157</v>
      </c>
      <c r="D76" t="s">
        <v>68</v>
      </c>
      <c r="E76">
        <v>5.45</v>
      </c>
      <c r="F76" s="9" t="s">
        <v>67</v>
      </c>
      <c r="G76" s="7">
        <v>8865582080</v>
      </c>
      <c r="H76" s="6">
        <v>7.05</v>
      </c>
      <c r="I76" s="6">
        <v>4.37</v>
      </c>
      <c r="J76" s="12">
        <f t="shared" si="2"/>
        <v>0.24713958810068659</v>
      </c>
      <c r="K76" s="11">
        <v>5.1376146788990829E-2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0.12098003840750422</v>
      </c>
      <c r="Q76" s="12">
        <v>9.3783286642795421E-2</v>
      </c>
      <c r="R76" s="14">
        <v>55</v>
      </c>
    </row>
    <row r="77" spans="2:18" x14ac:dyDescent="0.5">
      <c r="B77" s="1" t="s">
        <v>359</v>
      </c>
      <c r="C77" t="s">
        <v>361</v>
      </c>
      <c r="D77" t="s">
        <v>171</v>
      </c>
      <c r="E77">
        <v>9.9</v>
      </c>
      <c r="F77" s="9" t="s">
        <v>67</v>
      </c>
      <c r="G77" s="7">
        <v>2659955712</v>
      </c>
      <c r="H77" s="6">
        <v>15.58</v>
      </c>
      <c r="I77" s="6">
        <v>8.32</v>
      </c>
      <c r="J77" s="12">
        <f t="shared" si="2"/>
        <v>0.18990384615384626</v>
      </c>
      <c r="K77" s="11">
        <v>0</v>
      </c>
      <c r="L77" s="13">
        <v>-481083000</v>
      </c>
      <c r="M77" s="13">
        <v>4136123000</v>
      </c>
      <c r="N77" s="9" t="s">
        <v>50</v>
      </c>
      <c r="O77" s="6">
        <v>1.0683760683760684</v>
      </c>
      <c r="P77" s="12">
        <v>0.32280723714191478</v>
      </c>
      <c r="Q77" s="12">
        <v>-0.11631254679805218</v>
      </c>
      <c r="R77" s="14">
        <v>60</v>
      </c>
    </row>
    <row r="78" spans="2:18" x14ac:dyDescent="0.5">
      <c r="B78" s="1" t="s">
        <v>122</v>
      </c>
      <c r="C78" t="s">
        <v>163</v>
      </c>
      <c r="D78" t="s">
        <v>164</v>
      </c>
      <c r="E78">
        <v>27.88</v>
      </c>
      <c r="F78" s="9" t="s">
        <v>67</v>
      </c>
      <c r="G78" s="7">
        <v>31716868096</v>
      </c>
      <c r="H78" s="6">
        <v>29.4</v>
      </c>
      <c r="I78" s="6">
        <v>19.52</v>
      </c>
      <c r="J78" s="12">
        <f t="shared" si="2"/>
        <v>0.42827868852459017</v>
      </c>
      <c r="K78" s="11">
        <v>5.0215208034433287E-2</v>
      </c>
      <c r="L78" s="13">
        <v>3446618000</v>
      </c>
      <c r="M78" s="13">
        <v>34010798000</v>
      </c>
      <c r="N78" s="9" t="s">
        <v>50</v>
      </c>
      <c r="O78" s="6">
        <v>1.0683760683760684</v>
      </c>
      <c r="P78" s="12">
        <v>0.12077212374960937</v>
      </c>
      <c r="Q78" s="12">
        <v>0.10133893359397213</v>
      </c>
      <c r="R78" s="14">
        <v>53</v>
      </c>
    </row>
    <row r="79" spans="2:18" x14ac:dyDescent="0.5">
      <c r="B79" s="1" t="s">
        <v>127</v>
      </c>
      <c r="C79" t="s">
        <v>170</v>
      </c>
      <c r="D79" t="s">
        <v>171</v>
      </c>
      <c r="E79">
        <v>602.5</v>
      </c>
      <c r="F79" s="9" t="s">
        <v>67</v>
      </c>
      <c r="G79" s="7">
        <v>5435266957312</v>
      </c>
      <c r="H79" s="6">
        <v>683</v>
      </c>
      <c r="I79" s="6">
        <v>379.6</v>
      </c>
      <c r="J79" s="12">
        <f t="shared" si="2"/>
        <v>0.58719704952581653</v>
      </c>
      <c r="K79" s="11">
        <v>7.0190871369294611E-3</v>
      </c>
      <c r="L79" s="13">
        <v>253932000000</v>
      </c>
      <c r="M79" s="13">
        <v>1312163000000</v>
      </c>
      <c r="N79" s="9" t="s">
        <v>50</v>
      </c>
      <c r="O79" s="6">
        <v>1.0683760683760684</v>
      </c>
      <c r="P79" s="12">
        <v>4.7794440566960694E-2</v>
      </c>
      <c r="Q79" s="12">
        <v>0.19352168899747973</v>
      </c>
      <c r="R79" s="14">
        <v>58</v>
      </c>
    </row>
    <row r="80" spans="2:18" x14ac:dyDescent="0.5">
      <c r="B80" s="1" t="s">
        <v>264</v>
      </c>
      <c r="C80" t="s">
        <v>315</v>
      </c>
      <c r="D80" t="s">
        <v>49</v>
      </c>
      <c r="E80">
        <v>5.93</v>
      </c>
      <c r="F80" s="9" t="s">
        <v>67</v>
      </c>
      <c r="G80" s="7">
        <v>11191603200</v>
      </c>
      <c r="H80" s="6">
        <v>6.35</v>
      </c>
      <c r="I80" s="6">
        <v>1.92</v>
      </c>
      <c r="J80" s="12">
        <f t="shared" si="2"/>
        <v>2.0885416666666665</v>
      </c>
      <c r="K80" s="11">
        <v>2.6981450252951098E-2</v>
      </c>
      <c r="L80" s="13">
        <v>896597000</v>
      </c>
      <c r="M80" s="13">
        <v>6906279000</v>
      </c>
      <c r="N80" s="9" t="s">
        <v>67</v>
      </c>
      <c r="O80" s="6">
        <v>1</v>
      </c>
      <c r="P80" s="12">
        <v>7.0123485007773989E-2</v>
      </c>
      <c r="Q80" s="12">
        <v>0.12982345485897689</v>
      </c>
      <c r="R80" s="14">
        <v>62</v>
      </c>
    </row>
    <row r="81" spans="2:18" x14ac:dyDescent="0.5">
      <c r="B81" s="1" t="s">
        <v>377</v>
      </c>
      <c r="C81" t="s">
        <v>378</v>
      </c>
      <c r="D81" t="s">
        <v>182</v>
      </c>
      <c r="E81">
        <v>4.5999999999999996</v>
      </c>
      <c r="F81" s="9" t="s">
        <v>67</v>
      </c>
      <c r="G81" s="7">
        <v>2639222272</v>
      </c>
      <c r="H81" s="6">
        <v>8.6199999999999992</v>
      </c>
      <c r="I81" s="6">
        <v>4.58</v>
      </c>
      <c r="J81" s="12">
        <f t="shared" si="2"/>
        <v>4.366812227074135E-3</v>
      </c>
      <c r="K81" s="11">
        <v>7.6086956521739135E-2</v>
      </c>
      <c r="L81" s="13">
        <v>371538000</v>
      </c>
      <c r="M81" s="13">
        <v>3037286000</v>
      </c>
      <c r="N81" s="9" t="s">
        <v>67</v>
      </c>
      <c r="O81" s="6">
        <v>1</v>
      </c>
      <c r="P81" s="12">
        <v>9.9878510903937193E-2</v>
      </c>
      <c r="Q81" s="12">
        <v>0.12232565520665489</v>
      </c>
      <c r="R81" s="14">
        <v>55</v>
      </c>
    </row>
    <row r="82" spans="2:18" x14ac:dyDescent="0.5">
      <c r="B82" s="1" t="s">
        <v>258</v>
      </c>
      <c r="C82" t="s">
        <v>307</v>
      </c>
      <c r="D82" t="s">
        <v>152</v>
      </c>
      <c r="E82">
        <v>29.4</v>
      </c>
      <c r="F82" s="9" t="s">
        <v>67</v>
      </c>
      <c r="G82" s="7">
        <v>27271704576</v>
      </c>
      <c r="H82" s="6">
        <v>45.78</v>
      </c>
      <c r="I82" s="6">
        <v>9.9</v>
      </c>
      <c r="J82" s="12">
        <f t="shared" si="2"/>
        <v>1.9696969696969693</v>
      </c>
      <c r="K82" s="11">
        <v>2.6530612244897961E-3</v>
      </c>
      <c r="L82" s="13">
        <v>334940000</v>
      </c>
      <c r="M82" s="13">
        <v>3025375000</v>
      </c>
      <c r="N82" s="9" t="s">
        <v>71</v>
      </c>
      <c r="O82" s="6">
        <v>7.6923076923076916</v>
      </c>
      <c r="P82" s="12">
        <v>0.10538571553785001</v>
      </c>
      <c r="Q82" s="12">
        <v>0.11071024253191752</v>
      </c>
      <c r="R82" s="14">
        <v>61</v>
      </c>
    </row>
    <row r="83" spans="2:18" x14ac:dyDescent="0.5">
      <c r="B83" s="1" t="s">
        <v>254</v>
      </c>
      <c r="C83" t="s">
        <v>303</v>
      </c>
      <c r="D83" t="s">
        <v>96</v>
      </c>
      <c r="E83">
        <v>3.67</v>
      </c>
      <c r="F83" s="9" t="s">
        <v>67</v>
      </c>
      <c r="G83" s="7">
        <v>3407863040</v>
      </c>
      <c r="H83" s="6">
        <v>5.39</v>
      </c>
      <c r="I83" s="6">
        <v>1.72</v>
      </c>
      <c r="J83" s="12">
        <f t="shared" si="2"/>
        <v>1.1337209302325579</v>
      </c>
      <c r="K83" s="11">
        <v>2.4523160762942781E-2</v>
      </c>
      <c r="L83" s="13">
        <v>238321000</v>
      </c>
      <c r="M83" s="13">
        <v>6087917000</v>
      </c>
      <c r="N83" s="9" t="s">
        <v>67</v>
      </c>
      <c r="O83" s="6">
        <v>1</v>
      </c>
      <c r="P83" s="12">
        <v>7.8053887113775214E-2</v>
      </c>
      <c r="Q83" s="12">
        <v>3.9146558666946343E-2</v>
      </c>
      <c r="R83" s="14">
        <v>86</v>
      </c>
    </row>
    <row r="84" spans="2:18" x14ac:dyDescent="0.5">
      <c r="B84" s="1" t="s">
        <v>437</v>
      </c>
      <c r="C84" t="s">
        <v>441</v>
      </c>
      <c r="D84" t="s">
        <v>164</v>
      </c>
      <c r="E84">
        <v>2.4300000000000002</v>
      </c>
      <c r="F84" s="9" t="s">
        <v>67</v>
      </c>
      <c r="G84" s="7">
        <v>3240000512</v>
      </c>
      <c r="H84" s="6">
        <v>3.21</v>
      </c>
      <c r="I84" s="6">
        <v>1.77</v>
      </c>
      <c r="J84" s="12">
        <f t="shared" si="2"/>
        <v>0.37288135593220351</v>
      </c>
      <c r="K84" s="11">
        <v>4.9382716049382713E-2</v>
      </c>
      <c r="L84" s="13">
        <v>244399000</v>
      </c>
      <c r="M84" s="13">
        <v>2990882000</v>
      </c>
      <c r="N84" s="9" t="s">
        <v>50</v>
      </c>
      <c r="O84" s="6">
        <v>1.0683760683760684</v>
      </c>
      <c r="P84" s="12">
        <v>0.11156208431002124</v>
      </c>
      <c r="Q84" s="12">
        <v>8.171469151909036E-2</v>
      </c>
      <c r="R84" s="14">
        <v>68</v>
      </c>
    </row>
    <row r="85" spans="2:18" x14ac:dyDescent="0.5">
      <c r="B85" s="1" t="s">
        <v>257</v>
      </c>
      <c r="C85" t="s">
        <v>306</v>
      </c>
      <c r="D85" t="s">
        <v>298</v>
      </c>
      <c r="E85">
        <v>68.5</v>
      </c>
      <c r="F85" s="9" t="s">
        <v>67</v>
      </c>
      <c r="G85" s="7">
        <v>1326739226624</v>
      </c>
      <c r="H85" s="6">
        <v>72.349999999999994</v>
      </c>
      <c r="I85" s="6">
        <v>39.6</v>
      </c>
      <c r="J85" s="12">
        <f t="shared" si="2"/>
        <v>0.72979797979797967</v>
      </c>
      <c r="K85" s="11">
        <v>3.7518248175182477E-2</v>
      </c>
      <c r="L85" s="13">
        <v>189900000000</v>
      </c>
      <c r="M85" s="13">
        <v>2315380000000</v>
      </c>
      <c r="N85" s="9" t="s">
        <v>50</v>
      </c>
      <c r="O85" s="6">
        <v>1.0683760683760684</v>
      </c>
      <c r="P85" s="12">
        <v>0.11256415649314019</v>
      </c>
      <c r="Q85" s="12">
        <v>8.2016774784268678E-2</v>
      </c>
      <c r="R85" s="14">
        <v>67</v>
      </c>
    </row>
    <row r="86" spans="2:18" x14ac:dyDescent="0.5">
      <c r="B86" s="1" t="s">
        <v>756</v>
      </c>
      <c r="C86" t="s">
        <v>757</v>
      </c>
      <c r="D86" t="s">
        <v>182</v>
      </c>
      <c r="E86">
        <v>1.04</v>
      </c>
      <c r="F86" s="9" t="s">
        <v>67</v>
      </c>
      <c r="G86" s="7">
        <v>1010275712</v>
      </c>
      <c r="H86" s="6">
        <v>1.18</v>
      </c>
      <c r="I86" s="6">
        <v>0.78</v>
      </c>
      <c r="J86" s="12">
        <f t="shared" si="2"/>
        <v>0.33333333333333326</v>
      </c>
      <c r="K86" s="11">
        <v>5.7692307692307689E-2</v>
      </c>
      <c r="L86" s="13">
        <v>115617000</v>
      </c>
      <c r="M86" s="13">
        <v>935619000</v>
      </c>
      <c r="N86" s="9" t="s">
        <v>67</v>
      </c>
      <c r="O86" s="6">
        <v>1</v>
      </c>
      <c r="P86" s="12">
        <v>6.4832239686790319E-2</v>
      </c>
      <c r="Q86" s="12">
        <v>0.12357273633818894</v>
      </c>
      <c r="R86" s="14">
        <v>64</v>
      </c>
    </row>
    <row r="87" spans="2:18" x14ac:dyDescent="0.5">
      <c r="B87" s="1" t="s">
        <v>138</v>
      </c>
      <c r="C87" t="s">
        <v>186</v>
      </c>
      <c r="D87" t="s">
        <v>102</v>
      </c>
      <c r="E87">
        <v>34.299999999999997</v>
      </c>
      <c r="F87" s="9" t="s">
        <v>67</v>
      </c>
      <c r="G87" s="7">
        <v>77284909056</v>
      </c>
      <c r="H87" s="6">
        <v>61.55</v>
      </c>
      <c r="I87" s="6">
        <v>26.65</v>
      </c>
      <c r="J87" s="12">
        <f t="shared" si="2"/>
        <v>0.2870544090056284</v>
      </c>
      <c r="K87" s="11">
        <v>1.6559766763848398E-2</v>
      </c>
      <c r="L87" s="13">
        <v>5261270000</v>
      </c>
      <c r="M87" s="13">
        <v>43208997000</v>
      </c>
      <c r="N87" s="9" t="s">
        <v>50</v>
      </c>
      <c r="O87" s="6">
        <v>1.0683760683760684</v>
      </c>
      <c r="P87" s="12">
        <v>6.7672413390614805E-2</v>
      </c>
      <c r="Q87" s="12">
        <v>0.12176329850933591</v>
      </c>
      <c r="R87" s="14">
        <v>64</v>
      </c>
    </row>
    <row r="88" spans="2:18" x14ac:dyDescent="0.5">
      <c r="B88" s="1" t="s">
        <v>133</v>
      </c>
      <c r="C88" t="s">
        <v>177</v>
      </c>
      <c r="D88" t="s">
        <v>178</v>
      </c>
      <c r="E88">
        <v>8.82</v>
      </c>
      <c r="F88" s="9" t="s">
        <v>67</v>
      </c>
      <c r="G88" s="7">
        <v>20781955072</v>
      </c>
      <c r="H88" s="6">
        <v>12.7</v>
      </c>
      <c r="I88" s="6">
        <v>6.33</v>
      </c>
      <c r="J88" s="12">
        <f t="shared" si="2"/>
        <v>0.39336492890995256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0.12018906291469217</v>
      </c>
      <c r="Q88" s="12">
        <v>6.4862080854845933E-2</v>
      </c>
      <c r="R88" s="14">
        <v>65</v>
      </c>
    </row>
    <row r="89" spans="2:18" x14ac:dyDescent="0.5">
      <c r="B89" s="1" t="s">
        <v>113</v>
      </c>
      <c r="C89" t="s">
        <v>153</v>
      </c>
      <c r="D89" t="s">
        <v>91</v>
      </c>
      <c r="E89">
        <v>23.04</v>
      </c>
      <c r="F89" s="9" t="s">
        <v>67</v>
      </c>
      <c r="G89" s="7">
        <v>138418978816</v>
      </c>
      <c r="H89" s="6">
        <v>25.9</v>
      </c>
      <c r="I89" s="6">
        <v>18.7</v>
      </c>
      <c r="J89" s="12">
        <f t="shared" si="2"/>
        <v>0.23208556149732629</v>
      </c>
      <c r="K89" s="11">
        <v>4.1232638888888888E-2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0.12146007748934208</v>
      </c>
      <c r="Q89" s="12">
        <v>5.0146340085309396E-2</v>
      </c>
      <c r="R89" s="14">
        <v>69</v>
      </c>
    </row>
    <row r="90" spans="2:18" x14ac:dyDescent="0.5">
      <c r="B90" s="1" t="s">
        <v>284</v>
      </c>
      <c r="C90" t="s">
        <v>337</v>
      </c>
      <c r="D90" t="s">
        <v>49</v>
      </c>
      <c r="E90">
        <v>19.88</v>
      </c>
      <c r="F90" s="9" t="s">
        <v>67</v>
      </c>
      <c r="G90" s="7">
        <v>44457164800</v>
      </c>
      <c r="H90" s="6">
        <v>20.6</v>
      </c>
      <c r="I90" s="6">
        <v>2.5099999999999998</v>
      </c>
      <c r="J90" s="12">
        <f t="shared" si="2"/>
        <v>6.9203187250996017</v>
      </c>
      <c r="K90" s="11">
        <v>1.1619718309859157E-2</v>
      </c>
      <c r="L90" s="13">
        <v>2184074765.02</v>
      </c>
      <c r="M90" s="13">
        <v>23493408528.349998</v>
      </c>
      <c r="N90" s="9" t="s">
        <v>50</v>
      </c>
      <c r="O90" s="6">
        <v>1.0683760683760684</v>
      </c>
      <c r="P90" s="12">
        <v>6.5026168305035603E-2</v>
      </c>
      <c r="Q90" s="12">
        <v>9.29654274042198E-2</v>
      </c>
      <c r="R90" s="14">
        <v>78</v>
      </c>
    </row>
    <row r="91" spans="2:18" x14ac:dyDescent="0.5">
      <c r="B91" s="1" t="s">
        <v>255</v>
      </c>
      <c r="C91" t="s">
        <v>304</v>
      </c>
      <c r="D91" t="s">
        <v>300</v>
      </c>
      <c r="E91">
        <v>1.8</v>
      </c>
      <c r="F91" s="9" t="s">
        <v>67</v>
      </c>
      <c r="G91" s="7">
        <v>69856501760</v>
      </c>
      <c r="H91" s="6">
        <v>3.17</v>
      </c>
      <c r="I91" s="6">
        <v>1.35</v>
      </c>
      <c r="J91" s="12">
        <f t="shared" si="2"/>
        <v>0.33333333333333326</v>
      </c>
      <c r="K91" s="11">
        <v>3.111111111111111E-2</v>
      </c>
      <c r="L91" s="13">
        <v>12616717000</v>
      </c>
      <c r="M91" s="13">
        <v>231208465000</v>
      </c>
      <c r="N91" s="9" t="s">
        <v>50</v>
      </c>
      <c r="O91" s="6">
        <v>1.0683760683760684</v>
      </c>
      <c r="P91" s="12">
        <v>0.11837986916620409</v>
      </c>
      <c r="Q91" s="12">
        <v>5.4568577322633927E-2</v>
      </c>
      <c r="R91" s="14">
        <v>70</v>
      </c>
    </row>
    <row r="92" spans="2:18" x14ac:dyDescent="0.5">
      <c r="B92" s="1" t="s">
        <v>386</v>
      </c>
      <c r="C92" t="s">
        <v>387</v>
      </c>
      <c r="D92" t="s">
        <v>55</v>
      </c>
      <c r="E92">
        <v>35.42</v>
      </c>
      <c r="F92" s="9" t="s">
        <v>67</v>
      </c>
      <c r="G92" s="7">
        <v>916941963264</v>
      </c>
      <c r="H92" s="6">
        <v>61.45</v>
      </c>
      <c r="I92" s="6">
        <v>34.25</v>
      </c>
      <c r="J92" s="12">
        <f t="shared" si="2"/>
        <v>3.4160583941605926E-2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3.4230231839543088E-2</v>
      </c>
      <c r="Q92" s="12">
        <v>0.13430606011982404</v>
      </c>
      <c r="R92" s="14">
        <v>73</v>
      </c>
    </row>
    <row r="93" spans="2:18" x14ac:dyDescent="0.5">
      <c r="B93" s="1" t="s">
        <v>109</v>
      </c>
      <c r="C93" t="s">
        <v>146</v>
      </c>
      <c r="D93" t="s">
        <v>96</v>
      </c>
      <c r="E93">
        <v>5.13</v>
      </c>
      <c r="F93" s="9" t="s">
        <v>67</v>
      </c>
      <c r="G93" s="7">
        <v>617235873792</v>
      </c>
      <c r="H93" s="6">
        <v>6.98</v>
      </c>
      <c r="I93" s="6">
        <v>4.67</v>
      </c>
      <c r="J93" s="12">
        <f t="shared" si="2"/>
        <v>9.8501070663811641E-2</v>
      </c>
      <c r="K93" s="11">
        <v>8.5964912280701758E-2</v>
      </c>
      <c r="L93" s="13">
        <v>44563000000</v>
      </c>
      <c r="M93" s="13">
        <v>463922000000</v>
      </c>
      <c r="N93" s="9" t="s">
        <v>50</v>
      </c>
      <c r="O93" s="6">
        <v>1.0683760683760684</v>
      </c>
      <c r="P93" s="12">
        <v>8.0110554057501823E-2</v>
      </c>
      <c r="Q93" s="12">
        <v>9.605709580489824E-2</v>
      </c>
      <c r="R93" s="14">
        <v>71</v>
      </c>
    </row>
    <row r="94" spans="2:18" x14ac:dyDescent="0.5">
      <c r="B94" s="1" t="s">
        <v>120</v>
      </c>
      <c r="C94" t="s">
        <v>160</v>
      </c>
      <c r="D94" t="s">
        <v>161</v>
      </c>
      <c r="E94">
        <v>12.8</v>
      </c>
      <c r="F94" s="9" t="s">
        <v>67</v>
      </c>
      <c r="G94" s="7">
        <v>86310707200</v>
      </c>
      <c r="H94" s="6">
        <v>13.07</v>
      </c>
      <c r="I94" s="6">
        <v>5</v>
      </c>
      <c r="J94" s="12">
        <f t="shared" si="2"/>
        <v>1.56</v>
      </c>
      <c r="K94" s="11">
        <v>1.6406249999999997E-2</v>
      </c>
      <c r="L94" s="13">
        <v>6749146000</v>
      </c>
      <c r="M94" s="13">
        <v>70848374000</v>
      </c>
      <c r="N94" s="9" t="s">
        <v>50</v>
      </c>
      <c r="O94" s="6">
        <v>1.0683760683760684</v>
      </c>
      <c r="P94" s="12">
        <v>6.0644288120711931E-2</v>
      </c>
      <c r="Q94" s="12">
        <v>9.5261833390841127E-2</v>
      </c>
      <c r="R94" s="14">
        <v>80</v>
      </c>
    </row>
    <row r="95" spans="2:18" x14ac:dyDescent="0.5">
      <c r="B95" s="1" t="s">
        <v>118</v>
      </c>
      <c r="C95" t="s">
        <v>158</v>
      </c>
      <c r="D95" t="s">
        <v>96</v>
      </c>
      <c r="E95">
        <v>7.59</v>
      </c>
      <c r="F95" s="9" t="s">
        <v>67</v>
      </c>
      <c r="G95" s="7">
        <v>232238825472</v>
      </c>
      <c r="H95" s="6">
        <v>11.56</v>
      </c>
      <c r="I95" s="6">
        <v>6.95</v>
      </c>
      <c r="J95" s="12">
        <f t="shared" si="2"/>
        <v>9.2086330935251759E-2</v>
      </c>
      <c r="K95" s="11">
        <v>5.7971014492753624E-2</v>
      </c>
      <c r="L95" s="13">
        <v>26994000000</v>
      </c>
      <c r="M95" s="13">
        <v>363169000000</v>
      </c>
      <c r="N95" s="9" t="s">
        <v>50</v>
      </c>
      <c r="O95" s="6">
        <v>1.0683760683760684</v>
      </c>
      <c r="P95" s="12">
        <v>0.11805272533789478</v>
      </c>
      <c r="Q95" s="12">
        <v>7.4329031387590908E-2</v>
      </c>
      <c r="R95" s="14">
        <v>66</v>
      </c>
    </row>
    <row r="96" spans="2:18" x14ac:dyDescent="0.5">
      <c r="B96" s="1" t="s">
        <v>126</v>
      </c>
      <c r="C96" t="s">
        <v>169</v>
      </c>
      <c r="D96" t="s">
        <v>96</v>
      </c>
      <c r="E96">
        <v>11.49</v>
      </c>
      <c r="F96" s="9" t="s">
        <v>67</v>
      </c>
      <c r="G96" s="7">
        <v>87097196544</v>
      </c>
      <c r="H96" s="6">
        <v>12.95</v>
      </c>
      <c r="I96" s="6">
        <v>9.51</v>
      </c>
      <c r="J96" s="12">
        <f t="shared" si="2"/>
        <v>0.20820189274447953</v>
      </c>
      <c r="K96" s="11">
        <v>6.9364664926022626E-2</v>
      </c>
      <c r="L96" s="13">
        <v>8154000000</v>
      </c>
      <c r="M96" s="13">
        <v>79588000000</v>
      </c>
      <c r="N96" s="9" t="s">
        <v>67</v>
      </c>
      <c r="O96" s="6">
        <v>1</v>
      </c>
      <c r="P96" s="12">
        <v>6.350160832936072E-2</v>
      </c>
      <c r="Q96" s="12">
        <v>0.10245263104990703</v>
      </c>
      <c r="R96" s="14">
        <v>74</v>
      </c>
    </row>
    <row r="97" spans="2:18" x14ac:dyDescent="0.5">
      <c r="B97" s="1" t="s">
        <v>262</v>
      </c>
      <c r="C97" t="s">
        <v>312</v>
      </c>
      <c r="D97" t="s">
        <v>85</v>
      </c>
      <c r="E97">
        <v>6.8</v>
      </c>
      <c r="F97" s="9" t="s">
        <v>67</v>
      </c>
      <c r="G97" s="7">
        <v>6960460800</v>
      </c>
      <c r="H97" s="6">
        <v>10.76</v>
      </c>
      <c r="I97" s="6">
        <v>6.25</v>
      </c>
      <c r="J97" s="12">
        <f t="shared" si="2"/>
        <v>8.8000000000000078E-2</v>
      </c>
      <c r="K97" s="11">
        <v>2.088235294117647E-2</v>
      </c>
      <c r="L97" s="13">
        <v>350106000</v>
      </c>
      <c r="M97" s="13">
        <v>3348556000</v>
      </c>
      <c r="N97" s="9" t="s">
        <v>67</v>
      </c>
      <c r="O97" s="6">
        <v>1</v>
      </c>
      <c r="P97" s="12">
        <v>5.5966511338946985E-2</v>
      </c>
      <c r="Q97" s="12">
        <v>0.10455432132537129</v>
      </c>
      <c r="R97" s="14">
        <v>78</v>
      </c>
    </row>
    <row r="98" spans="2:18" x14ac:dyDescent="0.5">
      <c r="B98" s="1" t="s">
        <v>253</v>
      </c>
      <c r="C98" t="s">
        <v>302</v>
      </c>
      <c r="D98" t="s">
        <v>148</v>
      </c>
      <c r="E98">
        <v>9.32</v>
      </c>
      <c r="F98" s="9" t="s">
        <v>67</v>
      </c>
      <c r="G98" s="7">
        <v>23669057536</v>
      </c>
      <c r="H98" s="6">
        <v>13.78</v>
      </c>
      <c r="I98" s="6">
        <v>8.0399999999999991</v>
      </c>
      <c r="J98" s="12">
        <f t="shared" ref="J98:J129" si="3">E98/I98-1</f>
        <v>0.15920398009950265</v>
      </c>
      <c r="K98" s="11">
        <v>3.2188841201716736E-2</v>
      </c>
      <c r="L98" s="13">
        <v>9652467000</v>
      </c>
      <c r="M98" s="13">
        <v>173514401000</v>
      </c>
      <c r="N98" s="9" t="s">
        <v>50</v>
      </c>
      <c r="O98" s="6">
        <v>1.0683760683760684</v>
      </c>
      <c r="P98" s="12">
        <v>0.10608491776388482</v>
      </c>
      <c r="Q98" s="12">
        <v>5.5629198178196171E-2</v>
      </c>
      <c r="R98" s="14">
        <v>76</v>
      </c>
    </row>
    <row r="99" spans="2:18" x14ac:dyDescent="0.5">
      <c r="B99" s="1" t="s">
        <v>439</v>
      </c>
      <c r="C99" t="s">
        <v>443</v>
      </c>
      <c r="D99" t="s">
        <v>444</v>
      </c>
      <c r="E99">
        <v>482.6</v>
      </c>
      <c r="F99" s="9" t="s">
        <v>67</v>
      </c>
      <c r="G99" s="7">
        <v>315429027840</v>
      </c>
      <c r="H99" s="6">
        <v>613</v>
      </c>
      <c r="I99" s="6">
        <v>402.6</v>
      </c>
      <c r="J99" s="12">
        <f t="shared" si="3"/>
        <v>0.19870839542970686</v>
      </c>
      <c r="K99" s="11">
        <v>0</v>
      </c>
      <c r="L99" s="13">
        <v>18738000000</v>
      </c>
      <c r="M99" s="13">
        <v>182117000000</v>
      </c>
      <c r="N99" s="9" t="s">
        <v>50</v>
      </c>
      <c r="O99" s="6">
        <v>1.0683760683760684</v>
      </c>
      <c r="P99" s="12">
        <v>6.5260872645622789E-2</v>
      </c>
      <c r="Q99" s="12">
        <v>0.10288990044861271</v>
      </c>
      <c r="R99" s="14">
        <v>72</v>
      </c>
    </row>
    <row r="100" spans="2:18" x14ac:dyDescent="0.5">
      <c r="B100" s="1" t="s">
        <v>36</v>
      </c>
      <c r="C100" t="s">
        <v>100</v>
      </c>
      <c r="D100" t="s">
        <v>49</v>
      </c>
      <c r="E100">
        <v>27.7</v>
      </c>
      <c r="F100" s="9" t="s">
        <v>67</v>
      </c>
      <c r="G100" s="7">
        <v>118232317952</v>
      </c>
      <c r="H100" s="6">
        <v>119.9</v>
      </c>
      <c r="I100" s="6">
        <v>8.4700000000000006</v>
      </c>
      <c r="J100" s="12">
        <f t="shared" si="3"/>
        <v>2.2703659976387245</v>
      </c>
      <c r="K100" s="11">
        <v>1.5812274368231048E-2</v>
      </c>
      <c r="L100" s="13">
        <v>3967214824.1399999</v>
      </c>
      <c r="M100" s="13">
        <v>41038539262.660004</v>
      </c>
      <c r="N100" s="9" t="s">
        <v>50</v>
      </c>
      <c r="O100" s="6">
        <v>1.0683760683760684</v>
      </c>
      <c r="P100" s="12">
        <v>4.5705702541766709E-2</v>
      </c>
      <c r="Q100" s="12">
        <v>9.6670468672106824E-2</v>
      </c>
      <c r="R100" s="14">
        <v>85</v>
      </c>
    </row>
    <row r="101" spans="2:18" x14ac:dyDescent="0.5">
      <c r="B101" s="1" t="s">
        <v>114</v>
      </c>
      <c r="C101" t="s">
        <v>154</v>
      </c>
      <c r="D101" t="s">
        <v>148</v>
      </c>
      <c r="E101">
        <v>2.17</v>
      </c>
      <c r="F101" s="9" t="s">
        <v>67</v>
      </c>
      <c r="G101" s="7">
        <v>7723843584</v>
      </c>
      <c r="H101" s="6">
        <v>2.64</v>
      </c>
      <c r="I101" s="6">
        <v>1.6</v>
      </c>
      <c r="J101" s="12">
        <f t="shared" si="3"/>
        <v>0.35624999999999996</v>
      </c>
      <c r="K101" s="11">
        <v>3.4562211981566823E-2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0.1129004091547961</v>
      </c>
      <c r="Q101" s="12">
        <v>3.1227495254580313E-2</v>
      </c>
      <c r="R101" s="14">
        <v>77</v>
      </c>
    </row>
    <row r="102" spans="2:18" x14ac:dyDescent="0.5">
      <c r="B102" s="1" t="s">
        <v>251</v>
      </c>
      <c r="C102" t="s">
        <v>299</v>
      </c>
      <c r="D102" t="s">
        <v>300</v>
      </c>
      <c r="E102">
        <v>5.48</v>
      </c>
      <c r="F102" s="9" t="s">
        <v>67</v>
      </c>
      <c r="G102" s="7">
        <v>113140277248</v>
      </c>
      <c r="H102" s="6">
        <v>6.07</v>
      </c>
      <c r="I102" s="6">
        <v>4.58</v>
      </c>
      <c r="J102" s="12">
        <f t="shared" si="3"/>
        <v>0.19650655021834074</v>
      </c>
      <c r="K102" s="11">
        <v>5.4744525547445251E-2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0.10054283660818293</v>
      </c>
      <c r="Q102" s="12">
        <v>5.643429507724386E-2</v>
      </c>
      <c r="R102" s="14">
        <v>79</v>
      </c>
    </row>
    <row r="103" spans="2:18" x14ac:dyDescent="0.5">
      <c r="B103" s="1" t="s">
        <v>256</v>
      </c>
      <c r="C103" t="s">
        <v>305</v>
      </c>
      <c r="D103" t="s">
        <v>106</v>
      </c>
      <c r="E103">
        <v>13.6</v>
      </c>
      <c r="F103" s="9" t="s">
        <v>67</v>
      </c>
      <c r="G103" s="7">
        <v>9135283200</v>
      </c>
      <c r="H103" s="6">
        <v>15.74</v>
      </c>
      <c r="I103" s="6">
        <v>6.31</v>
      </c>
      <c r="J103" s="12">
        <f t="shared" si="3"/>
        <v>1.1553090332805072</v>
      </c>
      <c r="K103" s="11">
        <v>4.191176470588235E-2</v>
      </c>
      <c r="L103" s="13">
        <v>1136392000</v>
      </c>
      <c r="M103" s="13">
        <v>17458813000</v>
      </c>
      <c r="N103" s="9" t="s">
        <v>67</v>
      </c>
      <c r="O103" s="6">
        <v>1</v>
      </c>
      <c r="P103" s="12">
        <v>8.2619572461495761E-2</v>
      </c>
      <c r="Q103" s="12">
        <v>6.5089877530620205E-2</v>
      </c>
      <c r="R103" s="14">
        <v>81</v>
      </c>
    </row>
    <row r="104" spans="2:18" x14ac:dyDescent="0.5">
      <c r="B104" s="1" t="s">
        <v>252</v>
      </c>
      <c r="C104" t="s">
        <v>301</v>
      </c>
      <c r="D104" t="s">
        <v>168</v>
      </c>
      <c r="E104">
        <v>61.35</v>
      </c>
      <c r="F104" s="9" t="s">
        <v>67</v>
      </c>
      <c r="G104" s="7">
        <v>234973216768</v>
      </c>
      <c r="H104" s="6">
        <v>62.15</v>
      </c>
      <c r="I104" s="6">
        <v>37.450000000000003</v>
      </c>
      <c r="J104" s="12">
        <f t="shared" si="3"/>
        <v>0.63818424566088106</v>
      </c>
      <c r="K104" s="11">
        <v>3.6251018744906278E-2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9.5202746716113784E-2</v>
      </c>
      <c r="Q104" s="12">
        <v>5.2504192208844336E-2</v>
      </c>
      <c r="R104" s="14">
        <v>82</v>
      </c>
    </row>
    <row r="105" spans="2:18" x14ac:dyDescent="0.5">
      <c r="B105" s="1" t="s">
        <v>124</v>
      </c>
      <c r="C105" t="s">
        <v>166</v>
      </c>
      <c r="D105" t="s">
        <v>102</v>
      </c>
      <c r="E105">
        <v>14.44</v>
      </c>
      <c r="F105" s="9" t="s">
        <v>67</v>
      </c>
      <c r="G105" s="7">
        <v>45274091520</v>
      </c>
      <c r="H105" s="6">
        <v>14.45</v>
      </c>
      <c r="I105" s="6">
        <v>6.7</v>
      </c>
      <c r="J105" s="12">
        <f t="shared" si="3"/>
        <v>1.1552238805970148</v>
      </c>
      <c r="K105" s="11">
        <v>2.4238227146814405E-2</v>
      </c>
      <c r="L105" s="13">
        <v>1990539000</v>
      </c>
      <c r="M105" s="13">
        <v>18620709000</v>
      </c>
      <c r="N105" s="9" t="s">
        <v>67</v>
      </c>
      <c r="O105" s="6">
        <v>1</v>
      </c>
      <c r="P105" s="12">
        <v>4.1445863651549383E-2</v>
      </c>
      <c r="Q105" s="12">
        <v>0.10689920561026972</v>
      </c>
      <c r="R105" s="14">
        <v>82</v>
      </c>
    </row>
    <row r="106" spans="2:18" x14ac:dyDescent="0.5">
      <c r="B106" s="1" t="s">
        <v>119</v>
      </c>
      <c r="C106" t="s">
        <v>159</v>
      </c>
      <c r="D106" t="s">
        <v>148</v>
      </c>
      <c r="E106">
        <v>43.28</v>
      </c>
      <c r="F106" s="9" t="s">
        <v>67</v>
      </c>
      <c r="G106" s="7">
        <v>151470407680</v>
      </c>
      <c r="H106" s="6">
        <v>43.66</v>
      </c>
      <c r="I106" s="6">
        <v>28.1</v>
      </c>
      <c r="J106" s="12">
        <f t="shared" si="3"/>
        <v>0.54021352313167248</v>
      </c>
      <c r="K106" s="11">
        <v>4.0203327171903877E-2</v>
      </c>
      <c r="L106" s="13">
        <v>16863000000</v>
      </c>
      <c r="M106" s="13">
        <v>448320000000</v>
      </c>
      <c r="N106" s="9" t="s">
        <v>67</v>
      </c>
      <c r="O106" s="6">
        <v>1</v>
      </c>
      <c r="P106" s="12">
        <v>9.7455169068771122E-2</v>
      </c>
      <c r="Q106" s="12">
        <v>3.7613758029978586E-2</v>
      </c>
      <c r="R106" s="14">
        <v>84</v>
      </c>
    </row>
    <row r="107" spans="2:18" x14ac:dyDescent="0.5">
      <c r="B107" s="1" t="s">
        <v>18</v>
      </c>
      <c r="C107" t="s">
        <v>66</v>
      </c>
      <c r="D107" t="s">
        <v>65</v>
      </c>
      <c r="E107">
        <v>91.1</v>
      </c>
      <c r="F107" s="9" t="s">
        <v>67</v>
      </c>
      <c r="G107" s="7">
        <v>238392836096</v>
      </c>
      <c r="H107" s="6">
        <v>97.95</v>
      </c>
      <c r="I107" s="6">
        <v>43.15</v>
      </c>
      <c r="J107" s="12">
        <f t="shared" si="3"/>
        <v>1.1112398609501737</v>
      </c>
      <c r="K107" s="11">
        <v>1.4270032930845226E-2</v>
      </c>
      <c r="L107" s="13">
        <v>6350637223.7200003</v>
      </c>
      <c r="M107" s="13">
        <v>57896384836.860001</v>
      </c>
      <c r="N107" s="9" t="s">
        <v>50</v>
      </c>
      <c r="O107" s="6">
        <v>1.0683760683760684</v>
      </c>
      <c r="P107" s="12">
        <v>3.2823567538341265E-2</v>
      </c>
      <c r="Q107" s="12">
        <v>0.10968970241604512</v>
      </c>
      <c r="R107" s="14">
        <v>83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5.49</v>
      </c>
      <c r="F108" s="9" t="s">
        <v>67</v>
      </c>
      <c r="G108" s="7">
        <v>42535215104</v>
      </c>
      <c r="H108" s="6">
        <v>6.13</v>
      </c>
      <c r="I108" s="6">
        <v>4.3600000000000003</v>
      </c>
      <c r="J108" s="12">
        <f t="shared" si="3"/>
        <v>0.25917431192660545</v>
      </c>
      <c r="K108" s="11">
        <v>6.9763205828779595E-2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5.8117674211744665E-2</v>
      </c>
      <c r="Q108" s="12">
        <v>9.2144023431582137E-2</v>
      </c>
      <c r="R108" s="14">
        <v>82</v>
      </c>
    </row>
    <row r="109" spans="2:18" x14ac:dyDescent="0.5">
      <c r="B109" s="1" t="s">
        <v>752</v>
      </c>
      <c r="C109" t="s">
        <v>754</v>
      </c>
      <c r="D109" t="s">
        <v>85</v>
      </c>
      <c r="E109">
        <v>13.89</v>
      </c>
      <c r="F109" s="9" t="s">
        <v>67</v>
      </c>
      <c r="G109" s="7">
        <v>8966847488</v>
      </c>
      <c r="H109" s="6">
        <v>15.18</v>
      </c>
      <c r="I109" s="6">
        <v>8</v>
      </c>
      <c r="J109" s="12">
        <f t="shared" si="3"/>
        <v>0.73625000000000007</v>
      </c>
      <c r="K109" s="11">
        <v>1.6054715622750178E-2</v>
      </c>
      <c r="L109" s="13">
        <v>1066661000</v>
      </c>
      <c r="M109" s="13">
        <v>15098330000</v>
      </c>
      <c r="N109" s="9" t="s">
        <v>50</v>
      </c>
      <c r="O109" s="6">
        <v>1.0683760683760684</v>
      </c>
      <c r="P109" s="12">
        <v>6.6051655408935622E-2</v>
      </c>
      <c r="Q109" s="12">
        <v>7.0647614669966816E-2</v>
      </c>
      <c r="R109" s="14">
        <v>83</v>
      </c>
    </row>
    <row r="110" spans="2:18" x14ac:dyDescent="0.5">
      <c r="B110" s="1" t="s">
        <v>125</v>
      </c>
      <c r="C110" t="s">
        <v>167</v>
      </c>
      <c r="D110" t="s">
        <v>168</v>
      </c>
      <c r="E110">
        <v>31.1</v>
      </c>
      <c r="F110" s="9" t="s">
        <v>67</v>
      </c>
      <c r="G110" s="7">
        <v>34468495360</v>
      </c>
      <c r="H110" s="6">
        <v>32.4</v>
      </c>
      <c r="I110" s="6">
        <v>17.8</v>
      </c>
      <c r="J110" s="12">
        <f t="shared" si="3"/>
        <v>0.74719101123595499</v>
      </c>
      <c r="K110" s="11">
        <v>3.9549839228295816E-2</v>
      </c>
      <c r="L110" s="13">
        <v>3838344000</v>
      </c>
      <c r="M110" s="13">
        <v>81520873000</v>
      </c>
      <c r="N110" s="9" t="s">
        <v>67</v>
      </c>
      <c r="O110" s="6">
        <v>1</v>
      </c>
      <c r="P110" s="12">
        <v>7.3409917360471588E-2</v>
      </c>
      <c r="Q110" s="12">
        <v>4.7084186647510511E-2</v>
      </c>
      <c r="R110" s="14">
        <v>86</v>
      </c>
    </row>
    <row r="111" spans="2:18" x14ac:dyDescent="0.5">
      <c r="B111" s="1" t="s">
        <v>440</v>
      </c>
      <c r="C111" t="s">
        <v>445</v>
      </c>
      <c r="D111" t="s">
        <v>446</v>
      </c>
      <c r="E111">
        <v>2.2200000000000002</v>
      </c>
      <c r="F111" s="9" t="s">
        <v>67</v>
      </c>
      <c r="G111" s="7">
        <v>24399292416</v>
      </c>
      <c r="H111" s="6">
        <v>2.64</v>
      </c>
      <c r="I111" s="6">
        <v>1.57</v>
      </c>
      <c r="J111" s="12">
        <f t="shared" si="3"/>
        <v>0.41401273885350331</v>
      </c>
      <c r="K111" s="11">
        <v>3.1531531531531529E-2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6.5282422179505972E-2</v>
      </c>
      <c r="Q111" s="12">
        <v>5.4029173112094174E-2</v>
      </c>
      <c r="R111" s="14">
        <v>87</v>
      </c>
    </row>
    <row r="112" spans="2:18" x14ac:dyDescent="0.5">
      <c r="B112" s="1" t="s">
        <v>33</v>
      </c>
      <c r="C112" t="s">
        <v>95</v>
      </c>
      <c r="D112" t="s">
        <v>96</v>
      </c>
      <c r="E112">
        <v>11.4</v>
      </c>
      <c r="F112" s="9" t="s">
        <v>67</v>
      </c>
      <c r="G112" s="7">
        <v>199285669888</v>
      </c>
      <c r="H112" s="6">
        <v>12.85</v>
      </c>
      <c r="I112" s="6">
        <v>9.89</v>
      </c>
      <c r="J112" s="12">
        <f t="shared" si="3"/>
        <v>0.15267947421638017</v>
      </c>
      <c r="K112" s="11">
        <v>3.8596491228070177E-2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6.0612332779128343E-2</v>
      </c>
      <c r="Q112" s="12">
        <v>6.2161059386475759E-2</v>
      </c>
      <c r="R112" s="14">
        <v>88</v>
      </c>
    </row>
    <row r="113" spans="2:18" x14ac:dyDescent="0.5">
      <c r="B113" s="1" t="s">
        <v>26</v>
      </c>
      <c r="C113" t="s">
        <v>84</v>
      </c>
      <c r="D113" t="s">
        <v>85</v>
      </c>
      <c r="E113">
        <v>7</v>
      </c>
      <c r="F113" s="9" t="s">
        <v>67</v>
      </c>
      <c r="G113" s="7">
        <v>7305792000</v>
      </c>
      <c r="H113" s="6">
        <v>9.6</v>
      </c>
      <c r="I113" s="6">
        <v>5.14</v>
      </c>
      <c r="J113" s="12">
        <f t="shared" si="3"/>
        <v>0.36186770428015569</v>
      </c>
      <c r="K113" s="11">
        <v>1.3714285714285715E-2</v>
      </c>
      <c r="L113" s="13">
        <v>303335000</v>
      </c>
      <c r="M113" s="13">
        <v>3620162000</v>
      </c>
      <c r="N113" s="9" t="s">
        <v>67</v>
      </c>
      <c r="O113" s="6">
        <v>1</v>
      </c>
      <c r="P113" s="12">
        <v>4.8831786420598745E-2</v>
      </c>
      <c r="Q113" s="12">
        <v>8.3790449156695201E-2</v>
      </c>
      <c r="R113" s="14">
        <v>89</v>
      </c>
    </row>
    <row r="114" spans="2:18" x14ac:dyDescent="0.5">
      <c r="B114" s="1" t="s">
        <v>30</v>
      </c>
      <c r="C114" t="s">
        <v>90</v>
      </c>
      <c r="D114" t="s">
        <v>91</v>
      </c>
      <c r="E114">
        <v>3.34</v>
      </c>
      <c r="F114" s="9" t="s">
        <v>67</v>
      </c>
      <c r="G114" s="7">
        <v>18244857856</v>
      </c>
      <c r="H114" s="6">
        <v>3.68</v>
      </c>
      <c r="I114" s="6">
        <v>1.24</v>
      </c>
      <c r="J114" s="12">
        <f t="shared" si="3"/>
        <v>1.693548387096774</v>
      </c>
      <c r="K114" s="11">
        <v>1.0179640718562876E-2</v>
      </c>
      <c r="L114" s="13">
        <v>1384865000</v>
      </c>
      <c r="M114" s="13">
        <v>23827484000</v>
      </c>
      <c r="N114" s="9" t="s">
        <v>50</v>
      </c>
      <c r="O114" s="6">
        <v>1.0683760683760684</v>
      </c>
      <c r="P114" s="12">
        <v>5.039655592964553E-2</v>
      </c>
      <c r="Q114" s="12">
        <v>5.8120488088461209E-2</v>
      </c>
      <c r="R114" s="14">
        <v>90</v>
      </c>
    </row>
    <row r="115" spans="2:18" x14ac:dyDescent="0.5">
      <c r="B115" s="1" t="s">
        <v>137</v>
      </c>
      <c r="C115" t="s">
        <v>184</v>
      </c>
      <c r="D115" t="s">
        <v>185</v>
      </c>
      <c r="E115">
        <v>3.27</v>
      </c>
      <c r="F115" s="9" t="s">
        <v>67</v>
      </c>
      <c r="G115" s="7">
        <v>14044650496</v>
      </c>
      <c r="H115" s="6">
        <v>3.42</v>
      </c>
      <c r="I115" s="6">
        <v>1.93</v>
      </c>
      <c r="J115" s="12">
        <f t="shared" si="3"/>
        <v>0.69430051813471505</v>
      </c>
      <c r="K115" s="11">
        <v>3.3944954128440369E-2</v>
      </c>
      <c r="L115" s="13">
        <v>1938532000</v>
      </c>
      <c r="M115" s="13">
        <v>49986396000</v>
      </c>
      <c r="N115" s="9" t="s">
        <v>67</v>
      </c>
      <c r="O115" s="6">
        <v>1</v>
      </c>
      <c r="P115" s="12">
        <v>5.6070401517299938E-2</v>
      </c>
      <c r="Q115" s="12">
        <v>3.8781191586606881E-2</v>
      </c>
      <c r="R115" s="14">
        <v>91</v>
      </c>
    </row>
    <row r="116" spans="2:18" x14ac:dyDescent="0.5">
      <c r="B116" s="1" t="s">
        <v>375</v>
      </c>
      <c r="C116" t="s">
        <v>376</v>
      </c>
      <c r="D116" t="s">
        <v>83</v>
      </c>
      <c r="E116">
        <v>1.38</v>
      </c>
      <c r="F116" s="9" t="s">
        <v>67</v>
      </c>
      <c r="G116" s="7">
        <v>7640554496</v>
      </c>
      <c r="H116" s="6">
        <v>2.99</v>
      </c>
      <c r="I116" s="6">
        <v>0.91</v>
      </c>
      <c r="J116" s="12">
        <f t="shared" si="3"/>
        <v>0.51648351648351642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5.5350130436680918E-2</v>
      </c>
      <c r="Q116" s="12">
        <v>2.3421020321148112E-2</v>
      </c>
      <c r="R116" s="14">
        <v>92</v>
      </c>
    </row>
    <row r="117" spans="2:18" x14ac:dyDescent="0.5">
      <c r="B117" s="1" t="s">
        <v>379</v>
      </c>
      <c r="C117" t="s">
        <v>382</v>
      </c>
      <c r="D117" t="s">
        <v>148</v>
      </c>
      <c r="E117">
        <v>11.35</v>
      </c>
      <c r="F117" s="9" t="s">
        <v>67</v>
      </c>
      <c r="G117" s="7">
        <v>107649024000</v>
      </c>
      <c r="H117" s="6">
        <v>11.6</v>
      </c>
      <c r="I117" s="6">
        <v>7.31</v>
      </c>
      <c r="J117" s="12">
        <f t="shared" si="3"/>
        <v>0.55266757865937066</v>
      </c>
      <c r="K117" s="11">
        <v>5.1101321585903081E-2</v>
      </c>
      <c r="L117" s="13">
        <v>4532000000</v>
      </c>
      <c r="M117" s="13">
        <v>172303000000</v>
      </c>
      <c r="N117" s="9" t="s">
        <v>67</v>
      </c>
      <c r="O117" s="6">
        <v>1</v>
      </c>
      <c r="P117" s="12">
        <v>4.1851736547861909E-2</v>
      </c>
      <c r="Q117" s="12">
        <v>2.6302501987777345E-2</v>
      </c>
      <c r="R117" s="14">
        <v>93</v>
      </c>
    </row>
    <row r="118" spans="2:18" x14ac:dyDescent="0.5">
      <c r="B118" s="1" t="s">
        <v>191</v>
      </c>
      <c r="C118" t="s">
        <v>192</v>
      </c>
      <c r="D118" t="s">
        <v>193</v>
      </c>
      <c r="E118">
        <v>77.25</v>
      </c>
      <c r="F118" s="9" t="s">
        <v>67</v>
      </c>
      <c r="G118" s="7">
        <v>746614554624</v>
      </c>
      <c r="H118" s="6">
        <v>93.5</v>
      </c>
      <c r="I118" s="6">
        <v>37</v>
      </c>
      <c r="J118" s="12">
        <f t="shared" si="3"/>
        <v>1.0878378378378377</v>
      </c>
      <c r="K118" s="11">
        <v>0</v>
      </c>
      <c r="L118" s="13">
        <v>984027000</v>
      </c>
      <c r="M118" s="13">
        <v>32183526000</v>
      </c>
      <c r="N118" s="9" t="s">
        <v>71</v>
      </c>
      <c r="O118" s="6">
        <v>7.6923076923076916</v>
      </c>
      <c r="P118" s="12">
        <v>9.6198127416715577E-3</v>
      </c>
      <c r="Q118" s="12">
        <v>3.0575487595734537E-2</v>
      </c>
      <c r="R118" s="14">
        <v>94</v>
      </c>
    </row>
    <row r="119" spans="2:18" x14ac:dyDescent="0.5">
      <c r="B119" s="1" t="s">
        <v>111</v>
      </c>
      <c r="C119" t="s">
        <v>149</v>
      </c>
      <c r="D119" t="s">
        <v>150</v>
      </c>
      <c r="E119">
        <v>20.5</v>
      </c>
      <c r="F119" s="9" t="s">
        <v>67</v>
      </c>
      <c r="G119" s="7">
        <v>21053667328</v>
      </c>
      <c r="H119" s="6">
        <v>20.64</v>
      </c>
      <c r="I119" s="6">
        <v>11</v>
      </c>
      <c r="J119" s="12">
        <f t="shared" si="3"/>
        <v>0.86363636363636354</v>
      </c>
      <c r="K119" s="11">
        <v>5.2682926829268298E-2</v>
      </c>
      <c r="L119" s="13">
        <v>984000000</v>
      </c>
      <c r="M119" s="13">
        <v>101944000000</v>
      </c>
      <c r="N119" s="9" t="s">
        <v>67</v>
      </c>
      <c r="O119" s="6">
        <v>1</v>
      </c>
      <c r="P119" s="12">
        <v>2.1389599072269859E-2</v>
      </c>
      <c r="Q119" s="12">
        <v>9.6523581574197593E-3</v>
      </c>
      <c r="R119" s="14">
        <v>95</v>
      </c>
    </row>
    <row r="120" spans="2:18" x14ac:dyDescent="0.5">
      <c r="B120" s="1" t="s">
        <v>128</v>
      </c>
      <c r="C120" t="s">
        <v>172</v>
      </c>
      <c r="D120" t="s">
        <v>171</v>
      </c>
      <c r="E120">
        <v>37.76</v>
      </c>
      <c r="F120" s="9" t="s">
        <v>67</v>
      </c>
      <c r="G120" s="7">
        <v>38570905600</v>
      </c>
      <c r="H120" s="6">
        <v>46.88</v>
      </c>
      <c r="I120" s="6">
        <v>22.4</v>
      </c>
      <c r="J120" s="12">
        <f t="shared" si="3"/>
        <v>0.68571428571428572</v>
      </c>
      <c r="K120" s="11">
        <v>0</v>
      </c>
      <c r="L120" s="13">
        <v>-90314000</v>
      </c>
      <c r="M120" s="13">
        <v>18374441000</v>
      </c>
      <c r="N120" s="9" t="s">
        <v>50</v>
      </c>
      <c r="O120" s="6">
        <v>1.0683760683760684</v>
      </c>
      <c r="P120" s="12">
        <v>-2.7364236324762658E-3</v>
      </c>
      <c r="Q120" s="12">
        <v>-4.9151971480384084E-3</v>
      </c>
      <c r="R120" s="14">
        <v>96</v>
      </c>
    </row>
    <row r="121" spans="2:18" x14ac:dyDescent="0.5">
      <c r="B121" s="1" t="s">
        <v>381</v>
      </c>
      <c r="C121" t="s">
        <v>384</v>
      </c>
      <c r="D121" t="s">
        <v>385</v>
      </c>
      <c r="E121">
        <v>35.06</v>
      </c>
      <c r="F121" s="9" t="s">
        <v>67</v>
      </c>
      <c r="G121" s="7">
        <v>91118813184</v>
      </c>
      <c r="H121" s="6">
        <v>45.05</v>
      </c>
      <c r="I121" s="6">
        <v>31.25</v>
      </c>
      <c r="J121" s="12">
        <f t="shared" si="3"/>
        <v>0.12192000000000003</v>
      </c>
      <c r="K121" s="11">
        <v>7.5385054192812315E-2</v>
      </c>
      <c r="L121" s="13">
        <v>-6742000000</v>
      </c>
      <c r="M121" s="13">
        <v>216378000000</v>
      </c>
      <c r="N121" s="9" t="s">
        <v>67</v>
      </c>
      <c r="O121" s="6">
        <v>1</v>
      </c>
      <c r="P121" s="12">
        <v>-4.7841453106276459E-2</v>
      </c>
      <c r="Q121" s="12">
        <v>-3.1158435700487111E-2</v>
      </c>
      <c r="R121" s="14">
        <v>97</v>
      </c>
    </row>
    <row r="122" spans="2:18" x14ac:dyDescent="0.5">
      <c r="B122" s="1" t="s">
        <v>438</v>
      </c>
      <c r="C122" t="s">
        <v>442</v>
      </c>
      <c r="D122" t="s">
        <v>164</v>
      </c>
      <c r="E122">
        <v>2.91</v>
      </c>
      <c r="F122" s="9" t="s">
        <v>67</v>
      </c>
      <c r="G122" s="7">
        <v>17062020096</v>
      </c>
      <c r="H122" s="6">
        <v>4.34</v>
      </c>
      <c r="I122" s="6">
        <v>2.57</v>
      </c>
      <c r="J122" s="12">
        <f t="shared" si="3"/>
        <v>0.13229571984435817</v>
      </c>
      <c r="K122" s="11">
        <v>4.8109965635738834E-2</v>
      </c>
      <c r="L122" s="13">
        <v>-780356000</v>
      </c>
      <c r="M122" s="13">
        <v>8664599000</v>
      </c>
      <c r="N122" s="9" t="s">
        <v>67</v>
      </c>
      <c r="O122" s="6">
        <v>1</v>
      </c>
      <c r="P122" s="12">
        <v>-6.5327423094560369E-2</v>
      </c>
      <c r="Q122" s="12">
        <v>-9.0062563772426163E-2</v>
      </c>
      <c r="R122" s="14">
        <v>98</v>
      </c>
    </row>
    <row r="123" spans="2:18" x14ac:dyDescent="0.5">
      <c r="B123" s="1" t="s">
        <v>200</v>
      </c>
      <c r="C123" t="s">
        <v>226</v>
      </c>
      <c r="D123" t="s">
        <v>227</v>
      </c>
      <c r="E123">
        <v>6.55</v>
      </c>
      <c r="F123" s="9" t="s">
        <v>67</v>
      </c>
      <c r="G123" s="7">
        <v>648421507072</v>
      </c>
      <c r="H123" s="6">
        <v>7.62</v>
      </c>
      <c r="I123" s="6">
        <v>5.97</v>
      </c>
      <c r="J123" s="12">
        <f t="shared" si="3"/>
        <v>9.7152428810720393E-2</v>
      </c>
      <c r="K123" s="11">
        <v>8.1679389312977108E-2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202</v>
      </c>
      <c r="C124" t="s">
        <v>229</v>
      </c>
      <c r="D124" t="s">
        <v>225</v>
      </c>
      <c r="E124">
        <v>5.0199999999999996</v>
      </c>
      <c r="F124" s="9" t="s">
        <v>67</v>
      </c>
      <c r="G124" s="7">
        <v>678997590016</v>
      </c>
      <c r="H124" s="6">
        <v>5.95</v>
      </c>
      <c r="I124" s="6">
        <v>4.3600000000000003</v>
      </c>
      <c r="J124" s="12">
        <f t="shared" si="3"/>
        <v>0.1513761467889907</v>
      </c>
      <c r="K124" s="11">
        <v>4.721115537848606E-2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201</v>
      </c>
      <c r="C125" t="s">
        <v>228</v>
      </c>
      <c r="D125" t="s">
        <v>227</v>
      </c>
      <c r="E125">
        <v>6.21</v>
      </c>
      <c r="F125" s="9" t="s">
        <v>67</v>
      </c>
      <c r="G125" s="7">
        <v>2774803152896</v>
      </c>
      <c r="H125" s="6">
        <v>6.66</v>
      </c>
      <c r="I125" s="6">
        <v>4.8600000000000003</v>
      </c>
      <c r="J125" s="12">
        <f t="shared" si="3"/>
        <v>0.27777777777777768</v>
      </c>
      <c r="K125" s="11">
        <v>4.9275362318840582E-2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203</v>
      </c>
      <c r="C126" t="s">
        <v>230</v>
      </c>
      <c r="D126" t="s">
        <v>227</v>
      </c>
      <c r="E126">
        <v>7.67</v>
      </c>
      <c r="F126" s="9" t="s">
        <v>67</v>
      </c>
      <c r="G126" s="7">
        <v>2055926579200</v>
      </c>
      <c r="H126" s="6">
        <v>8.56</v>
      </c>
      <c r="I126" s="6">
        <v>6.02</v>
      </c>
      <c r="J126" s="12">
        <f t="shared" si="3"/>
        <v>0.2740863787375416</v>
      </c>
      <c r="K126" s="11">
        <v>5.1108213820078227E-2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225</v>
      </c>
      <c r="E127">
        <v>7</v>
      </c>
      <c r="F127" s="9" t="s">
        <v>67</v>
      </c>
      <c r="G127" s="7">
        <v>459016503296</v>
      </c>
      <c r="H127" s="6">
        <v>8.1199999999999992</v>
      </c>
      <c r="I127" s="6">
        <v>5.33</v>
      </c>
      <c r="J127" s="12">
        <f t="shared" si="3"/>
        <v>0.31332082551594742</v>
      </c>
      <c r="K127" s="11">
        <v>0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199</v>
      </c>
      <c r="C128" t="s">
        <v>224</v>
      </c>
      <c r="D128" t="s">
        <v>225</v>
      </c>
      <c r="E128">
        <v>39.68</v>
      </c>
      <c r="F128" s="9" t="s">
        <v>67</v>
      </c>
      <c r="G128" s="7">
        <v>419527950336</v>
      </c>
      <c r="H128" s="6">
        <v>40.9</v>
      </c>
      <c r="I128" s="6">
        <v>24.4</v>
      </c>
      <c r="J128" s="12">
        <f t="shared" si="3"/>
        <v>0.6262295081967213</v>
      </c>
      <c r="K128" s="11">
        <v>5.0378024193548393E-2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758</v>
      </c>
      <c r="C129" t="s">
        <v>761</v>
      </c>
      <c r="D129" t="s">
        <v>240</v>
      </c>
      <c r="E129">
        <v>12.12</v>
      </c>
      <c r="F129" s="9" t="s">
        <v>67</v>
      </c>
      <c r="G129" s="7">
        <v>12905434112</v>
      </c>
      <c r="H129" s="6">
        <v>15.24</v>
      </c>
      <c r="I129" s="6">
        <v>7.64</v>
      </c>
      <c r="J129" s="12">
        <f t="shared" si="3"/>
        <v>0.58638743455497377</v>
      </c>
      <c r="K129" s="11">
        <v>2.8630363036303629E-2</v>
      </c>
      <c r="L129" s="13">
        <v>697194000</v>
      </c>
      <c r="M129" s="13">
        <v>9479979000</v>
      </c>
      <c r="N129" s="9" t="s">
        <v>50</v>
      </c>
      <c r="O129" s="6">
        <v>1.0683760683760684</v>
      </c>
      <c r="P129" s="12">
        <v>4.1050053559325804E-2</v>
      </c>
      <c r="Q129" s="12">
        <v>7.3543833799631836E-2</v>
      </c>
      <c r="R129" s="14">
        <v>90</v>
      </c>
    </row>
    <row r="130" spans="2:18" x14ac:dyDescent="0.5">
      <c r="B130" s="1" t="s">
        <v>764</v>
      </c>
      <c r="C130" t="s">
        <v>769</v>
      </c>
      <c r="D130" t="s">
        <v>660</v>
      </c>
      <c r="E130">
        <v>1.23</v>
      </c>
      <c r="F130" s="9" t="s">
        <v>67</v>
      </c>
      <c r="G130" s="7">
        <v>510450016</v>
      </c>
      <c r="H130" s="6">
        <v>1.41</v>
      </c>
      <c r="I130" s="6">
        <v>0.59</v>
      </c>
      <c r="J130" s="12">
        <f t="shared" ref="J130:J161" si="4">E130/I130-1</f>
        <v>1.0847457627118646</v>
      </c>
      <c r="K130" s="11">
        <v>3.0894308943089432E-2</v>
      </c>
      <c r="L130" s="13">
        <v>76397000</v>
      </c>
      <c r="M130" s="13">
        <v>492379000</v>
      </c>
      <c r="N130" s="9" t="s">
        <v>67</v>
      </c>
      <c r="O130" s="6">
        <v>1</v>
      </c>
      <c r="P130" s="12">
        <v>0.15167553971651315</v>
      </c>
      <c r="Q130" s="12">
        <v>0.15515893244837817</v>
      </c>
      <c r="R130" s="14">
        <v>22</v>
      </c>
    </row>
    <row r="131" spans="2:18" x14ac:dyDescent="0.5">
      <c r="B131" s="1" t="s">
        <v>765</v>
      </c>
      <c r="C131" t="s">
        <v>770</v>
      </c>
      <c r="D131" t="s">
        <v>73</v>
      </c>
      <c r="E131">
        <v>1.25</v>
      </c>
      <c r="F131" s="9" t="s">
        <v>67</v>
      </c>
      <c r="G131" s="7">
        <v>1732961280</v>
      </c>
      <c r="H131" s="6">
        <v>1.6</v>
      </c>
      <c r="I131" s="6">
        <v>1.08</v>
      </c>
      <c r="J131" s="12">
        <f t="shared" si="4"/>
        <v>0.15740740740740744</v>
      </c>
      <c r="K131" s="11">
        <v>0.08</v>
      </c>
      <c r="L131" s="13">
        <v>255887000</v>
      </c>
      <c r="M131" s="13">
        <v>4229022000</v>
      </c>
      <c r="N131" s="9" t="s">
        <v>67</v>
      </c>
      <c r="O131" s="6">
        <v>1</v>
      </c>
      <c r="P131" s="12">
        <v>0.10572282121918794</v>
      </c>
      <c r="Q131" s="12">
        <v>6.0507370261966002E-2</v>
      </c>
      <c r="R131" s="14">
        <v>75</v>
      </c>
    </row>
    <row r="132" spans="2:18" x14ac:dyDescent="0.5">
      <c r="B132" s="1" t="s">
        <v>766</v>
      </c>
      <c r="C132" t="s">
        <v>771</v>
      </c>
      <c r="D132" t="s">
        <v>164</v>
      </c>
      <c r="E132">
        <v>0.96</v>
      </c>
      <c r="F132" s="9" t="s">
        <v>67</v>
      </c>
      <c r="G132" s="7">
        <v>704892224</v>
      </c>
      <c r="H132" s="6">
        <v>1.06</v>
      </c>
      <c r="I132" s="6">
        <v>0.74</v>
      </c>
      <c r="J132" s="12">
        <f t="shared" si="4"/>
        <v>0.29729729729729737</v>
      </c>
      <c r="K132" s="11">
        <v>0.10416666666666667</v>
      </c>
      <c r="L132" s="13">
        <v>180447000</v>
      </c>
      <c r="M132" s="13">
        <v>1366457000</v>
      </c>
      <c r="N132" s="9" t="s">
        <v>67</v>
      </c>
      <c r="O132" s="6">
        <v>1</v>
      </c>
      <c r="P132" s="12">
        <v>0.42726214691553605</v>
      </c>
      <c r="Q132" s="12">
        <v>0.13205464935962127</v>
      </c>
      <c r="R132" s="14">
        <v>9</v>
      </c>
    </row>
    <row r="133" spans="2:18" x14ac:dyDescent="0.5">
      <c r="B133" s="1" t="s">
        <v>767</v>
      </c>
      <c r="C133" t="s">
        <v>772</v>
      </c>
      <c r="D133" t="s">
        <v>49</v>
      </c>
      <c r="E133">
        <v>1.63</v>
      </c>
      <c r="F133" s="9" t="s">
        <v>67</v>
      </c>
      <c r="G133" s="7">
        <v>1027766464</v>
      </c>
      <c r="H133" s="6">
        <v>1.94</v>
      </c>
      <c r="I133" s="6">
        <v>1.28</v>
      </c>
      <c r="J133" s="12">
        <f t="shared" si="4"/>
        <v>0.2734375</v>
      </c>
      <c r="K133" s="11">
        <v>7.1165644171779147E-2</v>
      </c>
      <c r="L133" s="13">
        <v>191186000</v>
      </c>
      <c r="M133" s="13">
        <v>3081570000</v>
      </c>
      <c r="N133" s="9" t="s">
        <v>67</v>
      </c>
      <c r="O133" s="6">
        <v>1</v>
      </c>
      <c r="P133" s="12">
        <v>0.36971054943273662</v>
      </c>
      <c r="Q133" s="12">
        <v>6.2041751444880368E-2</v>
      </c>
      <c r="R133" s="14">
        <v>43</v>
      </c>
    </row>
    <row r="134" spans="2:18" x14ac:dyDescent="0.5">
      <c r="B134" s="1" t="s">
        <v>768</v>
      </c>
      <c r="C134" t="s">
        <v>773</v>
      </c>
      <c r="D134" t="s">
        <v>774</v>
      </c>
      <c r="E134">
        <v>1.4</v>
      </c>
      <c r="F134" s="9" t="s">
        <v>67</v>
      </c>
      <c r="G134" s="7">
        <v>887442176</v>
      </c>
      <c r="H134" s="6">
        <v>1.98</v>
      </c>
      <c r="I134" s="6">
        <v>1.17</v>
      </c>
      <c r="J134" s="12">
        <f t="shared" si="4"/>
        <v>0.19658119658119655</v>
      </c>
      <c r="K134" s="11">
        <v>0.10000000000000002</v>
      </c>
      <c r="L134" s="13">
        <v>-19076000</v>
      </c>
      <c r="M134" s="13">
        <v>1673543000</v>
      </c>
      <c r="N134" s="9" t="s">
        <v>67</v>
      </c>
      <c r="O134" s="6">
        <v>1</v>
      </c>
      <c r="P134" s="12">
        <v>-5.4717792383416397E-2</v>
      </c>
      <c r="Q134" s="12">
        <v>-1.1398571772580687E-2</v>
      </c>
      <c r="R134" s="14">
        <v>97</v>
      </c>
    </row>
  </sheetData>
  <autoFilter ref="B1:R18" xr:uid="{7A9EDF16-08C4-B24B-A5E4-CFD78B458569}">
    <sortState xmlns:xlrd2="http://schemas.microsoft.com/office/spreadsheetml/2017/richdata2" ref="B2:R129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2026-01-21T10:08:36Z</dcterms:modified>
</cp:coreProperties>
</file>