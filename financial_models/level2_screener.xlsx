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009607A-C61D-4981-A81E-8956EFD651E2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<sst xmlns="http://schemas.openxmlformats.org/spreadsheetml/2006/main" count="1665" uniqueCount="765">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</sst>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Normal="100" workbookViewId="0">
      <pane xSplit="3" ySplit="1" topLeftCell="D116" activePane="bottomRight" state="frozen"/>
      <selection pane="topRight" activeCell="D1" sqref="D1"/>
      <selection pane="bottomLeft" activeCell="A2" sqref="A2"/>
      <selection pane="bottomRight" activeCell="B131" sqref="B13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13.98</v>
      </c>
      <c r="F2" s="9" t="s">
        <v>67</v>
      </c>
      <c r="G2" s="7">
        <v>251277197312</v>
      </c>
      <c r="H2" s="6">
        <v>15.6</v>
      </c>
      <c r="I2" s="6">
        <v>9.8000000000000007</v>
      </c>
      <c r="J2" s="12">
        <f t="shared" ref="J2:J32" si="0">E2/I2-1</f>
        <v>0.42653061224489797</v>
      </c>
      <c r="K2" s="11">
        <v>0.11373390557939915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0.55133013023562427</v>
      </c>
      <c r="Q2" s="12">
        <v>0.26042924055386191</v>
      </c>
      <c r="R2" s="14">
        <v>2</v>
      </c>
    </row>
    <row r="3" spans="2:22" x14ac:dyDescent="0.5">
      <c r="B3" s="1" t="s">
        <v>195</v>
      </c>
      <c r="C3" t="s">
        <v>217</v>
      </c>
      <c r="D3" t="s">
        <v>76</v>
      </c>
      <c r="E3">
        <v>127.8</v>
      </c>
      <c r="F3" s="9" t="s">
        <v>67</v>
      </c>
      <c r="G3" s="7">
        <v>84395712512</v>
      </c>
      <c r="H3" s="6">
        <v>149.5</v>
      </c>
      <c r="I3" s="6">
        <v>93</v>
      </c>
      <c r="J3" s="12">
        <f t="shared" si="0"/>
        <v>0.37419354838709684</v>
      </c>
      <c r="K3" s="11">
        <v>1.5962441314553991E-2</v>
      </c>
      <c r="L3" s="13">
        <v>2635100000</v>
      </c>
      <c r="M3" s="13">
        <v>13245550000</v>
      </c>
      <c r="N3" s="9" t="s">
        <v>71</v>
      </c>
      <c r="O3" s="6">
        <v>7.6923076923076916</v>
      </c>
      <c r="P3" s="12">
        <v>0.59333161643138654</v>
      </c>
      <c r="Q3" s="12">
        <v>0.19894228627727803</v>
      </c>
      <c r="R3" s="14">
        <v>4</v>
      </c>
    </row>
    <row r="4" spans="2:22" x14ac:dyDescent="0.5">
      <c r="B4" s="1" t="s">
        <v>108</v>
      </c>
      <c r="C4" t="s">
        <v>144</v>
      </c>
      <c r="D4" t="s">
        <v>145</v>
      </c>
      <c r="E4">
        <v>4.3600000000000003</v>
      </c>
      <c r="F4" s="9" t="s">
        <v>67</v>
      </c>
      <c r="G4" s="7">
        <v>12195894272</v>
      </c>
      <c r="H4" s="6">
        <v>5.2</v>
      </c>
      <c r="I4" s="6">
        <v>2.4900000000000002</v>
      </c>
      <c r="J4" s="12">
        <f t="shared" si="0"/>
        <v>0.75100401606425704</v>
      </c>
      <c r="K4" s="11">
        <v>3.509174311926605E-2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0.24993541612351292</v>
      </c>
      <c r="Q4" s="12">
        <v>0.28956319566547578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4.01</v>
      </c>
      <c r="F5" s="9" t="s">
        <v>67</v>
      </c>
      <c r="G5" s="7">
        <v>35318738944</v>
      </c>
      <c r="H5" s="6">
        <v>7.38</v>
      </c>
      <c r="I5" s="6">
        <v>3.8</v>
      </c>
      <c r="J5" s="12">
        <f t="shared" si="0"/>
        <v>5.5263157894736903E-2</v>
      </c>
      <c r="K5" s="11">
        <v>6.6084788029925193E-2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0.22541384012338789</v>
      </c>
      <c r="Q5" s="12">
        <v>0.20771406306691512</v>
      </c>
      <c r="R5" s="14">
        <v>5</v>
      </c>
    </row>
    <row r="6" spans="2:22" x14ac:dyDescent="0.5">
      <c r="B6" s="1" t="s">
        <v>249</v>
      </c>
      <c r="C6" t="s">
        <v>295</v>
      </c>
      <c r="D6" t="s">
        <v>296</v>
      </c>
      <c r="E6">
        <v>7.33</v>
      </c>
      <c r="F6" s="9" t="s">
        <v>67</v>
      </c>
      <c r="G6" s="7">
        <v>389348917248</v>
      </c>
      <c r="H6" s="6">
        <v>7.63</v>
      </c>
      <c r="I6" s="6">
        <v>3.59</v>
      </c>
      <c r="J6" s="12">
        <f t="shared" si="0"/>
        <v>1.0417827298050142</v>
      </c>
      <c r="K6" s="11">
        <v>2.6193724420190995E-2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0.18482873432226862</v>
      </c>
      <c r="Q6" s="12">
        <v>0.22694806719794586</v>
      </c>
      <c r="R6" s="14">
        <v>6</v>
      </c>
    </row>
    <row r="7" spans="2:22" x14ac:dyDescent="0.5">
      <c r="B7" s="1" t="s">
        <v>196</v>
      </c>
      <c r="C7" t="s">
        <v>218</v>
      </c>
      <c r="D7" t="s">
        <v>219</v>
      </c>
      <c r="E7">
        <v>1.96</v>
      </c>
      <c r="F7" s="9" t="s">
        <v>67</v>
      </c>
      <c r="G7" s="7">
        <v>1960000000</v>
      </c>
      <c r="H7" s="6">
        <v>2.42</v>
      </c>
      <c r="I7" s="6">
        <v>1.55</v>
      </c>
      <c r="J7" s="12">
        <f t="shared" si="0"/>
        <v>0.26451612903225796</v>
      </c>
      <c r="K7" s="11">
        <v>0.10714285714285714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0.14807086016772189</v>
      </c>
      <c r="Q7" s="12">
        <v>0.51857007005524791</v>
      </c>
      <c r="R7" s="14">
        <v>7</v>
      </c>
    </row>
    <row r="8" spans="2:22" x14ac:dyDescent="0.5">
      <c r="B8" s="1" t="s">
        <v>247</v>
      </c>
      <c r="C8" t="s">
        <v>292</v>
      </c>
      <c r="D8" t="s">
        <v>291</v>
      </c>
      <c r="E8">
        <v>1.35</v>
      </c>
      <c r="F8" s="9" t="s">
        <v>67</v>
      </c>
      <c r="G8" s="7">
        <v>2719235840</v>
      </c>
      <c r="H8" s="6">
        <v>1.85</v>
      </c>
      <c r="I8" s="6">
        <v>1.1299999999999999</v>
      </c>
      <c r="J8" s="12">
        <f t="shared" si="0"/>
        <v>0.19469026548672574</v>
      </c>
      <c r="K8" s="11">
        <v>8.8148148148148142E-2</v>
      </c>
      <c r="L8" s="13">
        <v>809534000</v>
      </c>
      <c r="M8" s="13">
        <v>6812238000</v>
      </c>
      <c r="N8" s="9" t="s">
        <v>50</v>
      </c>
      <c r="O8" s="6">
        <v>1.0683760683760684</v>
      </c>
      <c r="P8" s="12">
        <v>0.31842311115706379</v>
      </c>
      <c r="Q8" s="12">
        <v>0.11883524915013245</v>
      </c>
      <c r="R8" s="14">
        <v>17</v>
      </c>
    </row>
    <row r="9" spans="2:22" x14ac:dyDescent="0.5">
      <c r="B9" s="1" t="s">
        <v>107</v>
      </c>
      <c r="C9" t="s">
        <v>142</v>
      </c>
      <c r="D9" t="s">
        <v>143</v>
      </c>
      <c r="E9">
        <v>3.27</v>
      </c>
      <c r="F9" s="9" t="s">
        <v>67</v>
      </c>
      <c r="G9" s="7">
        <v>16647785472</v>
      </c>
      <c r="H9" s="6">
        <v>3.35</v>
      </c>
      <c r="I9" s="6">
        <v>2.23</v>
      </c>
      <c r="J9" s="12">
        <f t="shared" si="0"/>
        <v>0.46636771300448432</v>
      </c>
      <c r="K9" s="11">
        <v>8.2568807339449546E-2</v>
      </c>
      <c r="L9" s="13">
        <v>2527643000</v>
      </c>
      <c r="M9" s="13">
        <v>16480074000</v>
      </c>
      <c r="N9" s="9" t="s">
        <v>67</v>
      </c>
      <c r="O9" s="6">
        <v>1</v>
      </c>
      <c r="P9" s="12">
        <v>0.28036377322113271</v>
      </c>
      <c r="Q9" s="12">
        <v>0.15337570692947131</v>
      </c>
      <c r="R9" s="14">
        <v>8</v>
      </c>
    </row>
    <row r="10" spans="2:22" x14ac:dyDescent="0.5">
      <c r="B10" s="1" t="s">
        <v>290</v>
      </c>
      <c r="C10" t="s">
        <v>343</v>
      </c>
      <c r="D10" t="s">
        <v>94</v>
      </c>
      <c r="E10">
        <v>5.77</v>
      </c>
      <c r="F10" s="9" t="s">
        <v>67</v>
      </c>
      <c r="G10" s="7">
        <v>11930525696</v>
      </c>
      <c r="H10" s="6">
        <v>6.7</v>
      </c>
      <c r="I10" s="6">
        <v>3.84</v>
      </c>
      <c r="J10" s="12">
        <f t="shared" si="0"/>
        <v>0.50260416666666652</v>
      </c>
      <c r="K10" s="11">
        <v>4.9046793760831889E-2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0.21961633026540858</v>
      </c>
      <c r="Q10" s="12">
        <v>0.16357040581906512</v>
      </c>
      <c r="R10" s="14">
        <v>9</v>
      </c>
    </row>
    <row r="11" spans="2:22" x14ac:dyDescent="0.5">
      <c r="B11" s="1" t="s">
        <v>250</v>
      </c>
      <c r="C11" t="s">
        <v>297</v>
      </c>
      <c r="D11" t="s">
        <v>298</v>
      </c>
      <c r="E11">
        <v>21.28</v>
      </c>
      <c r="F11" s="9" t="s">
        <v>67</v>
      </c>
      <c r="G11" s="7">
        <v>76480716800</v>
      </c>
      <c r="H11" s="6">
        <v>21.72</v>
      </c>
      <c r="I11" s="6">
        <v>9.56</v>
      </c>
      <c r="J11" s="12">
        <f t="shared" si="0"/>
        <v>1.2259414225941421</v>
      </c>
      <c r="K11" s="11">
        <v>1.6447368421052631E-2</v>
      </c>
      <c r="L11" s="13">
        <v>25585077000</v>
      </c>
      <c r="M11" s="13">
        <v>167756547000</v>
      </c>
      <c r="N11" s="9" t="s">
        <v>67</v>
      </c>
      <c r="O11" s="6">
        <v>1</v>
      </c>
      <c r="P11" s="12">
        <v>0.22400668171615809</v>
      </c>
      <c r="Q11" s="12">
        <v>0.15251313559762292</v>
      </c>
      <c r="R11" s="14">
        <v>12</v>
      </c>
    </row>
    <row r="12" spans="2:22" x14ac:dyDescent="0.5">
      <c r="B12" s="1" t="s">
        <v>197</v>
      </c>
      <c r="C12" t="s">
        <v>220</v>
      </c>
      <c r="D12" t="s">
        <v>221</v>
      </c>
      <c r="E12">
        <v>21.42</v>
      </c>
      <c r="F12" s="9" t="s">
        <v>67</v>
      </c>
      <c r="G12" s="7">
        <v>186644922368</v>
      </c>
      <c r="H12" s="6">
        <v>21.66</v>
      </c>
      <c r="I12" s="6">
        <v>12.64</v>
      </c>
      <c r="J12" s="12">
        <f t="shared" si="0"/>
        <v>0.69462025316455711</v>
      </c>
      <c r="K12" s="11">
        <v>3.2913165266106437E-2</v>
      </c>
      <c r="L12" s="13">
        <v>21175963859.630001</v>
      </c>
      <c r="M12" s="13">
        <v>104071284594.97</v>
      </c>
      <c r="N12" s="9" t="s">
        <v>50</v>
      </c>
      <c r="O12" s="6">
        <v>1.0683760683760684</v>
      </c>
      <c r="P12" s="12">
        <v>0.14517022416536121</v>
      </c>
      <c r="Q12" s="12">
        <v>0.20347556909712136</v>
      </c>
      <c r="R12" s="14">
        <v>12</v>
      </c>
    </row>
    <row r="13" spans="2:22" x14ac:dyDescent="0.5">
      <c r="B13" s="1" t="s">
        <v>194</v>
      </c>
      <c r="C13" t="s">
        <v>215</v>
      </c>
      <c r="D13" t="s">
        <v>216</v>
      </c>
      <c r="E13">
        <v>15.12</v>
      </c>
      <c r="F13" s="9" t="s">
        <v>67</v>
      </c>
      <c r="G13" s="7">
        <v>58998784000</v>
      </c>
      <c r="H13" s="6">
        <v>17.55</v>
      </c>
      <c r="I13" s="6">
        <v>4.22</v>
      </c>
      <c r="J13" s="12">
        <f t="shared" si="0"/>
        <v>2.5829383886255926</v>
      </c>
      <c r="K13" s="11">
        <v>2.8439153439153439E-3</v>
      </c>
      <c r="L13" s="13">
        <v>786762000</v>
      </c>
      <c r="M13" s="13">
        <v>2279244000</v>
      </c>
      <c r="N13" s="9" t="s">
        <v>71</v>
      </c>
      <c r="O13" s="6">
        <v>7.6923076923076916</v>
      </c>
      <c r="P13" s="12">
        <v>0.11744551863487346</v>
      </c>
      <c r="Q13" s="12">
        <v>0.34518550887925997</v>
      </c>
      <c r="R13" s="14">
        <v>10</v>
      </c>
    </row>
    <row r="14" spans="2:22" x14ac:dyDescent="0.5">
      <c r="B14" s="1" t="s">
        <v>23</v>
      </c>
      <c r="C14" t="s">
        <v>79</v>
      </c>
      <c r="D14" t="s">
        <v>80</v>
      </c>
      <c r="E14">
        <v>7.4</v>
      </c>
      <c r="F14" s="9" t="s">
        <v>67</v>
      </c>
      <c r="G14" s="7">
        <v>64076603392</v>
      </c>
      <c r="H14" s="6">
        <v>8.48</v>
      </c>
      <c r="I14" s="6">
        <v>6.8</v>
      </c>
      <c r="J14" s="12">
        <f t="shared" si="0"/>
        <v>8.8235294117647189E-2</v>
      </c>
      <c r="K14" s="11">
        <v>4.2972972972972971E-2</v>
      </c>
      <c r="L14" s="13">
        <v>13438000000</v>
      </c>
      <c r="M14" s="13">
        <v>88611000000</v>
      </c>
      <c r="N14" s="9" t="s">
        <v>50</v>
      </c>
      <c r="O14" s="6">
        <v>1.0683760683760684</v>
      </c>
      <c r="P14" s="12">
        <v>0.23814544657071321</v>
      </c>
      <c r="Q14" s="12">
        <v>0.15165160081705431</v>
      </c>
      <c r="R14" s="14">
        <v>11</v>
      </c>
    </row>
    <row r="15" spans="2:22" x14ac:dyDescent="0.5">
      <c r="B15" s="1" t="s">
        <v>285</v>
      </c>
      <c r="C15" t="s">
        <v>338</v>
      </c>
      <c r="D15" t="s">
        <v>85</v>
      </c>
      <c r="E15">
        <v>8.7100000000000009</v>
      </c>
      <c r="F15" s="9" t="s">
        <v>67</v>
      </c>
      <c r="G15" s="7">
        <v>111751208960</v>
      </c>
      <c r="H15" s="6">
        <v>9.06</v>
      </c>
      <c r="I15" s="6">
        <v>5.78</v>
      </c>
      <c r="J15" s="12">
        <f t="shared" si="0"/>
        <v>0.5069204152249136</v>
      </c>
      <c r="K15" s="11">
        <v>8.8404133180252573E-3</v>
      </c>
      <c r="L15" s="13">
        <v>2553000000</v>
      </c>
      <c r="M15" s="13">
        <v>13971000000</v>
      </c>
      <c r="N15" s="9" t="s">
        <v>71</v>
      </c>
      <c r="O15" s="6">
        <v>7.6923076923076916</v>
      </c>
      <c r="P15" s="12">
        <v>0.15762511819713046</v>
      </c>
      <c r="Q15" s="12">
        <v>0.18273566673824351</v>
      </c>
      <c r="R15" s="14">
        <v>13</v>
      </c>
    </row>
    <row r="16" spans="2:22" x14ac:dyDescent="0.5">
      <c r="B16" s="1" t="s">
        <v>288</v>
      </c>
      <c r="C16" t="s">
        <v>341</v>
      </c>
      <c r="D16" t="s">
        <v>76</v>
      </c>
      <c r="E16">
        <v>27.88</v>
      </c>
      <c r="F16" s="9" t="s">
        <v>67</v>
      </c>
      <c r="G16" s="7">
        <v>74691403776</v>
      </c>
      <c r="H16" s="6">
        <v>33</v>
      </c>
      <c r="I16" s="6">
        <v>15.7</v>
      </c>
      <c r="J16" s="12">
        <f t="shared" si="0"/>
        <v>0.77579617834394909</v>
      </c>
      <c r="K16" s="11">
        <v>1.2625538020086082E-2</v>
      </c>
      <c r="L16" s="13">
        <v>1069250000</v>
      </c>
      <c r="M16" s="13">
        <v>2571093000</v>
      </c>
      <c r="N16" s="9" t="s">
        <v>71</v>
      </c>
      <c r="O16" s="6">
        <v>7.6923076923076916</v>
      </c>
      <c r="P16" s="12">
        <v>0.11430682635902885</v>
      </c>
      <c r="Q16" s="12">
        <v>0.41587371596437778</v>
      </c>
      <c r="R16" s="14">
        <v>12</v>
      </c>
    </row>
    <row r="17" spans="2:18" x14ac:dyDescent="0.5">
      <c r="B17" s="1" t="s">
        <v>287</v>
      </c>
      <c r="C17" t="s">
        <v>340</v>
      </c>
      <c r="D17" t="s">
        <v>53</v>
      </c>
      <c r="E17">
        <v>4.91</v>
      </c>
      <c r="F17" s="9" t="s">
        <v>67</v>
      </c>
      <c r="G17" s="7">
        <v>19041386496</v>
      </c>
      <c r="H17" s="6">
        <v>5.29</v>
      </c>
      <c r="I17" s="6">
        <v>3.33</v>
      </c>
      <c r="J17" s="12">
        <f t="shared" si="0"/>
        <v>0.47447447447447444</v>
      </c>
      <c r="K17" s="11">
        <v>5.4989816700610997E-2</v>
      </c>
      <c r="L17" s="13">
        <v>2823432000</v>
      </c>
      <c r="M17" s="13">
        <v>16925205000</v>
      </c>
      <c r="N17" s="9" t="s">
        <v>67</v>
      </c>
      <c r="O17" s="6">
        <v>1</v>
      </c>
      <c r="P17" s="12">
        <v>0.14536905517860196</v>
      </c>
      <c r="Q17" s="12">
        <v>0.16681818624944278</v>
      </c>
      <c r="R17" s="14">
        <v>19</v>
      </c>
    </row>
    <row r="18" spans="2:18" x14ac:dyDescent="0.5">
      <c r="B18" s="1" t="s">
        <v>32</v>
      </c>
      <c r="C18" t="s">
        <v>93</v>
      </c>
      <c r="D18" t="s">
        <v>94</v>
      </c>
      <c r="E18">
        <v>15.15</v>
      </c>
      <c r="F18" s="9" t="s">
        <v>67</v>
      </c>
      <c r="G18" s="7">
        <v>12682178560</v>
      </c>
      <c r="H18" s="6">
        <v>19.440000000000001</v>
      </c>
      <c r="I18" s="6">
        <v>12.5</v>
      </c>
      <c r="J18" s="12">
        <f t="shared" si="0"/>
        <v>0.21199999999999997</v>
      </c>
      <c r="K18" s="11">
        <v>8.6468646864686464E-3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0.16130586151064688</v>
      </c>
      <c r="Q18" s="12">
        <v>0.18009145491283626</v>
      </c>
      <c r="R18" s="14">
        <v>11</v>
      </c>
    </row>
    <row r="19" spans="2:18" x14ac:dyDescent="0.5">
      <c r="B19" s="1" t="s">
        <v>140</v>
      </c>
      <c r="C19" t="s">
        <v>189</v>
      </c>
      <c r="D19" t="s">
        <v>178</v>
      </c>
      <c r="E19">
        <v>9.0399999999999991</v>
      </c>
      <c r="F19" s="9" t="s">
        <v>67</v>
      </c>
      <c r="G19" s="7">
        <v>112138117120</v>
      </c>
      <c r="H19" s="6">
        <v>13.6</v>
      </c>
      <c r="I19" s="6">
        <v>6.57</v>
      </c>
      <c r="J19" s="12">
        <f t="shared" si="0"/>
        <v>0.37595129375951264</v>
      </c>
      <c r="K19" s="11">
        <v>5.5309734513274344E-3</v>
      </c>
      <c r="L19" s="13">
        <v>2250990000</v>
      </c>
      <c r="M19" s="13">
        <v>11437145000</v>
      </c>
      <c r="N19" s="9" t="s">
        <v>71</v>
      </c>
      <c r="O19" s="6">
        <v>7.6923076923076916</v>
      </c>
      <c r="P19" s="12">
        <v>0.14445359989224443</v>
      </c>
      <c r="Q19" s="12">
        <v>0.19681397761416858</v>
      </c>
      <c r="R19" s="14">
        <v>14</v>
      </c>
    </row>
    <row r="20" spans="2:18" x14ac:dyDescent="0.5">
      <c r="B20" s="1" t="s">
        <v>29</v>
      </c>
      <c r="C20" t="s">
        <v>89</v>
      </c>
      <c r="D20" t="s">
        <v>85</v>
      </c>
      <c r="E20">
        <v>4.7300000000000004</v>
      </c>
      <c r="F20" s="9" t="s">
        <v>67</v>
      </c>
      <c r="G20" s="7">
        <v>55828529152</v>
      </c>
      <c r="H20" s="6">
        <v>5.97</v>
      </c>
      <c r="I20" s="6">
        <v>4.42</v>
      </c>
      <c r="J20" s="12">
        <f t="shared" si="0"/>
        <v>7.0135746606335037E-2</v>
      </c>
      <c r="K20" s="11">
        <v>3.1289640591966171E-2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0.12248366932922282</v>
      </c>
      <c r="Q20" s="12">
        <v>0.27010748742934609</v>
      </c>
      <c r="R20" s="14">
        <v>10</v>
      </c>
    </row>
    <row r="21" spans="2:18" x14ac:dyDescent="0.5">
      <c r="B21" s="1" t="s">
        <v>20</v>
      </c>
      <c r="C21" t="s">
        <v>72</v>
      </c>
      <c r="D21" t="s">
        <v>73</v>
      </c>
      <c r="E21">
        <v>3.27</v>
      </c>
      <c r="F21" s="9" t="s">
        <v>67</v>
      </c>
      <c r="G21" s="7">
        <v>3400172032</v>
      </c>
      <c r="H21" s="6">
        <v>3.74</v>
      </c>
      <c r="I21" s="6">
        <v>1.92</v>
      </c>
      <c r="J21" s="12">
        <f t="shared" si="0"/>
        <v>0.703125</v>
      </c>
      <c r="K21" s="11">
        <v>8.6850152905198763E-2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0.18387073519686609</v>
      </c>
      <c r="Q21" s="12">
        <v>0.15218339726363278</v>
      </c>
      <c r="R21" s="14">
        <v>16</v>
      </c>
    </row>
    <row r="22" spans="2:18" x14ac:dyDescent="0.5">
      <c r="B22" s="1" t="s">
        <v>281</v>
      </c>
      <c r="C22" t="s">
        <v>334</v>
      </c>
      <c r="D22" t="s">
        <v>74</v>
      </c>
      <c r="E22">
        <v>5.3</v>
      </c>
      <c r="F22" s="9" t="s">
        <v>67</v>
      </c>
      <c r="G22" s="7">
        <v>14308507648</v>
      </c>
      <c r="H22" s="6">
        <v>6.83</v>
      </c>
      <c r="I22" s="6">
        <v>4.46</v>
      </c>
      <c r="J22" s="12">
        <f t="shared" si="0"/>
        <v>0.18834080717488777</v>
      </c>
      <c r="K22" s="11">
        <v>4.69811320754717E-2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0.15109418616587264</v>
      </c>
      <c r="Q22" s="12">
        <v>0.17526328902672489</v>
      </c>
      <c r="R22" s="14">
        <v>15</v>
      </c>
    </row>
    <row r="23" spans="2:18" x14ac:dyDescent="0.5">
      <c r="B23" s="1" t="s">
        <v>22</v>
      </c>
      <c r="C23" t="s">
        <v>77</v>
      </c>
      <c r="D23" t="s">
        <v>78</v>
      </c>
      <c r="E23">
        <v>11.05</v>
      </c>
      <c r="F23" s="9" t="s">
        <v>67</v>
      </c>
      <c r="G23" s="7">
        <v>178719260672</v>
      </c>
      <c r="H23" s="6">
        <v>12.31</v>
      </c>
      <c r="I23" s="6">
        <v>7.16</v>
      </c>
      <c r="J23" s="12">
        <f t="shared" si="0"/>
        <v>0.54329608938547502</v>
      </c>
      <c r="K23" s="11">
        <v>3.8371040723981897E-2</v>
      </c>
      <c r="L23" s="13">
        <v>32866046000</v>
      </c>
      <c r="M23" s="13">
        <v>215280386000</v>
      </c>
      <c r="N23" s="9" t="s">
        <v>50</v>
      </c>
      <c r="O23" s="6">
        <v>1.0683760683760684</v>
      </c>
      <c r="P23" s="12">
        <v>0.16282365448462816</v>
      </c>
      <c r="Q23" s="12">
        <v>0.15266623500015464</v>
      </c>
      <c r="R23" s="14">
        <v>17</v>
      </c>
    </row>
    <row r="24" spans="2:18" x14ac:dyDescent="0.5">
      <c r="B24" s="1" t="s">
        <v>27</v>
      </c>
      <c r="C24" t="s">
        <v>86</v>
      </c>
      <c r="D24" t="s">
        <v>87</v>
      </c>
      <c r="E24">
        <v>5.0599999999999996</v>
      </c>
      <c r="F24" s="9" t="s">
        <v>67</v>
      </c>
      <c r="G24" s="7">
        <v>5372819456</v>
      </c>
      <c r="H24" s="6">
        <v>7.12</v>
      </c>
      <c r="I24" s="6">
        <v>3.98</v>
      </c>
      <c r="J24" s="12">
        <f t="shared" si="0"/>
        <v>0.27135678391959783</v>
      </c>
      <c r="K24" s="11">
        <v>9.881422924901187E-2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0.36465463172251944</v>
      </c>
      <c r="Q24" s="12">
        <v>0.11511220438953086</v>
      </c>
      <c r="R24" s="14">
        <v>18</v>
      </c>
    </row>
    <row r="25" spans="2:18" x14ac:dyDescent="0.5">
      <c r="B25" s="1" t="s">
        <v>24</v>
      </c>
      <c r="C25" t="s">
        <v>755</v>
      </c>
      <c r="D25" t="s">
        <v>81</v>
      </c>
      <c r="E25">
        <v>21.38</v>
      </c>
      <c r="F25" s="9" t="s">
        <v>67</v>
      </c>
      <c r="G25" s="7">
        <v>45555937280</v>
      </c>
      <c r="H25" s="6">
        <v>26</v>
      </c>
      <c r="I25" s="6">
        <v>9.65</v>
      </c>
      <c r="J25" s="12">
        <f t="shared" si="0"/>
        <v>1.215544041450777</v>
      </c>
      <c r="K25" s="11">
        <v>5.2385406922357353E-2</v>
      </c>
      <c r="L25" s="13">
        <v>5451928473.2399998</v>
      </c>
      <c r="M25" s="13">
        <v>25994816572.18</v>
      </c>
      <c r="N25" s="9" t="s">
        <v>50</v>
      </c>
      <c r="O25" s="6">
        <v>1.0683760683760684</v>
      </c>
      <c r="P25" s="12">
        <v>0.11881927069779323</v>
      </c>
      <c r="Q25" s="12">
        <v>0.20973136925592797</v>
      </c>
      <c r="R25" s="14">
        <v>17</v>
      </c>
    </row>
    <row r="26" spans="2:18" x14ac:dyDescent="0.5">
      <c r="B26" s="1" t="s">
        <v>34</v>
      </c>
      <c r="C26" t="s">
        <v>97</v>
      </c>
      <c r="D26" t="s">
        <v>70</v>
      </c>
      <c r="E26">
        <v>4.4000000000000004</v>
      </c>
      <c r="F26" s="9" t="s">
        <v>67</v>
      </c>
      <c r="G26" s="7">
        <v>50731802624</v>
      </c>
      <c r="H26" s="6">
        <v>5.37</v>
      </c>
      <c r="I26" s="6">
        <v>3.5</v>
      </c>
      <c r="J26" s="12">
        <f t="shared" si="0"/>
        <v>0.25714285714285734</v>
      </c>
      <c r="K26" s="11">
        <v>0.06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0.11724426334491787</v>
      </c>
      <c r="Q26" s="12">
        <v>0.29719681912231338</v>
      </c>
      <c r="R26" s="14">
        <v>12</v>
      </c>
    </row>
    <row r="27" spans="2:18" x14ac:dyDescent="0.5">
      <c r="B27" s="1" t="s">
        <v>279</v>
      </c>
      <c r="C27" t="s">
        <v>332</v>
      </c>
      <c r="D27" t="s">
        <v>60</v>
      </c>
      <c r="E27">
        <v>10.62</v>
      </c>
      <c r="F27" s="9" t="s">
        <v>67</v>
      </c>
      <c r="G27" s="7">
        <v>17211824128</v>
      </c>
      <c r="H27" s="6">
        <v>12.4</v>
      </c>
      <c r="I27" s="6">
        <v>10.01</v>
      </c>
      <c r="J27" s="12">
        <f t="shared" si="0"/>
        <v>6.0939060939060985E-2</v>
      </c>
      <c r="K27" s="11">
        <v>5.6497175141242938E-2</v>
      </c>
      <c r="L27" s="13">
        <v>1721368005.75</v>
      </c>
      <c r="M27" s="13">
        <v>14620942286.52</v>
      </c>
      <c r="N27" s="9" t="s">
        <v>50</v>
      </c>
      <c r="O27" s="6">
        <v>1.0683760683760684</v>
      </c>
      <c r="P27" s="12">
        <v>0.23768981820671217</v>
      </c>
      <c r="Q27" s="12">
        <v>0.11773304155211949</v>
      </c>
      <c r="R27" s="14">
        <v>21</v>
      </c>
    </row>
    <row r="28" spans="2:18" x14ac:dyDescent="0.5">
      <c r="B28" s="1" t="s">
        <v>433</v>
      </c>
      <c r="C28" t="s">
        <v>436</v>
      </c>
      <c r="D28" t="s">
        <v>182</v>
      </c>
      <c r="E28">
        <v>14.64</v>
      </c>
      <c r="F28" s="9" t="s">
        <v>67</v>
      </c>
      <c r="G28" s="7">
        <v>79275606016</v>
      </c>
      <c r="H28" s="6">
        <v>18.88</v>
      </c>
      <c r="I28" s="6">
        <v>12.43</v>
      </c>
      <c r="J28" s="12">
        <f t="shared" si="0"/>
        <v>0.17779565567176192</v>
      </c>
      <c r="K28" s="11">
        <v>5.3073770491803278E-2</v>
      </c>
      <c r="L28" s="13">
        <v>6898733000</v>
      </c>
      <c r="M28" s="13">
        <v>12604518000</v>
      </c>
      <c r="N28" s="9" t="s">
        <v>50</v>
      </c>
      <c r="O28" s="6">
        <v>1.0683760683760684</v>
      </c>
      <c r="P28" s="12">
        <v>9.4638806297960523E-2</v>
      </c>
      <c r="Q28" s="12">
        <v>0.54732223794674262</v>
      </c>
      <c r="R28" s="14">
        <v>20</v>
      </c>
    </row>
    <row r="29" spans="2:18" x14ac:dyDescent="0.5">
      <c r="B29" s="1" t="s">
        <v>282</v>
      </c>
      <c r="C29" t="s">
        <v>335</v>
      </c>
      <c r="D29" t="s">
        <v>96</v>
      </c>
      <c r="E29">
        <v>4.8099999999999996</v>
      </c>
      <c r="F29" s="9" t="s">
        <v>67</v>
      </c>
      <c r="G29" s="7">
        <v>5295577088</v>
      </c>
      <c r="H29" s="6">
        <v>4.95</v>
      </c>
      <c r="I29" s="6">
        <v>4</v>
      </c>
      <c r="J29" s="12">
        <f t="shared" si="0"/>
        <v>0.2024999999999999</v>
      </c>
      <c r="K29" s="11">
        <v>6.6528066528066532E-2</v>
      </c>
      <c r="L29" s="13">
        <v>765224000</v>
      </c>
      <c r="M29" s="13">
        <v>5249449000</v>
      </c>
      <c r="N29" s="9" t="s">
        <v>67</v>
      </c>
      <c r="O29" s="6">
        <v>1</v>
      </c>
      <c r="P29" s="12">
        <v>0.16344520797533399</v>
      </c>
      <c r="Q29" s="12">
        <v>0.14577225152582682</v>
      </c>
      <c r="R29" s="14">
        <v>20</v>
      </c>
    </row>
    <row r="30" spans="2:18" x14ac:dyDescent="0.5">
      <c r="B30" s="1" t="s">
        <v>289</v>
      </c>
      <c r="C30" t="s">
        <v>342</v>
      </c>
      <c r="D30" t="s">
        <v>85</v>
      </c>
      <c r="E30">
        <v>1.08</v>
      </c>
      <c r="F30" s="9" t="s">
        <v>67</v>
      </c>
      <c r="G30" s="7">
        <v>2363595264</v>
      </c>
      <c r="H30" s="6">
        <v>1.29</v>
      </c>
      <c r="I30" s="6">
        <v>0.47</v>
      </c>
      <c r="J30" s="12">
        <f t="shared" si="0"/>
        <v>1.2978723404255321</v>
      </c>
      <c r="K30" s="11">
        <v>3.4259259259259253E-2</v>
      </c>
      <c r="L30" s="13">
        <v>219938000</v>
      </c>
      <c r="M30" s="13">
        <v>1520292000</v>
      </c>
      <c r="N30" s="9" t="s">
        <v>50</v>
      </c>
      <c r="O30" s="6">
        <v>1.0683760683760684</v>
      </c>
      <c r="P30" s="12">
        <v>0.1583460935367462</v>
      </c>
      <c r="Q30" s="12">
        <v>0.14466826109721026</v>
      </c>
      <c r="R30" s="14">
        <v>22</v>
      </c>
    </row>
    <row r="31" spans="2:18" x14ac:dyDescent="0.5">
      <c r="B31" s="1" t="s">
        <v>25</v>
      </c>
      <c r="C31" t="s">
        <v>82</v>
      </c>
      <c r="D31" t="s">
        <v>49</v>
      </c>
      <c r="E31">
        <v>11.01</v>
      </c>
      <c r="F31" s="9" t="s">
        <v>67</v>
      </c>
      <c r="G31" s="7">
        <v>13712063488</v>
      </c>
      <c r="H31" s="6">
        <v>11.68</v>
      </c>
      <c r="I31" s="6">
        <v>4.21</v>
      </c>
      <c r="J31" s="12">
        <f t="shared" si="0"/>
        <v>1.6152019002375297</v>
      </c>
      <c r="K31" s="11">
        <v>1.2806539509536783E-2</v>
      </c>
      <c r="L31" s="13">
        <v>921702000</v>
      </c>
      <c r="M31" s="13">
        <v>5262544000</v>
      </c>
      <c r="N31" s="9" t="s">
        <v>50</v>
      </c>
      <c r="O31" s="6">
        <v>1.0683760683760684</v>
      </c>
      <c r="P31" s="12">
        <v>8.7490861304895542E-2</v>
      </c>
      <c r="Q31" s="12">
        <v>0.17514380877385538</v>
      </c>
      <c r="R31" s="14">
        <v>38</v>
      </c>
    </row>
    <row r="32" spans="2:18" x14ac:dyDescent="0.5">
      <c r="B32" s="1" t="s">
        <v>198</v>
      </c>
      <c r="C32" t="s">
        <v>222</v>
      </c>
      <c r="D32" t="s">
        <v>223</v>
      </c>
      <c r="E32">
        <v>0.69</v>
      </c>
      <c r="F32" s="9" t="s">
        <v>67</v>
      </c>
      <c r="G32" s="7">
        <v>1643722112</v>
      </c>
      <c r="H32" s="6">
        <v>0.75</v>
      </c>
      <c r="I32" s="6">
        <v>0.55000000000000004</v>
      </c>
      <c r="J32" s="12">
        <f t="shared" si="0"/>
        <v>0.25454545454545441</v>
      </c>
      <c r="K32" s="11">
        <v>1.4492753623188408E-2</v>
      </c>
      <c r="L32" s="13">
        <v>54195000</v>
      </c>
      <c r="M32" s="13">
        <v>586711000</v>
      </c>
      <c r="N32" s="9" t="s">
        <v>71</v>
      </c>
      <c r="O32" s="6">
        <v>7.6923076923076916</v>
      </c>
      <c r="P32" s="12">
        <v>1.2095512147057168</v>
      </c>
      <c r="Q32" s="12">
        <v>9.2370860611101543E-2</v>
      </c>
      <c r="R32" s="14">
        <v>25</v>
      </c>
    </row>
    <row r="33" spans="2:18" x14ac:dyDescent="0.5">
      <c r="B33" s="1" t="s">
        <v>270</v>
      </c>
      <c r="C33" t="s">
        <v>322</v>
      </c>
      <c r="D33" t="s">
        <v>94</v>
      </c>
      <c r="E33">
        <v>17.25</v>
      </c>
      <c r="F33" s="9" t="s">
        <v>67</v>
      </c>
      <c r="G33" s="7">
        <v>27678461952</v>
      </c>
      <c r="H33" s="6">
        <v>18.45</v>
      </c>
      <c r="I33" s="6">
        <v>9.6300000000000008</v>
      </c>
      <c r="J33" s="12">
        <f t="shared" ref="J33:J64" si="1">E33/I33-1</f>
        <v>0.79127725856697806</v>
      </c>
      <c r="K33" s="11">
        <v>9.6811594202898549E-3</v>
      </c>
      <c r="L33" s="13">
        <v>634792000</v>
      </c>
      <c r="M33" s="13">
        <v>5195491000</v>
      </c>
      <c r="N33" s="9" t="s">
        <v>71</v>
      </c>
      <c r="O33" s="6">
        <v>7.6923076923076916</v>
      </c>
      <c r="P33" s="12">
        <v>0.16654353039132969</v>
      </c>
      <c r="Q33" s="12">
        <v>0.12218132992627646</v>
      </c>
      <c r="R33" s="14">
        <v>24</v>
      </c>
    </row>
    <row r="34" spans="2:18" x14ac:dyDescent="0.5">
      <c r="B34" s="1" t="s">
        <v>115</v>
      </c>
      <c r="C34" t="s">
        <v>155</v>
      </c>
      <c r="D34" t="s">
        <v>83</v>
      </c>
      <c r="E34">
        <v>80.349999999999994</v>
      </c>
      <c r="F34" s="9" t="s">
        <v>67</v>
      </c>
      <c r="G34" s="7">
        <v>222609637376</v>
      </c>
      <c r="H34" s="6">
        <v>106.3</v>
      </c>
      <c r="I34" s="6">
        <v>73.55</v>
      </c>
      <c r="J34" s="12">
        <f t="shared" si="1"/>
        <v>9.2454112848402437E-2</v>
      </c>
      <c r="K34" s="11">
        <v>2.9495955196017429E-2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0.10000327839093295</v>
      </c>
      <c r="Q34" s="12">
        <v>0.27269973953601068</v>
      </c>
      <c r="R34" s="14">
        <v>23</v>
      </c>
    </row>
    <row r="35" spans="2:18" x14ac:dyDescent="0.5">
      <c r="B35" s="1" t="s">
        <v>110</v>
      </c>
      <c r="C35" t="s">
        <v>147</v>
      </c>
      <c r="D35" t="s">
        <v>148</v>
      </c>
      <c r="E35">
        <v>4.01</v>
      </c>
      <c r="F35" s="9" t="s">
        <v>67</v>
      </c>
      <c r="G35" s="7">
        <v>5756000256</v>
      </c>
      <c r="H35" s="6">
        <v>6.5</v>
      </c>
      <c r="I35" s="6">
        <v>2.84</v>
      </c>
      <c r="J35" s="12">
        <f t="shared" si="1"/>
        <v>0.4119718309859155</v>
      </c>
      <c r="K35" s="11">
        <v>9.7506234413965095E-2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0.15651195893406353</v>
      </c>
      <c r="Q35" s="12">
        <v>0.14675695119790894</v>
      </c>
      <c r="R35" s="14">
        <v>23</v>
      </c>
    </row>
    <row r="36" spans="2:18" x14ac:dyDescent="0.5">
      <c r="B36" s="1" t="s">
        <v>272</v>
      </c>
      <c r="C36" t="s">
        <v>324</v>
      </c>
      <c r="D36" t="s">
        <v>296</v>
      </c>
      <c r="E36">
        <v>4.3099999999999996</v>
      </c>
      <c r="F36" s="9" t="s">
        <v>67</v>
      </c>
      <c r="G36" s="7">
        <v>49571561472</v>
      </c>
      <c r="H36" s="6">
        <v>4.54</v>
      </c>
      <c r="I36" s="6">
        <v>2.5499999999999998</v>
      </c>
      <c r="J36" s="12">
        <f t="shared" si="1"/>
        <v>0.69019607843137254</v>
      </c>
      <c r="K36" s="11">
        <v>4.4083526682134576E-2</v>
      </c>
      <c r="L36" s="13">
        <v>9414000000</v>
      </c>
      <c r="M36" s="13">
        <v>81589000000</v>
      </c>
      <c r="N36" s="9" t="s">
        <v>50</v>
      </c>
      <c r="O36" s="6">
        <v>1.0683760683760684</v>
      </c>
      <c r="P36" s="12">
        <v>0.15744059448608561</v>
      </c>
      <c r="Q36" s="12">
        <v>0.11538320116682396</v>
      </c>
      <c r="R36" s="14">
        <v>29</v>
      </c>
    </row>
    <row r="37" spans="2:18" x14ac:dyDescent="0.5">
      <c r="B37" s="1" t="s">
        <v>277</v>
      </c>
      <c r="C37" t="s">
        <v>330</v>
      </c>
      <c r="D37" t="s">
        <v>55</v>
      </c>
      <c r="E37">
        <v>10.210000000000001</v>
      </c>
      <c r="F37" s="9" t="s">
        <v>67</v>
      </c>
      <c r="G37" s="7">
        <v>25737752576</v>
      </c>
      <c r="H37" s="6">
        <v>11.56</v>
      </c>
      <c r="I37" s="6">
        <v>5.58</v>
      </c>
      <c r="J37" s="12">
        <f t="shared" si="1"/>
        <v>0.82974910394265255</v>
      </c>
      <c r="K37" s="11">
        <v>3.1145935357492653E-2</v>
      </c>
      <c r="L37" s="13">
        <v>3301437000</v>
      </c>
      <c r="M37" s="13">
        <v>21814427000</v>
      </c>
      <c r="N37" s="9" t="s">
        <v>67</v>
      </c>
      <c r="O37" s="6">
        <v>1</v>
      </c>
      <c r="P37" s="12">
        <v>0.15052007644279253</v>
      </c>
      <c r="Q37" s="12">
        <v>0.15134190781174311</v>
      </c>
      <c r="R37" s="14">
        <v>23</v>
      </c>
    </row>
    <row r="38" spans="2:18" x14ac:dyDescent="0.5">
      <c r="B38" s="1" t="s">
        <v>275</v>
      </c>
      <c r="C38" t="s">
        <v>328</v>
      </c>
      <c r="D38" t="s">
        <v>148</v>
      </c>
      <c r="E38">
        <v>29.44</v>
      </c>
      <c r="F38" s="9" t="s">
        <v>67</v>
      </c>
      <c r="G38" s="7">
        <v>209934860288</v>
      </c>
      <c r="H38" s="6">
        <v>34.119999999999997</v>
      </c>
      <c r="I38" s="6">
        <v>21.75</v>
      </c>
      <c r="J38" s="12">
        <f t="shared" si="1"/>
        <v>0.35356321839080462</v>
      </c>
      <c r="K38" s="11">
        <v>4.4802989130434782E-2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0.18455868908975567</v>
      </c>
      <c r="Q38" s="12">
        <v>0.11493949471384535</v>
      </c>
      <c r="R38" s="14">
        <v>26</v>
      </c>
    </row>
    <row r="39" spans="2:18" x14ac:dyDescent="0.5">
      <c r="B39" s="1" t="s">
        <v>276</v>
      </c>
      <c r="C39" t="s">
        <v>329</v>
      </c>
      <c r="D39" t="s">
        <v>53</v>
      </c>
      <c r="E39">
        <v>26.52</v>
      </c>
      <c r="F39" s="9" t="s">
        <v>67</v>
      </c>
      <c r="G39" s="7">
        <v>270944845824</v>
      </c>
      <c r="H39" s="6">
        <v>27.92</v>
      </c>
      <c r="I39" s="6">
        <v>19.239999999999998</v>
      </c>
      <c r="J39" s="12">
        <f t="shared" si="1"/>
        <v>0.37837837837837851</v>
      </c>
      <c r="K39" s="11">
        <v>4.6530920060331826E-2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0.10499744645020893</v>
      </c>
      <c r="Q39" s="12">
        <v>0.18884873513587705</v>
      </c>
      <c r="R39" s="14">
        <v>28</v>
      </c>
    </row>
    <row r="40" spans="2:18" x14ac:dyDescent="0.5">
      <c r="B40" s="1" t="s">
        <v>136</v>
      </c>
      <c r="C40" t="s">
        <v>183</v>
      </c>
      <c r="D40" t="s">
        <v>85</v>
      </c>
      <c r="E40">
        <v>12.2</v>
      </c>
      <c r="F40" s="9" t="s">
        <v>67</v>
      </c>
      <c r="G40" s="7">
        <v>68765499392</v>
      </c>
      <c r="H40" s="6">
        <v>14.24</v>
      </c>
      <c r="I40" s="6">
        <v>10.16</v>
      </c>
      <c r="J40" s="12">
        <f t="shared" si="1"/>
        <v>0.20078740157480301</v>
      </c>
      <c r="K40" s="11">
        <v>2.713114754098361E-2</v>
      </c>
      <c r="L40" s="13">
        <v>6482967000</v>
      </c>
      <c r="M40" s="13">
        <v>27483863000</v>
      </c>
      <c r="N40" s="9" t="s">
        <v>50</v>
      </c>
      <c r="O40" s="6">
        <v>1.0683760683760684</v>
      </c>
      <c r="P40" s="12">
        <v>9.2134891288772461E-2</v>
      </c>
      <c r="Q40" s="12">
        <v>0.23588267049650188</v>
      </c>
      <c r="R40" s="14">
        <v>27</v>
      </c>
    </row>
    <row r="41" spans="2:18" x14ac:dyDescent="0.5">
      <c r="B41" s="1" t="s">
        <v>278</v>
      </c>
      <c r="C41" t="s">
        <v>331</v>
      </c>
      <c r="D41" t="s">
        <v>49</v>
      </c>
      <c r="E41">
        <v>23.62</v>
      </c>
      <c r="F41" s="9" t="s">
        <v>67</v>
      </c>
      <c r="G41" s="7">
        <v>37697519616</v>
      </c>
      <c r="H41" s="6">
        <v>24.5</v>
      </c>
      <c r="I41" s="6">
        <v>16.18</v>
      </c>
      <c r="J41" s="12">
        <f t="shared" si="1"/>
        <v>0.45982694684796055</v>
      </c>
      <c r="K41" s="11">
        <v>2.9043183742591027E-2</v>
      </c>
      <c r="L41" s="13">
        <v>3811007000</v>
      </c>
      <c r="M41" s="13">
        <v>22856317000</v>
      </c>
      <c r="N41" s="9" t="s">
        <v>50</v>
      </c>
      <c r="O41" s="6">
        <v>1.0683760683760684</v>
      </c>
      <c r="P41" s="12">
        <v>0.11006319626905947</v>
      </c>
      <c r="Q41" s="12">
        <v>0.1667375806872122</v>
      </c>
      <c r="R41" s="14">
        <v>30</v>
      </c>
    </row>
    <row r="42" spans="2:18" x14ac:dyDescent="0.5">
      <c r="B42" s="1" t="s">
        <v>121</v>
      </c>
      <c r="C42" t="s">
        <v>162</v>
      </c>
      <c r="D42" t="s">
        <v>76</v>
      </c>
      <c r="E42">
        <v>6.3</v>
      </c>
      <c r="F42" s="9" t="s">
        <v>67</v>
      </c>
      <c r="G42" s="7">
        <v>9235620864</v>
      </c>
      <c r="H42" s="6">
        <v>6.57</v>
      </c>
      <c r="I42" s="6">
        <v>4.08</v>
      </c>
      <c r="J42" s="12">
        <f t="shared" si="1"/>
        <v>0.54411764705882337</v>
      </c>
      <c r="K42" s="11">
        <v>8.650793650793652E-2</v>
      </c>
      <c r="L42" s="13">
        <v>784607000</v>
      </c>
      <c r="M42" s="13">
        <v>7872586000</v>
      </c>
      <c r="N42" s="9" t="s">
        <v>67</v>
      </c>
      <c r="O42" s="6">
        <v>1</v>
      </c>
      <c r="P42" s="12">
        <v>0.22320923711443516</v>
      </c>
      <c r="Q42" s="12">
        <v>9.9663185641922489E-2</v>
      </c>
      <c r="R42" s="14">
        <v>29</v>
      </c>
    </row>
    <row r="43" spans="2:18" x14ac:dyDescent="0.5">
      <c r="B43" s="1" t="s">
        <v>139</v>
      </c>
      <c r="C43" t="s">
        <v>187</v>
      </c>
      <c r="D43" t="s">
        <v>106</v>
      </c>
      <c r="E43">
        <v>43.2</v>
      </c>
      <c r="F43" s="9" t="s">
        <v>67</v>
      </c>
      <c r="G43" s="7">
        <v>110541193216</v>
      </c>
      <c r="H43" s="6">
        <v>71.7</v>
      </c>
      <c r="I43" s="6">
        <v>39.549999999999997</v>
      </c>
      <c r="J43" s="12">
        <f t="shared" si="1"/>
        <v>9.2288242730720782E-2</v>
      </c>
      <c r="K43" s="11">
        <v>3.7962962962962963E-3</v>
      </c>
      <c r="L43" s="13">
        <v>1279098000</v>
      </c>
      <c r="M43" s="13">
        <v>4811702000</v>
      </c>
      <c r="N43" s="9" t="s">
        <v>188</v>
      </c>
      <c r="O43" s="6">
        <v>8.7546153846153842</v>
      </c>
      <c r="P43" s="12">
        <v>8.8810794269607571E-2</v>
      </c>
      <c r="Q43" s="12">
        <v>0.26583067696212276</v>
      </c>
      <c r="R43" s="14">
        <v>27</v>
      </c>
    </row>
    <row r="44" spans="2:18" x14ac:dyDescent="0.5">
      <c r="B44" s="1" t="s">
        <v>380</v>
      </c>
      <c r="C44" t="s">
        <v>383</v>
      </c>
      <c r="D44" t="s">
        <v>83</v>
      </c>
      <c r="E44">
        <v>19.39</v>
      </c>
      <c r="F44" s="9" t="s">
        <v>67</v>
      </c>
      <c r="G44" s="7">
        <v>49929662464</v>
      </c>
      <c r="H44" s="6">
        <v>20.9</v>
      </c>
      <c r="I44" s="6">
        <v>13.5</v>
      </c>
      <c r="J44" s="12">
        <f t="shared" si="1"/>
        <v>0.4362962962962964</v>
      </c>
      <c r="K44" s="11">
        <v>2.8004125838060858E-2</v>
      </c>
      <c r="L44" s="13">
        <v>4264779000</v>
      </c>
      <c r="M44" s="13">
        <v>26103689000</v>
      </c>
      <c r="N44" s="9" t="s">
        <v>50</v>
      </c>
      <c r="O44" s="6">
        <v>1.0683760683760684</v>
      </c>
      <c r="P44" s="12">
        <v>0.10358519262517514</v>
      </c>
      <c r="Q44" s="12">
        <v>0.16337840218675606</v>
      </c>
      <c r="R44" s="14">
        <v>36</v>
      </c>
    </row>
    <row r="45" spans="2:18" x14ac:dyDescent="0.5">
      <c r="B45" s="1" t="s">
        <v>280</v>
      </c>
      <c r="C45" t="s">
        <v>333</v>
      </c>
      <c r="D45" t="s">
        <v>96</v>
      </c>
      <c r="E45">
        <v>4.6500000000000004</v>
      </c>
      <c r="F45" s="9" t="s">
        <v>67</v>
      </c>
      <c r="G45" s="7">
        <v>32205987840</v>
      </c>
      <c r="H45" s="6">
        <v>6.15</v>
      </c>
      <c r="I45" s="6">
        <v>3.78</v>
      </c>
      <c r="J45" s="12">
        <f t="shared" si="1"/>
        <v>0.23015873015873023</v>
      </c>
      <c r="K45" s="11">
        <v>4.7096774193548387E-2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0.3363319226585062</v>
      </c>
      <c r="Q45" s="12">
        <v>9.1377422623841298E-2</v>
      </c>
      <c r="R45" s="14">
        <v>29</v>
      </c>
    </row>
    <row r="46" spans="2:18" x14ac:dyDescent="0.5">
      <c r="B46" s="1" t="s">
        <v>261</v>
      </c>
      <c r="C46" t="s">
        <v>310</v>
      </c>
      <c r="D46" t="s">
        <v>311</v>
      </c>
      <c r="E46">
        <v>7.43</v>
      </c>
      <c r="F46" s="9" t="s">
        <v>67</v>
      </c>
      <c r="G46" s="7">
        <v>13429199872</v>
      </c>
      <c r="H46" s="6">
        <v>9.7899999999999991</v>
      </c>
      <c r="I46" s="6">
        <v>5.49</v>
      </c>
      <c r="J46" s="12">
        <f t="shared" si="1"/>
        <v>0.35336976320582858</v>
      </c>
      <c r="K46" s="11">
        <v>3.4993270524899062E-2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0.15795299715655647</v>
      </c>
      <c r="Q46" s="12">
        <v>0.11156568921912897</v>
      </c>
      <c r="R46" s="14">
        <v>31</v>
      </c>
    </row>
    <row r="47" spans="2:18" x14ac:dyDescent="0.5">
      <c r="B47" s="1" t="s">
        <v>248</v>
      </c>
      <c r="C47" t="s">
        <v>293</v>
      </c>
      <c r="D47" t="s">
        <v>294</v>
      </c>
      <c r="E47">
        <v>22.6</v>
      </c>
      <c r="F47" s="9" t="s">
        <v>67</v>
      </c>
      <c r="G47" s="7">
        <v>549898616832</v>
      </c>
      <c r="H47" s="6">
        <v>22.88</v>
      </c>
      <c r="I47" s="6">
        <v>4.58</v>
      </c>
      <c r="J47" s="12">
        <f t="shared" si="1"/>
        <v>3.9344978165938871</v>
      </c>
      <c r="K47" s="11">
        <v>1.1283185840707964E-2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5.6689923386292189E-2</v>
      </c>
      <c r="Q47" s="12">
        <v>0.2888078161719172</v>
      </c>
      <c r="R47" s="14">
        <v>37</v>
      </c>
    </row>
    <row r="48" spans="2:18" x14ac:dyDescent="0.5">
      <c r="B48" s="1" t="s">
        <v>274</v>
      </c>
      <c r="C48" t="s">
        <v>326</v>
      </c>
      <c r="D48" t="s">
        <v>327</v>
      </c>
      <c r="E48">
        <v>9.52</v>
      </c>
      <c r="F48" s="9" t="s">
        <v>67</v>
      </c>
      <c r="G48" s="7">
        <v>12169312256</v>
      </c>
      <c r="H48" s="6">
        <v>9.5500000000000007</v>
      </c>
      <c r="I48" s="6">
        <v>3.73</v>
      </c>
      <c r="J48" s="12">
        <f t="shared" si="1"/>
        <v>1.552278820375335</v>
      </c>
      <c r="K48" s="11">
        <v>2.7310924369747903E-2</v>
      </c>
      <c r="L48" s="13">
        <v>2871477000</v>
      </c>
      <c r="M48" s="13">
        <v>21784665000</v>
      </c>
      <c r="N48" s="9" t="s">
        <v>50</v>
      </c>
      <c r="O48" s="6">
        <v>1.0683760683760684</v>
      </c>
      <c r="P48" s="12">
        <v>0.12181523536737772</v>
      </c>
      <c r="Q48" s="12">
        <v>0.1318118502166547</v>
      </c>
      <c r="R48" s="14">
        <v>32</v>
      </c>
    </row>
    <row r="49" spans="2:18" x14ac:dyDescent="0.5">
      <c r="B49" s="1" t="s">
        <v>267</v>
      </c>
      <c r="C49" t="s">
        <v>318</v>
      </c>
      <c r="D49" t="s">
        <v>171</v>
      </c>
      <c r="E49">
        <v>87</v>
      </c>
      <c r="F49" s="9" t="s">
        <v>67</v>
      </c>
      <c r="G49" s="7">
        <v>21299800064</v>
      </c>
      <c r="H49" s="6">
        <v>103.1</v>
      </c>
      <c r="I49" s="6">
        <v>58.2</v>
      </c>
      <c r="J49" s="12">
        <f t="shared" si="1"/>
        <v>0.49484536082474229</v>
      </c>
      <c r="K49" s="11">
        <v>9.4252873563218393E-3</v>
      </c>
      <c r="L49" s="13">
        <v>526052000</v>
      </c>
      <c r="M49" s="13">
        <v>5343547000</v>
      </c>
      <c r="N49" s="9" t="s">
        <v>71</v>
      </c>
      <c r="O49" s="6">
        <v>7.6923076923076916</v>
      </c>
      <c r="P49" s="12">
        <v>0.1889649617537561</v>
      </c>
      <c r="Q49" s="12">
        <v>9.8446219337080781E-2</v>
      </c>
      <c r="R49" s="14">
        <v>32</v>
      </c>
    </row>
    <row r="50" spans="2:18" x14ac:dyDescent="0.5">
      <c r="B50" s="1" t="s">
        <v>271</v>
      </c>
      <c r="C50" t="s">
        <v>323</v>
      </c>
      <c r="D50" t="s">
        <v>94</v>
      </c>
      <c r="E50">
        <v>0.495</v>
      </c>
      <c r="F50" s="9" t="s">
        <v>67</v>
      </c>
      <c r="G50" s="7">
        <v>2565395712</v>
      </c>
      <c r="H50" s="6">
        <v>0.68</v>
      </c>
      <c r="I50" s="6">
        <v>0.44500000000000001</v>
      </c>
      <c r="J50" s="12">
        <f t="shared" si="1"/>
        <v>0.11235955056179781</v>
      </c>
      <c r="K50" s="11">
        <v>4.0404040404040407E-2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0.30365369945848442</v>
      </c>
      <c r="Q50" s="12">
        <v>8.5775443346640556E-2</v>
      </c>
      <c r="R50" s="14">
        <v>34</v>
      </c>
    </row>
    <row r="51" spans="2:18" x14ac:dyDescent="0.5">
      <c r="B51" s="1" t="s">
        <v>37</v>
      </c>
      <c r="C51" t="s">
        <v>101</v>
      </c>
      <c r="D51" t="s">
        <v>102</v>
      </c>
      <c r="E51">
        <v>4.96</v>
      </c>
      <c r="F51" s="9" t="s">
        <v>67</v>
      </c>
      <c r="G51" s="7">
        <v>3864842752</v>
      </c>
      <c r="H51" s="6">
        <v>8.83</v>
      </c>
      <c r="I51" s="6">
        <v>4.28</v>
      </c>
      <c r="J51" s="12">
        <f t="shared" si="1"/>
        <v>0.1588785046728971</v>
      </c>
      <c r="K51" s="11">
        <v>3.4274193548387101E-2</v>
      </c>
      <c r="L51" s="13">
        <v>437453000</v>
      </c>
      <c r="M51" s="13">
        <v>4911072000</v>
      </c>
      <c r="N51" s="9" t="s">
        <v>67</v>
      </c>
      <c r="O51" s="6">
        <v>1</v>
      </c>
      <c r="P51" s="12">
        <v>0.27767851652619729</v>
      </c>
      <c r="Q51" s="12">
        <v>8.9074849645861431E-2</v>
      </c>
      <c r="R51" s="14">
        <v>33</v>
      </c>
    </row>
    <row r="52" spans="2:18" x14ac:dyDescent="0.5">
      <c r="B52" s="1" t="s">
        <v>19</v>
      </c>
      <c r="C52" t="s">
        <v>69</v>
      </c>
      <c r="D52" t="s">
        <v>70</v>
      </c>
      <c r="E52">
        <v>6.75</v>
      </c>
      <c r="F52" s="9" t="s">
        <v>67</v>
      </c>
      <c r="G52" s="7">
        <v>19256549376</v>
      </c>
      <c r="H52" s="6">
        <v>7.77</v>
      </c>
      <c r="I52" s="6">
        <v>3.6</v>
      </c>
      <c r="J52" s="12">
        <f t="shared" si="1"/>
        <v>0.875</v>
      </c>
      <c r="K52" s="11">
        <v>6.6666666666666662E-3</v>
      </c>
      <c r="L52" s="13">
        <v>259348000</v>
      </c>
      <c r="M52" s="13">
        <v>1677627000</v>
      </c>
      <c r="N52" s="9" t="s">
        <v>71</v>
      </c>
      <c r="O52" s="6">
        <v>7.6923076923076916</v>
      </c>
      <c r="P52" s="12">
        <v>0.11519740587078806</v>
      </c>
      <c r="Q52" s="12">
        <v>0.15459217096529801</v>
      </c>
      <c r="R52" s="14">
        <v>30</v>
      </c>
    </row>
    <row r="53" spans="2:18" x14ac:dyDescent="0.5">
      <c r="B53" s="1" t="s">
        <v>283</v>
      </c>
      <c r="C53" t="s">
        <v>336</v>
      </c>
      <c r="D53" t="s">
        <v>70</v>
      </c>
      <c r="E53">
        <v>3.5</v>
      </c>
      <c r="F53" s="9" t="s">
        <v>67</v>
      </c>
      <c r="G53" s="7">
        <v>2009629952</v>
      </c>
      <c r="H53" s="6">
        <v>4.84</v>
      </c>
      <c r="I53" s="6">
        <v>2.8</v>
      </c>
      <c r="J53" s="12">
        <f t="shared" si="1"/>
        <v>0.25</v>
      </c>
      <c r="K53" s="11">
        <v>0.08</v>
      </c>
      <c r="L53" s="13">
        <v>392836000</v>
      </c>
      <c r="M53" s="13">
        <v>3201831000</v>
      </c>
      <c r="N53" s="9" t="s">
        <v>67</v>
      </c>
      <c r="O53" s="6">
        <v>1</v>
      </c>
      <c r="P53" s="12">
        <v>0.12723223231199976</v>
      </c>
      <c r="Q53" s="12">
        <v>0.12269104771613493</v>
      </c>
      <c r="R53" s="14">
        <v>33</v>
      </c>
    </row>
    <row r="54" spans="2:18" x14ac:dyDescent="0.5">
      <c r="B54" s="1" t="s">
        <v>269</v>
      </c>
      <c r="C54" t="s">
        <v>321</v>
      </c>
      <c r="D54" t="s">
        <v>85</v>
      </c>
      <c r="E54">
        <v>12.1</v>
      </c>
      <c r="F54" s="9" t="s">
        <v>67</v>
      </c>
      <c r="G54" s="7">
        <v>2840136192</v>
      </c>
      <c r="H54" s="6">
        <v>17</v>
      </c>
      <c r="I54" s="6">
        <v>8.3000000000000007</v>
      </c>
      <c r="J54" s="12">
        <f t="shared" si="1"/>
        <v>0.45783132530120474</v>
      </c>
      <c r="K54" s="11">
        <v>3.9669421487603308E-2</v>
      </c>
      <c r="L54" s="13">
        <v>244811000</v>
      </c>
      <c r="M54" s="13">
        <v>2904223000</v>
      </c>
      <c r="N54" s="9" t="s">
        <v>67</v>
      </c>
      <c r="O54" s="6">
        <v>1</v>
      </c>
      <c r="P54" s="12">
        <v>0.21519194005410106</v>
      </c>
      <c r="Q54" s="12">
        <v>8.4294835486117978E-2</v>
      </c>
      <c r="R54" s="14">
        <v>38</v>
      </c>
    </row>
    <row r="55" spans="2:18" x14ac:dyDescent="0.5">
      <c r="B55" s="1" t="s">
        <v>265</v>
      </c>
      <c r="C55" t="s">
        <v>316</v>
      </c>
      <c r="D55" t="s">
        <v>298</v>
      </c>
      <c r="E55">
        <v>4.5</v>
      </c>
      <c r="F55" s="9" t="s">
        <v>67</v>
      </c>
      <c r="G55" s="7">
        <v>4158639104</v>
      </c>
      <c r="H55" s="6">
        <v>5.59</v>
      </c>
      <c r="I55" s="6">
        <v>3.5</v>
      </c>
      <c r="J55" s="12">
        <f t="shared" si="1"/>
        <v>0.28571428571428581</v>
      </c>
      <c r="K55" s="11">
        <v>3.4444444444444444E-2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0.46031918398492089</v>
      </c>
      <c r="Q55" s="12">
        <v>6.460670188445812E-2</v>
      </c>
      <c r="R55" s="14">
        <v>35</v>
      </c>
    </row>
    <row r="56" spans="2:18" x14ac:dyDescent="0.5">
      <c r="B56" s="1" t="s">
        <v>35</v>
      </c>
      <c r="C56" t="s">
        <v>98</v>
      </c>
      <c r="D56" t="s">
        <v>99</v>
      </c>
      <c r="E56">
        <v>437</v>
      </c>
      <c r="F56" s="9" t="s">
        <v>67</v>
      </c>
      <c r="G56" s="7">
        <v>552327512064</v>
      </c>
      <c r="H56" s="6">
        <v>466</v>
      </c>
      <c r="I56" s="6">
        <v>275</v>
      </c>
      <c r="J56" s="12">
        <f t="shared" si="1"/>
        <v>0.58909090909090911</v>
      </c>
      <c r="K56" s="11">
        <v>2.4942791762013732E-2</v>
      </c>
      <c r="L56" s="13">
        <v>20744000000</v>
      </c>
      <c r="M56" s="13">
        <v>53852000000</v>
      </c>
      <c r="N56" s="9" t="s">
        <v>67</v>
      </c>
      <c r="O56" s="6">
        <v>1</v>
      </c>
      <c r="P56" s="12">
        <v>4.9478062720784657E-2</v>
      </c>
      <c r="Q56" s="12">
        <v>0.38520389214885242</v>
      </c>
      <c r="R56" s="14">
        <v>39</v>
      </c>
    </row>
    <row r="57" spans="2:18" x14ac:dyDescent="0.5">
      <c r="B57" s="1" t="s">
        <v>268</v>
      </c>
      <c r="C57" t="s">
        <v>319</v>
      </c>
      <c r="D57" t="s">
        <v>320</v>
      </c>
      <c r="E57">
        <v>10.35</v>
      </c>
      <c r="F57" s="9" t="s">
        <v>67</v>
      </c>
      <c r="G57" s="7">
        <v>21003526144</v>
      </c>
      <c r="H57" s="6">
        <v>11.03</v>
      </c>
      <c r="I57" s="6">
        <v>5.31</v>
      </c>
      <c r="J57" s="12">
        <f t="shared" si="1"/>
        <v>0.94915254237288149</v>
      </c>
      <c r="K57" s="11">
        <v>2.6086956521739132E-2</v>
      </c>
      <c r="L57" s="13">
        <v>1537565000</v>
      </c>
      <c r="M57" s="13">
        <v>14484935000</v>
      </c>
      <c r="N57" s="9" t="s">
        <v>50</v>
      </c>
      <c r="O57" s="6">
        <v>1.0683760683760684</v>
      </c>
      <c r="P57" s="12">
        <v>9.8852100967611087E-2</v>
      </c>
      <c r="Q57" s="12">
        <v>0.10614925092863724</v>
      </c>
      <c r="R57" s="14">
        <v>54</v>
      </c>
    </row>
    <row r="58" spans="2:18" x14ac:dyDescent="0.5">
      <c r="B58" s="1" t="s">
        <v>263</v>
      </c>
      <c r="C58" t="s">
        <v>313</v>
      </c>
      <c r="D58" t="s">
        <v>314</v>
      </c>
      <c r="E58">
        <v>8.41</v>
      </c>
      <c r="F58" s="9" t="s">
        <v>67</v>
      </c>
      <c r="G58" s="7">
        <v>21084678144</v>
      </c>
      <c r="H58" s="6">
        <v>10.14</v>
      </c>
      <c r="I58" s="6">
        <v>5.1100000000000003</v>
      </c>
      <c r="J58" s="12">
        <f t="shared" si="1"/>
        <v>0.64579256360078263</v>
      </c>
      <c r="K58" s="11">
        <v>4.7324613555291321E-2</v>
      </c>
      <c r="L58" s="13">
        <v>3040816000</v>
      </c>
      <c r="M58" s="13">
        <v>29707522000</v>
      </c>
      <c r="N58" s="9" t="s">
        <v>50</v>
      </c>
      <c r="O58" s="6">
        <v>1.0683760683760684</v>
      </c>
      <c r="P58" s="12">
        <v>0.14343691087044294</v>
      </c>
      <c r="Q58" s="12">
        <v>0.102358453189061</v>
      </c>
      <c r="R58" s="14">
        <v>40</v>
      </c>
    </row>
    <row r="59" spans="2:18" x14ac:dyDescent="0.5">
      <c r="B59" s="1" t="s">
        <v>135</v>
      </c>
      <c r="C59" t="s">
        <v>181</v>
      </c>
      <c r="D59" t="s">
        <v>182</v>
      </c>
      <c r="E59">
        <v>383.6</v>
      </c>
      <c r="F59" s="9" t="s">
        <v>67</v>
      </c>
      <c r="G59" s="7">
        <v>137110700032</v>
      </c>
      <c r="H59" s="6">
        <v>421.4</v>
      </c>
      <c r="I59" s="6">
        <v>324</v>
      </c>
      <c r="J59" s="12">
        <f t="shared" si="1"/>
        <v>0.18395061728395068</v>
      </c>
      <c r="K59" s="11">
        <v>2.2940563086548487E-3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6.1505686879577977E-2</v>
      </c>
      <c r="Q59" s="12">
        <v>0.20495303159692571</v>
      </c>
      <c r="R59" s="14">
        <v>39</v>
      </c>
    </row>
    <row r="60" spans="2:18" x14ac:dyDescent="0.5">
      <c r="B60" s="1" t="s">
        <v>286</v>
      </c>
      <c r="C60" t="s">
        <v>339</v>
      </c>
      <c r="D60" t="s">
        <v>236</v>
      </c>
      <c r="E60">
        <v>18.78</v>
      </c>
      <c r="F60" s="9" t="s">
        <v>67</v>
      </c>
      <c r="G60" s="7">
        <v>18608232448</v>
      </c>
      <c r="H60" s="6">
        <v>19.39</v>
      </c>
      <c r="I60" s="6">
        <v>6.5</v>
      </c>
      <c r="J60" s="12">
        <f t="shared" si="1"/>
        <v>1.8892307692307693</v>
      </c>
      <c r="K60" s="11">
        <v>1.8849840255591051E-2</v>
      </c>
      <c r="L60" s="13">
        <v>1333116000</v>
      </c>
      <c r="M60" s="13">
        <v>8019803000</v>
      </c>
      <c r="N60" s="9" t="s">
        <v>50</v>
      </c>
      <c r="O60" s="6">
        <v>1.0683760683760684</v>
      </c>
      <c r="P60" s="12">
        <v>7.7284606787174567E-2</v>
      </c>
      <c r="Q60" s="12">
        <v>0.16622802330680692</v>
      </c>
      <c r="R60" s="14">
        <v>41</v>
      </c>
    </row>
    <row r="61" spans="2:18" x14ac:dyDescent="0.5">
      <c r="B61" s="1" t="s">
        <v>266</v>
      </c>
      <c r="C61" t="s">
        <v>317</v>
      </c>
      <c r="D61" t="s">
        <v>300</v>
      </c>
      <c r="E61">
        <v>7.38</v>
      </c>
      <c r="F61" s="9" t="s">
        <v>67</v>
      </c>
      <c r="G61" s="7">
        <v>32427896832</v>
      </c>
      <c r="H61" s="6">
        <v>7.93</v>
      </c>
      <c r="I61" s="6">
        <v>4.8</v>
      </c>
      <c r="J61" s="12">
        <f t="shared" si="1"/>
        <v>0.53750000000000009</v>
      </c>
      <c r="K61" s="11">
        <v>4.9864498644986446E-2</v>
      </c>
      <c r="L61" s="13">
        <v>2919921000</v>
      </c>
      <c r="M61" s="13">
        <v>31662140000</v>
      </c>
      <c r="N61" s="9" t="s">
        <v>50</v>
      </c>
      <c r="O61" s="6">
        <v>1.0683760683760684</v>
      </c>
      <c r="P61" s="12">
        <v>0.14985543100538687</v>
      </c>
      <c r="Q61" s="12">
        <v>9.2221214358852555E-2</v>
      </c>
      <c r="R61" s="14">
        <v>43</v>
      </c>
    </row>
    <row r="62" spans="2:18" x14ac:dyDescent="0.5">
      <c r="B62" s="1" t="s">
        <v>116</v>
      </c>
      <c r="C62" t="s">
        <v>156</v>
      </c>
      <c r="D62" t="s">
        <v>83</v>
      </c>
      <c r="E62">
        <v>193.3</v>
      </c>
      <c r="F62" s="9" t="s">
        <v>67</v>
      </c>
      <c r="G62" s="7">
        <v>257096302592</v>
      </c>
      <c r="H62" s="6">
        <v>339.8</v>
      </c>
      <c r="I62" s="6">
        <v>79.5</v>
      </c>
      <c r="J62" s="12">
        <f t="shared" si="1"/>
        <v>1.4314465408805033</v>
      </c>
      <c r="K62" s="11">
        <v>4.2162441800310396E-3</v>
      </c>
      <c r="L62" s="13">
        <v>4408440000</v>
      </c>
      <c r="M62" s="13">
        <v>10683505000</v>
      </c>
      <c r="N62" s="9" t="s">
        <v>50</v>
      </c>
      <c r="O62" s="6">
        <v>1.0683760683760684</v>
      </c>
      <c r="P62" s="12">
        <v>1.8719674604048046E-2</v>
      </c>
      <c r="Q62" s="12">
        <v>0.41263985929711272</v>
      </c>
      <c r="R62" s="14">
        <v>44</v>
      </c>
    </row>
    <row r="63" spans="2:18" x14ac:dyDescent="0.5">
      <c r="B63" s="1" t="s">
        <v>360</v>
      </c>
      <c r="C63" t="s">
        <v>362</v>
      </c>
      <c r="D63" t="s">
        <v>363</v>
      </c>
      <c r="E63">
        <v>2.5299999999999998</v>
      </c>
      <c r="F63" s="9" t="s">
        <v>67</v>
      </c>
      <c r="G63" s="7">
        <v>5103946240</v>
      </c>
      <c r="H63" s="6">
        <v>3.64</v>
      </c>
      <c r="I63" s="6">
        <v>0.99</v>
      </c>
      <c r="J63" s="12">
        <f t="shared" si="1"/>
        <v>1.5555555555555554</v>
      </c>
      <c r="K63" s="11">
        <v>0</v>
      </c>
      <c r="L63" s="13">
        <v>-732033000</v>
      </c>
      <c r="M63" s="13">
        <v>7864121000</v>
      </c>
      <c r="N63" s="9" t="s">
        <v>50</v>
      </c>
      <c r="O63" s="6">
        <v>1.0683760683760684</v>
      </c>
      <c r="P63" s="12">
        <v>140.03984635061428</v>
      </c>
      <c r="Q63" s="12">
        <v>-9.3085164890011229E-2</v>
      </c>
      <c r="R63" s="14">
        <v>44</v>
      </c>
    </row>
    <row r="64" spans="2:18" x14ac:dyDescent="0.5">
      <c r="B64" s="1" t="s">
        <v>432</v>
      </c>
      <c r="C64" t="s">
        <v>434</v>
      </c>
      <c r="D64" t="s">
        <v>435</v>
      </c>
      <c r="E64">
        <v>105.7</v>
      </c>
      <c r="F64" s="9" t="s">
        <v>67</v>
      </c>
      <c r="G64" s="7">
        <v>645495914496</v>
      </c>
      <c r="H64" s="6">
        <v>189.6</v>
      </c>
      <c r="I64" s="6">
        <v>94.05</v>
      </c>
      <c r="J64" s="12">
        <f t="shared" si="1"/>
        <v>0.12387028176501858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6.6103598162209828E-2</v>
      </c>
      <c r="Q64" s="12">
        <v>0.17215263916748974</v>
      </c>
      <c r="R64" s="14">
        <v>44</v>
      </c>
    </row>
    <row r="65" spans="2:18" x14ac:dyDescent="0.5">
      <c r="B65" s="1" t="s">
        <v>134</v>
      </c>
      <c r="C65" t="s">
        <v>179</v>
      </c>
      <c r="D65" t="s">
        <v>180</v>
      </c>
      <c r="E65">
        <v>35.1</v>
      </c>
      <c r="F65" s="9" t="s">
        <v>67</v>
      </c>
      <c r="G65" s="7">
        <v>24277966848</v>
      </c>
      <c r="H65" s="6">
        <v>48.1</v>
      </c>
      <c r="I65" s="6">
        <v>19.82</v>
      </c>
      <c r="J65" s="12">
        <f t="shared" ref="J65:J96" si="2">E65/I65-1</f>
        <v>0.77093844601412709</v>
      </c>
      <c r="K65" s="11">
        <v>1.4245014245014245E-2</v>
      </c>
      <c r="L65" s="13">
        <v>1323087000</v>
      </c>
      <c r="M65" s="13">
        <v>5952918000</v>
      </c>
      <c r="N65" s="9" t="s">
        <v>67</v>
      </c>
      <c r="O65" s="6">
        <v>1</v>
      </c>
      <c r="P65" s="12">
        <v>4.9478176343159368E-2</v>
      </c>
      <c r="Q65" s="12">
        <v>0.222258562943417</v>
      </c>
      <c r="R65" s="14">
        <v>45</v>
      </c>
    </row>
    <row r="66" spans="2:18" x14ac:dyDescent="0.5">
      <c r="B66" s="1" t="s">
        <v>123</v>
      </c>
      <c r="C66" t="s">
        <v>165</v>
      </c>
      <c r="D66" t="s">
        <v>106</v>
      </c>
      <c r="E66">
        <v>13.34</v>
      </c>
      <c r="F66" s="9" t="s">
        <v>67</v>
      </c>
      <c r="G66" s="7">
        <v>131598360576</v>
      </c>
      <c r="H66" s="6">
        <v>16.95</v>
      </c>
      <c r="I66" s="6">
        <v>6.57</v>
      </c>
      <c r="J66" s="12">
        <f t="shared" si="2"/>
        <v>1.0304414003044138</v>
      </c>
      <c r="K66" s="11">
        <v>4.0479760119940034E-2</v>
      </c>
      <c r="L66" s="13">
        <v>8510100000</v>
      </c>
      <c r="M66" s="13">
        <v>46117200000</v>
      </c>
      <c r="N66" s="9" t="s">
        <v>67</v>
      </c>
      <c r="O66" s="6">
        <v>1</v>
      </c>
      <c r="P66" s="12">
        <v>5.8769354925503649E-2</v>
      </c>
      <c r="Q66" s="12">
        <v>0.18453201842262756</v>
      </c>
      <c r="R66" s="14">
        <v>46</v>
      </c>
    </row>
    <row r="67" spans="2:18" x14ac:dyDescent="0.5">
      <c r="B67" s="1" t="s">
        <v>260</v>
      </c>
      <c r="C67" t="s">
        <v>309</v>
      </c>
      <c r="D67" t="s">
        <v>74</v>
      </c>
      <c r="E67">
        <v>7.57</v>
      </c>
      <c r="F67" s="9" t="s">
        <v>67</v>
      </c>
      <c r="G67" s="7">
        <v>5161712128</v>
      </c>
      <c r="H67" s="6">
        <v>10.98</v>
      </c>
      <c r="I67" s="6">
        <v>6.56</v>
      </c>
      <c r="J67" s="12">
        <f t="shared" si="2"/>
        <v>0.15396341463414642</v>
      </c>
      <c r="K67" s="11">
        <v>4.7159841479524435E-2</v>
      </c>
      <c r="L67" s="13">
        <v>618033000</v>
      </c>
      <c r="M67" s="13">
        <v>5033024000</v>
      </c>
      <c r="N67" s="9" t="s">
        <v>50</v>
      </c>
      <c r="O67" s="6">
        <v>1.0683760683760684</v>
      </c>
      <c r="P67" s="12">
        <v>0.10684917556592814</v>
      </c>
      <c r="Q67" s="12">
        <v>0.12279555988606453</v>
      </c>
      <c r="R67" s="14">
        <v>42</v>
      </c>
    </row>
    <row r="68" spans="2:18" x14ac:dyDescent="0.5">
      <c r="B68" s="1" t="s">
        <v>259</v>
      </c>
      <c r="C68" t="s">
        <v>308</v>
      </c>
      <c r="D68" t="s">
        <v>238</v>
      </c>
      <c r="E68">
        <v>7.84</v>
      </c>
      <c r="F68" s="9" t="s">
        <v>67</v>
      </c>
      <c r="G68" s="7">
        <v>103627808768</v>
      </c>
      <c r="H68" s="6">
        <v>9.83</v>
      </c>
      <c r="I68" s="6">
        <v>6.88</v>
      </c>
      <c r="J68" s="12">
        <f t="shared" si="2"/>
        <v>0.13953488372093026</v>
      </c>
      <c r="K68" s="11">
        <v>0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0.10981980435447081</v>
      </c>
      <c r="Q68" s="12">
        <v>0.1154893948238957</v>
      </c>
      <c r="R68" s="14">
        <v>45</v>
      </c>
    </row>
    <row r="69" spans="2:18" x14ac:dyDescent="0.5">
      <c r="B69" s="1" t="s">
        <v>273</v>
      </c>
      <c r="C69" t="s">
        <v>325</v>
      </c>
      <c r="D69" t="s">
        <v>81</v>
      </c>
      <c r="E69">
        <v>3.12</v>
      </c>
      <c r="F69" s="9" t="s">
        <v>67</v>
      </c>
      <c r="G69" s="7">
        <v>13353912320</v>
      </c>
      <c r="H69" s="6">
        <v>3.55</v>
      </c>
      <c r="I69" s="6">
        <v>1.45</v>
      </c>
      <c r="J69" s="12">
        <f t="shared" si="2"/>
        <v>1.1517241379310348</v>
      </c>
      <c r="K69" s="11">
        <v>3.9102564102564102E-2</v>
      </c>
      <c r="L69" s="13">
        <v>1230913000</v>
      </c>
      <c r="M69" s="13">
        <v>10701340000</v>
      </c>
      <c r="N69" s="9" t="s">
        <v>50</v>
      </c>
      <c r="O69" s="6">
        <v>1.0683760683760684</v>
      </c>
      <c r="P69" s="12">
        <v>0.10905560452244427</v>
      </c>
      <c r="Q69" s="12">
        <v>0.11502419323187564</v>
      </c>
      <c r="R69" s="14">
        <v>47</v>
      </c>
    </row>
    <row r="70" spans="2:18" x14ac:dyDescent="0.5">
      <c r="B70" s="1" t="s">
        <v>130</v>
      </c>
      <c r="C70" t="s">
        <v>173</v>
      </c>
      <c r="D70" t="s">
        <v>174</v>
      </c>
      <c r="E70">
        <v>40.28</v>
      </c>
      <c r="F70" s="9" t="s">
        <v>67</v>
      </c>
      <c r="G70" s="7">
        <v>1096215560192</v>
      </c>
      <c r="H70" s="6">
        <v>40.72</v>
      </c>
      <c r="I70" s="6">
        <v>14.02</v>
      </c>
      <c r="J70" s="12">
        <f t="shared" si="2"/>
        <v>1.8730385164051357</v>
      </c>
      <c r="K70" s="11">
        <v>1.2413108242303872E-2</v>
      </c>
      <c r="L70" s="13">
        <v>52374992116</v>
      </c>
      <c r="M70" s="13">
        <v>269573093476</v>
      </c>
      <c r="N70" s="9" t="s">
        <v>50</v>
      </c>
      <c r="O70" s="6">
        <v>1.0683760683760684</v>
      </c>
      <c r="P70" s="12">
        <v>4.5846889240234438E-2</v>
      </c>
      <c r="Q70" s="12">
        <v>0.19428864891763736</v>
      </c>
      <c r="R70" s="14">
        <v>51</v>
      </c>
    </row>
    <row r="71" spans="2:18" x14ac:dyDescent="0.5">
      <c r="B71" s="1" t="s">
        <v>31</v>
      </c>
      <c r="C71" t="s">
        <v>92</v>
      </c>
      <c r="D71" t="s">
        <v>74</v>
      </c>
      <c r="E71">
        <v>2.95</v>
      </c>
      <c r="F71" s="9" t="s">
        <v>67</v>
      </c>
      <c r="G71" s="7">
        <v>18293606400</v>
      </c>
      <c r="H71" s="6">
        <v>4.13</v>
      </c>
      <c r="I71" s="6">
        <v>2.6</v>
      </c>
      <c r="J71" s="12">
        <f t="shared" si="2"/>
        <v>0.13461538461538458</v>
      </c>
      <c r="K71" s="11">
        <v>5.084745762711864E-2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9.0175889320162309E-2</v>
      </c>
      <c r="Q71" s="12">
        <v>0.1499088374088374</v>
      </c>
      <c r="R71" s="14">
        <v>45</v>
      </c>
    </row>
    <row r="72" spans="2:18" x14ac:dyDescent="0.5">
      <c r="B72" s="1" t="s">
        <v>112</v>
      </c>
      <c r="C72" t="s">
        <v>151</v>
      </c>
      <c r="D72" t="s">
        <v>152</v>
      </c>
      <c r="E72">
        <v>65.599999999999994</v>
      </c>
      <c r="F72" s="9" t="s">
        <v>67</v>
      </c>
      <c r="G72" s="7">
        <v>186058014720</v>
      </c>
      <c r="H72" s="6">
        <v>86</v>
      </c>
      <c r="I72" s="6">
        <v>44.25</v>
      </c>
      <c r="J72" s="12">
        <f t="shared" si="2"/>
        <v>0.48248587570621448</v>
      </c>
      <c r="K72" s="11">
        <v>4.1158536585365862E-2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5.25690803365986E-2</v>
      </c>
      <c r="Q72" s="12">
        <v>0.18855793075067021</v>
      </c>
      <c r="R72" s="14">
        <v>48</v>
      </c>
    </row>
    <row r="73" spans="2:18" x14ac:dyDescent="0.5">
      <c r="B73" s="1" t="s">
        <v>112</v>
      </c>
      <c r="C73" t="s">
        <v>151</v>
      </c>
      <c r="D73" t="s">
        <v>152</v>
      </c>
      <c r="E73">
        <v>65.599999999999994</v>
      </c>
      <c r="F73" s="9" t="s">
        <v>67</v>
      </c>
      <c r="G73" s="7">
        <v>186058014720</v>
      </c>
      <c r="H73" s="6">
        <v>86</v>
      </c>
      <c r="I73" s="6">
        <v>44.25</v>
      </c>
      <c r="J73" s="12">
        <f t="shared" si="2"/>
        <v>0.48248587570621448</v>
      </c>
      <c r="K73" s="11">
        <v>4.1158536585365862E-2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5.25690803365986E-2</v>
      </c>
      <c r="Q73" s="12">
        <v>0.18855793075067021</v>
      </c>
      <c r="R73" s="14">
        <v>48</v>
      </c>
    </row>
    <row r="74" spans="2:18" x14ac:dyDescent="0.5">
      <c r="B74" s="1" t="s">
        <v>132</v>
      </c>
      <c r="C74" t="s">
        <v>176</v>
      </c>
      <c r="D74" t="s">
        <v>76</v>
      </c>
      <c r="E74">
        <v>15.33</v>
      </c>
      <c r="F74" s="9" t="s">
        <v>67</v>
      </c>
      <c r="G74" s="7">
        <v>64355479552</v>
      </c>
      <c r="H74" s="6">
        <v>16.73</v>
      </c>
      <c r="I74" s="6">
        <v>11.42</v>
      </c>
      <c r="J74" s="12">
        <f t="shared" si="2"/>
        <v>0.34238178633975491</v>
      </c>
      <c r="K74" s="11">
        <v>5.7795172863666013E-2</v>
      </c>
      <c r="L74" s="13">
        <v>11996000000</v>
      </c>
      <c r="M74" s="13">
        <v>138296000000</v>
      </c>
      <c r="N74" s="9" t="s">
        <v>67</v>
      </c>
      <c r="O74" s="6">
        <v>1</v>
      </c>
      <c r="P74" s="12">
        <v>0.1371073600161303</v>
      </c>
      <c r="Q74" s="12">
        <v>8.6741482038526066E-2</v>
      </c>
      <c r="R74" s="14">
        <v>49</v>
      </c>
    </row>
    <row r="75" spans="2:18" x14ac:dyDescent="0.5">
      <c r="B75" s="1" t="s">
        <v>132</v>
      </c>
      <c r="C75" t="s">
        <v>176</v>
      </c>
      <c r="D75" t="s">
        <v>76</v>
      </c>
      <c r="E75">
        <v>15.33</v>
      </c>
      <c r="F75" s="9" t="s">
        <v>67</v>
      </c>
      <c r="G75" s="7">
        <v>64355479552</v>
      </c>
      <c r="H75" s="6">
        <v>16.73</v>
      </c>
      <c r="I75" s="6">
        <v>11.42</v>
      </c>
      <c r="J75" s="12">
        <f t="shared" si="2"/>
        <v>0.34238178633975491</v>
      </c>
      <c r="K75" s="11">
        <v>5.7795172863666013E-2</v>
      </c>
      <c r="L75" s="13">
        <v>11996000000</v>
      </c>
      <c r="M75" s="13">
        <v>138296000000</v>
      </c>
      <c r="N75" s="9" t="s">
        <v>67</v>
      </c>
      <c r="O75" s="6">
        <v>1</v>
      </c>
      <c r="P75" s="12">
        <v>0.1371073600161303</v>
      </c>
      <c r="Q75" s="12">
        <v>8.6741482038526066E-2</v>
      </c>
      <c r="R75" s="14">
        <v>49</v>
      </c>
    </row>
    <row r="76" spans="2:18" x14ac:dyDescent="0.5">
      <c r="B76" s="1" t="s">
        <v>117</v>
      </c>
      <c r="C76" t="s">
        <v>157</v>
      </c>
      <c r="D76" t="s">
        <v>68</v>
      </c>
      <c r="E76">
        <v>5.65</v>
      </c>
      <c r="F76" s="9" t="s">
        <v>67</v>
      </c>
      <c r="G76" s="7">
        <v>9190924288</v>
      </c>
      <c r="H76" s="6">
        <v>7.05</v>
      </c>
      <c r="I76" s="6">
        <v>4.37</v>
      </c>
      <c r="J76" s="12">
        <f t="shared" si="2"/>
        <v>0.29290617848970246</v>
      </c>
      <c r="K76" s="11">
        <v>4.9557522123893805E-2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0.11967064601309102</v>
      </c>
      <c r="Q76" s="12">
        <v>9.3783286642795421E-2</v>
      </c>
      <c r="R76" s="14">
        <v>49</v>
      </c>
    </row>
    <row r="77" spans="2:18" x14ac:dyDescent="0.5">
      <c r="B77" s="1" t="s">
        <v>359</v>
      </c>
      <c r="C77" t="s">
        <v>361</v>
      </c>
      <c r="D77" t="s">
        <v>171</v>
      </c>
      <c r="E77">
        <v>11.43</v>
      </c>
      <c r="F77" s="9" t="s">
        <v>67</v>
      </c>
      <c r="G77" s="7">
        <v>3072171520</v>
      </c>
      <c r="H77" s="6">
        <v>15.58</v>
      </c>
      <c r="I77" s="6">
        <v>8.3000000000000007</v>
      </c>
      <c r="J77" s="12">
        <f t="shared" si="2"/>
        <v>0.37710843373493952</v>
      </c>
      <c r="K77" s="11">
        <v>0</v>
      </c>
      <c r="L77" s="13">
        <v>-481083000</v>
      </c>
      <c r="M77" s="13">
        <v>4136123000</v>
      </c>
      <c r="N77" s="9" t="s">
        <v>50</v>
      </c>
      <c r="O77" s="6">
        <v>1.0683760683760684</v>
      </c>
      <c r="P77" s="12">
        <v>0.43557560401492451</v>
      </c>
      <c r="Q77" s="12">
        <v>-0.11631254679805218</v>
      </c>
      <c r="R77" s="14">
        <v>48</v>
      </c>
    </row>
    <row r="78" spans="2:18" x14ac:dyDescent="0.5">
      <c r="B78" s="1" t="s">
        <v>122</v>
      </c>
      <c r="C78" t="s">
        <v>163</v>
      </c>
      <c r="D78" t="s">
        <v>164</v>
      </c>
      <c r="E78">
        <v>27.02</v>
      </c>
      <c r="F78" s="9" t="s">
        <v>67</v>
      </c>
      <c r="G78" s="7">
        <v>30738515968</v>
      </c>
      <c r="H78" s="6">
        <v>29.4</v>
      </c>
      <c r="I78" s="6">
        <v>19.52</v>
      </c>
      <c r="J78" s="12">
        <f t="shared" si="2"/>
        <v>0.38422131147540983</v>
      </c>
      <c r="K78" s="11">
        <v>5.181347150259067E-2</v>
      </c>
      <c r="L78" s="13">
        <v>3446618000</v>
      </c>
      <c r="M78" s="13">
        <v>34010798000</v>
      </c>
      <c r="N78" s="9" t="s">
        <v>50</v>
      </c>
      <c r="O78" s="6">
        <v>1.0683760683760684</v>
      </c>
      <c r="P78" s="12">
        <v>0.1247759524454964</v>
      </c>
      <c r="Q78" s="12">
        <v>0.10133893359397213</v>
      </c>
      <c r="R78" s="14">
        <v>43</v>
      </c>
    </row>
    <row r="79" spans="2:18" x14ac:dyDescent="0.5">
      <c r="B79" s="1" t="s">
        <v>127</v>
      </c>
      <c r="C79" t="s">
        <v>170</v>
      </c>
      <c r="D79" t="s">
        <v>171</v>
      </c>
      <c r="E79">
        <v>631</v>
      </c>
      <c r="F79" s="9" t="s">
        <v>67</v>
      </c>
      <c r="G79" s="7">
        <v>5693370793984</v>
      </c>
      <c r="H79" s="6">
        <v>683</v>
      </c>
      <c r="I79" s="6">
        <v>364.8</v>
      </c>
      <c r="J79" s="12">
        <f t="shared" si="2"/>
        <v>0.72971491228070162</v>
      </c>
      <c r="K79" s="11">
        <v>6.7020602218700476E-3</v>
      </c>
      <c r="L79" s="13">
        <v>253932000000</v>
      </c>
      <c r="M79" s="13">
        <v>1312163000000</v>
      </c>
      <c r="N79" s="9" t="s">
        <v>50</v>
      </c>
      <c r="O79" s="6">
        <v>1.0683760683760684</v>
      </c>
      <c r="P79" s="12">
        <v>4.5715721330219714E-2</v>
      </c>
      <c r="Q79" s="12">
        <v>0.19352168899747973</v>
      </c>
      <c r="R79" s="14">
        <v>52</v>
      </c>
    </row>
    <row r="80" spans="2:18" x14ac:dyDescent="0.5">
      <c r="B80" s="1" t="s">
        <v>264</v>
      </c>
      <c r="C80" t="s">
        <v>315</v>
      </c>
      <c r="D80" t="s">
        <v>49</v>
      </c>
      <c r="E80">
        <v>5.7</v>
      </c>
      <c r="F80" s="9" t="s">
        <v>67</v>
      </c>
      <c r="G80" s="7">
        <v>10757527552</v>
      </c>
      <c r="H80" s="6">
        <v>6.35</v>
      </c>
      <c r="I80" s="6">
        <v>1.92</v>
      </c>
      <c r="J80" s="12">
        <f t="shared" si="2"/>
        <v>1.96875</v>
      </c>
      <c r="K80" s="11">
        <v>2.8070175438596492E-2</v>
      </c>
      <c r="L80" s="13">
        <v>896597000</v>
      </c>
      <c r="M80" s="13">
        <v>6906279000</v>
      </c>
      <c r="N80" s="9" t="s">
        <v>67</v>
      </c>
      <c r="O80" s="6">
        <v>1</v>
      </c>
      <c r="P80" s="12">
        <v>7.2587794403688552E-2</v>
      </c>
      <c r="Q80" s="12">
        <v>0.12982345485897689</v>
      </c>
      <c r="R80" s="14">
        <v>53</v>
      </c>
    </row>
    <row r="81" spans="2:18" x14ac:dyDescent="0.5">
      <c r="B81" s="1" t="s">
        <v>377</v>
      </c>
      <c r="C81" t="s">
        <v>378</v>
      </c>
      <c r="D81" t="s">
        <v>182</v>
      </c>
      <c r="E81">
        <v>5.04</v>
      </c>
      <c r="F81" s="9" t="s">
        <v>67</v>
      </c>
      <c r="G81" s="7">
        <v>2891669760</v>
      </c>
      <c r="H81" s="6">
        <v>8.6199999999999992</v>
      </c>
      <c r="I81" s="6">
        <v>4.88</v>
      </c>
      <c r="J81" s="12">
        <f t="shared" si="2"/>
        <v>3.2786885245901676E-2</v>
      </c>
      <c r="K81" s="11">
        <v>6.9444444444444434E-2</v>
      </c>
      <c r="L81" s="13">
        <v>371538000</v>
      </c>
      <c r="M81" s="13">
        <v>3037286000</v>
      </c>
      <c r="N81" s="9" t="s">
        <v>67</v>
      </c>
      <c r="O81" s="6">
        <v>1</v>
      </c>
      <c r="P81" s="12">
        <v>9.353110955499766E-2</v>
      </c>
      <c r="Q81" s="12">
        <v>0.12232565520665489</v>
      </c>
      <c r="R81" s="14">
        <v>50</v>
      </c>
    </row>
    <row r="82" spans="2:18" x14ac:dyDescent="0.5">
      <c r="B82" s="1" t="s">
        <v>258</v>
      </c>
      <c r="C82" t="s">
        <v>307</v>
      </c>
      <c r="D82" t="s">
        <v>152</v>
      </c>
      <c r="E82">
        <v>29.64</v>
      </c>
      <c r="F82" s="9" t="s">
        <v>67</v>
      </c>
      <c r="G82" s="7">
        <v>27494330368</v>
      </c>
      <c r="H82" s="6">
        <v>45.78</v>
      </c>
      <c r="I82" s="6">
        <v>9.9</v>
      </c>
      <c r="J82" s="12">
        <f t="shared" si="2"/>
        <v>1.9939393939393937</v>
      </c>
      <c r="K82" s="11">
        <v>2.631578947368421E-3</v>
      </c>
      <c r="L82" s="13">
        <v>334940000</v>
      </c>
      <c r="M82" s="13">
        <v>3025375000</v>
      </c>
      <c r="N82" s="9" t="s">
        <v>71</v>
      </c>
      <c r="O82" s="6">
        <v>7.6923076923076916</v>
      </c>
      <c r="P82" s="12">
        <v>0.10443472002188688</v>
      </c>
      <c r="Q82" s="12">
        <v>0.11071024253191752</v>
      </c>
      <c r="R82" s="14">
        <v>51</v>
      </c>
    </row>
    <row r="83" spans="2:18" x14ac:dyDescent="0.5">
      <c r="B83" s="1" t="s">
        <v>254</v>
      </c>
      <c r="C83" t="s">
        <v>303</v>
      </c>
      <c r="D83" t="s">
        <v>96</v>
      </c>
      <c r="E83">
        <v>4.66</v>
      </c>
      <c r="F83" s="9" t="s">
        <v>67</v>
      </c>
      <c r="G83" s="7">
        <v>4327150080</v>
      </c>
      <c r="H83" s="6">
        <v>5.39</v>
      </c>
      <c r="I83" s="6">
        <v>1.72</v>
      </c>
      <c r="J83" s="12">
        <f t="shared" si="2"/>
        <v>1.7093023255813953</v>
      </c>
      <c r="K83" s="11">
        <v>1.9313304721030041E-2</v>
      </c>
      <c r="L83" s="13">
        <v>238321000</v>
      </c>
      <c r="M83" s="13">
        <v>6087917000</v>
      </c>
      <c r="N83" s="9" t="s">
        <v>67</v>
      </c>
      <c r="O83" s="6">
        <v>1</v>
      </c>
      <c r="P83" s="12">
        <v>5.9991565974380524E-2</v>
      </c>
      <c r="Q83" s="12">
        <v>3.9146558666946343E-2</v>
      </c>
      <c r="R83" s="14">
        <v>78</v>
      </c>
    </row>
    <row r="84" spans="2:18" x14ac:dyDescent="0.5">
      <c r="B84" s="1" t="s">
        <v>437</v>
      </c>
      <c r="C84" t="s">
        <v>441</v>
      </c>
      <c r="D84" t="s">
        <v>164</v>
      </c>
      <c r="E84">
        <v>2.4</v>
      </c>
      <c r="F84" s="9" t="s">
        <v>67</v>
      </c>
      <c r="G84" s="7">
        <v>3200000512</v>
      </c>
      <c r="H84" s="6">
        <v>3.21</v>
      </c>
      <c r="I84" s="6">
        <v>1.77</v>
      </c>
      <c r="J84" s="12">
        <f t="shared" si="2"/>
        <v>0.35593220338983045</v>
      </c>
      <c r="K84" s="11">
        <v>0.05</v>
      </c>
      <c r="L84" s="13">
        <v>244399000</v>
      </c>
      <c r="M84" s="13">
        <v>2990882000</v>
      </c>
      <c r="N84" s="9" t="s">
        <v>50</v>
      </c>
      <c r="O84" s="6">
        <v>1.0683760683760684</v>
      </c>
      <c r="P84" s="12">
        <v>0.11350188045482072</v>
      </c>
      <c r="Q84" s="12">
        <v>8.171469151909036E-2</v>
      </c>
      <c r="R84" s="14">
        <v>57</v>
      </c>
    </row>
    <row r="85" spans="2:18" x14ac:dyDescent="0.5">
      <c r="B85" s="1" t="s">
        <v>257</v>
      </c>
      <c r="C85" t="s">
        <v>306</v>
      </c>
      <c r="D85" t="s">
        <v>298</v>
      </c>
      <c r="E85">
        <v>70.650000000000006</v>
      </c>
      <c r="F85" s="9" t="s">
        <v>67</v>
      </c>
      <c r="G85" s="7">
        <v>1368381456384</v>
      </c>
      <c r="H85" s="6">
        <v>72.349999999999994</v>
      </c>
      <c r="I85" s="6">
        <v>39.6</v>
      </c>
      <c r="J85" s="12">
        <f t="shared" si="2"/>
        <v>0.78409090909090917</v>
      </c>
      <c r="K85" s="11">
        <v>3.6376503892427456E-2</v>
      </c>
      <c r="L85" s="13">
        <v>189900000000</v>
      </c>
      <c r="M85" s="13">
        <v>2315380000000</v>
      </c>
      <c r="N85" s="9" t="s">
        <v>50</v>
      </c>
      <c r="O85" s="6">
        <v>1.0683760683760684</v>
      </c>
      <c r="P85" s="12">
        <v>0.11002221605822902</v>
      </c>
      <c r="Q85" s="12">
        <v>8.2016774784268678E-2</v>
      </c>
      <c r="R85" s="14">
        <v>58</v>
      </c>
    </row>
    <row r="86" spans="2:18" x14ac:dyDescent="0.5">
      <c r="B86" s="1" t="s">
        <v>756</v>
      </c>
      <c r="C86" t="s">
        <v>757</v>
      </c>
      <c r="D86" t="s">
        <v>182</v>
      </c>
      <c r="E86">
        <v>1.1000000000000001</v>
      </c>
      <c r="F86" s="9" t="s">
        <v>67</v>
      </c>
      <c r="G86" s="7">
        <v>1068560960</v>
      </c>
      <c r="H86" s="6">
        <v>1.18</v>
      </c>
      <c r="I86" s="6">
        <v>0.78</v>
      </c>
      <c r="J86" s="12">
        <f t="shared" si="2"/>
        <v>0.41025641025641035</v>
      </c>
      <c r="K86" s="11">
        <v>5.4545454545454536E-2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6.2780360516533851E-2</v>
      </c>
      <c r="Q86" s="12">
        <v>0.12357273633818894</v>
      </c>
      <c r="R86" s="14">
        <v>55</v>
      </c>
    </row>
    <row r="87" spans="2:18" x14ac:dyDescent="0.5">
      <c r="B87" s="1" t="s">
        <v>138</v>
      </c>
      <c r="C87" t="s">
        <v>186</v>
      </c>
      <c r="D87" t="s">
        <v>102</v>
      </c>
      <c r="E87">
        <v>34.82</v>
      </c>
      <c r="F87" s="9" t="s">
        <v>67</v>
      </c>
      <c r="G87" s="7">
        <v>78456578048</v>
      </c>
      <c r="H87" s="6">
        <v>61.55</v>
      </c>
      <c r="I87" s="6">
        <v>26.65</v>
      </c>
      <c r="J87" s="12">
        <f t="shared" si="2"/>
        <v>0.30656660412757986</v>
      </c>
      <c r="K87" s="11">
        <v>1.6312464101091325E-2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6.673110874659352E-2</v>
      </c>
      <c r="Q87" s="12">
        <v>0.12176329850933591</v>
      </c>
      <c r="R87" s="14">
        <v>55</v>
      </c>
    </row>
    <row r="88" spans="2:18" x14ac:dyDescent="0.5">
      <c r="B88" s="1" t="s">
        <v>133</v>
      </c>
      <c r="C88" t="s">
        <v>177</v>
      </c>
      <c r="D88" t="s">
        <v>178</v>
      </c>
      <c r="E88">
        <v>9.34</v>
      </c>
      <c r="F88" s="9" t="s">
        <v>67</v>
      </c>
      <c r="G88" s="7">
        <v>22007197696</v>
      </c>
      <c r="H88" s="6">
        <v>12.7</v>
      </c>
      <c r="I88" s="6">
        <v>6.33</v>
      </c>
      <c r="J88" s="12">
        <f t="shared" si="2"/>
        <v>0.47551342812006325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0.11897371184265043</v>
      </c>
      <c r="Q88" s="12">
        <v>6.4862080854845933E-2</v>
      </c>
      <c r="R88" s="14">
        <v>56</v>
      </c>
    </row>
    <row r="89" spans="2:18" x14ac:dyDescent="0.5">
      <c r="B89" s="1" t="s">
        <v>113</v>
      </c>
      <c r="C89" t="s">
        <v>153</v>
      </c>
      <c r="D89" t="s">
        <v>91</v>
      </c>
      <c r="E89">
        <v>23.18</v>
      </c>
      <c r="F89" s="9" t="s">
        <v>67</v>
      </c>
      <c r="G89" s="7">
        <v>139260067840</v>
      </c>
      <c r="H89" s="6">
        <v>25.9</v>
      </c>
      <c r="I89" s="6">
        <v>18.7</v>
      </c>
      <c r="J89" s="12">
        <f t="shared" si="2"/>
        <v>0.23957219251336892</v>
      </c>
      <c r="K89" s="11">
        <v>4.0983606557377046E-2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0.12039367454637073</v>
      </c>
      <c r="Q89" s="12">
        <v>5.0146340085309396E-2</v>
      </c>
      <c r="R89" s="14">
        <v>59</v>
      </c>
    </row>
    <row r="90" spans="2:18" x14ac:dyDescent="0.5">
      <c r="B90" s="1" t="s">
        <v>284</v>
      </c>
      <c r="C90" t="s">
        <v>337</v>
      </c>
      <c r="D90" t="s">
        <v>49</v>
      </c>
      <c r="E90">
        <v>17.670000000000002</v>
      </c>
      <c r="F90" s="9" t="s">
        <v>67</v>
      </c>
      <c r="G90" s="7">
        <v>39514996736</v>
      </c>
      <c r="H90" s="6">
        <v>18.7</v>
      </c>
      <c r="I90" s="6">
        <v>2.39</v>
      </c>
      <c r="J90" s="12">
        <f t="shared" si="2"/>
        <v>6.3933054393305442</v>
      </c>
      <c r="K90" s="11">
        <v>1.3073005093378607E-2</v>
      </c>
      <c r="L90" s="13">
        <v>2184074765.02</v>
      </c>
      <c r="M90" s="13">
        <v>23493408528.349998</v>
      </c>
      <c r="N90" s="9" t="s">
        <v>50</v>
      </c>
      <c r="O90" s="6">
        <v>1.0683760683760684</v>
      </c>
      <c r="P90" s="12">
        <v>7.5412366090142555E-2</v>
      </c>
      <c r="Q90" s="12">
        <v>9.29654274042198E-2</v>
      </c>
      <c r="R90" s="14">
        <v>63</v>
      </c>
    </row>
    <row r="91" spans="2:18" x14ac:dyDescent="0.5">
      <c r="B91" s="1" t="s">
        <v>255</v>
      </c>
      <c r="C91" t="s">
        <v>304</v>
      </c>
      <c r="D91" t="s">
        <v>300</v>
      </c>
      <c r="E91">
        <v>1.85</v>
      </c>
      <c r="F91" s="9" t="s">
        <v>67</v>
      </c>
      <c r="G91" s="7">
        <v>71796965376</v>
      </c>
      <c r="H91" s="6">
        <v>3.17</v>
      </c>
      <c r="I91" s="6">
        <v>1.35</v>
      </c>
      <c r="J91" s="12">
        <f t="shared" si="2"/>
        <v>0.37037037037037024</v>
      </c>
      <c r="K91" s="11">
        <v>3.027027027027027E-2</v>
      </c>
      <c r="L91" s="13">
        <v>12616717000</v>
      </c>
      <c r="M91" s="13">
        <v>231208465000</v>
      </c>
      <c r="N91" s="9" t="s">
        <v>50</v>
      </c>
      <c r="O91" s="6">
        <v>1.0683760683760684</v>
      </c>
      <c r="P91" s="12">
        <v>0.11639627901337925</v>
      </c>
      <c r="Q91" s="12">
        <v>5.4568577322633927E-2</v>
      </c>
      <c r="R91" s="14">
        <v>60</v>
      </c>
    </row>
    <row r="92" spans="2:18" x14ac:dyDescent="0.5">
      <c r="B92" s="1" t="s">
        <v>386</v>
      </c>
      <c r="C92" t="s">
        <v>387</v>
      </c>
      <c r="D92" t="s">
        <v>55</v>
      </c>
      <c r="E92">
        <v>38.520000000000003</v>
      </c>
      <c r="F92" s="9" t="s">
        <v>67</v>
      </c>
      <c r="G92" s="7">
        <v>998024937472</v>
      </c>
      <c r="H92" s="6">
        <v>61.45</v>
      </c>
      <c r="I92" s="6">
        <v>32.75</v>
      </c>
      <c r="J92" s="12">
        <f t="shared" si="2"/>
        <v>0.17618320610687022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3.1456228447749576E-2</v>
      </c>
      <c r="Q92" s="12">
        <v>0.13430606011982404</v>
      </c>
      <c r="R92" s="14">
        <v>63</v>
      </c>
    </row>
    <row r="93" spans="2:18" x14ac:dyDescent="0.5">
      <c r="B93" s="1" t="s">
        <v>109</v>
      </c>
      <c r="C93" t="s">
        <v>146</v>
      </c>
      <c r="D93" t="s">
        <v>96</v>
      </c>
      <c r="E93">
        <v>5.37</v>
      </c>
      <c r="F93" s="9" t="s">
        <v>67</v>
      </c>
      <c r="G93" s="7">
        <v>646112411648</v>
      </c>
      <c r="H93" s="6">
        <v>6.98</v>
      </c>
      <c r="I93" s="6">
        <v>4.62</v>
      </c>
      <c r="J93" s="12">
        <f t="shared" si="2"/>
        <v>0.16233766233766223</v>
      </c>
      <c r="K93" s="11">
        <v>8.2122905027932958E-2</v>
      </c>
      <c r="L93" s="13">
        <v>44563000000</v>
      </c>
      <c r="M93" s="13">
        <v>463922000000</v>
      </c>
      <c r="N93" s="9" t="s">
        <v>50</v>
      </c>
      <c r="O93" s="6">
        <v>1.0683760683760684</v>
      </c>
      <c r="P93" s="12">
        <v>7.639844435754839E-2</v>
      </c>
      <c r="Q93" s="12">
        <v>9.605709580489824E-2</v>
      </c>
      <c r="R93" s="14">
        <v>61</v>
      </c>
    </row>
    <row r="94" spans="2:18" x14ac:dyDescent="0.5">
      <c r="B94" s="1" t="s">
        <v>120</v>
      </c>
      <c r="C94" t="s">
        <v>160</v>
      </c>
      <c r="D94" t="s">
        <v>161</v>
      </c>
      <c r="E94">
        <v>11.6</v>
      </c>
      <c r="F94" s="9" t="s">
        <v>67</v>
      </c>
      <c r="G94" s="7">
        <v>78219083776</v>
      </c>
      <c r="H94" s="6">
        <v>11.67</v>
      </c>
      <c r="I94" s="6">
        <v>5</v>
      </c>
      <c r="J94" s="12">
        <f t="shared" si="2"/>
        <v>1.3199999999999998</v>
      </c>
      <c r="K94" s="11">
        <v>1.810344827586207E-2</v>
      </c>
      <c r="L94" s="13">
        <v>6749146000</v>
      </c>
      <c r="M94" s="13">
        <v>70848374000</v>
      </c>
      <c r="N94" s="9" t="s">
        <v>50</v>
      </c>
      <c r="O94" s="6">
        <v>1.0683760683760684</v>
      </c>
      <c r="P94" s="12">
        <v>6.5072737319141635E-2</v>
      </c>
      <c r="Q94" s="12">
        <v>9.5261833390841127E-2</v>
      </c>
      <c r="R94" s="14">
        <v>65</v>
      </c>
    </row>
    <row r="95" spans="2:18" x14ac:dyDescent="0.5">
      <c r="B95" s="1" t="s">
        <v>118</v>
      </c>
      <c r="C95" t="s">
        <v>158</v>
      </c>
      <c r="D95" t="s">
        <v>96</v>
      </c>
      <c r="E95">
        <v>8.07</v>
      </c>
      <c r="F95" s="9" t="s">
        <v>67</v>
      </c>
      <c r="G95" s="7">
        <v>246925852672</v>
      </c>
      <c r="H95" s="6">
        <v>11.56</v>
      </c>
      <c r="I95" s="6">
        <v>6.89</v>
      </c>
      <c r="J95" s="12">
        <f t="shared" si="2"/>
        <v>0.17126269956458651</v>
      </c>
      <c r="K95" s="11">
        <v>5.4522924411400248E-2</v>
      </c>
      <c r="L95" s="13">
        <v>26994000000</v>
      </c>
      <c r="M95" s="13">
        <v>363169000000</v>
      </c>
      <c r="N95" s="9" t="s">
        <v>50</v>
      </c>
      <c r="O95" s="6">
        <v>1.0683760683760684</v>
      </c>
      <c r="P95" s="12">
        <v>0.1113578955918442</v>
      </c>
      <c r="Q95" s="12">
        <v>7.4329031387590908E-2</v>
      </c>
      <c r="R95" s="14">
        <v>58</v>
      </c>
    </row>
    <row r="96" spans="2:18" x14ac:dyDescent="0.5">
      <c r="B96" s="1" t="s">
        <v>126</v>
      </c>
      <c r="C96" t="s">
        <v>169</v>
      </c>
      <c r="D96" t="s">
        <v>96</v>
      </c>
      <c r="E96">
        <v>11.69</v>
      </c>
      <c r="F96" s="9" t="s">
        <v>67</v>
      </c>
      <c r="G96" s="7">
        <v>88613249024</v>
      </c>
      <c r="H96" s="6">
        <v>12.95</v>
      </c>
      <c r="I96" s="6">
        <v>9.51</v>
      </c>
      <c r="J96" s="12">
        <f t="shared" si="2"/>
        <v>0.22923238696109349</v>
      </c>
      <c r="K96" s="11">
        <v>6.8177929854576574E-2</v>
      </c>
      <c r="L96" s="13">
        <v>8154000000</v>
      </c>
      <c r="M96" s="13">
        <v>79588000000</v>
      </c>
      <c r="N96" s="9" t="s">
        <v>67</v>
      </c>
      <c r="O96" s="6">
        <v>1</v>
      </c>
      <c r="P96" s="12">
        <v>6.2760613068618798E-2</v>
      </c>
      <c r="Q96" s="12">
        <v>0.10245263104990703</v>
      </c>
      <c r="R96" s="14">
        <v>62</v>
      </c>
    </row>
    <row r="97" spans="2:18" x14ac:dyDescent="0.5">
      <c r="B97" s="1" t="s">
        <v>262</v>
      </c>
      <c r="C97" t="s">
        <v>312</v>
      </c>
      <c r="D97" t="s">
        <v>85</v>
      </c>
      <c r="E97">
        <v>6.53</v>
      </c>
      <c r="F97" s="9" t="s">
        <v>67</v>
      </c>
      <c r="G97" s="7">
        <v>6686792704</v>
      </c>
      <c r="H97" s="6">
        <v>10.76</v>
      </c>
      <c r="I97" s="6">
        <v>6.25</v>
      </c>
      <c r="J97" s="12">
        <f t="shared" ref="J97:J128" si="3">E97/I97-1</f>
        <v>4.4799999999999951E-2</v>
      </c>
      <c r="K97" s="11">
        <v>2.1745788667687591E-2</v>
      </c>
      <c r="L97" s="13">
        <v>350106000</v>
      </c>
      <c r="M97" s="13">
        <v>3348556000</v>
      </c>
      <c r="N97" s="9" t="s">
        <v>67</v>
      </c>
      <c r="O97" s="6">
        <v>1</v>
      </c>
      <c r="P97" s="12">
        <v>5.8526915285704889E-2</v>
      </c>
      <c r="Q97" s="12">
        <v>0.10455432132537129</v>
      </c>
      <c r="R97" s="14">
        <v>64</v>
      </c>
    </row>
    <row r="98" spans="2:18" x14ac:dyDescent="0.5">
      <c r="B98" s="1" t="s">
        <v>253</v>
      </c>
      <c r="C98" t="s">
        <v>302</v>
      </c>
      <c r="D98" t="s">
        <v>148</v>
      </c>
      <c r="E98">
        <v>8.7200000000000006</v>
      </c>
      <c r="F98" s="9" t="s">
        <v>67</v>
      </c>
      <c r="G98" s="7">
        <v>22145300480</v>
      </c>
      <c r="H98" s="6">
        <v>13.78</v>
      </c>
      <c r="I98" s="6">
        <v>8.0399999999999991</v>
      </c>
      <c r="J98" s="12">
        <f t="shared" si="3"/>
        <v>8.4577114427860867E-2</v>
      </c>
      <c r="K98" s="11">
        <v>3.4403669724770637E-2</v>
      </c>
      <c r="L98" s="13">
        <v>9652467000</v>
      </c>
      <c r="M98" s="13">
        <v>173514401000</v>
      </c>
      <c r="N98" s="9" t="s">
        <v>50</v>
      </c>
      <c r="O98" s="6">
        <v>1.0683760683760684</v>
      </c>
      <c r="P98" s="12">
        <v>0.10777427701785348</v>
      </c>
      <c r="Q98" s="12">
        <v>5.5629198178196171E-2</v>
      </c>
      <c r="R98" s="14">
        <v>64</v>
      </c>
    </row>
    <row r="99" spans="2:18" x14ac:dyDescent="0.5">
      <c r="B99" s="1" t="s">
        <v>439</v>
      </c>
      <c r="C99" t="s">
        <v>443</v>
      </c>
      <c r="D99" t="s">
        <v>444</v>
      </c>
      <c r="E99">
        <v>609</v>
      </c>
      <c r="F99" s="9" t="s">
        <v>67</v>
      </c>
      <c r="G99" s="7">
        <v>398044495872</v>
      </c>
      <c r="H99" s="6">
        <v>613</v>
      </c>
      <c r="I99" s="6">
        <v>402.6</v>
      </c>
      <c r="J99" s="12">
        <f t="shared" si="3"/>
        <v>0.51266766020864374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5.1414086564677157E-2</v>
      </c>
      <c r="Q99" s="12">
        <v>0.10288990044861271</v>
      </c>
      <c r="R99" s="14">
        <v>67</v>
      </c>
    </row>
    <row r="100" spans="2:18" x14ac:dyDescent="0.5">
      <c r="B100" s="1" t="s">
        <v>36</v>
      </c>
      <c r="C100" t="s">
        <v>100</v>
      </c>
      <c r="D100" t="s">
        <v>49</v>
      </c>
      <c r="E100">
        <v>24.98</v>
      </c>
      <c r="F100" s="9" t="s">
        <v>67</v>
      </c>
      <c r="G100" s="7">
        <v>106622500864</v>
      </c>
      <c r="H100" s="6">
        <v>119.9</v>
      </c>
      <c r="I100" s="6">
        <v>8.4700000000000006</v>
      </c>
      <c r="J100" s="12">
        <f t="shared" si="3"/>
        <v>1.9492325855962216</v>
      </c>
      <c r="K100" s="11">
        <v>1.753402722177742E-2</v>
      </c>
      <c r="L100" s="13">
        <v>3967214824.1399999</v>
      </c>
      <c r="M100" s="13">
        <v>41038539262.660004</v>
      </c>
      <c r="N100" s="9" t="s">
        <v>50</v>
      </c>
      <c r="O100" s="6">
        <v>1.0683760683760684</v>
      </c>
      <c r="P100" s="12">
        <v>5.2246713453694978E-2</v>
      </c>
      <c r="Q100" s="12">
        <v>9.6670468672106824E-2</v>
      </c>
      <c r="R100" s="14">
        <v>71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2.0099999999999998</v>
      </c>
      <c r="F101" s="9" t="s">
        <v>67</v>
      </c>
      <c r="G101" s="7">
        <v>7154343424</v>
      </c>
      <c r="H101" s="6">
        <v>2.64</v>
      </c>
      <c r="I101" s="6">
        <v>1.6</v>
      </c>
      <c r="J101" s="12">
        <f t="shared" si="3"/>
        <v>0.25624999999999987</v>
      </c>
      <c r="K101" s="11">
        <v>3.7313432835820899E-2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0.11604601225877152</v>
      </c>
      <c r="Q101" s="12">
        <v>3.1227495254580313E-2</v>
      </c>
      <c r="R101" s="14">
        <v>65</v>
      </c>
    </row>
    <row r="102" spans="2:18" x14ac:dyDescent="0.5">
      <c r="B102" s="1" t="s">
        <v>251</v>
      </c>
      <c r="C102" t="s">
        <v>299</v>
      </c>
      <c r="D102" t="s">
        <v>300</v>
      </c>
      <c r="E102">
        <v>5.53</v>
      </c>
      <c r="F102" s="9" t="s">
        <v>67</v>
      </c>
      <c r="G102" s="7">
        <v>114172583936</v>
      </c>
      <c r="H102" s="6">
        <v>6.07</v>
      </c>
      <c r="I102" s="6">
        <v>4.58</v>
      </c>
      <c r="J102" s="12">
        <f t="shared" si="3"/>
        <v>0.2074235807860263</v>
      </c>
      <c r="K102" s="11">
        <v>5.4249547920433995E-2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0.10031141644490382</v>
      </c>
      <c r="Q102" s="12">
        <v>5.643429507724386E-2</v>
      </c>
      <c r="R102" s="14">
        <v>66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12.56</v>
      </c>
      <c r="F103" s="9" t="s">
        <v>67</v>
      </c>
      <c r="G103" s="7">
        <v>8436703232</v>
      </c>
      <c r="H103" s="6">
        <v>15.74</v>
      </c>
      <c r="I103" s="6">
        <v>6.31</v>
      </c>
      <c r="J103" s="12">
        <f t="shared" si="3"/>
        <v>0.99049128367670392</v>
      </c>
      <c r="K103" s="11">
        <v>4.5382165605095538E-2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8.7040273552771497E-2</v>
      </c>
      <c r="Q103" s="12">
        <v>6.5089877530620205E-2</v>
      </c>
      <c r="R103" s="14">
        <v>68</v>
      </c>
    </row>
    <row r="104" spans="2:18" x14ac:dyDescent="0.5">
      <c r="B104" s="1" t="s">
        <v>252</v>
      </c>
      <c r="C104" t="s">
        <v>301</v>
      </c>
      <c r="D104" t="s">
        <v>168</v>
      </c>
      <c r="E104">
        <v>59.1</v>
      </c>
      <c r="F104" s="9" t="s">
        <v>67</v>
      </c>
      <c r="G104" s="7">
        <v>226355625984</v>
      </c>
      <c r="H104" s="6">
        <v>59.45</v>
      </c>
      <c r="I104" s="6">
        <v>37.450000000000003</v>
      </c>
      <c r="J104" s="12">
        <f t="shared" si="3"/>
        <v>0.57810413885180223</v>
      </c>
      <c r="K104" s="11">
        <v>3.7631133671742811E-2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9.7111656835325286E-2</v>
      </c>
      <c r="Q104" s="12">
        <v>5.2504192208844336E-2</v>
      </c>
      <c r="R104" s="14">
        <v>70</v>
      </c>
    </row>
    <row r="105" spans="2:18" x14ac:dyDescent="0.5">
      <c r="B105" s="1" t="s">
        <v>124</v>
      </c>
      <c r="C105" t="s">
        <v>166</v>
      </c>
      <c r="D105" t="s">
        <v>102</v>
      </c>
      <c r="E105">
        <v>12.76</v>
      </c>
      <c r="F105" s="9" t="s">
        <v>67</v>
      </c>
      <c r="G105" s="7">
        <v>40006746112</v>
      </c>
      <c r="H105" s="6">
        <v>14.3</v>
      </c>
      <c r="I105" s="6">
        <v>6.7</v>
      </c>
      <c r="J105" s="12">
        <f t="shared" si="3"/>
        <v>0.90447761194029841</v>
      </c>
      <c r="K105" s="11">
        <v>2.7429467084639496E-2</v>
      </c>
      <c r="L105" s="13">
        <v>1990539000</v>
      </c>
      <c r="M105" s="13">
        <v>18620709000</v>
      </c>
      <c r="N105" s="9" t="s">
        <v>67</v>
      </c>
      <c r="O105" s="6">
        <v>1</v>
      </c>
      <c r="P105" s="12">
        <v>4.655131648978688E-2</v>
      </c>
      <c r="Q105" s="12">
        <v>0.10689920561026972</v>
      </c>
      <c r="R105" s="14">
        <v>69</v>
      </c>
    </row>
    <row r="106" spans="2:18" x14ac:dyDescent="0.5">
      <c r="B106" s="1" t="s">
        <v>119</v>
      </c>
      <c r="C106" t="s">
        <v>159</v>
      </c>
      <c r="D106" t="s">
        <v>148</v>
      </c>
      <c r="E106">
        <v>42.88</v>
      </c>
      <c r="F106" s="9" t="s">
        <v>67</v>
      </c>
      <c r="G106" s="7">
        <v>150070493184</v>
      </c>
      <c r="H106" s="6">
        <v>42.98</v>
      </c>
      <c r="I106" s="6">
        <v>28.1</v>
      </c>
      <c r="J106" s="12">
        <f t="shared" si="3"/>
        <v>0.52597864768683267</v>
      </c>
      <c r="K106" s="11">
        <v>4.0578358208955223E-2</v>
      </c>
      <c r="L106" s="13">
        <v>16863000000</v>
      </c>
      <c r="M106" s="13">
        <v>448320000000</v>
      </c>
      <c r="N106" s="9" t="s">
        <v>67</v>
      </c>
      <c r="O106" s="6">
        <v>1</v>
      </c>
      <c r="P106" s="12">
        <v>9.8250054154185334E-2</v>
      </c>
      <c r="Q106" s="12">
        <v>3.7613758029978586E-2</v>
      </c>
      <c r="R106" s="14">
        <v>73</v>
      </c>
    </row>
    <row r="107" spans="2:18" x14ac:dyDescent="0.5">
      <c r="B107" s="1" t="s">
        <v>18</v>
      </c>
      <c r="C107" t="s">
        <v>66</v>
      </c>
      <c r="D107" t="s">
        <v>65</v>
      </c>
      <c r="E107">
        <v>86.4</v>
      </c>
      <c r="F107" s="9" t="s">
        <v>67</v>
      </c>
      <c r="G107" s="7">
        <v>226093760512</v>
      </c>
      <c r="H107" s="6">
        <v>88.8</v>
      </c>
      <c r="I107" s="6">
        <v>43.15</v>
      </c>
      <c r="J107" s="12">
        <f t="shared" si="3"/>
        <v>1.002317497103129</v>
      </c>
      <c r="K107" s="11">
        <v>1.5046296296296295E-2</v>
      </c>
      <c r="L107" s="13">
        <v>6350637223.7200003</v>
      </c>
      <c r="M107" s="13">
        <v>57896384836.860001</v>
      </c>
      <c r="N107" s="9" t="s">
        <v>50</v>
      </c>
      <c r="O107" s="6">
        <v>1.0683760683760684</v>
      </c>
      <c r="P107" s="12">
        <v>3.4900124114435813E-2</v>
      </c>
      <c r="Q107" s="12">
        <v>0.10968970241604512</v>
      </c>
      <c r="R107" s="14">
        <v>72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5.53</v>
      </c>
      <c r="F108" s="9" t="s">
        <v>67</v>
      </c>
      <c r="G108" s="7">
        <v>42845130752</v>
      </c>
      <c r="H108" s="6">
        <v>6.13</v>
      </c>
      <c r="I108" s="6">
        <v>4.3600000000000003</v>
      </c>
      <c r="J108" s="12">
        <f t="shared" si="3"/>
        <v>0.2683486238532109</v>
      </c>
      <c r="K108" s="11">
        <v>6.9258589511754065E-2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5.7927071746698498E-2</v>
      </c>
      <c r="Q108" s="12">
        <v>9.2144023431582137E-2</v>
      </c>
      <c r="R108" s="14">
        <v>72</v>
      </c>
    </row>
    <row r="109" spans="2:18" x14ac:dyDescent="0.5">
      <c r="B109" s="1" t="s">
        <v>752</v>
      </c>
      <c r="C109" t="s">
        <v>754</v>
      </c>
      <c r="D109" t="s">
        <v>85</v>
      </c>
      <c r="E109">
        <v>13.81</v>
      </c>
      <c r="F109" s="9" t="s">
        <v>67</v>
      </c>
      <c r="G109" s="7">
        <v>8915202048</v>
      </c>
      <c r="H109" s="6">
        <v>15.18</v>
      </c>
      <c r="I109" s="6">
        <v>8</v>
      </c>
      <c r="J109" s="12">
        <f t="shared" si="3"/>
        <v>0.72625000000000006</v>
      </c>
      <c r="K109" s="11">
        <v>1.6147719044170891E-2</v>
      </c>
      <c r="L109" s="13">
        <v>1066661000</v>
      </c>
      <c r="M109" s="13">
        <v>15098330000</v>
      </c>
      <c r="N109" s="9" t="s">
        <v>50</v>
      </c>
      <c r="O109" s="6">
        <v>1.0683760683760684</v>
      </c>
      <c r="P109" s="12">
        <v>6.6249968231119782E-2</v>
      </c>
      <c r="Q109" s="12">
        <v>7.0647614669966816E-2</v>
      </c>
      <c r="R109" s="14">
        <v>73</v>
      </c>
    </row>
    <row r="110" spans="2:18" x14ac:dyDescent="0.5">
      <c r="B110" s="1" t="s">
        <v>125</v>
      </c>
      <c r="C110" t="s">
        <v>167</v>
      </c>
      <c r="D110" t="s">
        <v>168</v>
      </c>
      <c r="E110">
        <v>28.54</v>
      </c>
      <c r="F110" s="9" t="s">
        <v>67</v>
      </c>
      <c r="G110" s="7">
        <v>31631216640</v>
      </c>
      <c r="H110" s="6">
        <v>32.4</v>
      </c>
      <c r="I110" s="6">
        <v>17.8</v>
      </c>
      <c r="J110" s="12">
        <f t="shared" si="3"/>
        <v>0.60337078651685383</v>
      </c>
      <c r="K110" s="11">
        <v>4.309740714786265E-2</v>
      </c>
      <c r="L110" s="13">
        <v>3838344000</v>
      </c>
      <c r="M110" s="13">
        <v>81520873000</v>
      </c>
      <c r="N110" s="9" t="s">
        <v>67</v>
      </c>
      <c r="O110" s="6">
        <v>1</v>
      </c>
      <c r="P110" s="12">
        <v>7.762200806808095E-2</v>
      </c>
      <c r="Q110" s="12">
        <v>4.7084186647510511E-2</v>
      </c>
      <c r="R110" s="14">
        <v>74</v>
      </c>
    </row>
    <row r="111" spans="2:18" x14ac:dyDescent="0.5">
      <c r="B111" s="1" t="s">
        <v>440</v>
      </c>
      <c r="C111" t="s">
        <v>445</v>
      </c>
      <c r="D111" t="s">
        <v>446</v>
      </c>
      <c r="E111">
        <v>2.2400000000000002</v>
      </c>
      <c r="F111" s="9" t="s">
        <v>67</v>
      </c>
      <c r="G111" s="7">
        <v>24619104256</v>
      </c>
      <c r="H111" s="6">
        <v>2.64</v>
      </c>
      <c r="I111" s="6">
        <v>1.57</v>
      </c>
      <c r="J111" s="12">
        <f t="shared" si="3"/>
        <v>0.42675159235668803</v>
      </c>
      <c r="K111" s="11">
        <v>3.125E-2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6.4706068334455552E-2</v>
      </c>
      <c r="Q111" s="12">
        <v>5.4029173112094174E-2</v>
      </c>
      <c r="R111" s="14">
        <v>76</v>
      </c>
    </row>
    <row r="112" spans="2:18" x14ac:dyDescent="0.5">
      <c r="B112" s="1" t="s">
        <v>33</v>
      </c>
      <c r="C112" t="s">
        <v>95</v>
      </c>
      <c r="D112" t="s">
        <v>96</v>
      </c>
      <c r="E112">
        <v>11.55</v>
      </c>
      <c r="F112" s="9" t="s">
        <v>67</v>
      </c>
      <c r="G112" s="7">
        <v>201907863552</v>
      </c>
      <c r="H112" s="6">
        <v>12.85</v>
      </c>
      <c r="I112" s="6">
        <v>9.89</v>
      </c>
      <c r="J112" s="12">
        <f t="shared" si="3"/>
        <v>0.16784630940343792</v>
      </c>
      <c r="K112" s="11">
        <v>3.8095238095238092E-2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6.0078995320941117E-2</v>
      </c>
      <c r="Q112" s="12">
        <v>6.2161059386475759E-2</v>
      </c>
      <c r="R112" s="14">
        <v>75</v>
      </c>
    </row>
    <row r="113" spans="2:18" x14ac:dyDescent="0.5">
      <c r="B113" s="1" t="s">
        <v>26</v>
      </c>
      <c r="C113" t="s">
        <v>84</v>
      </c>
      <c r="D113" t="s">
        <v>85</v>
      </c>
      <c r="E113">
        <v>6.93</v>
      </c>
      <c r="F113" s="9" t="s">
        <v>67</v>
      </c>
      <c r="G113" s="7">
        <v>7232733696</v>
      </c>
      <c r="H113" s="6">
        <v>9.6</v>
      </c>
      <c r="I113" s="6">
        <v>5.14</v>
      </c>
      <c r="J113" s="12">
        <f t="shared" si="3"/>
        <v>0.34824902723735418</v>
      </c>
      <c r="K113" s="11">
        <v>1.3852813852813855E-2</v>
      </c>
      <c r="L113" s="13">
        <v>303335000</v>
      </c>
      <c r="M113" s="13">
        <v>3620162000</v>
      </c>
      <c r="N113" s="9" t="s">
        <v>67</v>
      </c>
      <c r="O113" s="6">
        <v>1</v>
      </c>
      <c r="P113" s="12">
        <v>4.9412939258346333E-2</v>
      </c>
      <c r="Q113" s="12">
        <v>8.3790449156695201E-2</v>
      </c>
      <c r="R113" s="14">
        <v>77</v>
      </c>
    </row>
    <row r="114" spans="2:18" x14ac:dyDescent="0.5">
      <c r="B114" s="1" t="s">
        <v>30</v>
      </c>
      <c r="C114" t="s">
        <v>90</v>
      </c>
      <c r="D114" t="s">
        <v>91</v>
      </c>
      <c r="E114">
        <v>3.24</v>
      </c>
      <c r="F114" s="9" t="s">
        <v>67</v>
      </c>
      <c r="G114" s="7">
        <v>17698605056</v>
      </c>
      <c r="H114" s="6">
        <v>3.68</v>
      </c>
      <c r="I114" s="6">
        <v>1.24</v>
      </c>
      <c r="J114" s="12">
        <f t="shared" si="3"/>
        <v>1.612903225806452</v>
      </c>
      <c r="K114" s="11">
        <v>1.0493827160493827E-2</v>
      </c>
      <c r="L114" s="13">
        <v>1384865000</v>
      </c>
      <c r="M114" s="13">
        <v>23827484000</v>
      </c>
      <c r="N114" s="9" t="s">
        <v>50</v>
      </c>
      <c r="O114" s="6">
        <v>1.0683760683760684</v>
      </c>
      <c r="P114" s="12">
        <v>5.1352033708379236E-2</v>
      </c>
      <c r="Q114" s="12">
        <v>5.8120488088461209E-2</v>
      </c>
      <c r="R114" s="14">
        <v>79</v>
      </c>
    </row>
    <row r="115" spans="2:18" x14ac:dyDescent="0.5">
      <c r="B115" s="1" t="s">
        <v>137</v>
      </c>
      <c r="C115" t="s">
        <v>184</v>
      </c>
      <c r="D115" t="s">
        <v>185</v>
      </c>
      <c r="E115">
        <v>3.35</v>
      </c>
      <c r="F115" s="9" t="s">
        <v>67</v>
      </c>
      <c r="G115" s="7">
        <v>14388249600</v>
      </c>
      <c r="H115" s="6">
        <v>3.37</v>
      </c>
      <c r="I115" s="6">
        <v>1.93</v>
      </c>
      <c r="J115" s="12">
        <f t="shared" si="3"/>
        <v>0.73575129533678774</v>
      </c>
      <c r="K115" s="11">
        <v>3.3134328358208953E-2</v>
      </c>
      <c r="L115" s="13">
        <v>1938532000</v>
      </c>
      <c r="M115" s="13">
        <v>49986396000</v>
      </c>
      <c r="N115" s="9" t="s">
        <v>67</v>
      </c>
      <c r="O115" s="6">
        <v>1</v>
      </c>
      <c r="P115" s="12">
        <v>5.5518639841495569E-2</v>
      </c>
      <c r="Q115" s="12">
        <v>3.8781191586606881E-2</v>
      </c>
      <c r="R115" s="14">
        <v>81</v>
      </c>
    </row>
    <row r="116" spans="2:18" x14ac:dyDescent="0.5">
      <c r="B116" s="1" t="s">
        <v>375</v>
      </c>
      <c r="C116" t="s">
        <v>376</v>
      </c>
      <c r="D116" t="s">
        <v>83</v>
      </c>
      <c r="E116">
        <v>1.36</v>
      </c>
      <c r="F116" s="9" t="s">
        <v>67</v>
      </c>
      <c r="G116" s="7">
        <v>7529822208</v>
      </c>
      <c r="H116" s="6">
        <v>2.99</v>
      </c>
      <c r="I116" s="6">
        <v>0.91</v>
      </c>
      <c r="J116" s="12">
        <f t="shared" si="3"/>
        <v>0.49450549450549453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5.6151624457512983E-2</v>
      </c>
      <c r="Q116" s="12">
        <v>2.3421020321148112E-2</v>
      </c>
      <c r="R116" s="14">
        <v>82</v>
      </c>
    </row>
    <row r="117" spans="2:18" x14ac:dyDescent="0.5">
      <c r="B117" s="1" t="s">
        <v>379</v>
      </c>
      <c r="C117" t="s">
        <v>382</v>
      </c>
      <c r="D117" t="s">
        <v>148</v>
      </c>
      <c r="E117">
        <v>11.3</v>
      </c>
      <c r="F117" s="9" t="s">
        <v>67</v>
      </c>
      <c r="G117" s="7">
        <v>107174797312</v>
      </c>
      <c r="H117" s="6">
        <v>11.4</v>
      </c>
      <c r="I117" s="6">
        <v>7.31</v>
      </c>
      <c r="J117" s="12">
        <f t="shared" si="3"/>
        <v>0.54582763337893314</v>
      </c>
      <c r="K117" s="11">
        <v>5.1327433628318576E-2</v>
      </c>
      <c r="L117" s="13">
        <v>4532000000</v>
      </c>
      <c r="M117" s="13">
        <v>172303000000</v>
      </c>
      <c r="N117" s="9" t="s">
        <v>67</v>
      </c>
      <c r="O117" s="6">
        <v>1</v>
      </c>
      <c r="P117" s="12">
        <v>4.2035826107774781E-2</v>
      </c>
      <c r="Q117" s="12">
        <v>2.6302501987777345E-2</v>
      </c>
      <c r="R117" s="14">
        <v>83</v>
      </c>
    </row>
    <row r="118" spans="2:18" x14ac:dyDescent="0.5">
      <c r="B118" s="1" t="s">
        <v>191</v>
      </c>
      <c r="C118" t="s">
        <v>192</v>
      </c>
      <c r="D118" t="s">
        <v>193</v>
      </c>
      <c r="E118">
        <v>75.3</v>
      </c>
      <c r="F118" s="9" t="s">
        <v>67</v>
      </c>
      <c r="G118" s="7">
        <v>741665865728</v>
      </c>
      <c r="H118" s="6">
        <v>93.5</v>
      </c>
      <c r="I118" s="6">
        <v>33.549999999999997</v>
      </c>
      <c r="J118" s="12">
        <f t="shared" si="3"/>
        <v>1.2444113263785397</v>
      </c>
      <c r="K118" s="11">
        <v>0</v>
      </c>
      <c r="L118" s="13">
        <v>1156669000</v>
      </c>
      <c r="M118" s="13">
        <v>32183526000</v>
      </c>
      <c r="N118" s="9" t="s">
        <v>71</v>
      </c>
      <c r="O118" s="6">
        <v>7.6923076923076916</v>
      </c>
      <c r="P118" s="12">
        <v>1.1379119938691354E-2</v>
      </c>
      <c r="Q118" s="12">
        <v>3.5939784845203104E-2</v>
      </c>
      <c r="R118" s="14">
        <v>84</v>
      </c>
    </row>
    <row r="119" spans="2:18" x14ac:dyDescent="0.5">
      <c r="B119" s="1" t="s">
        <v>111</v>
      </c>
      <c r="C119" t="s">
        <v>149</v>
      </c>
      <c r="D119" t="s">
        <v>150</v>
      </c>
      <c r="E119">
        <v>19.23</v>
      </c>
      <c r="F119" s="9" t="s">
        <v>67</v>
      </c>
      <c r="G119" s="7">
        <v>19749367808</v>
      </c>
      <c r="H119" s="6">
        <v>19.5</v>
      </c>
      <c r="I119" s="6">
        <v>10.94</v>
      </c>
      <c r="J119" s="12">
        <f t="shared" si="3"/>
        <v>0.75776965265082286</v>
      </c>
      <c r="K119" s="11">
        <v>5.6162246489859596E-2</v>
      </c>
      <c r="L119" s="13">
        <v>984000000</v>
      </c>
      <c r="M119" s="13">
        <v>101944000000</v>
      </c>
      <c r="N119" s="9" t="s">
        <v>67</v>
      </c>
      <c r="O119" s="6">
        <v>1</v>
      </c>
      <c r="P119" s="12">
        <v>2.2013734158984909E-2</v>
      </c>
      <c r="Q119" s="12">
        <v>9.6523581574197593E-3</v>
      </c>
      <c r="R119" s="14">
        <v>85</v>
      </c>
    </row>
    <row r="120" spans="2:18" x14ac:dyDescent="0.5">
      <c r="B120" s="1" t="s">
        <v>128</v>
      </c>
      <c r="C120" t="s">
        <v>172</v>
      </c>
      <c r="D120" t="s">
        <v>171</v>
      </c>
      <c r="E120">
        <v>39.6</v>
      </c>
      <c r="F120" s="9" t="s">
        <v>67</v>
      </c>
      <c r="G120" s="7">
        <v>40450322432</v>
      </c>
      <c r="H120" s="6">
        <v>46.88</v>
      </c>
      <c r="I120" s="6">
        <v>22.4</v>
      </c>
      <c r="J120" s="12">
        <f t="shared" si="3"/>
        <v>0.76785714285714302</v>
      </c>
      <c r="K120" s="11">
        <v>0</v>
      </c>
      <c r="L120" s="13">
        <v>-90314000</v>
      </c>
      <c r="M120" s="13">
        <v>18374441000</v>
      </c>
      <c r="N120" s="9" t="s">
        <v>50</v>
      </c>
      <c r="O120" s="6">
        <v>1.0683760683760684</v>
      </c>
      <c r="P120" s="12">
        <v>-2.5979527488412752E-3</v>
      </c>
      <c r="Q120" s="12">
        <v>-4.9151971480384084E-3</v>
      </c>
      <c r="R120" s="14">
        <v>86</v>
      </c>
    </row>
    <row r="121" spans="2:18" x14ac:dyDescent="0.5">
      <c r="B121" s="1" t="s">
        <v>381</v>
      </c>
      <c r="C121" t="s">
        <v>384</v>
      </c>
      <c r="D121" t="s">
        <v>385</v>
      </c>
      <c r="E121">
        <v>34.94</v>
      </c>
      <c r="F121" s="9" t="s">
        <v>67</v>
      </c>
      <c r="G121" s="7">
        <v>90806927360</v>
      </c>
      <c r="H121" s="6">
        <v>45.05</v>
      </c>
      <c r="I121" s="6">
        <v>31.1</v>
      </c>
      <c r="J121" s="12">
        <f t="shared" si="3"/>
        <v>0.12347266881028918</v>
      </c>
      <c r="K121" s="11">
        <v>7.5643961076130514E-2</v>
      </c>
      <c r="L121" s="13">
        <v>-6742000000</v>
      </c>
      <c r="M121" s="13">
        <v>216378000000</v>
      </c>
      <c r="N121" s="9" t="s">
        <v>67</v>
      </c>
      <c r="O121" s="6">
        <v>1</v>
      </c>
      <c r="P121" s="12">
        <v>-4.7947568364800769E-2</v>
      </c>
      <c r="Q121" s="12">
        <v>-3.1158435700487111E-2</v>
      </c>
      <c r="R121" s="14">
        <v>87</v>
      </c>
    </row>
    <row r="122" spans="2:18" x14ac:dyDescent="0.5">
      <c r="B122" s="1" t="s">
        <v>438</v>
      </c>
      <c r="C122" t="s">
        <v>442</v>
      </c>
      <c r="D122" t="s">
        <v>164</v>
      </c>
      <c r="E122">
        <v>2.72</v>
      </c>
      <c r="F122" s="9" t="s">
        <v>67</v>
      </c>
      <c r="G122" s="7">
        <v>15948005376</v>
      </c>
      <c r="H122" s="6">
        <v>4.34</v>
      </c>
      <c r="I122" s="6">
        <v>2.57</v>
      </c>
      <c r="J122" s="12">
        <f t="shared" si="3"/>
        <v>5.836575875486405E-2</v>
      </c>
      <c r="K122" s="11">
        <v>5.1470588235294122E-2</v>
      </c>
      <c r="L122" s="13">
        <v>-780356000</v>
      </c>
      <c r="M122" s="13">
        <v>8664599000</v>
      </c>
      <c r="N122" s="9" t="s">
        <v>67</v>
      </c>
      <c r="O122" s="6">
        <v>1</v>
      </c>
      <c r="P122" s="12">
        <v>-7.2046448106415348E-2</v>
      </c>
      <c r="Q122" s="12">
        <v>-9.0062563772426163E-2</v>
      </c>
      <c r="R122" s="14">
        <v>88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6.58</v>
      </c>
      <c r="F123" s="9" t="s">
        <v>67</v>
      </c>
      <c r="G123" s="7">
        <v>651391401984</v>
      </c>
      <c r="H123" s="6">
        <v>7.62</v>
      </c>
      <c r="I123" s="6">
        <v>5.91</v>
      </c>
      <c r="J123" s="12">
        <f t="shared" si="3"/>
        <v>0.11336717428087995</v>
      </c>
      <c r="K123" s="11">
        <v>8.1306990881458971E-2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5.15</v>
      </c>
      <c r="F124" s="9" t="s">
        <v>67</v>
      </c>
      <c r="G124" s="7">
        <v>696581226496</v>
      </c>
      <c r="H124" s="6">
        <v>5.95</v>
      </c>
      <c r="I124" s="6">
        <v>4.3600000000000003</v>
      </c>
      <c r="J124" s="12">
        <f t="shared" si="3"/>
        <v>0.1811926605504588</v>
      </c>
      <c r="K124" s="11">
        <v>4.6019417475728151E-2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6.28</v>
      </c>
      <c r="F125" s="9" t="s">
        <v>67</v>
      </c>
      <c r="G125" s="7">
        <v>2806081126400</v>
      </c>
      <c r="H125" s="6">
        <v>6.66</v>
      </c>
      <c r="I125" s="6">
        <v>4.8099999999999996</v>
      </c>
      <c r="J125" s="12">
        <f t="shared" si="3"/>
        <v>0.30561330561330569</v>
      </c>
      <c r="K125" s="11">
        <v>4.8726114649681525E-2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7.81</v>
      </c>
      <c r="F126" s="9" t="s">
        <v>67</v>
      </c>
      <c r="G126" s="7">
        <v>2090772856832</v>
      </c>
      <c r="H126" s="6">
        <v>8.56</v>
      </c>
      <c r="I126" s="6">
        <v>5.87</v>
      </c>
      <c r="J126" s="12">
        <f t="shared" si="3"/>
        <v>0.33049403747870509</v>
      </c>
      <c r="K126" s="11">
        <v>5.0192061459667099E-2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6.96</v>
      </c>
      <c r="F127" s="9" t="s">
        <v>67</v>
      </c>
      <c r="G127" s="7">
        <v>456393555968</v>
      </c>
      <c r="H127" s="6">
        <v>8.1199999999999992</v>
      </c>
      <c r="I127" s="6">
        <v>5.1100000000000003</v>
      </c>
      <c r="J127" s="12">
        <f t="shared" si="3"/>
        <v>0.3620352250489236</v>
      </c>
      <c r="K127" s="11">
        <v>5.1436781609195403E-2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39.94</v>
      </c>
      <c r="F128" s="9" t="s">
        <v>67</v>
      </c>
      <c r="G128" s="7">
        <v>422276825088</v>
      </c>
      <c r="H128" s="6">
        <v>40.24</v>
      </c>
      <c r="I128" s="6">
        <v>24.2</v>
      </c>
      <c r="J128" s="12">
        <f t="shared" si="3"/>
        <v>0.65041322314049577</v>
      </c>
      <c r="K128" s="11">
        <v>5.0050075112669012E-2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758</v>
      </c>
      <c r="C129" t="s">
        <v>761</v>
      </c>
      <c r="D129" t="s">
        <v>240</v>
      </c>
      <c r="E129">
        <v>11.38</v>
      </c>
      <c r="F129" s="9" t="s">
        <v>67</v>
      </c>
      <c r="G129" s="7">
        <v>12117478400</v>
      </c>
      <c r="H129" s="6">
        <v>15.24</v>
      </c>
      <c r="I129" s="6">
        <v>6.81</v>
      </c>
      <c r="J129" s="12">
        <f t="shared" ref="J129" si="4">E129/I129-1</f>
        <v>0.67107195301027911</v>
      </c>
      <c r="K129" s="11">
        <v>3.0492091388400699E-2</v>
      </c>
      <c r="L129" s="13">
        <v>697194000</v>
      </c>
      <c r="M129" s="13">
        <v>9479979000</v>
      </c>
      <c r="N129" s="9" t="s">
        <v>50</v>
      </c>
      <c r="O129" s="6">
        <v>1.0683760683760684</v>
      </c>
      <c r="P129" s="12">
        <v>4.2913566234660562E-2</v>
      </c>
      <c r="Q129" s="12">
        <v>7.3543833799631836E-2</v>
      </c>
      <c r="R129" s="14">
        <v>80</v>
      </c>
    </row>
    <row r="130" spans="2:18" x14ac:dyDescent="0.5">
      <c r="B130" s="1" t="s">
        <v>764</v>
      </c>
    </row>
  </sheetData>
  <autoFilter ref="B1:R18" xr:uid="{7A9EDF16-08C4-B24B-A5E4-CFD78B458569}">
    <sortState xmlns:xlrd2="http://schemas.microsoft.com/office/spreadsheetml/2017/richdata2" ref="B2:R129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61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18.95</v>
      </c>
      <c r="F2" s="9" t="s">
        <v>71</v>
      </c>
      <c r="G2" s="7">
        <v>667909440</v>
      </c>
      <c r="H2" s="6">
        <v>25.04</v>
      </c>
      <c r="I2" s="6">
        <v>17.75</v>
      </c>
      <c r="J2" s="12">
        <f t="shared" ref="J2:J33" si="0">E2/I2-1</f>
        <v>6.7605633802816811E-2</v>
      </c>
      <c r="K2" s="11">
        <v>9.9525065963060683E-2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0.39206159271322577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57.31</v>
      </c>
      <c r="F3" s="9" t="s">
        <v>71</v>
      </c>
      <c r="G3" s="7">
        <v>96274554880</v>
      </c>
      <c r="H3" s="6">
        <v>68.599999999999994</v>
      </c>
      <c r="I3" s="6">
        <v>50.08</v>
      </c>
      <c r="J3" s="12">
        <f t="shared" si="0"/>
        <v>0.14436900958466459</v>
      </c>
      <c r="K3" s="11">
        <v>7.1191764090036636E-2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0.12519314773763843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24.55</v>
      </c>
      <c r="F4" s="9" t="s">
        <v>71</v>
      </c>
      <c r="G4" s="7">
        <v>61396197376</v>
      </c>
      <c r="H4" s="6">
        <v>28.27</v>
      </c>
      <c r="I4" s="6">
        <v>21.41</v>
      </c>
      <c r="J4" s="12">
        <f t="shared" si="0"/>
        <v>0.14666043904717418</v>
      </c>
      <c r="K4" s="11">
        <v>6.0285132382892057E-2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0.37438573287425325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210.81</v>
      </c>
      <c r="F5" s="9" t="s">
        <v>71</v>
      </c>
      <c r="G5" s="7">
        <v>24999780352</v>
      </c>
      <c r="H5" s="6">
        <v>423.32</v>
      </c>
      <c r="I5" s="6">
        <v>159.25</v>
      </c>
      <c r="J5" s="12">
        <f t="shared" si="0"/>
        <v>0.32376766091051801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0.10189390504923179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7278.87</v>
      </c>
      <c r="F6" s="9" t="s">
        <v>71</v>
      </c>
      <c r="G6" s="7">
        <v>20112275456</v>
      </c>
      <c r="H6" s="6">
        <v>8618.2800000000007</v>
      </c>
      <c r="I6" s="6">
        <v>6562.85</v>
      </c>
      <c r="J6" s="12">
        <f t="shared" si="0"/>
        <v>0.10910199075096938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0.11571719179511913</v>
      </c>
      <c r="Q6" s="12">
        <v>0.41851386103620447</v>
      </c>
      <c r="R6" s="14">
        <v>6</v>
      </c>
    </row>
    <row r="7" spans="1:22" x14ac:dyDescent="0.5">
      <c r="B7" s="1" t="s">
        <v>38</v>
      </c>
      <c r="C7" t="s">
        <v>103</v>
      </c>
      <c r="D7" t="s">
        <v>104</v>
      </c>
      <c r="E7">
        <v>67.23</v>
      </c>
      <c r="F7" s="9" t="s">
        <v>71</v>
      </c>
      <c r="G7" s="7">
        <v>114286804992</v>
      </c>
      <c r="H7" s="6">
        <v>73.349999999999994</v>
      </c>
      <c r="I7" s="6">
        <v>32.82</v>
      </c>
      <c r="J7" s="12">
        <f t="shared" si="0"/>
        <v>1.0484460694698354</v>
      </c>
      <c r="K7" s="11">
        <v>4.2391789379741182E-3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7.125830317652064E-2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64.430000000000007</v>
      </c>
      <c r="F8" s="9" t="s">
        <v>71</v>
      </c>
      <c r="G8" s="7">
        <v>2174553856</v>
      </c>
      <c r="H8" s="6">
        <v>89.465000000000003</v>
      </c>
      <c r="I8" s="6">
        <v>49.92</v>
      </c>
      <c r="J8" s="12">
        <f t="shared" si="0"/>
        <v>0.2906650641025641</v>
      </c>
      <c r="K8" s="11">
        <v>2.0176936209840134E-2</v>
      </c>
      <c r="L8" s="13">
        <v>14679000</v>
      </c>
      <c r="M8" s="13">
        <v>2158873000</v>
      </c>
      <c r="N8" s="9" t="s">
        <v>71</v>
      </c>
      <c r="O8" s="6">
        <v>1</v>
      </c>
      <c r="P8" s="12">
        <v>5.6464753529162108E-3</v>
      </c>
      <c r="Q8" s="12">
        <v>6.7993809733133907E-3</v>
      </c>
      <c r="R8" s="14">
        <v>88</v>
      </c>
    </row>
    <row r="9" spans="1:22" x14ac:dyDescent="0.5">
      <c r="B9" s="1" t="s">
        <v>646</v>
      </c>
      <c r="C9" t="s">
        <v>744</v>
      </c>
      <c r="D9" t="s">
        <v>296</v>
      </c>
      <c r="E9">
        <v>212.12</v>
      </c>
      <c r="F9" s="9" t="s">
        <v>71</v>
      </c>
      <c r="G9" s="7">
        <v>124344737792</v>
      </c>
      <c r="H9" s="6">
        <v>292.99</v>
      </c>
      <c r="I9" s="6">
        <v>199.9</v>
      </c>
      <c r="J9" s="12">
        <f t="shared" si="0"/>
        <v>6.1130565282641269E-2</v>
      </c>
      <c r="K9" s="11">
        <v>2.3100132000754291E-2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8.3847759148352199E-2</v>
      </c>
      <c r="Q9" s="12">
        <v>0.33838197266346509</v>
      </c>
      <c r="R9" s="14">
        <v>11</v>
      </c>
    </row>
    <row r="10" spans="1:22" x14ac:dyDescent="0.5">
      <c r="B10" s="1" t="s">
        <v>607</v>
      </c>
      <c r="C10" t="s">
        <v>697</v>
      </c>
      <c r="D10" t="s">
        <v>164</v>
      </c>
      <c r="E10">
        <v>100.85</v>
      </c>
      <c r="F10" s="9" t="s">
        <v>71</v>
      </c>
      <c r="G10" s="7">
        <v>12301720576</v>
      </c>
      <c r="H10" s="6">
        <v>164.22</v>
      </c>
      <c r="I10" s="6">
        <v>96.66</v>
      </c>
      <c r="J10" s="12">
        <f t="shared" si="0"/>
        <v>4.3347817090833907E-2</v>
      </c>
      <c r="K10" s="11">
        <v>4.8785324739712449E-2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7.7657122828097849E-2</v>
      </c>
      <c r="Q10" s="12">
        <v>0.41509433962264153</v>
      </c>
      <c r="R10" s="14">
        <v>8</v>
      </c>
    </row>
    <row r="11" spans="1:22" x14ac:dyDescent="0.5">
      <c r="B11" s="1" t="s">
        <v>615</v>
      </c>
      <c r="C11" t="s">
        <v>705</v>
      </c>
      <c r="D11" t="s">
        <v>311</v>
      </c>
      <c r="E11">
        <v>151.86000000000001</v>
      </c>
      <c r="F11" s="9" t="s">
        <v>71</v>
      </c>
      <c r="G11" s="7">
        <v>20610215936</v>
      </c>
      <c r="H11" s="6">
        <v>155.04</v>
      </c>
      <c r="I11" s="6">
        <v>100.47</v>
      </c>
      <c r="J11" s="12">
        <f t="shared" si="0"/>
        <v>0.51149596894595417</v>
      </c>
      <c r="K11" s="11">
        <v>9.8775187672856569E-3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5.1986005940297363E-2</v>
      </c>
      <c r="Q11" s="12">
        <v>0.46842887037946712</v>
      </c>
      <c r="R11" s="14">
        <v>19</v>
      </c>
    </row>
    <row r="12" spans="1:22" x14ac:dyDescent="0.5">
      <c r="B12" s="1" t="s">
        <v>39</v>
      </c>
      <c r="C12" t="s">
        <v>105</v>
      </c>
      <c r="D12" t="s">
        <v>106</v>
      </c>
      <c r="E12">
        <v>86.11</v>
      </c>
      <c r="F12" s="9" t="s">
        <v>71</v>
      </c>
      <c r="G12" s="7">
        <v>3526106368</v>
      </c>
      <c r="H12" s="6">
        <v>110.2</v>
      </c>
      <c r="I12" s="6">
        <v>45.55</v>
      </c>
      <c r="J12" s="12">
        <f t="shared" si="0"/>
        <v>0.89045005488474205</v>
      </c>
      <c r="K12" s="11">
        <v>1.4516316339565672E-2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0.12262292031624657</v>
      </c>
      <c r="Q12" s="12">
        <v>0.27162760557295607</v>
      </c>
      <c r="R12" s="14">
        <v>9</v>
      </c>
    </row>
    <row r="13" spans="1:22" x14ac:dyDescent="0.5">
      <c r="B13" s="1" t="s">
        <v>396</v>
      </c>
      <c r="C13" t="s">
        <v>409</v>
      </c>
      <c r="D13" t="s">
        <v>164</v>
      </c>
      <c r="E13">
        <v>77.69</v>
      </c>
      <c r="F13" s="9" t="s">
        <v>71</v>
      </c>
      <c r="G13" s="7">
        <v>62790676480</v>
      </c>
      <c r="H13" s="6">
        <v>100.18</v>
      </c>
      <c r="I13" s="6">
        <v>74.55</v>
      </c>
      <c r="J13" s="12">
        <f t="shared" si="0"/>
        <v>4.21193829644535E-2</v>
      </c>
      <c r="K13" s="11">
        <v>2.6258205689277902E-2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6.0507065894368911E-2</v>
      </c>
      <c r="Q13" s="12">
        <v>0.52052444553363564</v>
      </c>
      <c r="R13" s="14">
        <v>10</v>
      </c>
    </row>
    <row r="14" spans="1:22" x14ac:dyDescent="0.5">
      <c r="B14" s="1" t="s">
        <v>629</v>
      </c>
      <c r="C14" t="s">
        <v>721</v>
      </c>
      <c r="D14" t="s">
        <v>709</v>
      </c>
      <c r="E14">
        <v>246.89</v>
      </c>
      <c r="F14" s="9" t="s">
        <v>71</v>
      </c>
      <c r="G14" s="7">
        <v>138493313024</v>
      </c>
      <c r="H14" s="6">
        <v>274.98</v>
      </c>
      <c r="I14" s="6">
        <v>206.39</v>
      </c>
      <c r="J14" s="12">
        <f t="shared" si="0"/>
        <v>0.19623043752119784</v>
      </c>
      <c r="K14" s="11">
        <v>1.9036818016120543E-2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6.0228905089888402E-2</v>
      </c>
      <c r="Q14" s="12">
        <v>0.49985886337975161</v>
      </c>
      <c r="R14" s="14">
        <v>12</v>
      </c>
    </row>
    <row r="15" spans="1:22" x14ac:dyDescent="0.5">
      <c r="B15" s="1" t="s">
        <v>625</v>
      </c>
      <c r="C15" t="s">
        <v>717</v>
      </c>
      <c r="D15" t="s">
        <v>164</v>
      </c>
      <c r="E15">
        <v>101.4</v>
      </c>
      <c r="F15" s="9" t="s">
        <v>71</v>
      </c>
      <c r="G15" s="7">
        <v>33653962752</v>
      </c>
      <c r="H15" s="6">
        <v>150.44999999999999</v>
      </c>
      <c r="I15" s="6">
        <v>99.22</v>
      </c>
      <c r="J15" s="12">
        <f t="shared" si="0"/>
        <v>2.1971376738560755E-2</v>
      </c>
      <c r="K15" s="11">
        <v>4.9309664694280074E-2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7.9513591208551879E-2</v>
      </c>
      <c r="Q15" s="12">
        <v>0.38597126644935409</v>
      </c>
      <c r="R15" s="14">
        <v>7</v>
      </c>
    </row>
    <row r="16" spans="1:22" x14ac:dyDescent="0.5">
      <c r="B16" s="1" t="s">
        <v>209</v>
      </c>
      <c r="C16" t="s">
        <v>239</v>
      </c>
      <c r="D16" t="s">
        <v>240</v>
      </c>
      <c r="E16">
        <v>9.23</v>
      </c>
      <c r="F16" s="9" t="s">
        <v>71</v>
      </c>
      <c r="G16" s="7">
        <v>2980987904</v>
      </c>
      <c r="H16" s="6">
        <v>11.95</v>
      </c>
      <c r="I16" s="6">
        <v>7.85</v>
      </c>
      <c r="J16" s="12">
        <f t="shared" si="0"/>
        <v>0.17579617834394923</v>
      </c>
      <c r="K16" s="11">
        <v>0.10184182015167929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0.18425967679918415</v>
      </c>
      <c r="Q16" s="12">
        <v>0.18886359567230221</v>
      </c>
      <c r="R16" s="14">
        <v>14</v>
      </c>
    </row>
    <row r="17" spans="1:18" x14ac:dyDescent="0.5">
      <c r="B17" s="1" t="s">
        <v>589</v>
      </c>
      <c r="C17" t="s">
        <v>673</v>
      </c>
      <c r="D17" t="s">
        <v>49</v>
      </c>
      <c r="E17">
        <v>249.5</v>
      </c>
      <c r="F17" s="9" t="s">
        <v>71</v>
      </c>
      <c r="G17" s="7">
        <v>72729247744</v>
      </c>
      <c r="H17" s="6">
        <v>278.13</v>
      </c>
      <c r="I17" s="6">
        <v>214.66</v>
      </c>
      <c r="J17" s="12">
        <f t="shared" si="0"/>
        <v>0.1623031771173018</v>
      </c>
      <c r="K17" s="11">
        <v>2.4488977955911824E-2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5.8916157275642471E-2</v>
      </c>
      <c r="Q17" s="12">
        <v>0.42087843277574022</v>
      </c>
      <c r="R17" s="14">
        <v>15</v>
      </c>
    </row>
    <row r="18" spans="1:18" x14ac:dyDescent="0.5">
      <c r="B18" s="1" t="s">
        <v>602</v>
      </c>
      <c r="C18" t="s">
        <v>690</v>
      </c>
      <c r="D18" t="s">
        <v>444</v>
      </c>
      <c r="E18">
        <v>5323.2</v>
      </c>
      <c r="F18" s="9" t="s">
        <v>71</v>
      </c>
      <c r="G18" s="7">
        <v>172524306432</v>
      </c>
      <c r="H18" s="6">
        <v>5839.41</v>
      </c>
      <c r="I18" s="6">
        <v>4096.2299999999996</v>
      </c>
      <c r="J18" s="12">
        <f t="shared" si="0"/>
        <v>0.29953640298518414</v>
      </c>
      <c r="K18" s="11">
        <v>7.0540276525398252E-3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4.9509544044899413E-2</v>
      </c>
      <c r="Q18" s="12">
        <v>0.68269995229766256</v>
      </c>
      <c r="R18" s="14">
        <v>17</v>
      </c>
    </row>
    <row r="19" spans="1:18" x14ac:dyDescent="0.5">
      <c r="B19" s="1" t="s">
        <v>206</v>
      </c>
      <c r="C19" t="s">
        <v>234</v>
      </c>
      <c r="D19" t="s">
        <v>76</v>
      </c>
      <c r="E19">
        <v>34.92</v>
      </c>
      <c r="F19" s="9" t="s">
        <v>71</v>
      </c>
      <c r="G19" s="7">
        <v>1249111040</v>
      </c>
      <c r="H19" s="6">
        <v>37.22</v>
      </c>
      <c r="I19" s="6">
        <v>17.73</v>
      </c>
      <c r="J19" s="12">
        <f t="shared" si="0"/>
        <v>0.96954314720812196</v>
      </c>
      <c r="K19" s="11">
        <v>6.0853379152348223E-2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0.22006168748149618</v>
      </c>
      <c r="Q19" s="12">
        <v>0.18435624112536766</v>
      </c>
      <c r="R19" s="14">
        <v>16</v>
      </c>
    </row>
    <row r="20" spans="1:18" x14ac:dyDescent="0.5">
      <c r="B20" s="1" t="s">
        <v>611</v>
      </c>
      <c r="C20" t="s">
        <v>701</v>
      </c>
      <c r="D20" t="s">
        <v>182</v>
      </c>
      <c r="E20">
        <v>425.28</v>
      </c>
      <c r="F20" s="9" t="s">
        <v>71</v>
      </c>
      <c r="G20" s="7">
        <v>14437796864</v>
      </c>
      <c r="H20" s="6">
        <v>500.55</v>
      </c>
      <c r="I20" s="6">
        <v>392.89</v>
      </c>
      <c r="J20" s="12">
        <f t="shared" si="0"/>
        <v>8.2440377713863811E-2</v>
      </c>
      <c r="K20" s="11">
        <v>1.5824868322046652E-2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4.720495451981447E-2</v>
      </c>
      <c r="Q20" s="12">
        <v>0.90626101256901215</v>
      </c>
      <c r="R20" s="14">
        <v>18</v>
      </c>
    </row>
    <row r="21" spans="1:18" x14ac:dyDescent="0.5">
      <c r="B21" s="1" t="s">
        <v>394</v>
      </c>
      <c r="C21" t="s">
        <v>407</v>
      </c>
      <c r="D21" t="s">
        <v>311</v>
      </c>
      <c r="E21">
        <v>101.02</v>
      </c>
      <c r="F21" s="9" t="s">
        <v>71</v>
      </c>
      <c r="G21" s="7">
        <v>85703909376</v>
      </c>
      <c r="H21" s="6">
        <v>136.99</v>
      </c>
      <c r="I21" s="6">
        <v>82</v>
      </c>
      <c r="J21" s="12">
        <f t="shared" si="0"/>
        <v>0.23195121951219511</v>
      </c>
      <c r="K21" s="11">
        <v>6.4838645812710358E-2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7.8940435121222993E-2</v>
      </c>
      <c r="Q21" s="12">
        <v>0.21862007262775643</v>
      </c>
      <c r="R21" s="14">
        <v>19</v>
      </c>
    </row>
    <row r="22" spans="1:18" x14ac:dyDescent="0.5">
      <c r="B22" s="1" t="s">
        <v>210</v>
      </c>
      <c r="C22" t="s">
        <v>241</v>
      </c>
      <c r="D22" t="s">
        <v>85</v>
      </c>
      <c r="E22">
        <v>69.77</v>
      </c>
      <c r="F22" s="9" t="s">
        <v>71</v>
      </c>
      <c r="G22" s="7">
        <v>812419904</v>
      </c>
      <c r="H22" s="6">
        <v>91.26</v>
      </c>
      <c r="I22" s="6">
        <v>58.47</v>
      </c>
      <c r="J22" s="12">
        <f t="shared" si="0"/>
        <v>0.19326150162476474</v>
      </c>
      <c r="K22" s="11">
        <v>1.2899527017342698E-2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8.9524135232721805E-2</v>
      </c>
      <c r="Q22" s="12">
        <v>0.18756220051603392</v>
      </c>
      <c r="R22" s="14">
        <v>20</v>
      </c>
    </row>
    <row r="23" spans="1:18" x14ac:dyDescent="0.5">
      <c r="B23" s="1" t="s">
        <v>631</v>
      </c>
      <c r="C23" t="s">
        <v>723</v>
      </c>
      <c r="D23" t="s">
        <v>724</v>
      </c>
      <c r="E23">
        <v>823.44</v>
      </c>
      <c r="F23" s="9" t="s">
        <v>71</v>
      </c>
      <c r="G23" s="7">
        <v>102423085056</v>
      </c>
      <c r="H23" s="6">
        <v>895.58</v>
      </c>
      <c r="I23" s="6">
        <v>570.51</v>
      </c>
      <c r="J23" s="12">
        <f t="shared" si="0"/>
        <v>0.44334016932218545</v>
      </c>
      <c r="K23" s="11">
        <v>3.5825318177402118E-3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4.4409406491553387E-2</v>
      </c>
      <c r="Q23" s="12">
        <v>1.2916201117318435</v>
      </c>
      <c r="R23" s="14">
        <v>21</v>
      </c>
    </row>
    <row r="24" spans="1:18" x14ac:dyDescent="0.5">
      <c r="B24" s="1" t="s">
        <v>608</v>
      </c>
      <c r="C24" t="s">
        <v>698</v>
      </c>
      <c r="D24" t="s">
        <v>429</v>
      </c>
      <c r="E24">
        <v>96.7</v>
      </c>
      <c r="F24" s="9" t="s">
        <v>71</v>
      </c>
      <c r="G24" s="7">
        <v>120772722688</v>
      </c>
      <c r="H24" s="6">
        <v>106.2</v>
      </c>
      <c r="I24" s="6">
        <v>79.88</v>
      </c>
      <c r="J24" s="12">
        <f t="shared" si="0"/>
        <v>0.21056584877315987</v>
      </c>
      <c r="K24" s="11">
        <v>3.2264736297828334E-2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0.10595762695047276</v>
      </c>
      <c r="Q24" s="12">
        <v>0.16761170333408937</v>
      </c>
      <c r="R24" s="14">
        <v>22</v>
      </c>
    </row>
    <row r="25" spans="1:18" x14ac:dyDescent="0.5">
      <c r="B25" s="1" t="s">
        <v>586</v>
      </c>
      <c r="C25" t="s">
        <v>670</v>
      </c>
      <c r="D25" t="s">
        <v>401</v>
      </c>
      <c r="E25">
        <v>252.88</v>
      </c>
      <c r="F25" s="9" t="s">
        <v>71</v>
      </c>
      <c r="G25" s="7">
        <v>102439034880</v>
      </c>
      <c r="H25" s="6">
        <v>329.93</v>
      </c>
      <c r="I25" s="6">
        <v>247.18</v>
      </c>
      <c r="J25" s="12">
        <f t="shared" si="0"/>
        <v>2.3060118132534946E-2</v>
      </c>
      <c r="K25" s="11">
        <v>2.4359379943055995E-2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5.3311569894878744E-2</v>
      </c>
      <c r="Q25" s="12">
        <v>0.38614537710451241</v>
      </c>
      <c r="R25" s="14">
        <v>22</v>
      </c>
    </row>
    <row r="26" spans="1:18" x14ac:dyDescent="0.5">
      <c r="B26" s="1" t="s">
        <v>643</v>
      </c>
      <c r="C26" t="s">
        <v>740</v>
      </c>
      <c r="D26" t="s">
        <v>741</v>
      </c>
      <c r="E26">
        <v>159.19</v>
      </c>
      <c r="F26" s="9" t="s">
        <v>71</v>
      </c>
      <c r="G26" s="7">
        <v>33456666624</v>
      </c>
      <c r="H26" s="6">
        <v>209.61</v>
      </c>
      <c r="I26" s="6">
        <v>126.01</v>
      </c>
      <c r="J26" s="12">
        <f t="shared" si="0"/>
        <v>0.26331243552099037</v>
      </c>
      <c r="K26" s="11">
        <v>6.9099817827753002E-3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4.6629850436707775E-2</v>
      </c>
      <c r="Q26" s="12">
        <v>0.36189612214910882</v>
      </c>
      <c r="R26" s="14">
        <v>29</v>
      </c>
    </row>
    <row r="27" spans="1:18" x14ac:dyDescent="0.5">
      <c r="B27" s="1" t="s">
        <v>413</v>
      </c>
      <c r="C27" t="s">
        <v>420</v>
      </c>
      <c r="D27" t="s">
        <v>233</v>
      </c>
      <c r="E27">
        <v>122.65</v>
      </c>
      <c r="F27" s="9" t="s">
        <v>71</v>
      </c>
      <c r="G27" s="7">
        <v>522887266304</v>
      </c>
      <c r="H27" s="6">
        <v>122.68</v>
      </c>
      <c r="I27" s="6">
        <v>97.8</v>
      </c>
      <c r="J27" s="12">
        <f t="shared" si="0"/>
        <v>0.25408997955010237</v>
      </c>
      <c r="K27" s="11">
        <v>3.2286995515695069E-2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9.2082574077571408E-2</v>
      </c>
      <c r="Q27" s="12">
        <v>0.16542273704322905</v>
      </c>
      <c r="R27" s="14">
        <v>24</v>
      </c>
    </row>
    <row r="28" spans="1:18" x14ac:dyDescent="0.5">
      <c r="A28" s="1" t="s">
        <v>751</v>
      </c>
      <c r="B28" s="1" t="s">
        <v>592</v>
      </c>
      <c r="C28" t="s">
        <v>677</v>
      </c>
      <c r="D28" t="s">
        <v>678</v>
      </c>
      <c r="E28">
        <v>229.71</v>
      </c>
      <c r="F28" s="9" t="s">
        <v>71</v>
      </c>
      <c r="G28" s="7">
        <v>8572319744</v>
      </c>
      <c r="H28" s="6">
        <v>374.74</v>
      </c>
      <c r="I28" s="6">
        <v>226.1</v>
      </c>
      <c r="J28" s="12">
        <f t="shared" si="0"/>
        <v>1.5966386554622014E-2</v>
      </c>
      <c r="K28" s="11">
        <v>2.1331243742109617E-2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6.3196798914396293E-2</v>
      </c>
      <c r="Q28" s="12">
        <v>0.27754212232009678</v>
      </c>
      <c r="R28" s="14">
        <v>22</v>
      </c>
    </row>
    <row r="29" spans="1:18" x14ac:dyDescent="0.5">
      <c r="B29" s="1" t="s">
        <v>391</v>
      </c>
      <c r="C29" t="s">
        <v>404</v>
      </c>
      <c r="D29" t="s">
        <v>401</v>
      </c>
      <c r="E29">
        <v>333.3</v>
      </c>
      <c r="F29" s="9" t="s">
        <v>71</v>
      </c>
      <c r="G29" s="7">
        <v>141385859072</v>
      </c>
      <c r="H29" s="6">
        <v>465.7</v>
      </c>
      <c r="I29" s="6">
        <v>311.58999999999997</v>
      </c>
      <c r="J29" s="12">
        <f t="shared" si="0"/>
        <v>6.9674893289258355E-2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5.0776356519823297E-2</v>
      </c>
      <c r="Q29" s="12">
        <v>0.3598033750570111</v>
      </c>
      <c r="R29" s="14">
        <v>25</v>
      </c>
    </row>
    <row r="30" spans="1:18" x14ac:dyDescent="0.5">
      <c r="B30" s="1" t="s">
        <v>618</v>
      </c>
      <c r="C30" t="s">
        <v>708</v>
      </c>
      <c r="D30" t="s">
        <v>709</v>
      </c>
      <c r="E30">
        <v>345.82</v>
      </c>
      <c r="F30" s="9" t="s">
        <v>71</v>
      </c>
      <c r="G30" s="7">
        <v>344267784192</v>
      </c>
      <c r="H30" s="6">
        <v>426.75</v>
      </c>
      <c r="I30" s="6">
        <v>326.31</v>
      </c>
      <c r="J30" s="12">
        <f t="shared" si="0"/>
        <v>5.9789770463669401E-2</v>
      </c>
      <c r="K30" s="11">
        <v>2.6603435313168698E-2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5.3660324131023368E-2</v>
      </c>
      <c r="Q30" s="12">
        <v>0.36197790846842043</v>
      </c>
      <c r="R30" s="14">
        <v>23</v>
      </c>
    </row>
    <row r="31" spans="1:18" x14ac:dyDescent="0.5">
      <c r="B31" s="1" t="s">
        <v>628</v>
      </c>
      <c r="C31" t="s">
        <v>720</v>
      </c>
      <c r="D31" t="s">
        <v>534</v>
      </c>
      <c r="E31">
        <v>497.07</v>
      </c>
      <c r="F31" s="9" t="s">
        <v>71</v>
      </c>
      <c r="G31" s="7">
        <v>116048478208</v>
      </c>
      <c r="H31" s="6">
        <v>516</v>
      </c>
      <c r="I31" s="6">
        <v>410.11</v>
      </c>
      <c r="J31" s="12">
        <f t="shared" si="0"/>
        <v>0.21204067201482513</v>
      </c>
      <c r="K31" s="11">
        <v>2.6555615909228076E-2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5.4215818534477905E-2</v>
      </c>
      <c r="Q31" s="12">
        <v>0.27275119347442017</v>
      </c>
      <c r="R31" s="14">
        <v>27</v>
      </c>
    </row>
    <row r="32" spans="1:18" x14ac:dyDescent="0.5">
      <c r="B32" s="1" t="s">
        <v>398</v>
      </c>
      <c r="C32" t="s">
        <v>411</v>
      </c>
      <c r="D32" t="s">
        <v>164</v>
      </c>
      <c r="E32">
        <v>141.79</v>
      </c>
      <c r="F32" s="9" t="s">
        <v>71</v>
      </c>
      <c r="G32" s="7">
        <v>331857395712</v>
      </c>
      <c r="H32" s="6">
        <v>179.99</v>
      </c>
      <c r="I32" s="6">
        <v>138.13999999999999</v>
      </c>
      <c r="J32" s="12">
        <f t="shared" si="0"/>
        <v>2.6422469958013561E-2</v>
      </c>
      <c r="K32" s="11">
        <v>2.9106424994710486E-2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5.8904687701133204E-2</v>
      </c>
      <c r="Q32" s="12">
        <v>0.24578386321755966</v>
      </c>
      <c r="R32" s="14">
        <v>26</v>
      </c>
    </row>
    <row r="33" spans="1:18" x14ac:dyDescent="0.5">
      <c r="B33" s="1" t="s">
        <v>211</v>
      </c>
      <c r="C33" t="s">
        <v>242</v>
      </c>
      <c r="D33" t="s">
        <v>233</v>
      </c>
      <c r="E33">
        <v>155.9</v>
      </c>
      <c r="F33" s="9" t="s">
        <v>71</v>
      </c>
      <c r="G33" s="7">
        <v>314110803968</v>
      </c>
      <c r="H33" s="6">
        <v>168.96</v>
      </c>
      <c r="I33" s="6">
        <v>132.04</v>
      </c>
      <c r="J33" s="12">
        <f t="shared" si="0"/>
        <v>0.18070281732808247</v>
      </c>
      <c r="K33" s="11">
        <v>4.3361128928800508E-2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8.4671503681623919E-2</v>
      </c>
      <c r="Q33" s="12">
        <v>0.1594281013304587</v>
      </c>
      <c r="R33" s="14">
        <v>27</v>
      </c>
    </row>
    <row r="34" spans="1:18" x14ac:dyDescent="0.5">
      <c r="B34" s="1" t="s">
        <v>587</v>
      </c>
      <c r="C34" t="s">
        <v>671</v>
      </c>
      <c r="D34" t="s">
        <v>74</v>
      </c>
      <c r="E34">
        <v>154.28</v>
      </c>
      <c r="F34" s="9" t="s">
        <v>71</v>
      </c>
      <c r="G34" s="7">
        <v>171704188928</v>
      </c>
      <c r="H34" s="6">
        <v>157.83000000000001</v>
      </c>
      <c r="I34" s="6">
        <v>112.1</v>
      </c>
      <c r="J34" s="12">
        <f t="shared" ref="J34:J65" si="1">E34/I34-1</f>
        <v>0.37627118644067803</v>
      </c>
      <c r="K34" s="11">
        <v>1.0694840549649986E-2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3.6612352330217639E-2</v>
      </c>
      <c r="Q34" s="12">
        <v>0.58255617728039788</v>
      </c>
      <c r="R34" s="14">
        <v>32</v>
      </c>
    </row>
    <row r="35" spans="1:18" x14ac:dyDescent="0.5">
      <c r="B35" s="1" t="s">
        <v>648</v>
      </c>
      <c r="C35" t="s">
        <v>747</v>
      </c>
      <c r="D35" t="s">
        <v>193</v>
      </c>
      <c r="E35">
        <v>172.98</v>
      </c>
      <c r="F35" s="9" t="s">
        <v>71</v>
      </c>
      <c r="G35" s="7">
        <v>186645430272</v>
      </c>
      <c r="H35" s="6">
        <v>205.95</v>
      </c>
      <c r="I35" s="6">
        <v>120.8</v>
      </c>
      <c r="J35" s="12">
        <f t="shared" si="1"/>
        <v>0.43195364238410594</v>
      </c>
      <c r="K35" s="11">
        <v>2.01179327089837E-2</v>
      </c>
      <c r="L35" s="13">
        <v>13327000000</v>
      </c>
      <c r="M35" s="13">
        <v>36017000000</v>
      </c>
      <c r="N35" s="9" t="s">
        <v>71</v>
      </c>
      <c r="O35" s="6">
        <v>1</v>
      </c>
      <c r="P35" s="12">
        <v>6.8016958262939603E-2</v>
      </c>
      <c r="Q35" s="12">
        <v>0.37001971291334645</v>
      </c>
      <c r="R35" s="14">
        <v>13</v>
      </c>
    </row>
    <row r="36" spans="1:18" x14ac:dyDescent="0.5">
      <c r="B36" s="1" t="s">
        <v>449</v>
      </c>
      <c r="C36" t="s">
        <v>450</v>
      </c>
      <c r="D36" t="s">
        <v>314</v>
      </c>
      <c r="E36">
        <v>250.47</v>
      </c>
      <c r="F36" s="9" t="s">
        <v>71</v>
      </c>
      <c r="G36" s="7">
        <v>55752556544</v>
      </c>
      <c r="H36" s="6">
        <v>341.14</v>
      </c>
      <c r="I36" s="6">
        <v>229.11</v>
      </c>
      <c r="J36" s="12">
        <f t="shared" si="1"/>
        <v>9.3230326044258183E-2</v>
      </c>
      <c r="K36" s="11">
        <v>2.850640795304827E-2</v>
      </c>
      <c r="L36" s="13">
        <v>-226700000</v>
      </c>
      <c r="M36" s="13">
        <v>32723300000</v>
      </c>
      <c r="N36" s="9" t="s">
        <v>71</v>
      </c>
      <c r="O36" s="6">
        <v>1</v>
      </c>
      <c r="P36" s="12">
        <v>-3.1354267919514412E-3</v>
      </c>
      <c r="Q36" s="12">
        <v>-6.9277854006166862E-3</v>
      </c>
      <c r="R36" s="14">
        <v>89</v>
      </c>
    </row>
    <row r="37" spans="1:18" x14ac:dyDescent="0.5">
      <c r="A37" s="1" t="s">
        <v>751</v>
      </c>
      <c r="B37" s="1" t="s">
        <v>416</v>
      </c>
      <c r="C37" t="s">
        <v>424</v>
      </c>
      <c r="D37" t="s">
        <v>425</v>
      </c>
      <c r="E37">
        <v>219.88</v>
      </c>
      <c r="F37" s="9" t="s">
        <v>71</v>
      </c>
      <c r="G37" s="7">
        <v>13992876032</v>
      </c>
      <c r="H37" s="6">
        <v>246.33</v>
      </c>
      <c r="I37" s="6">
        <v>152.33000000000001</v>
      </c>
      <c r="J37" s="12">
        <f t="shared" si="1"/>
        <v>0.44344515197269074</v>
      </c>
      <c r="K37" s="11">
        <v>3.6383481899217758E-3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8.9279579700265108E-2</v>
      </c>
      <c r="Q37" s="12">
        <v>0.15043298801476856</v>
      </c>
      <c r="R37" s="14">
        <v>29</v>
      </c>
    </row>
    <row r="38" spans="1:18" x14ac:dyDescent="0.5">
      <c r="B38" s="1" t="s">
        <v>591</v>
      </c>
      <c r="C38" t="s">
        <v>675</v>
      </c>
      <c r="D38" t="s">
        <v>676</v>
      </c>
      <c r="E38">
        <v>221.02</v>
      </c>
      <c r="F38" s="9" t="s">
        <v>71</v>
      </c>
      <c r="G38" s="7">
        <v>30879805440</v>
      </c>
      <c r="H38" s="6">
        <v>322.92</v>
      </c>
      <c r="I38" s="6">
        <v>197</v>
      </c>
      <c r="J38" s="12">
        <f t="shared" si="1"/>
        <v>0.12192893401015237</v>
      </c>
      <c r="K38" s="11">
        <v>7.8725907157723273E-3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3.9994791763067555E-2</v>
      </c>
      <c r="Q38" s="12">
        <v>0.43374575293288031</v>
      </c>
      <c r="R38" s="14">
        <v>31</v>
      </c>
    </row>
    <row r="39" spans="1:18" x14ac:dyDescent="0.5">
      <c r="B39" s="1" t="s">
        <v>639</v>
      </c>
      <c r="C39" t="s">
        <v>734</v>
      </c>
      <c r="D39" t="s">
        <v>534</v>
      </c>
      <c r="E39">
        <v>585.66</v>
      </c>
      <c r="F39" s="9" t="s">
        <v>71</v>
      </c>
      <c r="G39" s="7">
        <v>83856539648</v>
      </c>
      <c r="H39" s="6">
        <v>640.9</v>
      </c>
      <c r="I39" s="6">
        <v>426.24</v>
      </c>
      <c r="J39" s="12">
        <f t="shared" si="1"/>
        <v>0.37401463963963955</v>
      </c>
      <c r="K39" s="11">
        <v>1.492333435781853E-2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5.872270176378943E-2</v>
      </c>
      <c r="Q39" s="12">
        <v>0.18801280768461076</v>
      </c>
      <c r="R39" s="14">
        <v>32</v>
      </c>
    </row>
    <row r="40" spans="1:18" x14ac:dyDescent="0.5">
      <c r="B40" s="1" t="s">
        <v>590</v>
      </c>
      <c r="C40" t="s">
        <v>674</v>
      </c>
      <c r="D40" t="s">
        <v>446</v>
      </c>
      <c r="E40">
        <v>36.270000000000003</v>
      </c>
      <c r="F40" s="9" t="s">
        <v>71</v>
      </c>
      <c r="G40" s="7">
        <v>67617329152</v>
      </c>
      <c r="H40" s="6">
        <v>37.54</v>
      </c>
      <c r="I40" s="6">
        <v>26.22</v>
      </c>
      <c r="J40" s="12">
        <f t="shared" si="1"/>
        <v>0.38329519450800942</v>
      </c>
      <c r="K40" s="11">
        <v>1.4061207609594705E-2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6.2878378292531234E-2</v>
      </c>
      <c r="Q40" s="12">
        <v>0.17374616997258507</v>
      </c>
      <c r="R40" s="14">
        <v>33</v>
      </c>
    </row>
    <row r="41" spans="1:18" x14ac:dyDescent="0.5">
      <c r="B41" s="1" t="s">
        <v>399</v>
      </c>
      <c r="C41" t="s">
        <v>412</v>
      </c>
      <c r="D41" t="s">
        <v>145</v>
      </c>
      <c r="E41">
        <v>142.22999999999999</v>
      </c>
      <c r="F41" s="9" t="s">
        <v>71</v>
      </c>
      <c r="G41" s="7">
        <v>194723856384</v>
      </c>
      <c r="H41" s="6">
        <v>160.15</v>
      </c>
      <c r="I41" s="6">
        <v>127.6</v>
      </c>
      <c r="J41" s="12">
        <f t="shared" si="1"/>
        <v>0.11465517241379297</v>
      </c>
      <c r="K41" s="11">
        <v>3.9056457849961333E-2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5.5652441709158611E-2</v>
      </c>
      <c r="Q41" s="12">
        <v>0.20634513288530323</v>
      </c>
      <c r="R41" s="14">
        <v>30</v>
      </c>
    </row>
    <row r="42" spans="1:18" x14ac:dyDescent="0.5">
      <c r="B42" s="1" t="s">
        <v>609</v>
      </c>
      <c r="C42" t="s">
        <v>699</v>
      </c>
      <c r="D42" t="s">
        <v>363</v>
      </c>
      <c r="E42">
        <v>300.58999999999997</v>
      </c>
      <c r="F42" s="9" t="s">
        <v>71</v>
      </c>
      <c r="G42" s="7">
        <v>21225977856</v>
      </c>
      <c r="H42" s="6">
        <v>400.81</v>
      </c>
      <c r="I42" s="6">
        <v>252.84</v>
      </c>
      <c r="J42" s="12">
        <f t="shared" si="1"/>
        <v>0.18885461161208661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6.3905212687359866E-2</v>
      </c>
      <c r="Q42" s="12">
        <v>0.15902940183418116</v>
      </c>
      <c r="R42" s="14">
        <v>36</v>
      </c>
    </row>
    <row r="43" spans="1:18" x14ac:dyDescent="0.5">
      <c r="B43" s="1" t="s">
        <v>630</v>
      </c>
      <c r="C43" t="s">
        <v>722</v>
      </c>
      <c r="D43" t="s">
        <v>182</v>
      </c>
      <c r="E43">
        <v>303.26</v>
      </c>
      <c r="F43" s="9" t="s">
        <v>71</v>
      </c>
      <c r="G43" s="7">
        <v>216407687168</v>
      </c>
      <c r="H43" s="6">
        <v>326.32</v>
      </c>
      <c r="I43" s="6">
        <v>276.52999999999997</v>
      </c>
      <c r="J43" s="12">
        <f t="shared" si="1"/>
        <v>9.6662206632191827E-2</v>
      </c>
      <c r="K43" s="11">
        <v>2.3346303501945526E-2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4.4340814645905197E-2</v>
      </c>
      <c r="Q43" s="12">
        <v>0.34223749566824535</v>
      </c>
      <c r="R43" s="14">
        <v>35</v>
      </c>
    </row>
    <row r="44" spans="1:18" x14ac:dyDescent="0.5">
      <c r="B44" s="1" t="s">
        <v>634</v>
      </c>
      <c r="C44" t="s">
        <v>728</v>
      </c>
      <c r="D44" t="s">
        <v>692</v>
      </c>
      <c r="E44">
        <v>182.47</v>
      </c>
      <c r="F44" s="9" t="s">
        <v>71</v>
      </c>
      <c r="G44" s="7">
        <v>89706635264</v>
      </c>
      <c r="H44" s="6">
        <v>248</v>
      </c>
      <c r="I44" s="6">
        <v>174.18</v>
      </c>
      <c r="J44" s="12">
        <f t="shared" si="1"/>
        <v>4.759444253071532E-2</v>
      </c>
      <c r="K44" s="11">
        <v>1.8797610566120459E-2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5.6608629097516211E-2</v>
      </c>
      <c r="Q44" s="12">
        <v>0.18564691039081979</v>
      </c>
      <c r="R44" s="14">
        <v>34</v>
      </c>
    </row>
    <row r="45" spans="1:18" x14ac:dyDescent="0.5">
      <c r="B45" s="1" t="s">
        <v>399</v>
      </c>
      <c r="C45" t="s">
        <v>412</v>
      </c>
      <c r="D45" t="s">
        <v>145</v>
      </c>
      <c r="E45">
        <v>142.22999999999999</v>
      </c>
      <c r="F45" s="9" t="s">
        <v>71</v>
      </c>
      <c r="G45" s="7">
        <v>194723856384</v>
      </c>
      <c r="H45" s="6">
        <v>160.15</v>
      </c>
      <c r="I45" s="6">
        <v>127.6</v>
      </c>
      <c r="J45" s="12">
        <f t="shared" si="1"/>
        <v>0.11465517241379297</v>
      </c>
      <c r="K45" s="11">
        <v>3.9056457849961333E-2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5.5652441709158611E-2</v>
      </c>
      <c r="Q45" s="12">
        <v>0.20634513288530323</v>
      </c>
      <c r="R45" s="14">
        <v>30</v>
      </c>
    </row>
    <row r="46" spans="1:18" x14ac:dyDescent="0.5">
      <c r="B46" s="1" t="s">
        <v>397</v>
      </c>
      <c r="C46" t="s">
        <v>410</v>
      </c>
      <c r="D46" t="s">
        <v>85</v>
      </c>
      <c r="E46">
        <v>45.72</v>
      </c>
      <c r="F46" s="9" t="s">
        <v>71</v>
      </c>
      <c r="G46" s="7">
        <v>24395372544</v>
      </c>
      <c r="H46" s="6">
        <v>67.349999999999994</v>
      </c>
      <c r="I46" s="6">
        <v>45.15</v>
      </c>
      <c r="J46" s="12">
        <f t="shared" si="1"/>
        <v>1.2624584717608078E-2</v>
      </c>
      <c r="K46" s="11">
        <v>5.2930883639545054E-2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8.6040102580770453E-2</v>
      </c>
      <c r="Q46" s="12">
        <v>0.14053609549045179</v>
      </c>
      <c r="R46" s="14">
        <v>33</v>
      </c>
    </row>
    <row r="47" spans="1:18" x14ac:dyDescent="0.5">
      <c r="B47" s="1" t="s">
        <v>632</v>
      </c>
      <c r="C47" t="s">
        <v>725</v>
      </c>
      <c r="D47" t="s">
        <v>726</v>
      </c>
      <c r="E47">
        <v>53.65</v>
      </c>
      <c r="F47" s="9" t="s">
        <v>71</v>
      </c>
      <c r="G47" s="7">
        <v>69420179456</v>
      </c>
      <c r="H47" s="6">
        <v>71.150000000000006</v>
      </c>
      <c r="I47" s="6">
        <v>53.13</v>
      </c>
      <c r="J47" s="12">
        <f t="shared" si="1"/>
        <v>9.7873141351401127E-3</v>
      </c>
      <c r="K47" s="11">
        <v>3.5601118359739052E-2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7.8307584910332392E-2</v>
      </c>
      <c r="Q47" s="12">
        <v>0.15149616167946106</v>
      </c>
      <c r="R47" s="14">
        <v>34</v>
      </c>
    </row>
    <row r="48" spans="1:18" x14ac:dyDescent="0.5">
      <c r="B48" s="1" t="s">
        <v>645</v>
      </c>
      <c r="C48" t="s">
        <v>743</v>
      </c>
      <c r="D48" t="s">
        <v>401</v>
      </c>
      <c r="E48">
        <v>108.6</v>
      </c>
      <c r="F48" s="9" t="s">
        <v>71</v>
      </c>
      <c r="G48" s="7">
        <v>38983864320</v>
      </c>
      <c r="H48" s="6">
        <v>161.24</v>
      </c>
      <c r="I48" s="6">
        <v>108</v>
      </c>
      <c r="J48" s="12">
        <f t="shared" si="1"/>
        <v>5.5555555555555358E-3</v>
      </c>
      <c r="K48" s="11">
        <v>3.8858195211786371E-2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5.3832730516872707E-2</v>
      </c>
      <c r="Q48" s="12">
        <v>0.25083564234507633</v>
      </c>
      <c r="R48" s="14">
        <v>28</v>
      </c>
    </row>
    <row r="49" spans="2:18" x14ac:dyDescent="0.5">
      <c r="B49" s="1" t="s">
        <v>208</v>
      </c>
      <c r="C49" t="s">
        <v>237</v>
      </c>
      <c r="D49" t="s">
        <v>238</v>
      </c>
      <c r="E49">
        <v>47.4</v>
      </c>
      <c r="F49" s="9" t="s">
        <v>71</v>
      </c>
      <c r="G49" s="7">
        <v>9373625344</v>
      </c>
      <c r="H49" s="6">
        <v>64.66</v>
      </c>
      <c r="I49" s="6">
        <v>42.94</v>
      </c>
      <c r="J49" s="12">
        <f t="shared" si="1"/>
        <v>0.10386585933861214</v>
      </c>
      <c r="K49" s="11">
        <v>3.9029535864978905E-2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0.12233230570524585</v>
      </c>
      <c r="Q49" s="12">
        <v>9.2819086727135694E-2</v>
      </c>
      <c r="R49" s="14">
        <v>37</v>
      </c>
    </row>
    <row r="50" spans="2:18" x14ac:dyDescent="0.5">
      <c r="B50" s="1" t="s">
        <v>575</v>
      </c>
      <c r="C50" t="s">
        <v>654</v>
      </c>
      <c r="D50" t="s">
        <v>240</v>
      </c>
      <c r="E50">
        <v>563.13</v>
      </c>
      <c r="F50" s="9" t="s">
        <v>71</v>
      </c>
      <c r="G50" s="7">
        <v>509076176896</v>
      </c>
      <c r="H50" s="6">
        <v>601.77</v>
      </c>
      <c r="I50" s="6">
        <v>465.59</v>
      </c>
      <c r="J50" s="12">
        <f t="shared" si="1"/>
        <v>0.20949762666723948</v>
      </c>
      <c r="K50" s="11">
        <v>5.3983982384174173E-3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3.0644093935131556E-2</v>
      </c>
      <c r="Q50" s="12">
        <v>0.64343814495568774</v>
      </c>
      <c r="R50" s="14">
        <v>40</v>
      </c>
    </row>
    <row r="51" spans="2:18" x14ac:dyDescent="0.5">
      <c r="B51" s="1" t="s">
        <v>619</v>
      </c>
      <c r="C51" t="s">
        <v>710</v>
      </c>
      <c r="D51" t="s">
        <v>168</v>
      </c>
      <c r="E51">
        <v>195.88</v>
      </c>
      <c r="F51" s="9" t="s">
        <v>71</v>
      </c>
      <c r="G51" s="7">
        <v>131997597696</v>
      </c>
      <c r="H51" s="6">
        <v>227.82281</v>
      </c>
      <c r="I51" s="6">
        <v>169.04807</v>
      </c>
      <c r="J51" s="12">
        <f t="shared" si="1"/>
        <v>0.15872366954559136</v>
      </c>
      <c r="K51" s="11">
        <v>2.307535225648356E-2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5.3828172380441124E-2</v>
      </c>
      <c r="Q51" s="12">
        <v>0.16635826058972605</v>
      </c>
      <c r="R51" s="14">
        <v>41</v>
      </c>
    </row>
    <row r="52" spans="2:18" x14ac:dyDescent="0.5">
      <c r="B52" s="1" t="s">
        <v>212</v>
      </c>
      <c r="C52" t="s">
        <v>243</v>
      </c>
      <c r="D52" t="s">
        <v>85</v>
      </c>
      <c r="E52">
        <v>12.16</v>
      </c>
      <c r="F52" s="9" t="s">
        <v>71</v>
      </c>
      <c r="G52" s="7">
        <v>1826863744</v>
      </c>
      <c r="H52" s="6">
        <v>20.81</v>
      </c>
      <c r="I52" s="6">
        <v>11.04</v>
      </c>
      <c r="J52" s="12">
        <f t="shared" si="1"/>
        <v>0.10144927536231885</v>
      </c>
      <c r="K52" s="11">
        <v>5.1809210526315791E-2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0.12078397611916496</v>
      </c>
      <c r="Q52" s="12">
        <v>8.6012895612963047E-2</v>
      </c>
      <c r="R52" s="14">
        <v>39</v>
      </c>
    </row>
    <row r="53" spans="2:18" x14ac:dyDescent="0.5">
      <c r="B53" s="1" t="s">
        <v>605</v>
      </c>
      <c r="C53" t="s">
        <v>695</v>
      </c>
      <c r="D53" t="s">
        <v>81</v>
      </c>
      <c r="E53">
        <v>598.41</v>
      </c>
      <c r="F53" s="9" t="s">
        <v>71</v>
      </c>
      <c r="G53" s="7">
        <v>280342462464</v>
      </c>
      <c r="H53" s="6">
        <v>627.5</v>
      </c>
      <c r="I53" s="6">
        <v>267.3</v>
      </c>
      <c r="J53" s="12">
        <f t="shared" si="1"/>
        <v>1.2387205387205387</v>
      </c>
      <c r="K53" s="11">
        <v>9.7591952006149639E-3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4.452283192499585E-2</v>
      </c>
      <c r="Q53" s="12">
        <v>0.2393841697843215</v>
      </c>
      <c r="R53" s="14">
        <v>39</v>
      </c>
    </row>
    <row r="54" spans="2:18" x14ac:dyDescent="0.5">
      <c r="B54" s="1" t="s">
        <v>574</v>
      </c>
      <c r="C54" t="s">
        <v>652</v>
      </c>
      <c r="D54" t="s">
        <v>653</v>
      </c>
      <c r="E54">
        <v>336.4</v>
      </c>
      <c r="F54" s="9" t="s">
        <v>71</v>
      </c>
      <c r="G54" s="7">
        <v>304724082688</v>
      </c>
      <c r="H54" s="6">
        <v>606.36</v>
      </c>
      <c r="I54" s="6">
        <v>234.6</v>
      </c>
      <c r="J54" s="12">
        <f t="shared" si="1"/>
        <v>0.43393009377664105</v>
      </c>
      <c r="K54" s="11">
        <v>2.562425683709869E-2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6.7291377417266096E-2</v>
      </c>
      <c r="Q54" s="12">
        <v>0.14140550359160661</v>
      </c>
      <c r="R54" s="14">
        <v>38</v>
      </c>
    </row>
    <row r="55" spans="2:18" x14ac:dyDescent="0.5">
      <c r="B55" s="1" t="s">
        <v>414</v>
      </c>
      <c r="C55" t="s">
        <v>421</v>
      </c>
      <c r="D55" t="s">
        <v>85</v>
      </c>
      <c r="E55">
        <v>23.39</v>
      </c>
      <c r="F55" s="9" t="s">
        <v>71</v>
      </c>
      <c r="G55" s="7">
        <v>12867008512</v>
      </c>
      <c r="H55" s="6">
        <v>32.07</v>
      </c>
      <c r="I55" s="6">
        <v>21.03</v>
      </c>
      <c r="J55" s="12">
        <f t="shared" si="1"/>
        <v>0.11222063718497388</v>
      </c>
      <c r="K55" s="11">
        <v>4.9593843522873021E-2</v>
      </c>
      <c r="L55" s="13">
        <v>741487000</v>
      </c>
      <c r="M55" s="13">
        <v>10758595000</v>
      </c>
      <c r="N55" s="9" t="s">
        <v>71</v>
      </c>
      <c r="O55" s="6">
        <v>1</v>
      </c>
      <c r="P55" s="12">
        <v>4.9255954630114576E-2</v>
      </c>
      <c r="Q55" s="12">
        <v>6.8920430595258958E-2</v>
      </c>
      <c r="R55" s="14">
        <v>65</v>
      </c>
    </row>
    <row r="56" spans="2:18" x14ac:dyDescent="0.5">
      <c r="B56" s="1" t="s">
        <v>616</v>
      </c>
      <c r="C56" t="s">
        <v>706</v>
      </c>
      <c r="D56" t="s">
        <v>171</v>
      </c>
      <c r="E56">
        <v>315.14999999999998</v>
      </c>
      <c r="F56" s="9" t="s">
        <v>71</v>
      </c>
      <c r="G56" s="7">
        <v>3817135144960</v>
      </c>
      <c r="H56" s="6">
        <v>328.83</v>
      </c>
      <c r="I56" s="6">
        <v>140.53</v>
      </c>
      <c r="J56" s="12">
        <f t="shared" si="1"/>
        <v>1.2425816551625988</v>
      </c>
      <c r="K56" s="11">
        <v>3.2365540218943362E-3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3.1442500109212096E-2</v>
      </c>
      <c r="Q56" s="12">
        <v>0.357424985191998</v>
      </c>
      <c r="R56" s="14">
        <v>48</v>
      </c>
    </row>
    <row r="57" spans="2:18" x14ac:dyDescent="0.5">
      <c r="B57" s="1" t="s">
        <v>626</v>
      </c>
      <c r="C57" t="s">
        <v>718</v>
      </c>
      <c r="D57" t="s">
        <v>145</v>
      </c>
      <c r="E57">
        <v>69.12</v>
      </c>
      <c r="F57" s="9" t="s">
        <v>71</v>
      </c>
      <c r="G57" s="7">
        <v>297469476864</v>
      </c>
      <c r="H57" s="6">
        <v>74.38</v>
      </c>
      <c r="I57" s="6">
        <v>60.62</v>
      </c>
      <c r="J57" s="12">
        <f t="shared" si="1"/>
        <v>0.14021774991751901</v>
      </c>
      <c r="K57" s="11">
        <v>2.9152199074074073E-2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4.4515778550223838E-2</v>
      </c>
      <c r="Q57" s="12">
        <v>0.21248810862232984</v>
      </c>
      <c r="R57" s="14">
        <v>42</v>
      </c>
    </row>
    <row r="58" spans="2:18" x14ac:dyDescent="0.5">
      <c r="B58" s="1" t="s">
        <v>388</v>
      </c>
      <c r="C58" t="s">
        <v>400</v>
      </c>
      <c r="D58" t="s">
        <v>401</v>
      </c>
      <c r="E58">
        <v>1643.27</v>
      </c>
      <c r="F58" s="9" t="s">
        <v>71</v>
      </c>
      <c r="G58" s="7">
        <v>39444488192</v>
      </c>
      <c r="H58" s="6">
        <v>2217.6</v>
      </c>
      <c r="I58" s="6">
        <v>1300</v>
      </c>
      <c r="J58" s="12">
        <f t="shared" si="1"/>
        <v>0.26405384615384619</v>
      </c>
      <c r="K58" s="11">
        <v>0</v>
      </c>
      <c r="L58" s="13">
        <v>936242000</v>
      </c>
      <c r="M58" s="13">
        <v>1309907000</v>
      </c>
      <c r="N58" s="9" t="s">
        <v>71</v>
      </c>
      <c r="O58" s="6">
        <v>1</v>
      </c>
      <c r="P58" s="12">
        <v>2.2088873783601887E-2</v>
      </c>
      <c r="Q58" s="12">
        <v>0.71473929065193176</v>
      </c>
      <c r="R58" s="14">
        <v>45</v>
      </c>
    </row>
    <row r="59" spans="2:18" x14ac:dyDescent="0.5">
      <c r="B59" s="1" t="s">
        <v>415</v>
      </c>
      <c r="C59" t="s">
        <v>422</v>
      </c>
      <c r="D59" t="s">
        <v>423</v>
      </c>
      <c r="E59">
        <v>6.51</v>
      </c>
      <c r="F59" s="9" t="s">
        <v>71</v>
      </c>
      <c r="G59" s="7">
        <v>36894511104</v>
      </c>
      <c r="H59" s="6">
        <v>8.19</v>
      </c>
      <c r="I59" s="6">
        <v>4</v>
      </c>
      <c r="J59" s="12">
        <f t="shared" si="1"/>
        <v>0.62749999999999995</v>
      </c>
      <c r="K59" s="11">
        <v>2.1505376344086023E-2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7.9162836634968523E-2</v>
      </c>
      <c r="Q59" s="12">
        <v>9.8516949152542374E-2</v>
      </c>
      <c r="R59" s="14">
        <v>44</v>
      </c>
    </row>
    <row r="60" spans="2:18" x14ac:dyDescent="0.5">
      <c r="B60" s="1" t="s">
        <v>395</v>
      </c>
      <c r="C60" t="s">
        <v>408</v>
      </c>
      <c r="D60" t="s">
        <v>58</v>
      </c>
      <c r="E60">
        <v>87.09</v>
      </c>
      <c r="F60" s="9" t="s">
        <v>71</v>
      </c>
      <c r="G60" s="7">
        <v>48409247744</v>
      </c>
      <c r="H60" s="6">
        <v>126.73</v>
      </c>
      <c r="I60" s="6">
        <v>85.12</v>
      </c>
      <c r="J60" s="12">
        <f t="shared" si="1"/>
        <v>2.3143796992481258E-2</v>
      </c>
      <c r="K60" s="11">
        <v>1.1884257664485014E-2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6.5727003491421146E-2</v>
      </c>
      <c r="Q60" s="12">
        <v>0.13321660256042253</v>
      </c>
      <c r="R60" s="14">
        <v>43</v>
      </c>
    </row>
    <row r="61" spans="2:18" x14ac:dyDescent="0.5">
      <c r="B61" s="1" t="s">
        <v>595</v>
      </c>
      <c r="C61" t="s">
        <v>681</v>
      </c>
      <c r="D61" t="s">
        <v>678</v>
      </c>
      <c r="E61">
        <v>40.44</v>
      </c>
      <c r="F61" s="9" t="s">
        <v>71</v>
      </c>
      <c r="G61" s="7">
        <v>46426562560</v>
      </c>
      <c r="H61" s="6">
        <v>50.63</v>
      </c>
      <c r="I61" s="6">
        <v>35.305</v>
      </c>
      <c r="J61" s="12">
        <f t="shared" si="1"/>
        <v>0.14544682056365943</v>
      </c>
      <c r="K61" s="11">
        <v>2.1018793273986154E-2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3.248016803892069E-2</v>
      </c>
      <c r="Q61" s="12">
        <v>0.39708618295207398</v>
      </c>
      <c r="R61" s="14">
        <v>46</v>
      </c>
    </row>
    <row r="62" spans="2:18" x14ac:dyDescent="0.5">
      <c r="B62" s="1" t="s">
        <v>213</v>
      </c>
      <c r="C62" t="s">
        <v>244</v>
      </c>
      <c r="D62" t="s">
        <v>106</v>
      </c>
      <c r="E62">
        <v>21.01</v>
      </c>
      <c r="F62" s="9" t="s">
        <v>71</v>
      </c>
      <c r="G62" s="7">
        <v>465118432</v>
      </c>
      <c r="H62" s="6">
        <v>22.25</v>
      </c>
      <c r="I62" s="6">
        <v>12.85</v>
      </c>
      <c r="J62" s="12">
        <f t="shared" si="1"/>
        <v>0.63501945525291847</v>
      </c>
      <c r="K62" s="11">
        <v>6.6634935744883383E-2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7.723646406208387E-2</v>
      </c>
      <c r="Q62" s="12">
        <v>5.638554917738179E-2</v>
      </c>
      <c r="R62" s="14">
        <v>53</v>
      </c>
    </row>
    <row r="63" spans="2:18" x14ac:dyDescent="0.5">
      <c r="B63" s="1" t="s">
        <v>418</v>
      </c>
      <c r="C63" t="s">
        <v>428</v>
      </c>
      <c r="D63" t="s">
        <v>429</v>
      </c>
      <c r="E63">
        <v>26.6</v>
      </c>
      <c r="F63" s="9" t="s">
        <v>71</v>
      </c>
      <c r="G63" s="7">
        <v>20299524096</v>
      </c>
      <c r="H63" s="6">
        <v>29.95</v>
      </c>
      <c r="I63" s="6">
        <v>22.33</v>
      </c>
      <c r="J63" s="12">
        <f t="shared" si="1"/>
        <v>0.19122257053291558</v>
      </c>
      <c r="K63" s="11">
        <v>3.2706766917293233E-2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6.6308536824597031E-2</v>
      </c>
      <c r="Q63" s="12">
        <v>8.7830941946328872E-2</v>
      </c>
      <c r="R63" s="14">
        <v>49</v>
      </c>
    </row>
    <row r="64" spans="2:18" x14ac:dyDescent="0.5">
      <c r="B64" s="1" t="s">
        <v>573</v>
      </c>
      <c r="C64" t="s">
        <v>651</v>
      </c>
      <c r="D64" t="s">
        <v>363</v>
      </c>
      <c r="E64">
        <v>472.94</v>
      </c>
      <c r="F64" s="9" t="s">
        <v>71</v>
      </c>
      <c r="G64" s="7">
        <v>3515441741824</v>
      </c>
      <c r="H64" s="6">
        <v>555.45000000000005</v>
      </c>
      <c r="I64" s="6">
        <v>344.79</v>
      </c>
      <c r="J64" s="12">
        <f t="shared" si="1"/>
        <v>0.37167551263087661</v>
      </c>
      <c r="K64" s="11">
        <v>7.1890726096333572E-3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3.5538506299640421E-2</v>
      </c>
      <c r="Q64" s="12">
        <v>0.32592401003543442</v>
      </c>
      <c r="R64" s="14">
        <v>47</v>
      </c>
    </row>
    <row r="65" spans="2:18" x14ac:dyDescent="0.5">
      <c r="B65" s="1" t="s">
        <v>593</v>
      </c>
      <c r="C65" t="s">
        <v>679</v>
      </c>
      <c r="D65" t="s">
        <v>666</v>
      </c>
      <c r="E65">
        <v>37.770000000000003</v>
      </c>
      <c r="F65" s="9" t="s">
        <v>71</v>
      </c>
      <c r="G65" s="7">
        <v>36562026496</v>
      </c>
      <c r="H65" s="6">
        <v>63.85</v>
      </c>
      <c r="I65" s="6">
        <v>37.604999999999997</v>
      </c>
      <c r="J65" s="12">
        <f t="shared" si="1"/>
        <v>4.3877143996811085E-3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5.0072370023004839E-2</v>
      </c>
      <c r="Q65" s="12">
        <v>0.18468574130516349</v>
      </c>
      <c r="R65" s="14">
        <v>42</v>
      </c>
    </row>
    <row r="66" spans="2:18" x14ac:dyDescent="0.5">
      <c r="B66" s="1" t="s">
        <v>594</v>
      </c>
      <c r="C66" t="s">
        <v>680</v>
      </c>
      <c r="D66" t="s">
        <v>534</v>
      </c>
      <c r="E66">
        <v>343.4</v>
      </c>
      <c r="F66" s="9" t="s">
        <v>71</v>
      </c>
      <c r="G66" s="7">
        <v>92759359488</v>
      </c>
      <c r="H66" s="6">
        <v>360.5</v>
      </c>
      <c r="I66" s="6">
        <v>239.2</v>
      </c>
      <c r="J66" s="12">
        <f t="shared" ref="J66:J97" si="2">E66/I66-1</f>
        <v>0.43561872909698995</v>
      </c>
      <c r="K66" s="11">
        <v>1.7239370995923122E-2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4.8487119556727722E-2</v>
      </c>
      <c r="Q66" s="12">
        <v>0.16003244120032442</v>
      </c>
      <c r="R66" s="14">
        <v>48</v>
      </c>
    </row>
    <row r="67" spans="2:18" x14ac:dyDescent="0.5">
      <c r="B67" s="1" t="s">
        <v>582</v>
      </c>
      <c r="C67" t="s">
        <v>665</v>
      </c>
      <c r="D67" t="s">
        <v>666</v>
      </c>
      <c r="E67">
        <v>184.88</v>
      </c>
      <c r="F67" s="9" t="s">
        <v>71</v>
      </c>
      <c r="G67" s="7">
        <v>74497032192</v>
      </c>
      <c r="H67" s="6">
        <v>229.24</v>
      </c>
      <c r="I67" s="6">
        <v>180.39</v>
      </c>
      <c r="J67" s="12">
        <f t="shared" si="2"/>
        <v>2.4890514995288049E-2</v>
      </c>
      <c r="K67" s="11">
        <v>9.0869753353526612E-3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3.0763241925719793E-2</v>
      </c>
      <c r="Q67" s="12">
        <v>0.33269803136094339</v>
      </c>
      <c r="R67" s="14">
        <v>51</v>
      </c>
    </row>
    <row r="68" spans="2:18" x14ac:dyDescent="0.5">
      <c r="B68" s="1" t="s">
        <v>419</v>
      </c>
      <c r="C68" t="s">
        <v>430</v>
      </c>
      <c r="D68" t="s">
        <v>238</v>
      </c>
      <c r="E68">
        <v>15</v>
      </c>
      <c r="F68" s="9" t="s">
        <v>71</v>
      </c>
      <c r="G68" s="7">
        <v>12152255488</v>
      </c>
      <c r="H68" s="6">
        <v>16.149999999999999</v>
      </c>
      <c r="I68" s="6">
        <v>12.25</v>
      </c>
      <c r="J68" s="12">
        <f t="shared" si="2"/>
        <v>0.22448979591836737</v>
      </c>
      <c r="K68" s="11">
        <v>4.833333333333333</v>
      </c>
      <c r="L68" s="13">
        <v>157715000000</v>
      </c>
      <c r="M68" s="13">
        <v>2039094000000</v>
      </c>
      <c r="N68" s="9" t="s">
        <v>431</v>
      </c>
      <c r="O68" s="6">
        <v>7.0111477248825634E-3</v>
      </c>
      <c r="P68" s="12">
        <v>6.3794677200038355E-2</v>
      </c>
      <c r="Q68" s="12">
        <v>7.7345625066818885E-2</v>
      </c>
      <c r="R68" s="14">
        <v>52</v>
      </c>
    </row>
    <row r="69" spans="2:18" x14ac:dyDescent="0.5">
      <c r="B69" s="1" t="s">
        <v>576</v>
      </c>
      <c r="C69" t="s">
        <v>655</v>
      </c>
      <c r="D69" t="s">
        <v>656</v>
      </c>
      <c r="E69">
        <v>854.5</v>
      </c>
      <c r="F69" s="9" t="s">
        <v>71</v>
      </c>
      <c r="G69" s="7">
        <v>379361853440</v>
      </c>
      <c r="H69" s="6">
        <v>1078.23</v>
      </c>
      <c r="I69" s="6">
        <v>844.06</v>
      </c>
      <c r="J69" s="12">
        <f t="shared" si="2"/>
        <v>1.2368788948653009E-2</v>
      </c>
      <c r="K69" s="11">
        <v>5.9215915740198945E-3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2.9386096264941503E-2</v>
      </c>
      <c r="Q69" s="12">
        <v>0.31459127791954583</v>
      </c>
      <c r="R69" s="14">
        <v>54</v>
      </c>
    </row>
    <row r="70" spans="2:18" x14ac:dyDescent="0.5">
      <c r="B70" s="1" t="s">
        <v>637</v>
      </c>
      <c r="C70" t="s">
        <v>732</v>
      </c>
      <c r="D70" t="s">
        <v>174</v>
      </c>
      <c r="E70">
        <v>101.22</v>
      </c>
      <c r="F70" s="9" t="s">
        <v>71</v>
      </c>
      <c r="G70" s="7">
        <v>111185076224</v>
      </c>
      <c r="H70" s="6">
        <v>106.34</v>
      </c>
      <c r="I70" s="6">
        <v>37.68</v>
      </c>
      <c r="J70" s="12">
        <f t="shared" si="2"/>
        <v>1.6863057324840764</v>
      </c>
      <c r="K70" s="11">
        <v>9.879470460383323E-3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4.2492549735261363E-2</v>
      </c>
      <c r="Q70" s="12">
        <v>0.12894490157275285</v>
      </c>
      <c r="R70" s="14">
        <v>61</v>
      </c>
    </row>
    <row r="71" spans="2:18" x14ac:dyDescent="0.5">
      <c r="B71" s="1" t="s">
        <v>603</v>
      </c>
      <c r="C71" t="s">
        <v>691</v>
      </c>
      <c r="D71" t="s">
        <v>692</v>
      </c>
      <c r="E71">
        <v>77.62</v>
      </c>
      <c r="F71" s="9" t="s">
        <v>71</v>
      </c>
      <c r="G71" s="7">
        <v>26501083136</v>
      </c>
      <c r="H71" s="6">
        <v>125.68</v>
      </c>
      <c r="I71" s="6">
        <v>76.17</v>
      </c>
      <c r="J71" s="12">
        <f t="shared" si="2"/>
        <v>1.9036366023368778E-2</v>
      </c>
      <c r="K71" s="11">
        <v>7.7299665034784842E-3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5.032442669572583E-2</v>
      </c>
      <c r="Q71" s="12">
        <v>0.14681764935572042</v>
      </c>
      <c r="R71" s="14">
        <v>50</v>
      </c>
    </row>
    <row r="72" spans="2:18" x14ac:dyDescent="0.5">
      <c r="B72" s="1" t="s">
        <v>638</v>
      </c>
      <c r="C72" t="s">
        <v>733</v>
      </c>
      <c r="D72" t="s">
        <v>94</v>
      </c>
      <c r="E72">
        <v>63.28</v>
      </c>
      <c r="F72" s="9" t="s">
        <v>71</v>
      </c>
      <c r="G72" s="7">
        <v>93678657536</v>
      </c>
      <c r="H72" s="6">
        <v>82.44</v>
      </c>
      <c r="I72" s="6">
        <v>52.28</v>
      </c>
      <c r="J72" s="12">
        <f t="shared" si="2"/>
        <v>0.21040550879877573</v>
      </c>
      <c r="K72" s="11">
        <v>2.5442477876106196E-2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3.8073627665986085E-2</v>
      </c>
      <c r="Q72" s="12">
        <v>0.17479578828084424</v>
      </c>
      <c r="R72" s="14">
        <v>54</v>
      </c>
    </row>
    <row r="73" spans="2:18" x14ac:dyDescent="0.5">
      <c r="B73" s="1" t="s">
        <v>393</v>
      </c>
      <c r="C73" t="s">
        <v>406</v>
      </c>
      <c r="D73" t="s">
        <v>401</v>
      </c>
      <c r="E73">
        <v>286.73</v>
      </c>
      <c r="F73" s="9" t="s">
        <v>71</v>
      </c>
      <c r="G73" s="7">
        <v>61073494016</v>
      </c>
      <c r="H73" s="6">
        <v>329.09</v>
      </c>
      <c r="I73" s="6">
        <v>232.67</v>
      </c>
      <c r="J73" s="12">
        <f t="shared" si="2"/>
        <v>0.23234624145785898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2.2068723061881707E-2</v>
      </c>
      <c r="Q73" s="12">
        <v>0.2789323553382233</v>
      </c>
      <c r="R73" s="14">
        <v>57</v>
      </c>
    </row>
    <row r="74" spans="2:18" x14ac:dyDescent="0.5">
      <c r="B74" s="1" t="s">
        <v>596</v>
      </c>
      <c r="C74" t="s">
        <v>682</v>
      </c>
      <c r="D74" t="s">
        <v>683</v>
      </c>
      <c r="E74">
        <v>137.94999999999999</v>
      </c>
      <c r="F74" s="9" t="s">
        <v>71</v>
      </c>
      <c r="G74" s="7">
        <v>39108882432</v>
      </c>
      <c r="H74" s="6">
        <v>160.27000000000001</v>
      </c>
      <c r="I74" s="6">
        <v>96.43</v>
      </c>
      <c r="J74" s="12">
        <f t="shared" si="2"/>
        <v>0.43057139894223773</v>
      </c>
      <c r="K74" s="11">
        <v>7.1910112359550565E-3</v>
      </c>
      <c r="L74" s="13">
        <v>1547000000</v>
      </c>
      <c r="M74" s="13">
        <v>10095000000</v>
      </c>
      <c r="N74" s="9" t="s">
        <v>71</v>
      </c>
      <c r="O74" s="6">
        <v>1</v>
      </c>
      <c r="P74" s="12">
        <v>3.8034234931625423E-2</v>
      </c>
      <c r="Q74" s="12">
        <v>0.15324418028727094</v>
      </c>
      <c r="R74" s="14">
        <v>59</v>
      </c>
    </row>
    <row r="75" spans="2:18" x14ac:dyDescent="0.5">
      <c r="B75" s="1" t="s">
        <v>622</v>
      </c>
      <c r="C75" t="s">
        <v>713</v>
      </c>
      <c r="D75" t="s">
        <v>300</v>
      </c>
      <c r="E75">
        <v>135.35</v>
      </c>
      <c r="F75" s="9" t="s">
        <v>71</v>
      </c>
      <c r="G75" s="7">
        <v>16072699904</v>
      </c>
      <c r="H75" s="6">
        <v>168.44</v>
      </c>
      <c r="I75" s="6">
        <v>105.17821499999999</v>
      </c>
      <c r="J75" s="12">
        <f t="shared" si="2"/>
        <v>0.28686344410769848</v>
      </c>
      <c r="K75" s="11">
        <v>9.2353158478019944E-3</v>
      </c>
      <c r="L75" s="13">
        <v>689265000</v>
      </c>
      <c r="M75" s="13">
        <v>5877263000</v>
      </c>
      <c r="N75" s="9" t="s">
        <v>71</v>
      </c>
      <c r="O75" s="6">
        <v>1</v>
      </c>
      <c r="P75" s="12">
        <v>3.9280829894597434E-2</v>
      </c>
      <c r="Q75" s="12">
        <v>0.11727652820709232</v>
      </c>
      <c r="R75" s="14">
        <v>67</v>
      </c>
    </row>
    <row r="76" spans="2:18" x14ac:dyDescent="0.5">
      <c r="B76" s="1" t="s">
        <v>633</v>
      </c>
      <c r="C76" t="s">
        <v>727</v>
      </c>
      <c r="D76" t="s">
        <v>85</v>
      </c>
      <c r="E76">
        <v>67.28</v>
      </c>
      <c r="F76" s="9" t="s">
        <v>71</v>
      </c>
      <c r="G76" s="7">
        <v>18056314880</v>
      </c>
      <c r="H76" s="6">
        <v>86.24</v>
      </c>
      <c r="I76" s="6">
        <v>62.64</v>
      </c>
      <c r="J76" s="12">
        <f t="shared" si="2"/>
        <v>7.4074074074074181E-2</v>
      </c>
      <c r="K76" s="11">
        <v>2.6307966706302022E-2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4.9497927201796493E-2</v>
      </c>
      <c r="Q76" s="12">
        <v>0.11499133179001131</v>
      </c>
      <c r="R76" s="14">
        <v>56</v>
      </c>
    </row>
    <row r="77" spans="2:18" x14ac:dyDescent="0.5">
      <c r="B77" s="1" t="s">
        <v>627</v>
      </c>
      <c r="C77" t="s">
        <v>719</v>
      </c>
      <c r="D77" t="s">
        <v>716</v>
      </c>
      <c r="E77">
        <v>1080.3599999999999</v>
      </c>
      <c r="F77" s="9" t="s">
        <v>71</v>
      </c>
      <c r="G77" s="7">
        <v>968495988736</v>
      </c>
      <c r="H77" s="6">
        <v>1111.99</v>
      </c>
      <c r="I77" s="6">
        <v>623.78</v>
      </c>
      <c r="J77" s="12">
        <f t="shared" si="2"/>
        <v>0.73195677963384509</v>
      </c>
      <c r="K77" s="11">
        <v>5.3685808434225631E-3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1.3476204005154577E-2</v>
      </c>
      <c r="Q77" s="12">
        <v>0.28139718163821198</v>
      </c>
      <c r="R77" s="14">
        <v>58</v>
      </c>
    </row>
    <row r="78" spans="2:18" x14ac:dyDescent="0.5">
      <c r="B78" s="1" t="s">
        <v>585</v>
      </c>
      <c r="C78" t="s">
        <v>669</v>
      </c>
      <c r="D78" t="s">
        <v>314</v>
      </c>
      <c r="E78">
        <v>429.11</v>
      </c>
      <c r="F78" s="9" t="s">
        <v>71</v>
      </c>
      <c r="G78" s="7">
        <v>201213771776</v>
      </c>
      <c r="H78" s="6">
        <v>486.38</v>
      </c>
      <c r="I78" s="6">
        <v>387.78</v>
      </c>
      <c r="J78" s="12">
        <f t="shared" si="2"/>
        <v>0.10658105111145511</v>
      </c>
      <c r="K78" s="11">
        <v>1.3726084220829157E-2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4.1356740048319386E-2</v>
      </c>
      <c r="Q78" s="12">
        <v>0.15165368835301013</v>
      </c>
      <c r="R78" s="14">
        <v>55</v>
      </c>
    </row>
    <row r="79" spans="2:18" x14ac:dyDescent="0.5">
      <c r="B79" s="1" t="s">
        <v>624</v>
      </c>
      <c r="C79" t="s">
        <v>715</v>
      </c>
      <c r="D79" t="s">
        <v>716</v>
      </c>
      <c r="E79">
        <v>207.35</v>
      </c>
      <c r="F79" s="9" t="s">
        <v>71</v>
      </c>
      <c r="G79" s="7">
        <v>499567362048</v>
      </c>
      <c r="H79" s="6">
        <v>215.19</v>
      </c>
      <c r="I79" s="6">
        <v>140.68</v>
      </c>
      <c r="J79" s="12">
        <f t="shared" si="2"/>
        <v>0.47391242536252487</v>
      </c>
      <c r="K79" s="11">
        <v>2.4499638292741741E-2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3.4059995916091122E-2</v>
      </c>
      <c r="Q79" s="12">
        <v>0.16131478672635122</v>
      </c>
      <c r="R79" s="14">
        <v>60</v>
      </c>
    </row>
    <row r="80" spans="2:18" x14ac:dyDescent="0.5">
      <c r="B80" s="1" t="s">
        <v>599</v>
      </c>
      <c r="C80" t="s">
        <v>687</v>
      </c>
      <c r="D80" t="s">
        <v>435</v>
      </c>
      <c r="E80">
        <v>226.5</v>
      </c>
      <c r="F80" s="9" t="s">
        <v>71</v>
      </c>
      <c r="G80" s="7">
        <v>2421333950464</v>
      </c>
      <c r="H80" s="6">
        <v>258.60000000000002</v>
      </c>
      <c r="I80" s="6">
        <v>161.38</v>
      </c>
      <c r="J80" s="12">
        <f t="shared" si="2"/>
        <v>0.40351964307844845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2.8712873863612202E-2</v>
      </c>
      <c r="Q80" s="12">
        <v>0.20975034923935226</v>
      </c>
      <c r="R80" s="14">
        <v>59</v>
      </c>
    </row>
    <row r="81" spans="2:18" x14ac:dyDescent="0.5">
      <c r="B81" s="1" t="s">
        <v>604</v>
      </c>
      <c r="C81" t="s">
        <v>693</v>
      </c>
      <c r="D81" t="s">
        <v>694</v>
      </c>
      <c r="E81">
        <v>53.52</v>
      </c>
      <c r="F81" s="9" t="s">
        <v>71</v>
      </c>
      <c r="G81" s="7">
        <v>45546741760</v>
      </c>
      <c r="H81" s="6">
        <v>81.09</v>
      </c>
      <c r="I81" s="6">
        <v>50.3</v>
      </c>
      <c r="J81" s="12">
        <f t="shared" si="2"/>
        <v>6.4015904572564786E-2</v>
      </c>
      <c r="K81" s="11">
        <v>1.6816143497757848E-2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5.2571720750831982E-2</v>
      </c>
      <c r="Q81" s="12">
        <v>0.10827421374103721</v>
      </c>
      <c r="R81" s="14">
        <v>55</v>
      </c>
    </row>
    <row r="82" spans="2:18" x14ac:dyDescent="0.5">
      <c r="B82" s="1" t="s">
        <v>620</v>
      </c>
      <c r="C82" t="s">
        <v>711</v>
      </c>
      <c r="D82" t="s">
        <v>401</v>
      </c>
      <c r="E82">
        <v>629.46</v>
      </c>
      <c r="F82" s="9" t="s">
        <v>71</v>
      </c>
      <c r="G82" s="7">
        <v>175241674752</v>
      </c>
      <c r="H82" s="6">
        <v>813.7</v>
      </c>
      <c r="I82" s="6">
        <v>532.65</v>
      </c>
      <c r="J82" s="12">
        <f t="shared" si="2"/>
        <v>0.18175161926217975</v>
      </c>
      <c r="K82" s="11">
        <v>6.8630254503860453E-3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2.8386002181547385E-2</v>
      </c>
      <c r="Q82" s="12">
        <v>0.19783514386948564</v>
      </c>
      <c r="R82" s="14">
        <v>62</v>
      </c>
    </row>
    <row r="83" spans="2:18" x14ac:dyDescent="0.5">
      <c r="B83" s="1" t="s">
        <v>610</v>
      </c>
      <c r="C83" t="s">
        <v>700</v>
      </c>
      <c r="D83" t="s">
        <v>656</v>
      </c>
      <c r="E83">
        <v>136.82</v>
      </c>
      <c r="F83" s="9" t="s">
        <v>71</v>
      </c>
      <c r="G83" s="7">
        <v>30116665344</v>
      </c>
      <c r="H83" s="6">
        <v>139.83000000000001</v>
      </c>
      <c r="I83" s="6">
        <v>66.430000000000007</v>
      </c>
      <c r="J83" s="12">
        <f t="shared" si="2"/>
        <v>1.0596116212554567</v>
      </c>
      <c r="K83" s="11">
        <v>1.7248940213419092E-2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3.6745269151329127E-2</v>
      </c>
      <c r="Q83" s="12">
        <v>0.1255529971554025</v>
      </c>
      <c r="R83" s="14">
        <v>68</v>
      </c>
    </row>
    <row r="84" spans="2:18" x14ac:dyDescent="0.5">
      <c r="B84" s="1" t="s">
        <v>606</v>
      </c>
      <c r="C84" t="s">
        <v>696</v>
      </c>
      <c r="D84" t="s">
        <v>164</v>
      </c>
      <c r="E84">
        <v>82.64</v>
      </c>
      <c r="F84" s="9" t="s">
        <v>71</v>
      </c>
      <c r="G84" s="7">
        <v>20131823616</v>
      </c>
      <c r="H84" s="6">
        <v>116.46</v>
      </c>
      <c r="I84" s="6">
        <v>81.33</v>
      </c>
      <c r="J84" s="12">
        <f t="shared" si="2"/>
        <v>1.6107217508914307E-2</v>
      </c>
      <c r="K84" s="11">
        <v>1.4157792836398838E-2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3.9831887973223921E-2</v>
      </c>
      <c r="Q84" s="12">
        <v>0.12966460535534774</v>
      </c>
      <c r="R84" s="14">
        <v>63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218.4</v>
      </c>
      <c r="F85" s="9" t="s">
        <v>71</v>
      </c>
      <c r="G85" s="7">
        <v>87986159616</v>
      </c>
      <c r="H85" s="6">
        <v>242.58</v>
      </c>
      <c r="I85" s="6">
        <v>194.11</v>
      </c>
      <c r="J85" s="12">
        <f t="shared" si="2"/>
        <v>0.12513523260007209</v>
      </c>
      <c r="K85" s="11">
        <v>1.4766483516483516E-2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3.6385766759809215E-2</v>
      </c>
      <c r="Q85" s="12">
        <v>0.12615078377705896</v>
      </c>
      <c r="R85" s="14">
        <v>68</v>
      </c>
    </row>
    <row r="86" spans="2:18" x14ac:dyDescent="0.5">
      <c r="B86" s="1" t="s">
        <v>598</v>
      </c>
      <c r="C86" t="s">
        <v>685</v>
      </c>
      <c r="D86" t="s">
        <v>686</v>
      </c>
      <c r="E86">
        <v>174.8</v>
      </c>
      <c r="F86" s="9" t="s">
        <v>71</v>
      </c>
      <c r="G86" s="7">
        <v>81850318848</v>
      </c>
      <c r="H86" s="6">
        <v>234.33</v>
      </c>
      <c r="I86" s="6">
        <v>170.77</v>
      </c>
      <c r="J86" s="12">
        <f t="shared" si="2"/>
        <v>2.3598992797329688E-2</v>
      </c>
      <c r="K86" s="11">
        <v>3.8443935926773448E-2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4.0622812963158304E-2</v>
      </c>
      <c r="Q86" s="12">
        <v>0.12609818473573361</v>
      </c>
      <c r="R86" s="14">
        <v>64</v>
      </c>
    </row>
    <row r="87" spans="2:18" x14ac:dyDescent="0.5">
      <c r="B87" s="1" t="s">
        <v>581</v>
      </c>
      <c r="C87" t="s">
        <v>664</v>
      </c>
      <c r="D87" t="s">
        <v>99</v>
      </c>
      <c r="E87">
        <v>159.99</v>
      </c>
      <c r="F87" s="9" t="s">
        <v>71</v>
      </c>
      <c r="G87" s="7">
        <v>91581972480</v>
      </c>
      <c r="H87" s="6">
        <v>189.35</v>
      </c>
      <c r="I87" s="6">
        <v>142.29</v>
      </c>
      <c r="J87" s="12">
        <f t="shared" si="2"/>
        <v>0.12439384355892913</v>
      </c>
      <c r="K87" s="11">
        <v>1.1813238327395462E-2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4.0721109112848257E-2</v>
      </c>
      <c r="Q87" s="12">
        <v>9.4512131625533694E-2</v>
      </c>
      <c r="R87" s="14">
        <v>68</v>
      </c>
    </row>
    <row r="88" spans="2:18" x14ac:dyDescent="0.5">
      <c r="B88" s="1" t="s">
        <v>614</v>
      </c>
      <c r="C88" t="s">
        <v>704</v>
      </c>
      <c r="D88" t="s">
        <v>658</v>
      </c>
      <c r="E88">
        <v>85.33</v>
      </c>
      <c r="F88" s="9" t="s">
        <v>71</v>
      </c>
      <c r="G88" s="7">
        <v>50097246208</v>
      </c>
      <c r="H88" s="6">
        <v>87.89</v>
      </c>
      <c r="I88" s="6">
        <v>65.94</v>
      </c>
      <c r="J88" s="12">
        <f t="shared" si="2"/>
        <v>0.29405520169851385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3.2834195066123187E-2</v>
      </c>
      <c r="Q88" s="12">
        <v>0.14796953596134427</v>
      </c>
      <c r="R88" s="14">
        <v>69</v>
      </c>
    </row>
    <row r="89" spans="2:18" x14ac:dyDescent="0.5">
      <c r="B89" s="1" t="s">
        <v>612</v>
      </c>
      <c r="C89" t="s">
        <v>702</v>
      </c>
      <c r="D89" t="s">
        <v>663</v>
      </c>
      <c r="E89">
        <v>117.44</v>
      </c>
      <c r="F89" s="9" t="s">
        <v>71</v>
      </c>
      <c r="G89" s="7">
        <v>91328536576</v>
      </c>
      <c r="H89" s="6">
        <v>130.03</v>
      </c>
      <c r="I89" s="6">
        <v>105.2</v>
      </c>
      <c r="J89" s="12">
        <f t="shared" si="2"/>
        <v>0.11634980988593147</v>
      </c>
      <c r="K89" s="11">
        <v>3.5762942779291554E-2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4.8671012257455161E-2</v>
      </c>
      <c r="Q89" s="12">
        <v>6.4290318228830967E-2</v>
      </c>
      <c r="R89" s="14">
        <v>66</v>
      </c>
    </row>
    <row r="90" spans="2:18" x14ac:dyDescent="0.5">
      <c r="B90" s="1" t="s">
        <v>588</v>
      </c>
      <c r="C90" t="s">
        <v>672</v>
      </c>
      <c r="D90" t="s">
        <v>658</v>
      </c>
      <c r="E90">
        <v>348.18</v>
      </c>
      <c r="F90" s="9" t="s">
        <v>71</v>
      </c>
      <c r="G90" s="7">
        <v>133152260096</v>
      </c>
      <c r="H90" s="6">
        <v>406.19</v>
      </c>
      <c r="I90" s="6">
        <v>329.16</v>
      </c>
      <c r="J90" s="12">
        <f t="shared" si="2"/>
        <v>5.7783448778709445E-2</v>
      </c>
      <c r="K90" s="11">
        <v>9.6501809408926411E-3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3.2607193155688025E-2</v>
      </c>
      <c r="Q90" s="12">
        <v>0.13630919342116796</v>
      </c>
      <c r="R90" s="14">
        <v>73</v>
      </c>
    </row>
    <row r="91" spans="2:18" x14ac:dyDescent="0.5">
      <c r="B91" s="1" t="s">
        <v>417</v>
      </c>
      <c r="C91" t="s">
        <v>426</v>
      </c>
      <c r="D91" t="s">
        <v>427</v>
      </c>
      <c r="E91">
        <v>81.11</v>
      </c>
      <c r="F91" s="9" t="s">
        <v>71</v>
      </c>
      <c r="G91" s="7">
        <v>16125391872</v>
      </c>
      <c r="H91" s="6">
        <v>100.24</v>
      </c>
      <c r="I91" s="6">
        <v>61.78</v>
      </c>
      <c r="J91" s="12">
        <f t="shared" si="2"/>
        <v>0.31288442861767551</v>
      </c>
      <c r="K91" s="11">
        <v>0</v>
      </c>
      <c r="L91" s="13">
        <v>666500000</v>
      </c>
      <c r="M91" s="13">
        <v>10741700000</v>
      </c>
      <c r="N91" s="9" t="s">
        <v>71</v>
      </c>
      <c r="O91" s="6">
        <v>1</v>
      </c>
      <c r="P91" s="12">
        <v>3.5987942425256672E-2</v>
      </c>
      <c r="Q91" s="12">
        <v>6.2047906755913866E-2</v>
      </c>
      <c r="R91" s="14">
        <v>78</v>
      </c>
    </row>
    <row r="92" spans="2:18" x14ac:dyDescent="0.5">
      <c r="B92" s="1" t="s">
        <v>577</v>
      </c>
      <c r="C92" t="s">
        <v>657</v>
      </c>
      <c r="D92" t="s">
        <v>658</v>
      </c>
      <c r="E92">
        <v>124.19</v>
      </c>
      <c r="F92" s="9" t="s">
        <v>71</v>
      </c>
      <c r="G92" s="7">
        <v>216147607552</v>
      </c>
      <c r="H92" s="6">
        <v>141.22999999999999</v>
      </c>
      <c r="I92" s="6">
        <v>110.86</v>
      </c>
      <c r="J92" s="12">
        <f t="shared" si="2"/>
        <v>0.12024174634674356</v>
      </c>
      <c r="K92" s="11">
        <v>1.9003140349464528E-2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3.387122200414816E-2</v>
      </c>
      <c r="Q92" s="12">
        <v>0.12254608425447895</v>
      </c>
      <c r="R92" s="14">
        <v>74</v>
      </c>
    </row>
    <row r="93" spans="2:18" x14ac:dyDescent="0.5">
      <c r="B93" s="1" t="s">
        <v>597</v>
      </c>
      <c r="C93" t="s">
        <v>684</v>
      </c>
      <c r="D93" t="s">
        <v>663</v>
      </c>
      <c r="E93">
        <v>115.81</v>
      </c>
      <c r="F93" s="9" t="s">
        <v>71</v>
      </c>
      <c r="G93" s="7">
        <v>61989109760</v>
      </c>
      <c r="H93" s="6">
        <v>124.8</v>
      </c>
      <c r="I93" s="6">
        <v>89.91</v>
      </c>
      <c r="J93" s="12">
        <f t="shared" si="2"/>
        <v>0.2880658436213992</v>
      </c>
      <c r="K93" s="11">
        <v>3.2121578447457041E-2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4.3754005829537264E-2</v>
      </c>
      <c r="Q93" s="12">
        <v>6.5256883889147757E-2</v>
      </c>
      <c r="R93" s="14">
        <v>72</v>
      </c>
    </row>
    <row r="94" spans="2:18" x14ac:dyDescent="0.5">
      <c r="B94" s="1" t="s">
        <v>583</v>
      </c>
      <c r="C94" t="s">
        <v>667</v>
      </c>
      <c r="D94" t="s">
        <v>401</v>
      </c>
      <c r="E94">
        <v>434.54</v>
      </c>
      <c r="F94" s="9" t="s">
        <v>71</v>
      </c>
      <c r="G94" s="7">
        <v>46772768768</v>
      </c>
      <c r="H94" s="6">
        <v>595.16999999999996</v>
      </c>
      <c r="I94" s="6">
        <v>428.18950000000001</v>
      </c>
      <c r="J94" s="12">
        <f t="shared" si="2"/>
        <v>1.4831050270966539E-2</v>
      </c>
      <c r="K94" s="11">
        <v>7.5942375845721903E-3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4.1036780495757506E-2</v>
      </c>
      <c r="Q94" s="12">
        <v>8.4044906495134117E-2</v>
      </c>
      <c r="R94" s="14">
        <v>71</v>
      </c>
    </row>
    <row r="95" spans="2:18" x14ac:dyDescent="0.5">
      <c r="B95" s="1" t="s">
        <v>644</v>
      </c>
      <c r="C95" t="s">
        <v>742</v>
      </c>
      <c r="D95" t="s">
        <v>363</v>
      </c>
      <c r="E95">
        <v>195.71</v>
      </c>
      <c r="F95" s="9" t="s">
        <v>71</v>
      </c>
      <c r="G95" s="7">
        <v>562300256256</v>
      </c>
      <c r="H95" s="6">
        <v>345.72</v>
      </c>
      <c r="I95" s="6">
        <v>118.86</v>
      </c>
      <c r="J95" s="12">
        <f t="shared" si="2"/>
        <v>0.64655897694766962</v>
      </c>
      <c r="K95" s="11">
        <v>1.0219201880333146E-2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2.7055378386342286E-2</v>
      </c>
      <c r="Q95" s="12">
        <v>0.15694706199842504</v>
      </c>
      <c r="R95" s="14">
        <v>75</v>
      </c>
    </row>
    <row r="96" spans="2:18" x14ac:dyDescent="0.5">
      <c r="B96" s="1" t="s">
        <v>640</v>
      </c>
      <c r="C96" t="s">
        <v>735</v>
      </c>
      <c r="D96" t="s">
        <v>401</v>
      </c>
      <c r="E96">
        <v>147.44999999999999</v>
      </c>
      <c r="F96" s="9" t="s">
        <v>71</v>
      </c>
      <c r="G96" s="7">
        <v>153110708224</v>
      </c>
      <c r="H96" s="6">
        <v>239.61799999999999</v>
      </c>
      <c r="I96" s="6">
        <v>135.732</v>
      </c>
      <c r="J96" s="12">
        <f t="shared" si="2"/>
        <v>8.6331889311289878E-2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1.1503435061738699E-2</v>
      </c>
      <c r="Q96" s="12">
        <v>0.15867723914218779</v>
      </c>
      <c r="R96" s="14">
        <v>76</v>
      </c>
    </row>
    <row r="97" spans="2:18" x14ac:dyDescent="0.5">
      <c r="B97" s="1" t="s">
        <v>390</v>
      </c>
      <c r="C97" t="s">
        <v>403</v>
      </c>
      <c r="D97" t="s">
        <v>401</v>
      </c>
      <c r="E97">
        <v>253.62</v>
      </c>
      <c r="F97" s="9" t="s">
        <v>71</v>
      </c>
      <c r="G97" s="7">
        <v>241446240256</v>
      </c>
      <c r="H97" s="6">
        <v>367.09</v>
      </c>
      <c r="I97" s="6">
        <v>221.96</v>
      </c>
      <c r="J97" s="12">
        <f t="shared" si="2"/>
        <v>0.1426383132095872</v>
      </c>
      <c r="K97" s="11">
        <v>6.4979102594432611E-3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3.1419289525501763E-2</v>
      </c>
      <c r="Q97" s="12">
        <v>0.1101341838347269</v>
      </c>
      <c r="R97" s="14">
        <v>77</v>
      </c>
    </row>
    <row r="98" spans="2:18" x14ac:dyDescent="0.5">
      <c r="B98" s="1" t="s">
        <v>601</v>
      </c>
      <c r="C98" t="s">
        <v>689</v>
      </c>
      <c r="D98" t="s">
        <v>427</v>
      </c>
      <c r="E98">
        <v>194.94</v>
      </c>
      <c r="F98" s="9" t="s">
        <v>71</v>
      </c>
      <c r="G98" s="7">
        <v>55639494656</v>
      </c>
      <c r="H98" s="6">
        <v>251.99</v>
      </c>
      <c r="I98" s="6">
        <v>162.29</v>
      </c>
      <c r="J98" s="12">
        <f t="shared" ref="J98:J115" si="3">E98/I98-1</f>
        <v>0.2011830673485735</v>
      </c>
      <c r="K98" s="11">
        <v>2.1339899456242949E-2</v>
      </c>
      <c r="L98" s="13">
        <v>2494000000</v>
      </c>
      <c r="M98" s="13">
        <v>44571000000</v>
      </c>
      <c r="N98" s="9" t="s">
        <v>71</v>
      </c>
      <c r="O98" s="6">
        <v>1</v>
      </c>
      <c r="P98" s="12">
        <v>3.362115112222961E-2</v>
      </c>
      <c r="Q98" s="12">
        <v>5.5955666240380515E-2</v>
      </c>
      <c r="R98" s="14">
        <v>81</v>
      </c>
    </row>
    <row r="99" spans="2:18" x14ac:dyDescent="0.5">
      <c r="B99" s="1" t="s">
        <v>647</v>
      </c>
      <c r="C99" t="s">
        <v>745</v>
      </c>
      <c r="D99" t="s">
        <v>746</v>
      </c>
      <c r="E99">
        <v>129.05000000000001</v>
      </c>
      <c r="F99" s="9" t="s">
        <v>71</v>
      </c>
      <c r="G99" s="7">
        <v>119870291968</v>
      </c>
      <c r="H99" s="6">
        <v>131.69999999999999</v>
      </c>
      <c r="I99" s="6">
        <v>85.35</v>
      </c>
      <c r="J99" s="12">
        <f t="shared" si="3"/>
        <v>0.51200937316930317</v>
      </c>
      <c r="K99" s="11">
        <v>3.091824874079814E-2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3.3004312830038698E-2</v>
      </c>
      <c r="Q99" s="12">
        <v>5.8421389886397626E-2</v>
      </c>
      <c r="R99" s="14">
        <v>82</v>
      </c>
    </row>
    <row r="100" spans="2:18" x14ac:dyDescent="0.5">
      <c r="B100" s="1" t="s">
        <v>580</v>
      </c>
      <c r="C100" t="s">
        <v>662</v>
      </c>
      <c r="D100" t="s">
        <v>663</v>
      </c>
      <c r="E100">
        <v>80.930000000000007</v>
      </c>
      <c r="F100" s="9" t="s">
        <v>71</v>
      </c>
      <c r="G100" s="7">
        <v>168545599488</v>
      </c>
      <c r="H100" s="6">
        <v>87.53</v>
      </c>
      <c r="I100" s="6">
        <v>61.72</v>
      </c>
      <c r="J100" s="12">
        <f t="shared" si="3"/>
        <v>0.31124432922877521</v>
      </c>
      <c r="K100" s="11">
        <v>2.7369331521067585E-2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3.3168719463616193E-2</v>
      </c>
      <c r="Q100" s="12">
        <v>6.2461301478472293E-2</v>
      </c>
      <c r="R100" s="14">
        <v>80</v>
      </c>
    </row>
    <row r="101" spans="2:18" x14ac:dyDescent="0.5">
      <c r="B101" s="1" t="s">
        <v>354</v>
      </c>
      <c r="C101" t="s">
        <v>356</v>
      </c>
      <c r="D101" t="s">
        <v>85</v>
      </c>
      <c r="E101">
        <v>24.39</v>
      </c>
      <c r="F101" s="9" t="s">
        <v>71</v>
      </c>
      <c r="G101" s="7">
        <v>28869357568</v>
      </c>
      <c r="H101" s="6">
        <v>33.35</v>
      </c>
      <c r="I101" s="6">
        <v>23.6</v>
      </c>
      <c r="J101" s="12">
        <f t="shared" si="3"/>
        <v>3.3474576271186329E-2</v>
      </c>
      <c r="K101" s="11">
        <v>6.5600656006560065E-2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3.7296149356393277E-2</v>
      </c>
      <c r="Q101" s="12">
        <v>2.5603151157065487E-2</v>
      </c>
      <c r="R101" s="14">
        <v>79</v>
      </c>
    </row>
    <row r="102" spans="2:18" x14ac:dyDescent="0.5">
      <c r="B102" s="1" t="s">
        <v>579</v>
      </c>
      <c r="C102" t="s">
        <v>661</v>
      </c>
      <c r="D102" t="s">
        <v>193</v>
      </c>
      <c r="E102">
        <v>347.62</v>
      </c>
      <c r="F102" s="9" t="s">
        <v>71</v>
      </c>
      <c r="G102" s="7">
        <v>1648161456128</v>
      </c>
      <c r="H102" s="6">
        <v>414.61</v>
      </c>
      <c r="I102" s="6">
        <v>138.1</v>
      </c>
      <c r="J102" s="12">
        <f t="shared" si="3"/>
        <v>1.517161477190442</v>
      </c>
      <c r="K102" s="11">
        <v>6.9616247626718827E-3</v>
      </c>
      <c r="L102" s="13">
        <v>25939000000</v>
      </c>
      <c r="M102" s="13">
        <v>146428000000</v>
      </c>
      <c r="N102" s="9" t="s">
        <v>71</v>
      </c>
      <c r="O102" s="6">
        <v>1</v>
      </c>
      <c r="P102" s="12">
        <v>1.5284133303839533E-2</v>
      </c>
      <c r="Q102" s="12">
        <v>0.17714508154178163</v>
      </c>
      <c r="R102" s="14">
        <v>70</v>
      </c>
    </row>
    <row r="103" spans="2:18" x14ac:dyDescent="0.5">
      <c r="B103" s="1" t="s">
        <v>636</v>
      </c>
      <c r="C103" t="s">
        <v>730</v>
      </c>
      <c r="D103" t="s">
        <v>731</v>
      </c>
      <c r="E103">
        <v>5.08</v>
      </c>
      <c r="F103" s="9" t="s">
        <v>71</v>
      </c>
      <c r="G103" s="7">
        <v>3055620096</v>
      </c>
      <c r="H103" s="6">
        <v>6.34</v>
      </c>
      <c r="I103" s="6">
        <v>3.51</v>
      </c>
      <c r="J103" s="12">
        <f t="shared" si="3"/>
        <v>0.44729344729344733</v>
      </c>
      <c r="K103" s="11">
        <v>6.2992125984251968E-2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3.3062511384270687E-2</v>
      </c>
      <c r="Q103" s="12">
        <v>2.8276478032308101E-2</v>
      </c>
      <c r="R103" s="14">
        <v>84</v>
      </c>
    </row>
    <row r="104" spans="2:18" x14ac:dyDescent="0.5">
      <c r="B104" s="1" t="s">
        <v>623</v>
      </c>
      <c r="C104" t="s">
        <v>714</v>
      </c>
      <c r="D104" t="s">
        <v>694</v>
      </c>
      <c r="E104">
        <v>122.31</v>
      </c>
      <c r="F104" s="9" t="s">
        <v>71</v>
      </c>
      <c r="G104" s="7">
        <v>80037888000</v>
      </c>
      <c r="H104" s="6">
        <v>123.78</v>
      </c>
      <c r="I104" s="6">
        <v>68.03</v>
      </c>
      <c r="J104" s="12">
        <f t="shared" si="3"/>
        <v>0.7978832867852419</v>
      </c>
      <c r="K104" s="11">
        <v>1.2345679012345678E-2</v>
      </c>
      <c r="L104" s="13">
        <v>2196000000</v>
      </c>
      <c r="M104" s="13">
        <v>22807000000</v>
      </c>
      <c r="N104" s="9" t="s">
        <v>71</v>
      </c>
      <c r="O104" s="6">
        <v>1</v>
      </c>
      <c r="P104" s="12">
        <v>2.4525656382956198E-2</v>
      </c>
      <c r="Q104" s="12">
        <v>9.6286227912483008E-2</v>
      </c>
      <c r="R104" s="14">
        <v>83</v>
      </c>
    </row>
    <row r="105" spans="2:18" x14ac:dyDescent="0.5">
      <c r="B105" s="1" t="s">
        <v>649</v>
      </c>
      <c r="C105" t="s">
        <v>748</v>
      </c>
      <c r="D105" t="s">
        <v>746</v>
      </c>
      <c r="E105">
        <v>39.03</v>
      </c>
      <c r="F105" s="9" t="s">
        <v>71</v>
      </c>
      <c r="G105" s="7">
        <v>9555627008</v>
      </c>
      <c r="H105" s="6">
        <v>44.38</v>
      </c>
      <c r="I105" s="6">
        <v>29.68</v>
      </c>
      <c r="J105" s="12">
        <f t="shared" si="3"/>
        <v>0.31502695417789761</v>
      </c>
      <c r="K105" s="11">
        <v>4.3761209326159366E-2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2.9934098909100926E-2</v>
      </c>
      <c r="Q105" s="12">
        <v>3.3395007067698795E-2</v>
      </c>
      <c r="R105" s="14">
        <v>86</v>
      </c>
    </row>
    <row r="106" spans="2:18" x14ac:dyDescent="0.5">
      <c r="B106" s="1" t="s">
        <v>584</v>
      </c>
      <c r="C106" t="s">
        <v>668</v>
      </c>
      <c r="D106" t="s">
        <v>385</v>
      </c>
      <c r="E106">
        <v>57.31</v>
      </c>
      <c r="F106" s="9" t="s">
        <v>71</v>
      </c>
      <c r="G106" s="7">
        <v>52719800320</v>
      </c>
      <c r="H106" s="6">
        <v>61.09</v>
      </c>
      <c r="I106" s="6">
        <v>50.71</v>
      </c>
      <c r="J106" s="12">
        <f t="shared" si="3"/>
        <v>0.13015184381778755</v>
      </c>
      <c r="K106" s="11">
        <v>5.5923922526609667E-2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2.4446382857546061E-2</v>
      </c>
      <c r="Q106" s="12">
        <v>2.969284375856223E-2</v>
      </c>
      <c r="R106" s="14">
        <v>87</v>
      </c>
    </row>
    <row r="107" spans="2:18" x14ac:dyDescent="0.5">
      <c r="B107" s="1" t="s">
        <v>613</v>
      </c>
      <c r="C107" t="s">
        <v>703</v>
      </c>
      <c r="D107" t="s">
        <v>164</v>
      </c>
      <c r="E107">
        <v>106.76</v>
      </c>
      <c r="F107" s="9" t="s">
        <v>71</v>
      </c>
      <c r="G107" s="7">
        <v>38472060928</v>
      </c>
      <c r="H107" s="6">
        <v>110.37</v>
      </c>
      <c r="I107" s="6">
        <v>48.37</v>
      </c>
      <c r="J107" s="12">
        <f t="shared" si="3"/>
        <v>1.2071531941285922</v>
      </c>
      <c r="K107" s="11">
        <v>1.3113525665043086E-2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-1.5171688560561539E-2</v>
      </c>
      <c r="Q107" s="12">
        <v>-6.1080307637274192E-2</v>
      </c>
      <c r="R107" s="14">
        <v>90</v>
      </c>
    </row>
    <row r="108" spans="2:18" x14ac:dyDescent="0.5">
      <c r="B108" s="1" t="s">
        <v>355</v>
      </c>
      <c r="C108" t="s">
        <v>357</v>
      </c>
      <c r="D108" t="s">
        <v>358</v>
      </c>
      <c r="E108">
        <v>20.51</v>
      </c>
      <c r="F108" s="9" t="s">
        <v>71</v>
      </c>
      <c r="G108" s="7">
        <v>6906546688</v>
      </c>
      <c r="H108" s="6">
        <v>27.41</v>
      </c>
      <c r="I108" s="6">
        <v>18.690000000000001</v>
      </c>
      <c r="J108" s="12">
        <f t="shared" si="3"/>
        <v>9.7378277153558068E-2</v>
      </c>
      <c r="K108" s="11">
        <v>5.2657240370550952E-2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-7.9967070679482707E-2</v>
      </c>
      <c r="Q108" s="12">
        <v>-6.3825819385519136E-2</v>
      </c>
      <c r="R108" s="14">
        <v>91</v>
      </c>
    </row>
    <row r="109" spans="2:18" x14ac:dyDescent="0.5">
      <c r="B109" s="1" t="s">
        <v>392</v>
      </c>
      <c r="C109" t="s">
        <v>405</v>
      </c>
      <c r="D109" t="s">
        <v>193</v>
      </c>
      <c r="E109">
        <v>39.380000000000003</v>
      </c>
      <c r="F109" s="9" t="s">
        <v>71</v>
      </c>
      <c r="G109" s="7">
        <v>187842592768</v>
      </c>
      <c r="H109" s="6">
        <v>44.02</v>
      </c>
      <c r="I109" s="6">
        <v>17.670000000000002</v>
      </c>
      <c r="J109" s="12">
        <f t="shared" si="3"/>
        <v>1.2286361063950197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-4.4319670949623226E-2</v>
      </c>
      <c r="Q109" s="12">
        <v>-6.8166745935517581E-2</v>
      </c>
      <c r="R109" s="14">
        <v>91</v>
      </c>
    </row>
    <row r="110" spans="2:18" x14ac:dyDescent="0.5">
      <c r="B110" s="1" t="s">
        <v>572</v>
      </c>
      <c r="C110" t="s">
        <v>650</v>
      </c>
      <c r="D110" t="s">
        <v>358</v>
      </c>
      <c r="E110">
        <v>28.51</v>
      </c>
      <c r="F110" s="9" t="s">
        <v>71</v>
      </c>
      <c r="G110" s="7">
        <v>70659145728</v>
      </c>
      <c r="H110" s="6">
        <v>30</v>
      </c>
      <c r="I110" s="6">
        <v>7.52</v>
      </c>
      <c r="J110" s="12">
        <f t="shared" si="3"/>
        <v>2.7912234042553195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-8.937346904000977E-2</v>
      </c>
      <c r="Q110" s="12">
        <v>-0.12742378504799978</v>
      </c>
      <c r="R110" s="14">
        <v>92</v>
      </c>
    </row>
    <row r="111" spans="2:18" x14ac:dyDescent="0.5">
      <c r="B111" s="1" t="s">
        <v>600</v>
      </c>
      <c r="C111" t="s">
        <v>688</v>
      </c>
      <c r="D111" t="s">
        <v>240</v>
      </c>
      <c r="E111">
        <v>372.73</v>
      </c>
      <c r="F111" s="9" t="s">
        <v>71</v>
      </c>
      <c r="G111" s="7">
        <v>259376201728</v>
      </c>
      <c r="H111" s="6">
        <v>387.49</v>
      </c>
      <c r="I111" s="6">
        <v>220.43</v>
      </c>
      <c r="J111" s="12">
        <f t="shared" si="3"/>
        <v>0.69092228825477475</v>
      </c>
      <c r="K111" s="11">
        <v>8.4779867464384404E-3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749</v>
      </c>
      <c r="C112" t="s">
        <v>753</v>
      </c>
      <c r="D112" t="s">
        <v>683</v>
      </c>
      <c r="E112">
        <v>230.4</v>
      </c>
      <c r="F112" s="9" t="s">
        <v>71</v>
      </c>
      <c r="G112" s="7">
        <v>164978278400</v>
      </c>
      <c r="H112" s="6">
        <v>258.23</v>
      </c>
      <c r="I112" s="6">
        <v>171</v>
      </c>
      <c r="J112" s="12">
        <f t="shared" si="3"/>
        <v>0.34736842105263155</v>
      </c>
      <c r="K112" s="11">
        <v>5.3385416666666668E-3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2.734852418921201E-2</v>
      </c>
      <c r="Q112" s="12">
        <v>7.5120522365289558E-2</v>
      </c>
      <c r="R112" s="14">
        <v>85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914.34</v>
      </c>
      <c r="F113" s="9" t="s">
        <v>71</v>
      </c>
      <c r="G113" s="7">
        <v>276790018048</v>
      </c>
      <c r="H113" s="6">
        <v>919.1</v>
      </c>
      <c r="I113" s="6">
        <v>439.38</v>
      </c>
      <c r="J113" s="12">
        <f t="shared" si="3"/>
        <v>1.0809777413628296</v>
      </c>
      <c r="K113" s="11">
        <v>1.4217905811842421E-2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561.98</v>
      </c>
      <c r="F114" s="9" t="s">
        <v>71</v>
      </c>
      <c r="G114" s="7">
        <v>201456615424</v>
      </c>
      <c r="H114" s="6">
        <v>616</v>
      </c>
      <c r="I114" s="6">
        <v>425</v>
      </c>
      <c r="J114" s="12">
        <f t="shared" si="3"/>
        <v>0.32230588235294122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52.39</v>
      </c>
      <c r="F115" s="9" t="s">
        <v>71</v>
      </c>
      <c r="G115" s="7">
        <v>232793899008</v>
      </c>
      <c r="H115" s="6">
        <v>93.8</v>
      </c>
      <c r="I115" s="6">
        <v>43.08</v>
      </c>
      <c r="J115" s="12">
        <f t="shared" si="3"/>
        <v>0.21610956360259981</v>
      </c>
      <c r="K115" s="11">
        <v>0.2223706814277534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2026-01-14T06:50:55Z</dcterms:modified>
</cp:coreProperties>
</file>