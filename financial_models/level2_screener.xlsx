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5FE2A44-47F6-4870-B67B-4BBD5DDE9F01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3" l="1"/>
  <c r="J3" i="3"/>
  <c r="J4" i="3"/>
  <c r="J5" i="3"/>
  <c r="J6" i="3"/>
  <c r="J8" i="3"/>
  <c r="J7" i="3"/>
  <c r="J9" i="3"/>
  <c r="J10" i="3"/>
  <c r="J11" i="3"/>
  <c r="J17" i="3"/>
  <c r="J12" i="3"/>
  <c r="J14" i="3"/>
  <c r="J16" i="3"/>
  <c r="J13" i="3"/>
  <c r="J15" i="3"/>
  <c r="J23" i="3"/>
  <c r="J27" i="3"/>
  <c r="J19" i="3"/>
  <c r="J18" i="3"/>
  <c r="J24" i="3"/>
  <c r="J20" i="3"/>
  <c r="J25" i="3"/>
  <c r="J28" i="3"/>
  <c r="J22" i="3"/>
  <c r="J21" i="3"/>
  <c r="J26" i="3"/>
  <c r="J30" i="3"/>
  <c r="J31" i="3"/>
  <c r="J32" i="3"/>
  <c r="J33" i="3"/>
  <c r="J34" i="3"/>
  <c r="J29" i="3"/>
  <c r="J62" i="3"/>
  <c r="J35" i="3"/>
  <c r="J37" i="3"/>
  <c r="J39" i="3"/>
  <c r="J38" i="3"/>
  <c r="J36" i="3"/>
  <c r="J41" i="3"/>
  <c r="J45" i="3"/>
  <c r="J40" i="3"/>
  <c r="J43" i="3"/>
  <c r="J44" i="3"/>
  <c r="J47" i="3"/>
  <c r="J51" i="3"/>
  <c r="J46" i="3"/>
  <c r="J42" i="3"/>
  <c r="J50" i="3"/>
  <c r="J49" i="3"/>
  <c r="J53" i="3"/>
  <c r="J48" i="3"/>
  <c r="J54" i="3"/>
  <c r="J56" i="3"/>
  <c r="J52" i="3"/>
  <c r="J61" i="3"/>
  <c r="J57" i="3"/>
  <c r="J63" i="3"/>
  <c r="J55" i="3"/>
  <c r="J59" i="3"/>
  <c r="J58" i="3"/>
  <c r="J60" i="3"/>
  <c r="J65" i="3"/>
  <c r="J64" i="3"/>
  <c r="J66" i="3"/>
  <c r="J67" i="3"/>
  <c r="J68" i="3"/>
  <c r="J69" i="3"/>
  <c r="J70" i="3"/>
  <c r="J72" i="3"/>
  <c r="J71" i="3"/>
  <c r="J74" i="3"/>
  <c r="J76" i="3"/>
  <c r="J73" i="3"/>
  <c r="J77" i="3"/>
  <c r="J75" i="3"/>
  <c r="J84" i="3"/>
  <c r="J80" i="3"/>
  <c r="J83" i="3"/>
  <c r="J78" i="3"/>
  <c r="J82" i="3"/>
  <c r="J88" i="3"/>
  <c r="J81" i="3"/>
  <c r="J79" i="3"/>
  <c r="J87" i="3"/>
  <c r="J85" i="3"/>
  <c r="J89" i="3"/>
  <c r="J91" i="3"/>
  <c r="J90" i="3"/>
  <c r="J93" i="3"/>
  <c r="J92" i="3"/>
  <c r="J94" i="3"/>
  <c r="J95" i="3"/>
  <c r="J96" i="3"/>
  <c r="J99" i="3"/>
  <c r="J103" i="3"/>
  <c r="J97" i="3"/>
  <c r="J113" i="3"/>
  <c r="J98" i="3"/>
  <c r="J100" i="3"/>
  <c r="J102" i="3"/>
  <c r="J105" i="3"/>
  <c r="J104" i="3"/>
  <c r="J101" i="3"/>
  <c r="J86" i="3"/>
  <c r="J107" i="3"/>
  <c r="J108" i="3"/>
  <c r="J110" i="3"/>
  <c r="J111" i="3"/>
  <c r="J109" i="3"/>
  <c r="J112" i="3"/>
  <c r="J115" i="3"/>
  <c r="J116" i="3"/>
  <c r="J114" i="3"/>
  <c r="J117" i="3"/>
  <c r="J106" i="3"/>
  <c r="J118" i="3"/>
  <c r="J120" i="3"/>
  <c r="J119" i="3"/>
  <c r="J121" i="3"/>
  <c r="J122" i="3"/>
  <c r="J123" i="3"/>
  <c r="J124" i="3"/>
  <c r="J126" i="3"/>
  <c r="J125" i="3"/>
  <c r="J127" i="3"/>
  <c r="J128" i="3"/>
  <c r="J129" i="3"/>
  <c r="J130" i="3"/>
  <c r="J131" i="3"/>
  <c r="J137" i="3"/>
  <c r="J143" i="3"/>
  <c r="J138" i="3"/>
  <c r="J133" i="3"/>
  <c r="J148" i="3"/>
  <c r="J140" i="3"/>
  <c r="J142" i="3"/>
  <c r="J139" i="3"/>
  <c r="J134" i="3"/>
  <c r="J141" i="3"/>
  <c r="J135" i="3"/>
  <c r="J145" i="3"/>
  <c r="J136" i="3"/>
  <c r="J144" i="3"/>
  <c r="J146" i="3"/>
  <c r="J147" i="3"/>
  <c r="J132" i="3"/>
  <c r="J2" i="1"/>
  <c r="J3" i="1"/>
  <c r="J132" i="1"/>
  <c r="J4" i="1"/>
  <c r="J5" i="1"/>
  <c r="J7" i="1"/>
  <c r="J6" i="1"/>
  <c r="J8" i="1"/>
  <c r="J14" i="1"/>
  <c r="J9" i="1"/>
  <c r="J11" i="1"/>
  <c r="J10" i="1"/>
  <c r="J13" i="1"/>
  <c r="J12" i="1"/>
  <c r="J17" i="1"/>
  <c r="J15" i="1"/>
  <c r="J16" i="1"/>
  <c r="J18" i="1"/>
  <c r="J19" i="1"/>
  <c r="J20" i="1"/>
  <c r="J23" i="1"/>
  <c r="J22" i="1"/>
  <c r="J21" i="1"/>
  <c r="J24" i="1"/>
  <c r="J25" i="1"/>
  <c r="J26" i="1"/>
  <c r="J29" i="1"/>
  <c r="J30" i="1"/>
  <c r="J27" i="1"/>
  <c r="J32" i="1"/>
  <c r="J36" i="1"/>
  <c r="J33" i="1"/>
  <c r="J31" i="1"/>
  <c r="J133" i="1"/>
  <c r="J34" i="1"/>
  <c r="J37" i="1"/>
  <c r="J38" i="1"/>
  <c r="J35" i="1"/>
  <c r="J41" i="1"/>
  <c r="J42" i="1"/>
  <c r="J28" i="1"/>
  <c r="J39" i="1"/>
  <c r="J43" i="1"/>
  <c r="J46" i="1"/>
  <c r="J49" i="1"/>
  <c r="J48" i="1"/>
  <c r="J44" i="1"/>
  <c r="J51" i="1"/>
  <c r="J45" i="1"/>
  <c r="J47" i="1"/>
  <c r="J50" i="1"/>
  <c r="J56" i="1"/>
  <c r="J53" i="1"/>
  <c r="J40" i="1"/>
  <c r="J62" i="1"/>
  <c r="J55" i="1"/>
  <c r="J58" i="1"/>
  <c r="J60" i="1"/>
  <c r="J63" i="1"/>
  <c r="J54" i="1"/>
  <c r="J67" i="1"/>
  <c r="J65" i="1"/>
  <c r="J61" i="1"/>
  <c r="J59" i="1"/>
  <c r="J68" i="1"/>
  <c r="J66" i="1"/>
  <c r="J69" i="1"/>
  <c r="J64" i="1"/>
  <c r="J57" i="1"/>
  <c r="J71" i="1"/>
  <c r="J52" i="1"/>
  <c r="J72" i="1"/>
  <c r="J70" i="1"/>
  <c r="J75" i="1"/>
  <c r="J73" i="1"/>
  <c r="J77" i="1"/>
  <c r="J78" i="1"/>
  <c r="J74" i="1"/>
  <c r="J76" i="1"/>
  <c r="J82" i="1"/>
  <c r="J79" i="1"/>
  <c r="J80" i="1"/>
  <c r="J83" i="1"/>
  <c r="J84" i="1"/>
  <c r="J85" i="1"/>
  <c r="J81" i="1"/>
  <c r="J86" i="1"/>
  <c r="J88" i="1"/>
  <c r="J91" i="1"/>
  <c r="J93" i="1"/>
  <c r="J90" i="1"/>
  <c r="J94" i="1"/>
  <c r="J89" i="1"/>
  <c r="J92" i="1"/>
  <c r="J95" i="1"/>
  <c r="J87" i="1"/>
  <c r="J96" i="1"/>
  <c r="J98" i="1"/>
  <c r="J97" i="1"/>
  <c r="J99" i="1"/>
  <c r="J100" i="1"/>
  <c r="J101" i="1"/>
  <c r="J102" i="1"/>
  <c r="J103" i="1"/>
  <c r="J105" i="1"/>
  <c r="J106" i="1"/>
  <c r="J107" i="1"/>
  <c r="J104" i="1"/>
  <c r="J108" i="1"/>
  <c r="J134" i="1"/>
  <c r="J109" i="1"/>
  <c r="J110" i="1"/>
  <c r="J111" i="1"/>
  <c r="J112" i="1"/>
  <c r="J114" i="1"/>
  <c r="J119" i="1"/>
  <c r="J117" i="1"/>
  <c r="J115" i="1"/>
  <c r="J113" i="1"/>
  <c r="J116" i="1"/>
  <c r="J118" i="1"/>
  <c r="J135" i="1"/>
  <c r="J120" i="1"/>
  <c r="J121" i="1"/>
  <c r="J123" i="1"/>
  <c r="J122" i="1"/>
  <c r="J136" i="1"/>
  <c r="J124" i="1"/>
  <c r="J125" i="1"/>
  <c r="J126" i="1"/>
  <c r="J127" i="1"/>
  <c r="J128" i="1"/>
  <c r="J129" i="1"/>
  <c r="J130" i="1"/>
  <c r="J131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</calcChain>
</file>

<file path=xl/sharedStrings.xml><?xml version="1.0" encoding="utf-8"?>
<sst xmlns="http://schemas.openxmlformats.org/spreadsheetml/2006/main" count="2100" uniqueCount="951">
  <si>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</si>
  <si>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</si>
  <si>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</si>
  <si>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</si>
  <si>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</si>
  <si>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</si>
  <si>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</si>
  <si>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</si>
  <si>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</si>
  <si>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</si>
  <si>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</si>
  <si>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</si>
  <si>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</si>
  <si>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</si>
  <si>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</si>
  <si>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</si>
  <si>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</si>
  <si>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</si>
  <si>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</si>
  <si>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</si>
  <si>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</si>
  <si>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</si>
  <si>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</si>
  <si>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</si>
  <si>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</si>
  <si>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</si>
  <si>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</si>
  <si>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</si>
  <si>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</si>
  <si>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</si>
  <si>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</si>
  <si>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</si>
  <si>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</si>
  <si>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</si>
  <si>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</si>
  <si>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</si>
  <si>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</si>
  <si>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</si>
  <si>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</si>
  <si>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</si>
  <si>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</si>
  <si>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</si>
  <si>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</si>
  <si>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</si>
  <si>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</si>
  <si>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</si>
  <si>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</si>
  <si>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</si>
  <si>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</si>
  <si>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</si>
  <si>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</si>
  <si>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</si>
  <si>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</si>
  <si>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</si>
  <si>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</si>
  <si>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</si>
  <si>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</si>
  <si>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</si>
  <si>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</si>
  <si>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</si>
  <si>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</si>
  <si>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</si>
  <si>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</si>
  <si>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</si>
  <si>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</si>
  <si>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</si>
  <si>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</si>
  <si>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</si>
  <si>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</si>
  <si>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</si>
  <si>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</si>
  <si>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</si>
  <si>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</si>
  <si>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</si>
  <si>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</si>
  <si>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</si>
  <si>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</si>
  <si>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</si>
  <si>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</si>
  <si>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</si>
  <si>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</si>
  <si>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</si>
  <si>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</si>
  <si>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</si>
  <si>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</si>
  <si>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</si>
  <si>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</si>
  <si>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</si>
  <si>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</si>
  <si>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</si>
  <si>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</si>
  <si>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</si>
  <si>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</si>
  <si>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</si>
  <si>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</si>
  <si>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</si>
  <si>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</si>
  <si>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</si>
  <si>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</si>
  <si>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</si>
  <si>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</si>
  <si>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</si>
  <si>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</si>
  <si>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</si>
  <si>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</si>
  <si>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</si>
  <si>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</si>
  <si>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</si>
  <si>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</si>
  <si>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</si>
  <si>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</si>
  <si>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</si>
  <si>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</si>
  <si>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</si>
  <si>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</si>
  <si>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</si>
  <si>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</si>
  <si>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</si>
  <si>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</si>
  <si>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</si>
  <si>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</si>
  <si>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</si>
  <si>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</si>
  <si>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</si>
  <si>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</si>
  <si>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</si>
  <si>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</si>
  <si>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</si>
  <si>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</si>
  <si>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</si>
  <si>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</si>
  <si>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</si>
  <si>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</si>
  <si>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</si>
  <si>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</si>
  <si>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</si>
  <si>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</si>
  <si>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</si>
  <si>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</si>
  <si>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</si>
  <si>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</si>
  <si>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</si>
  <si>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</si>
  <si>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</si>
  <si>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</si>
  <si>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</si>
  <si>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</si>
  <si>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</si>
  <si>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</si>
  <si>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</si>
  <si>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</si>
  <si>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</si>
  <si>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</si>
  <si>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</si>
  <si>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</si>
  <si>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</si>
  <si>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</si>
  <si>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</si>
  <si>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</si>
  <si>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</si>
  <si>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</si>
  <si>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</si>
  <si>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</si>
  <si>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</si>
  <si>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</si>
  <si>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</si>
  <si>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</si>
  <si>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</si>
  <si>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</si>
  <si>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</si>
  <si>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</si>
  <si>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</si>
  <si>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</si>
  <si>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</si>
  <si>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</si>
  <si>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</si>
  <si>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</si>
  <si>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</si>
  <si>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</si>
  <si>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</si>
  <si>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</si>
  <si>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</si>
  <si>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</si>
  <si>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</si>
  <si>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</si>
  <si>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</si>
  <si>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</si>
  <si>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</si>
  <si>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</si>
  <si>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</si>
  <si>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</si>
  <si>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</si>
  <si>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</si>
  <si>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</si>
  <si>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</si>
  <si>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</si>
  <si>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</si>
  <si>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</si>
  <si>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</si>
  <si>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</si>
  <si>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</si>
  <si>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</si>
  <si>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</si>
  <si>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</si>
  <si>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</si>
  <si>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</si>
  <si>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</si>
  <si>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</si>
  <si>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</si>
  <si>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</si>
  <si>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</si>
  <si>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</si>
  <si>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</si>
  <si>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</si>
  <si>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</si>
  <si>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</si>
  <si>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</si>
  <si>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</si>
  <si>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</si>
  <si>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</si>
  <si>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</si>
  <si>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</si>
  <si>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</si>
  <si>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</si>
  <si>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</si>
  <si>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</si>
  <si>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</si>
  <si>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</si>
  <si>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</si>
  <si>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</si>
  <si>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</si>
  <si>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</si>
  <si>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</si>
  <si>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</si>
  <si>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</si>
  <si>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</si>
  <si>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</si>
  <si>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</si>
  <si>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</si>
  <si>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</si>
  <si>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</si>
  <si>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</si>
  <si>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</si>
  <si>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</si>
  <si>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</si>
  <si>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</si>
  <si>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</si>
  <si>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</si>
  <si>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</si>
  <si>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</si>
  <si>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</si>
  <si>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</si>
  <si>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</si>
  <si>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</si>
  <si>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</si>
  <si>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</si>
  <si>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</si>
  <si>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</si>
  <si>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</si>
  <si>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</si>
  <si>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</si>
  <si>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</si>
  <si>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</si>
  <si>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</si>
  <si>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</si>
  <si>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</si>
  <si>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</si>
  <si>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</si>
  <si>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</si>
  <si>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</si>
  <si>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</si>
  <si>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</si>
  <si>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</si>
  <si>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</si>
  <si>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</si>
  <si>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</si>
  <si>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</si>
  <si>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</si>
  <si>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</si>
  <si>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</si>
  <si>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</si>
  <si>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</si>
  <si>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</si>
  <si>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</si>
  <si>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</si>
  <si>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</si>
  <si>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</si>
  <si>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</si>
  <si>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</si>
  <si>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</si>
  <si>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</si>
  <si>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</si>
  <si>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</si>
  <si>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</si>
  <si>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</si>
  <si>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</si>
  <si>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</si>
  <si>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</si>
  <si>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</si>
  <si>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</si>
  <si>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</si>
  <si>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</si>
  <si>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</si>
  <si>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</si>
  <si>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</si>
  <si>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</si>
  <si>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</si>
  <si>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</si>
  <si>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</si>
  <si>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</si>
  <si>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</si>
  <si>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</si>
  <si>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</si>
  <si>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</si>
  <si>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</si>
  <si>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</si>
  <si>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</si>
  <si>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</si>
  <si>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</si>
  <si>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</si>
  <si>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</si>
  <si>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</si>
  <si>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</si>
  <si>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</si>
  <si>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</si>
  <si>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</si>
  <si>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</si>
  <si>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</si>
  <si>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</si>
  <si>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</si>
  <si>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</si>
  <si>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</si>
  <si>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</si>
  <si>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</si>
  <si>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</si>
  <si>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</si>
  <si>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</si>
  <si>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</si>
  <si>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</si>
  <si>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</si>
  <si>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</si>
  <si>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</si>
  <si>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</si>
  <si>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</si>
  <si>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</si>
  <si>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</si>
  <si>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</si>
  <si>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</si>
  <si>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</si>
  <si>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</si>
  <si>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</si>
  <si>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</si>
  <si>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</si>
  <si>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</si>
  <si>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</si>
  <si>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</si>
  <si>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</si>
  <si>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</si>
  <si>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</si>
  <si>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</si>
  <si>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</si>
  <si>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</si>
  <si>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</si>
  <si>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</si>
  <si>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</si>
  <si>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</si>
  <si>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</si>
  <si>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</si>
  <si>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</si>
  <si>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</si>
  <si>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</si>
  <si>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</si>
  <si>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</si>
  <si>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</si>
  <si>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</si>
  <si>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</si>
  <si>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</si>
  <si>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</si>
  <si>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</si>
  <si>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</si>
  <si>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</si>
  <si>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</si>
  <si>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</si>
  <si>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</si>
  <si>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</si>
  <si>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</si>
  <si>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</si>
  <si>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</si>
  <si>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</si>
  <si>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</si>
  <si>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</si>
  <si>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</si>
  <si>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</si>
  <si>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</si>
  <si>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</si>
  <si>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</si>
  <si>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</si>
  <si>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</si>
  <si>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</si>
  <si>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</si>
  <si>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</si>
  <si>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</si>
  <si>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</si>
  <si>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</si>
  <si>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</si>
  <si>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</si>
  <si>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</si>
  <si>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</si>
  <si>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</si>
  <si>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</si>
  <si>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</si>
  <si>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</si>
  <si>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</si>
  <si>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</si>
  <si>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</si>
  <si>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</si>
  <si>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</si>
  <si>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</si>
  <si>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</si>
  <si>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</si>
  <si>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</si>
  <si>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</si>
  <si>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</si>
  <si>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</si>
  <si>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</si>
  <si>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</si>
  <si>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</si>
  <si>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</si>
  <si>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</si>
  <si>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</si>
  <si>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</si>
  <si>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</si>
  <si>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</si>
  <si>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</si>
  <si>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</si>
  <si>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</si>
  <si>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</si>
  <si>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</si>
  <si>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</si>
  <si>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</si>
  <si>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</si>
  <si>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</si>
  <si>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</si>
  <si>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</si>
  <si>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</si>
  <si>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</si>
  <si>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</si>
  <si>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</si>
  <si>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</si>
  <si>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</si>
  <si>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</si>
  <si>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</si>
  <si>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</si>
  <si>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</si>
  <si>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</si>
  <si>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</si>
  <si>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</si>
  <si>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</si>
  <si>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</si>
  <si>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</si>
  <si>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</si>
  <si>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</si>
  <si>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</si>
  <si>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</si>
  <si>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</si>
  <si>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</si>
  <si>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</si>
  <si>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</si>
  <si>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</si>
  <si>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</si>
  <si>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</si>
  <si>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</si>
  <si>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</si>
  <si>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</si>
  <si>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</si>
  <si>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</si>
  <si>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</si>
  <si>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</si>
  <si>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</si>
  <si>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</si>
  <si>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</si>
  <si>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</si>
  <si>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</si>
  <si>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</si>
  <si>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</si>
  <si>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</si>
  <si>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</si>
  <si>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</si>
  <si>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</si>
  <si>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</si>
  <si>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</si>
  <si>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</si>
  <si>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</si>
  <si>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</si>
  <si>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</si>
  <si>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</si>
  <si>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</si>
  <si>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</si>
  <si>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</si>
  <si>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</si>
  <si>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</si>
  <si>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</si>
  <si>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</si>
  <si>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</si>
  <si>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</si>
  <si>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</si>
  <si>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</si>
  <si>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</si>
  <si>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</si>
  <si>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</si>
  <si>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</si>
  <si>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</si>
  <si>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</si>
  <si>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</si>
  <si>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</si>
  <si>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</si>
  <si>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</si>
  <si>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</si>
  <si>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</si>
  <si>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</si>
  <si>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</si>
  <si>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</si>
  <si>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</si>
  <si>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</si>
  <si>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</si>
  <si>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</si>
  <si>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</si>
  <si>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</si>
  <si>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</si>
  <si>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</si>
  <si>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</si>
  <si>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</si>
  <si>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</si>
  <si>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</si>
  <si>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</si>
  <si>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</si>
  <si>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</si>
  <si>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</si>
  <si>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</si>
  <si>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</si>
  <si>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</si>
  <si>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</si>
  <si>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</si>
  <si>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</si>
  <si>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</si>
  <si>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</si>
  <si>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</si>
  <si>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</si>
  <si>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</si>
  <si>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</si>
  <si>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</si>
  <si>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</si>
  <si>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</si>
  <si>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</si>
  <si>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</si>
  <si>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</si>
  <si>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</si>
  <si>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</si>
  <si>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</si>
  <si>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</si>
  <si>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</si>
  <si>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</si>
  <si>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</si>
  <si>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</si>
  <si>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</si>
  <si>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</si>
  <si>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</si>
  <si>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</si>
  <si>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</si>
  <si>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</si>
  <si>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</si>
  <si>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</si>
  <si>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</si>
  <si>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</si>
  <si>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</si>
  <si>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</si>
  <si>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</si>
  <si>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</si>
  <si>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</si>
  <si>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</si>
  <si>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</si>
  <si>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</si>
  <si>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</si>
  <si>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</si>
  <si>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</si>
  <si>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</si>
  <si>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</si>
  <si>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</si>
  <si>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</si>
  <si>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</si>
  <si>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</si>
  <si>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</si>
  <si>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</si>
  <si>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</si>
  <si>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</si>
  <si>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</si>
  <si>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</si>
  <si>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</si>
  <si>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</si>
  <si>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</si>
  <si>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</si>
  <si>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</si>
  <si>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</si>
  <si>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</si>
  <si>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</si>
  <si>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</si>
  <si>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</si>
  <si>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</si>
  <si>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</si>
  <si>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</si>
  <si>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</si>
  <si>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</si>
  <si>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</si>
  <si>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</si>
  <si>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</si>
  <si>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</si>
  <si>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</si>
  <si>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</si>
  <si>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</si>
  <si>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</si>
  <si>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</si>
  <si>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</si>
  <si>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</si>
  <si>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</si>
  <si>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</si>
  <si>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</si>
  <si>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</si>
  <si>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</si>
  <si>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</si>
  <si>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</si>
  <si>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</si>
  <si>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</si>
  <si>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</si>
  <si>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</si>
  <si>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</si>
  <si>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</si>
  <si>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</si>
  <si>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</si>
  <si>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</si>
  <si>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</si>
  <si>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</si>
  <si>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</si>
  <si>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</si>
  <si>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</si>
  <si>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</si>
  <si>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</si>
  <si>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</si>
  <si>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</si>
  <si>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</si>
  <si>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</si>
  <si>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</si>
  <si>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</si>
  <si>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</si>
  <si>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</si>
  <si>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</si>
  <si>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</si>
  <si>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</si>
  <si>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</si>
  <si>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</si>
  <si>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</si>
  <si>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</si>
  <si>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</si>
  <si>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</si>
  <si>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</si>
  <si>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</si>
  <si>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</si>
  <si>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</si>
  <si>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</si>
  <si>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</si>
  <si>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</si>
  <si>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</si>
  <si>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</si>
  <si>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</si>
  <si>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</si>
  <si>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</si>
  <si>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</si>
  <si>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</si>
  <si>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</si>
  <si>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</si>
  <si>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</si>
  <si>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</si>
  <si>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</si>
  <si>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</si>
  <si>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</si>
  <si>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</si>
  <si>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</si>
  <si>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</si>
  <si>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</si>
  <si>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</si>
  <si>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</si>
  <si>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</si>
  <si>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</si>
  <si>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</si>
  <si>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</si>
  <si>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</si>
  <si>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</si>
  <si>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</si>
  <si>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</si>
  <si>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</si>
  <si>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</si>
  <si>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</si>
  <si>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</si>
  <si>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</si>
  <si>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</si>
  <si>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</si>
  <si>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</si>
  <si>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</si>
  <si>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</si>
  <si>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</si>
  <si>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</si>
  <si>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</si>
  <si>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</si>
  <si>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</si>
  <si>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</si>
  <si>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</si>
  <si>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</si>
  <si>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</si>
  <si>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</si>
  <si>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</si>
  <si>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</si>
  <si>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</si>
  <si>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</si>
  <si>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</si>
  <si>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</si>
  <si>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</si>
  <si>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</si>
  <si>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</si>
  <si>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</si>
  <si>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</si>
  <si>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</si>
  <si>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</si>
  <si>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</si>
  <si>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</si>
  <si>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</si>
  <si>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</si>
  <si>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</si>
  <si>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</si>
  <si>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</si>
  <si>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</si>
  <si>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</si>
  <si>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</si>
  <si>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</si>
  <si>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</si>
  <si>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</si>
  <si>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</si>
  <si>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</si>
  <si>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</si>
  <si>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</si>
  <si>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</si>
  <si>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</si>
  <si>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</si>
  <si>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</si>
  <si>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</si>
  <si>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</si>
  <si>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</si>
  <si>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</si>
  <si>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</si>
  <si>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</si>
  <si>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</si>
  <si>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</si>
  <si>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</si>
  <si>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</si>
  <si>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</si>
  <si>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</si>
  <si>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</si>
  <si>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</si>
  <si>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</si>
  <si>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</si>
  <si>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</si>
  <si>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</si>
  <si>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</si>
  <si>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</si>
  <si>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</si>
  <si>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</si>
  <si>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</si>
  <si>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</si>
  <si>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</si>
  <si>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</si>
  <si>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</si>
  <si>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</si>
  <si>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</si>
  <si>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</si>
  <si>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</si>
  <si>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</si>
  <si>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</si>
  <si>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</si>
  <si>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</si>
  <si>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</si>
  <si>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</si>
  <si>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</si>
  <si>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</si>
  <si>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</si>
  <si>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</si>
  <si>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</si>
  <si>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</si>
  <si>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</si>
  <si>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</si>
  <si>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</si>
  <si>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</si>
  <si>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</si>
  <si>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</si>
  <si>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</si>
  <si>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</si>
  <si>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</si>
  <si>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</si>
  <si>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</si>
  <si>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</si>
  <si>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</si>
  <si>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</si>
  <si>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</si>
  <si>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</si>
  <si>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</si>
  <si>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</si>
  <si>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</si>
  <si>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</si>
  <si>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</si>
  <si>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</si>
  <si>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</si>
  <si>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</si>
  <si>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</si>
  <si>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</si>
  <si>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</si>
  <si>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</si>
  <si>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</si>
  <si>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</si>
  <si>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</si>
  <si>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</si>
  <si>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</si>
  <si>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</si>
  <si>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</si>
  <si>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</si>
  <si>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</si>
  <si>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</si>
  <si>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</si>
  <si>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</si>
  <si>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</si>
  <si>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</si>
  <si>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</si>
  <si>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</si>
  <si>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</si>
  <si>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</si>
  <si>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</si>
  <si>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</si>
  <si>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</si>
  <si>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</si>
  <si>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</si>
  <si>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</si>
  <si>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</si>
  <si>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</si>
  <si>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</si>
  <si>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</si>
  <si>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</si>
  <si>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</si>
  <si>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</si>
  <si>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</si>
  <si>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</si>
  <si>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</si>
  <si>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</si>
  <si>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</si>
  <si>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</si>
  <si>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</si>
  <si>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</si>
  <si>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</si>
  <si>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</si>
  <si>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</si>
  <si>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</si>
  <si>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</si>
  <si>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</si>
  <si>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</si>
  <si>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</si>
  <si>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</si>
  <si>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</si>
  <si>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</si>
  <si>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</si>
  <si>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</si>
  <si>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</si>
  <si>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</si>
  <si>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</si>
  <si>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</si>
  <si>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</si>
  <si>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</si>
  <si>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</si>
  <si>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</si>
  <si>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</si>
  <si>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</si>
  <si>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</si>
  <si>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</si>
  <si>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</si>
  <si>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</si>
  <si>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</si>
  <si>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</si>
  <si>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</si>
  <si>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</si>
  <si>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</si>
  <si>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</si>
  <si>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</si>
  <si>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</si>
  <si>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</si>
  <si>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</si>
  <si>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</si>
  <si>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</si>
  <si>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</si>
  <si>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</si>
  <si>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</si>
  <si>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</si>
  <si>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</si>
  <si>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</si>
  <si>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</si>
  <si>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</si>
  <si>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</si>
  <si>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</si>
  <si>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</si>
  <si>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</si>
  <si>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</si>
  <si>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</si>
  <si>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</si>
  <si>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</si>
  <si>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</si>
  <si>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</si>
  <si>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</si>
  <si>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</si>
  <si>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</si>
  <si>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</si>
  <si>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</si>
  <si>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</si>
  <si>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</si>
  <si>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</si>
  <si>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</si>
  <si>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</si>
  <si>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</si>
  <si>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</si>
  <si>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</si>
  <si>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</si>
  <si>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</si>
  <si>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</si>
  <si>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</si>
  <si>
    <t>1809.HK</t>
  </si>
  <si>
    <t>ZOOMLION</t>
  </si>
  <si>
    <t>SANY HEAVY IND</t>
  </si>
  <si>
    <t>ZTE</t>
  </si>
  <si>
    <t>PRINX CHENGSHAN</t>
  </si>
  <si>
    <t>6618.HK</t>
  </si>
  <si>
    <t>JD HEALTH</t>
  </si>
  <si>
    <t>Pharmaceutical Retailers</t>
  </si>
  <si>
    <t>000977.SZ</t>
  </si>
  <si>
    <t>IEIT SYSTEMS CO LT</t>
  </si>
  <si>
    <t>1698.HK</t>
  </si>
  <si>
    <t>TME-SW</t>
  </si>
  <si>
    <t>601012.SS</t>
  </si>
  <si>
    <t>LONGI GREEN ENERGY TECHNOLOGY C</t>
  </si>
  <si>
    <t>9899.HK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</si>
</sst>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9"/>
  <sheetViews>
    <sheetView tabSelected="1" zoomScale="86" zoomScaleNormal="112" workbookViewId="0">
      <pane xSplit="3" ySplit="1" topLeftCell="D147" activePane="bottomRight" state="frozen"/>
      <selection pane="topRight" activeCell="D1" sqref="D1"/>
      <selection pane="bottomLeft" activeCell="A2" sqref="A2"/>
      <selection pane="bottomRight" activeCell="B150" sqref="B150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15.59</v>
      </c>
      <c r="F2" s="9" t="s">
        <v>67</v>
      </c>
      <c r="G2" s="7">
        <v>280215420928</v>
      </c>
      <c r="H2" s="6">
        <v>16.600000000000001</v>
      </c>
      <c r="I2" s="6">
        <v>9.8000000000000007</v>
      </c>
      <c r="J2" s="12">
        <f t="shared" ref="J2:J33" si="0">E2/I2-1</f>
        <v>0.59081632653061211</v>
      </c>
      <c r="K2" s="11">
        <v>0</v>
      </c>
      <c r="L2" s="13">
        <v>70144988000</v>
      </c>
      <c r="M2" s="13">
        <v>269343749000</v>
      </c>
      <c r="N2" s="9" t="s">
        <v>50</v>
      </c>
      <c r="O2" s="6">
        <v>1.0989010989010988</v>
      </c>
      <c r="P2" s="12">
        <v>0.47708193729306159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3.94</v>
      </c>
      <c r="F3" s="9" t="s">
        <v>67</v>
      </c>
      <c r="G3" s="7">
        <v>11021060096</v>
      </c>
      <c r="H3" s="6">
        <v>5.2</v>
      </c>
      <c r="I3" s="6">
        <v>2.67</v>
      </c>
      <c r="J3" s="12">
        <f t="shared" si="0"/>
        <v>0.47565543071161054</v>
      </c>
      <c r="K3" s="11">
        <v>3.883248730964467E-2</v>
      </c>
      <c r="L3" s="13">
        <v>1871151000</v>
      </c>
      <c r="M3" s="13">
        <v>6461978000</v>
      </c>
      <c r="N3" s="9" t="s">
        <v>50</v>
      </c>
      <c r="O3" s="6">
        <v>1.0989010989010988</v>
      </c>
      <c r="P3" s="12">
        <v>0.30672868324118918</v>
      </c>
      <c r="Q3" s="12">
        <v>0.28956319566547578</v>
      </c>
      <c r="R3" s="14">
        <v>2</v>
      </c>
    </row>
    <row r="4" spans="2:22" x14ac:dyDescent="0.5">
      <c r="B4" s="1" t="s">
        <v>249</v>
      </c>
      <c r="C4" t="s">
        <v>295</v>
      </c>
      <c r="D4" t="s">
        <v>296</v>
      </c>
      <c r="E4">
        <v>6.16</v>
      </c>
      <c r="F4" s="9" t="s">
        <v>67</v>
      </c>
      <c r="G4" s="7">
        <v>327201816576</v>
      </c>
      <c r="H4" s="6">
        <v>7.63</v>
      </c>
      <c r="I4" s="6">
        <v>3.66</v>
      </c>
      <c r="J4" s="12">
        <f t="shared" si="0"/>
        <v>0.68306010928961736</v>
      </c>
      <c r="K4" s="11">
        <v>3.1168831168831169E-2</v>
      </c>
      <c r="L4" s="13">
        <v>72477000000</v>
      </c>
      <c r="M4" s="13">
        <v>319355000000</v>
      </c>
      <c r="N4" s="9" t="s">
        <v>50</v>
      </c>
      <c r="O4" s="6">
        <v>1.0989010989010988</v>
      </c>
      <c r="P4" s="12">
        <v>0.22269530335017607</v>
      </c>
      <c r="Q4" s="12">
        <v>0.22694806719794586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3.74</v>
      </c>
      <c r="F5" s="9" t="s">
        <v>67</v>
      </c>
      <c r="G5" s="7">
        <v>32940664832</v>
      </c>
      <c r="H5" s="6">
        <v>6.78</v>
      </c>
      <c r="I5" s="6">
        <v>3.64</v>
      </c>
      <c r="J5" s="12">
        <f t="shared" si="0"/>
        <v>2.7472527472527597E-2</v>
      </c>
      <c r="K5" s="11">
        <v>7.0855614973262038E-2</v>
      </c>
      <c r="L5" s="13">
        <v>5594372000</v>
      </c>
      <c r="M5" s="13">
        <v>26933044000</v>
      </c>
      <c r="N5" s="9" t="s">
        <v>50</v>
      </c>
      <c r="O5" s="6">
        <v>1.0989010989010988</v>
      </c>
      <c r="P5" s="12">
        <v>0.25737944149528397</v>
      </c>
      <c r="Q5" s="12">
        <v>0.20771406306691512</v>
      </c>
      <c r="R5" s="14">
        <v>3</v>
      </c>
    </row>
    <row r="6" spans="2:22" x14ac:dyDescent="0.5">
      <c r="B6" s="1" t="s">
        <v>194</v>
      </c>
      <c r="C6" t="s">
        <v>215</v>
      </c>
      <c r="D6" t="s">
        <v>216</v>
      </c>
      <c r="E6">
        <v>11.19</v>
      </c>
      <c r="F6" s="9" t="s">
        <v>67</v>
      </c>
      <c r="G6" s="7">
        <v>43663781888</v>
      </c>
      <c r="H6" s="6">
        <v>19.05</v>
      </c>
      <c r="I6" s="6">
        <v>4.22</v>
      </c>
      <c r="J6" s="12">
        <f t="shared" si="0"/>
        <v>1.6516587677725121</v>
      </c>
      <c r="K6" s="11">
        <v>3.842716711349419E-3</v>
      </c>
      <c r="L6" s="13">
        <v>786762000</v>
      </c>
      <c r="M6" s="13">
        <v>2279244000</v>
      </c>
      <c r="N6" s="9" t="s">
        <v>71</v>
      </c>
      <c r="O6" s="6">
        <v>7.6923076923076916</v>
      </c>
      <c r="P6" s="12">
        <v>0.16720396941215013</v>
      </c>
      <c r="Q6" s="12">
        <v>0.34518550887925997</v>
      </c>
      <c r="R6" s="14">
        <v>4</v>
      </c>
    </row>
    <row r="7" spans="2:22" x14ac:dyDescent="0.5">
      <c r="B7" s="1" t="s">
        <v>196</v>
      </c>
      <c r="C7" t="s">
        <v>218</v>
      </c>
      <c r="D7" t="s">
        <v>219</v>
      </c>
      <c r="E7">
        <v>1.97</v>
      </c>
      <c r="F7" s="9" t="s">
        <v>67</v>
      </c>
      <c r="G7" s="7">
        <v>1970000000</v>
      </c>
      <c r="H7" s="6">
        <v>2.42</v>
      </c>
      <c r="I7" s="6">
        <v>1.55</v>
      </c>
      <c r="J7" s="12">
        <f t="shared" si="0"/>
        <v>0.2709677419354839</v>
      </c>
      <c r="K7" s="11">
        <v>0.1065989847715736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0.14737850122718005</v>
      </c>
      <c r="Q7" s="12">
        <v>0.51857007005524791</v>
      </c>
      <c r="R7" s="14">
        <v>5</v>
      </c>
    </row>
    <row r="8" spans="2:22" x14ac:dyDescent="0.5">
      <c r="B8" s="1" t="s">
        <v>936</v>
      </c>
      <c r="C8" t="s">
        <v>940</v>
      </c>
      <c r="D8" t="s">
        <v>152</v>
      </c>
      <c r="E8">
        <v>7.66</v>
      </c>
      <c r="F8" s="9" t="s">
        <v>67</v>
      </c>
      <c r="G8" s="7">
        <v>4892020736</v>
      </c>
      <c r="H8" s="6">
        <v>8.67</v>
      </c>
      <c r="I8" s="6">
        <v>6.63</v>
      </c>
      <c r="J8" s="12">
        <f t="shared" si="0"/>
        <v>0.15535444947209665</v>
      </c>
      <c r="K8" s="11">
        <v>6.1488250652741508E-2</v>
      </c>
      <c r="L8" s="13">
        <v>1447565000</v>
      </c>
      <c r="M8" s="13">
        <v>8169694000</v>
      </c>
      <c r="N8" s="9" t="s">
        <v>50</v>
      </c>
      <c r="O8" s="6">
        <v>1.0989010989010988</v>
      </c>
      <c r="P8" s="12">
        <v>0.25952597425450602</v>
      </c>
      <c r="Q8" s="12">
        <v>0.1771871749419256</v>
      </c>
      <c r="R8" s="14">
        <v>6</v>
      </c>
    </row>
    <row r="9" spans="2:22" x14ac:dyDescent="0.5">
      <c r="B9" s="1" t="s">
        <v>290</v>
      </c>
      <c r="C9" t="s">
        <v>343</v>
      </c>
      <c r="D9" t="s">
        <v>94</v>
      </c>
      <c r="E9">
        <v>5.36</v>
      </c>
      <c r="F9" s="9" t="s">
        <v>67</v>
      </c>
      <c r="G9" s="7">
        <v>11082775552</v>
      </c>
      <c r="H9" s="6">
        <v>6.7</v>
      </c>
      <c r="I9" s="6">
        <v>3.92</v>
      </c>
      <c r="J9" s="12">
        <f t="shared" si="0"/>
        <v>0.36734693877551039</v>
      </c>
      <c r="K9" s="11">
        <v>5.2798507462686557E-2</v>
      </c>
      <c r="L9" s="13">
        <v>1576240000</v>
      </c>
      <c r="M9" s="13">
        <v>9636462000</v>
      </c>
      <c r="N9" s="9" t="s">
        <v>50</v>
      </c>
      <c r="O9" s="6">
        <v>1.0989010989010988</v>
      </c>
      <c r="P9" s="12">
        <v>0.25858661677602968</v>
      </c>
      <c r="Q9" s="12">
        <v>0.16357040581906512</v>
      </c>
      <c r="R9" s="14">
        <v>7</v>
      </c>
    </row>
    <row r="10" spans="2:22" x14ac:dyDescent="0.5">
      <c r="B10" s="1" t="s">
        <v>107</v>
      </c>
      <c r="C10" t="s">
        <v>142</v>
      </c>
      <c r="D10" t="s">
        <v>143</v>
      </c>
      <c r="E10">
        <v>3.2</v>
      </c>
      <c r="F10" s="9" t="s">
        <v>67</v>
      </c>
      <c r="G10" s="7">
        <v>16291410944</v>
      </c>
      <c r="H10" s="6">
        <v>3.5</v>
      </c>
      <c r="I10" s="6">
        <v>2.23</v>
      </c>
      <c r="J10" s="12">
        <f t="shared" si="0"/>
        <v>0.43497757847533647</v>
      </c>
      <c r="K10" s="11">
        <v>8.4375000000000006E-2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0.29190229919921423</v>
      </c>
      <c r="Q10" s="12">
        <v>0.15337570692947131</v>
      </c>
      <c r="R10" s="14">
        <v>8</v>
      </c>
    </row>
    <row r="11" spans="2:22" x14ac:dyDescent="0.5">
      <c r="B11" s="1" t="s">
        <v>775</v>
      </c>
      <c r="C11" t="s">
        <v>777</v>
      </c>
      <c r="D11" t="s">
        <v>435</v>
      </c>
      <c r="E11">
        <v>108.6</v>
      </c>
      <c r="F11" s="9" t="s">
        <v>67</v>
      </c>
      <c r="G11" s="7">
        <v>335173681152</v>
      </c>
      <c r="H11" s="6">
        <v>170</v>
      </c>
      <c r="I11" s="6">
        <v>95.9</v>
      </c>
      <c r="J11" s="12">
        <f t="shared" si="0"/>
        <v>0.13242961418143895</v>
      </c>
      <c r="K11" s="11">
        <v>6.4401473296500922E-2</v>
      </c>
      <c r="L11" s="13">
        <v>54434000000</v>
      </c>
      <c r="M11" s="13">
        <v>303403000000</v>
      </c>
      <c r="N11" s="9" t="s">
        <v>50</v>
      </c>
      <c r="O11" s="6">
        <v>1.0989010989010988</v>
      </c>
      <c r="P11" s="12">
        <v>0.19004556334462636</v>
      </c>
      <c r="Q11" s="12">
        <v>0.17941154174480806</v>
      </c>
      <c r="R11" s="14">
        <v>9</v>
      </c>
    </row>
    <row r="12" spans="2:22" x14ac:dyDescent="0.5">
      <c r="B12" s="1" t="s">
        <v>766</v>
      </c>
      <c r="C12" t="s">
        <v>771</v>
      </c>
      <c r="D12" t="s">
        <v>164</v>
      </c>
      <c r="E12">
        <v>0.85</v>
      </c>
      <c r="F12" s="9" t="s">
        <v>67</v>
      </c>
      <c r="G12" s="7">
        <v>624123328</v>
      </c>
      <c r="H12" s="6">
        <v>1.06</v>
      </c>
      <c r="I12" s="6">
        <v>0.74</v>
      </c>
      <c r="J12" s="12">
        <f t="shared" si="0"/>
        <v>0.14864864864864868</v>
      </c>
      <c r="K12" s="11">
        <v>0.11764705882352942</v>
      </c>
      <c r="L12" s="13">
        <v>180447000</v>
      </c>
      <c r="M12" s="13">
        <v>1366457000</v>
      </c>
      <c r="N12" s="9" t="s">
        <v>67</v>
      </c>
      <c r="O12" s="6">
        <v>1</v>
      </c>
      <c r="P12" s="12">
        <v>0.52829580025698697</v>
      </c>
      <c r="Q12" s="12">
        <v>0.13205464935962127</v>
      </c>
      <c r="R12" s="14">
        <v>9</v>
      </c>
    </row>
    <row r="13" spans="2:22" x14ac:dyDescent="0.5">
      <c r="B13" s="1" t="s">
        <v>32</v>
      </c>
      <c r="C13" t="s">
        <v>93</v>
      </c>
      <c r="D13" t="s">
        <v>94</v>
      </c>
      <c r="E13">
        <v>14.1</v>
      </c>
      <c r="F13" s="9" t="s">
        <v>67</v>
      </c>
      <c r="G13" s="7">
        <v>11803215872</v>
      </c>
      <c r="H13" s="6">
        <v>19.440000000000001</v>
      </c>
      <c r="I13" s="6">
        <v>12.5</v>
      </c>
      <c r="J13" s="12">
        <f t="shared" si="0"/>
        <v>0.12799999999999989</v>
      </c>
      <c r="K13" s="11">
        <v>0</v>
      </c>
      <c r="L13" s="13">
        <v>199557000</v>
      </c>
      <c r="M13" s="13">
        <v>1108087000</v>
      </c>
      <c r="N13" s="9" t="s">
        <v>71</v>
      </c>
      <c r="O13" s="6">
        <v>7.6923076923076916</v>
      </c>
      <c r="P13" s="12">
        <v>0.1777206323619413</v>
      </c>
      <c r="Q13" s="12">
        <v>0.18009145491283626</v>
      </c>
      <c r="R13" s="14">
        <v>10</v>
      </c>
    </row>
    <row r="14" spans="2:22" x14ac:dyDescent="0.5">
      <c r="B14" s="1" t="s">
        <v>34</v>
      </c>
      <c r="C14" t="s">
        <v>97</v>
      </c>
      <c r="D14" t="s">
        <v>70</v>
      </c>
      <c r="E14">
        <v>4.0999999999999996</v>
      </c>
      <c r="F14" s="9" t="s">
        <v>67</v>
      </c>
      <c r="G14" s="7">
        <v>47649837056</v>
      </c>
      <c r="H14" s="6">
        <v>5.37</v>
      </c>
      <c r="I14" s="6">
        <v>3.5</v>
      </c>
      <c r="J14" s="12">
        <f t="shared" si="0"/>
        <v>0.17142857142857126</v>
      </c>
      <c r="K14" s="11">
        <v>6.4390243902439026E-2</v>
      </c>
      <c r="L14" s="13">
        <v>5294586000</v>
      </c>
      <c r="M14" s="13">
        <v>17815083000</v>
      </c>
      <c r="N14" s="9" t="s">
        <v>50</v>
      </c>
      <c r="O14" s="6">
        <v>1.0989010989010988</v>
      </c>
      <c r="P14" s="12">
        <v>0.12902616972289987</v>
      </c>
      <c r="Q14" s="12">
        <v>0.29719681912231338</v>
      </c>
      <c r="R14" s="14">
        <v>11</v>
      </c>
    </row>
    <row r="15" spans="2:22" x14ac:dyDescent="0.5">
      <c r="B15" s="1" t="s">
        <v>140</v>
      </c>
      <c r="C15" t="s">
        <v>189</v>
      </c>
      <c r="D15" t="s">
        <v>178</v>
      </c>
      <c r="E15">
        <v>9.24</v>
      </c>
      <c r="F15" s="9" t="s">
        <v>67</v>
      </c>
      <c r="G15" s="7">
        <v>114619047936</v>
      </c>
      <c r="H15" s="6">
        <v>12.93</v>
      </c>
      <c r="I15" s="6">
        <v>6.57</v>
      </c>
      <c r="J15" s="12">
        <f t="shared" si="0"/>
        <v>0.40639269406392686</v>
      </c>
      <c r="K15" s="11">
        <v>5.411255411255411E-3</v>
      </c>
      <c r="L15" s="13">
        <v>2250990000</v>
      </c>
      <c r="M15" s="13">
        <v>11437145000</v>
      </c>
      <c r="N15" s="9" t="s">
        <v>71</v>
      </c>
      <c r="O15" s="6">
        <v>7.6923076923076916</v>
      </c>
      <c r="P15" s="12">
        <v>0.14152443223122463</v>
      </c>
      <c r="Q15" s="12">
        <v>0.19681397761416858</v>
      </c>
      <c r="R15" s="14">
        <v>12</v>
      </c>
    </row>
    <row r="16" spans="2:22" x14ac:dyDescent="0.5">
      <c r="B16" s="1" t="s">
        <v>250</v>
      </c>
      <c r="C16" t="s">
        <v>297</v>
      </c>
      <c r="D16" t="s">
        <v>298</v>
      </c>
      <c r="E16">
        <v>21.66</v>
      </c>
      <c r="F16" s="9" t="s">
        <v>67</v>
      </c>
      <c r="G16" s="7">
        <v>77846437888</v>
      </c>
      <c r="H16" s="6">
        <v>25.96</v>
      </c>
      <c r="I16" s="6">
        <v>9.56</v>
      </c>
      <c r="J16" s="12">
        <f t="shared" si="0"/>
        <v>1.2656903765690375</v>
      </c>
      <c r="K16" s="11">
        <v>1.6158818097876268E-2</v>
      </c>
      <c r="L16" s="13">
        <v>25585077000</v>
      </c>
      <c r="M16" s="13">
        <v>167756547000</v>
      </c>
      <c r="N16" s="9" t="s">
        <v>67</v>
      </c>
      <c r="O16" s="6">
        <v>1</v>
      </c>
      <c r="P16" s="12">
        <v>0.22135979711193945</v>
      </c>
      <c r="Q16" s="12">
        <v>0.15251313559762292</v>
      </c>
      <c r="R16" s="14">
        <v>13</v>
      </c>
    </row>
    <row r="17" spans="2:18" x14ac:dyDescent="0.5">
      <c r="B17" s="1" t="s">
        <v>29</v>
      </c>
      <c r="C17" t="s">
        <v>89</v>
      </c>
      <c r="D17" t="s">
        <v>85</v>
      </c>
      <c r="E17">
        <v>4.7300000000000004</v>
      </c>
      <c r="F17" s="9" t="s">
        <v>67</v>
      </c>
      <c r="G17" s="7">
        <v>55828529152</v>
      </c>
      <c r="H17" s="6">
        <v>5.97</v>
      </c>
      <c r="I17" s="6">
        <v>4.5199999999999996</v>
      </c>
      <c r="J17" s="12">
        <f t="shared" si="0"/>
        <v>4.646017699115057E-2</v>
      </c>
      <c r="K17" s="11">
        <v>3.1289640591966171E-2</v>
      </c>
      <c r="L17" s="13">
        <v>5915895000</v>
      </c>
      <c r="M17" s="13">
        <v>21902003000</v>
      </c>
      <c r="N17" s="9" t="s">
        <v>50</v>
      </c>
      <c r="O17" s="6">
        <v>1.0989010989010988</v>
      </c>
      <c r="P17" s="12">
        <v>0.12627871871623292</v>
      </c>
      <c r="Q17" s="12">
        <v>0.27010748742934609</v>
      </c>
      <c r="R17" s="14">
        <v>14</v>
      </c>
    </row>
    <row r="18" spans="2:18" x14ac:dyDescent="0.5">
      <c r="B18" s="1" t="s">
        <v>281</v>
      </c>
      <c r="C18" t="s">
        <v>334</v>
      </c>
      <c r="D18" t="s">
        <v>74</v>
      </c>
      <c r="E18">
        <v>5.0599999999999996</v>
      </c>
      <c r="F18" s="9" t="s">
        <v>67</v>
      </c>
      <c r="G18" s="7">
        <v>13660574720</v>
      </c>
      <c r="H18" s="6">
        <v>6.83</v>
      </c>
      <c r="I18" s="6">
        <v>4.46</v>
      </c>
      <c r="J18" s="12">
        <f t="shared" si="0"/>
        <v>0.13452914798206272</v>
      </c>
      <c r="K18" s="11">
        <v>4.9209486166007906E-2</v>
      </c>
      <c r="L18" s="13">
        <v>2030839000</v>
      </c>
      <c r="M18" s="13">
        <v>11587361000</v>
      </c>
      <c r="N18" s="9" t="s">
        <v>50</v>
      </c>
      <c r="O18" s="6">
        <v>1.0989010989010988</v>
      </c>
      <c r="P18" s="12">
        <v>0.16273738128634099</v>
      </c>
      <c r="Q18" s="12">
        <v>0.17526328902672489</v>
      </c>
      <c r="R18" s="14">
        <v>14</v>
      </c>
    </row>
    <row r="19" spans="2:18" x14ac:dyDescent="0.5">
      <c r="B19" s="1" t="s">
        <v>285</v>
      </c>
      <c r="C19" t="s">
        <v>338</v>
      </c>
      <c r="D19" t="s">
        <v>85</v>
      </c>
      <c r="E19">
        <v>9.4600000000000009</v>
      </c>
      <c r="F19" s="9" t="s">
        <v>67</v>
      </c>
      <c r="G19" s="7">
        <v>121373876224</v>
      </c>
      <c r="H19" s="6">
        <v>10.39</v>
      </c>
      <c r="I19" s="6">
        <v>6.06</v>
      </c>
      <c r="J19" s="12">
        <f t="shared" si="0"/>
        <v>0.56105610561056141</v>
      </c>
      <c r="K19" s="11">
        <v>8.1395348837209301E-3</v>
      </c>
      <c r="L19" s="13">
        <v>2553000000</v>
      </c>
      <c r="M19" s="13">
        <v>13971000000</v>
      </c>
      <c r="N19" s="9" t="s">
        <v>71</v>
      </c>
      <c r="O19" s="6">
        <v>7.6923076923076916</v>
      </c>
      <c r="P19" s="12">
        <v>0.14632381691479865</v>
      </c>
      <c r="Q19" s="12">
        <v>0.18273566673824351</v>
      </c>
      <c r="R19" s="14">
        <v>15</v>
      </c>
    </row>
    <row r="20" spans="2:18" x14ac:dyDescent="0.5">
      <c r="B20" s="1" t="s">
        <v>23</v>
      </c>
      <c r="C20" t="s">
        <v>79</v>
      </c>
      <c r="D20" t="s">
        <v>80</v>
      </c>
      <c r="E20">
        <v>8.51</v>
      </c>
      <c r="F20" s="9" t="s">
        <v>67</v>
      </c>
      <c r="G20" s="7">
        <v>73688096768</v>
      </c>
      <c r="H20" s="6">
        <v>8.83</v>
      </c>
      <c r="I20" s="6">
        <v>6.8</v>
      </c>
      <c r="J20" s="12">
        <f t="shared" si="0"/>
        <v>0.25147058823529411</v>
      </c>
      <c r="K20" s="11">
        <v>3.7367802585193892E-2</v>
      </c>
      <c r="L20" s="13">
        <v>13438000000</v>
      </c>
      <c r="M20" s="13">
        <v>88611000000</v>
      </c>
      <c r="N20" s="9" t="s">
        <v>50</v>
      </c>
      <c r="O20" s="6">
        <v>1.0989010989010988</v>
      </c>
      <c r="P20" s="12">
        <v>0.21159482962162121</v>
      </c>
      <c r="Q20" s="12">
        <v>0.15165160081705431</v>
      </c>
      <c r="R20" s="14">
        <v>15</v>
      </c>
    </row>
    <row r="21" spans="2:18" x14ac:dyDescent="0.5">
      <c r="B21" s="1" t="s">
        <v>27</v>
      </c>
      <c r="C21" t="s">
        <v>86</v>
      </c>
      <c r="D21" t="s">
        <v>87</v>
      </c>
      <c r="E21">
        <v>3.7</v>
      </c>
      <c r="F21" s="9" t="s">
        <v>67</v>
      </c>
      <c r="G21" s="7">
        <v>3928963328</v>
      </c>
      <c r="H21" s="6">
        <v>7.12</v>
      </c>
      <c r="I21" s="6">
        <v>3.52</v>
      </c>
      <c r="J21" s="12">
        <f t="shared" si="0"/>
        <v>5.1136363636363757E-2</v>
      </c>
      <c r="K21" s="11">
        <v>0</v>
      </c>
      <c r="L21" s="13">
        <v>866801000</v>
      </c>
      <c r="M21" s="13">
        <v>7530053000</v>
      </c>
      <c r="N21" s="9" t="s">
        <v>67</v>
      </c>
      <c r="O21" s="6">
        <v>1</v>
      </c>
      <c r="P21" s="12">
        <v>0.92885767671608355</v>
      </c>
      <c r="Q21" s="12">
        <v>0.11511220438953086</v>
      </c>
      <c r="R21" s="14">
        <v>15</v>
      </c>
    </row>
    <row r="22" spans="2:18" x14ac:dyDescent="0.5">
      <c r="B22" s="1" t="s">
        <v>24</v>
      </c>
      <c r="C22" t="s">
        <v>755</v>
      </c>
      <c r="D22" t="s">
        <v>81</v>
      </c>
      <c r="E22">
        <v>19.84</v>
      </c>
      <c r="F22" s="9" t="s">
        <v>67</v>
      </c>
      <c r="G22" s="7">
        <v>42274545664</v>
      </c>
      <c r="H22" s="6">
        <v>26</v>
      </c>
      <c r="I22" s="6">
        <v>10.98</v>
      </c>
      <c r="J22" s="12">
        <f t="shared" si="0"/>
        <v>0.80692167577413465</v>
      </c>
      <c r="K22" s="11">
        <v>5.6451612903225812E-2</v>
      </c>
      <c r="L22" s="13">
        <v>5451928473.2399998</v>
      </c>
      <c r="M22" s="13">
        <v>25994816572.18</v>
      </c>
      <c r="N22" s="9" t="s">
        <v>50</v>
      </c>
      <c r="O22" s="6">
        <v>1.0989010989010988</v>
      </c>
      <c r="P22" s="12">
        <v>0.13069878150298239</v>
      </c>
      <c r="Q22" s="12">
        <v>0.20973136925592797</v>
      </c>
      <c r="R22" s="14">
        <v>16</v>
      </c>
    </row>
    <row r="23" spans="2:18" x14ac:dyDescent="0.5">
      <c r="B23" s="1" t="s">
        <v>20</v>
      </c>
      <c r="C23" t="s">
        <v>72</v>
      </c>
      <c r="D23" t="s">
        <v>73</v>
      </c>
      <c r="E23">
        <v>3.1</v>
      </c>
      <c r="F23" s="9" t="s">
        <v>67</v>
      </c>
      <c r="G23" s="7">
        <v>3223404800</v>
      </c>
      <c r="H23" s="6">
        <v>3.74</v>
      </c>
      <c r="I23" s="6">
        <v>1.92</v>
      </c>
      <c r="J23" s="12">
        <f t="shared" si="0"/>
        <v>0.61458333333333348</v>
      </c>
      <c r="K23" s="11">
        <v>9.1612903225806439E-2</v>
      </c>
      <c r="L23" s="13">
        <v>762183000</v>
      </c>
      <c r="M23" s="13">
        <v>5008319000</v>
      </c>
      <c r="N23" s="9" t="s">
        <v>67</v>
      </c>
      <c r="O23" s="6">
        <v>1</v>
      </c>
      <c r="P23" s="12">
        <v>0.19206092826613796</v>
      </c>
      <c r="Q23" s="12">
        <v>0.15218339726363278</v>
      </c>
      <c r="R23" s="14">
        <v>17</v>
      </c>
    </row>
    <row r="24" spans="2:18" x14ac:dyDescent="0.5">
      <c r="B24" s="1" t="s">
        <v>287</v>
      </c>
      <c r="C24" t="s">
        <v>340</v>
      </c>
      <c r="D24" t="s">
        <v>53</v>
      </c>
      <c r="E24">
        <v>4.4800000000000004</v>
      </c>
      <c r="F24" s="9" t="s">
        <v>67</v>
      </c>
      <c r="G24" s="7">
        <v>17373812736</v>
      </c>
      <c r="H24" s="6">
        <v>5.29</v>
      </c>
      <c r="I24" s="6">
        <v>3.33</v>
      </c>
      <c r="J24" s="12">
        <f t="shared" si="0"/>
        <v>0.34534534534534544</v>
      </c>
      <c r="K24" s="11">
        <v>6.0267857142857144E-2</v>
      </c>
      <c r="L24" s="13">
        <v>2823432000</v>
      </c>
      <c r="M24" s="13">
        <v>16925205000</v>
      </c>
      <c r="N24" s="9" t="s">
        <v>67</v>
      </c>
      <c r="O24" s="6">
        <v>1</v>
      </c>
      <c r="P24" s="12">
        <v>0.15902236329996011</v>
      </c>
      <c r="Q24" s="12">
        <v>0.16681818624944278</v>
      </c>
      <c r="R24" s="14">
        <v>17</v>
      </c>
    </row>
    <row r="25" spans="2:18" x14ac:dyDescent="0.5">
      <c r="B25" s="1" t="s">
        <v>764</v>
      </c>
      <c r="C25" t="s">
        <v>769</v>
      </c>
      <c r="D25" t="s">
        <v>660</v>
      </c>
      <c r="E25">
        <v>1.1200000000000001</v>
      </c>
      <c r="F25" s="9" t="s">
        <v>67</v>
      </c>
      <c r="G25" s="7">
        <v>464800000</v>
      </c>
      <c r="H25" s="6">
        <v>1.41</v>
      </c>
      <c r="I25" s="6">
        <v>0.59</v>
      </c>
      <c r="J25" s="12">
        <f t="shared" si="0"/>
        <v>0.89830508474576298</v>
      </c>
      <c r="K25" s="11">
        <v>3.3928571428571426E-2</v>
      </c>
      <c r="L25" s="13">
        <v>76397000</v>
      </c>
      <c r="M25" s="13">
        <v>492379000</v>
      </c>
      <c r="N25" s="9" t="s">
        <v>67</v>
      </c>
      <c r="O25" s="6">
        <v>1</v>
      </c>
      <c r="P25" s="12">
        <v>0.1667922023766639</v>
      </c>
      <c r="Q25" s="12">
        <v>0.15515893244837817</v>
      </c>
      <c r="R25" s="14">
        <v>18</v>
      </c>
    </row>
    <row r="26" spans="2:18" x14ac:dyDescent="0.5">
      <c r="B26" s="1" t="s">
        <v>247</v>
      </c>
      <c r="C26" t="s">
        <v>292</v>
      </c>
      <c r="D26" t="s">
        <v>291</v>
      </c>
      <c r="E26">
        <v>1.3</v>
      </c>
      <c r="F26" s="9" t="s">
        <v>67</v>
      </c>
      <c r="G26" s="7">
        <v>2618523136</v>
      </c>
      <c r="H26" s="6">
        <v>1.85</v>
      </c>
      <c r="I26" s="6">
        <v>1.1299999999999999</v>
      </c>
      <c r="J26" s="12">
        <f t="shared" si="0"/>
        <v>0.15044247787610643</v>
      </c>
      <c r="K26" s="11">
        <v>9.1538461538461527E-2</v>
      </c>
      <c r="L26" s="13">
        <v>809534000</v>
      </c>
      <c r="M26" s="13">
        <v>6812238000</v>
      </c>
      <c r="N26" s="9" t="s">
        <v>50</v>
      </c>
      <c r="O26" s="6">
        <v>1.0989010989010988</v>
      </c>
      <c r="P26" s="12">
        <v>0.34014418722979139</v>
      </c>
      <c r="Q26" s="12">
        <v>0.11883524915013245</v>
      </c>
      <c r="R26" s="14">
        <v>18</v>
      </c>
    </row>
    <row r="27" spans="2:18" x14ac:dyDescent="0.5">
      <c r="B27" s="1" t="s">
        <v>110</v>
      </c>
      <c r="C27" t="s">
        <v>147</v>
      </c>
      <c r="D27" t="s">
        <v>148</v>
      </c>
      <c r="E27">
        <v>3.38</v>
      </c>
      <c r="F27" s="9" t="s">
        <v>67</v>
      </c>
      <c r="G27" s="7">
        <v>4851691008</v>
      </c>
      <c r="H27" s="6">
        <v>6.5</v>
      </c>
      <c r="I27" s="6">
        <v>3.05</v>
      </c>
      <c r="J27" s="12">
        <f t="shared" si="0"/>
        <v>0.1081967213114754</v>
      </c>
      <c r="K27" s="11">
        <v>0.11568047337278108</v>
      </c>
      <c r="L27" s="13">
        <v>811880000</v>
      </c>
      <c r="M27" s="13">
        <v>5532140000</v>
      </c>
      <c r="N27" s="9" t="s">
        <v>50</v>
      </c>
      <c r="O27" s="6">
        <v>1.0989010989010988</v>
      </c>
      <c r="P27" s="12">
        <v>0.19262791249152905</v>
      </c>
      <c r="Q27" s="12">
        <v>0.14675695119790894</v>
      </c>
      <c r="R27" s="14">
        <v>18</v>
      </c>
    </row>
    <row r="28" spans="2:18" x14ac:dyDescent="0.5">
      <c r="B28" s="1" t="s">
        <v>25</v>
      </c>
      <c r="C28" t="s">
        <v>82</v>
      </c>
      <c r="D28" t="s">
        <v>49</v>
      </c>
      <c r="E28">
        <v>7.78</v>
      </c>
      <c r="F28" s="9" t="s">
        <v>67</v>
      </c>
      <c r="G28" s="7">
        <v>9689360384</v>
      </c>
      <c r="H28" s="6">
        <v>12.08</v>
      </c>
      <c r="I28" s="6">
        <v>4.3499999999999996</v>
      </c>
      <c r="J28" s="12">
        <f t="shared" si="0"/>
        <v>0.78850574712643695</v>
      </c>
      <c r="K28" s="11">
        <v>1.812339331619537E-2</v>
      </c>
      <c r="L28" s="13">
        <v>921702000</v>
      </c>
      <c r="M28" s="13">
        <v>5262544000</v>
      </c>
      <c r="N28" s="9" t="s">
        <v>50</v>
      </c>
      <c r="O28" s="6">
        <v>1.0989010989010988</v>
      </c>
      <c r="P28" s="12">
        <v>0.14141600535866733</v>
      </c>
      <c r="Q28" s="12">
        <v>0.17514380877385538</v>
      </c>
      <c r="R28" s="14">
        <v>19</v>
      </c>
    </row>
    <row r="29" spans="2:18" x14ac:dyDescent="0.5">
      <c r="B29" s="1" t="s">
        <v>279</v>
      </c>
      <c r="C29" t="s">
        <v>332</v>
      </c>
      <c r="D29" t="s">
        <v>60</v>
      </c>
      <c r="E29">
        <v>10.119999999999999</v>
      </c>
      <c r="F29" s="9" t="s">
        <v>67</v>
      </c>
      <c r="G29" s="7">
        <v>16401473536</v>
      </c>
      <c r="H29" s="6">
        <v>12.4</v>
      </c>
      <c r="I29" s="6">
        <v>10.01</v>
      </c>
      <c r="J29" s="12">
        <f t="shared" si="0"/>
        <v>1.098901098901095E-2</v>
      </c>
      <c r="K29" s="11">
        <v>5.9288537549407119E-2</v>
      </c>
      <c r="L29" s="13">
        <v>1721368005.75</v>
      </c>
      <c r="M29" s="13">
        <v>14620942286.52</v>
      </c>
      <c r="N29" s="9" t="s">
        <v>50</v>
      </c>
      <c r="O29" s="6">
        <v>1.0989010989010988</v>
      </c>
      <c r="P29" s="12">
        <v>0.28418774604657543</v>
      </c>
      <c r="Q29" s="12">
        <v>0.11773304155211949</v>
      </c>
      <c r="R29" s="14">
        <v>20</v>
      </c>
    </row>
    <row r="30" spans="2:18" x14ac:dyDescent="0.5">
      <c r="B30" s="1" t="s">
        <v>115</v>
      </c>
      <c r="C30" t="s">
        <v>155</v>
      </c>
      <c r="D30" t="s">
        <v>83</v>
      </c>
      <c r="E30">
        <v>76.650000000000006</v>
      </c>
      <c r="F30" s="9" t="s">
        <v>67</v>
      </c>
      <c r="G30" s="7">
        <v>212358791168</v>
      </c>
      <c r="H30" s="6">
        <v>106.3</v>
      </c>
      <c r="I30" s="6">
        <v>73.55</v>
      </c>
      <c r="J30" s="12">
        <f t="shared" si="0"/>
        <v>4.2148198504418977E-2</v>
      </c>
      <c r="K30" s="11">
        <v>3.0919765166340509E-2</v>
      </c>
      <c r="L30" s="13">
        <v>22510000000</v>
      </c>
      <c r="M30" s="13">
        <v>82545000000</v>
      </c>
      <c r="N30" s="9" t="s">
        <v>50</v>
      </c>
      <c r="O30" s="6">
        <v>1.0989010989010988</v>
      </c>
      <c r="P30" s="12">
        <v>0.10720247267660596</v>
      </c>
      <c r="Q30" s="12">
        <v>0.27269973953601068</v>
      </c>
      <c r="R30" s="14">
        <v>21</v>
      </c>
    </row>
    <row r="31" spans="2:18" x14ac:dyDescent="0.5">
      <c r="B31" s="1" t="s">
        <v>198</v>
      </c>
      <c r="C31" t="s">
        <v>222</v>
      </c>
      <c r="D31" t="s">
        <v>223</v>
      </c>
      <c r="E31">
        <v>0.69</v>
      </c>
      <c r="F31" s="9" t="s">
        <v>67</v>
      </c>
      <c r="G31" s="7">
        <v>1643722112</v>
      </c>
      <c r="H31" s="6">
        <v>0.73</v>
      </c>
      <c r="I31" s="6">
        <v>0.55000000000000004</v>
      </c>
      <c r="J31" s="12">
        <f t="shared" si="0"/>
        <v>0.25454545454545441</v>
      </c>
      <c r="K31" s="11">
        <v>1.4492753623188408E-2</v>
      </c>
      <c r="L31" s="13">
        <v>54195000</v>
      </c>
      <c r="M31" s="13">
        <v>586711000</v>
      </c>
      <c r="N31" s="9" t="s">
        <v>71</v>
      </c>
      <c r="O31" s="6">
        <v>7.6923076923076916</v>
      </c>
      <c r="P31" s="12">
        <v>1.2095512147057168</v>
      </c>
      <c r="Q31" s="12">
        <v>9.2370860611101543E-2</v>
      </c>
      <c r="R31" s="14">
        <v>22</v>
      </c>
    </row>
    <row r="32" spans="2:18" x14ac:dyDescent="0.5">
      <c r="B32" s="1" t="s">
        <v>282</v>
      </c>
      <c r="C32" t="s">
        <v>335</v>
      </c>
      <c r="D32" t="s">
        <v>96</v>
      </c>
      <c r="E32">
        <v>5</v>
      </c>
      <c r="F32" s="9" t="s">
        <v>67</v>
      </c>
      <c r="G32" s="7">
        <v>5504757760</v>
      </c>
      <c r="H32" s="6">
        <v>5.3</v>
      </c>
      <c r="I32" s="6">
        <v>4</v>
      </c>
      <c r="J32" s="12">
        <f t="shared" si="0"/>
        <v>0.25</v>
      </c>
      <c r="K32" s="11">
        <v>6.4000000000000001E-2</v>
      </c>
      <c r="L32" s="13">
        <v>765224000</v>
      </c>
      <c r="M32" s="13">
        <v>5249449000</v>
      </c>
      <c r="N32" s="9" t="s">
        <v>67</v>
      </c>
      <c r="O32" s="6">
        <v>1</v>
      </c>
      <c r="P32" s="12">
        <v>0.1564549304652432</v>
      </c>
      <c r="Q32" s="12">
        <v>0.14577225152582682</v>
      </c>
      <c r="R32" s="14">
        <v>23</v>
      </c>
    </row>
    <row r="33" spans="2:18" x14ac:dyDescent="0.5">
      <c r="B33" s="1" t="s">
        <v>433</v>
      </c>
      <c r="C33" t="s">
        <v>436</v>
      </c>
      <c r="D33" t="s">
        <v>182</v>
      </c>
      <c r="E33">
        <v>15.85</v>
      </c>
      <c r="F33" s="9" t="s">
        <v>67</v>
      </c>
      <c r="G33" s="7">
        <v>85827756032</v>
      </c>
      <c r="H33" s="6">
        <v>18.88</v>
      </c>
      <c r="I33" s="6">
        <v>12.43</v>
      </c>
      <c r="J33" s="12">
        <f t="shared" si="0"/>
        <v>0.27514078841512468</v>
      </c>
      <c r="K33" s="11">
        <v>4.9022082018927444E-2</v>
      </c>
      <c r="L33" s="13">
        <v>6898733000</v>
      </c>
      <c r="M33" s="13">
        <v>12604518000</v>
      </c>
      <c r="N33" s="9" t="s">
        <v>50</v>
      </c>
      <c r="O33" s="6">
        <v>1.0989010989010988</v>
      </c>
      <c r="P33" s="12">
        <v>8.9831131263133204E-2</v>
      </c>
      <c r="Q33" s="12">
        <v>0.54732223794674262</v>
      </c>
      <c r="R33" s="14">
        <v>23</v>
      </c>
    </row>
    <row r="34" spans="2:18" x14ac:dyDescent="0.5">
      <c r="B34" s="1" t="s">
        <v>139</v>
      </c>
      <c r="C34" t="s">
        <v>187</v>
      </c>
      <c r="D34" t="s">
        <v>106</v>
      </c>
      <c r="E34">
        <v>36.840000000000003</v>
      </c>
      <c r="F34" s="9" t="s">
        <v>67</v>
      </c>
      <c r="G34" s="7">
        <v>94267072512</v>
      </c>
      <c r="H34" s="6">
        <v>57.85</v>
      </c>
      <c r="I34" s="6">
        <v>36.68</v>
      </c>
      <c r="J34" s="12">
        <f t="shared" ref="J34:J65" si="1">E34/I34-1</f>
        <v>4.362050163577047E-3</v>
      </c>
      <c r="K34" s="11">
        <v>4.5059717698154181E-3</v>
      </c>
      <c r="L34" s="13">
        <v>1279098000</v>
      </c>
      <c r="M34" s="13">
        <v>4811702000</v>
      </c>
      <c r="N34" s="9" t="s">
        <v>188</v>
      </c>
      <c r="O34" s="6">
        <v>8.7546153846153842</v>
      </c>
      <c r="P34" s="12">
        <v>0.10197226638060533</v>
      </c>
      <c r="Q34" s="12">
        <v>0.26583067696212276</v>
      </c>
      <c r="R34" s="14">
        <v>24</v>
      </c>
    </row>
    <row r="35" spans="2:18" x14ac:dyDescent="0.5">
      <c r="B35" s="1" t="s">
        <v>197</v>
      </c>
      <c r="C35" t="s">
        <v>220</v>
      </c>
      <c r="D35" t="s">
        <v>221</v>
      </c>
      <c r="E35">
        <v>26.78</v>
      </c>
      <c r="F35" s="9" t="s">
        <v>67</v>
      </c>
      <c r="G35" s="7">
        <v>234131652608</v>
      </c>
      <c r="H35" s="6">
        <v>35.54</v>
      </c>
      <c r="I35" s="6">
        <v>13.4</v>
      </c>
      <c r="J35" s="12">
        <f t="shared" si="1"/>
        <v>0.99850746268656709</v>
      </c>
      <c r="K35" s="11">
        <v>2.6325616131441371E-2</v>
      </c>
      <c r="L35" s="13">
        <v>21175963859.630001</v>
      </c>
      <c r="M35" s="13">
        <v>104071284594.97</v>
      </c>
      <c r="N35" s="9" t="s">
        <v>50</v>
      </c>
      <c r="O35" s="6">
        <v>1.0989010989010988</v>
      </c>
      <c r="P35" s="12">
        <v>0.11494305553236614</v>
      </c>
      <c r="Q35" s="12">
        <v>0.20347556909712136</v>
      </c>
      <c r="R35" s="14">
        <v>25</v>
      </c>
    </row>
    <row r="36" spans="2:18" x14ac:dyDescent="0.5">
      <c r="B36" s="1" t="s">
        <v>22</v>
      </c>
      <c r="C36" t="s">
        <v>77</v>
      </c>
      <c r="D36" t="s">
        <v>78</v>
      </c>
      <c r="E36">
        <v>14.52</v>
      </c>
      <c r="F36" s="9" t="s">
        <v>67</v>
      </c>
      <c r="G36" s="7">
        <v>234841964544</v>
      </c>
      <c r="H36" s="6">
        <v>15.24</v>
      </c>
      <c r="I36" s="6">
        <v>7.16</v>
      </c>
      <c r="J36" s="12">
        <f t="shared" si="1"/>
        <v>1.0279329608938546</v>
      </c>
      <c r="K36" s="11">
        <v>2.9201101928374655E-2</v>
      </c>
      <c r="L36" s="13">
        <v>32866046000</v>
      </c>
      <c r="M36" s="13">
        <v>215280386000</v>
      </c>
      <c r="N36" s="9" t="s">
        <v>50</v>
      </c>
      <c r="O36" s="6">
        <v>1.0989010989010988</v>
      </c>
      <c r="P36" s="12">
        <v>0.13237731171682723</v>
      </c>
      <c r="Q36" s="12">
        <v>0.15266623500015464</v>
      </c>
      <c r="R36" s="14">
        <v>26</v>
      </c>
    </row>
    <row r="37" spans="2:18" x14ac:dyDescent="0.5">
      <c r="B37" s="1" t="s">
        <v>276</v>
      </c>
      <c r="C37" t="s">
        <v>329</v>
      </c>
      <c r="D37" t="s">
        <v>53</v>
      </c>
      <c r="E37">
        <v>24.36</v>
      </c>
      <c r="F37" s="9" t="s">
        <v>67</v>
      </c>
      <c r="G37" s="7">
        <v>248876941312</v>
      </c>
      <c r="H37" s="6">
        <v>28.2</v>
      </c>
      <c r="I37" s="6">
        <v>19.239999999999998</v>
      </c>
      <c r="J37" s="12">
        <f t="shared" si="1"/>
        <v>0.26611226611226613</v>
      </c>
      <c r="K37" s="11">
        <v>5.0656814449917896E-2</v>
      </c>
      <c r="L37" s="13">
        <v>25459748125.549999</v>
      </c>
      <c r="M37" s="13">
        <v>134815560756.77</v>
      </c>
      <c r="N37" s="9" t="s">
        <v>50</v>
      </c>
      <c r="O37" s="6">
        <v>1.0989010989010988</v>
      </c>
      <c r="P37" s="12">
        <v>0.11822314601320363</v>
      </c>
      <c r="Q37" s="12">
        <v>0.18884873513587705</v>
      </c>
      <c r="R37" s="14">
        <v>27</v>
      </c>
    </row>
    <row r="38" spans="2:18" x14ac:dyDescent="0.5">
      <c r="B38" s="1" t="s">
        <v>277</v>
      </c>
      <c r="C38" t="s">
        <v>330</v>
      </c>
      <c r="D38" t="s">
        <v>55</v>
      </c>
      <c r="E38">
        <v>11.2</v>
      </c>
      <c r="F38" s="9" t="s">
        <v>67</v>
      </c>
      <c r="G38" s="7">
        <v>28233381888</v>
      </c>
      <c r="H38" s="6">
        <v>13.3</v>
      </c>
      <c r="I38" s="6">
        <v>6.09</v>
      </c>
      <c r="J38" s="12">
        <f t="shared" si="1"/>
        <v>0.83908045977011492</v>
      </c>
      <c r="K38" s="11">
        <v>2.8392857142857147E-2</v>
      </c>
      <c r="L38" s="13">
        <v>3301437000</v>
      </c>
      <c r="M38" s="13">
        <v>21814427000</v>
      </c>
      <c r="N38" s="9" t="s">
        <v>67</v>
      </c>
      <c r="O38" s="6">
        <v>1</v>
      </c>
      <c r="P38" s="12">
        <v>0.13514327733125053</v>
      </c>
      <c r="Q38" s="12">
        <v>0.15134190781174311</v>
      </c>
      <c r="R38" s="14">
        <v>27</v>
      </c>
    </row>
    <row r="39" spans="2:18" x14ac:dyDescent="0.5">
      <c r="B39" s="1" t="s">
        <v>280</v>
      </c>
      <c r="C39" t="s">
        <v>333</v>
      </c>
      <c r="D39" t="s">
        <v>96</v>
      </c>
      <c r="E39">
        <v>4.29</v>
      </c>
      <c r="F39" s="9" t="s">
        <v>67</v>
      </c>
      <c r="G39" s="7">
        <v>29712619520</v>
      </c>
      <c r="H39" s="6">
        <v>5</v>
      </c>
      <c r="I39" s="6">
        <v>3.78</v>
      </c>
      <c r="J39" s="12">
        <f t="shared" si="1"/>
        <v>0.13492063492063489</v>
      </c>
      <c r="K39" s="11">
        <v>5.1048951048951047E-2</v>
      </c>
      <c r="L39" s="13">
        <v>4216348000</v>
      </c>
      <c r="M39" s="13">
        <v>46142120000</v>
      </c>
      <c r="N39" s="9" t="s">
        <v>50</v>
      </c>
      <c r="O39" s="6">
        <v>1.0989010989010988</v>
      </c>
      <c r="P39" s="12">
        <v>0.44712306066084556</v>
      </c>
      <c r="Q39" s="12">
        <v>9.1377422623841298E-2</v>
      </c>
      <c r="R39" s="14">
        <v>28</v>
      </c>
    </row>
    <row r="40" spans="2:18" x14ac:dyDescent="0.5">
      <c r="B40" s="1" t="s">
        <v>35</v>
      </c>
      <c r="C40" t="s">
        <v>98</v>
      </c>
      <c r="D40" t="s">
        <v>99</v>
      </c>
      <c r="E40">
        <v>396</v>
      </c>
      <c r="F40" s="9" t="s">
        <v>67</v>
      </c>
      <c r="G40" s="7">
        <v>500556333056</v>
      </c>
      <c r="H40" s="6">
        <v>466</v>
      </c>
      <c r="I40" s="6">
        <v>283.2</v>
      </c>
      <c r="J40" s="12">
        <f t="shared" si="1"/>
        <v>0.39830508474576276</v>
      </c>
      <c r="K40" s="11">
        <v>3.1616161616161619E-2</v>
      </c>
      <c r="L40" s="13">
        <v>25830000000</v>
      </c>
      <c r="M40" s="13">
        <v>58147000000</v>
      </c>
      <c r="N40" s="9" t="s">
        <v>67</v>
      </c>
      <c r="O40" s="6">
        <v>1</v>
      </c>
      <c r="P40" s="12">
        <v>8.1052246291967445E-2</v>
      </c>
      <c r="Q40" s="12">
        <v>0.4442189622852426</v>
      </c>
      <c r="R40" s="14">
        <v>28</v>
      </c>
    </row>
    <row r="41" spans="2:18" x14ac:dyDescent="0.5">
      <c r="B41" s="1" t="s">
        <v>272</v>
      </c>
      <c r="C41" t="s">
        <v>324</v>
      </c>
      <c r="D41" t="s">
        <v>296</v>
      </c>
      <c r="E41">
        <v>3.71</v>
      </c>
      <c r="F41" s="9" t="s">
        <v>67</v>
      </c>
      <c r="G41" s="7">
        <v>42670649344</v>
      </c>
      <c r="H41" s="6">
        <v>4.54</v>
      </c>
      <c r="I41" s="6">
        <v>3.01</v>
      </c>
      <c r="J41" s="12">
        <f t="shared" si="1"/>
        <v>0.23255813953488369</v>
      </c>
      <c r="K41" s="11">
        <v>5.121293800539084E-2</v>
      </c>
      <c r="L41" s="13">
        <v>9414000000</v>
      </c>
      <c r="M41" s="13">
        <v>81589000000</v>
      </c>
      <c r="N41" s="9" t="s">
        <v>50</v>
      </c>
      <c r="O41" s="6">
        <v>1.0989010989010988</v>
      </c>
      <c r="P41" s="12">
        <v>0.1802574928204376</v>
      </c>
      <c r="Q41" s="12">
        <v>0.11538320116682396</v>
      </c>
      <c r="R41" s="14">
        <v>29</v>
      </c>
    </row>
    <row r="42" spans="2:18" x14ac:dyDescent="0.5">
      <c r="B42" s="1" t="s">
        <v>275</v>
      </c>
      <c r="C42" t="s">
        <v>328</v>
      </c>
      <c r="D42" t="s">
        <v>148</v>
      </c>
      <c r="E42">
        <v>29.38</v>
      </c>
      <c r="F42" s="9" t="s">
        <v>67</v>
      </c>
      <c r="G42" s="7">
        <v>209506992128</v>
      </c>
      <c r="H42" s="6">
        <v>34.119999999999997</v>
      </c>
      <c r="I42" s="6">
        <v>22.75</v>
      </c>
      <c r="J42" s="12">
        <f t="shared" si="1"/>
        <v>0.29142857142857137</v>
      </c>
      <c r="K42" s="11">
        <v>4.4894486044928524E-2</v>
      </c>
      <c r="L42" s="13">
        <v>61181051000</v>
      </c>
      <c r="M42" s="13">
        <v>532289194000</v>
      </c>
      <c r="N42" s="9" t="s">
        <v>50</v>
      </c>
      <c r="O42" s="6">
        <v>1.0989010989010988</v>
      </c>
      <c r="P42" s="12">
        <v>0.18787277686219556</v>
      </c>
      <c r="Q42" s="12">
        <v>0.11493949471384535</v>
      </c>
      <c r="R42" s="14">
        <v>30</v>
      </c>
    </row>
    <row r="43" spans="2:18" x14ac:dyDescent="0.5">
      <c r="B43" s="1" t="s">
        <v>37</v>
      </c>
      <c r="C43" t="s">
        <v>101</v>
      </c>
      <c r="D43" t="s">
        <v>102</v>
      </c>
      <c r="E43">
        <v>4.3</v>
      </c>
      <c r="F43" s="9" t="s">
        <v>67</v>
      </c>
      <c r="G43" s="7">
        <v>3350569472</v>
      </c>
      <c r="H43" s="6">
        <v>8.83</v>
      </c>
      <c r="I43" s="6">
        <v>4.08</v>
      </c>
      <c r="J43" s="12">
        <f t="shared" si="1"/>
        <v>5.3921568627451011E-2</v>
      </c>
      <c r="K43" s="11">
        <v>3.9534883720930239E-2</v>
      </c>
      <c r="L43" s="13">
        <v>437453000</v>
      </c>
      <c r="M43" s="13">
        <v>4911072000</v>
      </c>
      <c r="N43" s="9" t="s">
        <v>67</v>
      </c>
      <c r="O43" s="6">
        <v>1</v>
      </c>
      <c r="P43" s="12">
        <v>0.41225573489830852</v>
      </c>
      <c r="Q43" s="12">
        <v>8.9074849645861431E-2</v>
      </c>
      <c r="R43" s="14">
        <v>30</v>
      </c>
    </row>
    <row r="44" spans="2:18" x14ac:dyDescent="0.5">
      <c r="B44" s="1" t="s">
        <v>267</v>
      </c>
      <c r="C44" t="s">
        <v>318</v>
      </c>
      <c r="D44" t="s">
        <v>171</v>
      </c>
      <c r="E44">
        <v>68.849999999999994</v>
      </c>
      <c r="F44" s="9" t="s">
        <v>67</v>
      </c>
      <c r="G44" s="7">
        <v>16856219648</v>
      </c>
      <c r="H44" s="6">
        <v>103.1</v>
      </c>
      <c r="I44" s="6">
        <v>58.2</v>
      </c>
      <c r="J44" s="12">
        <f t="shared" si="1"/>
        <v>0.18298969072164928</v>
      </c>
      <c r="K44" s="11">
        <v>8.8598402323892527E-3</v>
      </c>
      <c r="L44" s="13">
        <v>526052000</v>
      </c>
      <c r="M44" s="13">
        <v>5343547000</v>
      </c>
      <c r="N44" s="9" t="s">
        <v>71</v>
      </c>
      <c r="O44" s="6">
        <v>7.6923076923076916</v>
      </c>
      <c r="P44" s="12">
        <v>0.2384431595069442</v>
      </c>
      <c r="Q44" s="12">
        <v>9.8446219337080781E-2</v>
      </c>
      <c r="R44" s="14">
        <v>30</v>
      </c>
    </row>
    <row r="45" spans="2:18" x14ac:dyDescent="0.5">
      <c r="B45" s="1" t="s">
        <v>278</v>
      </c>
      <c r="C45" t="s">
        <v>331</v>
      </c>
      <c r="D45" t="s">
        <v>49</v>
      </c>
      <c r="E45">
        <v>21.76</v>
      </c>
      <c r="F45" s="9" t="s">
        <v>67</v>
      </c>
      <c r="G45" s="7">
        <v>34728960000</v>
      </c>
      <c r="H45" s="6">
        <v>26.2</v>
      </c>
      <c r="I45" s="6">
        <v>16.18</v>
      </c>
      <c r="J45" s="12">
        <f t="shared" si="1"/>
        <v>0.34487021013597041</v>
      </c>
      <c r="K45" s="11">
        <v>3.30422794117647E-2</v>
      </c>
      <c r="L45" s="13">
        <v>3811007000</v>
      </c>
      <c r="M45" s="13">
        <v>22856317000</v>
      </c>
      <c r="N45" s="9" t="s">
        <v>50</v>
      </c>
      <c r="O45" s="6">
        <v>1.0989010989010988</v>
      </c>
      <c r="P45" s="12">
        <v>0.1231577885963827</v>
      </c>
      <c r="Q45" s="12">
        <v>0.1667375806872122</v>
      </c>
      <c r="R45" s="14">
        <v>30</v>
      </c>
    </row>
    <row r="46" spans="2:18" x14ac:dyDescent="0.5">
      <c r="B46" s="1" t="s">
        <v>136</v>
      </c>
      <c r="C46" t="s">
        <v>183</v>
      </c>
      <c r="D46" t="s">
        <v>85</v>
      </c>
      <c r="E46">
        <v>12.47</v>
      </c>
      <c r="F46" s="9" t="s">
        <v>67</v>
      </c>
      <c r="G46" s="7">
        <v>70287360000</v>
      </c>
      <c r="H46" s="6">
        <v>14.24</v>
      </c>
      <c r="I46" s="6">
        <v>10.16</v>
      </c>
      <c r="J46" s="12">
        <f t="shared" si="1"/>
        <v>0.22736220472440949</v>
      </c>
      <c r="K46" s="11">
        <v>2.6543704891740176E-2</v>
      </c>
      <c r="L46" s="13">
        <v>6482967000</v>
      </c>
      <c r="M46" s="13">
        <v>27483863000</v>
      </c>
      <c r="N46" s="9" t="s">
        <v>50</v>
      </c>
      <c r="O46" s="6">
        <v>1.0989010989010988</v>
      </c>
      <c r="P46" s="12">
        <v>9.2665634761985874E-2</v>
      </c>
      <c r="Q46" s="12">
        <v>0.23588267049650188</v>
      </c>
      <c r="R46" s="14">
        <v>31</v>
      </c>
    </row>
    <row r="47" spans="2:18" x14ac:dyDescent="0.5">
      <c r="B47" s="1" t="s">
        <v>19</v>
      </c>
      <c r="C47" t="s">
        <v>69</v>
      </c>
      <c r="D47" t="s">
        <v>70</v>
      </c>
      <c r="E47">
        <v>6.3</v>
      </c>
      <c r="F47" s="9" t="s">
        <v>67</v>
      </c>
      <c r="G47" s="7">
        <v>17972779008</v>
      </c>
      <c r="H47" s="6">
        <v>7.85</v>
      </c>
      <c r="I47" s="6">
        <v>3.6</v>
      </c>
      <c r="J47" s="12">
        <f t="shared" si="1"/>
        <v>0.75</v>
      </c>
      <c r="K47" s="11">
        <v>0</v>
      </c>
      <c r="L47" s="13">
        <v>259348000</v>
      </c>
      <c r="M47" s="13">
        <v>1677627000</v>
      </c>
      <c r="N47" s="9" t="s">
        <v>71</v>
      </c>
      <c r="O47" s="6">
        <v>7.6923076923076916</v>
      </c>
      <c r="P47" s="12">
        <v>0.12442063296322602</v>
      </c>
      <c r="Q47" s="12">
        <v>0.15459217096529801</v>
      </c>
      <c r="R47" s="14">
        <v>32</v>
      </c>
    </row>
    <row r="48" spans="2:18" x14ac:dyDescent="0.5">
      <c r="B48" s="1" t="s">
        <v>248</v>
      </c>
      <c r="C48" t="s">
        <v>293</v>
      </c>
      <c r="D48" t="s">
        <v>294</v>
      </c>
      <c r="E48">
        <v>17.190000000000001</v>
      </c>
      <c r="F48" s="9" t="s">
        <v>67</v>
      </c>
      <c r="G48" s="7">
        <v>418263597056</v>
      </c>
      <c r="H48" s="6">
        <v>25.24</v>
      </c>
      <c r="I48" s="6">
        <v>4.58</v>
      </c>
      <c r="J48" s="12">
        <f t="shared" si="1"/>
        <v>2.753275109170306</v>
      </c>
      <c r="K48" s="11">
        <v>1.4834205933682372E-2</v>
      </c>
      <c r="L48" s="13">
        <v>29168443138.220001</v>
      </c>
      <c r="M48" s="13">
        <v>100996030941.41</v>
      </c>
      <c r="N48" s="9" t="s">
        <v>50</v>
      </c>
      <c r="O48" s="6">
        <v>1.0989010989010988</v>
      </c>
      <c r="P48" s="12">
        <v>7.6670117140824931E-2</v>
      </c>
      <c r="Q48" s="12">
        <v>0.2888078161719172</v>
      </c>
      <c r="R48" s="14">
        <v>33</v>
      </c>
    </row>
    <row r="49" spans="2:18" x14ac:dyDescent="0.5">
      <c r="B49" s="1" t="s">
        <v>261</v>
      </c>
      <c r="C49" t="s">
        <v>310</v>
      </c>
      <c r="D49" t="s">
        <v>311</v>
      </c>
      <c r="E49">
        <v>6.63</v>
      </c>
      <c r="F49" s="9" t="s">
        <v>67</v>
      </c>
      <c r="G49" s="7">
        <v>11983256576</v>
      </c>
      <c r="H49" s="6">
        <v>9.7899999999999991</v>
      </c>
      <c r="I49" s="6">
        <v>5.49</v>
      </c>
      <c r="J49" s="12">
        <f t="shared" si="1"/>
        <v>0.20765027322404372</v>
      </c>
      <c r="K49" s="11">
        <v>3.9215686274509803E-2</v>
      </c>
      <c r="L49" s="13">
        <v>2897428000</v>
      </c>
      <c r="M49" s="13">
        <v>25970601000</v>
      </c>
      <c r="N49" s="9" t="s">
        <v>67</v>
      </c>
      <c r="O49" s="6">
        <v>1</v>
      </c>
      <c r="P49" s="12">
        <v>0.17146912909172846</v>
      </c>
      <c r="Q49" s="12">
        <v>0.11156568921912897</v>
      </c>
      <c r="R49" s="14">
        <v>34</v>
      </c>
    </row>
    <row r="50" spans="2:18" x14ac:dyDescent="0.5">
      <c r="B50" s="1" t="s">
        <v>271</v>
      </c>
      <c r="C50" t="s">
        <v>323</v>
      </c>
      <c r="D50" t="s">
        <v>94</v>
      </c>
      <c r="E50">
        <v>0.43</v>
      </c>
      <c r="F50" s="9" t="s">
        <v>67</v>
      </c>
      <c r="G50" s="7">
        <v>2226870272</v>
      </c>
      <c r="H50" s="6">
        <v>0.6</v>
      </c>
      <c r="I50" s="6">
        <v>0.42499999999999999</v>
      </c>
      <c r="J50" s="12">
        <f t="shared" si="1"/>
        <v>1.1764705882352899E-2</v>
      </c>
      <c r="K50" s="11">
        <v>2.7906976744186046E-2</v>
      </c>
      <c r="L50" s="13">
        <v>756004000</v>
      </c>
      <c r="M50" s="13">
        <v>8813758000</v>
      </c>
      <c r="N50" s="9" t="s">
        <v>50</v>
      </c>
      <c r="O50" s="6">
        <v>1.0989010989010988</v>
      </c>
      <c r="P50" s="12">
        <v>0.3574600324263239</v>
      </c>
      <c r="Q50" s="12">
        <v>8.5775443346640556E-2</v>
      </c>
      <c r="R50" s="14">
        <v>34</v>
      </c>
    </row>
    <row r="51" spans="2:18" x14ac:dyDescent="0.5">
      <c r="B51" s="1" t="s">
        <v>283</v>
      </c>
      <c r="C51" t="s">
        <v>336</v>
      </c>
      <c r="D51" t="s">
        <v>70</v>
      </c>
      <c r="E51">
        <v>3.1</v>
      </c>
      <c r="F51" s="9" t="s">
        <v>67</v>
      </c>
      <c r="G51" s="7">
        <v>1779957888</v>
      </c>
      <c r="H51" s="6">
        <v>4.84</v>
      </c>
      <c r="I51" s="6">
        <v>2.8</v>
      </c>
      <c r="J51" s="12">
        <f t="shared" si="1"/>
        <v>0.10714285714285721</v>
      </c>
      <c r="K51" s="11">
        <v>9.0322580645161299E-2</v>
      </c>
      <c r="L51" s="13">
        <v>392836000</v>
      </c>
      <c r="M51" s="13">
        <v>3201831000</v>
      </c>
      <c r="N51" s="9" t="s">
        <v>67</v>
      </c>
      <c r="O51" s="6">
        <v>1</v>
      </c>
      <c r="P51" s="12">
        <v>0.13745718954343597</v>
      </c>
      <c r="Q51" s="12">
        <v>0.12269104771613493</v>
      </c>
      <c r="R51" s="14">
        <v>35</v>
      </c>
    </row>
    <row r="52" spans="2:18" x14ac:dyDescent="0.5">
      <c r="B52" s="1" t="s">
        <v>112</v>
      </c>
      <c r="C52" t="s">
        <v>151</v>
      </c>
      <c r="D52" t="s">
        <v>152</v>
      </c>
      <c r="E52">
        <v>57.85</v>
      </c>
      <c r="F52" s="9" t="s">
        <v>67</v>
      </c>
      <c r="G52" s="7">
        <v>159495061504</v>
      </c>
      <c r="H52" s="6">
        <v>86</v>
      </c>
      <c r="I52" s="6">
        <v>44.25</v>
      </c>
      <c r="J52" s="12">
        <f t="shared" si="1"/>
        <v>0.30734463276836155</v>
      </c>
      <c r="K52" s="11">
        <v>3.6300777873811585E-2</v>
      </c>
      <c r="L52" s="13">
        <v>11483096772</v>
      </c>
      <c r="M52" s="13">
        <v>48835204044</v>
      </c>
      <c r="N52" s="9" t="s">
        <v>50</v>
      </c>
      <c r="O52" s="6">
        <v>1.0989010989010988</v>
      </c>
      <c r="P52" s="12">
        <v>8.0438335656956808E-2</v>
      </c>
      <c r="Q52" s="12">
        <v>0.2351397316094728</v>
      </c>
      <c r="R52" s="14">
        <v>36</v>
      </c>
    </row>
    <row r="53" spans="2:18" x14ac:dyDescent="0.5">
      <c r="B53" s="1" t="s">
        <v>121</v>
      </c>
      <c r="C53" t="s">
        <v>162</v>
      </c>
      <c r="D53" t="s">
        <v>76</v>
      </c>
      <c r="E53">
        <v>6.94</v>
      </c>
      <c r="F53" s="9" t="s">
        <v>67</v>
      </c>
      <c r="G53" s="7">
        <v>10173842432</v>
      </c>
      <c r="H53" s="6">
        <v>7.92</v>
      </c>
      <c r="I53" s="6">
        <v>4.08</v>
      </c>
      <c r="J53" s="12">
        <f t="shared" si="1"/>
        <v>0.70098039215686292</v>
      </c>
      <c r="K53" s="11">
        <v>7.853025936599424E-2</v>
      </c>
      <c r="L53" s="13">
        <v>784607000</v>
      </c>
      <c r="M53" s="13">
        <v>7872586000</v>
      </c>
      <c r="N53" s="9" t="s">
        <v>67</v>
      </c>
      <c r="O53" s="6">
        <v>1</v>
      </c>
      <c r="P53" s="12">
        <v>0.17618392574753872</v>
      </c>
      <c r="Q53" s="12">
        <v>9.9663185641922489E-2</v>
      </c>
      <c r="R53" s="14">
        <v>37</v>
      </c>
    </row>
    <row r="54" spans="2:18" x14ac:dyDescent="0.5">
      <c r="B54" s="1" t="s">
        <v>263</v>
      </c>
      <c r="C54" t="s">
        <v>313</v>
      </c>
      <c r="D54" t="s">
        <v>314</v>
      </c>
      <c r="E54">
        <v>8.3000000000000007</v>
      </c>
      <c r="F54" s="9" t="s">
        <v>67</v>
      </c>
      <c r="G54" s="7">
        <v>20808898560</v>
      </c>
      <c r="H54" s="6">
        <v>10.14</v>
      </c>
      <c r="I54" s="6">
        <v>5.64</v>
      </c>
      <c r="J54" s="12">
        <f t="shared" si="1"/>
        <v>0.47163120567375905</v>
      </c>
      <c r="K54" s="11">
        <v>4.7951807228915663E-2</v>
      </c>
      <c r="L54" s="13">
        <v>3040816000</v>
      </c>
      <c r="M54" s="13">
        <v>29707522000</v>
      </c>
      <c r="N54" s="9" t="s">
        <v>50</v>
      </c>
      <c r="O54" s="6">
        <v>1.0989010989010988</v>
      </c>
      <c r="P54" s="12">
        <v>0.14905584718164883</v>
      </c>
      <c r="Q54" s="12">
        <v>0.102358453189061</v>
      </c>
      <c r="R54" s="14">
        <v>38</v>
      </c>
    </row>
    <row r="55" spans="2:18" x14ac:dyDescent="0.5">
      <c r="B55" s="1" t="s">
        <v>265</v>
      </c>
      <c r="C55" t="s">
        <v>316</v>
      </c>
      <c r="D55" t="s">
        <v>298</v>
      </c>
      <c r="E55">
        <v>4.7</v>
      </c>
      <c r="F55" s="9" t="s">
        <v>67</v>
      </c>
      <c r="G55" s="7">
        <v>4343467520</v>
      </c>
      <c r="H55" s="6">
        <v>5.59</v>
      </c>
      <c r="I55" s="6">
        <v>3.79</v>
      </c>
      <c r="J55" s="12">
        <f t="shared" si="1"/>
        <v>0.24010554089709757</v>
      </c>
      <c r="K55" s="11">
        <v>3.2978723404255318E-2</v>
      </c>
      <c r="L55" s="13">
        <v>754477000</v>
      </c>
      <c r="M55" s="13">
        <v>11677999000</v>
      </c>
      <c r="N55" s="9" t="s">
        <v>67</v>
      </c>
      <c r="O55" s="6">
        <v>1</v>
      </c>
      <c r="P55" s="12">
        <v>0.41367079284197988</v>
      </c>
      <c r="Q55" s="12">
        <v>6.460670188445812E-2</v>
      </c>
      <c r="R55" s="14">
        <v>39</v>
      </c>
    </row>
    <row r="56" spans="2:18" x14ac:dyDescent="0.5">
      <c r="B56" s="1" t="s">
        <v>780</v>
      </c>
      <c r="C56" t="s">
        <v>783</v>
      </c>
      <c r="D56" t="s">
        <v>221</v>
      </c>
      <c r="E56">
        <v>103.8</v>
      </c>
      <c r="F56" s="9" t="s">
        <v>67</v>
      </c>
      <c r="G56" s="7">
        <v>946365136896</v>
      </c>
      <c r="H56" s="6">
        <v>158.86667</v>
      </c>
      <c r="I56" s="6">
        <v>88.5</v>
      </c>
      <c r="J56" s="12">
        <f t="shared" si="1"/>
        <v>0.17288135593220333</v>
      </c>
      <c r="K56" s="11">
        <v>1.2764932562620424E-2</v>
      </c>
      <c r="L56" s="13">
        <v>51774458000</v>
      </c>
      <c r="M56" s="13">
        <v>205612162000</v>
      </c>
      <c r="N56" s="9" t="s">
        <v>50</v>
      </c>
      <c r="O56" s="6">
        <v>1.0989010989010988</v>
      </c>
      <c r="P56" s="12">
        <v>6.4806116423010818E-2</v>
      </c>
      <c r="Q56" s="12">
        <v>0.25180639849504621</v>
      </c>
      <c r="R56" s="14">
        <v>40</v>
      </c>
    </row>
    <row r="57" spans="2:18" x14ac:dyDescent="0.5">
      <c r="B57" s="1" t="s">
        <v>273</v>
      </c>
      <c r="C57" t="s">
        <v>325</v>
      </c>
      <c r="D57" t="s">
        <v>81</v>
      </c>
      <c r="E57">
        <v>2.69</v>
      </c>
      <c r="F57" s="9" t="s">
        <v>67</v>
      </c>
      <c r="G57" s="7">
        <v>11513469952</v>
      </c>
      <c r="H57" s="6">
        <v>3.55</v>
      </c>
      <c r="I57" s="6">
        <v>1.75</v>
      </c>
      <c r="J57" s="12">
        <f t="shared" si="1"/>
        <v>0.53714285714285714</v>
      </c>
      <c r="K57" s="11">
        <v>4.5353159851301117E-2</v>
      </c>
      <c r="L57" s="13">
        <v>1230913000</v>
      </c>
      <c r="M57" s="13">
        <v>10701340000</v>
      </c>
      <c r="N57" s="9" t="s">
        <v>50</v>
      </c>
      <c r="O57" s="6">
        <v>1.0989010989010988</v>
      </c>
      <c r="P57" s="12">
        <v>0.13285597995167878</v>
      </c>
      <c r="Q57" s="12">
        <v>0.11502419323187564</v>
      </c>
      <c r="R57" s="14">
        <v>40</v>
      </c>
    </row>
    <row r="58" spans="2:18" x14ac:dyDescent="0.5">
      <c r="B58" s="1" t="s">
        <v>135</v>
      </c>
      <c r="C58" t="s">
        <v>181</v>
      </c>
      <c r="D58" t="s">
        <v>182</v>
      </c>
      <c r="E58">
        <v>419.6</v>
      </c>
      <c r="F58" s="9" t="s">
        <v>67</v>
      </c>
      <c r="G58" s="7">
        <v>148227981312</v>
      </c>
      <c r="H58" s="6">
        <v>451.2</v>
      </c>
      <c r="I58" s="6">
        <v>324</v>
      </c>
      <c r="J58" s="12">
        <f t="shared" si="1"/>
        <v>0.29506172839506184</v>
      </c>
      <c r="K58" s="11">
        <v>2.2878932316491895E-3</v>
      </c>
      <c r="L58" s="13">
        <v>1326000000</v>
      </c>
      <c r="M58" s="13">
        <v>5409000000</v>
      </c>
      <c r="N58" s="9" t="s">
        <v>71</v>
      </c>
      <c r="O58" s="6">
        <v>7.6923076923076916</v>
      </c>
      <c r="P58" s="12">
        <v>6.2826815611086842E-2</v>
      </c>
      <c r="Q58" s="12">
        <v>0.24514697726012202</v>
      </c>
      <c r="R58" s="14">
        <v>41</v>
      </c>
    </row>
    <row r="59" spans="2:18" x14ac:dyDescent="0.5">
      <c r="B59" s="1" t="s">
        <v>269</v>
      </c>
      <c r="C59" t="s">
        <v>321</v>
      </c>
      <c r="D59" t="s">
        <v>85</v>
      </c>
      <c r="E59">
        <v>12.5</v>
      </c>
      <c r="F59" s="9" t="s">
        <v>67</v>
      </c>
      <c r="G59" s="7">
        <v>2934024960</v>
      </c>
      <c r="H59" s="6">
        <v>17</v>
      </c>
      <c r="I59" s="6">
        <v>8.9</v>
      </c>
      <c r="J59" s="12">
        <f t="shared" si="1"/>
        <v>0.40449438202247179</v>
      </c>
      <c r="K59" s="11">
        <v>3.8399999999999997E-2</v>
      </c>
      <c r="L59" s="13">
        <v>244811000</v>
      </c>
      <c r="M59" s="13">
        <v>2904223000</v>
      </c>
      <c r="N59" s="9" t="s">
        <v>67</v>
      </c>
      <c r="O59" s="6">
        <v>1</v>
      </c>
      <c r="P59" s="12">
        <v>0.19878623073549159</v>
      </c>
      <c r="Q59" s="12">
        <v>8.4294835486117978E-2</v>
      </c>
      <c r="R59" s="14">
        <v>41</v>
      </c>
    </row>
    <row r="60" spans="2:18" x14ac:dyDescent="0.5">
      <c r="B60" s="1" t="s">
        <v>432</v>
      </c>
      <c r="C60" t="s">
        <v>434</v>
      </c>
      <c r="D60" t="s">
        <v>435</v>
      </c>
      <c r="E60">
        <v>79.150000000000006</v>
      </c>
      <c r="F60" s="9" t="s">
        <v>67</v>
      </c>
      <c r="G60" s="7">
        <v>488702443520</v>
      </c>
      <c r="H60" s="6">
        <v>172.4</v>
      </c>
      <c r="I60" s="6">
        <v>73.599999999999994</v>
      </c>
      <c r="J60" s="12">
        <f t="shared" si="1"/>
        <v>7.5407608695652328E-2</v>
      </c>
      <c r="K60" s="11">
        <v>0</v>
      </c>
      <c r="L60" s="13">
        <v>39322363000</v>
      </c>
      <c r="M60" s="13">
        <v>228415685000</v>
      </c>
      <c r="N60" s="9" t="s">
        <v>50</v>
      </c>
      <c r="O60" s="6">
        <v>1.0989010989010988</v>
      </c>
      <c r="P60" s="12">
        <v>9.0314290866936264E-2</v>
      </c>
      <c r="Q60" s="12">
        <v>0.17215263916748974</v>
      </c>
      <c r="R60" s="14">
        <v>42</v>
      </c>
    </row>
    <row r="61" spans="2:18" x14ac:dyDescent="0.5">
      <c r="B61" s="1" t="s">
        <v>767</v>
      </c>
      <c r="C61" t="s">
        <v>772</v>
      </c>
      <c r="D61" t="s">
        <v>49</v>
      </c>
      <c r="E61">
        <v>1.67</v>
      </c>
      <c r="F61" s="9" t="s">
        <v>67</v>
      </c>
      <c r="G61" s="7">
        <v>1052987712</v>
      </c>
      <c r="H61" s="6">
        <v>1.94</v>
      </c>
      <c r="I61" s="6">
        <v>1.28</v>
      </c>
      <c r="J61" s="12">
        <f t="shared" si="1"/>
        <v>0.3046875</v>
      </c>
      <c r="K61" s="11">
        <v>6.9461077844311381E-2</v>
      </c>
      <c r="L61" s="13">
        <v>191186000</v>
      </c>
      <c r="M61" s="13">
        <v>3081570000</v>
      </c>
      <c r="N61" s="9" t="s">
        <v>67</v>
      </c>
      <c r="O61" s="6">
        <v>1</v>
      </c>
      <c r="P61" s="12">
        <v>0.35251749628933415</v>
      </c>
      <c r="Q61" s="12">
        <v>6.2041751444880368E-2</v>
      </c>
      <c r="R61" s="14">
        <v>42</v>
      </c>
    </row>
    <row r="62" spans="2:18" x14ac:dyDescent="0.5">
      <c r="B62" s="1" t="s">
        <v>380</v>
      </c>
      <c r="C62" t="s">
        <v>383</v>
      </c>
      <c r="D62" t="s">
        <v>83</v>
      </c>
      <c r="E62">
        <v>21.44</v>
      </c>
      <c r="F62" s="9" t="s">
        <v>67</v>
      </c>
      <c r="G62" s="7">
        <v>55208517632</v>
      </c>
      <c r="H62" s="6">
        <v>23.42</v>
      </c>
      <c r="I62" s="6">
        <v>13.5</v>
      </c>
      <c r="J62" s="12">
        <f t="shared" si="1"/>
        <v>0.58814814814814831</v>
      </c>
      <c r="K62" s="11">
        <v>0</v>
      </c>
      <c r="L62" s="13">
        <v>4264779000</v>
      </c>
      <c r="M62" s="13">
        <v>26103689000</v>
      </c>
      <c r="N62" s="9" t="s">
        <v>50</v>
      </c>
      <c r="O62" s="6">
        <v>1.0989010989010988</v>
      </c>
      <c r="P62" s="12">
        <v>9.5457419301352472E-2</v>
      </c>
      <c r="Q62" s="12">
        <v>0.16337840218675606</v>
      </c>
      <c r="R62" s="14">
        <v>43</v>
      </c>
    </row>
    <row r="63" spans="2:18" x14ac:dyDescent="0.5">
      <c r="B63" s="1" t="s">
        <v>779</v>
      </c>
      <c r="C63" t="s">
        <v>782</v>
      </c>
      <c r="D63" t="s">
        <v>96</v>
      </c>
      <c r="E63">
        <v>78.8</v>
      </c>
      <c r="F63" s="9" t="s">
        <v>67</v>
      </c>
      <c r="G63" s="7">
        <v>1725022994432</v>
      </c>
      <c r="H63" s="6">
        <v>90.6</v>
      </c>
      <c r="I63" s="6">
        <v>75.849999999999994</v>
      </c>
      <c r="J63" s="12">
        <f t="shared" si="1"/>
        <v>3.8892551087672977E-2</v>
      </c>
      <c r="K63" s="11">
        <v>6.2842639593908636E-2</v>
      </c>
      <c r="L63" s="13">
        <v>181466000000</v>
      </c>
      <c r="M63" s="13">
        <v>1392032000000</v>
      </c>
      <c r="N63" s="9" t="s">
        <v>50</v>
      </c>
      <c r="O63" s="6">
        <v>1.0989010989010988</v>
      </c>
      <c r="P63" s="12">
        <v>0.12171542174197462</v>
      </c>
      <c r="Q63" s="12">
        <v>0.13036050895381715</v>
      </c>
      <c r="R63" s="14">
        <v>43</v>
      </c>
    </row>
    <row r="64" spans="2:18" x14ac:dyDescent="0.5">
      <c r="B64" s="1" t="s">
        <v>258</v>
      </c>
      <c r="C64" t="s">
        <v>307</v>
      </c>
      <c r="D64" t="s">
        <v>152</v>
      </c>
      <c r="E64">
        <v>24.22</v>
      </c>
      <c r="F64" s="9" t="s">
        <v>67</v>
      </c>
      <c r="G64" s="7">
        <v>22466689024</v>
      </c>
      <c r="H64" s="6">
        <v>45.78</v>
      </c>
      <c r="I64" s="6">
        <v>11.22</v>
      </c>
      <c r="J64" s="12">
        <f t="shared" si="1"/>
        <v>1.1586452762923347</v>
      </c>
      <c r="K64" s="11">
        <v>3.2204789430222958E-3</v>
      </c>
      <c r="L64" s="13">
        <v>334940000</v>
      </c>
      <c r="M64" s="13">
        <v>3025375000</v>
      </c>
      <c r="N64" s="9" t="s">
        <v>71</v>
      </c>
      <c r="O64" s="6">
        <v>7.6923076923076916</v>
      </c>
      <c r="P64" s="12">
        <v>0.13116499906864593</v>
      </c>
      <c r="Q64" s="12">
        <v>0.11071024253191752</v>
      </c>
      <c r="R64" s="14">
        <v>43</v>
      </c>
    </row>
    <row r="65" spans="2:18" x14ac:dyDescent="0.5">
      <c r="B65" s="1" t="s">
        <v>289</v>
      </c>
      <c r="C65" t="s">
        <v>342</v>
      </c>
      <c r="D65" t="s">
        <v>85</v>
      </c>
      <c r="E65">
        <v>1.41</v>
      </c>
      <c r="F65" s="9" t="s">
        <v>67</v>
      </c>
      <c r="G65" s="7">
        <v>3085804800</v>
      </c>
      <c r="H65" s="6">
        <v>1.51</v>
      </c>
      <c r="I65" s="6">
        <v>0.53</v>
      </c>
      <c r="J65" s="12">
        <f t="shared" si="1"/>
        <v>1.6603773584905657</v>
      </c>
      <c r="K65" s="11">
        <v>2.6241134751773049E-2</v>
      </c>
      <c r="L65" s="13">
        <v>219938000</v>
      </c>
      <c r="M65" s="13">
        <v>1520292000</v>
      </c>
      <c r="N65" s="9" t="s">
        <v>50</v>
      </c>
      <c r="O65" s="6">
        <v>1.0989010989010988</v>
      </c>
      <c r="P65" s="12">
        <v>0.1108152200378183</v>
      </c>
      <c r="Q65" s="12">
        <v>0.14466826109721026</v>
      </c>
      <c r="R65" s="14">
        <v>44</v>
      </c>
    </row>
    <row r="66" spans="2:18" x14ac:dyDescent="0.5">
      <c r="B66" s="1" t="s">
        <v>274</v>
      </c>
      <c r="C66" t="s">
        <v>326</v>
      </c>
      <c r="D66" t="s">
        <v>327</v>
      </c>
      <c r="E66">
        <v>10.95</v>
      </c>
      <c r="F66" s="9" t="s">
        <v>67</v>
      </c>
      <c r="G66" s="7">
        <v>13957746688</v>
      </c>
      <c r="H66" s="6">
        <v>12.98</v>
      </c>
      <c r="I66" s="6">
        <v>3.85</v>
      </c>
      <c r="J66" s="12">
        <f t="shared" ref="J66:J97" si="2">E66/I66-1</f>
        <v>1.8441558441558441</v>
      </c>
      <c r="K66" s="11">
        <v>2.3744292237442923E-2</v>
      </c>
      <c r="L66" s="13">
        <v>2871477000</v>
      </c>
      <c r="M66" s="13">
        <v>21784665000</v>
      </c>
      <c r="N66" s="9" t="s">
        <v>50</v>
      </c>
      <c r="O66" s="6">
        <v>1.0989010989010988</v>
      </c>
      <c r="P66" s="12">
        <v>0.11539697073216923</v>
      </c>
      <c r="Q66" s="12">
        <v>0.1318118502166547</v>
      </c>
      <c r="R66" s="14">
        <v>45</v>
      </c>
    </row>
    <row r="67" spans="2:18" x14ac:dyDescent="0.5">
      <c r="B67" s="1" t="s">
        <v>260</v>
      </c>
      <c r="C67" t="s">
        <v>309</v>
      </c>
      <c r="D67" t="s">
        <v>74</v>
      </c>
      <c r="E67">
        <v>6.75</v>
      </c>
      <c r="F67" s="9" t="s">
        <v>67</v>
      </c>
      <c r="G67" s="7">
        <v>4602583040</v>
      </c>
      <c r="H67" s="6">
        <v>10.98</v>
      </c>
      <c r="I67" s="6">
        <v>6.56</v>
      </c>
      <c r="J67" s="12">
        <f t="shared" si="2"/>
        <v>2.8963414634146423E-2</v>
      </c>
      <c r="K67" s="11">
        <v>5.2888888888888888E-2</v>
      </c>
      <c r="L67" s="13">
        <v>618033000</v>
      </c>
      <c r="M67" s="13">
        <v>5033024000</v>
      </c>
      <c r="N67" s="9" t="s">
        <v>50</v>
      </c>
      <c r="O67" s="6">
        <v>1.0989010989010988</v>
      </c>
      <c r="P67" s="12">
        <v>0.12021297412278799</v>
      </c>
      <c r="Q67" s="12">
        <v>0.12279555988606453</v>
      </c>
      <c r="R67" s="14">
        <v>46</v>
      </c>
    </row>
    <row r="68" spans="2:18" x14ac:dyDescent="0.5">
      <c r="B68" s="1" t="s">
        <v>123</v>
      </c>
      <c r="C68" t="s">
        <v>165</v>
      </c>
      <c r="D68" t="s">
        <v>106</v>
      </c>
      <c r="E68">
        <v>11.18</v>
      </c>
      <c r="F68" s="9" t="s">
        <v>67</v>
      </c>
      <c r="G68" s="7">
        <v>110290083840</v>
      </c>
      <c r="H68" s="6">
        <v>16.95</v>
      </c>
      <c r="I68" s="6">
        <v>7.82</v>
      </c>
      <c r="J68" s="12">
        <f t="shared" si="2"/>
        <v>0.42966751918158552</v>
      </c>
      <c r="K68" s="11">
        <v>4.83005366726297E-2</v>
      </c>
      <c r="L68" s="13">
        <v>8510100000</v>
      </c>
      <c r="M68" s="13">
        <v>46117200000</v>
      </c>
      <c r="N68" s="9" t="s">
        <v>67</v>
      </c>
      <c r="O68" s="6">
        <v>1</v>
      </c>
      <c r="P68" s="12">
        <v>6.8909486833483191E-2</v>
      </c>
      <c r="Q68" s="12">
        <v>0.18453201842262756</v>
      </c>
      <c r="R68" s="14">
        <v>47</v>
      </c>
    </row>
    <row r="69" spans="2:18" x14ac:dyDescent="0.5">
      <c r="B69" s="1" t="s">
        <v>266</v>
      </c>
      <c r="C69" t="s">
        <v>317</v>
      </c>
      <c r="D69" t="s">
        <v>300</v>
      </c>
      <c r="E69">
        <v>6.4</v>
      </c>
      <c r="F69" s="9" t="s">
        <v>67</v>
      </c>
      <c r="G69" s="7">
        <v>28121753600</v>
      </c>
      <c r="H69" s="6">
        <v>8.25</v>
      </c>
      <c r="I69" s="6">
        <v>4.8</v>
      </c>
      <c r="J69" s="12">
        <f t="shared" si="2"/>
        <v>0.33333333333333348</v>
      </c>
      <c r="K69" s="11">
        <v>4.1250000000000002E-2</v>
      </c>
      <c r="L69" s="13">
        <v>2310641000</v>
      </c>
      <c r="M69" s="13">
        <v>32694649000</v>
      </c>
      <c r="N69" s="9" t="s">
        <v>50</v>
      </c>
      <c r="O69" s="6">
        <v>1.0989010989010988</v>
      </c>
      <c r="P69" s="12">
        <v>0.20709627308523729</v>
      </c>
      <c r="Q69" s="12">
        <v>7.0673369210967826E-2</v>
      </c>
      <c r="R69" s="14">
        <v>47</v>
      </c>
    </row>
    <row r="70" spans="2:18" x14ac:dyDescent="0.5">
      <c r="B70" s="1" t="s">
        <v>31</v>
      </c>
      <c r="C70" t="s">
        <v>92</v>
      </c>
      <c r="D70" t="s">
        <v>74</v>
      </c>
      <c r="E70">
        <v>2.85</v>
      </c>
      <c r="F70" s="9" t="s">
        <v>67</v>
      </c>
      <c r="G70" s="7">
        <v>17673482240</v>
      </c>
      <c r="H70" s="6">
        <v>3.75</v>
      </c>
      <c r="I70" s="6">
        <v>2.6</v>
      </c>
      <c r="J70" s="12">
        <f t="shared" si="2"/>
        <v>9.6153846153846256E-2</v>
      </c>
      <c r="K70" s="11">
        <v>5.2631578947368418E-2</v>
      </c>
      <c r="L70" s="13">
        <v>1677300000</v>
      </c>
      <c r="M70" s="13">
        <v>11188800000</v>
      </c>
      <c r="N70" s="9" t="s">
        <v>50</v>
      </c>
      <c r="O70" s="6">
        <v>1.0989010989010988</v>
      </c>
      <c r="P70" s="12">
        <v>9.5516216967617279E-2</v>
      </c>
      <c r="Q70" s="12">
        <v>0.1499088374088374</v>
      </c>
      <c r="R70" s="14">
        <v>48</v>
      </c>
    </row>
    <row r="71" spans="2:18" x14ac:dyDescent="0.5">
      <c r="B71" s="1" t="s">
        <v>786</v>
      </c>
      <c r="C71" t="s">
        <v>789</v>
      </c>
      <c r="D71" t="s">
        <v>790</v>
      </c>
      <c r="E71">
        <v>10.48</v>
      </c>
      <c r="F71" s="9" t="s">
        <v>67</v>
      </c>
      <c r="G71" s="7">
        <v>30666674176</v>
      </c>
      <c r="H71" s="6">
        <v>13.32</v>
      </c>
      <c r="I71" s="6">
        <v>9.8699999999999992</v>
      </c>
      <c r="J71" s="12">
        <f t="shared" si="2"/>
        <v>6.180344478216826E-2</v>
      </c>
      <c r="K71" s="11">
        <v>2.2805343511450381E-2</v>
      </c>
      <c r="L71" s="13">
        <v>2406008862.77</v>
      </c>
      <c r="M71" s="13">
        <v>23708343703.5</v>
      </c>
      <c r="N71" s="9" t="s">
        <v>50</v>
      </c>
      <c r="O71" s="6">
        <v>1.0989010989010988</v>
      </c>
      <c r="P71" s="12">
        <v>0.1279055867850164</v>
      </c>
      <c r="Q71" s="12">
        <v>0.10148363347772824</v>
      </c>
      <c r="R71" s="14">
        <v>49</v>
      </c>
    </row>
    <row r="72" spans="2:18" x14ac:dyDescent="0.5">
      <c r="B72" s="1" t="s">
        <v>116</v>
      </c>
      <c r="C72" t="s">
        <v>156</v>
      </c>
      <c r="D72" t="s">
        <v>83</v>
      </c>
      <c r="E72">
        <v>209.6</v>
      </c>
      <c r="F72" s="9" t="s">
        <v>67</v>
      </c>
      <c r="G72" s="7">
        <v>278377660416</v>
      </c>
      <c r="H72" s="6">
        <v>339.8</v>
      </c>
      <c r="I72" s="6">
        <v>118.8</v>
      </c>
      <c r="J72" s="12">
        <f t="shared" si="2"/>
        <v>0.76430976430976427</v>
      </c>
      <c r="K72" s="11">
        <v>3.8883587786259543E-3</v>
      </c>
      <c r="L72" s="13">
        <v>4408440000</v>
      </c>
      <c r="M72" s="13">
        <v>10683505000</v>
      </c>
      <c r="N72" s="9" t="s">
        <v>50</v>
      </c>
      <c r="O72" s="6">
        <v>1.0989010989010988</v>
      </c>
      <c r="P72" s="12">
        <v>1.7763131374159764E-2</v>
      </c>
      <c r="Q72" s="12">
        <v>0.41263985929711272</v>
      </c>
      <c r="R72" s="14">
        <v>49</v>
      </c>
    </row>
    <row r="73" spans="2:18" x14ac:dyDescent="0.5">
      <c r="B73" s="1" t="s">
        <v>127</v>
      </c>
      <c r="C73" t="s">
        <v>170</v>
      </c>
      <c r="D73" t="s">
        <v>171</v>
      </c>
      <c r="E73">
        <v>508</v>
      </c>
      <c r="F73" s="9" t="s">
        <v>67</v>
      </c>
      <c r="G73" s="7">
        <v>4582764707840</v>
      </c>
      <c r="H73" s="6">
        <v>683</v>
      </c>
      <c r="I73" s="6">
        <v>419</v>
      </c>
      <c r="J73" s="12">
        <f t="shared" si="2"/>
        <v>0.2124105011933175</v>
      </c>
      <c r="K73" s="11">
        <v>9.3759842519685038E-3</v>
      </c>
      <c r="L73" s="13">
        <v>253932000000</v>
      </c>
      <c r="M73" s="13">
        <v>1312163000000</v>
      </c>
      <c r="N73" s="9" t="s">
        <v>50</v>
      </c>
      <c r="O73" s="6">
        <v>1.0989010989010988</v>
      </c>
      <c r="P73" s="12">
        <v>5.7765528515953721E-2</v>
      </c>
      <c r="Q73" s="12">
        <v>0.19352168899747973</v>
      </c>
      <c r="R73" s="14">
        <v>50</v>
      </c>
    </row>
    <row r="74" spans="2:18" x14ac:dyDescent="0.5">
      <c r="B74" s="1" t="s">
        <v>122</v>
      </c>
      <c r="C74" t="s">
        <v>163</v>
      </c>
      <c r="D74" t="s">
        <v>164</v>
      </c>
      <c r="E74">
        <v>27.38</v>
      </c>
      <c r="F74" s="9" t="s">
        <v>67</v>
      </c>
      <c r="G74" s="7">
        <v>31148058624</v>
      </c>
      <c r="H74" s="6">
        <v>29.96</v>
      </c>
      <c r="I74" s="6">
        <v>19.52</v>
      </c>
      <c r="J74" s="12">
        <f t="shared" si="2"/>
        <v>0.4026639344262295</v>
      </c>
      <c r="K74" s="11">
        <v>5.1132213294375457E-2</v>
      </c>
      <c r="L74" s="13">
        <v>3446618000</v>
      </c>
      <c r="M74" s="13">
        <v>34010798000</v>
      </c>
      <c r="N74" s="9" t="s">
        <v>50</v>
      </c>
      <c r="O74" s="6">
        <v>1.0989010989010988</v>
      </c>
      <c r="P74" s="12">
        <v>0.12673283081403236</v>
      </c>
      <c r="Q74" s="12">
        <v>0.10133893359397213</v>
      </c>
      <c r="R74" s="14">
        <v>51</v>
      </c>
    </row>
    <row r="75" spans="2:18" x14ac:dyDescent="0.5">
      <c r="B75" s="1" t="s">
        <v>134</v>
      </c>
      <c r="C75" t="s">
        <v>179</v>
      </c>
      <c r="D75" t="s">
        <v>180</v>
      </c>
      <c r="E75">
        <v>35.56</v>
      </c>
      <c r="F75" s="9" t="s">
        <v>67</v>
      </c>
      <c r="G75" s="7">
        <v>24596142080</v>
      </c>
      <c r="H75" s="6">
        <v>48.1</v>
      </c>
      <c r="I75" s="6">
        <v>19.82</v>
      </c>
      <c r="J75" s="12">
        <f t="shared" si="2"/>
        <v>0.79414732593340065</v>
      </c>
      <c r="K75" s="11">
        <v>1.4623172103487063E-2</v>
      </c>
      <c r="L75" s="13">
        <v>1323087000</v>
      </c>
      <c r="M75" s="13">
        <v>5952918000</v>
      </c>
      <c r="N75" s="9" t="s">
        <v>67</v>
      </c>
      <c r="O75" s="6">
        <v>1</v>
      </c>
      <c r="P75" s="12">
        <v>4.8896383479441467E-2</v>
      </c>
      <c r="Q75" s="12">
        <v>0.222258562943417</v>
      </c>
      <c r="R75" s="14">
        <v>52</v>
      </c>
    </row>
    <row r="76" spans="2:18" x14ac:dyDescent="0.5">
      <c r="B76" s="1" t="s">
        <v>130</v>
      </c>
      <c r="C76" t="s">
        <v>173</v>
      </c>
      <c r="D76" t="s">
        <v>174</v>
      </c>
      <c r="E76">
        <v>34.22</v>
      </c>
      <c r="F76" s="9" t="s">
        <v>67</v>
      </c>
      <c r="G76" s="7">
        <v>909900709888</v>
      </c>
      <c r="H76" s="6">
        <v>46.98</v>
      </c>
      <c r="I76" s="6">
        <v>14.02</v>
      </c>
      <c r="J76" s="12">
        <f t="shared" si="2"/>
        <v>1.440798858773181</v>
      </c>
      <c r="K76" s="11">
        <v>1.4611338398597311E-2</v>
      </c>
      <c r="L76" s="13">
        <v>52374992116</v>
      </c>
      <c r="M76" s="13">
        <v>269573093476</v>
      </c>
      <c r="N76" s="9" t="s">
        <v>50</v>
      </c>
      <c r="O76" s="6">
        <v>1.0989010989010988</v>
      </c>
      <c r="P76" s="12">
        <v>5.5461942650133982E-2</v>
      </c>
      <c r="Q76" s="12">
        <v>0.19428864891763736</v>
      </c>
      <c r="R76" s="14">
        <v>52</v>
      </c>
    </row>
    <row r="77" spans="2:18" x14ac:dyDescent="0.5">
      <c r="B77" s="1" t="s">
        <v>360</v>
      </c>
      <c r="C77" t="s">
        <v>362</v>
      </c>
      <c r="D77" t="s">
        <v>363</v>
      </c>
      <c r="E77">
        <v>1.96</v>
      </c>
      <c r="F77" s="9" t="s">
        <v>67</v>
      </c>
      <c r="G77" s="7">
        <v>3950005504</v>
      </c>
      <c r="H77" s="6">
        <v>3.64</v>
      </c>
      <c r="I77" s="6">
        <v>0.99</v>
      </c>
      <c r="J77" s="12">
        <f t="shared" si="2"/>
        <v>0.97979797979797989</v>
      </c>
      <c r="K77" s="11">
        <v>0</v>
      </c>
      <c r="L77" s="13">
        <v>-732033000</v>
      </c>
      <c r="M77" s="13">
        <v>7864121000</v>
      </c>
      <c r="N77" s="9" t="s">
        <v>50</v>
      </c>
      <c r="O77" s="6">
        <v>1.0989010989010988</v>
      </c>
      <c r="P77" s="12">
        <v>0.61618109968536183</v>
      </c>
      <c r="Q77" s="12">
        <v>-9.3085164890011229E-2</v>
      </c>
      <c r="R77" s="14">
        <v>53</v>
      </c>
    </row>
    <row r="78" spans="2:18" x14ac:dyDescent="0.5">
      <c r="B78" s="1" t="s">
        <v>377</v>
      </c>
      <c r="C78" t="s">
        <v>378</v>
      </c>
      <c r="D78" t="s">
        <v>182</v>
      </c>
      <c r="E78">
        <v>4.46</v>
      </c>
      <c r="F78" s="9" t="s">
        <v>67</v>
      </c>
      <c r="G78" s="7">
        <v>2558898176</v>
      </c>
      <c r="H78" s="6">
        <v>8.6199999999999992</v>
      </c>
      <c r="I78" s="6">
        <v>4.3600000000000003</v>
      </c>
      <c r="J78" s="12">
        <f t="shared" si="2"/>
        <v>2.2935779816513735E-2</v>
      </c>
      <c r="K78" s="11">
        <v>7.8475336322869946E-2</v>
      </c>
      <c r="L78" s="13">
        <v>371538000</v>
      </c>
      <c r="M78" s="13">
        <v>3037286000</v>
      </c>
      <c r="N78" s="9" t="s">
        <v>67</v>
      </c>
      <c r="O78" s="6">
        <v>1</v>
      </c>
      <c r="P78" s="12">
        <v>0.10208279319245472</v>
      </c>
      <c r="Q78" s="12">
        <v>0.12232565520665489</v>
      </c>
      <c r="R78" s="14">
        <v>54</v>
      </c>
    </row>
    <row r="79" spans="2:18" x14ac:dyDescent="0.5">
      <c r="B79" s="1" t="s">
        <v>132</v>
      </c>
      <c r="C79" t="s">
        <v>176</v>
      </c>
      <c r="D79" t="s">
        <v>76</v>
      </c>
      <c r="E79">
        <v>16.46</v>
      </c>
      <c r="F79" s="9" t="s">
        <v>67</v>
      </c>
      <c r="G79" s="7">
        <v>69099225088</v>
      </c>
      <c r="H79" s="6">
        <v>17.850000000000001</v>
      </c>
      <c r="I79" s="6">
        <v>11.42</v>
      </c>
      <c r="J79" s="12">
        <f t="shared" si="2"/>
        <v>0.4413309982486866</v>
      </c>
      <c r="K79" s="11">
        <v>5.3827460510328065E-2</v>
      </c>
      <c r="L79" s="13">
        <v>11996000000</v>
      </c>
      <c r="M79" s="13">
        <v>138296000000</v>
      </c>
      <c r="N79" s="9" t="s">
        <v>67</v>
      </c>
      <c r="O79" s="6">
        <v>1</v>
      </c>
      <c r="P79" s="12">
        <v>0.13005595071355491</v>
      </c>
      <c r="Q79" s="12">
        <v>8.6741482038526066E-2</v>
      </c>
      <c r="R79" s="14">
        <v>55</v>
      </c>
    </row>
    <row r="80" spans="2:18" x14ac:dyDescent="0.5">
      <c r="B80" s="1" t="s">
        <v>132</v>
      </c>
      <c r="C80" t="s">
        <v>176</v>
      </c>
      <c r="D80" t="s">
        <v>76</v>
      </c>
      <c r="E80">
        <v>16.46</v>
      </c>
      <c r="F80" s="9" t="s">
        <v>67</v>
      </c>
      <c r="G80" s="7">
        <v>69099225088</v>
      </c>
      <c r="H80" s="6">
        <v>17.850000000000001</v>
      </c>
      <c r="I80" s="6">
        <v>11.42</v>
      </c>
      <c r="J80" s="12">
        <f t="shared" si="2"/>
        <v>0.4413309982486866</v>
      </c>
      <c r="K80" s="11">
        <v>5.3827460510328065E-2</v>
      </c>
      <c r="L80" s="13">
        <v>11996000000</v>
      </c>
      <c r="M80" s="13">
        <v>138296000000</v>
      </c>
      <c r="N80" s="9" t="s">
        <v>67</v>
      </c>
      <c r="O80" s="6">
        <v>1</v>
      </c>
      <c r="P80" s="12">
        <v>0.13005595071355491</v>
      </c>
      <c r="Q80" s="12">
        <v>8.6741482038526066E-2</v>
      </c>
      <c r="R80" s="14">
        <v>55</v>
      </c>
    </row>
    <row r="81" spans="2:18" x14ac:dyDescent="0.5">
      <c r="B81" s="1" t="s">
        <v>437</v>
      </c>
      <c r="C81" t="s">
        <v>441</v>
      </c>
      <c r="D81" t="s">
        <v>164</v>
      </c>
      <c r="E81">
        <v>2.17</v>
      </c>
      <c r="F81" s="9" t="s">
        <v>67</v>
      </c>
      <c r="G81" s="7">
        <v>2893333760</v>
      </c>
      <c r="H81" s="6">
        <v>3.21</v>
      </c>
      <c r="I81" s="6">
        <v>1.94</v>
      </c>
      <c r="J81" s="12">
        <f t="shared" si="2"/>
        <v>0.11855670103092786</v>
      </c>
      <c r="K81" s="11">
        <v>5.5299539170506909E-2</v>
      </c>
      <c r="L81" s="13">
        <v>244399000</v>
      </c>
      <c r="M81" s="13">
        <v>2990882000</v>
      </c>
      <c r="N81" s="9" t="s">
        <v>50</v>
      </c>
      <c r="O81" s="6">
        <v>1.0989010989010988</v>
      </c>
      <c r="P81" s="12">
        <v>0.13646007437800409</v>
      </c>
      <c r="Q81" s="12">
        <v>8.171469151909036E-2</v>
      </c>
      <c r="R81" s="14">
        <v>55</v>
      </c>
    </row>
    <row r="82" spans="2:18" x14ac:dyDescent="0.5">
      <c r="B82" s="1" t="s">
        <v>117</v>
      </c>
      <c r="C82" t="s">
        <v>157</v>
      </c>
      <c r="D82" t="s">
        <v>68</v>
      </c>
      <c r="E82">
        <v>5.2</v>
      </c>
      <c r="F82" s="9" t="s">
        <v>67</v>
      </c>
      <c r="G82" s="7">
        <v>8458903552</v>
      </c>
      <c r="H82" s="6">
        <v>7.05</v>
      </c>
      <c r="I82" s="6">
        <v>5.16</v>
      </c>
      <c r="J82" s="12">
        <f t="shared" si="2"/>
        <v>7.7519379844961378E-3</v>
      </c>
      <c r="K82" s="11">
        <v>5.3846153846153849E-2</v>
      </c>
      <c r="L82" s="13">
        <v>3597261000</v>
      </c>
      <c r="M82" s="13">
        <v>38357165000</v>
      </c>
      <c r="N82" s="9" t="s">
        <v>67</v>
      </c>
      <c r="O82" s="6">
        <v>1</v>
      </c>
      <c r="P82" s="12">
        <v>0.12265763524684636</v>
      </c>
      <c r="Q82" s="12">
        <v>9.3783286642795421E-2</v>
      </c>
      <c r="R82" s="14">
        <v>56</v>
      </c>
    </row>
    <row r="83" spans="2:18" x14ac:dyDescent="0.5">
      <c r="B83" s="1" t="s">
        <v>286</v>
      </c>
      <c r="C83" t="s">
        <v>339</v>
      </c>
      <c r="D83" t="s">
        <v>236</v>
      </c>
      <c r="E83">
        <v>28.46</v>
      </c>
      <c r="F83" s="9" t="s">
        <v>67</v>
      </c>
      <c r="G83" s="7">
        <v>28199694336</v>
      </c>
      <c r="H83" s="6">
        <v>30.3</v>
      </c>
      <c r="I83" s="6">
        <v>6.95</v>
      </c>
      <c r="J83" s="12">
        <f t="shared" si="2"/>
        <v>3.0949640287769782</v>
      </c>
      <c r="K83" s="11">
        <v>1.2438510189739986E-2</v>
      </c>
      <c r="L83" s="13">
        <v>1333116000</v>
      </c>
      <c r="M83" s="13">
        <v>8019803000</v>
      </c>
      <c r="N83" s="9" t="s">
        <v>50</v>
      </c>
      <c r="O83" s="6">
        <v>1.0989010989010988</v>
      </c>
      <c r="P83" s="12">
        <v>5.2291662455800754E-2</v>
      </c>
      <c r="Q83" s="12">
        <v>0.16622802330680692</v>
      </c>
      <c r="R83" s="14">
        <v>57</v>
      </c>
    </row>
    <row r="84" spans="2:18" x14ac:dyDescent="0.5">
      <c r="B84" s="1" t="s">
        <v>359</v>
      </c>
      <c r="C84" t="s">
        <v>361</v>
      </c>
      <c r="D84" t="s">
        <v>171</v>
      </c>
      <c r="E84">
        <v>7.51</v>
      </c>
      <c r="F84" s="9" t="s">
        <v>67</v>
      </c>
      <c r="G84" s="7">
        <v>2000545280</v>
      </c>
      <c r="H84" s="6">
        <v>15</v>
      </c>
      <c r="I84" s="6">
        <v>7</v>
      </c>
      <c r="J84" s="12">
        <f t="shared" si="2"/>
        <v>7.2857142857142732E-2</v>
      </c>
      <c r="K84" s="11">
        <v>0</v>
      </c>
      <c r="L84" s="13">
        <v>-481083000</v>
      </c>
      <c r="M84" s="13">
        <v>4136123000</v>
      </c>
      <c r="N84" s="9" t="s">
        <v>50</v>
      </c>
      <c r="O84" s="6">
        <v>1.0989010989010988</v>
      </c>
      <c r="P84" s="12">
        <v>0.22277179632062294</v>
      </c>
      <c r="Q84" s="12">
        <v>-0.11631254679805218</v>
      </c>
      <c r="R84" s="14">
        <v>58</v>
      </c>
    </row>
    <row r="85" spans="2:18" x14ac:dyDescent="0.5">
      <c r="B85" s="1" t="s">
        <v>138</v>
      </c>
      <c r="C85" t="s">
        <v>186</v>
      </c>
      <c r="D85" t="s">
        <v>102</v>
      </c>
      <c r="E85">
        <v>31.02</v>
      </c>
      <c r="F85" s="9" t="s">
        <v>67</v>
      </c>
      <c r="G85" s="7">
        <v>69894406144</v>
      </c>
      <c r="H85" s="6">
        <v>48.8</v>
      </c>
      <c r="I85" s="6">
        <v>26.65</v>
      </c>
      <c r="J85" s="12">
        <f t="shared" si="2"/>
        <v>0.16397748592870554</v>
      </c>
      <c r="K85" s="11">
        <v>1.8310767246937459E-2</v>
      </c>
      <c r="L85" s="13">
        <v>5261270000</v>
      </c>
      <c r="M85" s="13">
        <v>43208997000</v>
      </c>
      <c r="N85" s="9" t="s">
        <v>50</v>
      </c>
      <c r="O85" s="6">
        <v>1.0989010989010988</v>
      </c>
      <c r="P85" s="12">
        <v>7.6237704456329117E-2</v>
      </c>
      <c r="Q85" s="12">
        <v>0.12176329850933591</v>
      </c>
      <c r="R85" s="14">
        <v>59</v>
      </c>
    </row>
    <row r="86" spans="2:18" x14ac:dyDescent="0.5">
      <c r="B86" s="1" t="s">
        <v>257</v>
      </c>
      <c r="C86" t="s">
        <v>306</v>
      </c>
      <c r="D86" t="s">
        <v>298</v>
      </c>
      <c r="E86">
        <v>61.75</v>
      </c>
      <c r="F86" s="9" t="s">
        <v>67</v>
      </c>
      <c r="G86" s="7">
        <v>1196002115584</v>
      </c>
      <c r="H86" s="6">
        <v>74.7</v>
      </c>
      <c r="I86" s="6">
        <v>39.6</v>
      </c>
      <c r="J86" s="12">
        <f t="shared" si="2"/>
        <v>0.55934343434343425</v>
      </c>
      <c r="K86" s="11">
        <v>4.1619433198380566E-2</v>
      </c>
      <c r="L86" s="13">
        <v>189900000000</v>
      </c>
      <c r="M86" s="13">
        <v>2315380000000</v>
      </c>
      <c r="N86" s="9" t="s">
        <v>50</v>
      </c>
      <c r="O86" s="6">
        <v>1.0989010989010988</v>
      </c>
      <c r="P86" s="12">
        <v>0.12382855794489883</v>
      </c>
      <c r="Q86" s="12">
        <v>8.2016774784268678E-2</v>
      </c>
      <c r="R86" s="14">
        <v>60</v>
      </c>
    </row>
    <row r="87" spans="2:18" x14ac:dyDescent="0.5">
      <c r="B87" s="1" t="s">
        <v>946</v>
      </c>
      <c r="C87" t="s">
        <v>947</v>
      </c>
      <c r="D87" t="s">
        <v>171</v>
      </c>
      <c r="E87">
        <v>40.5</v>
      </c>
      <c r="F87" s="9" t="s">
        <v>67</v>
      </c>
      <c r="G87" s="7">
        <v>136859541504</v>
      </c>
      <c r="H87" s="6">
        <v>104</v>
      </c>
      <c r="I87" s="6">
        <v>40.22</v>
      </c>
      <c r="J87" s="12">
        <f t="shared" si="2"/>
        <v>6.9617105917454403E-3</v>
      </c>
      <c r="K87" s="11">
        <v>4.1456790123456794E-2</v>
      </c>
      <c r="L87" s="13">
        <v>8836000000</v>
      </c>
      <c r="M87" s="13">
        <v>73589000000</v>
      </c>
      <c r="N87" s="9" t="s">
        <v>50</v>
      </c>
      <c r="O87" s="6">
        <v>1.0989010989010988</v>
      </c>
      <c r="P87" s="12">
        <v>7.5245350360725591E-2</v>
      </c>
      <c r="Q87" s="12">
        <v>0.12007229341341777</v>
      </c>
      <c r="R87" s="14">
        <v>60</v>
      </c>
    </row>
    <row r="88" spans="2:18" x14ac:dyDescent="0.5">
      <c r="B88" s="1" t="s">
        <v>787</v>
      </c>
      <c r="C88" t="s">
        <v>791</v>
      </c>
      <c r="D88" t="s">
        <v>790</v>
      </c>
      <c r="E88">
        <v>8.75</v>
      </c>
      <c r="F88" s="9" t="s">
        <v>67</v>
      </c>
      <c r="G88" s="7">
        <v>12510645248</v>
      </c>
      <c r="H88" s="6">
        <v>12.22</v>
      </c>
      <c r="I88" s="6">
        <v>4.57</v>
      </c>
      <c r="J88" s="12">
        <f t="shared" si="2"/>
        <v>0.91466083150984678</v>
      </c>
      <c r="K88" s="11">
        <v>0</v>
      </c>
      <c r="L88" s="13">
        <v>1759966000</v>
      </c>
      <c r="M88" s="13">
        <v>17883609000</v>
      </c>
      <c r="N88" s="9" t="s">
        <v>67</v>
      </c>
      <c r="O88" s="6">
        <v>1</v>
      </c>
      <c r="P88" s="12">
        <v>9.6478963729743655E-2</v>
      </c>
      <c r="Q88" s="12">
        <v>9.8412238827185278E-2</v>
      </c>
      <c r="R88" s="14">
        <v>61</v>
      </c>
    </row>
    <row r="89" spans="2:18" x14ac:dyDescent="0.5">
      <c r="B89" s="1" t="s">
        <v>118</v>
      </c>
      <c r="C89" t="s">
        <v>158</v>
      </c>
      <c r="D89" t="s">
        <v>96</v>
      </c>
      <c r="E89">
        <v>7.29</v>
      </c>
      <c r="F89" s="9" t="s">
        <v>67</v>
      </c>
      <c r="G89" s="7">
        <v>223059427328</v>
      </c>
      <c r="H89" s="6">
        <v>10.68</v>
      </c>
      <c r="I89" s="6">
        <v>7.07</v>
      </c>
      <c r="J89" s="12">
        <f t="shared" si="2"/>
        <v>3.1117397454031082E-2</v>
      </c>
      <c r="K89" s="11">
        <v>5.7201646090534977E-2</v>
      </c>
      <c r="L89" s="13">
        <v>26994000000</v>
      </c>
      <c r="M89" s="13">
        <v>363169000000</v>
      </c>
      <c r="N89" s="9" t="s">
        <v>50</v>
      </c>
      <c r="O89" s="6">
        <v>1.0989010989010988</v>
      </c>
      <c r="P89" s="12">
        <v>0.12598178021089604</v>
      </c>
      <c r="Q89" s="12">
        <v>7.4329031387590908E-2</v>
      </c>
      <c r="R89" s="14">
        <v>61</v>
      </c>
    </row>
    <row r="90" spans="2:18" x14ac:dyDescent="0.5">
      <c r="B90" s="1" t="s">
        <v>268</v>
      </c>
      <c r="C90" t="s">
        <v>319</v>
      </c>
      <c r="D90" t="s">
        <v>320</v>
      </c>
      <c r="E90">
        <v>11.55</v>
      </c>
      <c r="F90" s="9" t="s">
        <v>67</v>
      </c>
      <c r="G90" s="7">
        <v>24389625856</v>
      </c>
      <c r="H90" s="6">
        <v>13.88</v>
      </c>
      <c r="I90" s="6">
        <v>5.31</v>
      </c>
      <c r="J90" s="12">
        <f t="shared" si="2"/>
        <v>1.1751412429378534</v>
      </c>
      <c r="K90" s="11">
        <v>2.3376623376623377E-2</v>
      </c>
      <c r="L90" s="13">
        <v>1537565000</v>
      </c>
      <c r="M90" s="13">
        <v>14484935000</v>
      </c>
      <c r="N90" s="9" t="s">
        <v>50</v>
      </c>
      <c r="O90" s="6">
        <v>1.0989010989010988</v>
      </c>
      <c r="P90" s="12">
        <v>8.4997859528633216E-2</v>
      </c>
      <c r="Q90" s="12">
        <v>0.10614925092863724</v>
      </c>
      <c r="R90" s="14">
        <v>62</v>
      </c>
    </row>
    <row r="91" spans="2:18" x14ac:dyDescent="0.5">
      <c r="B91" s="1" t="s">
        <v>756</v>
      </c>
      <c r="C91" t="s">
        <v>757</v>
      </c>
      <c r="D91" t="s">
        <v>182</v>
      </c>
      <c r="E91">
        <v>1.1100000000000001</v>
      </c>
      <c r="F91" s="9" t="s">
        <v>67</v>
      </c>
      <c r="G91" s="7">
        <v>1078275072</v>
      </c>
      <c r="H91" s="6">
        <v>1.24</v>
      </c>
      <c r="I91" s="6">
        <v>0.85</v>
      </c>
      <c r="J91" s="12">
        <f t="shared" si="2"/>
        <v>0.30588235294117672</v>
      </c>
      <c r="K91" s="11">
        <v>5.405405405405405E-2</v>
      </c>
      <c r="L91" s="13">
        <v>115617000</v>
      </c>
      <c r="M91" s="13">
        <v>935619000</v>
      </c>
      <c r="N91" s="9" t="s">
        <v>67</v>
      </c>
      <c r="O91" s="6">
        <v>1</v>
      </c>
      <c r="P91" s="12">
        <v>6.2450944865721558E-2</v>
      </c>
      <c r="Q91" s="12">
        <v>0.12357273633818894</v>
      </c>
      <c r="R91" s="14">
        <v>63</v>
      </c>
    </row>
    <row r="92" spans="2:18" x14ac:dyDescent="0.5">
      <c r="B92" s="1" t="s">
        <v>113</v>
      </c>
      <c r="C92" t="s">
        <v>153</v>
      </c>
      <c r="D92" t="s">
        <v>91</v>
      </c>
      <c r="E92">
        <v>22.24</v>
      </c>
      <c r="F92" s="9" t="s">
        <v>67</v>
      </c>
      <c r="G92" s="7">
        <v>133612756992</v>
      </c>
      <c r="H92" s="6">
        <v>27.14</v>
      </c>
      <c r="I92" s="6">
        <v>18.7</v>
      </c>
      <c r="J92" s="12">
        <f t="shared" si="2"/>
        <v>0.18930481283422451</v>
      </c>
      <c r="K92" s="11">
        <v>4.2715827338129495E-2</v>
      </c>
      <c r="L92" s="13">
        <v>10795274825</v>
      </c>
      <c r="M92" s="13">
        <v>215275428010</v>
      </c>
      <c r="N92" s="9" t="s">
        <v>50</v>
      </c>
      <c r="O92" s="6">
        <v>1.0989010989010988</v>
      </c>
      <c r="P92" s="12">
        <v>0.13342877498248995</v>
      </c>
      <c r="Q92" s="12">
        <v>5.0146340085309396E-2</v>
      </c>
      <c r="R92" s="14">
        <v>64</v>
      </c>
    </row>
    <row r="93" spans="2:18" x14ac:dyDescent="0.5">
      <c r="B93" s="1" t="s">
        <v>264</v>
      </c>
      <c r="C93" t="s">
        <v>315</v>
      </c>
      <c r="D93" t="s">
        <v>49</v>
      </c>
      <c r="E93">
        <v>7.98</v>
      </c>
      <c r="F93" s="9" t="s">
        <v>67</v>
      </c>
      <c r="G93" s="7">
        <v>15060539392</v>
      </c>
      <c r="H93" s="6">
        <v>9.01</v>
      </c>
      <c r="I93" s="6">
        <v>1.92</v>
      </c>
      <c r="J93" s="12">
        <f t="shared" si="2"/>
        <v>3.15625</v>
      </c>
      <c r="K93" s="11">
        <v>2.0050125313283207E-2</v>
      </c>
      <c r="L93" s="13">
        <v>896597000</v>
      </c>
      <c r="M93" s="13">
        <v>6906279000</v>
      </c>
      <c r="N93" s="9" t="s">
        <v>67</v>
      </c>
      <c r="O93" s="6">
        <v>1</v>
      </c>
      <c r="P93" s="12">
        <v>5.3833796323783684E-2</v>
      </c>
      <c r="Q93" s="12">
        <v>0.12982345485897689</v>
      </c>
      <c r="R93" s="14">
        <v>65</v>
      </c>
    </row>
    <row r="94" spans="2:18" x14ac:dyDescent="0.5">
      <c r="B94" s="1" t="s">
        <v>133</v>
      </c>
      <c r="C94" t="s">
        <v>177</v>
      </c>
      <c r="D94" t="s">
        <v>178</v>
      </c>
      <c r="E94">
        <v>8.36</v>
      </c>
      <c r="F94" s="9" t="s">
        <v>67</v>
      </c>
      <c r="G94" s="7">
        <v>19698089984</v>
      </c>
      <c r="H94" s="6">
        <v>12.7</v>
      </c>
      <c r="I94" s="6">
        <v>6.33</v>
      </c>
      <c r="J94" s="12">
        <f t="shared" si="2"/>
        <v>0.32069510268562396</v>
      </c>
      <c r="K94" s="11">
        <v>0</v>
      </c>
      <c r="L94" s="13">
        <v>13493113000</v>
      </c>
      <c r="M94" s="13">
        <v>208027754000</v>
      </c>
      <c r="N94" s="9" t="s">
        <v>50</v>
      </c>
      <c r="O94" s="6">
        <v>1.0989010989010988</v>
      </c>
      <c r="P94" s="12">
        <v>0.12184598832156371</v>
      </c>
      <c r="Q94" s="12">
        <v>6.4862080854845933E-2</v>
      </c>
      <c r="R94" s="14">
        <v>66</v>
      </c>
    </row>
    <row r="95" spans="2:18" x14ac:dyDescent="0.5">
      <c r="B95" s="1" t="s">
        <v>109</v>
      </c>
      <c r="C95" t="s">
        <v>146</v>
      </c>
      <c r="D95" t="s">
        <v>96</v>
      </c>
      <c r="E95">
        <v>5.07</v>
      </c>
      <c r="F95" s="9" t="s">
        <v>67</v>
      </c>
      <c r="G95" s="7">
        <v>610016755712</v>
      </c>
      <c r="H95" s="6">
        <v>6.49</v>
      </c>
      <c r="I95" s="6">
        <v>4.8600000000000003</v>
      </c>
      <c r="J95" s="12">
        <f t="shared" si="2"/>
        <v>4.3209876543209846E-2</v>
      </c>
      <c r="K95" s="11">
        <v>8.6982248520710057E-2</v>
      </c>
      <c r="L95" s="13">
        <v>44563000000</v>
      </c>
      <c r="M95" s="13">
        <v>463922000000</v>
      </c>
      <c r="N95" s="9" t="s">
        <v>50</v>
      </c>
      <c r="O95" s="6">
        <v>1.0989010989010988</v>
      </c>
      <c r="P95" s="12">
        <v>8.3505848046335776E-2</v>
      </c>
      <c r="Q95" s="12">
        <v>9.605709580489824E-2</v>
      </c>
      <c r="R95" s="14">
        <v>67</v>
      </c>
    </row>
    <row r="96" spans="2:18" x14ac:dyDescent="0.5">
      <c r="B96" s="1" t="s">
        <v>386</v>
      </c>
      <c r="C96" t="s">
        <v>387</v>
      </c>
      <c r="D96" t="s">
        <v>55</v>
      </c>
      <c r="E96">
        <v>33.200000000000003</v>
      </c>
      <c r="F96" s="9" t="s">
        <v>67</v>
      </c>
      <c r="G96" s="7">
        <v>859974729728</v>
      </c>
      <c r="H96" s="6">
        <v>61.45</v>
      </c>
      <c r="I96" s="6">
        <v>31.2</v>
      </c>
      <c r="J96" s="12">
        <f t="shared" si="2"/>
        <v>6.4102564102564319E-2</v>
      </c>
      <c r="K96" s="11">
        <v>0</v>
      </c>
      <c r="L96" s="13">
        <v>29458798000</v>
      </c>
      <c r="M96" s="13">
        <v>219340795000</v>
      </c>
      <c r="N96" s="9" t="s">
        <v>50</v>
      </c>
      <c r="O96" s="6">
        <v>1.0989010989010988</v>
      </c>
      <c r="P96" s="12">
        <v>3.7530624376522083E-2</v>
      </c>
      <c r="Q96" s="12">
        <v>0.13430606011982404</v>
      </c>
      <c r="R96" s="14">
        <v>68</v>
      </c>
    </row>
    <row r="97" spans="2:18" x14ac:dyDescent="0.5">
      <c r="B97" s="1" t="s">
        <v>255</v>
      </c>
      <c r="C97" t="s">
        <v>304</v>
      </c>
      <c r="D97" t="s">
        <v>300</v>
      </c>
      <c r="E97">
        <v>1.74</v>
      </c>
      <c r="F97" s="9" t="s">
        <v>67</v>
      </c>
      <c r="G97" s="7">
        <v>67527954432</v>
      </c>
      <c r="H97" s="6">
        <v>3.17</v>
      </c>
      <c r="I97" s="6">
        <v>1.35</v>
      </c>
      <c r="J97" s="12">
        <f t="shared" si="2"/>
        <v>0.28888888888888875</v>
      </c>
      <c r="K97" s="11">
        <v>3.2183908045977011E-2</v>
      </c>
      <c r="L97" s="13">
        <v>12616717000</v>
      </c>
      <c r="M97" s="13">
        <v>231208465000</v>
      </c>
      <c r="N97" s="9" t="s">
        <v>50</v>
      </c>
      <c r="O97" s="6">
        <v>1.0989010989010988</v>
      </c>
      <c r="P97" s="12">
        <v>0.12291845546294883</v>
      </c>
      <c r="Q97" s="12">
        <v>5.4568577322633927E-2</v>
      </c>
      <c r="R97" s="14">
        <v>69</v>
      </c>
    </row>
    <row r="98" spans="2:18" x14ac:dyDescent="0.5">
      <c r="B98" s="1" t="s">
        <v>262</v>
      </c>
      <c r="C98" t="s">
        <v>312</v>
      </c>
      <c r="D98" t="s">
        <v>85</v>
      </c>
      <c r="E98">
        <v>6.36</v>
      </c>
      <c r="F98" s="9" t="s">
        <v>67</v>
      </c>
      <c r="G98" s="7">
        <v>6463598592</v>
      </c>
      <c r="H98" s="6">
        <v>10.76</v>
      </c>
      <c r="I98" s="6">
        <v>6.25</v>
      </c>
      <c r="J98" s="12">
        <f t="shared" ref="J98:J129" si="3">E98/I98-1</f>
        <v>1.760000000000006E-2</v>
      </c>
      <c r="K98" s="11">
        <v>2.2327044025157231E-2</v>
      </c>
      <c r="L98" s="13">
        <v>350106000</v>
      </c>
      <c r="M98" s="13">
        <v>3348556000</v>
      </c>
      <c r="N98" s="9" t="s">
        <v>67</v>
      </c>
      <c r="O98" s="6">
        <v>1</v>
      </c>
      <c r="P98" s="12">
        <v>6.0795257184077599E-2</v>
      </c>
      <c r="Q98" s="12">
        <v>0.10455432132537129</v>
      </c>
      <c r="R98" s="14">
        <v>70</v>
      </c>
    </row>
    <row r="99" spans="2:18" x14ac:dyDescent="0.5">
      <c r="B99" s="1" t="s">
        <v>765</v>
      </c>
      <c r="C99" t="s">
        <v>770</v>
      </c>
      <c r="D99" t="s">
        <v>73</v>
      </c>
      <c r="E99">
        <v>1.23</v>
      </c>
      <c r="F99" s="9" t="s">
        <v>67</v>
      </c>
      <c r="G99" s="7">
        <v>1705233920</v>
      </c>
      <c r="H99" s="6">
        <v>1.58</v>
      </c>
      <c r="I99" s="6">
        <v>1.08</v>
      </c>
      <c r="J99" s="12">
        <f t="shared" si="3"/>
        <v>0.13888888888888884</v>
      </c>
      <c r="K99" s="11">
        <v>8.1300813008130093E-2</v>
      </c>
      <c r="L99" s="13">
        <v>255887000</v>
      </c>
      <c r="M99" s="13">
        <v>4229022000</v>
      </c>
      <c r="N99" s="9" t="s">
        <v>67</v>
      </c>
      <c r="O99" s="6">
        <v>1</v>
      </c>
      <c r="P99" s="12">
        <v>0.10694800640125741</v>
      </c>
      <c r="Q99" s="12">
        <v>6.0507370261966002E-2</v>
      </c>
      <c r="R99" s="14">
        <v>71</v>
      </c>
    </row>
    <row r="100" spans="2:18" x14ac:dyDescent="0.5">
      <c r="B100" s="1" t="s">
        <v>253</v>
      </c>
      <c r="C100" t="s">
        <v>302</v>
      </c>
      <c r="D100" t="s">
        <v>148</v>
      </c>
      <c r="E100">
        <v>9.66</v>
      </c>
      <c r="F100" s="9" t="s">
        <v>67</v>
      </c>
      <c r="G100" s="7">
        <v>24532523008</v>
      </c>
      <c r="H100" s="6">
        <v>12.48</v>
      </c>
      <c r="I100" s="6">
        <v>8.1</v>
      </c>
      <c r="J100" s="12">
        <f t="shared" si="3"/>
        <v>0.19259259259259265</v>
      </c>
      <c r="K100" s="11">
        <v>3.1055900621118012E-2</v>
      </c>
      <c r="L100" s="13">
        <v>9652467000</v>
      </c>
      <c r="M100" s="13">
        <v>173514401000</v>
      </c>
      <c r="N100" s="9" t="s">
        <v>50</v>
      </c>
      <c r="O100" s="6">
        <v>1.0989010989010988</v>
      </c>
      <c r="P100" s="12">
        <v>0.10588666496181015</v>
      </c>
      <c r="Q100" s="12">
        <v>5.5629198178196171E-2</v>
      </c>
      <c r="R100" s="14">
        <v>72</v>
      </c>
    </row>
    <row r="101" spans="2:18" x14ac:dyDescent="0.5">
      <c r="B101" s="1" t="s">
        <v>251</v>
      </c>
      <c r="C101" t="s">
        <v>299</v>
      </c>
      <c r="D101" t="s">
        <v>300</v>
      </c>
      <c r="E101">
        <v>5.31</v>
      </c>
      <c r="F101" s="9" t="s">
        <v>67</v>
      </c>
      <c r="G101" s="7">
        <v>109630447616</v>
      </c>
      <c r="H101" s="6">
        <v>6.07</v>
      </c>
      <c r="I101" s="6">
        <v>4.58</v>
      </c>
      <c r="J101" s="12">
        <f t="shared" si="3"/>
        <v>0.15938864628820948</v>
      </c>
      <c r="K101" s="11">
        <v>5.6497175141242938E-2</v>
      </c>
      <c r="L101" s="13">
        <v>42109966000</v>
      </c>
      <c r="M101" s="13">
        <v>746176876000</v>
      </c>
      <c r="N101" s="9" t="s">
        <v>50</v>
      </c>
      <c r="O101" s="6">
        <v>1.0989010989010988</v>
      </c>
      <c r="P101" s="12">
        <v>0.10203763671151114</v>
      </c>
      <c r="Q101" s="12">
        <v>5.643429507724386E-2</v>
      </c>
      <c r="R101" s="14">
        <v>73</v>
      </c>
    </row>
    <row r="102" spans="2:18" x14ac:dyDescent="0.5">
      <c r="B102" s="1" t="s">
        <v>18</v>
      </c>
      <c r="C102" t="s">
        <v>66</v>
      </c>
      <c r="D102" t="s">
        <v>65</v>
      </c>
      <c r="E102">
        <v>69.5</v>
      </c>
      <c r="F102" s="9" t="s">
        <v>67</v>
      </c>
      <c r="G102" s="7">
        <v>181869395968</v>
      </c>
      <c r="H102" s="6">
        <v>107</v>
      </c>
      <c r="I102" s="6">
        <v>43.15</v>
      </c>
      <c r="J102" s="12">
        <f t="shared" si="3"/>
        <v>0.61066048667439166</v>
      </c>
      <c r="K102" s="11">
        <v>1.8705035971223024E-2</v>
      </c>
      <c r="L102" s="13">
        <v>6350637223.7200003</v>
      </c>
      <c r="M102" s="13">
        <v>57896384836.860001</v>
      </c>
      <c r="N102" s="9" t="s">
        <v>50</v>
      </c>
      <c r="O102" s="6">
        <v>1.0989010989010988</v>
      </c>
      <c r="P102" s="12">
        <v>4.6749683888998667E-2</v>
      </c>
      <c r="Q102" s="12">
        <v>0.10968970241604512</v>
      </c>
      <c r="R102" s="14">
        <v>73</v>
      </c>
    </row>
    <row r="103" spans="2:18" x14ac:dyDescent="0.5">
      <c r="B103" s="1" t="s">
        <v>256</v>
      </c>
      <c r="C103" t="s">
        <v>305</v>
      </c>
      <c r="D103" t="s">
        <v>106</v>
      </c>
      <c r="E103">
        <v>12.91</v>
      </c>
      <c r="F103" s="9" t="s">
        <v>67</v>
      </c>
      <c r="G103" s="7">
        <v>8671801344</v>
      </c>
      <c r="H103" s="6">
        <v>15.74</v>
      </c>
      <c r="I103" s="6">
        <v>6.36</v>
      </c>
      <c r="J103" s="12">
        <f t="shared" si="3"/>
        <v>1.0298742138364778</v>
      </c>
      <c r="K103" s="11">
        <v>4.4151820294345466E-2</v>
      </c>
      <c r="L103" s="13">
        <v>1136392000</v>
      </c>
      <c r="M103" s="13">
        <v>17458813000</v>
      </c>
      <c r="N103" s="9" t="s">
        <v>67</v>
      </c>
      <c r="O103" s="6">
        <v>1</v>
      </c>
      <c r="P103" s="12">
        <v>8.5500663612008101E-2</v>
      </c>
      <c r="Q103" s="12">
        <v>6.5089877530620205E-2</v>
      </c>
      <c r="R103" s="14">
        <v>74</v>
      </c>
    </row>
    <row r="104" spans="2:18" x14ac:dyDescent="0.5">
      <c r="B104" s="1" t="s">
        <v>284</v>
      </c>
      <c r="C104" t="s">
        <v>337</v>
      </c>
      <c r="D104" t="s">
        <v>49</v>
      </c>
      <c r="E104">
        <v>23</v>
      </c>
      <c r="F104" s="9" t="s">
        <v>67</v>
      </c>
      <c r="G104" s="7">
        <v>51434348544</v>
      </c>
      <c r="H104" s="6">
        <v>28.88</v>
      </c>
      <c r="I104" s="6">
        <v>3.53</v>
      </c>
      <c r="J104" s="12">
        <f t="shared" si="3"/>
        <v>5.5155807365439093</v>
      </c>
      <c r="K104" s="11">
        <v>1.0043478260869565E-2</v>
      </c>
      <c r="L104" s="13">
        <v>2184074765.02</v>
      </c>
      <c r="M104" s="13">
        <v>23493408528.349998</v>
      </c>
      <c r="N104" s="9" t="s">
        <v>50</v>
      </c>
      <c r="O104" s="6">
        <v>1.0989010989010988</v>
      </c>
      <c r="P104" s="12">
        <v>5.631819551312052E-2</v>
      </c>
      <c r="Q104" s="12">
        <v>9.29654274042198E-2</v>
      </c>
      <c r="R104" s="14">
        <v>74</v>
      </c>
    </row>
    <row r="105" spans="2:18" x14ac:dyDescent="0.5">
      <c r="B105" s="1" t="s">
        <v>114</v>
      </c>
      <c r="C105" t="s">
        <v>154</v>
      </c>
      <c r="D105" t="s">
        <v>148</v>
      </c>
      <c r="E105">
        <v>2.37</v>
      </c>
      <c r="F105" s="9" t="s">
        <v>67</v>
      </c>
      <c r="G105" s="7">
        <v>8435718144</v>
      </c>
      <c r="H105" s="6">
        <v>3.35</v>
      </c>
      <c r="I105" s="6">
        <v>1.6</v>
      </c>
      <c r="J105" s="12">
        <f t="shared" si="3"/>
        <v>0.48124999999999996</v>
      </c>
      <c r="K105" s="11">
        <v>3.164556962025316E-2</v>
      </c>
      <c r="L105" s="13">
        <v>2220197000</v>
      </c>
      <c r="M105" s="13">
        <v>71097505000</v>
      </c>
      <c r="N105" s="9" t="s">
        <v>50</v>
      </c>
      <c r="O105" s="6">
        <v>1.0989010989010988</v>
      </c>
      <c r="P105" s="12">
        <v>0.11039122578908395</v>
      </c>
      <c r="Q105" s="12">
        <v>3.1227495254580313E-2</v>
      </c>
      <c r="R105" s="14">
        <v>75</v>
      </c>
    </row>
    <row r="106" spans="2:18" x14ac:dyDescent="0.5">
      <c r="B106" s="1" t="s">
        <v>131</v>
      </c>
      <c r="C106" t="s">
        <v>175</v>
      </c>
      <c r="D106" t="s">
        <v>96</v>
      </c>
      <c r="E106">
        <v>5.95</v>
      </c>
      <c r="F106" s="9" t="s">
        <v>67</v>
      </c>
      <c r="G106" s="7">
        <v>46099185664</v>
      </c>
      <c r="H106" s="6">
        <v>6.2</v>
      </c>
      <c r="I106" s="6">
        <v>4.5</v>
      </c>
      <c r="J106" s="12">
        <f t="shared" si="3"/>
        <v>0.32222222222222219</v>
      </c>
      <c r="K106" s="11">
        <v>6.4369747899159668E-2</v>
      </c>
      <c r="L106" s="13">
        <v>5474000000</v>
      </c>
      <c r="M106" s="13">
        <v>59407000000</v>
      </c>
      <c r="N106" s="9" t="s">
        <v>67</v>
      </c>
      <c r="O106" s="6">
        <v>1</v>
      </c>
      <c r="P106" s="12">
        <v>5.5998747882892143E-2</v>
      </c>
      <c r="Q106" s="12">
        <v>9.2144023431582137E-2</v>
      </c>
      <c r="R106" s="14">
        <v>76</v>
      </c>
    </row>
    <row r="107" spans="2:18" x14ac:dyDescent="0.5">
      <c r="B107" s="1" t="s">
        <v>252</v>
      </c>
      <c r="C107" t="s">
        <v>301</v>
      </c>
      <c r="D107" t="s">
        <v>168</v>
      </c>
      <c r="E107">
        <v>60.3</v>
      </c>
      <c r="F107" s="9" t="s">
        <v>67</v>
      </c>
      <c r="G107" s="7">
        <v>230951682048</v>
      </c>
      <c r="H107" s="6">
        <v>66.5</v>
      </c>
      <c r="I107" s="6">
        <v>37.450000000000003</v>
      </c>
      <c r="J107" s="12">
        <f t="shared" si="3"/>
        <v>0.61014686248331085</v>
      </c>
      <c r="K107" s="11">
        <v>3.8341625207296851E-2</v>
      </c>
      <c r="L107" s="13">
        <v>41737000000</v>
      </c>
      <c r="M107" s="13">
        <v>794927000000</v>
      </c>
      <c r="N107" s="9" t="s">
        <v>67</v>
      </c>
      <c r="O107" s="6">
        <v>1</v>
      </c>
      <c r="P107" s="12">
        <v>9.6084144182848677E-2</v>
      </c>
      <c r="Q107" s="12">
        <v>5.2504192208844336E-2</v>
      </c>
      <c r="R107" s="14">
        <v>76</v>
      </c>
    </row>
    <row r="108" spans="2:18" x14ac:dyDescent="0.5">
      <c r="B108" s="1" t="s">
        <v>752</v>
      </c>
      <c r="C108" t="s">
        <v>754</v>
      </c>
      <c r="D108" t="s">
        <v>85</v>
      </c>
      <c r="E108">
        <v>12.24</v>
      </c>
      <c r="F108" s="9" t="s">
        <v>67</v>
      </c>
      <c r="G108" s="7">
        <v>7901670912</v>
      </c>
      <c r="H108" s="6">
        <v>16.8</v>
      </c>
      <c r="I108" s="6">
        <v>8.0299999999999994</v>
      </c>
      <c r="J108" s="12">
        <f t="shared" si="3"/>
        <v>0.52428393524283945</v>
      </c>
      <c r="K108" s="11">
        <v>1.8218954248366014E-2</v>
      </c>
      <c r="L108" s="13">
        <v>1066661000</v>
      </c>
      <c r="M108" s="13">
        <v>15098330000</v>
      </c>
      <c r="N108" s="9" t="s">
        <v>50</v>
      </c>
      <c r="O108" s="6">
        <v>1.0989010989010988</v>
      </c>
      <c r="P108" s="12">
        <v>7.1365543865354097E-2</v>
      </c>
      <c r="Q108" s="12">
        <v>7.0647614669966816E-2</v>
      </c>
      <c r="R108" s="14">
        <v>77</v>
      </c>
    </row>
    <row r="109" spans="2:18" x14ac:dyDescent="0.5">
      <c r="B109" s="1" t="s">
        <v>120</v>
      </c>
      <c r="C109" t="s">
        <v>160</v>
      </c>
      <c r="D109" t="s">
        <v>161</v>
      </c>
      <c r="E109">
        <v>19.21</v>
      </c>
      <c r="F109" s="9" t="s">
        <v>67</v>
      </c>
      <c r="G109" s="7">
        <v>129533485056</v>
      </c>
      <c r="H109" s="6">
        <v>22.24</v>
      </c>
      <c r="I109" s="6">
        <v>5</v>
      </c>
      <c r="J109" s="12">
        <f t="shared" si="3"/>
        <v>2.8420000000000001</v>
      </c>
      <c r="K109" s="11">
        <v>1.0931806350858927E-2</v>
      </c>
      <c r="L109" s="13">
        <v>6749146000</v>
      </c>
      <c r="M109" s="13">
        <v>70848374000</v>
      </c>
      <c r="N109" s="9" t="s">
        <v>50</v>
      </c>
      <c r="O109" s="6">
        <v>1.0989010989010988</v>
      </c>
      <c r="P109" s="12">
        <v>4.5485746375212077E-2</v>
      </c>
      <c r="Q109" s="12">
        <v>9.5261833390841127E-2</v>
      </c>
      <c r="R109" s="14">
        <v>78</v>
      </c>
    </row>
    <row r="110" spans="2:18" x14ac:dyDescent="0.5">
      <c r="B110" s="1" t="s">
        <v>119</v>
      </c>
      <c r="C110" t="s">
        <v>159</v>
      </c>
      <c r="D110" t="s">
        <v>148</v>
      </c>
      <c r="E110">
        <v>45.68</v>
      </c>
      <c r="F110" s="9" t="s">
        <v>67</v>
      </c>
      <c r="G110" s="7">
        <v>159869878272</v>
      </c>
      <c r="H110" s="6">
        <v>49.94</v>
      </c>
      <c r="I110" s="6">
        <v>28.1</v>
      </c>
      <c r="J110" s="12">
        <f t="shared" si="3"/>
        <v>0.62562277580071157</v>
      </c>
      <c r="K110" s="11">
        <v>3.8966725043782839E-2</v>
      </c>
      <c r="L110" s="13">
        <v>16863000000</v>
      </c>
      <c r="M110" s="13">
        <v>448320000000</v>
      </c>
      <c r="N110" s="9" t="s">
        <v>67</v>
      </c>
      <c r="O110" s="6">
        <v>1</v>
      </c>
      <c r="P110" s="12">
        <v>9.2943462952284631E-2</v>
      </c>
      <c r="Q110" s="12">
        <v>3.7613758029978586E-2</v>
      </c>
      <c r="R110" s="14">
        <v>79</v>
      </c>
    </row>
    <row r="111" spans="2:18" x14ac:dyDescent="0.5">
      <c r="B111" s="1" t="s">
        <v>254</v>
      </c>
      <c r="C111" t="s">
        <v>303</v>
      </c>
      <c r="D111" t="s">
        <v>96</v>
      </c>
      <c r="E111">
        <v>3.17</v>
      </c>
      <c r="F111" s="9" t="s">
        <v>67</v>
      </c>
      <c r="G111" s="7">
        <v>2943576576</v>
      </c>
      <c r="H111" s="6">
        <v>5.39</v>
      </c>
      <c r="I111" s="6">
        <v>1.72</v>
      </c>
      <c r="J111" s="12">
        <f t="shared" si="3"/>
        <v>0.84302325581395343</v>
      </c>
      <c r="K111" s="11">
        <v>0</v>
      </c>
      <c r="L111" s="13">
        <v>238321000</v>
      </c>
      <c r="M111" s="13">
        <v>6087917000</v>
      </c>
      <c r="N111" s="9" t="s">
        <v>67</v>
      </c>
      <c r="O111" s="6">
        <v>1</v>
      </c>
      <c r="P111" s="12">
        <v>9.2051315151458993E-2</v>
      </c>
      <c r="Q111" s="12">
        <v>3.9146558666946343E-2</v>
      </c>
      <c r="R111" s="14">
        <v>80</v>
      </c>
    </row>
    <row r="112" spans="2:18" x14ac:dyDescent="0.5">
      <c r="B112" s="1" t="s">
        <v>36</v>
      </c>
      <c r="C112" t="s">
        <v>100</v>
      </c>
      <c r="D112" t="s">
        <v>49</v>
      </c>
      <c r="E112">
        <v>36.799999999999997</v>
      </c>
      <c r="F112" s="9" t="s">
        <v>67</v>
      </c>
      <c r="G112" s="7">
        <v>157073981440</v>
      </c>
      <c r="H112" s="6">
        <v>119.9</v>
      </c>
      <c r="I112" s="6">
        <v>8.92</v>
      </c>
      <c r="J112" s="12">
        <f t="shared" si="3"/>
        <v>3.1255605381165914</v>
      </c>
      <c r="K112" s="11">
        <v>1.0951086956521741E-2</v>
      </c>
      <c r="L112" s="13">
        <v>3967214824.1399999</v>
      </c>
      <c r="M112" s="13">
        <v>41038539262.660004</v>
      </c>
      <c r="N112" s="9" t="s">
        <v>50</v>
      </c>
      <c r="O112" s="6">
        <v>1.0989010989010988</v>
      </c>
      <c r="P112" s="12">
        <v>3.3318062277302989E-2</v>
      </c>
      <c r="Q112" s="12">
        <v>9.6670468672106824E-2</v>
      </c>
      <c r="R112" s="14">
        <v>81</v>
      </c>
    </row>
    <row r="113" spans="2:18" x14ac:dyDescent="0.5">
      <c r="B113" s="1" t="s">
        <v>857</v>
      </c>
      <c r="C113" t="s">
        <v>939</v>
      </c>
      <c r="D113" t="s">
        <v>423</v>
      </c>
      <c r="E113">
        <v>23.4</v>
      </c>
      <c r="F113" s="9" t="s">
        <v>67</v>
      </c>
      <c r="G113" s="7">
        <v>164050731008</v>
      </c>
      <c r="H113" s="6">
        <v>46.46</v>
      </c>
      <c r="I113" s="6">
        <v>18.7</v>
      </c>
      <c r="J113" s="12">
        <f t="shared" si="3"/>
        <v>0.25133689839572182</v>
      </c>
      <c r="K113" s="11">
        <v>1.7564102564102565E-2</v>
      </c>
      <c r="L113" s="13">
        <v>10046919000</v>
      </c>
      <c r="M113" s="13">
        <v>132576452000</v>
      </c>
      <c r="N113" s="9" t="s">
        <v>50</v>
      </c>
      <c r="O113" s="6">
        <v>1.0989010989010988</v>
      </c>
      <c r="P113" s="12">
        <v>5.5346790337749967E-2</v>
      </c>
      <c r="Q113" s="12">
        <v>7.5782077800664024E-2</v>
      </c>
      <c r="R113" s="14">
        <v>82</v>
      </c>
    </row>
    <row r="114" spans="2:18" x14ac:dyDescent="0.5">
      <c r="B114" s="1" t="s">
        <v>33</v>
      </c>
      <c r="C114" t="s">
        <v>95</v>
      </c>
      <c r="D114" t="s">
        <v>96</v>
      </c>
      <c r="E114">
        <v>11.08</v>
      </c>
      <c r="F114" s="9" t="s">
        <v>67</v>
      </c>
      <c r="G114" s="7">
        <v>193691697152</v>
      </c>
      <c r="H114" s="6">
        <v>12.85</v>
      </c>
      <c r="I114" s="6">
        <v>9.89</v>
      </c>
      <c r="J114" s="12">
        <f t="shared" si="3"/>
        <v>0.12032355915065707</v>
      </c>
      <c r="K114" s="11">
        <v>4.1335740072202171E-2</v>
      </c>
      <c r="L114" s="13">
        <v>16758000000</v>
      </c>
      <c r="M114" s="13">
        <v>269590000000</v>
      </c>
      <c r="N114" s="9" t="s">
        <v>50</v>
      </c>
      <c r="O114" s="6">
        <v>1.0989010989010988</v>
      </c>
      <c r="P114" s="12">
        <v>6.2951143189816205E-2</v>
      </c>
      <c r="Q114" s="12">
        <v>6.2161059386475759E-2</v>
      </c>
      <c r="R114" s="14">
        <v>83</v>
      </c>
    </row>
    <row r="115" spans="2:18" x14ac:dyDescent="0.5">
      <c r="B115" s="1" t="s">
        <v>30</v>
      </c>
      <c r="C115" t="s">
        <v>90</v>
      </c>
      <c r="D115" t="s">
        <v>91</v>
      </c>
      <c r="E115">
        <v>2.1800000000000002</v>
      </c>
      <c r="F115" s="9" t="s">
        <v>67</v>
      </c>
      <c r="G115" s="7">
        <v>11908321280</v>
      </c>
      <c r="H115" s="6">
        <v>3.83</v>
      </c>
      <c r="I115" s="6">
        <v>1.24</v>
      </c>
      <c r="J115" s="12">
        <f t="shared" si="3"/>
        <v>0.75806451612903247</v>
      </c>
      <c r="K115" s="11">
        <v>1.5596330275229357E-2</v>
      </c>
      <c r="L115" s="13">
        <v>1384865000</v>
      </c>
      <c r="M115" s="13">
        <v>23827484000</v>
      </c>
      <c r="N115" s="9" t="s">
        <v>50</v>
      </c>
      <c r="O115" s="6">
        <v>1.0989010989010988</v>
      </c>
      <c r="P115" s="12">
        <v>6.5204658119990475E-2</v>
      </c>
      <c r="Q115" s="12">
        <v>5.8120488088461209E-2</v>
      </c>
      <c r="R115" s="14">
        <v>84</v>
      </c>
    </row>
    <row r="116" spans="2:18" x14ac:dyDescent="0.5">
      <c r="B116" s="1" t="s">
        <v>941</v>
      </c>
      <c r="C116" t="s">
        <v>942</v>
      </c>
      <c r="D116" t="s">
        <v>943</v>
      </c>
      <c r="E116">
        <v>49</v>
      </c>
      <c r="F116" s="9" t="s">
        <v>67</v>
      </c>
      <c r="G116" s="7">
        <v>156872278016</v>
      </c>
      <c r="H116" s="6">
        <v>71.7</v>
      </c>
      <c r="I116" s="6">
        <v>27.15</v>
      </c>
      <c r="J116" s="12">
        <f t="shared" si="3"/>
        <v>0.80478821362799269</v>
      </c>
      <c r="K116" s="11">
        <v>0</v>
      </c>
      <c r="L116" s="13">
        <v>4804870000</v>
      </c>
      <c r="M116" s="13">
        <v>55231156000</v>
      </c>
      <c r="N116" s="9" t="s">
        <v>50</v>
      </c>
      <c r="O116" s="6">
        <v>1.0989010989010988</v>
      </c>
      <c r="P116" s="12">
        <v>3.9913096249194896E-2</v>
      </c>
      <c r="Q116" s="12">
        <v>8.6995644270056557E-2</v>
      </c>
      <c r="R116" s="14">
        <v>84</v>
      </c>
    </row>
    <row r="117" spans="2:18" x14ac:dyDescent="0.5">
      <c r="B117" s="1" t="s">
        <v>440</v>
      </c>
      <c r="C117" t="s">
        <v>445</v>
      </c>
      <c r="D117" t="s">
        <v>446</v>
      </c>
      <c r="E117">
        <v>2.12</v>
      </c>
      <c r="F117" s="9" t="s">
        <v>67</v>
      </c>
      <c r="G117" s="7">
        <v>23300222976</v>
      </c>
      <c r="H117" s="6">
        <v>2.64</v>
      </c>
      <c r="I117" s="6">
        <v>1.57</v>
      </c>
      <c r="J117" s="12">
        <f t="shared" si="3"/>
        <v>0.35031847133757954</v>
      </c>
      <c r="K117" s="11">
        <v>3.3018867924528301E-2</v>
      </c>
      <c r="L117" s="13">
        <v>1507922451</v>
      </c>
      <c r="M117" s="13">
        <v>27909411974</v>
      </c>
      <c r="N117" s="9" t="s">
        <v>50</v>
      </c>
      <c r="O117" s="6">
        <v>1.0989010989010988</v>
      </c>
      <c r="P117" s="12">
        <v>7.0253855084020364E-2</v>
      </c>
      <c r="Q117" s="12">
        <v>5.4029173112094174E-2</v>
      </c>
      <c r="R117" s="14">
        <v>85</v>
      </c>
    </row>
    <row r="118" spans="2:18" x14ac:dyDescent="0.5">
      <c r="B118" s="1" t="s">
        <v>26</v>
      </c>
      <c r="C118" t="s">
        <v>84</v>
      </c>
      <c r="D118" t="s">
        <v>85</v>
      </c>
      <c r="E118">
        <v>7.36</v>
      </c>
      <c r="F118" s="9" t="s">
        <v>67</v>
      </c>
      <c r="G118" s="7">
        <v>7681518592</v>
      </c>
      <c r="H118" s="6">
        <v>9.6</v>
      </c>
      <c r="I118" s="6">
        <v>5.5</v>
      </c>
      <c r="J118" s="12">
        <f t="shared" si="3"/>
        <v>0.33818181818181814</v>
      </c>
      <c r="K118" s="11">
        <v>1.3043478260869565E-2</v>
      </c>
      <c r="L118" s="13">
        <v>303335000</v>
      </c>
      <c r="M118" s="13">
        <v>3620162000</v>
      </c>
      <c r="N118" s="9" t="s">
        <v>67</v>
      </c>
      <c r="O118" s="6">
        <v>1</v>
      </c>
      <c r="P118" s="12">
        <v>4.6046628295418598E-2</v>
      </c>
      <c r="Q118" s="12">
        <v>8.3790449156695201E-2</v>
      </c>
      <c r="R118" s="14">
        <v>85</v>
      </c>
    </row>
    <row r="119" spans="2:18" x14ac:dyDescent="0.5">
      <c r="B119" s="1" t="s">
        <v>788</v>
      </c>
      <c r="C119" t="s">
        <v>792</v>
      </c>
      <c r="D119" t="s">
        <v>790</v>
      </c>
      <c r="E119">
        <v>3.71</v>
      </c>
      <c r="F119" s="9" t="s">
        <v>67</v>
      </c>
      <c r="G119" s="7">
        <v>9280257024</v>
      </c>
      <c r="H119" s="6">
        <v>6.99</v>
      </c>
      <c r="I119" s="6">
        <v>3.69</v>
      </c>
      <c r="J119" s="12">
        <f t="shared" si="3"/>
        <v>5.4200542005420349E-3</v>
      </c>
      <c r="K119" s="11">
        <v>1.3477088948787063E-2</v>
      </c>
      <c r="L119" s="13">
        <v>744014000</v>
      </c>
      <c r="M119" s="13">
        <v>15832072000</v>
      </c>
      <c r="N119" s="9" t="s">
        <v>50</v>
      </c>
      <c r="O119" s="6">
        <v>1.0989010989010988</v>
      </c>
      <c r="P119" s="12">
        <v>7.5184370851238941E-2</v>
      </c>
      <c r="Q119" s="12">
        <v>4.6994101593272192E-2</v>
      </c>
      <c r="R119" s="14">
        <v>86</v>
      </c>
    </row>
    <row r="120" spans="2:18" x14ac:dyDescent="0.5">
      <c r="B120" s="1" t="s">
        <v>758</v>
      </c>
      <c r="C120" t="s">
        <v>761</v>
      </c>
      <c r="D120" t="s">
        <v>240</v>
      </c>
      <c r="E120">
        <v>10.199999999999999</v>
      </c>
      <c r="F120" s="9" t="s">
        <v>67</v>
      </c>
      <c r="G120" s="7">
        <v>10861008896</v>
      </c>
      <c r="H120" s="6">
        <v>15.24</v>
      </c>
      <c r="I120" s="6">
        <v>9.82</v>
      </c>
      <c r="J120" s="12">
        <f t="shared" si="3"/>
        <v>3.8696537678207577E-2</v>
      </c>
      <c r="K120" s="11">
        <v>0</v>
      </c>
      <c r="L120" s="13">
        <v>697194000</v>
      </c>
      <c r="M120" s="13">
        <v>9479979000</v>
      </c>
      <c r="N120" s="9" t="s">
        <v>50</v>
      </c>
      <c r="O120" s="6">
        <v>1.0989010989010988</v>
      </c>
      <c r="P120" s="12">
        <v>4.714583637239101E-2</v>
      </c>
      <c r="Q120" s="12">
        <v>7.3543833799631836E-2</v>
      </c>
      <c r="R120" s="14">
        <v>87</v>
      </c>
    </row>
    <row r="121" spans="2:18" x14ac:dyDescent="0.5">
      <c r="B121" s="1" t="s">
        <v>851</v>
      </c>
      <c r="C121" t="s">
        <v>938</v>
      </c>
      <c r="D121" t="s">
        <v>81</v>
      </c>
      <c r="E121">
        <v>21.3</v>
      </c>
      <c r="F121" s="9" t="s">
        <v>67</v>
      </c>
      <c r="G121" s="7">
        <v>206323826688</v>
      </c>
      <c r="H121" s="6">
        <v>27.16</v>
      </c>
      <c r="I121" s="6">
        <v>20.5</v>
      </c>
      <c r="J121" s="12">
        <f t="shared" si="3"/>
        <v>3.9024390243902474E-2</v>
      </c>
      <c r="K121" s="11">
        <v>3.1455399061032861E-2</v>
      </c>
      <c r="L121" s="13">
        <v>7752850000</v>
      </c>
      <c r="M121" s="13">
        <v>92970752000</v>
      </c>
      <c r="N121" s="9" t="s">
        <v>50</v>
      </c>
      <c r="O121" s="6">
        <v>1.0989010989010988</v>
      </c>
      <c r="P121" s="12">
        <v>4.0193728647615307E-2</v>
      </c>
      <c r="Q121" s="12">
        <v>8.3390204265530732E-2</v>
      </c>
      <c r="R121" s="14">
        <v>87</v>
      </c>
    </row>
    <row r="122" spans="2:18" x14ac:dyDescent="0.5">
      <c r="B122" s="1" t="s">
        <v>850</v>
      </c>
      <c r="C122" t="s">
        <v>937</v>
      </c>
      <c r="D122" t="s">
        <v>81</v>
      </c>
      <c r="E122">
        <v>8.57</v>
      </c>
      <c r="F122" s="9" t="s">
        <v>67</v>
      </c>
      <c r="G122" s="7">
        <v>95836274688</v>
      </c>
      <c r="H122" s="6">
        <v>10.67</v>
      </c>
      <c r="I122" s="6">
        <v>4.9000000000000004</v>
      </c>
      <c r="J122" s="12">
        <f t="shared" si="3"/>
        <v>0.74897959183673457</v>
      </c>
      <c r="K122" s="11">
        <v>5.8343057176196034E-2</v>
      </c>
      <c r="L122" s="13">
        <v>4954035759.4899998</v>
      </c>
      <c r="M122" s="13">
        <v>73975744359.850006</v>
      </c>
      <c r="N122" s="9" t="s">
        <v>50</v>
      </c>
      <c r="O122" s="6">
        <v>1.0989010989010988</v>
      </c>
      <c r="P122" s="12">
        <v>4.9392271921534045E-2</v>
      </c>
      <c r="Q122" s="12">
        <v>6.696838000563303E-2</v>
      </c>
      <c r="R122" s="14">
        <v>88</v>
      </c>
    </row>
    <row r="123" spans="2:18" x14ac:dyDescent="0.5">
      <c r="B123" s="1" t="s">
        <v>375</v>
      </c>
      <c r="C123" t="s">
        <v>376</v>
      </c>
      <c r="D123" t="s">
        <v>83</v>
      </c>
      <c r="E123">
        <v>1.1599999999999999</v>
      </c>
      <c r="F123" s="9" t="s">
        <v>67</v>
      </c>
      <c r="G123" s="7">
        <v>6422495232</v>
      </c>
      <c r="H123" s="6">
        <v>2.99</v>
      </c>
      <c r="I123" s="6">
        <v>0.91</v>
      </c>
      <c r="J123" s="12">
        <f t="shared" si="3"/>
        <v>0.27472527472527464</v>
      </c>
      <c r="K123" s="11">
        <v>0</v>
      </c>
      <c r="L123" s="13">
        <v>429393000</v>
      </c>
      <c r="M123" s="13">
        <v>18333659000</v>
      </c>
      <c r="N123" s="9" t="s">
        <v>67</v>
      </c>
      <c r="O123" s="6">
        <v>1</v>
      </c>
      <c r="P123" s="12">
        <v>6.5659431589677186E-2</v>
      </c>
      <c r="Q123" s="12">
        <v>2.3421020321148112E-2</v>
      </c>
      <c r="R123" s="14">
        <v>89</v>
      </c>
    </row>
    <row r="124" spans="2:18" x14ac:dyDescent="0.5">
      <c r="B124" s="1" t="s">
        <v>379</v>
      </c>
      <c r="C124" t="s">
        <v>382</v>
      </c>
      <c r="D124" t="s">
        <v>148</v>
      </c>
      <c r="E124">
        <v>11.59</v>
      </c>
      <c r="F124" s="9" t="s">
        <v>67</v>
      </c>
      <c r="G124" s="7">
        <v>109925294080</v>
      </c>
      <c r="H124" s="6">
        <v>13.3</v>
      </c>
      <c r="I124" s="6">
        <v>7.31</v>
      </c>
      <c r="J124" s="12">
        <f t="shared" si="3"/>
        <v>0.585499316005472</v>
      </c>
      <c r="K124" s="11">
        <v>5.0043140638481448E-2</v>
      </c>
      <c r="L124" s="13">
        <v>4532000000</v>
      </c>
      <c r="M124" s="13">
        <v>172303000000</v>
      </c>
      <c r="N124" s="9" t="s">
        <v>67</v>
      </c>
      <c r="O124" s="6">
        <v>1</v>
      </c>
      <c r="P124" s="12">
        <v>4.0990095652548054E-2</v>
      </c>
      <c r="Q124" s="12">
        <v>2.6302501987777345E-2</v>
      </c>
      <c r="R124" s="14">
        <v>90</v>
      </c>
    </row>
    <row r="125" spans="2:18" x14ac:dyDescent="0.5">
      <c r="B125" s="1" t="s">
        <v>191</v>
      </c>
      <c r="C125" t="s">
        <v>192</v>
      </c>
      <c r="D125" t="s">
        <v>193</v>
      </c>
      <c r="E125">
        <v>56.9</v>
      </c>
      <c r="F125" s="9" t="s">
        <v>67</v>
      </c>
      <c r="G125" s="7">
        <v>556657541120</v>
      </c>
      <c r="H125" s="6">
        <v>93.5</v>
      </c>
      <c r="I125" s="6">
        <v>37</v>
      </c>
      <c r="J125" s="12">
        <f t="shared" si="3"/>
        <v>0.5378378378378379</v>
      </c>
      <c r="K125" s="11">
        <v>0</v>
      </c>
      <c r="L125" s="13">
        <v>1156669000</v>
      </c>
      <c r="M125" s="13">
        <v>32183526000</v>
      </c>
      <c r="N125" s="9" t="s">
        <v>71</v>
      </c>
      <c r="O125" s="6">
        <v>7.6923076923076916</v>
      </c>
      <c r="P125" s="12">
        <v>1.4906049227499668E-2</v>
      </c>
      <c r="Q125" s="12">
        <v>3.5939784845203104E-2</v>
      </c>
      <c r="R125" s="14">
        <v>91</v>
      </c>
    </row>
    <row r="126" spans="2:18" x14ac:dyDescent="0.5">
      <c r="B126" s="1" t="s">
        <v>111</v>
      </c>
      <c r="C126" t="s">
        <v>149</v>
      </c>
      <c r="D126" t="s">
        <v>150</v>
      </c>
      <c r="E126">
        <v>18.32</v>
      </c>
      <c r="F126" s="9" t="s">
        <v>67</v>
      </c>
      <c r="G126" s="7">
        <v>18814789632</v>
      </c>
      <c r="H126" s="6">
        <v>23.3</v>
      </c>
      <c r="I126" s="6">
        <v>11.6</v>
      </c>
      <c r="J126" s="12">
        <f t="shared" si="3"/>
        <v>0.57931034482758625</v>
      </c>
      <c r="K126" s="11">
        <v>5.8951965065502189E-2</v>
      </c>
      <c r="L126" s="13">
        <v>984000000</v>
      </c>
      <c r="M126" s="13">
        <v>101944000000</v>
      </c>
      <c r="N126" s="9" t="s">
        <v>67</v>
      </c>
      <c r="O126" s="6">
        <v>1</v>
      </c>
      <c r="P126" s="12">
        <v>2.2483827941915148E-2</v>
      </c>
      <c r="Q126" s="12">
        <v>9.6523581574197593E-3</v>
      </c>
      <c r="R126" s="14">
        <v>92</v>
      </c>
    </row>
    <row r="127" spans="2:18" x14ac:dyDescent="0.5">
      <c r="B127" s="1" t="s">
        <v>128</v>
      </c>
      <c r="C127" t="s">
        <v>172</v>
      </c>
      <c r="D127" t="s">
        <v>171</v>
      </c>
      <c r="E127">
        <v>27.46</v>
      </c>
      <c r="F127" s="9" t="s">
        <v>67</v>
      </c>
      <c r="G127" s="7">
        <v>28049709056</v>
      </c>
      <c r="H127" s="6">
        <v>46.88</v>
      </c>
      <c r="I127" s="6">
        <v>22.4</v>
      </c>
      <c r="J127" s="12">
        <f t="shared" si="3"/>
        <v>0.22589285714285734</v>
      </c>
      <c r="K127" s="11">
        <v>0</v>
      </c>
      <c r="L127" s="13">
        <v>-90314000</v>
      </c>
      <c r="M127" s="13">
        <v>18374441000</v>
      </c>
      <c r="N127" s="9" t="s">
        <v>50</v>
      </c>
      <c r="O127" s="6">
        <v>1.0989010989010988</v>
      </c>
      <c r="P127" s="12">
        <v>-4.0269742728117602E-3</v>
      </c>
      <c r="Q127" s="12">
        <v>-4.9151971480384084E-3</v>
      </c>
      <c r="R127" s="14">
        <v>93</v>
      </c>
    </row>
    <row r="128" spans="2:18" x14ac:dyDescent="0.5">
      <c r="B128" s="1" t="s">
        <v>768</v>
      </c>
      <c r="C128" t="s">
        <v>773</v>
      </c>
      <c r="D128" t="s">
        <v>774</v>
      </c>
      <c r="E128">
        <v>1.42</v>
      </c>
      <c r="F128" s="9" t="s">
        <v>67</v>
      </c>
      <c r="G128" s="7">
        <v>900119936</v>
      </c>
      <c r="H128" s="6">
        <v>1.98</v>
      </c>
      <c r="I128" s="6">
        <v>1.24</v>
      </c>
      <c r="J128" s="12">
        <f t="shared" si="3"/>
        <v>0.14516129032258052</v>
      </c>
      <c r="K128" s="11">
        <v>9.8591549295774655E-2</v>
      </c>
      <c r="L128" s="13">
        <v>-19076000</v>
      </c>
      <c r="M128" s="13">
        <v>1673543000</v>
      </c>
      <c r="N128" s="9" t="s">
        <v>67</v>
      </c>
      <c r="O128" s="6">
        <v>1</v>
      </c>
      <c r="P128" s="12">
        <v>-5.279779957282163E-2</v>
      </c>
      <c r="Q128" s="12">
        <v>-1.1398571772580687E-2</v>
      </c>
      <c r="R128" s="14">
        <v>94</v>
      </c>
    </row>
    <row r="129" spans="2:18" x14ac:dyDescent="0.5">
      <c r="B129" s="1" t="s">
        <v>776</v>
      </c>
      <c r="C129" t="s">
        <v>778</v>
      </c>
      <c r="D129" t="s">
        <v>171</v>
      </c>
      <c r="E129">
        <v>195.3</v>
      </c>
      <c r="F129" s="9" t="s">
        <v>67</v>
      </c>
      <c r="G129" s="7">
        <v>79595888640</v>
      </c>
      <c r="H129" s="6">
        <v>285.60000000000002</v>
      </c>
      <c r="I129" s="6">
        <v>113.6</v>
      </c>
      <c r="J129" s="12">
        <f t="shared" si="3"/>
        <v>0.71919014084507071</v>
      </c>
      <c r="K129" s="11">
        <v>0</v>
      </c>
      <c r="L129" s="13">
        <v>-1311002000</v>
      </c>
      <c r="M129" s="13">
        <v>18944386000</v>
      </c>
      <c r="N129" s="9" t="s">
        <v>50</v>
      </c>
      <c r="O129" s="6">
        <v>1.0989010989010988</v>
      </c>
      <c r="P129" s="12">
        <v>-1.9499240729329143E-2</v>
      </c>
      <c r="Q129" s="12">
        <v>-6.9202665106169181E-2</v>
      </c>
      <c r="R129" s="14">
        <v>94</v>
      </c>
    </row>
    <row r="130" spans="2:18" x14ac:dyDescent="0.5">
      <c r="B130" s="1" t="s">
        <v>381</v>
      </c>
      <c r="C130" t="s">
        <v>384</v>
      </c>
      <c r="D130" t="s">
        <v>385</v>
      </c>
      <c r="E130">
        <v>36.24</v>
      </c>
      <c r="F130" s="9" t="s">
        <v>67</v>
      </c>
      <c r="G130" s="7">
        <v>94185562112</v>
      </c>
      <c r="H130" s="6">
        <v>45.05</v>
      </c>
      <c r="I130" s="6">
        <v>32.65</v>
      </c>
      <c r="J130" s="12">
        <f t="shared" ref="J130:J148" si="4">E130/I130-1</f>
        <v>0.10995405819295567</v>
      </c>
      <c r="K130" s="11">
        <v>7.2930463576158927E-2</v>
      </c>
      <c r="L130" s="13">
        <v>-6742000000</v>
      </c>
      <c r="M130" s="13">
        <v>216378000000</v>
      </c>
      <c r="N130" s="9" t="s">
        <v>67</v>
      </c>
      <c r="O130" s="6">
        <v>1</v>
      </c>
      <c r="P130" s="12">
        <v>-4.6822513233581782E-2</v>
      </c>
      <c r="Q130" s="12">
        <v>-3.1158435700487111E-2</v>
      </c>
      <c r="R130" s="14">
        <v>94</v>
      </c>
    </row>
    <row r="131" spans="2:18" x14ac:dyDescent="0.5">
      <c r="B131" s="1" t="s">
        <v>438</v>
      </c>
      <c r="C131" t="s">
        <v>442</v>
      </c>
      <c r="D131" t="s">
        <v>164</v>
      </c>
      <c r="E131">
        <v>2.61</v>
      </c>
      <c r="F131" s="9" t="s">
        <v>67</v>
      </c>
      <c r="G131" s="7">
        <v>15303048192</v>
      </c>
      <c r="H131" s="6">
        <v>4.34</v>
      </c>
      <c r="I131" s="6">
        <v>2.5</v>
      </c>
      <c r="J131" s="12">
        <f t="shared" si="4"/>
        <v>4.4000000000000039E-2</v>
      </c>
      <c r="K131" s="11">
        <v>5.3639846743295028E-2</v>
      </c>
      <c r="L131" s="13">
        <v>-780356000</v>
      </c>
      <c r="M131" s="13">
        <v>8664599000</v>
      </c>
      <c r="N131" s="9" t="s">
        <v>67</v>
      </c>
      <c r="O131" s="6">
        <v>1</v>
      </c>
      <c r="P131" s="12">
        <v>-7.6608136145876818E-2</v>
      </c>
      <c r="Q131" s="12">
        <v>-9.0062563772426163E-2</v>
      </c>
      <c r="R131" s="14">
        <v>95</v>
      </c>
    </row>
    <row r="132" spans="2:18" x14ac:dyDescent="0.5">
      <c r="B132" s="1" t="s">
        <v>195</v>
      </c>
      <c r="C132" t="s">
        <v>217</v>
      </c>
      <c r="D132" t="s">
        <v>76</v>
      </c>
      <c r="E132">
        <v>146.9</v>
      </c>
      <c r="F132" s="9" t="s">
        <v>67</v>
      </c>
      <c r="G132" s="7">
        <v>97008836608</v>
      </c>
      <c r="H132" s="6">
        <v>159.30000000000001</v>
      </c>
      <c r="I132" s="6">
        <v>93</v>
      </c>
      <c r="J132" s="12">
        <f t="shared" si="4"/>
        <v>0.5795698924731183</v>
      </c>
      <c r="K132" s="11">
        <v>7.7603812117086448E-3</v>
      </c>
      <c r="M132" s="13">
        <v>13245550000</v>
      </c>
      <c r="N132" s="9" t="s">
        <v>71</v>
      </c>
      <c r="O132" s="6">
        <v>7.6923076923076916</v>
      </c>
    </row>
    <row r="133" spans="2:18" x14ac:dyDescent="0.5">
      <c r="B133" s="1" t="s">
        <v>270</v>
      </c>
      <c r="C133" t="s">
        <v>322</v>
      </c>
      <c r="D133" t="s">
        <v>94</v>
      </c>
      <c r="E133">
        <v>16.02</v>
      </c>
      <c r="F133" s="9" t="s">
        <v>67</v>
      </c>
      <c r="G133" s="7">
        <v>25704867840</v>
      </c>
      <c r="H133" s="6">
        <v>19.100000000000001</v>
      </c>
      <c r="I133" s="6">
        <v>9.6300000000000008</v>
      </c>
      <c r="J133" s="12">
        <f t="shared" si="4"/>
        <v>0.66355140186915862</v>
      </c>
      <c r="K133" s="11">
        <v>1.0424469413233458E-2</v>
      </c>
      <c r="M133" s="13">
        <v>5195491000</v>
      </c>
      <c r="N133" s="9" t="s">
        <v>71</v>
      </c>
      <c r="O133" s="6">
        <v>7.6923076923076916</v>
      </c>
    </row>
    <row r="134" spans="2:18" x14ac:dyDescent="0.5">
      <c r="B134" s="1" t="s">
        <v>124</v>
      </c>
      <c r="C134" t="s">
        <v>166</v>
      </c>
      <c r="D134" t="s">
        <v>102</v>
      </c>
      <c r="E134">
        <v>20.54</v>
      </c>
      <c r="F134" s="9" t="s">
        <v>67</v>
      </c>
      <c r="G134" s="7">
        <v>64399577088</v>
      </c>
      <c r="H134" s="6">
        <v>25.68</v>
      </c>
      <c r="I134" s="6">
        <v>6.7</v>
      </c>
      <c r="J134" s="12">
        <f t="shared" si="4"/>
        <v>2.0656716417910448</v>
      </c>
      <c r="K134" s="11">
        <v>1.9474196689386564E-2</v>
      </c>
      <c r="M134" s="13">
        <v>18620709000</v>
      </c>
      <c r="N134" s="9" t="s">
        <v>67</v>
      </c>
      <c r="O134" s="6">
        <v>1</v>
      </c>
    </row>
    <row r="135" spans="2:18" x14ac:dyDescent="0.5">
      <c r="B135" s="1" t="s">
        <v>125</v>
      </c>
      <c r="C135" t="s">
        <v>167</v>
      </c>
      <c r="D135" t="s">
        <v>168</v>
      </c>
      <c r="E135">
        <v>37.020000000000003</v>
      </c>
      <c r="F135" s="9" t="s">
        <v>67</v>
      </c>
      <c r="G135" s="7">
        <v>41029697536</v>
      </c>
      <c r="H135" s="6">
        <v>42.62</v>
      </c>
      <c r="I135" s="6">
        <v>17.8</v>
      </c>
      <c r="J135" s="12">
        <f t="shared" si="4"/>
        <v>1.0797752808988763</v>
      </c>
      <c r="K135" s="11">
        <v>4.8622366288492702E-2</v>
      </c>
      <c r="M135" s="13">
        <v>81520873000</v>
      </c>
      <c r="N135" s="9" t="s">
        <v>67</v>
      </c>
      <c r="O135" s="6">
        <v>1</v>
      </c>
    </row>
    <row r="136" spans="2:18" x14ac:dyDescent="0.5">
      <c r="B136" s="1" t="s">
        <v>137</v>
      </c>
      <c r="C136" t="s">
        <v>184</v>
      </c>
      <c r="D136" t="s">
        <v>185</v>
      </c>
      <c r="E136">
        <v>3.6</v>
      </c>
      <c r="F136" s="9" t="s">
        <v>67</v>
      </c>
      <c r="G136" s="7">
        <v>15461999616</v>
      </c>
      <c r="H136" s="6">
        <v>4.16</v>
      </c>
      <c r="I136" s="6">
        <v>1.93</v>
      </c>
      <c r="J136" s="12">
        <f t="shared" si="4"/>
        <v>0.86528497409326444</v>
      </c>
      <c r="K136" s="11">
        <v>4.4166666666666667E-2</v>
      </c>
      <c r="M136" s="13">
        <v>49986396000</v>
      </c>
      <c r="N136" s="9" t="s">
        <v>67</v>
      </c>
      <c r="O136" s="6">
        <v>1</v>
      </c>
    </row>
    <row r="137" spans="2:18" x14ac:dyDescent="0.5">
      <c r="B137" s="1" t="s">
        <v>288</v>
      </c>
      <c r="C137" t="s">
        <v>341</v>
      </c>
      <c r="D137" t="s">
        <v>76</v>
      </c>
      <c r="E137">
        <v>34.840000000000003</v>
      </c>
      <c r="F137" s="9" t="s">
        <v>67</v>
      </c>
      <c r="G137" s="7">
        <v>93337468928</v>
      </c>
      <c r="H137" s="6">
        <v>35.6</v>
      </c>
      <c r="I137" s="6">
        <v>15.7</v>
      </c>
      <c r="J137" s="12">
        <f t="shared" si="4"/>
        <v>1.2191082802547775</v>
      </c>
      <c r="K137" s="11">
        <v>8.6107921928817444E-3</v>
      </c>
      <c r="M137" s="13">
        <v>2571093000</v>
      </c>
      <c r="N137" s="9" t="s">
        <v>71</v>
      </c>
      <c r="O137" s="6">
        <v>7.6923076923076916</v>
      </c>
    </row>
    <row r="138" spans="2:18" x14ac:dyDescent="0.5">
      <c r="B138" s="1" t="s">
        <v>439</v>
      </c>
      <c r="C138" t="s">
        <v>443</v>
      </c>
      <c r="D138" t="s">
        <v>444</v>
      </c>
      <c r="E138">
        <v>405.6</v>
      </c>
      <c r="F138" s="9" t="s">
        <v>67</v>
      </c>
      <c r="G138" s="7">
        <v>265101557760</v>
      </c>
      <c r="H138" s="6">
        <v>613</v>
      </c>
      <c r="I138" s="6">
        <v>388.2</v>
      </c>
      <c r="J138" s="12">
        <f t="shared" si="4"/>
        <v>4.4822256568779029E-2</v>
      </c>
      <c r="K138" s="11">
        <v>0</v>
      </c>
      <c r="M138" s="13">
        <v>182117000000</v>
      </c>
      <c r="N138" s="9" t="s">
        <v>50</v>
      </c>
      <c r="O138" s="6">
        <v>1.0989010989010988</v>
      </c>
    </row>
    <row r="139" spans="2:18" x14ac:dyDescent="0.5">
      <c r="B139" s="1" t="s">
        <v>259</v>
      </c>
      <c r="C139" t="s">
        <v>308</v>
      </c>
      <c r="D139" t="s">
        <v>238</v>
      </c>
      <c r="E139">
        <v>7.32</v>
      </c>
      <c r="F139" s="9" t="s">
        <v>67</v>
      </c>
      <c r="G139" s="7">
        <v>96754540544</v>
      </c>
      <c r="H139" s="6">
        <v>9.8000000000000007</v>
      </c>
      <c r="I139" s="6">
        <v>7.1</v>
      </c>
      <c r="J139" s="12">
        <f t="shared" si="4"/>
        <v>3.0985915492957927E-2</v>
      </c>
      <c r="K139" s="11">
        <v>7.7868852459016397E-3</v>
      </c>
      <c r="M139" s="13">
        <v>10278000000</v>
      </c>
      <c r="N139" s="9" t="s">
        <v>71</v>
      </c>
      <c r="O139" s="6">
        <v>7.6923076923076916</v>
      </c>
    </row>
    <row r="140" spans="2:18" x14ac:dyDescent="0.5">
      <c r="B140" s="1" t="s">
        <v>781</v>
      </c>
      <c r="C140" t="s">
        <v>784</v>
      </c>
      <c r="D140" t="s">
        <v>785</v>
      </c>
      <c r="E140">
        <v>182.4</v>
      </c>
      <c r="F140" s="9" t="s">
        <v>67</v>
      </c>
      <c r="G140" s="7">
        <v>587778228224</v>
      </c>
      <c r="H140" s="6">
        <v>248</v>
      </c>
      <c r="I140" s="6">
        <v>131.9</v>
      </c>
      <c r="J140" s="12">
        <f t="shared" si="4"/>
        <v>0.3828658074298712</v>
      </c>
      <c r="K140" s="11">
        <v>2.2817982456140348E-2</v>
      </c>
      <c r="M140" s="13">
        <v>150918654000</v>
      </c>
      <c r="N140" s="9" t="s">
        <v>50</v>
      </c>
      <c r="O140" s="6">
        <v>1.0989010989010988</v>
      </c>
    </row>
    <row r="141" spans="2:18" x14ac:dyDescent="0.5">
      <c r="B141" s="1" t="s">
        <v>126</v>
      </c>
      <c r="C141" t="s">
        <v>169</v>
      </c>
      <c r="D141" t="s">
        <v>96</v>
      </c>
      <c r="E141">
        <v>12.16</v>
      </c>
      <c r="F141" s="9" t="s">
        <v>67</v>
      </c>
      <c r="G141" s="7">
        <v>92175974400</v>
      </c>
      <c r="H141" s="6">
        <v>12.95</v>
      </c>
      <c r="I141" s="6">
        <v>10.08</v>
      </c>
      <c r="J141" s="12">
        <f t="shared" si="4"/>
        <v>0.20634920634920628</v>
      </c>
      <c r="K141" s="11">
        <v>6.7269736842105257E-2</v>
      </c>
      <c r="M141" s="13">
        <v>79588000000</v>
      </c>
      <c r="N141" s="9" t="s">
        <v>67</v>
      </c>
      <c r="O141" s="6">
        <v>1</v>
      </c>
    </row>
    <row r="142" spans="2:18" x14ac:dyDescent="0.5">
      <c r="B142" s="1" t="s">
        <v>200</v>
      </c>
      <c r="C142" t="s">
        <v>226</v>
      </c>
      <c r="D142" t="s">
        <v>227</v>
      </c>
      <c r="E142">
        <v>6.92</v>
      </c>
      <c r="F142" s="9" t="s">
        <v>67</v>
      </c>
      <c r="G142" s="7">
        <v>685049905152</v>
      </c>
      <c r="H142" s="6">
        <v>7.62</v>
      </c>
      <c r="I142" s="6">
        <v>6.28</v>
      </c>
      <c r="J142" s="12">
        <f t="shared" si="4"/>
        <v>0.10191082802547768</v>
      </c>
      <c r="K142" s="11">
        <v>7.7312138728323709E-2</v>
      </c>
      <c r="M142" s="13">
        <v>2314289000000</v>
      </c>
      <c r="N142" s="9" t="s">
        <v>50</v>
      </c>
      <c r="O142" s="6">
        <v>1.0989010989010988</v>
      </c>
    </row>
    <row r="143" spans="2:18" x14ac:dyDescent="0.5">
      <c r="B143" s="1" t="s">
        <v>202</v>
      </c>
      <c r="C143" t="s">
        <v>229</v>
      </c>
      <c r="D143" t="s">
        <v>225</v>
      </c>
      <c r="E143">
        <v>4.9400000000000004</v>
      </c>
      <c r="F143" s="9" t="s">
        <v>67</v>
      </c>
      <c r="G143" s="7">
        <v>668176941056</v>
      </c>
      <c r="H143" s="6">
        <v>5.95</v>
      </c>
      <c r="I143" s="6">
        <v>4.3600000000000003</v>
      </c>
      <c r="J143" s="12">
        <f t="shared" si="4"/>
        <v>0.1330275229357798</v>
      </c>
      <c r="K143" s="11">
        <v>4.7975708502024282E-2</v>
      </c>
      <c r="M143" s="13">
        <v>1271649000000</v>
      </c>
      <c r="N143" s="9" t="s">
        <v>50</v>
      </c>
      <c r="O143" s="6">
        <v>1.0989010989010988</v>
      </c>
    </row>
    <row r="144" spans="2:18" x14ac:dyDescent="0.5">
      <c r="B144" s="1" t="s">
        <v>201</v>
      </c>
      <c r="C144" t="s">
        <v>228</v>
      </c>
      <c r="D144" t="s">
        <v>227</v>
      </c>
      <c r="E144">
        <v>6.6</v>
      </c>
      <c r="F144" s="9" t="s">
        <v>67</v>
      </c>
      <c r="G144" s="7">
        <v>2949065998336</v>
      </c>
      <c r="H144" s="6">
        <v>6.66</v>
      </c>
      <c r="I144" s="6">
        <v>4.8600000000000003</v>
      </c>
      <c r="J144" s="12">
        <f t="shared" si="4"/>
        <v>0.3580246913580245</v>
      </c>
      <c r="K144" s="11">
        <v>4.6363636363636364E-2</v>
      </c>
      <c r="M144" s="13">
        <v>6434377000000</v>
      </c>
      <c r="N144" s="9" t="s">
        <v>50</v>
      </c>
      <c r="O144" s="6">
        <v>1.0989010989010988</v>
      </c>
    </row>
    <row r="145" spans="2:15" x14ac:dyDescent="0.5">
      <c r="B145" s="1" t="s">
        <v>203</v>
      </c>
      <c r="C145" t="s">
        <v>230</v>
      </c>
      <c r="D145" t="s">
        <v>227</v>
      </c>
      <c r="E145">
        <v>8.08</v>
      </c>
      <c r="F145" s="9" t="s">
        <v>67</v>
      </c>
      <c r="G145" s="7">
        <v>2165826125824</v>
      </c>
      <c r="H145" s="6">
        <v>8.56</v>
      </c>
      <c r="I145" s="6">
        <v>6.02</v>
      </c>
      <c r="J145" s="12">
        <f t="shared" si="4"/>
        <v>0.34219269102990046</v>
      </c>
      <c r="K145" s="11">
        <v>4.8514851485148516E-2</v>
      </c>
      <c r="M145" s="13">
        <v>6128626000000</v>
      </c>
      <c r="N145" s="9" t="s">
        <v>50</v>
      </c>
      <c r="O145" s="6">
        <v>1.0989010989010988</v>
      </c>
    </row>
    <row r="146" spans="2:15" x14ac:dyDescent="0.5">
      <c r="B146" s="1" t="s">
        <v>204</v>
      </c>
      <c r="C146" t="s">
        <v>231</v>
      </c>
      <c r="D146" t="s">
        <v>225</v>
      </c>
      <c r="E146">
        <v>7.37</v>
      </c>
      <c r="F146" s="9" t="s">
        <v>67</v>
      </c>
      <c r="G146" s="7">
        <v>483278782464</v>
      </c>
      <c r="H146" s="6">
        <v>8.1199999999999992</v>
      </c>
      <c r="I146" s="6">
        <v>5.44</v>
      </c>
      <c r="J146" s="12">
        <f t="shared" si="4"/>
        <v>0.35477941176470584</v>
      </c>
      <c r="K146" s="11">
        <v>4.85753052917232E-2</v>
      </c>
      <c r="M146" s="13">
        <v>2066897000000</v>
      </c>
      <c r="N146" s="9" t="s">
        <v>50</v>
      </c>
      <c r="O146" s="6">
        <v>1.0989010989010988</v>
      </c>
    </row>
    <row r="147" spans="2:15" x14ac:dyDescent="0.5">
      <c r="B147" s="1" t="s">
        <v>199</v>
      </c>
      <c r="C147" t="s">
        <v>224</v>
      </c>
      <c r="D147" t="s">
        <v>225</v>
      </c>
      <c r="E147">
        <v>41.22</v>
      </c>
      <c r="F147" s="9" t="s">
        <v>67</v>
      </c>
      <c r="G147" s="7">
        <v>435810041856</v>
      </c>
      <c r="H147" s="6">
        <v>44.9</v>
      </c>
      <c r="I147" s="6">
        <v>27.75</v>
      </c>
      <c r="J147" s="12">
        <f t="shared" si="4"/>
        <v>0.48540540540540533</v>
      </c>
      <c r="K147" s="11">
        <v>4.8495875788452214E-2</v>
      </c>
      <c r="M147" s="13">
        <v>415994000000</v>
      </c>
      <c r="N147" s="9" t="s">
        <v>67</v>
      </c>
      <c r="O147" s="6">
        <v>1</v>
      </c>
    </row>
    <row r="148" spans="2:15" x14ac:dyDescent="0.5">
      <c r="B148" s="1" t="s">
        <v>795</v>
      </c>
      <c r="C148" t="s">
        <v>798</v>
      </c>
      <c r="D148" t="s">
        <v>65</v>
      </c>
      <c r="E148">
        <v>12.35</v>
      </c>
      <c r="F148" s="9" t="s">
        <v>67</v>
      </c>
      <c r="G148" s="7">
        <v>33240367104</v>
      </c>
      <c r="H148" s="6">
        <v>14.8</v>
      </c>
      <c r="I148" s="6">
        <v>10.6</v>
      </c>
      <c r="J148" s="12">
        <f t="shared" si="4"/>
        <v>0.16509433962264142</v>
      </c>
      <c r="K148" s="11">
        <v>0</v>
      </c>
      <c r="N148" s="9" t="s">
        <v>50</v>
      </c>
      <c r="O148" s="6">
        <v>1.0989010989010988</v>
      </c>
    </row>
    <row r="149" spans="2:15" x14ac:dyDescent="0.5">
      <c r="B149" s="1" t="s">
        <v>950</v>
      </c>
    </row>
  </sheetData>
  <autoFilter ref="B1:R18" xr:uid="{7A9EDF16-08C4-B24B-A5E4-CFD78B458569}">
    <sortState xmlns:xlrd2="http://schemas.microsoft.com/office/spreadsheetml/2017/richdata2" ref="B2:R148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8"/>
  <sheetViews>
    <sheetView topLeftCell="A15" zoomScale="83" zoomScaleNormal="100" workbookViewId="0">
      <selection activeCell="D7" sqref="D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57</v>
      </c>
      <c r="D2" t="s">
        <v>58</v>
      </c>
      <c r="E2">
        <v>102.4</v>
      </c>
      <c r="F2" s="9" t="s">
        <v>50</v>
      </c>
      <c r="G2" s="7">
        <v>397476659200</v>
      </c>
      <c r="H2" s="6">
        <v>137.18</v>
      </c>
      <c r="I2" s="6">
        <v>100.5</v>
      </c>
      <c r="J2" s="12">
        <f t="shared" ref="J2:J33" si="0">E2/I2-1</f>
        <v>1.8905472636816079E-2</v>
      </c>
      <c r="K2" s="11">
        <v>5.6123046874999999E-2</v>
      </c>
      <c r="L2" s="13">
        <v>44203762134.690002</v>
      </c>
      <c r="M2" s="13">
        <v>133285282015.97</v>
      </c>
      <c r="N2" s="9" t="s">
        <v>50</v>
      </c>
      <c r="O2" s="6">
        <v>1</v>
      </c>
      <c r="P2" s="12">
        <v>0.16318556706266382</v>
      </c>
      <c r="Q2" s="12">
        <v>0.33164773684009302</v>
      </c>
      <c r="R2" s="14">
        <v>1</v>
      </c>
    </row>
    <row r="3" spans="2:22" x14ac:dyDescent="0.5">
      <c r="B3" s="1" t="s">
        <v>495</v>
      </c>
      <c r="C3" t="s">
        <v>532</v>
      </c>
      <c r="D3" t="s">
        <v>76</v>
      </c>
      <c r="E3">
        <v>15.83</v>
      </c>
      <c r="F3" s="9" t="s">
        <v>50</v>
      </c>
      <c r="G3" s="7">
        <v>242833326080</v>
      </c>
      <c r="H3" s="6">
        <v>16.98</v>
      </c>
      <c r="I3" s="6">
        <v>12.74</v>
      </c>
      <c r="J3" s="12">
        <f t="shared" si="0"/>
        <v>0.24254317111459978</v>
      </c>
      <c r="K3" s="11">
        <v>6.3171193935565376E-2</v>
      </c>
      <c r="L3" s="13">
        <v>70144988000</v>
      </c>
      <c r="M3" s="13">
        <v>269343749000</v>
      </c>
      <c r="N3" s="9" t="s">
        <v>50</v>
      </c>
      <c r="O3" s="6">
        <v>1</v>
      </c>
      <c r="P3" s="12">
        <v>0.52010675798929351</v>
      </c>
      <c r="Q3" s="12">
        <v>0.26042924055386191</v>
      </c>
      <c r="R3" s="14">
        <v>2</v>
      </c>
    </row>
    <row r="4" spans="2:22" x14ac:dyDescent="0.5">
      <c r="B4" s="1" t="s">
        <v>794</v>
      </c>
      <c r="C4" t="s">
        <v>797</v>
      </c>
      <c r="D4" t="s">
        <v>58</v>
      </c>
      <c r="E4">
        <v>105.2</v>
      </c>
      <c r="F4" s="9" t="s">
        <v>50</v>
      </c>
      <c r="G4" s="7">
        <v>154848296960</v>
      </c>
      <c r="H4" s="6">
        <v>145.88</v>
      </c>
      <c r="I4" s="6">
        <v>103</v>
      </c>
      <c r="J4" s="12">
        <f t="shared" si="0"/>
        <v>2.1359223300970953E-2</v>
      </c>
      <c r="K4" s="11">
        <v>5.6558935361216728E-2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0.14145568074652534</v>
      </c>
      <c r="Q4" s="12">
        <v>0.34488844544104241</v>
      </c>
      <c r="R4" s="14">
        <v>3</v>
      </c>
    </row>
    <row r="5" spans="2:22" x14ac:dyDescent="0.5">
      <c r="B5" s="1" t="s">
        <v>345</v>
      </c>
      <c r="C5" t="s">
        <v>366</v>
      </c>
      <c r="D5" t="s">
        <v>238</v>
      </c>
      <c r="E5">
        <v>57.18</v>
      </c>
      <c r="F5" s="9" t="s">
        <v>50</v>
      </c>
      <c r="G5" s="7">
        <v>27673473024</v>
      </c>
      <c r="H5" s="6">
        <v>60.5</v>
      </c>
      <c r="I5" s="6">
        <v>51.7</v>
      </c>
      <c r="J5" s="12">
        <f t="shared" si="0"/>
        <v>0.10599613152804643</v>
      </c>
      <c r="K5" s="11">
        <v>4.372158097236796E-2</v>
      </c>
      <c r="L5" s="13">
        <v>3247077874.9200001</v>
      </c>
      <c r="M5" s="13">
        <v>1377010188.6800001</v>
      </c>
      <c r="N5" s="9" t="s">
        <v>50</v>
      </c>
      <c r="O5" s="6">
        <v>1</v>
      </c>
      <c r="P5" s="12">
        <v>0.12010144322360335</v>
      </c>
      <c r="Q5" s="12">
        <v>2.3580637976489078</v>
      </c>
      <c r="R5" s="14">
        <v>4</v>
      </c>
    </row>
    <row r="6" spans="2:22" x14ac:dyDescent="0.5">
      <c r="B6" s="1" t="s">
        <v>344</v>
      </c>
      <c r="C6" t="s">
        <v>364</v>
      </c>
      <c r="D6" t="s">
        <v>365</v>
      </c>
      <c r="E6">
        <v>16.55</v>
      </c>
      <c r="F6" s="9" t="s">
        <v>50</v>
      </c>
      <c r="G6" s="7">
        <v>9538972672</v>
      </c>
      <c r="H6" s="6">
        <v>21.73</v>
      </c>
      <c r="I6" s="6">
        <v>14.43</v>
      </c>
      <c r="J6" s="12">
        <f t="shared" si="0"/>
        <v>0.14691614691614707</v>
      </c>
      <c r="K6" s="11">
        <v>5.4380664652567974E-2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0.13756803749248064</v>
      </c>
      <c r="Q6" s="12">
        <v>0.23555964555041065</v>
      </c>
      <c r="R6" s="14">
        <v>5</v>
      </c>
    </row>
    <row r="7" spans="2:22" x14ac:dyDescent="0.5">
      <c r="B7" s="1" t="s">
        <v>830</v>
      </c>
      <c r="C7" t="s">
        <v>901</v>
      </c>
      <c r="D7" t="s">
        <v>94</v>
      </c>
      <c r="E7">
        <v>45.07</v>
      </c>
      <c r="F7" s="9" t="s">
        <v>50</v>
      </c>
      <c r="G7" s="7">
        <v>52596690944</v>
      </c>
      <c r="H7" s="6">
        <v>65.290000000000006</v>
      </c>
      <c r="I7" s="6">
        <v>44.88</v>
      </c>
      <c r="J7" s="12">
        <f t="shared" si="0"/>
        <v>4.2335115864526873E-3</v>
      </c>
      <c r="K7" s="11">
        <v>0</v>
      </c>
      <c r="L7" s="13">
        <v>4990122517.3000002</v>
      </c>
      <c r="M7" s="13">
        <v>17719826428.540001</v>
      </c>
      <c r="N7" s="9" t="s">
        <v>50</v>
      </c>
      <c r="O7" s="6">
        <v>1</v>
      </c>
      <c r="P7" s="12">
        <v>0.1049899313232958</v>
      </c>
      <c r="Q7" s="12">
        <v>0.28161238133025857</v>
      </c>
      <c r="R7" s="14">
        <v>6</v>
      </c>
    </row>
    <row r="8" spans="2:22" x14ac:dyDescent="0.5">
      <c r="B8" s="1" t="s">
        <v>793</v>
      </c>
      <c r="C8" t="s">
        <v>796</v>
      </c>
      <c r="D8" t="s">
        <v>58</v>
      </c>
      <c r="E8">
        <v>153.86000000000001</v>
      </c>
      <c r="F8" s="9" t="s">
        <v>50</v>
      </c>
      <c r="G8" s="7">
        <v>187703689216</v>
      </c>
      <c r="H8" s="6">
        <v>223.93</v>
      </c>
      <c r="I8" s="6">
        <v>153.86000000000001</v>
      </c>
      <c r="J8" s="12">
        <f t="shared" si="0"/>
        <v>0</v>
      </c>
      <c r="K8" s="11">
        <v>2.3397894189522941E-2</v>
      </c>
      <c r="L8" s="13">
        <v>16562531526.059999</v>
      </c>
      <c r="M8" s="13">
        <v>34753830416.040001</v>
      </c>
      <c r="N8" s="9" t="s">
        <v>50</v>
      </c>
      <c r="O8" s="6">
        <v>1</v>
      </c>
      <c r="P8" s="12">
        <v>9.1020452871077837E-2</v>
      </c>
      <c r="Q8" s="12">
        <v>0.4765670813199302</v>
      </c>
      <c r="R8" s="14">
        <v>7</v>
      </c>
    </row>
    <row r="9" spans="2:22" x14ac:dyDescent="0.5">
      <c r="B9" s="1" t="s">
        <v>348</v>
      </c>
      <c r="C9" t="s">
        <v>369</v>
      </c>
      <c r="D9" t="s">
        <v>58</v>
      </c>
      <c r="E9">
        <v>50.36</v>
      </c>
      <c r="F9" s="9" t="s">
        <v>50</v>
      </c>
      <c r="G9" s="7">
        <v>75864571904</v>
      </c>
      <c r="H9" s="6">
        <v>77.5</v>
      </c>
      <c r="I9" s="6">
        <v>50.14</v>
      </c>
      <c r="J9" s="12">
        <f t="shared" si="0"/>
        <v>4.3877143996808865E-3</v>
      </c>
      <c r="K9" s="11">
        <v>4.60087370929309E-2</v>
      </c>
      <c r="L9" s="13">
        <v>9147980437.1399994</v>
      </c>
      <c r="M9" s="13">
        <v>51588243128.650002</v>
      </c>
      <c r="N9" s="9" t="s">
        <v>50</v>
      </c>
      <c r="O9" s="6">
        <v>1</v>
      </c>
      <c r="P9" s="12">
        <v>0.16884424032819015</v>
      </c>
      <c r="Q9" s="12">
        <v>0.177326845853752</v>
      </c>
      <c r="R9" s="14">
        <v>8</v>
      </c>
    </row>
    <row r="10" spans="2:22" x14ac:dyDescent="0.5">
      <c r="B10" s="1" t="s">
        <v>827</v>
      </c>
      <c r="C10" t="s">
        <v>898</v>
      </c>
      <c r="D10" t="s">
        <v>53</v>
      </c>
      <c r="E10">
        <v>44.57</v>
      </c>
      <c r="F10" s="9" t="s">
        <v>50</v>
      </c>
      <c r="G10" s="7">
        <v>35731300352</v>
      </c>
      <c r="H10" s="6">
        <v>60.18</v>
      </c>
      <c r="I10" s="6">
        <v>42.55</v>
      </c>
      <c r="J10" s="12">
        <f t="shared" si="0"/>
        <v>4.7473560517038882E-2</v>
      </c>
      <c r="K10" s="11">
        <v>0</v>
      </c>
      <c r="L10" s="13">
        <v>2734724106.6999998</v>
      </c>
      <c r="M10" s="13">
        <v>6424414343.6899996</v>
      </c>
      <c r="N10" s="9" t="s">
        <v>50</v>
      </c>
      <c r="O10" s="6">
        <v>1</v>
      </c>
      <c r="P10" s="12">
        <v>8.1678150633212487E-2</v>
      </c>
      <c r="Q10" s="12">
        <v>0.42567679486395837</v>
      </c>
      <c r="R10" s="14">
        <v>9</v>
      </c>
    </row>
    <row r="11" spans="2:22" x14ac:dyDescent="0.5">
      <c r="B11" s="1" t="s">
        <v>510</v>
      </c>
      <c r="C11" t="s">
        <v>549</v>
      </c>
      <c r="D11" t="s">
        <v>96</v>
      </c>
      <c r="E11">
        <v>4.6900000000000004</v>
      </c>
      <c r="F11" s="9" t="s">
        <v>50</v>
      </c>
      <c r="G11" s="7">
        <v>146630164480</v>
      </c>
      <c r="H11" s="6">
        <v>5.95</v>
      </c>
      <c r="I11" s="6">
        <v>4.68</v>
      </c>
      <c r="J11" s="12">
        <f t="shared" si="0"/>
        <v>2.1367521367523512E-3</v>
      </c>
      <c r="K11" s="11">
        <v>3.4968017057569294E-2</v>
      </c>
      <c r="L11" s="13">
        <v>26523300650</v>
      </c>
      <c r="M11" s="13">
        <v>173485155654</v>
      </c>
      <c r="N11" s="9" t="s">
        <v>50</v>
      </c>
      <c r="O11" s="6">
        <v>1</v>
      </c>
      <c r="P11" s="12">
        <v>0.19811863927257525</v>
      </c>
      <c r="Q11" s="12">
        <v>0.15288513043097621</v>
      </c>
      <c r="R11" s="14">
        <v>10</v>
      </c>
    </row>
    <row r="12" spans="2:22" x14ac:dyDescent="0.5">
      <c r="B12" s="1" t="s">
        <v>848</v>
      </c>
      <c r="C12" t="s">
        <v>920</v>
      </c>
      <c r="D12" t="s">
        <v>81</v>
      </c>
      <c r="E12">
        <v>24.18</v>
      </c>
      <c r="F12" s="9" t="s">
        <v>50</v>
      </c>
      <c r="G12" s="7">
        <v>31671257088</v>
      </c>
      <c r="H12" s="6">
        <v>31.43</v>
      </c>
      <c r="I12" s="6">
        <v>15.91</v>
      </c>
      <c r="J12" s="12">
        <f t="shared" si="0"/>
        <v>0.51979886863607794</v>
      </c>
      <c r="K12" s="11">
        <v>2.8949545078577336E-2</v>
      </c>
      <c r="L12" s="13">
        <v>2479639074.9099998</v>
      </c>
      <c r="M12" s="13">
        <v>10550354517.950001</v>
      </c>
      <c r="N12" s="9" t="s">
        <v>50</v>
      </c>
      <c r="O12" s="6">
        <v>1</v>
      </c>
      <c r="P12" s="12">
        <v>8.632789845650983E-2</v>
      </c>
      <c r="Q12" s="12">
        <v>0.23502898131918026</v>
      </c>
      <c r="R12" s="14">
        <v>11</v>
      </c>
    </row>
    <row r="13" spans="2:22" x14ac:dyDescent="0.5">
      <c r="B13" s="1" t="s">
        <v>817</v>
      </c>
      <c r="C13" t="s">
        <v>887</v>
      </c>
      <c r="D13" t="s">
        <v>294</v>
      </c>
      <c r="E13">
        <v>17.55</v>
      </c>
      <c r="F13" s="9" t="s">
        <v>50</v>
      </c>
      <c r="G13" s="7">
        <v>377311657984</v>
      </c>
      <c r="H13" s="6">
        <v>28.78</v>
      </c>
      <c r="I13" s="6">
        <v>5.91</v>
      </c>
      <c r="J13" s="12">
        <f t="shared" si="0"/>
        <v>1.969543147208122</v>
      </c>
      <c r="K13" s="11">
        <v>1.452991452991453E-2</v>
      </c>
      <c r="L13" s="13">
        <v>29168443138.220001</v>
      </c>
      <c r="M13" s="13">
        <v>100996030941.41</v>
      </c>
      <c r="N13" s="9" t="s">
        <v>50</v>
      </c>
      <c r="O13" s="6">
        <v>1</v>
      </c>
      <c r="P13" s="12">
        <v>7.7342669039941234E-2</v>
      </c>
      <c r="Q13" s="12">
        <v>0.2888078161719172</v>
      </c>
      <c r="R13" s="14">
        <v>11</v>
      </c>
    </row>
    <row r="14" spans="2:22" x14ac:dyDescent="0.5">
      <c r="B14" s="1" t="s">
        <v>832</v>
      </c>
      <c r="C14" t="s">
        <v>903</v>
      </c>
      <c r="D14" t="s">
        <v>87</v>
      </c>
      <c r="E14">
        <v>25.4</v>
      </c>
      <c r="F14" s="9" t="s">
        <v>50</v>
      </c>
      <c r="G14" s="7">
        <v>23392647168</v>
      </c>
      <c r="H14" s="6">
        <v>36</v>
      </c>
      <c r="I14" s="6">
        <v>25.09</v>
      </c>
      <c r="J14" s="12">
        <f t="shared" si="0"/>
        <v>1.2355520127540709E-2</v>
      </c>
      <c r="K14" s="11">
        <v>3.937007874015748E-2</v>
      </c>
      <c r="L14" s="13">
        <v>1848589002.6800001</v>
      </c>
      <c r="M14" s="13">
        <v>9256920342.9599991</v>
      </c>
      <c r="N14" s="9" t="s">
        <v>50</v>
      </c>
      <c r="O14" s="6">
        <v>1</v>
      </c>
      <c r="P14" s="12">
        <v>9.6375054830396406E-2</v>
      </c>
      <c r="Q14" s="12">
        <v>0.1996980566097098</v>
      </c>
      <c r="R14" s="14">
        <v>12</v>
      </c>
    </row>
    <row r="15" spans="2:22" x14ac:dyDescent="0.5">
      <c r="B15" s="1" t="s">
        <v>507</v>
      </c>
      <c r="C15" t="s">
        <v>545</v>
      </c>
      <c r="D15" t="s">
        <v>546</v>
      </c>
      <c r="E15">
        <v>11.53</v>
      </c>
      <c r="F15" s="9" t="s">
        <v>50</v>
      </c>
      <c r="G15" s="7">
        <v>197796823040</v>
      </c>
      <c r="H15" s="6">
        <v>15.85</v>
      </c>
      <c r="I15" s="6">
        <v>5.96</v>
      </c>
      <c r="J15" s="12">
        <f t="shared" si="0"/>
        <v>0.93456375838926165</v>
      </c>
      <c r="K15" s="11">
        <v>1.170858629661752E-2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9.6134101359889493E-2</v>
      </c>
      <c r="Q15" s="12">
        <v>0.19802990067151485</v>
      </c>
      <c r="R15" s="14">
        <v>13</v>
      </c>
    </row>
    <row r="16" spans="2:22" x14ac:dyDescent="0.5">
      <c r="B16" s="1" t="s">
        <v>831</v>
      </c>
      <c r="C16" t="s">
        <v>902</v>
      </c>
      <c r="D16" t="s">
        <v>236</v>
      </c>
      <c r="E16">
        <v>42.52</v>
      </c>
      <c r="F16" s="9" t="s">
        <v>50</v>
      </c>
      <c r="G16" s="7">
        <v>76872310784</v>
      </c>
      <c r="H16" s="6">
        <v>52.935715000000002</v>
      </c>
      <c r="I16" s="6">
        <v>40.799999999999997</v>
      </c>
      <c r="J16" s="12">
        <f t="shared" si="0"/>
        <v>4.2156862745098111E-2</v>
      </c>
      <c r="K16" s="11">
        <v>4.0310442144872997E-2</v>
      </c>
      <c r="L16" s="13">
        <v>5098098840.4899998</v>
      </c>
      <c r="M16" s="13">
        <v>16148779445.83</v>
      </c>
      <c r="N16" s="9" t="s">
        <v>50</v>
      </c>
      <c r="O16" s="6">
        <v>1</v>
      </c>
      <c r="P16" s="12">
        <v>7.0643514744447675E-2</v>
      </c>
      <c r="Q16" s="12">
        <v>0.31569561387541584</v>
      </c>
      <c r="R16" s="14">
        <v>14</v>
      </c>
    </row>
    <row r="17" spans="2:18" x14ac:dyDescent="0.5">
      <c r="B17" s="1" t="s">
        <v>487</v>
      </c>
      <c r="C17" t="s">
        <v>521</v>
      </c>
      <c r="D17" t="s">
        <v>78</v>
      </c>
      <c r="E17">
        <v>49.55</v>
      </c>
      <c r="F17" s="9" t="s">
        <v>50</v>
      </c>
      <c r="G17" s="7">
        <v>1052034072576</v>
      </c>
      <c r="H17" s="6">
        <v>49.9</v>
      </c>
      <c r="I17" s="6">
        <v>36.67</v>
      </c>
      <c r="J17" s="12">
        <f t="shared" si="0"/>
        <v>0.35124079629124605</v>
      </c>
      <c r="K17" s="11">
        <v>6.538849646821393E-2</v>
      </c>
      <c r="L17" s="13">
        <v>88468000000</v>
      </c>
      <c r="M17" s="13">
        <v>456835000000</v>
      </c>
      <c r="N17" s="9" t="s">
        <v>50</v>
      </c>
      <c r="O17" s="6">
        <v>1</v>
      </c>
      <c r="P17" s="12">
        <v>9.2832319079485456E-2</v>
      </c>
      <c r="Q17" s="12">
        <v>0.19365416397605262</v>
      </c>
      <c r="R17" s="14">
        <v>15</v>
      </c>
    </row>
    <row r="18" spans="2:18" x14ac:dyDescent="0.5">
      <c r="B18" s="1" t="s">
        <v>856</v>
      </c>
      <c r="C18" t="s">
        <v>926</v>
      </c>
      <c r="D18" t="s">
        <v>927</v>
      </c>
      <c r="E18">
        <v>6.65</v>
      </c>
      <c r="F18" s="9" t="s">
        <v>50</v>
      </c>
      <c r="G18" s="7">
        <v>96040632320</v>
      </c>
      <c r="H18" s="6">
        <v>8.76</v>
      </c>
      <c r="I18" s="6">
        <v>6.36</v>
      </c>
      <c r="J18" s="12">
        <f t="shared" si="0"/>
        <v>4.5597484276729494E-2</v>
      </c>
      <c r="K18" s="11">
        <v>5.7142857142857141E-2</v>
      </c>
      <c r="L18" s="13">
        <v>6174054517.6599998</v>
      </c>
      <c r="M18" s="13">
        <v>17128919583.290001</v>
      </c>
      <c r="N18" s="9" t="s">
        <v>50</v>
      </c>
      <c r="O18" s="6">
        <v>1</v>
      </c>
      <c r="P18" s="12">
        <v>6.4677430536371913E-2</v>
      </c>
      <c r="Q18" s="12">
        <v>0.36044623174499901</v>
      </c>
      <c r="R18" s="14">
        <v>16</v>
      </c>
    </row>
    <row r="19" spans="2:18" x14ac:dyDescent="0.5">
      <c r="B19" s="1" t="s">
        <v>13</v>
      </c>
      <c r="C19" t="s">
        <v>59</v>
      </c>
      <c r="D19" t="s">
        <v>60</v>
      </c>
      <c r="E19">
        <v>10.88</v>
      </c>
      <c r="F19" s="9" t="s">
        <v>50</v>
      </c>
      <c r="G19" s="7">
        <v>19540480000</v>
      </c>
      <c r="H19" s="6">
        <v>15.58</v>
      </c>
      <c r="I19" s="6">
        <v>10.44</v>
      </c>
      <c r="J19" s="12">
        <f t="shared" si="0"/>
        <v>4.2145593869731934E-2</v>
      </c>
      <c r="K19" s="11">
        <v>5.0551470588235295E-2</v>
      </c>
      <c r="L19" s="13">
        <v>1789808265.4000001</v>
      </c>
      <c r="M19" s="13">
        <v>15580673812.24</v>
      </c>
      <c r="N19" s="9" t="s">
        <v>50</v>
      </c>
      <c r="O19" s="6">
        <v>1</v>
      </c>
      <c r="P19" s="12">
        <v>0.25080865355616494</v>
      </c>
      <c r="Q19" s="12">
        <v>0.11487361117809598</v>
      </c>
      <c r="R19" s="14">
        <v>17</v>
      </c>
    </row>
    <row r="20" spans="2:18" x14ac:dyDescent="0.5">
      <c r="B20" s="1" t="s">
        <v>350</v>
      </c>
      <c r="C20" t="s">
        <v>371</v>
      </c>
      <c r="D20" t="s">
        <v>85</v>
      </c>
      <c r="E20">
        <v>21.41</v>
      </c>
      <c r="F20" s="9" t="s">
        <v>50</v>
      </c>
      <c r="G20" s="7">
        <v>10830359552</v>
      </c>
      <c r="H20" s="6">
        <v>28.1</v>
      </c>
      <c r="I20" s="6">
        <v>20.87</v>
      </c>
      <c r="J20" s="12">
        <f t="shared" si="0"/>
        <v>2.5874460948730249E-2</v>
      </c>
      <c r="K20" s="11">
        <v>4.6707146193367584E-2</v>
      </c>
      <c r="L20" s="13">
        <v>1139111857.1300001</v>
      </c>
      <c r="M20" s="13">
        <v>7932700024.4300003</v>
      </c>
      <c r="N20" s="9" t="s">
        <v>50</v>
      </c>
      <c r="O20" s="6">
        <v>1</v>
      </c>
      <c r="P20" s="12">
        <v>0.13310165816929134</v>
      </c>
      <c r="Q20" s="12">
        <v>0.14359699139283291</v>
      </c>
      <c r="R20" s="14">
        <v>18</v>
      </c>
    </row>
    <row r="21" spans="2:18" x14ac:dyDescent="0.5">
      <c r="B21" s="1" t="s">
        <v>346</v>
      </c>
      <c r="C21" t="s">
        <v>367</v>
      </c>
      <c r="D21" t="s">
        <v>81</v>
      </c>
      <c r="E21">
        <v>50.1</v>
      </c>
      <c r="F21" s="9" t="s">
        <v>50</v>
      </c>
      <c r="G21" s="7">
        <v>25368027136</v>
      </c>
      <c r="H21" s="6">
        <v>64.599999999999994</v>
      </c>
      <c r="I21" s="6">
        <v>39.03</v>
      </c>
      <c r="J21" s="12">
        <f t="shared" si="0"/>
        <v>0.28362797847809373</v>
      </c>
      <c r="K21" s="11">
        <v>1.9960079840319361E-2</v>
      </c>
      <c r="L21" s="13">
        <v>1949016683.5799999</v>
      </c>
      <c r="M21" s="13">
        <v>10523421872.709999</v>
      </c>
      <c r="N21" s="9" t="s">
        <v>50</v>
      </c>
      <c r="O21" s="6">
        <v>1</v>
      </c>
      <c r="P21" s="12">
        <v>9.1133104714689744E-2</v>
      </c>
      <c r="Q21" s="12">
        <v>0.18520750257426369</v>
      </c>
      <c r="R21" s="14">
        <v>18</v>
      </c>
    </row>
    <row r="22" spans="2:18" x14ac:dyDescent="0.5">
      <c r="B22" s="1" t="s">
        <v>11</v>
      </c>
      <c r="C22" t="s">
        <v>56</v>
      </c>
      <c r="D22" t="s">
        <v>49</v>
      </c>
      <c r="E22">
        <v>10.42</v>
      </c>
      <c r="F22" s="9" t="s">
        <v>50</v>
      </c>
      <c r="G22" s="7">
        <v>17958602752</v>
      </c>
      <c r="H22" s="6">
        <v>12.55</v>
      </c>
      <c r="I22" s="6">
        <v>8.02</v>
      </c>
      <c r="J22" s="12">
        <f t="shared" si="0"/>
        <v>0.29925187032418954</v>
      </c>
      <c r="K22" s="11">
        <v>4.126679462571977E-2</v>
      </c>
      <c r="L22" s="13">
        <v>1541495041.8099999</v>
      </c>
      <c r="M22" s="13">
        <v>11970268017.99</v>
      </c>
      <c r="N22" s="9" t="s">
        <v>50</v>
      </c>
      <c r="O22" s="6">
        <v>1</v>
      </c>
      <c r="P22" s="12">
        <v>0.13981287385715835</v>
      </c>
      <c r="Q22" s="12">
        <v>0.1287769864044232</v>
      </c>
      <c r="R22" s="14">
        <v>18</v>
      </c>
    </row>
    <row r="23" spans="2:18" x14ac:dyDescent="0.5">
      <c r="B23" s="1" t="s">
        <v>485</v>
      </c>
      <c r="C23" t="s">
        <v>519</v>
      </c>
      <c r="D23" t="s">
        <v>233</v>
      </c>
      <c r="E23">
        <v>12.24</v>
      </c>
      <c r="F23" s="9" t="s">
        <v>50</v>
      </c>
      <c r="G23" s="7">
        <v>2240176717824</v>
      </c>
      <c r="H23" s="6">
        <v>13.69</v>
      </c>
      <c r="I23" s="6">
        <v>7.33</v>
      </c>
      <c r="J23" s="12">
        <f t="shared" si="0"/>
        <v>0.669849931787176</v>
      </c>
      <c r="K23" s="11">
        <v>3.8398692810457512E-2</v>
      </c>
      <c r="L23" s="13">
        <v>262233000000</v>
      </c>
      <c r="M23" s="13">
        <v>1659398000000</v>
      </c>
      <c r="N23" s="9" t="s">
        <v>50</v>
      </c>
      <c r="O23" s="6">
        <v>1</v>
      </c>
      <c r="P23" s="12">
        <v>0.11019662328757333</v>
      </c>
      <c r="Q23" s="12">
        <v>0.15802899605760642</v>
      </c>
      <c r="R23" s="14">
        <v>18</v>
      </c>
    </row>
    <row r="24" spans="2:18" x14ac:dyDescent="0.5">
      <c r="B24" s="1" t="s">
        <v>829</v>
      </c>
      <c r="C24" t="s">
        <v>900</v>
      </c>
      <c r="D24" t="s">
        <v>85</v>
      </c>
      <c r="E24">
        <v>28.3</v>
      </c>
      <c r="F24" s="9" t="s">
        <v>50</v>
      </c>
      <c r="G24" s="7">
        <v>98049908736</v>
      </c>
      <c r="H24" s="6">
        <v>28.79</v>
      </c>
      <c r="I24" s="6">
        <v>24.06</v>
      </c>
      <c r="J24" s="12">
        <f t="shared" si="0"/>
        <v>0.17622610141313388</v>
      </c>
      <c r="K24" s="11">
        <v>4.9469964664310952E-2</v>
      </c>
      <c r="L24" s="13">
        <v>6845547752.3999996</v>
      </c>
      <c r="M24" s="13">
        <v>29027023862.98</v>
      </c>
      <c r="N24" s="9" t="s">
        <v>50</v>
      </c>
      <c r="O24" s="6">
        <v>1</v>
      </c>
      <c r="P24" s="12">
        <v>6.8165787690058904E-2</v>
      </c>
      <c r="Q24" s="12">
        <v>0.23583360749327664</v>
      </c>
      <c r="R24" s="14">
        <v>19</v>
      </c>
    </row>
    <row r="25" spans="2:18" x14ac:dyDescent="0.5">
      <c r="B25" s="1" t="s">
        <v>14</v>
      </c>
      <c r="C25" t="s">
        <v>61</v>
      </c>
      <c r="D25" t="s">
        <v>60</v>
      </c>
      <c r="E25">
        <v>13.05</v>
      </c>
      <c r="F25" s="9" t="s">
        <v>50</v>
      </c>
      <c r="G25" s="7">
        <v>13352809472</v>
      </c>
      <c r="H25" s="6">
        <v>14.08</v>
      </c>
      <c r="I25" s="6">
        <v>10.84</v>
      </c>
      <c r="J25" s="12">
        <f t="shared" si="0"/>
        <v>0.20387453874538752</v>
      </c>
      <c r="K25" s="11">
        <v>0</v>
      </c>
      <c r="L25" s="13">
        <v>1324661161.8800001</v>
      </c>
      <c r="M25" s="13">
        <v>11491269147.950001</v>
      </c>
      <c r="N25" s="9" t="s">
        <v>50</v>
      </c>
      <c r="O25" s="6">
        <v>1</v>
      </c>
      <c r="P25" s="12">
        <v>0.16132584871037547</v>
      </c>
      <c r="Q25" s="12">
        <v>0.11527544475940803</v>
      </c>
      <c r="R25" s="14">
        <v>20</v>
      </c>
    </row>
    <row r="26" spans="2:18" x14ac:dyDescent="0.5">
      <c r="B26" s="1" t="s">
        <v>504</v>
      </c>
      <c r="C26" t="s">
        <v>542</v>
      </c>
      <c r="D26" t="s">
        <v>300</v>
      </c>
      <c r="E26">
        <v>8.81</v>
      </c>
      <c r="F26" s="9" t="s">
        <v>50</v>
      </c>
      <c r="G26" s="7">
        <v>53799731200</v>
      </c>
      <c r="H26" s="6">
        <v>10.48</v>
      </c>
      <c r="I26" s="6">
        <v>6.57</v>
      </c>
      <c r="J26" s="12">
        <f t="shared" si="0"/>
        <v>0.34094368340943682</v>
      </c>
      <c r="K26" s="11">
        <v>3.2463110102156634E-2</v>
      </c>
      <c r="L26" s="13">
        <v>7711333496.6800003</v>
      </c>
      <c r="M26" s="13">
        <v>72343923041.960007</v>
      </c>
      <c r="N26" s="9" t="s">
        <v>50</v>
      </c>
      <c r="O26" s="6">
        <v>1</v>
      </c>
      <c r="P26" s="12">
        <v>0.4584439409624928</v>
      </c>
      <c r="Q26" s="12">
        <v>0.10659269185896057</v>
      </c>
      <c r="R26" s="14">
        <v>20</v>
      </c>
    </row>
    <row r="27" spans="2:18" x14ac:dyDescent="0.5">
      <c r="B27" s="1" t="s">
        <v>488</v>
      </c>
      <c r="C27" t="s">
        <v>522</v>
      </c>
      <c r="D27" t="s">
        <v>78</v>
      </c>
      <c r="E27">
        <v>18.559999999999999</v>
      </c>
      <c r="F27" s="9" t="s">
        <v>50</v>
      </c>
      <c r="G27" s="7">
        <v>246080782336</v>
      </c>
      <c r="H27" s="6">
        <v>19.77</v>
      </c>
      <c r="I27" s="6">
        <v>9.42</v>
      </c>
      <c r="J27" s="12">
        <f t="shared" si="0"/>
        <v>0.97027600849256879</v>
      </c>
      <c r="K27" s="11">
        <v>2.2844827586206897E-2</v>
      </c>
      <c r="L27" s="13">
        <v>32866046000</v>
      </c>
      <c r="M27" s="13">
        <v>215280386000</v>
      </c>
      <c r="N27" s="9" t="s">
        <v>50</v>
      </c>
      <c r="O27" s="6">
        <v>1</v>
      </c>
      <c r="P27" s="12">
        <v>0.11710683232982856</v>
      </c>
      <c r="Q27" s="12">
        <v>0.15266623500015464</v>
      </c>
      <c r="R27" s="14">
        <v>20</v>
      </c>
    </row>
    <row r="28" spans="2:18" x14ac:dyDescent="0.5">
      <c r="B28" s="1" t="s">
        <v>804</v>
      </c>
      <c r="C28" t="s">
        <v>872</v>
      </c>
      <c r="D28" t="s">
        <v>314</v>
      </c>
      <c r="E28">
        <v>25.65</v>
      </c>
      <c r="F28" s="9" t="s">
        <v>50</v>
      </c>
      <c r="G28" s="7">
        <v>86405758976</v>
      </c>
      <c r="H28" s="6">
        <v>30</v>
      </c>
      <c r="I28" s="6">
        <v>15.54</v>
      </c>
      <c r="J28" s="12">
        <f t="shared" si="0"/>
        <v>0.6505791505791505</v>
      </c>
      <c r="K28" s="11">
        <v>1.9493177387914232E-2</v>
      </c>
      <c r="L28" s="13">
        <v>8100049523.46</v>
      </c>
      <c r="M28" s="13">
        <v>38942324166.589996</v>
      </c>
      <c r="N28" s="9" t="s">
        <v>50</v>
      </c>
      <c r="O28" s="6">
        <v>1</v>
      </c>
      <c r="P28" s="12">
        <v>7.677583332025055E-2</v>
      </c>
      <c r="Q28" s="12">
        <v>0.20800118372003384</v>
      </c>
      <c r="R28" s="14">
        <v>21</v>
      </c>
    </row>
    <row r="29" spans="2:18" x14ac:dyDescent="0.5">
      <c r="B29" s="1" t="s">
        <v>818</v>
      </c>
      <c r="C29" t="s">
        <v>888</v>
      </c>
      <c r="D29" t="s">
        <v>294</v>
      </c>
      <c r="E29">
        <v>18.940000000000001</v>
      </c>
      <c r="F29" s="9" t="s">
        <v>50</v>
      </c>
      <c r="G29" s="7">
        <v>61111885824</v>
      </c>
      <c r="H29" s="6">
        <v>27.65</v>
      </c>
      <c r="I29" s="6">
        <v>9.16</v>
      </c>
      <c r="J29" s="12">
        <f t="shared" si="0"/>
        <v>1.0676855895196509</v>
      </c>
      <c r="K29" s="11">
        <v>0</v>
      </c>
      <c r="L29" s="13">
        <v>3907802676.0300002</v>
      </c>
      <c r="M29" s="13">
        <v>17012676098.01</v>
      </c>
      <c r="N29" s="9" t="s">
        <v>50</v>
      </c>
      <c r="O29" s="6">
        <v>1</v>
      </c>
      <c r="P29" s="12">
        <v>7.0438025065358234E-2</v>
      </c>
      <c r="Q29" s="12">
        <v>0.22969946959062496</v>
      </c>
      <c r="R29" s="14">
        <v>21</v>
      </c>
    </row>
    <row r="30" spans="2:18" x14ac:dyDescent="0.5">
      <c r="B30" s="1" t="s">
        <v>802</v>
      </c>
      <c r="C30" t="s">
        <v>870</v>
      </c>
      <c r="D30" t="s">
        <v>869</v>
      </c>
      <c r="E30">
        <v>17.22</v>
      </c>
      <c r="F30" s="9" t="s">
        <v>50</v>
      </c>
      <c r="G30" s="7">
        <v>114580627456</v>
      </c>
      <c r="H30" s="6">
        <v>20.21</v>
      </c>
      <c r="I30" s="6">
        <v>15.14</v>
      </c>
      <c r="J30" s="12">
        <f t="shared" si="0"/>
        <v>0.13738441215323638</v>
      </c>
      <c r="K30" s="11">
        <v>0</v>
      </c>
      <c r="L30" s="13">
        <v>10688402137</v>
      </c>
      <c r="M30" s="13">
        <v>55546388453.199997</v>
      </c>
      <c r="N30" s="9" t="s">
        <v>50</v>
      </c>
      <c r="O30" s="6">
        <v>1</v>
      </c>
      <c r="P30" s="12">
        <v>7.8637574080036562E-2</v>
      </c>
      <c r="Q30" s="12">
        <v>0.19242298976836986</v>
      </c>
      <c r="R30" s="14">
        <v>22</v>
      </c>
    </row>
    <row r="31" spans="2:18" x14ac:dyDescent="0.5">
      <c r="B31" s="1" t="s">
        <v>352</v>
      </c>
      <c r="C31" t="s">
        <v>373</v>
      </c>
      <c r="D31" t="s">
        <v>150</v>
      </c>
      <c r="E31">
        <v>20.28</v>
      </c>
      <c r="F31" s="9" t="s">
        <v>50</v>
      </c>
      <c r="G31" s="7">
        <v>20427692032</v>
      </c>
      <c r="H31" s="6">
        <v>23.6</v>
      </c>
      <c r="I31" s="6">
        <v>18.559999999999999</v>
      </c>
      <c r="J31" s="12">
        <f t="shared" si="0"/>
        <v>9.2672413793103647E-2</v>
      </c>
      <c r="K31" s="11">
        <v>5.4240631163708086E-2</v>
      </c>
      <c r="L31" s="13">
        <v>1686709166</v>
      </c>
      <c r="M31" s="13">
        <v>10738080107</v>
      </c>
      <c r="N31" s="9" t="s">
        <v>50</v>
      </c>
      <c r="O31" s="6">
        <v>1</v>
      </c>
      <c r="P31" s="12">
        <v>9.6023660380980397E-2</v>
      </c>
      <c r="Q31" s="12">
        <v>0.15707734987937541</v>
      </c>
      <c r="R31" s="14">
        <v>23</v>
      </c>
    </row>
    <row r="32" spans="2:18" x14ac:dyDescent="0.5">
      <c r="B32" s="1" t="s">
        <v>494</v>
      </c>
      <c r="C32" t="s">
        <v>531</v>
      </c>
      <c r="D32" t="s">
        <v>311</v>
      </c>
      <c r="E32">
        <v>5.78</v>
      </c>
      <c r="F32" s="9" t="s">
        <v>50</v>
      </c>
      <c r="G32" s="7">
        <v>41460948992</v>
      </c>
      <c r="H32" s="6">
        <v>7.95</v>
      </c>
      <c r="I32" s="6">
        <v>4.62</v>
      </c>
      <c r="J32" s="12">
        <f t="shared" si="0"/>
        <v>0.25108225108225102</v>
      </c>
      <c r="K32" s="11">
        <v>5.0173010380622829E-2</v>
      </c>
      <c r="L32" s="13">
        <v>5417853662.29</v>
      </c>
      <c r="M32" s="13">
        <v>48593502362.830002</v>
      </c>
      <c r="N32" s="9" t="s">
        <v>50</v>
      </c>
      <c r="O32" s="6">
        <v>1</v>
      </c>
      <c r="P32" s="12">
        <v>0.13629498032060974</v>
      </c>
      <c r="Q32" s="12">
        <v>0.11149337666251874</v>
      </c>
      <c r="R32" s="14">
        <v>24</v>
      </c>
    </row>
    <row r="33" spans="2:18" x14ac:dyDescent="0.5">
      <c r="B33" s="1" t="s">
        <v>838</v>
      </c>
      <c r="C33" t="s">
        <v>910</v>
      </c>
      <c r="D33" t="s">
        <v>694</v>
      </c>
      <c r="E33">
        <v>25.45</v>
      </c>
      <c r="F33" s="9" t="s">
        <v>50</v>
      </c>
      <c r="G33" s="7">
        <v>43321909248</v>
      </c>
      <c r="H33" s="6">
        <v>30.71</v>
      </c>
      <c r="I33" s="6">
        <v>23.09</v>
      </c>
      <c r="J33" s="12">
        <f t="shared" si="0"/>
        <v>0.1022087483759202</v>
      </c>
      <c r="K33" s="11">
        <v>3.398821218074656E-2</v>
      </c>
      <c r="L33" s="13">
        <v>4042488472.6399999</v>
      </c>
      <c r="M33" s="13">
        <v>26005829053.630001</v>
      </c>
      <c r="N33" s="9" t="s">
        <v>50</v>
      </c>
      <c r="O33" s="6">
        <v>1</v>
      </c>
      <c r="P33" s="12">
        <v>9.1419359584480026E-2</v>
      </c>
      <c r="Q33" s="12">
        <v>0.15544547587017737</v>
      </c>
      <c r="R33" s="14">
        <v>25</v>
      </c>
    </row>
    <row r="34" spans="2:18" x14ac:dyDescent="0.5">
      <c r="B34" s="1" t="s">
        <v>17</v>
      </c>
      <c r="C34" t="s">
        <v>64</v>
      </c>
      <c r="D34" t="s">
        <v>65</v>
      </c>
      <c r="E34">
        <v>11.85</v>
      </c>
      <c r="F34" s="9" t="s">
        <v>50</v>
      </c>
      <c r="G34" s="7">
        <v>4189247744</v>
      </c>
      <c r="H34" s="6">
        <v>15.53</v>
      </c>
      <c r="I34" s="6">
        <v>10.66</v>
      </c>
      <c r="J34" s="12">
        <f t="shared" ref="J34:J65" si="1">E34/I34-1</f>
        <v>0.11163227016885546</v>
      </c>
      <c r="K34" s="11">
        <v>4.0506329113924051E-2</v>
      </c>
      <c r="L34" s="13">
        <v>339663210.94999999</v>
      </c>
      <c r="M34" s="13">
        <v>2751572515.0799999</v>
      </c>
      <c r="N34" s="9" t="s">
        <v>50</v>
      </c>
      <c r="O34" s="6">
        <v>1</v>
      </c>
      <c r="P34" s="12">
        <v>0.1039806472982617</v>
      </c>
      <c r="Q34" s="12">
        <v>0.12344330708657501</v>
      </c>
      <c r="R34" s="14">
        <v>26</v>
      </c>
    </row>
    <row r="35" spans="2:18" x14ac:dyDescent="0.5">
      <c r="B35" s="1" t="s">
        <v>15</v>
      </c>
      <c r="C35" t="s">
        <v>62</v>
      </c>
      <c r="D35" t="s">
        <v>60</v>
      </c>
      <c r="E35">
        <v>9</v>
      </c>
      <c r="F35" s="9" t="s">
        <v>50</v>
      </c>
      <c r="G35" s="7">
        <v>10922852352</v>
      </c>
      <c r="H35" s="6">
        <v>10.07</v>
      </c>
      <c r="I35" s="6">
        <v>8.24</v>
      </c>
      <c r="J35" s="12">
        <f t="shared" si="1"/>
        <v>9.2233009708737823E-2</v>
      </c>
      <c r="K35" s="11">
        <v>4.5555555555555551E-2</v>
      </c>
      <c r="L35" s="13">
        <v>1074859531.29</v>
      </c>
      <c r="M35" s="13">
        <v>9527311896.5100002</v>
      </c>
      <c r="N35" s="9" t="s">
        <v>50</v>
      </c>
      <c r="O35" s="6">
        <v>1</v>
      </c>
      <c r="P35" s="12">
        <v>0.11604738303476289</v>
      </c>
      <c r="Q35" s="12">
        <v>0.1128187617835559</v>
      </c>
      <c r="R35" s="14">
        <v>27</v>
      </c>
    </row>
    <row r="36" spans="2:18" x14ac:dyDescent="0.5">
      <c r="B36" s="1" t="s">
        <v>816</v>
      </c>
      <c r="C36" t="s">
        <v>885</v>
      </c>
      <c r="D36" t="s">
        <v>886</v>
      </c>
      <c r="E36">
        <v>28.88</v>
      </c>
      <c r="F36" s="9" t="s">
        <v>50</v>
      </c>
      <c r="G36" s="7">
        <v>80191733760</v>
      </c>
      <c r="H36" s="6">
        <v>42.29</v>
      </c>
      <c r="I36" s="6">
        <v>16.600000000000001</v>
      </c>
      <c r="J36" s="12">
        <f t="shared" si="1"/>
        <v>0.73975903614457805</v>
      </c>
      <c r="K36" s="11">
        <v>1.662049861495845E-2</v>
      </c>
      <c r="L36" s="13">
        <v>4328860367.5299997</v>
      </c>
      <c r="M36" s="13">
        <v>16110954494.49</v>
      </c>
      <c r="N36" s="9" t="s">
        <v>50</v>
      </c>
      <c r="O36" s="6">
        <v>1</v>
      </c>
      <c r="P36" s="12">
        <v>5.6824142315990735E-2</v>
      </c>
      <c r="Q36" s="12">
        <v>0.26869049682999752</v>
      </c>
      <c r="R36" s="14">
        <v>28</v>
      </c>
    </row>
    <row r="37" spans="2:18" x14ac:dyDescent="0.5">
      <c r="B37" s="1" t="s">
        <v>492</v>
      </c>
      <c r="C37" t="s">
        <v>528</v>
      </c>
      <c r="D37" t="s">
        <v>446</v>
      </c>
      <c r="E37">
        <v>6.32</v>
      </c>
      <c r="F37" s="9" t="s">
        <v>50</v>
      </c>
      <c r="G37" s="7">
        <v>181376827392</v>
      </c>
      <c r="H37" s="6">
        <v>8.23</v>
      </c>
      <c r="I37" s="6">
        <v>6.11</v>
      </c>
      <c r="J37" s="12">
        <f t="shared" si="1"/>
        <v>3.4369885433715108E-2</v>
      </c>
      <c r="K37" s="11">
        <v>5.0632911392405063E-2</v>
      </c>
      <c r="L37" s="13">
        <v>17484674000</v>
      </c>
      <c r="M37" s="13">
        <v>181488019000</v>
      </c>
      <c r="N37" s="9" t="s">
        <v>50</v>
      </c>
      <c r="O37" s="6">
        <v>1</v>
      </c>
      <c r="P37" s="12">
        <v>0.13082801271697003</v>
      </c>
      <c r="Q37" s="12">
        <v>9.6340651555626933E-2</v>
      </c>
      <c r="R37" s="14">
        <v>29</v>
      </c>
    </row>
    <row r="38" spans="2:18" x14ac:dyDescent="0.5">
      <c r="B38" s="1" t="s">
        <v>16</v>
      </c>
      <c r="C38" t="s">
        <v>63</v>
      </c>
      <c r="D38" t="s">
        <v>60</v>
      </c>
      <c r="E38">
        <v>7.76</v>
      </c>
      <c r="F38" s="9" t="s">
        <v>50</v>
      </c>
      <c r="G38" s="7">
        <v>17244446720</v>
      </c>
      <c r="H38" s="6">
        <v>9.3699999999999992</v>
      </c>
      <c r="I38" s="6">
        <v>7.24</v>
      </c>
      <c r="J38" s="12">
        <f t="shared" si="1"/>
        <v>7.182320441988943E-2</v>
      </c>
      <c r="K38" s="11">
        <v>5.1546391752577324E-2</v>
      </c>
      <c r="L38" s="13">
        <v>1357643494.6700001</v>
      </c>
      <c r="M38" s="13">
        <v>13696300546.360001</v>
      </c>
      <c r="N38" s="9" t="s">
        <v>50</v>
      </c>
      <c r="O38" s="6">
        <v>1</v>
      </c>
      <c r="P38" s="12">
        <v>0.12062960205476851</v>
      </c>
      <c r="Q38" s="12">
        <v>9.9124832291360196E-2</v>
      </c>
      <c r="R38" s="14">
        <v>30</v>
      </c>
    </row>
    <row r="39" spans="2:18" x14ac:dyDescent="0.5">
      <c r="B39" s="1" t="s">
        <v>508</v>
      </c>
      <c r="C39" t="s">
        <v>547</v>
      </c>
      <c r="D39" t="s">
        <v>96</v>
      </c>
      <c r="E39">
        <v>96.25</v>
      </c>
      <c r="F39" s="9" t="s">
        <v>50</v>
      </c>
      <c r="G39" s="7">
        <v>2080112115712</v>
      </c>
      <c r="H39" s="6">
        <v>118.68</v>
      </c>
      <c r="I39" s="6">
        <v>91.51</v>
      </c>
      <c r="J39" s="12">
        <f t="shared" si="1"/>
        <v>5.1797617746694335E-2</v>
      </c>
      <c r="K39" s="11">
        <v>5.1449350649350648E-2</v>
      </c>
      <c r="L39" s="13">
        <v>181466000000</v>
      </c>
      <c r="M39" s="13">
        <v>1392032000000</v>
      </c>
      <c r="N39" s="9" t="s">
        <v>50</v>
      </c>
      <c r="O39" s="6">
        <v>1</v>
      </c>
      <c r="P39" s="12">
        <v>9.0676548602312668E-2</v>
      </c>
      <c r="Q39" s="12">
        <v>0.13036050895381715</v>
      </c>
      <c r="R39" s="14">
        <v>31</v>
      </c>
    </row>
    <row r="40" spans="2:18" x14ac:dyDescent="0.5">
      <c r="B40" s="1" t="s">
        <v>8</v>
      </c>
      <c r="C40" t="s">
        <v>48</v>
      </c>
      <c r="D40" t="s">
        <v>49</v>
      </c>
      <c r="E40">
        <v>125.68</v>
      </c>
      <c r="F40" s="9" t="s">
        <v>50</v>
      </c>
      <c r="G40" s="7">
        <v>32564488192</v>
      </c>
      <c r="H40" s="6">
        <v>222.1</v>
      </c>
      <c r="I40" s="6">
        <v>123.57143000000001</v>
      </c>
      <c r="J40" s="12">
        <f t="shared" si="1"/>
        <v>1.7063572057068432E-2</v>
      </c>
      <c r="K40" s="11">
        <v>0</v>
      </c>
      <c r="L40" s="13">
        <v>2107869808</v>
      </c>
      <c r="M40" s="13">
        <v>12869225664</v>
      </c>
      <c r="N40" s="9" t="s">
        <v>50</v>
      </c>
      <c r="O40" s="6">
        <v>1</v>
      </c>
      <c r="P40" s="12">
        <v>6.734842668512013E-2</v>
      </c>
      <c r="Q40" s="12">
        <v>0.16379150253744434</v>
      </c>
      <c r="R40" s="14">
        <v>32</v>
      </c>
    </row>
    <row r="41" spans="2:18" x14ac:dyDescent="0.5">
      <c r="B41" s="1" t="s">
        <v>347</v>
      </c>
      <c r="C41" t="s">
        <v>368</v>
      </c>
      <c r="D41" t="s">
        <v>320</v>
      </c>
      <c r="E41">
        <v>6.72</v>
      </c>
      <c r="F41" s="9" t="s">
        <v>50</v>
      </c>
      <c r="G41" s="7">
        <v>29711505408</v>
      </c>
      <c r="H41" s="6">
        <v>8.7200000000000006</v>
      </c>
      <c r="I41" s="6">
        <v>5.0199999999999996</v>
      </c>
      <c r="J41" s="12">
        <f t="shared" si="1"/>
        <v>0.33864541832669337</v>
      </c>
      <c r="K41" s="11">
        <v>0</v>
      </c>
      <c r="L41" s="13">
        <v>2697498300</v>
      </c>
      <c r="M41" s="13">
        <v>26396524300</v>
      </c>
      <c r="N41" s="9" t="s">
        <v>50</v>
      </c>
      <c r="O41" s="6">
        <v>1</v>
      </c>
      <c r="P41" s="12">
        <v>0.10843652577564003</v>
      </c>
      <c r="Q41" s="12">
        <v>0.10219141995145171</v>
      </c>
      <c r="R41" s="14">
        <v>32</v>
      </c>
    </row>
    <row r="42" spans="2:18" x14ac:dyDescent="0.5">
      <c r="B42" s="1" t="s">
        <v>814</v>
      </c>
      <c r="C42" t="s">
        <v>883</v>
      </c>
      <c r="D42" t="s">
        <v>546</v>
      </c>
      <c r="E42">
        <v>28.38</v>
      </c>
      <c r="F42" s="9" t="s">
        <v>50</v>
      </c>
      <c r="G42" s="7">
        <v>98420629504</v>
      </c>
      <c r="H42" s="6">
        <v>38.229999999999997</v>
      </c>
      <c r="I42" s="6">
        <v>13.47</v>
      </c>
      <c r="J42" s="12">
        <f t="shared" si="1"/>
        <v>1.1069042316258351</v>
      </c>
      <c r="K42" s="11">
        <v>1.7618040873854827E-2</v>
      </c>
      <c r="L42" s="13">
        <v>5972974029</v>
      </c>
      <c r="M42" s="13">
        <v>30685473093.189999</v>
      </c>
      <c r="N42" s="9" t="s">
        <v>50</v>
      </c>
      <c r="O42" s="6">
        <v>1</v>
      </c>
      <c r="P42" s="12">
        <v>6.2816527799993721E-2</v>
      </c>
      <c r="Q42" s="12">
        <v>0.19465152161286303</v>
      </c>
      <c r="R42" s="14">
        <v>33</v>
      </c>
    </row>
    <row r="43" spans="2:18" x14ac:dyDescent="0.5">
      <c r="B43" s="1" t="s">
        <v>479</v>
      </c>
      <c r="C43" t="s">
        <v>513</v>
      </c>
      <c r="D43" t="s">
        <v>300</v>
      </c>
      <c r="E43">
        <v>4.9800000000000004</v>
      </c>
      <c r="F43" s="9" t="s">
        <v>50</v>
      </c>
      <c r="G43" s="7">
        <v>205775552512</v>
      </c>
      <c r="H43" s="6">
        <v>6.2</v>
      </c>
      <c r="I43" s="6">
        <v>4.9000000000000004</v>
      </c>
      <c r="J43" s="12">
        <f t="shared" si="1"/>
        <v>1.6326530612244872E-2</v>
      </c>
      <c r="K43" s="11">
        <v>5.4618473895582331E-2</v>
      </c>
      <c r="L43" s="13">
        <v>101828438000</v>
      </c>
      <c r="M43" s="13">
        <v>1200367605000</v>
      </c>
      <c r="N43" s="9" t="s">
        <v>50</v>
      </c>
      <c r="O43" s="6">
        <v>1</v>
      </c>
      <c r="P43" s="12">
        <v>0.15793205327423285</v>
      </c>
      <c r="Q43" s="12">
        <v>8.4831044736499703E-2</v>
      </c>
      <c r="R43" s="14">
        <v>34</v>
      </c>
    </row>
    <row r="44" spans="2:18" x14ac:dyDescent="0.5">
      <c r="B44" s="1" t="s">
        <v>859</v>
      </c>
      <c r="C44" t="s">
        <v>929</v>
      </c>
      <c r="D44" t="s">
        <v>660</v>
      </c>
      <c r="E44">
        <v>26.16</v>
      </c>
      <c r="F44" s="9" t="s">
        <v>50</v>
      </c>
      <c r="G44" s="7">
        <v>44736946176</v>
      </c>
      <c r="H44" s="6">
        <v>29.37</v>
      </c>
      <c r="I44" s="6">
        <v>18.2</v>
      </c>
      <c r="J44" s="12">
        <f t="shared" si="1"/>
        <v>0.43736263736263736</v>
      </c>
      <c r="K44" s="11">
        <v>1.8348623853211007E-2</v>
      </c>
      <c r="L44" s="13">
        <v>3300119760.9899998</v>
      </c>
      <c r="M44" s="13">
        <v>19847487091.860001</v>
      </c>
      <c r="N44" s="9" t="s">
        <v>50</v>
      </c>
      <c r="O44" s="6">
        <v>1</v>
      </c>
      <c r="P44" s="12">
        <v>6.6750828402839413E-2</v>
      </c>
      <c r="Q44" s="12">
        <v>0.16627393411146085</v>
      </c>
      <c r="R44" s="14">
        <v>34</v>
      </c>
    </row>
    <row r="45" spans="2:18" x14ac:dyDescent="0.5">
      <c r="B45" s="1" t="s">
        <v>843</v>
      </c>
      <c r="C45" t="s">
        <v>915</v>
      </c>
      <c r="D45" t="s">
        <v>236</v>
      </c>
      <c r="E45">
        <v>413</v>
      </c>
      <c r="F45" s="9" t="s">
        <v>50</v>
      </c>
      <c r="G45" s="7">
        <v>1884878012416</v>
      </c>
      <c r="H45" s="6">
        <v>424.36</v>
      </c>
      <c r="I45" s="6">
        <v>209.11</v>
      </c>
      <c r="J45" s="12">
        <f t="shared" si="1"/>
        <v>0.97503706183348471</v>
      </c>
      <c r="K45" s="11">
        <v>0</v>
      </c>
      <c r="L45" s="13">
        <v>92260563000</v>
      </c>
      <c r="M45" s="13">
        <v>431721614000</v>
      </c>
      <c r="N45" s="9" t="s">
        <v>50</v>
      </c>
      <c r="O45" s="6">
        <v>1</v>
      </c>
      <c r="P45" s="12">
        <v>5.5212071745666072E-2</v>
      </c>
      <c r="Q45" s="12">
        <v>0.21370383137685572</v>
      </c>
      <c r="R45" s="14">
        <v>35</v>
      </c>
    </row>
    <row r="46" spans="2:18" x14ac:dyDescent="0.5">
      <c r="B46" s="1" t="s">
        <v>836</v>
      </c>
      <c r="C46" t="s">
        <v>908</v>
      </c>
      <c r="D46" t="s">
        <v>94</v>
      </c>
      <c r="E46">
        <v>13.34</v>
      </c>
      <c r="F46" s="9" t="s">
        <v>50</v>
      </c>
      <c r="G46" s="7">
        <v>73150685184</v>
      </c>
      <c r="H46" s="6">
        <v>23.4</v>
      </c>
      <c r="I46" s="6">
        <v>11.71</v>
      </c>
      <c r="J46" s="12">
        <f t="shared" si="1"/>
        <v>0.13919726729291204</v>
      </c>
      <c r="K46" s="11">
        <v>2.4737631184407798E-2</v>
      </c>
      <c r="L46" s="13">
        <v>4166824505.1599998</v>
      </c>
      <c r="M46" s="13">
        <v>21221400024.509998</v>
      </c>
      <c r="N46" s="9" t="s">
        <v>50</v>
      </c>
      <c r="O46" s="6">
        <v>1</v>
      </c>
      <c r="P46" s="12">
        <v>5.7677205403856194E-2</v>
      </c>
      <c r="Q46" s="12">
        <v>0.19635012300543125</v>
      </c>
      <c r="R46" s="14">
        <v>36</v>
      </c>
    </row>
    <row r="47" spans="2:18" x14ac:dyDescent="0.5">
      <c r="B47" s="1" t="s">
        <v>349</v>
      </c>
      <c r="C47" t="s">
        <v>370</v>
      </c>
      <c r="D47" t="s">
        <v>60</v>
      </c>
      <c r="E47">
        <v>8.68</v>
      </c>
      <c r="F47" s="9" t="s">
        <v>50</v>
      </c>
      <c r="G47" s="7">
        <v>11695074304</v>
      </c>
      <c r="H47" s="6">
        <v>12.09</v>
      </c>
      <c r="I47" s="6">
        <v>8.68</v>
      </c>
      <c r="J47" s="12">
        <f t="shared" si="1"/>
        <v>0</v>
      </c>
      <c r="K47" s="11">
        <v>4.6082949308755762E-2</v>
      </c>
      <c r="L47" s="13">
        <v>1310024443.6900001</v>
      </c>
      <c r="M47" s="13">
        <v>19473263524.830002</v>
      </c>
      <c r="N47" s="9" t="s">
        <v>50</v>
      </c>
      <c r="O47" s="6">
        <v>1</v>
      </c>
      <c r="P47" s="12">
        <v>0.33747198902798975</v>
      </c>
      <c r="Q47" s="12">
        <v>6.7272978770076819E-2</v>
      </c>
      <c r="R47" s="14">
        <v>37</v>
      </c>
    </row>
    <row r="48" spans="2:18" x14ac:dyDescent="0.5">
      <c r="B48" s="1" t="s">
        <v>553</v>
      </c>
      <c r="C48" t="s">
        <v>562</v>
      </c>
      <c r="D48" t="s">
        <v>446</v>
      </c>
      <c r="E48">
        <v>5.65</v>
      </c>
      <c r="F48" s="9" t="s">
        <v>50</v>
      </c>
      <c r="G48" s="7">
        <v>59832475648</v>
      </c>
      <c r="H48" s="6">
        <v>6.37</v>
      </c>
      <c r="I48" s="6">
        <v>4.8499999999999996</v>
      </c>
      <c r="J48" s="12">
        <f t="shared" si="1"/>
        <v>0.1649484536082475</v>
      </c>
      <c r="K48" s="11">
        <v>0</v>
      </c>
      <c r="L48" s="13">
        <v>4783630821.25</v>
      </c>
      <c r="M48" s="13">
        <v>53393138493.459999</v>
      </c>
      <c r="N48" s="9" t="s">
        <v>50</v>
      </c>
      <c r="O48" s="6">
        <v>1</v>
      </c>
      <c r="P48" s="12">
        <v>0.11193002462009743</v>
      </c>
      <c r="Q48" s="12">
        <v>8.9592613512238767E-2</v>
      </c>
      <c r="R48" s="14">
        <v>38</v>
      </c>
    </row>
    <row r="49" spans="2:18" x14ac:dyDescent="0.5">
      <c r="B49" s="1" t="s">
        <v>803</v>
      </c>
      <c r="C49" t="s">
        <v>871</v>
      </c>
      <c r="D49" t="s">
        <v>246</v>
      </c>
      <c r="E49">
        <v>31.87</v>
      </c>
      <c r="F49" s="9" t="s">
        <v>50</v>
      </c>
      <c r="G49" s="7">
        <v>233714188288</v>
      </c>
      <c r="H49" s="6">
        <v>36.49</v>
      </c>
      <c r="I49" s="6">
        <v>13.85</v>
      </c>
      <c r="J49" s="12">
        <f t="shared" si="1"/>
        <v>1.301083032490975</v>
      </c>
      <c r="K49" s="11">
        <v>2.4223407593347977E-2</v>
      </c>
      <c r="L49" s="13">
        <v>13914282474.940001</v>
      </c>
      <c r="M49" s="13">
        <v>67881919773.010002</v>
      </c>
      <c r="N49" s="9" t="s">
        <v>50</v>
      </c>
      <c r="O49" s="6">
        <v>1</v>
      </c>
      <c r="P49" s="12">
        <v>5.3018323996725861E-2</v>
      </c>
      <c r="Q49" s="12">
        <v>0.20497773960235505</v>
      </c>
      <c r="R49" s="14">
        <v>38</v>
      </c>
    </row>
    <row r="50" spans="2:18" x14ac:dyDescent="0.5">
      <c r="B50" s="1" t="s">
        <v>834</v>
      </c>
      <c r="C50" t="s">
        <v>906</v>
      </c>
      <c r="D50" t="s">
        <v>311</v>
      </c>
      <c r="E50">
        <v>36.79</v>
      </c>
      <c r="F50" s="9" t="s">
        <v>50</v>
      </c>
      <c r="G50" s="7">
        <v>185366151168</v>
      </c>
      <c r="H50" s="6">
        <v>51.13</v>
      </c>
      <c r="I50" s="6">
        <v>36.03</v>
      </c>
      <c r="J50" s="12">
        <f t="shared" si="1"/>
        <v>2.10935331668054E-2</v>
      </c>
      <c r="K50" s="11">
        <v>2.4463169339494429E-2</v>
      </c>
      <c r="L50" s="13">
        <v>15980580000</v>
      </c>
      <c r="M50" s="13">
        <v>133124943000</v>
      </c>
      <c r="N50" s="9" t="s">
        <v>50</v>
      </c>
      <c r="O50" s="6">
        <v>1</v>
      </c>
      <c r="P50" s="12">
        <v>7.7020474528576549E-2</v>
      </c>
      <c r="Q50" s="12">
        <v>0.12004196689120836</v>
      </c>
      <c r="R50" s="14">
        <v>39</v>
      </c>
    </row>
    <row r="51" spans="2:18" x14ac:dyDescent="0.5">
      <c r="B51" s="1" t="s">
        <v>841</v>
      </c>
      <c r="C51" t="s">
        <v>913</v>
      </c>
      <c r="D51" t="s">
        <v>236</v>
      </c>
      <c r="E51">
        <v>173.6</v>
      </c>
      <c r="F51" s="9" t="s">
        <v>50</v>
      </c>
      <c r="G51" s="7">
        <v>359909523456</v>
      </c>
      <c r="H51" s="6">
        <v>209.88</v>
      </c>
      <c r="I51" s="6">
        <v>52.98</v>
      </c>
      <c r="J51" s="12">
        <f t="shared" si="1"/>
        <v>2.2767081917704797</v>
      </c>
      <c r="K51" s="11">
        <v>1.1693548387096773E-2</v>
      </c>
      <c r="L51" s="13">
        <v>13936157274.17</v>
      </c>
      <c r="M51" s="13">
        <v>45982208020.440002</v>
      </c>
      <c r="N51" s="9" t="s">
        <v>50</v>
      </c>
      <c r="O51" s="6">
        <v>1</v>
      </c>
      <c r="P51" s="12">
        <v>3.9655864758412991E-2</v>
      </c>
      <c r="Q51" s="12">
        <v>0.30307716558489539</v>
      </c>
      <c r="R51" s="14">
        <v>40</v>
      </c>
    </row>
    <row r="52" spans="2:18" x14ac:dyDescent="0.5">
      <c r="B52" s="1" t="s">
        <v>846</v>
      </c>
      <c r="C52" t="s">
        <v>918</v>
      </c>
      <c r="D52" t="s">
        <v>236</v>
      </c>
      <c r="E52">
        <v>35.049999999999997</v>
      </c>
      <c r="F52" s="9" t="s">
        <v>50</v>
      </c>
      <c r="G52" s="7">
        <v>75321360384</v>
      </c>
      <c r="H52" s="6">
        <v>42.13</v>
      </c>
      <c r="I52" s="6">
        <v>20.66</v>
      </c>
      <c r="J52" s="12">
        <f t="shared" si="1"/>
        <v>0.69651500484027085</v>
      </c>
      <c r="K52" s="11">
        <v>1.7118402282453638E-2</v>
      </c>
      <c r="L52" s="13">
        <v>7707652582.9700003</v>
      </c>
      <c r="M52" s="13">
        <v>66359162884.480003</v>
      </c>
      <c r="N52" s="9" t="s">
        <v>50</v>
      </c>
      <c r="O52" s="6">
        <v>1</v>
      </c>
      <c r="P52" s="12">
        <v>7.3658423004537232E-2</v>
      </c>
      <c r="Q52" s="12">
        <v>0.11615053969845446</v>
      </c>
      <c r="R52" s="14">
        <v>41</v>
      </c>
    </row>
    <row r="53" spans="2:18" x14ac:dyDescent="0.5">
      <c r="B53" s="1" t="s">
        <v>852</v>
      </c>
      <c r="C53" t="s">
        <v>922</v>
      </c>
      <c r="D53" t="s">
        <v>178</v>
      </c>
      <c r="E53">
        <v>31.3</v>
      </c>
      <c r="F53" s="9" t="s">
        <v>50</v>
      </c>
      <c r="G53" s="7">
        <v>286860476416</v>
      </c>
      <c r="H53" s="6">
        <v>34.78</v>
      </c>
      <c r="I53" s="6">
        <v>27.02</v>
      </c>
      <c r="J53" s="12">
        <f t="shared" si="1"/>
        <v>0.15840118430792005</v>
      </c>
      <c r="K53" s="11">
        <v>0</v>
      </c>
      <c r="L53" s="13">
        <v>14699110042.34</v>
      </c>
      <c r="M53" s="13">
        <v>86819741875.5</v>
      </c>
      <c r="N53" s="9" t="s">
        <v>50</v>
      </c>
      <c r="O53" s="6">
        <v>1</v>
      </c>
      <c r="P53" s="12">
        <v>5.6999246554318719E-2</v>
      </c>
      <c r="Q53" s="12">
        <v>0.16930607860385724</v>
      </c>
      <c r="R53" s="14">
        <v>42</v>
      </c>
    </row>
    <row r="54" spans="2:18" x14ac:dyDescent="0.5">
      <c r="B54" s="1" t="s">
        <v>801</v>
      </c>
      <c r="C54" t="s">
        <v>868</v>
      </c>
      <c r="D54" t="s">
        <v>869</v>
      </c>
      <c r="E54">
        <v>49.45</v>
      </c>
      <c r="F54" s="9" t="s">
        <v>50</v>
      </c>
      <c r="G54" s="7">
        <v>285474586624</v>
      </c>
      <c r="H54" s="6">
        <v>59.68</v>
      </c>
      <c r="I54" s="6">
        <v>37.53</v>
      </c>
      <c r="J54" s="12">
        <f t="shared" si="1"/>
        <v>0.31761257660538234</v>
      </c>
      <c r="K54" s="11">
        <v>3.0333670374115267E-2</v>
      </c>
      <c r="L54" s="13">
        <v>21623812490.549999</v>
      </c>
      <c r="M54" s="13">
        <v>135552444430.25999</v>
      </c>
      <c r="N54" s="9" t="s">
        <v>50</v>
      </c>
      <c r="O54" s="6">
        <v>1</v>
      </c>
      <c r="P54" s="12">
        <v>6.2749945260577922E-2</v>
      </c>
      <c r="Q54" s="12">
        <v>0.15952358942280215</v>
      </c>
      <c r="R54" s="14">
        <v>42</v>
      </c>
    </row>
    <row r="55" spans="2:18" x14ac:dyDescent="0.5">
      <c r="B55" s="1" t="s">
        <v>855</v>
      </c>
      <c r="C55" t="s">
        <v>925</v>
      </c>
      <c r="D55" t="s">
        <v>401</v>
      </c>
      <c r="E55">
        <v>21.69</v>
      </c>
      <c r="F55" s="9" t="s">
        <v>50</v>
      </c>
      <c r="G55" s="7">
        <v>62267195392</v>
      </c>
      <c r="H55" s="6">
        <v>31.38</v>
      </c>
      <c r="I55" s="6">
        <v>19.61</v>
      </c>
      <c r="J55" s="12">
        <f t="shared" si="1"/>
        <v>0.10606833248342684</v>
      </c>
      <c r="K55" s="11">
        <v>2.7662517289073305E-2</v>
      </c>
      <c r="L55" s="13">
        <v>2536723495.8299999</v>
      </c>
      <c r="M55" s="13">
        <v>11454572400.040001</v>
      </c>
      <c r="N55" s="9" t="s">
        <v>50</v>
      </c>
      <c r="O55" s="6">
        <v>1</v>
      </c>
      <c r="P55" s="12">
        <v>4.3248826807399193E-2</v>
      </c>
      <c r="Q55" s="12">
        <v>0.22145946677338574</v>
      </c>
      <c r="R55" s="14">
        <v>43</v>
      </c>
    </row>
    <row r="56" spans="2:18" x14ac:dyDescent="0.5">
      <c r="B56" s="1" t="s">
        <v>10</v>
      </c>
      <c r="C56" t="s">
        <v>54</v>
      </c>
      <c r="D56" t="s">
        <v>55</v>
      </c>
      <c r="E56">
        <v>106.58</v>
      </c>
      <c r="F56" s="9" t="s">
        <v>50</v>
      </c>
      <c r="G56" s="7">
        <v>57143816192</v>
      </c>
      <c r="H56" s="6">
        <v>149.5</v>
      </c>
      <c r="I56" s="6">
        <v>69.98</v>
      </c>
      <c r="J56" s="12">
        <f t="shared" si="1"/>
        <v>0.5230065733066589</v>
      </c>
      <c r="K56" s="11">
        <v>1.970350910114468E-2</v>
      </c>
      <c r="L56" s="13">
        <v>2351242906.4000001</v>
      </c>
      <c r="M56" s="13">
        <v>10336332783.18</v>
      </c>
      <c r="N56" s="9" t="s">
        <v>50</v>
      </c>
      <c r="O56" s="6">
        <v>1</v>
      </c>
      <c r="P56" s="12">
        <v>4.1801339346100648E-2</v>
      </c>
      <c r="Q56" s="12">
        <v>0.22747360748931247</v>
      </c>
      <c r="R56" s="14">
        <v>44</v>
      </c>
    </row>
    <row r="57" spans="2:18" x14ac:dyDescent="0.5">
      <c r="B57" s="1" t="s">
        <v>509</v>
      </c>
      <c r="C57" t="s">
        <v>548</v>
      </c>
      <c r="D57" t="s">
        <v>96</v>
      </c>
      <c r="E57">
        <v>5.94</v>
      </c>
      <c r="F57" s="9" t="s">
        <v>50</v>
      </c>
      <c r="G57" s="7">
        <v>543552405504</v>
      </c>
      <c r="H57" s="6">
        <v>8.31</v>
      </c>
      <c r="I57" s="6">
        <v>5.62</v>
      </c>
      <c r="J57" s="12">
        <f t="shared" si="1"/>
        <v>5.6939501779359469E-2</v>
      </c>
      <c r="K57" s="11">
        <v>7.4242424242424235E-2</v>
      </c>
      <c r="L57" s="13">
        <v>44563000000</v>
      </c>
      <c r="M57" s="13">
        <v>463922000000</v>
      </c>
      <c r="N57" s="9" t="s">
        <v>50</v>
      </c>
      <c r="O57" s="6">
        <v>1</v>
      </c>
      <c r="P57" s="12">
        <v>8.5355276099228716E-2</v>
      </c>
      <c r="Q57" s="12">
        <v>9.605709580489824E-2</v>
      </c>
      <c r="R57" s="14">
        <v>45</v>
      </c>
    </row>
    <row r="58" spans="2:18" x14ac:dyDescent="0.5">
      <c r="B58" s="1" t="s">
        <v>800</v>
      </c>
      <c r="C58" t="s">
        <v>867</v>
      </c>
      <c r="D58" t="s">
        <v>85</v>
      </c>
      <c r="E58">
        <v>14.99</v>
      </c>
      <c r="F58" s="9" t="s">
        <v>50</v>
      </c>
      <c r="G58" s="7">
        <v>32061335552</v>
      </c>
      <c r="H58" s="6">
        <v>20.309999999999999</v>
      </c>
      <c r="I58" s="6">
        <v>8.99</v>
      </c>
      <c r="J58" s="12">
        <f t="shared" si="1"/>
        <v>0.66740823136818683</v>
      </c>
      <c r="K58" s="11">
        <v>2.735156771180787E-2</v>
      </c>
      <c r="L58" s="13">
        <v>2201052616.79</v>
      </c>
      <c r="M58" s="13">
        <v>15006800240.440001</v>
      </c>
      <c r="N58" s="9" t="s">
        <v>50</v>
      </c>
      <c r="O58" s="6">
        <v>1</v>
      </c>
      <c r="P58" s="12">
        <v>6.3265545113589158E-2</v>
      </c>
      <c r="Q58" s="12">
        <v>0.14667034821045002</v>
      </c>
      <c r="R58" s="14">
        <v>45</v>
      </c>
    </row>
    <row r="59" spans="2:18" x14ac:dyDescent="0.5">
      <c r="B59" s="1" t="s">
        <v>503</v>
      </c>
      <c r="C59" t="s">
        <v>541</v>
      </c>
      <c r="D59" t="s">
        <v>102</v>
      </c>
      <c r="E59">
        <v>33.53</v>
      </c>
      <c r="F59" s="9" t="s">
        <v>50</v>
      </c>
      <c r="G59" s="7">
        <v>70997344256</v>
      </c>
      <c r="H59" s="6">
        <v>44</v>
      </c>
      <c r="I59" s="6">
        <v>32.17</v>
      </c>
      <c r="J59" s="12">
        <f t="shared" si="1"/>
        <v>4.2275411874417079E-2</v>
      </c>
      <c r="K59" s="11">
        <v>2.3859230539815091E-2</v>
      </c>
      <c r="L59" s="13">
        <v>3792362642.79</v>
      </c>
      <c r="M59" s="13">
        <v>24727711046.299999</v>
      </c>
      <c r="N59" s="9" t="s">
        <v>50</v>
      </c>
      <c r="O59" s="6">
        <v>1</v>
      </c>
      <c r="P59" s="12">
        <v>6.0028098801777591E-2</v>
      </c>
      <c r="Q59" s="12">
        <v>0.1533648883104953</v>
      </c>
      <c r="R59" s="14">
        <v>46</v>
      </c>
    </row>
    <row r="60" spans="2:18" x14ac:dyDescent="0.5">
      <c r="B60" s="1" t="s">
        <v>820</v>
      </c>
      <c r="C60" t="s">
        <v>890</v>
      </c>
      <c r="D60" t="s">
        <v>246</v>
      </c>
      <c r="E60">
        <v>72.88</v>
      </c>
      <c r="F60" s="9" t="s">
        <v>50</v>
      </c>
      <c r="G60" s="7">
        <v>114438053888</v>
      </c>
      <c r="H60" s="6">
        <v>97.28</v>
      </c>
      <c r="I60" s="6">
        <v>31</v>
      </c>
      <c r="J60" s="12">
        <f t="shared" si="1"/>
        <v>1.3509677419354835</v>
      </c>
      <c r="K60" s="11">
        <v>3.4302963776070255E-2</v>
      </c>
      <c r="L60" s="13">
        <v>4063087228.3800001</v>
      </c>
      <c r="M60" s="13">
        <v>16473844050.860001</v>
      </c>
      <c r="N60" s="9" t="s">
        <v>50</v>
      </c>
      <c r="O60" s="6">
        <v>1</v>
      </c>
      <c r="P60" s="12">
        <v>3.6049898468406283E-2</v>
      </c>
      <c r="Q60" s="12">
        <v>0.24663868468318362</v>
      </c>
      <c r="R60" s="14">
        <v>46</v>
      </c>
    </row>
    <row r="61" spans="2:18" x14ac:dyDescent="0.5">
      <c r="B61" s="1" t="s">
        <v>833</v>
      </c>
      <c r="C61" t="s">
        <v>904</v>
      </c>
      <c r="D61" t="s">
        <v>905</v>
      </c>
      <c r="E61">
        <v>56.74</v>
      </c>
      <c r="F61" s="9" t="s">
        <v>50</v>
      </c>
      <c r="G61" s="7">
        <v>101239062528</v>
      </c>
      <c r="H61" s="6">
        <v>60.69</v>
      </c>
      <c r="I61" s="6">
        <v>53.56</v>
      </c>
      <c r="J61" s="12">
        <f t="shared" si="1"/>
        <v>5.9372666168782562E-2</v>
      </c>
      <c r="K61" s="11">
        <v>2.0884737398660556E-2</v>
      </c>
      <c r="L61" s="13">
        <v>5747896665.0600004</v>
      </c>
      <c r="M61" s="13">
        <v>39257426697.150002</v>
      </c>
      <c r="N61" s="9" t="s">
        <v>50</v>
      </c>
      <c r="O61" s="6">
        <v>1</v>
      </c>
      <c r="P61" s="12">
        <v>6.3125094316355462E-2</v>
      </c>
      <c r="Q61" s="12">
        <v>0.14641552309075023</v>
      </c>
      <c r="R61" s="14">
        <v>47</v>
      </c>
    </row>
    <row r="62" spans="2:18" x14ac:dyDescent="0.5">
      <c r="B62" s="1" t="s">
        <v>865</v>
      </c>
      <c r="C62" t="s">
        <v>935</v>
      </c>
      <c r="D62" t="s">
        <v>427</v>
      </c>
      <c r="E62">
        <v>128.88</v>
      </c>
      <c r="F62" s="9" t="s">
        <v>50</v>
      </c>
      <c r="G62" s="7">
        <v>38998065152</v>
      </c>
      <c r="H62" s="6">
        <v>202.88</v>
      </c>
      <c r="I62" s="6">
        <v>128.86000000000001</v>
      </c>
      <c r="J62" s="12">
        <f t="shared" si="1"/>
        <v>1.5520720161399382E-4</v>
      </c>
      <c r="K62" s="11">
        <v>1.5518311607697084E-2</v>
      </c>
      <c r="L62" s="13">
        <v>1519190803.1900001</v>
      </c>
      <c r="M62" s="13">
        <v>7583951049.4499998</v>
      </c>
      <c r="N62" s="9" t="s">
        <v>50</v>
      </c>
      <c r="O62" s="6">
        <v>1</v>
      </c>
      <c r="P62" s="12">
        <v>3.9953579812546686E-2</v>
      </c>
      <c r="Q62" s="12">
        <v>0.20031653596975341</v>
      </c>
      <c r="R62" s="14">
        <v>48</v>
      </c>
    </row>
    <row r="63" spans="2:18" x14ac:dyDescent="0.5">
      <c r="B63" s="1" t="s">
        <v>842</v>
      </c>
      <c r="C63" t="s">
        <v>914</v>
      </c>
      <c r="D63" t="s">
        <v>53</v>
      </c>
      <c r="E63">
        <v>140.69999999999999</v>
      </c>
      <c r="F63" s="9" t="s">
        <v>50</v>
      </c>
      <c r="G63" s="7">
        <v>127879323648</v>
      </c>
      <c r="H63" s="6">
        <v>140.81</v>
      </c>
      <c r="I63" s="6">
        <v>49.88</v>
      </c>
      <c r="J63" s="12">
        <f t="shared" si="1"/>
        <v>1.8207698476343221</v>
      </c>
      <c r="K63" s="11">
        <v>2.107320540156361E-2</v>
      </c>
      <c r="L63" s="13">
        <v>3444148618.0300002</v>
      </c>
      <c r="M63" s="13">
        <v>10464628625.32</v>
      </c>
      <c r="N63" s="9" t="s">
        <v>50</v>
      </c>
      <c r="O63" s="6">
        <v>1</v>
      </c>
      <c r="P63" s="12">
        <v>2.7477195766028174E-2</v>
      </c>
      <c r="Q63" s="12">
        <v>0.32912287108752331</v>
      </c>
      <c r="R63" s="14">
        <v>48</v>
      </c>
    </row>
    <row r="64" spans="2:18" x14ac:dyDescent="0.5">
      <c r="B64" s="1" t="s">
        <v>845</v>
      </c>
      <c r="C64" t="s">
        <v>917</v>
      </c>
      <c r="D64" t="s">
        <v>49</v>
      </c>
      <c r="E64">
        <v>27.4</v>
      </c>
      <c r="F64" s="9" t="s">
        <v>50</v>
      </c>
      <c r="G64" s="7">
        <v>220070117376</v>
      </c>
      <c r="H64" s="6">
        <v>32.06</v>
      </c>
      <c r="I64" s="6">
        <v>21.08</v>
      </c>
      <c r="J64" s="12">
        <f t="shared" si="1"/>
        <v>0.29981024667931688</v>
      </c>
      <c r="K64" s="11">
        <v>2.1240875912408759E-2</v>
      </c>
      <c r="L64" s="13">
        <v>9156819813.7000008</v>
      </c>
      <c r="M64" s="13">
        <v>49730750383.199997</v>
      </c>
      <c r="N64" s="9" t="s">
        <v>50</v>
      </c>
      <c r="O64" s="6">
        <v>1</v>
      </c>
      <c r="P64" s="12">
        <v>4.3243109947813385E-2</v>
      </c>
      <c r="Q64" s="12">
        <v>0.18412792373214121</v>
      </c>
      <c r="R64" s="14">
        <v>49</v>
      </c>
    </row>
    <row r="65" spans="2:18" x14ac:dyDescent="0.5">
      <c r="B65" s="1" t="s">
        <v>860</v>
      </c>
      <c r="C65" t="s">
        <v>930</v>
      </c>
      <c r="D65" t="s">
        <v>68</v>
      </c>
      <c r="E65">
        <v>30.39</v>
      </c>
      <c r="F65" s="9" t="s">
        <v>50</v>
      </c>
      <c r="G65" s="7">
        <v>24778399744</v>
      </c>
      <c r="H65" s="6">
        <v>31.38</v>
      </c>
      <c r="I65" s="6">
        <v>22.52</v>
      </c>
      <c r="J65" s="12">
        <f t="shared" si="1"/>
        <v>0.34946714031971582</v>
      </c>
      <c r="K65" s="11">
        <v>3.4550839091806514E-2</v>
      </c>
      <c r="L65" s="13">
        <v>2620973196.5</v>
      </c>
      <c r="M65" s="13">
        <v>27412437121.950001</v>
      </c>
      <c r="N65" s="9" t="s">
        <v>50</v>
      </c>
      <c r="O65" s="6">
        <v>1</v>
      </c>
      <c r="P65" s="12">
        <v>7.1108369066534532E-2</v>
      </c>
      <c r="Q65" s="12">
        <v>9.5612556623114117E-2</v>
      </c>
      <c r="R65" s="14">
        <v>50</v>
      </c>
    </row>
    <row r="66" spans="2:18" x14ac:dyDescent="0.5">
      <c r="B66" s="1" t="s">
        <v>840</v>
      </c>
      <c r="C66" t="s">
        <v>912</v>
      </c>
      <c r="D66" t="s">
        <v>300</v>
      </c>
      <c r="E66">
        <v>3.05</v>
      </c>
      <c r="F66" s="9" t="s">
        <v>50</v>
      </c>
      <c r="G66" s="7">
        <v>63207038976</v>
      </c>
      <c r="H66" s="6">
        <v>4.3</v>
      </c>
      <c r="I66" s="6">
        <v>2.75</v>
      </c>
      <c r="J66" s="12">
        <f t="shared" ref="J66:J97" si="2">E66/I66-1</f>
        <v>0.10909090909090913</v>
      </c>
      <c r="K66" s="11">
        <v>1.8360655737704918E-2</v>
      </c>
      <c r="L66" s="13">
        <v>12616717000</v>
      </c>
      <c r="M66" s="13">
        <v>231208465000</v>
      </c>
      <c r="N66" s="9" t="s">
        <v>50</v>
      </c>
      <c r="O66" s="6">
        <v>1</v>
      </c>
      <c r="P66" s="12">
        <v>0.12085026127020206</v>
      </c>
      <c r="Q66" s="12">
        <v>5.4568577322633927E-2</v>
      </c>
      <c r="R66" s="14">
        <v>51</v>
      </c>
    </row>
    <row r="67" spans="2:18" x14ac:dyDescent="0.5">
      <c r="B67" s="1" t="s">
        <v>500</v>
      </c>
      <c r="C67" t="s">
        <v>538</v>
      </c>
      <c r="D67" t="s">
        <v>534</v>
      </c>
      <c r="E67">
        <v>47.58</v>
      </c>
      <c r="F67" s="9" t="s">
        <v>50</v>
      </c>
      <c r="G67" s="7">
        <v>134893813760</v>
      </c>
      <c r="H67" s="6">
        <v>73.66</v>
      </c>
      <c r="I67" s="6">
        <v>39.06</v>
      </c>
      <c r="J67" s="12">
        <f t="shared" si="2"/>
        <v>0.2181259600614438</v>
      </c>
      <c r="K67" s="11">
        <v>5.4644808743169399E-3</v>
      </c>
      <c r="L67" s="13">
        <v>3918841276.4000001</v>
      </c>
      <c r="M67" s="13">
        <v>17076522943.65</v>
      </c>
      <c r="N67" s="9" t="s">
        <v>50</v>
      </c>
      <c r="O67" s="6">
        <v>1</v>
      </c>
      <c r="P67" s="12">
        <v>3.1339324828537928E-2</v>
      </c>
      <c r="Q67" s="12">
        <v>0.22948707352964048</v>
      </c>
      <c r="R67" s="14">
        <v>52</v>
      </c>
    </row>
    <row r="68" spans="2:18" x14ac:dyDescent="0.5">
      <c r="B68" s="1" t="s">
        <v>823</v>
      </c>
      <c r="C68" t="s">
        <v>894</v>
      </c>
      <c r="D68" t="s">
        <v>423</v>
      </c>
      <c r="E68">
        <v>50.3</v>
      </c>
      <c r="F68" s="9" t="s">
        <v>50</v>
      </c>
      <c r="G68" s="7">
        <v>998867271680</v>
      </c>
      <c r="H68" s="6">
        <v>83.88</v>
      </c>
      <c r="I68" s="6">
        <v>14.58</v>
      </c>
      <c r="J68" s="12">
        <f t="shared" si="2"/>
        <v>2.4499314128943754</v>
      </c>
      <c r="K68" s="11">
        <v>1.94831013916501E-2</v>
      </c>
      <c r="L68" s="13">
        <v>44378527000</v>
      </c>
      <c r="M68" s="13">
        <v>271010692000</v>
      </c>
      <c r="N68" s="9" t="s">
        <v>50</v>
      </c>
      <c r="O68" s="6">
        <v>1</v>
      </c>
      <c r="P68" s="12">
        <v>4.4421742706607079E-2</v>
      </c>
      <c r="Q68" s="12">
        <v>0.16375194156546413</v>
      </c>
      <c r="R68" s="14">
        <v>52</v>
      </c>
    </row>
    <row r="69" spans="2:18" x14ac:dyDescent="0.5">
      <c r="B69" s="1" t="s">
        <v>482</v>
      </c>
      <c r="C69" t="s">
        <v>516</v>
      </c>
      <c r="D69" t="s">
        <v>300</v>
      </c>
      <c r="E69">
        <v>7.94</v>
      </c>
      <c r="F69" s="9" t="s">
        <v>50</v>
      </c>
      <c r="G69" s="7">
        <v>128842006528</v>
      </c>
      <c r="H69" s="6">
        <v>10.6</v>
      </c>
      <c r="I69" s="6">
        <v>7.84</v>
      </c>
      <c r="J69" s="12">
        <f t="shared" si="2"/>
        <v>1.2755102040816313E-2</v>
      </c>
      <c r="K69" s="11">
        <v>3.5264483627204031E-2</v>
      </c>
      <c r="L69" s="13">
        <v>59165000000</v>
      </c>
      <c r="M69" s="13">
        <v>924142000000</v>
      </c>
      <c r="N69" s="9" t="s">
        <v>50</v>
      </c>
      <c r="O69" s="6">
        <v>1</v>
      </c>
      <c r="P69" s="12">
        <v>9.72679795173092E-2</v>
      </c>
      <c r="Q69" s="12">
        <v>6.4021546472295382E-2</v>
      </c>
      <c r="R69" s="14">
        <v>53</v>
      </c>
    </row>
    <row r="70" spans="2:18" x14ac:dyDescent="0.5">
      <c r="B70" s="1" t="s">
        <v>481</v>
      </c>
      <c r="C70" t="s">
        <v>515</v>
      </c>
      <c r="D70" t="s">
        <v>300</v>
      </c>
      <c r="E70">
        <v>7.16</v>
      </c>
      <c r="F70" s="9" t="s">
        <v>50</v>
      </c>
      <c r="G70" s="7">
        <v>97229512704</v>
      </c>
      <c r="H70" s="6">
        <v>8.93</v>
      </c>
      <c r="I70" s="6">
        <v>7.12</v>
      </c>
      <c r="J70" s="12">
        <f t="shared" si="2"/>
        <v>5.6179775280897903E-3</v>
      </c>
      <c r="K70" s="11">
        <v>4.189944134078212E-2</v>
      </c>
      <c r="L70" s="13">
        <v>42109966000</v>
      </c>
      <c r="M70" s="13">
        <v>746176876000</v>
      </c>
      <c r="N70" s="9" t="s">
        <v>50</v>
      </c>
      <c r="O70" s="6">
        <v>1</v>
      </c>
      <c r="P70" s="12">
        <v>0.10266808712925039</v>
      </c>
      <c r="Q70" s="12">
        <v>5.643429507724386E-2</v>
      </c>
      <c r="R70" s="14">
        <v>54</v>
      </c>
    </row>
    <row r="71" spans="2:18" x14ac:dyDescent="0.5">
      <c r="B71" s="1" t="s">
        <v>805</v>
      </c>
      <c r="C71" t="s">
        <v>873</v>
      </c>
      <c r="D71" t="s">
        <v>314</v>
      </c>
      <c r="E71">
        <v>17.87</v>
      </c>
      <c r="F71" s="9" t="s">
        <v>50</v>
      </c>
      <c r="G71" s="7">
        <v>42606514176</v>
      </c>
      <c r="H71" s="6">
        <v>23.79</v>
      </c>
      <c r="I71" s="6">
        <v>15.82</v>
      </c>
      <c r="J71" s="12">
        <f t="shared" si="2"/>
        <v>0.12958280657395704</v>
      </c>
      <c r="K71" s="11">
        <v>5.5959709009513149E-3</v>
      </c>
      <c r="L71" s="13">
        <v>3796320674.1900001</v>
      </c>
      <c r="M71" s="13">
        <v>41584895077.169998</v>
      </c>
      <c r="N71" s="9" t="s">
        <v>50</v>
      </c>
      <c r="O71" s="6">
        <v>1</v>
      </c>
      <c r="P71" s="12">
        <v>6.7122350053229335E-2</v>
      </c>
      <c r="Q71" s="12">
        <v>9.1290856142478768E-2</v>
      </c>
      <c r="R71" s="14">
        <v>54</v>
      </c>
    </row>
    <row r="72" spans="2:18" x14ac:dyDescent="0.5">
      <c r="B72" s="1" t="s">
        <v>486</v>
      </c>
      <c r="C72" t="s">
        <v>520</v>
      </c>
      <c r="D72" t="s">
        <v>233</v>
      </c>
      <c r="E72">
        <v>6.08</v>
      </c>
      <c r="F72" s="9" t="s">
        <v>50</v>
      </c>
      <c r="G72" s="7">
        <v>735525732352</v>
      </c>
      <c r="H72" s="6">
        <v>8.11</v>
      </c>
      <c r="I72" s="6">
        <v>5.25</v>
      </c>
      <c r="J72" s="12">
        <f t="shared" si="2"/>
        <v>0.15809523809523807</v>
      </c>
      <c r="K72" s="11">
        <v>3.7499999999999999E-2</v>
      </c>
      <c r="L72" s="13">
        <v>86964000000</v>
      </c>
      <c r="M72" s="13">
        <v>1118775000000</v>
      </c>
      <c r="N72" s="9" t="s">
        <v>50</v>
      </c>
      <c r="O72" s="6">
        <v>1</v>
      </c>
      <c r="P72" s="12">
        <v>7.7651577678605074E-2</v>
      </c>
      <c r="Q72" s="12">
        <v>7.7731447341958845E-2</v>
      </c>
      <c r="R72" s="14">
        <v>55</v>
      </c>
    </row>
    <row r="73" spans="2:18" x14ac:dyDescent="0.5">
      <c r="B73" s="1" t="s">
        <v>808</v>
      </c>
      <c r="C73" t="s">
        <v>876</v>
      </c>
      <c r="D73" t="s">
        <v>314</v>
      </c>
      <c r="E73">
        <v>13.11</v>
      </c>
      <c r="F73" s="9" t="s">
        <v>50</v>
      </c>
      <c r="G73" s="7">
        <v>42651181056</v>
      </c>
      <c r="H73" s="6">
        <v>17.11</v>
      </c>
      <c r="I73" s="6">
        <v>8.7200000000000006</v>
      </c>
      <c r="J73" s="12">
        <f t="shared" si="2"/>
        <v>0.50344036697247696</v>
      </c>
      <c r="K73" s="11">
        <v>3.4324942791762014E-2</v>
      </c>
      <c r="L73" s="13">
        <v>3215394657.6799998</v>
      </c>
      <c r="M73" s="13">
        <v>45581485581.43</v>
      </c>
      <c r="N73" s="9" t="s">
        <v>50</v>
      </c>
      <c r="O73" s="6">
        <v>1</v>
      </c>
      <c r="P73" s="12">
        <v>8.2635880718770635E-2</v>
      </c>
      <c r="Q73" s="12">
        <v>7.0541681927759697E-2</v>
      </c>
      <c r="R73" s="14">
        <v>56</v>
      </c>
    </row>
    <row r="74" spans="2:18" x14ac:dyDescent="0.5">
      <c r="B74" s="1" t="s">
        <v>552</v>
      </c>
      <c r="C74" t="s">
        <v>561</v>
      </c>
      <c r="D74" t="s">
        <v>524</v>
      </c>
      <c r="E74">
        <v>4.1100000000000003</v>
      </c>
      <c r="F74" s="9" t="s">
        <v>50</v>
      </c>
      <c r="G74" s="7">
        <v>207549284352</v>
      </c>
      <c r="H74" s="6">
        <v>4.4000000000000004</v>
      </c>
      <c r="I74" s="6">
        <v>3.33</v>
      </c>
      <c r="J74" s="12">
        <f t="shared" si="2"/>
        <v>0.23423423423423428</v>
      </c>
      <c r="K74" s="11">
        <v>2.3114355231143552E-2</v>
      </c>
      <c r="L74" s="13">
        <v>26751928946.529999</v>
      </c>
      <c r="M74" s="13">
        <v>324659027578.44</v>
      </c>
      <c r="N74" s="9" t="s">
        <v>50</v>
      </c>
      <c r="O74" s="6">
        <v>1</v>
      </c>
      <c r="P74" s="12">
        <v>6.7312474724049304E-2</v>
      </c>
      <c r="Q74" s="12">
        <v>8.2400077232001614E-2</v>
      </c>
      <c r="R74" s="14">
        <v>57</v>
      </c>
    </row>
    <row r="75" spans="2:18" x14ac:dyDescent="0.5">
      <c r="B75" s="1" t="s">
        <v>815</v>
      </c>
      <c r="C75" t="s">
        <v>884</v>
      </c>
      <c r="D75" t="s">
        <v>174</v>
      </c>
      <c r="E75">
        <v>26.08</v>
      </c>
      <c r="F75" s="9" t="s">
        <v>50</v>
      </c>
      <c r="G75" s="7">
        <v>126417903616</v>
      </c>
      <c r="H75" s="6">
        <v>41.48</v>
      </c>
      <c r="I75" s="6">
        <v>12.19</v>
      </c>
      <c r="J75" s="12">
        <f t="shared" si="2"/>
        <v>1.1394585726004922</v>
      </c>
      <c r="K75" s="11">
        <v>1.4877300613496933E-2</v>
      </c>
      <c r="L75" s="13">
        <v>5569700493.2700005</v>
      </c>
      <c r="M75" s="13">
        <v>42130597516.150002</v>
      </c>
      <c r="N75" s="9" t="s">
        <v>50</v>
      </c>
      <c r="O75" s="6">
        <v>1</v>
      </c>
      <c r="P75" s="12">
        <v>4.2479680346190395E-2</v>
      </c>
      <c r="Q75" s="12">
        <v>0.13220084265681151</v>
      </c>
      <c r="R75" s="14">
        <v>57</v>
      </c>
    </row>
    <row r="76" spans="2:18" x14ac:dyDescent="0.5">
      <c r="B76" s="1" t="s">
        <v>811</v>
      </c>
      <c r="C76" t="s">
        <v>879</v>
      </c>
      <c r="D76" t="s">
        <v>327</v>
      </c>
      <c r="E76">
        <v>34.82</v>
      </c>
      <c r="F76" s="9" t="s">
        <v>50</v>
      </c>
      <c r="G76" s="7">
        <v>184252563456</v>
      </c>
      <c r="H76" s="6">
        <v>40.9</v>
      </c>
      <c r="I76" s="6">
        <v>14.84</v>
      </c>
      <c r="J76" s="12">
        <f t="shared" si="2"/>
        <v>1.3463611859838274</v>
      </c>
      <c r="K76" s="11">
        <v>0</v>
      </c>
      <c r="L76" s="13">
        <v>5892077586.3199997</v>
      </c>
      <c r="M76" s="13">
        <v>36795091235.339996</v>
      </c>
      <c r="N76" s="9" t="s">
        <v>50</v>
      </c>
      <c r="O76" s="6">
        <v>1</v>
      </c>
      <c r="P76" s="12">
        <v>3.4834478123316442E-2</v>
      </c>
      <c r="Q76" s="12">
        <v>0.16013216406053996</v>
      </c>
      <c r="R76" s="14">
        <v>57</v>
      </c>
    </row>
    <row r="77" spans="2:18" x14ac:dyDescent="0.5">
      <c r="B77" s="1" t="s">
        <v>491</v>
      </c>
      <c r="C77" t="s">
        <v>526</v>
      </c>
      <c r="D77" t="s">
        <v>527</v>
      </c>
      <c r="E77">
        <v>27.18</v>
      </c>
      <c r="F77" s="9" t="s">
        <v>50</v>
      </c>
      <c r="G77" s="7">
        <v>665046155264</v>
      </c>
      <c r="H77" s="6">
        <v>31.19</v>
      </c>
      <c r="I77" s="6">
        <v>25.38</v>
      </c>
      <c r="J77" s="12">
        <f t="shared" si="2"/>
        <v>7.0921985815602939E-2</v>
      </c>
      <c r="K77" s="11">
        <v>0</v>
      </c>
      <c r="L77" s="13">
        <v>50189673691.849998</v>
      </c>
      <c r="M77" s="13">
        <v>460310037215.31</v>
      </c>
      <c r="N77" s="9" t="s">
        <v>50</v>
      </c>
      <c r="O77" s="6">
        <v>1</v>
      </c>
      <c r="P77" s="12">
        <v>5.2502200401040318E-2</v>
      </c>
      <c r="Q77" s="12">
        <v>0.10903449769524313</v>
      </c>
      <c r="R77" s="14">
        <v>58</v>
      </c>
    </row>
    <row r="78" spans="2:18" x14ac:dyDescent="0.5">
      <c r="B78" s="1" t="s">
        <v>810</v>
      </c>
      <c r="C78" t="s">
        <v>878</v>
      </c>
      <c r="D78" t="s">
        <v>314</v>
      </c>
      <c r="E78">
        <v>9.75</v>
      </c>
      <c r="F78" s="9" t="s">
        <v>50</v>
      </c>
      <c r="G78" s="7">
        <v>48384806912</v>
      </c>
      <c r="H78" s="6">
        <v>13.98</v>
      </c>
      <c r="I78" s="6">
        <v>6.41</v>
      </c>
      <c r="J78" s="12">
        <f t="shared" si="2"/>
        <v>0.52106084243369732</v>
      </c>
      <c r="K78" s="11">
        <v>2.0512820512820513E-2</v>
      </c>
      <c r="L78" s="13">
        <v>2631965508.3000002</v>
      </c>
      <c r="M78" s="13">
        <v>29251947273.349998</v>
      </c>
      <c r="N78" s="9" t="s">
        <v>50</v>
      </c>
      <c r="O78" s="6">
        <v>1</v>
      </c>
      <c r="P78" s="12">
        <v>5.9564593102360737E-2</v>
      </c>
      <c r="Q78" s="12">
        <v>8.997573678446541E-2</v>
      </c>
      <c r="R78" s="14">
        <v>59</v>
      </c>
    </row>
    <row r="79" spans="2:18" x14ac:dyDescent="0.5">
      <c r="B79" s="1" t="s">
        <v>819</v>
      </c>
      <c r="C79" t="s">
        <v>889</v>
      </c>
      <c r="D79" t="s">
        <v>294</v>
      </c>
      <c r="E79">
        <v>57.41</v>
      </c>
      <c r="F79" s="9" t="s">
        <v>50</v>
      </c>
      <c r="G79" s="7">
        <v>108891127808</v>
      </c>
      <c r="H79" s="6">
        <v>82.17</v>
      </c>
      <c r="I79" s="6">
        <v>27.37</v>
      </c>
      <c r="J79" s="12">
        <f t="shared" si="2"/>
        <v>1.0975520643039824</v>
      </c>
      <c r="K79" s="11">
        <v>8.7092840968472397E-3</v>
      </c>
      <c r="L79" s="13">
        <v>8097181418.6999998</v>
      </c>
      <c r="M79" s="13">
        <v>84141826619.429993</v>
      </c>
      <c r="N79" s="9" t="s">
        <v>50</v>
      </c>
      <c r="O79" s="6">
        <v>1</v>
      </c>
      <c r="P79" s="12">
        <v>5.5589020448121224E-2</v>
      </c>
      <c r="Q79" s="12">
        <v>9.6232536706425648E-2</v>
      </c>
      <c r="R79" s="14">
        <v>59</v>
      </c>
    </row>
    <row r="80" spans="2:18" x14ac:dyDescent="0.5">
      <c r="B80" s="1" t="s">
        <v>847</v>
      </c>
      <c r="C80" t="s">
        <v>919</v>
      </c>
      <c r="D80" t="s">
        <v>49</v>
      </c>
      <c r="E80">
        <v>99.67</v>
      </c>
      <c r="F80" s="9" t="s">
        <v>50</v>
      </c>
      <c r="G80" s="7">
        <v>133639626752</v>
      </c>
      <c r="H80" s="6">
        <v>125.98</v>
      </c>
      <c r="I80" s="6">
        <v>65.819999999999993</v>
      </c>
      <c r="J80" s="12">
        <f t="shared" si="2"/>
        <v>0.51428137344272273</v>
      </c>
      <c r="K80" s="11">
        <v>1.0033109260559848E-2</v>
      </c>
      <c r="L80" s="13">
        <v>2812187511.7399998</v>
      </c>
      <c r="M80" s="13">
        <v>15790160180.469999</v>
      </c>
      <c r="N80" s="9" t="s">
        <v>50</v>
      </c>
      <c r="O80" s="6">
        <v>1</v>
      </c>
      <c r="P80" s="12">
        <v>2.2358481626583014E-2</v>
      </c>
      <c r="Q80" s="12">
        <v>0.17809746573807678</v>
      </c>
      <c r="R80" s="14">
        <v>60</v>
      </c>
    </row>
    <row r="81" spans="2:18" x14ac:dyDescent="0.5">
      <c r="B81" s="1" t="s">
        <v>480</v>
      </c>
      <c r="C81" t="s">
        <v>514</v>
      </c>
      <c r="D81" t="s">
        <v>300</v>
      </c>
      <c r="E81">
        <v>5.55</v>
      </c>
      <c r="F81" s="9" t="s">
        <v>50</v>
      </c>
      <c r="G81" s="7">
        <v>137008529408</v>
      </c>
      <c r="H81" s="6">
        <v>6.47</v>
      </c>
      <c r="I81" s="6">
        <v>5.16</v>
      </c>
      <c r="J81" s="12">
        <f t="shared" si="2"/>
        <v>7.5581395348837122E-2</v>
      </c>
      <c r="K81" s="11">
        <v>4.6846846846846847E-2</v>
      </c>
      <c r="L81" s="13">
        <v>33501619000</v>
      </c>
      <c r="M81" s="13">
        <v>818795014000</v>
      </c>
      <c r="N81" s="9" t="s">
        <v>50</v>
      </c>
      <c r="O81" s="6">
        <v>1</v>
      </c>
      <c r="P81" s="12">
        <v>8.3160205378183305E-2</v>
      </c>
      <c r="Q81" s="12">
        <v>4.0915758434259347E-2</v>
      </c>
      <c r="R81" s="14">
        <v>61</v>
      </c>
    </row>
    <row r="82" spans="2:18" x14ac:dyDescent="0.5">
      <c r="B82" s="1" t="s">
        <v>854</v>
      </c>
      <c r="C82" t="s">
        <v>924</v>
      </c>
      <c r="D82" t="s">
        <v>87</v>
      </c>
      <c r="E82">
        <v>12.31</v>
      </c>
      <c r="F82" s="9" t="s">
        <v>50</v>
      </c>
      <c r="G82" s="7">
        <v>30570442752</v>
      </c>
      <c r="H82" s="6">
        <v>15.08</v>
      </c>
      <c r="I82" s="6">
        <v>10.62</v>
      </c>
      <c r="J82" s="12">
        <f t="shared" si="2"/>
        <v>0.15913370998116783</v>
      </c>
      <c r="K82" s="11">
        <v>0</v>
      </c>
      <c r="L82" s="13">
        <v>1353971668.8699999</v>
      </c>
      <c r="M82" s="13">
        <v>15279593139.1</v>
      </c>
      <c r="N82" s="9" t="s">
        <v>50</v>
      </c>
      <c r="O82" s="6">
        <v>1</v>
      </c>
      <c r="P82" s="12">
        <v>5.899723224684001E-2</v>
      </c>
      <c r="Q82" s="12">
        <v>8.8613070815690032E-2</v>
      </c>
      <c r="R82" s="14">
        <v>61</v>
      </c>
    </row>
    <row r="83" spans="2:18" x14ac:dyDescent="0.5">
      <c r="B83" s="1" t="s">
        <v>853</v>
      </c>
      <c r="C83" t="s">
        <v>923</v>
      </c>
      <c r="D83" t="s">
        <v>569</v>
      </c>
      <c r="E83">
        <v>17.309999999999999</v>
      </c>
      <c r="F83" s="9" t="s">
        <v>50</v>
      </c>
      <c r="G83" s="7">
        <v>56893739008</v>
      </c>
      <c r="H83" s="6">
        <v>21.96</v>
      </c>
      <c r="I83" s="6">
        <v>14.37</v>
      </c>
      <c r="J83" s="12">
        <f t="shared" si="2"/>
        <v>0.20459290187891432</v>
      </c>
      <c r="K83" s="11">
        <v>0</v>
      </c>
      <c r="L83" s="13">
        <v>3035043640.8400002</v>
      </c>
      <c r="M83" s="13">
        <v>37023046171.080002</v>
      </c>
      <c r="N83" s="9" t="s">
        <v>50</v>
      </c>
      <c r="O83" s="6">
        <v>1</v>
      </c>
      <c r="P83" s="12">
        <v>6.4660036320976874E-2</v>
      </c>
      <c r="Q83" s="12">
        <v>8.1977145446524041E-2</v>
      </c>
      <c r="R83" s="14">
        <v>61</v>
      </c>
    </row>
    <row r="84" spans="2:18" x14ac:dyDescent="0.5">
      <c r="B84" s="1" t="s">
        <v>483</v>
      </c>
      <c r="C84" t="s">
        <v>517</v>
      </c>
      <c r="D84" t="s">
        <v>300</v>
      </c>
      <c r="E84">
        <v>5.85</v>
      </c>
      <c r="F84" s="9" t="s">
        <v>50</v>
      </c>
      <c r="G84" s="7">
        <v>100773036032</v>
      </c>
      <c r="H84" s="6">
        <v>7.84</v>
      </c>
      <c r="I84" s="6">
        <v>4.38</v>
      </c>
      <c r="J84" s="12">
        <f t="shared" si="2"/>
        <v>0.33561643835616439</v>
      </c>
      <c r="K84" s="11">
        <v>2.1709401709401711E-2</v>
      </c>
      <c r="L84" s="13">
        <v>34317184820.950001</v>
      </c>
      <c r="M84" s="13">
        <v>588966357094.34998</v>
      </c>
      <c r="N84" s="9" t="s">
        <v>50</v>
      </c>
      <c r="O84" s="6">
        <v>1</v>
      </c>
      <c r="P84" s="12">
        <v>7.5245365553623919E-2</v>
      </c>
      <c r="Q84" s="12">
        <v>5.8266799805430196E-2</v>
      </c>
      <c r="R84" s="14">
        <v>61</v>
      </c>
    </row>
    <row r="85" spans="2:18" x14ac:dyDescent="0.5">
      <c r="B85" s="1" t="s">
        <v>353</v>
      </c>
      <c r="C85" t="s">
        <v>374</v>
      </c>
      <c r="D85" t="s">
        <v>246</v>
      </c>
      <c r="E85">
        <v>16.2</v>
      </c>
      <c r="F85" s="9" t="s">
        <v>50</v>
      </c>
      <c r="G85" s="7">
        <v>4728057856</v>
      </c>
      <c r="H85" s="6">
        <v>19.649999999999999</v>
      </c>
      <c r="I85" s="6">
        <v>11.95</v>
      </c>
      <c r="J85" s="12">
        <f t="shared" si="2"/>
        <v>0.35564853556485354</v>
      </c>
      <c r="K85" s="11">
        <v>2.469135802469136E-2</v>
      </c>
      <c r="L85" s="13">
        <v>225008130.19999999</v>
      </c>
      <c r="M85" s="13">
        <v>2512019918.8400002</v>
      </c>
      <c r="N85" s="9" t="s">
        <v>50</v>
      </c>
      <c r="O85" s="6">
        <v>1</v>
      </c>
      <c r="P85" s="12">
        <v>5.7449221096256692E-2</v>
      </c>
      <c r="Q85" s="12">
        <v>8.957258997528339E-2</v>
      </c>
      <c r="R85" s="14">
        <v>62</v>
      </c>
    </row>
    <row r="86" spans="2:18" x14ac:dyDescent="0.5">
      <c r="B86" s="1" t="s">
        <v>837</v>
      </c>
      <c r="C86" t="s">
        <v>909</v>
      </c>
      <c r="D86" t="s">
        <v>91</v>
      </c>
      <c r="E86">
        <v>22.65</v>
      </c>
      <c r="F86" s="9" t="s">
        <v>50</v>
      </c>
      <c r="G86" s="7">
        <v>90671046656</v>
      </c>
      <c r="H86" s="6">
        <v>28.89</v>
      </c>
      <c r="I86" s="6">
        <v>10.95</v>
      </c>
      <c r="J86" s="12">
        <f t="shared" si="2"/>
        <v>1.0684931506849313</v>
      </c>
      <c r="K86" s="11">
        <v>1.5894039735099338E-2</v>
      </c>
      <c r="L86" s="13">
        <v>4458418661.1899996</v>
      </c>
      <c r="M86" s="13">
        <v>41920878054.089996</v>
      </c>
      <c r="N86" s="9" t="s">
        <v>50</v>
      </c>
      <c r="O86" s="6">
        <v>1</v>
      </c>
      <c r="P86" s="12">
        <v>4.498662499011355E-2</v>
      </c>
      <c r="Q86" s="12">
        <v>0.10635317932599972</v>
      </c>
      <c r="R86" s="14">
        <v>62</v>
      </c>
    </row>
    <row r="87" spans="2:18" x14ac:dyDescent="0.5">
      <c r="B87" s="1" t="s">
        <v>828</v>
      </c>
      <c r="C87" t="s">
        <v>899</v>
      </c>
      <c r="D87" t="s">
        <v>49</v>
      </c>
      <c r="E87">
        <v>44.23</v>
      </c>
      <c r="F87" s="9" t="s">
        <v>50</v>
      </c>
      <c r="G87" s="7">
        <v>186120454144</v>
      </c>
      <c r="H87" s="6">
        <v>60.77</v>
      </c>
      <c r="I87" s="6">
        <v>21.26</v>
      </c>
      <c r="J87" s="12">
        <f t="shared" si="2"/>
        <v>1.0804327375352774</v>
      </c>
      <c r="K87" s="11">
        <v>8.365362875876102E-3</v>
      </c>
      <c r="L87" s="13">
        <v>3843953849.75</v>
      </c>
      <c r="M87" s="13">
        <v>22896887352.369999</v>
      </c>
      <c r="N87" s="9" t="s">
        <v>50</v>
      </c>
      <c r="O87" s="6">
        <v>1</v>
      </c>
      <c r="P87" s="12">
        <v>2.0744499090011422E-2</v>
      </c>
      <c r="Q87" s="12">
        <v>0.16788106569219427</v>
      </c>
      <c r="R87" s="14">
        <v>63</v>
      </c>
    </row>
    <row r="88" spans="2:18" x14ac:dyDescent="0.5">
      <c r="B88" s="1" t="s">
        <v>489</v>
      </c>
      <c r="C88" t="s">
        <v>523</v>
      </c>
      <c r="D88" t="s">
        <v>524</v>
      </c>
      <c r="E88">
        <v>7.54</v>
      </c>
      <c r="F88" s="9" t="s">
        <v>50</v>
      </c>
      <c r="G88" s="7">
        <v>118363619328</v>
      </c>
      <c r="H88" s="6">
        <v>8.49</v>
      </c>
      <c r="I88" s="6">
        <v>6.55</v>
      </c>
      <c r="J88" s="12">
        <f t="shared" si="2"/>
        <v>0.15114503816793889</v>
      </c>
      <c r="K88" s="11">
        <v>3.580901856763926E-2</v>
      </c>
      <c r="L88" s="13">
        <v>25872572232</v>
      </c>
      <c r="M88" s="13">
        <v>387656475215</v>
      </c>
      <c r="N88" s="9" t="s">
        <v>50</v>
      </c>
      <c r="O88" s="6">
        <v>1</v>
      </c>
      <c r="P88" s="12">
        <v>6.5250802513280082E-2</v>
      </c>
      <c r="Q88" s="12">
        <v>6.6740977866165369E-2</v>
      </c>
      <c r="R88" s="14">
        <v>64</v>
      </c>
    </row>
    <row r="89" spans="2:18" x14ac:dyDescent="0.5">
      <c r="B89" s="1" t="s">
        <v>849</v>
      </c>
      <c r="C89" t="s">
        <v>921</v>
      </c>
      <c r="D89" t="s">
        <v>81</v>
      </c>
      <c r="E89">
        <v>10.41</v>
      </c>
      <c r="F89" s="9" t="s">
        <v>50</v>
      </c>
      <c r="G89" s="7">
        <v>122303094784</v>
      </c>
      <c r="H89" s="6">
        <v>12.9</v>
      </c>
      <c r="I89" s="6">
        <v>7.57</v>
      </c>
      <c r="J89" s="12">
        <f t="shared" si="2"/>
        <v>0.37516512549537651</v>
      </c>
      <c r="K89" s="11">
        <v>1.7291066282420747E-2</v>
      </c>
      <c r="L89" s="13">
        <v>7951769756.5299997</v>
      </c>
      <c r="M89" s="13">
        <v>91267953536.220001</v>
      </c>
      <c r="N89" s="9" t="s">
        <v>50</v>
      </c>
      <c r="O89" s="6">
        <v>1</v>
      </c>
      <c r="P89" s="12">
        <v>5.4521557606053025E-2</v>
      </c>
      <c r="Q89" s="12">
        <v>8.7125540219046463E-2</v>
      </c>
      <c r="R89" s="14">
        <v>65</v>
      </c>
    </row>
    <row r="90" spans="2:18" x14ac:dyDescent="0.5">
      <c r="B90" s="1" t="s">
        <v>826</v>
      </c>
      <c r="C90" t="s">
        <v>897</v>
      </c>
      <c r="D90" t="s">
        <v>55</v>
      </c>
      <c r="E90">
        <v>86.81</v>
      </c>
      <c r="F90" s="9" t="s">
        <v>50</v>
      </c>
      <c r="G90" s="7">
        <v>88175722496</v>
      </c>
      <c r="H90" s="6">
        <v>111.03</v>
      </c>
      <c r="I90" s="6">
        <v>55.5</v>
      </c>
      <c r="J90" s="12">
        <f t="shared" si="2"/>
        <v>0.56414414414414416</v>
      </c>
      <c r="K90" s="11">
        <v>1.0367469185577698E-2</v>
      </c>
      <c r="L90" s="13">
        <v>3278438539.71</v>
      </c>
      <c r="M90" s="13">
        <v>32998524770.669998</v>
      </c>
      <c r="N90" s="9" t="s">
        <v>50</v>
      </c>
      <c r="O90" s="6">
        <v>1</v>
      </c>
      <c r="P90" s="12">
        <v>3.7782914400233875E-2</v>
      </c>
      <c r="Q90" s="12">
        <v>9.9351063797372144E-2</v>
      </c>
      <c r="R90" s="14">
        <v>66</v>
      </c>
    </row>
    <row r="91" spans="2:18" x14ac:dyDescent="0.5">
      <c r="B91" s="1" t="s">
        <v>484</v>
      </c>
      <c r="C91" t="s">
        <v>518</v>
      </c>
      <c r="D91" t="s">
        <v>300</v>
      </c>
      <c r="E91">
        <v>3.17</v>
      </c>
      <c r="F91" s="9" t="s">
        <v>50</v>
      </c>
      <c r="G91" s="7">
        <v>132160995328</v>
      </c>
      <c r="H91" s="6">
        <v>3.94</v>
      </c>
      <c r="I91" s="6">
        <v>2.13</v>
      </c>
      <c r="J91" s="12">
        <f t="shared" si="2"/>
        <v>0.48826291079812201</v>
      </c>
      <c r="K91" s="11">
        <v>8.2018927444794942E-3</v>
      </c>
      <c r="L91" s="13">
        <v>21889640000</v>
      </c>
      <c r="M91" s="13">
        <v>403626754000</v>
      </c>
      <c r="N91" s="9" t="s">
        <v>50</v>
      </c>
      <c r="O91" s="6">
        <v>1</v>
      </c>
      <c r="P91" s="12">
        <v>6.6064929240703618E-2</v>
      </c>
      <c r="Q91" s="12">
        <v>5.4232381236056518E-2</v>
      </c>
      <c r="R91" s="14">
        <v>67</v>
      </c>
    </row>
    <row r="92" spans="2:18" x14ac:dyDescent="0.5">
      <c r="B92" s="1" t="s">
        <v>812</v>
      </c>
      <c r="C92" t="s">
        <v>880</v>
      </c>
      <c r="D92" t="s">
        <v>881</v>
      </c>
      <c r="E92">
        <v>6.57</v>
      </c>
      <c r="F92" s="9" t="s">
        <v>50</v>
      </c>
      <c r="G92" s="7">
        <v>143108308992</v>
      </c>
      <c r="H92" s="6">
        <v>7.83</v>
      </c>
      <c r="I92" s="6">
        <v>6.46</v>
      </c>
      <c r="J92" s="12">
        <f t="shared" si="2"/>
        <v>1.7027863777089758E-2</v>
      </c>
      <c r="K92" s="11">
        <v>3.3485540334855401E-2</v>
      </c>
      <c r="L92" s="13">
        <v>10855664640.76</v>
      </c>
      <c r="M92" s="13">
        <v>228180280563.95001</v>
      </c>
      <c r="N92" s="9" t="s">
        <v>50</v>
      </c>
      <c r="O92" s="6">
        <v>1</v>
      </c>
      <c r="P92" s="12">
        <v>6.533141735598047E-2</v>
      </c>
      <c r="Q92" s="12">
        <v>4.7574946502520324E-2</v>
      </c>
      <c r="R92" s="14">
        <v>68</v>
      </c>
    </row>
    <row r="93" spans="2:18" x14ac:dyDescent="0.5">
      <c r="B93" s="1" t="s">
        <v>806</v>
      </c>
      <c r="C93" t="s">
        <v>874</v>
      </c>
      <c r="D93" t="s">
        <v>246</v>
      </c>
      <c r="E93">
        <v>35.409999999999997</v>
      </c>
      <c r="F93" s="9" t="s">
        <v>50</v>
      </c>
      <c r="G93" s="7">
        <v>95598010368</v>
      </c>
      <c r="H93" s="6">
        <v>43.92</v>
      </c>
      <c r="I93" s="6">
        <v>21.96</v>
      </c>
      <c r="J93" s="12">
        <f t="shared" si="2"/>
        <v>0.61247723132969023</v>
      </c>
      <c r="K93" s="11">
        <v>1.1578650098842135E-2</v>
      </c>
      <c r="L93" s="13">
        <v>2605317217.75</v>
      </c>
      <c r="M93" s="13">
        <v>21330782043.41</v>
      </c>
      <c r="N93" s="9" t="s">
        <v>50</v>
      </c>
      <c r="O93" s="6">
        <v>1</v>
      </c>
      <c r="P93" s="12">
        <v>2.6863725551167245E-2</v>
      </c>
      <c r="Q93" s="12">
        <v>0.12213885137675461</v>
      </c>
      <c r="R93" s="14">
        <v>69</v>
      </c>
    </row>
    <row r="94" spans="2:18" x14ac:dyDescent="0.5">
      <c r="B94" s="1" t="s">
        <v>861</v>
      </c>
      <c r="C94" t="s">
        <v>931</v>
      </c>
      <c r="D94" t="s">
        <v>365</v>
      </c>
      <c r="E94">
        <v>18.02</v>
      </c>
      <c r="F94" s="9" t="s">
        <v>50</v>
      </c>
      <c r="G94" s="7">
        <v>22886236160</v>
      </c>
      <c r="H94" s="6">
        <v>21.11</v>
      </c>
      <c r="I94" s="6">
        <v>11.17</v>
      </c>
      <c r="J94" s="12">
        <f t="shared" si="2"/>
        <v>0.61324977618621301</v>
      </c>
      <c r="K94" s="11">
        <v>0</v>
      </c>
      <c r="L94" s="13">
        <v>1118187772.05</v>
      </c>
      <c r="M94" s="13">
        <v>13380682396.17</v>
      </c>
      <c r="N94" s="9" t="s">
        <v>50</v>
      </c>
      <c r="O94" s="6">
        <v>1</v>
      </c>
      <c r="P94" s="12">
        <v>4.5717024515746225E-2</v>
      </c>
      <c r="Q94" s="12">
        <v>8.3567320331141171E-2</v>
      </c>
      <c r="R94" s="14">
        <v>69</v>
      </c>
    </row>
    <row r="95" spans="2:18" x14ac:dyDescent="0.5">
      <c r="B95" s="1" t="s">
        <v>858</v>
      </c>
      <c r="C95" t="s">
        <v>928</v>
      </c>
      <c r="D95" t="s">
        <v>236</v>
      </c>
      <c r="E95">
        <v>25.7</v>
      </c>
      <c r="F95" s="9" t="s">
        <v>50</v>
      </c>
      <c r="G95" s="7">
        <v>87712808960</v>
      </c>
      <c r="H95" s="6">
        <v>31.82</v>
      </c>
      <c r="I95" s="6">
        <v>12.1</v>
      </c>
      <c r="J95" s="12">
        <f t="shared" si="2"/>
        <v>1.1239669421487601</v>
      </c>
      <c r="K95" s="11">
        <v>1.1673151750972763E-2</v>
      </c>
      <c r="L95" s="13">
        <v>3335749366.2600002</v>
      </c>
      <c r="M95" s="13">
        <v>39243802205.440002</v>
      </c>
      <c r="N95" s="9" t="s">
        <v>50</v>
      </c>
      <c r="O95" s="6">
        <v>1</v>
      </c>
      <c r="P95" s="12">
        <v>4.4224838891069027E-2</v>
      </c>
      <c r="Q95" s="12">
        <v>8.500066708107086E-2</v>
      </c>
      <c r="R95" s="14">
        <v>70</v>
      </c>
    </row>
    <row r="96" spans="2:18" x14ac:dyDescent="0.5">
      <c r="B96" s="1" t="s">
        <v>559</v>
      </c>
      <c r="C96" t="s">
        <v>570</v>
      </c>
      <c r="D96" t="s">
        <v>423</v>
      </c>
      <c r="E96">
        <v>34.270000000000003</v>
      </c>
      <c r="F96" s="9" t="s">
        <v>50</v>
      </c>
      <c r="G96" s="7">
        <v>163931750400</v>
      </c>
      <c r="H96" s="6">
        <v>55.85</v>
      </c>
      <c r="I96" s="6">
        <v>28.67</v>
      </c>
      <c r="J96" s="12">
        <f t="shared" si="2"/>
        <v>0.19532612486920131</v>
      </c>
      <c r="K96" s="11">
        <v>1.1992996790195505E-2</v>
      </c>
      <c r="L96" s="13">
        <v>10046919000</v>
      </c>
      <c r="M96" s="13">
        <v>132576452000</v>
      </c>
      <c r="N96" s="9" t="s">
        <v>50</v>
      </c>
      <c r="O96" s="6">
        <v>1</v>
      </c>
      <c r="P96" s="12">
        <v>5.1214778408882854E-2</v>
      </c>
      <c r="Q96" s="12">
        <v>7.5782077800664024E-2</v>
      </c>
      <c r="R96" s="14">
        <v>71</v>
      </c>
    </row>
    <row r="97" spans="2:18" x14ac:dyDescent="0.5">
      <c r="B97" s="1" t="s">
        <v>864</v>
      </c>
      <c r="C97" t="s">
        <v>934</v>
      </c>
      <c r="D97" t="s">
        <v>427</v>
      </c>
      <c r="E97">
        <v>33.33</v>
      </c>
      <c r="F97" s="9" t="s">
        <v>50</v>
      </c>
      <c r="G97" s="7">
        <v>19409053696</v>
      </c>
      <c r="H97" s="6">
        <v>54.8</v>
      </c>
      <c r="I97" s="6">
        <v>33.33</v>
      </c>
      <c r="J97" s="12">
        <f t="shared" si="2"/>
        <v>0</v>
      </c>
      <c r="K97" s="11">
        <v>2.1002100210021003E-2</v>
      </c>
      <c r="L97" s="13">
        <v>963211816.79999995</v>
      </c>
      <c r="M97" s="13">
        <v>13173323809.209999</v>
      </c>
      <c r="N97" s="9" t="s">
        <v>50</v>
      </c>
      <c r="O97" s="6">
        <v>1</v>
      </c>
      <c r="P97" s="12">
        <v>4.6182471232297718E-2</v>
      </c>
      <c r="Q97" s="12">
        <v>7.3118358794655905E-2</v>
      </c>
      <c r="R97" s="14">
        <v>72</v>
      </c>
    </row>
    <row r="98" spans="2:18" x14ac:dyDescent="0.5">
      <c r="B98" s="1" t="s">
        <v>9</v>
      </c>
      <c r="C98" t="s">
        <v>52</v>
      </c>
      <c r="D98" t="s">
        <v>53</v>
      </c>
      <c r="E98">
        <v>61.24</v>
      </c>
      <c r="F98" s="9" t="s">
        <v>50</v>
      </c>
      <c r="G98" s="7">
        <v>35453140992</v>
      </c>
      <c r="H98" s="6">
        <v>111.69</v>
      </c>
      <c r="I98" s="6">
        <v>42.3</v>
      </c>
      <c r="J98" s="12">
        <f t="shared" ref="J98:J129" si="3">E98/I98-1</f>
        <v>0.44775413711583933</v>
      </c>
      <c r="K98" s="11">
        <v>7.3481384715871978E-3</v>
      </c>
      <c r="L98" s="13">
        <v>939613185.05999994</v>
      </c>
      <c r="M98" s="13">
        <v>9067794807.8099995</v>
      </c>
      <c r="N98" s="9" t="s">
        <v>50</v>
      </c>
      <c r="O98" s="6">
        <v>1</v>
      </c>
      <c r="P98" s="12">
        <v>2.9051545132658334E-2</v>
      </c>
      <c r="Q98" s="12">
        <v>0.10362091390188061</v>
      </c>
      <c r="R98" s="14">
        <v>73</v>
      </c>
    </row>
    <row r="99" spans="2:18" x14ac:dyDescent="0.5">
      <c r="B99" s="1" t="s">
        <v>490</v>
      </c>
      <c r="C99" t="s">
        <v>525</v>
      </c>
      <c r="D99" t="s">
        <v>524</v>
      </c>
      <c r="E99">
        <v>4.2</v>
      </c>
      <c r="F99" s="9" t="s">
        <v>50</v>
      </c>
      <c r="G99" s="7">
        <v>77728186368</v>
      </c>
      <c r="H99" s="6">
        <v>4.99</v>
      </c>
      <c r="I99" s="6">
        <v>2.69</v>
      </c>
      <c r="J99" s="12">
        <f t="shared" si="3"/>
        <v>0.56133828996282542</v>
      </c>
      <c r="K99" s="11">
        <v>2.7857142857142858E-2</v>
      </c>
      <c r="L99" s="13">
        <v>13880855000</v>
      </c>
      <c r="M99" s="13">
        <v>234487155000</v>
      </c>
      <c r="N99" s="9" t="s">
        <v>50</v>
      </c>
      <c r="O99" s="6">
        <v>1</v>
      </c>
      <c r="P99" s="12">
        <v>5.4685774505884417E-2</v>
      </c>
      <c r="Q99" s="12">
        <v>5.9196654076851249E-2</v>
      </c>
      <c r="R99" s="14">
        <v>74</v>
      </c>
    </row>
    <row r="100" spans="2:18" x14ac:dyDescent="0.5">
      <c r="B100" s="1" t="s">
        <v>511</v>
      </c>
      <c r="C100" t="s">
        <v>550</v>
      </c>
      <c r="D100" t="s">
        <v>178</v>
      </c>
      <c r="E100">
        <v>83.76</v>
      </c>
      <c r="F100" s="9" t="s">
        <v>50</v>
      </c>
      <c r="G100" s="7">
        <v>122550583296</v>
      </c>
      <c r="H100" s="6">
        <v>128.12</v>
      </c>
      <c r="I100" s="6">
        <v>58.7</v>
      </c>
      <c r="J100" s="12">
        <f t="shared" si="3"/>
        <v>0.42691652470187402</v>
      </c>
      <c r="K100" s="11">
        <v>0</v>
      </c>
      <c r="L100" s="13">
        <v>2349708213.3800001</v>
      </c>
      <c r="M100" s="13">
        <v>20522336937.23</v>
      </c>
      <c r="N100" s="9" t="s">
        <v>50</v>
      </c>
      <c r="O100" s="6">
        <v>1</v>
      </c>
      <c r="P100" s="12">
        <v>2.0091179749284763E-2</v>
      </c>
      <c r="Q100" s="12">
        <v>0.11449515815702964</v>
      </c>
      <c r="R100" s="14">
        <v>75</v>
      </c>
    </row>
    <row r="101" spans="2:18" x14ac:dyDescent="0.5">
      <c r="B101" s="1" t="s">
        <v>813</v>
      </c>
      <c r="C101" t="s">
        <v>882</v>
      </c>
      <c r="D101" t="s">
        <v>216</v>
      </c>
      <c r="E101">
        <v>45</v>
      </c>
      <c r="F101" s="9" t="s">
        <v>50</v>
      </c>
      <c r="G101" s="7">
        <v>155822833664</v>
      </c>
      <c r="H101" s="6">
        <v>70.7</v>
      </c>
      <c r="I101" s="6">
        <v>19.010000000000002</v>
      </c>
      <c r="J101" s="12">
        <f t="shared" si="3"/>
        <v>1.3671751709626512</v>
      </c>
      <c r="K101" s="11">
        <v>2.4444444444444446E-2</v>
      </c>
      <c r="L101" s="13">
        <v>9204388464</v>
      </c>
      <c r="M101" s="13">
        <v>139904368237</v>
      </c>
      <c r="N101" s="9" t="s">
        <v>50</v>
      </c>
      <c r="O101" s="6">
        <v>1</v>
      </c>
      <c r="P101" s="12">
        <v>4.7611828212873776E-2</v>
      </c>
      <c r="Q101" s="12">
        <v>6.5790572374463924E-2</v>
      </c>
      <c r="R101" s="14">
        <v>76</v>
      </c>
    </row>
    <row r="102" spans="2:18" x14ac:dyDescent="0.5">
      <c r="B102" s="1" t="s">
        <v>825</v>
      </c>
      <c r="C102" t="s">
        <v>896</v>
      </c>
      <c r="D102" t="s">
        <v>55</v>
      </c>
      <c r="E102">
        <v>23.43</v>
      </c>
      <c r="F102" s="9" t="s">
        <v>50</v>
      </c>
      <c r="G102" s="7">
        <v>83074465792</v>
      </c>
      <c r="H102" s="6">
        <v>40.68</v>
      </c>
      <c r="I102" s="6">
        <v>17.11</v>
      </c>
      <c r="J102" s="12">
        <f t="shared" si="3"/>
        <v>0.36937463471654008</v>
      </c>
      <c r="K102" s="11">
        <v>1.2804097311139564E-2</v>
      </c>
      <c r="L102" s="13">
        <v>3346031954.21</v>
      </c>
      <c r="M102" s="13">
        <v>42240817996.540001</v>
      </c>
      <c r="N102" s="9" t="s">
        <v>50</v>
      </c>
      <c r="O102" s="6">
        <v>1</v>
      </c>
      <c r="P102" s="12">
        <v>4.1692574796604362E-2</v>
      </c>
      <c r="Q102" s="12">
        <v>7.9213237643363771E-2</v>
      </c>
      <c r="R102" s="14">
        <v>77</v>
      </c>
    </row>
    <row r="103" spans="2:18" x14ac:dyDescent="0.5">
      <c r="B103" s="1" t="s">
        <v>844</v>
      </c>
      <c r="C103" t="s">
        <v>916</v>
      </c>
      <c r="D103" t="s">
        <v>236</v>
      </c>
      <c r="E103">
        <v>70.8</v>
      </c>
      <c r="F103" s="9" t="s">
        <v>50</v>
      </c>
      <c r="G103" s="7">
        <v>146847776768</v>
      </c>
      <c r="H103" s="6">
        <v>94.44</v>
      </c>
      <c r="I103" s="6">
        <v>37.31</v>
      </c>
      <c r="J103" s="12">
        <f t="shared" si="3"/>
        <v>0.89761458054140952</v>
      </c>
      <c r="K103" s="11">
        <v>1.0522598870056498E-2</v>
      </c>
      <c r="L103" s="13">
        <v>5273336756.1199999</v>
      </c>
      <c r="M103" s="13">
        <v>56885161743.849998</v>
      </c>
      <c r="N103" s="9" t="s">
        <v>50</v>
      </c>
      <c r="O103" s="6">
        <v>1</v>
      </c>
      <c r="P103" s="12">
        <v>3.2294025170412646E-2</v>
      </c>
      <c r="Q103" s="12">
        <v>9.2701446114638389E-2</v>
      </c>
      <c r="R103" s="14">
        <v>77</v>
      </c>
    </row>
    <row r="104" spans="2:18" x14ac:dyDescent="0.5">
      <c r="B104" s="1" t="s">
        <v>496</v>
      </c>
      <c r="C104" t="s">
        <v>533</v>
      </c>
      <c r="D104" t="s">
        <v>534</v>
      </c>
      <c r="E104">
        <v>2.68</v>
      </c>
      <c r="F104" s="9" t="s">
        <v>50</v>
      </c>
      <c r="G104" s="7">
        <v>35369717760</v>
      </c>
      <c r="H104" s="6">
        <v>3.25</v>
      </c>
      <c r="I104" s="6">
        <v>2.11</v>
      </c>
      <c r="J104" s="12">
        <f t="shared" si="3"/>
        <v>0.27014218009478697</v>
      </c>
      <c r="K104" s="11">
        <v>1.5298507462686567E-2</v>
      </c>
      <c r="L104" s="13">
        <v>5814662389.1800003</v>
      </c>
      <c r="M104" s="13">
        <v>102256651904.24001</v>
      </c>
      <c r="N104" s="9" t="s">
        <v>50</v>
      </c>
      <c r="O104" s="6">
        <v>1</v>
      </c>
      <c r="P104" s="12">
        <v>5.0335516760371062E-2</v>
      </c>
      <c r="Q104" s="12">
        <v>5.686341456422063E-2</v>
      </c>
      <c r="R104" s="14">
        <v>78</v>
      </c>
    </row>
    <row r="105" spans="2:18" x14ac:dyDescent="0.5">
      <c r="B105" s="1" t="s">
        <v>944</v>
      </c>
      <c r="C105" t="s">
        <v>945</v>
      </c>
      <c r="D105" t="s">
        <v>178</v>
      </c>
      <c r="E105">
        <v>59.5</v>
      </c>
      <c r="F105" s="9" t="s">
        <v>50</v>
      </c>
      <c r="G105" s="7">
        <v>87374364672</v>
      </c>
      <c r="H105" s="6">
        <v>80.8</v>
      </c>
      <c r="I105" s="6">
        <v>41.57</v>
      </c>
      <c r="J105" s="12">
        <f t="shared" si="3"/>
        <v>0.43132066394034152</v>
      </c>
      <c r="K105" s="11">
        <v>1.9327731092436975E-3</v>
      </c>
      <c r="L105" s="13">
        <v>2565354264.6700001</v>
      </c>
      <c r="M105" s="13">
        <v>27210073130.389999</v>
      </c>
      <c r="N105" s="9" t="s">
        <v>50</v>
      </c>
      <c r="O105" s="6">
        <v>1</v>
      </c>
      <c r="P105" s="12">
        <v>2.891582891051608E-2</v>
      </c>
      <c r="Q105" s="12">
        <v>9.4279579932655302E-2</v>
      </c>
      <c r="R105" s="14">
        <v>79</v>
      </c>
    </row>
    <row r="106" spans="2:18" x14ac:dyDescent="0.5">
      <c r="B106" s="1" t="s">
        <v>505</v>
      </c>
      <c r="C106" t="s">
        <v>543</v>
      </c>
      <c r="D106" t="s">
        <v>246</v>
      </c>
      <c r="E106">
        <v>41.54</v>
      </c>
      <c r="F106" s="9" t="s">
        <v>50</v>
      </c>
      <c r="G106" s="7">
        <v>69709258752</v>
      </c>
      <c r="H106" s="6">
        <v>53.57</v>
      </c>
      <c r="I106" s="6">
        <v>12.65</v>
      </c>
      <c r="J106" s="12">
        <f t="shared" si="3"/>
        <v>2.2837944664031617</v>
      </c>
      <c r="K106" s="11">
        <v>0</v>
      </c>
      <c r="L106" s="13">
        <v>2711289799.9699998</v>
      </c>
      <c r="M106" s="13">
        <v>32574641021.720001</v>
      </c>
      <c r="N106" s="9" t="s">
        <v>50</v>
      </c>
      <c r="O106" s="6">
        <v>1</v>
      </c>
      <c r="P106" s="12">
        <v>3.2853023789361606E-2</v>
      </c>
      <c r="Q106" s="12">
        <v>8.3233144400952128E-2</v>
      </c>
      <c r="R106" s="14">
        <v>80</v>
      </c>
    </row>
    <row r="107" spans="2:18" x14ac:dyDescent="0.5">
      <c r="B107" s="1" t="s">
        <v>807</v>
      </c>
      <c r="C107" t="s">
        <v>875</v>
      </c>
      <c r="D107" t="s">
        <v>246</v>
      </c>
      <c r="E107">
        <v>44.6</v>
      </c>
      <c r="F107" s="9" t="s">
        <v>50</v>
      </c>
      <c r="G107" s="7">
        <v>52726427648</v>
      </c>
      <c r="H107" s="6">
        <v>67.459999999999994</v>
      </c>
      <c r="I107" s="6">
        <v>44.6</v>
      </c>
      <c r="J107" s="12">
        <f t="shared" si="3"/>
        <v>0</v>
      </c>
      <c r="K107" s="11">
        <v>1.0089686098654708E-2</v>
      </c>
      <c r="L107" s="13">
        <v>3135548585.4299998</v>
      </c>
      <c r="M107" s="13">
        <v>55234547863.910004</v>
      </c>
      <c r="N107" s="9" t="s">
        <v>50</v>
      </c>
      <c r="O107" s="6">
        <v>1</v>
      </c>
      <c r="P107" s="12">
        <v>3.7547732545048548E-2</v>
      </c>
      <c r="Q107" s="12">
        <v>5.6767887249761534E-2</v>
      </c>
      <c r="R107" s="14">
        <v>81</v>
      </c>
    </row>
    <row r="108" spans="2:18" x14ac:dyDescent="0.5">
      <c r="B108" s="1" t="s">
        <v>809</v>
      </c>
      <c r="C108" t="s">
        <v>877</v>
      </c>
      <c r="D108" t="s">
        <v>246</v>
      </c>
      <c r="E108">
        <v>31.5</v>
      </c>
      <c r="F108" s="9" t="s">
        <v>50</v>
      </c>
      <c r="G108" s="7">
        <v>40634986496</v>
      </c>
      <c r="H108" s="6">
        <v>40.33</v>
      </c>
      <c r="I108" s="6">
        <v>23.57</v>
      </c>
      <c r="J108" s="12">
        <f t="shared" si="3"/>
        <v>0.33644463300806104</v>
      </c>
      <c r="K108" s="11">
        <v>9.0793650793650794E-3</v>
      </c>
      <c r="L108" s="13">
        <v>1286247185.0699999</v>
      </c>
      <c r="M108" s="13">
        <v>20084191810.290001</v>
      </c>
      <c r="N108" s="9" t="s">
        <v>50</v>
      </c>
      <c r="O108" s="6">
        <v>1</v>
      </c>
      <c r="P108" s="12">
        <v>3.3169557617408453E-2</v>
      </c>
      <c r="Q108" s="12">
        <v>6.4042765435599946E-2</v>
      </c>
      <c r="R108" s="14">
        <v>82</v>
      </c>
    </row>
    <row r="109" spans="2:18" x14ac:dyDescent="0.5">
      <c r="B109" s="1" t="s">
        <v>822</v>
      </c>
      <c r="C109" t="s">
        <v>893</v>
      </c>
      <c r="D109" t="s">
        <v>102</v>
      </c>
      <c r="E109">
        <v>4.08</v>
      </c>
      <c r="F109" s="9" t="s">
        <v>50</v>
      </c>
      <c r="G109" s="7">
        <v>151140843520</v>
      </c>
      <c r="H109" s="6">
        <v>4.7300000000000004</v>
      </c>
      <c r="I109" s="6">
        <v>3.64</v>
      </c>
      <c r="J109" s="12">
        <f t="shared" si="3"/>
        <v>0.12087912087912089</v>
      </c>
      <c r="K109" s="11">
        <v>1.2254901960784314E-2</v>
      </c>
      <c r="L109" s="13">
        <v>9118913513</v>
      </c>
      <c r="M109" s="13">
        <v>235433264214</v>
      </c>
      <c r="N109" s="9" t="s">
        <v>50</v>
      </c>
      <c r="O109" s="6">
        <v>1</v>
      </c>
      <c r="P109" s="12">
        <v>4.079651296800945E-2</v>
      </c>
      <c r="Q109" s="12">
        <v>3.8732477092579619E-2</v>
      </c>
      <c r="R109" s="14">
        <v>83</v>
      </c>
    </row>
    <row r="110" spans="2:18" x14ac:dyDescent="0.5">
      <c r="B110" s="1" t="s">
        <v>502</v>
      </c>
      <c r="C110" t="s">
        <v>540</v>
      </c>
      <c r="D110" t="s">
        <v>49</v>
      </c>
      <c r="E110">
        <v>16.670000000000002</v>
      </c>
      <c r="F110" s="9" t="s">
        <v>50</v>
      </c>
      <c r="G110" s="7">
        <v>25880078336</v>
      </c>
      <c r="H110" s="6">
        <v>22.04</v>
      </c>
      <c r="I110" s="6">
        <v>14.35</v>
      </c>
      <c r="J110" s="12">
        <f t="shared" si="3"/>
        <v>0.16167247386759587</v>
      </c>
      <c r="K110" s="11">
        <v>4.7990401919616074E-4</v>
      </c>
      <c r="L110" s="13">
        <v>943439478.23000002</v>
      </c>
      <c r="M110" s="13">
        <v>16822667517.299999</v>
      </c>
      <c r="N110" s="9" t="s">
        <v>50</v>
      </c>
      <c r="O110" s="6">
        <v>1</v>
      </c>
      <c r="P110" s="12">
        <v>3.5862348929512039E-2</v>
      </c>
      <c r="Q110" s="12">
        <v>5.608144352016653E-2</v>
      </c>
      <c r="R110" s="14">
        <v>84</v>
      </c>
    </row>
    <row r="111" spans="2:18" x14ac:dyDescent="0.5">
      <c r="B111" s="1" t="s">
        <v>824</v>
      </c>
      <c r="C111" t="s">
        <v>895</v>
      </c>
      <c r="D111" t="s">
        <v>102</v>
      </c>
      <c r="E111">
        <v>29.35</v>
      </c>
      <c r="F111" s="9" t="s">
        <v>50</v>
      </c>
      <c r="G111" s="7">
        <v>154931052544</v>
      </c>
      <c r="H111" s="6">
        <v>43.44</v>
      </c>
      <c r="I111" s="6">
        <v>16.399999999999999</v>
      </c>
      <c r="J111" s="12">
        <f t="shared" si="3"/>
        <v>0.78963414634146356</v>
      </c>
      <c r="K111" s="11">
        <v>1.7035775127768313E-2</v>
      </c>
      <c r="L111" s="13">
        <v>4233332841.1799998</v>
      </c>
      <c r="M111" s="13">
        <v>58025955886.330002</v>
      </c>
      <c r="N111" s="9" t="s">
        <v>50</v>
      </c>
      <c r="O111" s="6">
        <v>1</v>
      </c>
      <c r="P111" s="12">
        <v>2.6713995651999924E-2</v>
      </c>
      <c r="Q111" s="12">
        <v>7.295584840468447E-2</v>
      </c>
      <c r="R111" s="14">
        <v>85</v>
      </c>
    </row>
    <row r="112" spans="2:18" x14ac:dyDescent="0.5">
      <c r="B112" s="1" t="s">
        <v>499</v>
      </c>
      <c r="C112" t="s">
        <v>537</v>
      </c>
      <c r="D112" t="s">
        <v>534</v>
      </c>
      <c r="E112">
        <v>33.15</v>
      </c>
      <c r="F112" s="9" t="s">
        <v>50</v>
      </c>
      <c r="G112" s="7">
        <v>249474351104</v>
      </c>
      <c r="H112" s="6">
        <v>40.98</v>
      </c>
      <c r="I112" s="6">
        <v>26.93</v>
      </c>
      <c r="J112" s="12">
        <f t="shared" si="3"/>
        <v>0.23096917935388039</v>
      </c>
      <c r="K112" s="11">
        <v>7.5414781297134239E-3</v>
      </c>
      <c r="L112" s="13">
        <v>4449656593.3100004</v>
      </c>
      <c r="M112" s="13">
        <v>63010033611.870003</v>
      </c>
      <c r="N112" s="9" t="s">
        <v>50</v>
      </c>
      <c r="O112" s="6">
        <v>1</v>
      </c>
      <c r="P112" s="12">
        <v>2.2029400976186986E-2</v>
      </c>
      <c r="Q112" s="12">
        <v>7.0618222817004847E-2</v>
      </c>
      <c r="R112" s="14">
        <v>86</v>
      </c>
    </row>
    <row r="113" spans="2:18" x14ac:dyDescent="0.5">
      <c r="B113" s="1" t="s">
        <v>835</v>
      </c>
      <c r="C113" t="s">
        <v>907</v>
      </c>
      <c r="D113" t="s">
        <v>148</v>
      </c>
      <c r="E113">
        <v>9.0299999999999994</v>
      </c>
      <c r="F113" s="9" t="s">
        <v>50</v>
      </c>
      <c r="G113" s="7">
        <v>81414766592</v>
      </c>
      <c r="H113" s="6">
        <v>11.1</v>
      </c>
      <c r="I113" s="6">
        <v>8.43</v>
      </c>
      <c r="J113" s="12">
        <f t="shared" si="3"/>
        <v>7.1174377224199281E-2</v>
      </c>
      <c r="K113" s="11">
        <v>5.6478405315614618E-3</v>
      </c>
      <c r="L113" s="13">
        <v>8827525764.0300007</v>
      </c>
      <c r="M113" s="13">
        <v>285087401831.71002</v>
      </c>
      <c r="N113" s="9" t="s">
        <v>50</v>
      </c>
      <c r="O113" s="6">
        <v>1</v>
      </c>
      <c r="P113" s="12">
        <v>3.621041216339501E-2</v>
      </c>
      <c r="Q113" s="12">
        <v>3.0964278699488021E-2</v>
      </c>
      <c r="R113" s="14">
        <v>87</v>
      </c>
    </row>
    <row r="114" spans="2:18" x14ac:dyDescent="0.5">
      <c r="B114" s="1" t="s">
        <v>506</v>
      </c>
      <c r="C114" t="s">
        <v>544</v>
      </c>
      <c r="D114" t="s">
        <v>300</v>
      </c>
      <c r="E114">
        <v>5.68</v>
      </c>
      <c r="F114" s="9" t="s">
        <v>50</v>
      </c>
      <c r="G114" s="7">
        <v>16970908672</v>
      </c>
      <c r="H114" s="6">
        <v>7.11</v>
      </c>
      <c r="I114" s="6">
        <v>3.95</v>
      </c>
      <c r="J114" s="12">
        <f t="shared" si="3"/>
        <v>0.43797468354430369</v>
      </c>
      <c r="K114" s="11">
        <v>0</v>
      </c>
      <c r="L114" s="13">
        <v>798742000</v>
      </c>
      <c r="M114" s="13">
        <v>19715428000</v>
      </c>
      <c r="N114" s="9" t="s">
        <v>50</v>
      </c>
      <c r="O114" s="6">
        <v>1</v>
      </c>
      <c r="P114" s="12">
        <v>2.961481519034645E-2</v>
      </c>
      <c r="Q114" s="12">
        <v>4.0513551113371724E-2</v>
      </c>
      <c r="R114" s="14">
        <v>88</v>
      </c>
    </row>
    <row r="115" spans="2:18" x14ac:dyDescent="0.5">
      <c r="B115" s="1" t="s">
        <v>862</v>
      </c>
      <c r="C115" t="s">
        <v>932</v>
      </c>
      <c r="D115" t="s">
        <v>49</v>
      </c>
      <c r="E115">
        <v>8.44</v>
      </c>
      <c r="F115" s="9" t="s">
        <v>50</v>
      </c>
      <c r="G115" s="7">
        <v>26729005056</v>
      </c>
      <c r="H115" s="6">
        <v>9.6999999999999993</v>
      </c>
      <c r="I115" s="6">
        <v>4.99</v>
      </c>
      <c r="J115" s="12">
        <f t="shared" si="3"/>
        <v>0.69138276553106204</v>
      </c>
      <c r="K115" s="11">
        <v>2.2393364928909955E-2</v>
      </c>
      <c r="L115" s="13">
        <v>797036927.94000006</v>
      </c>
      <c r="M115" s="13">
        <v>21025079842.189999</v>
      </c>
      <c r="N115" s="9" t="s">
        <v>50</v>
      </c>
      <c r="O115" s="6">
        <v>1</v>
      </c>
      <c r="P115" s="12">
        <v>3.1459152587609555E-2</v>
      </c>
      <c r="Q115" s="12">
        <v>3.7908865693847452E-2</v>
      </c>
      <c r="R115" s="14">
        <v>88</v>
      </c>
    </row>
    <row r="116" spans="2:18" x14ac:dyDescent="0.5">
      <c r="B116" s="1" t="s">
        <v>501</v>
      </c>
      <c r="C116" t="s">
        <v>539</v>
      </c>
      <c r="D116" t="s">
        <v>534</v>
      </c>
      <c r="E116">
        <v>33.72</v>
      </c>
      <c r="F116" s="9" t="s">
        <v>50</v>
      </c>
      <c r="G116" s="7">
        <v>27646799872</v>
      </c>
      <c r="H116" s="6">
        <v>41.5</v>
      </c>
      <c r="I116" s="6">
        <v>33.39</v>
      </c>
      <c r="J116" s="12">
        <f t="shared" si="3"/>
        <v>9.8831985624436847E-3</v>
      </c>
      <c r="K116" s="11">
        <v>6.0498220640569393E-3</v>
      </c>
      <c r="L116" s="13">
        <v>605951793.63999999</v>
      </c>
      <c r="M116" s="13">
        <v>19290166367.68</v>
      </c>
      <c r="N116" s="9" t="s">
        <v>50</v>
      </c>
      <c r="O116" s="6">
        <v>1</v>
      </c>
      <c r="P116" s="12">
        <v>3.4044821173583442E-2</v>
      </c>
      <c r="Q116" s="12">
        <v>3.141247110523894E-2</v>
      </c>
      <c r="R116" s="14">
        <v>89</v>
      </c>
    </row>
    <row r="117" spans="2:18" x14ac:dyDescent="0.5">
      <c r="B117" s="1" t="s">
        <v>799</v>
      </c>
      <c r="C117" t="s">
        <v>866</v>
      </c>
      <c r="D117" t="s">
        <v>85</v>
      </c>
      <c r="E117">
        <v>29.81</v>
      </c>
      <c r="F117" s="9" t="s">
        <v>50</v>
      </c>
      <c r="G117" s="7">
        <v>161617641472</v>
      </c>
      <c r="H117" s="6">
        <v>34.340000000000003</v>
      </c>
      <c r="I117" s="6">
        <v>28.38</v>
      </c>
      <c r="J117" s="12">
        <f t="shared" si="3"/>
        <v>5.0387596899224896E-2</v>
      </c>
      <c r="K117" s="11">
        <v>0</v>
      </c>
      <c r="L117" s="13">
        <v>5843350000</v>
      </c>
      <c r="M117" s="13">
        <v>179409410000</v>
      </c>
      <c r="N117" s="9" t="s">
        <v>50</v>
      </c>
      <c r="O117" s="6">
        <v>1</v>
      </c>
      <c r="P117" s="12">
        <v>2.8781885574209444E-2</v>
      </c>
      <c r="Q117" s="12">
        <v>3.2569919270120783E-2</v>
      </c>
      <c r="R117" s="14">
        <v>90</v>
      </c>
    </row>
    <row r="118" spans="2:18" x14ac:dyDescent="0.5">
      <c r="B118" s="1" t="s">
        <v>555</v>
      </c>
      <c r="C118" t="s">
        <v>564</v>
      </c>
      <c r="D118" t="s">
        <v>565</v>
      </c>
      <c r="E118">
        <v>25.26</v>
      </c>
      <c r="F118" s="9" t="s">
        <v>50</v>
      </c>
      <c r="G118" s="7">
        <v>17950498816</v>
      </c>
      <c r="H118" s="6">
        <v>39</v>
      </c>
      <c r="I118" s="6">
        <v>24.9</v>
      </c>
      <c r="J118" s="12">
        <f t="shared" si="3"/>
        <v>1.4457831325301429E-2</v>
      </c>
      <c r="K118" s="11">
        <v>5.1068883610451308E-3</v>
      </c>
      <c r="L118" s="13">
        <v>299280592.93000001</v>
      </c>
      <c r="M118" s="13">
        <v>8835084844.8099995</v>
      </c>
      <c r="N118" s="9" t="s">
        <v>50</v>
      </c>
      <c r="O118" s="6">
        <v>1</v>
      </c>
      <c r="P118" s="12">
        <v>1.8396693597259105E-2</v>
      </c>
      <c r="Q118" s="12">
        <v>3.3874105137293234E-2</v>
      </c>
      <c r="R118" s="14">
        <v>91</v>
      </c>
    </row>
    <row r="119" spans="2:18" x14ac:dyDescent="0.5">
      <c r="B119" s="1" t="s">
        <v>493</v>
      </c>
      <c r="C119" t="s">
        <v>529</v>
      </c>
      <c r="D119" t="s">
        <v>530</v>
      </c>
      <c r="E119">
        <v>6.76</v>
      </c>
      <c r="F119" s="9" t="s">
        <v>50</v>
      </c>
      <c r="G119" s="7">
        <v>117951332352</v>
      </c>
      <c r="H119" s="6">
        <v>9.4499999999999993</v>
      </c>
      <c r="I119" s="6">
        <v>6.71</v>
      </c>
      <c r="J119" s="12">
        <f t="shared" si="3"/>
        <v>7.4515648286139768E-3</v>
      </c>
      <c r="K119" s="11">
        <v>0</v>
      </c>
      <c r="L119" s="13">
        <v>4793550000</v>
      </c>
      <c r="M119" s="13">
        <v>148871512000</v>
      </c>
      <c r="N119" s="9" t="s">
        <v>50</v>
      </c>
      <c r="O119" s="6">
        <v>1</v>
      </c>
      <c r="P119" s="12">
        <v>1.45679351845334E-2</v>
      </c>
      <c r="Q119" s="12">
        <v>3.2199243062702283E-2</v>
      </c>
      <c r="R119" s="14">
        <v>92</v>
      </c>
    </row>
    <row r="120" spans="2:18" x14ac:dyDescent="0.5">
      <c r="B120" s="1" t="s">
        <v>556</v>
      </c>
      <c r="C120" t="s">
        <v>566</v>
      </c>
      <c r="D120" t="s">
        <v>534</v>
      </c>
      <c r="E120">
        <v>21.61</v>
      </c>
      <c r="F120" s="9" t="s">
        <v>50</v>
      </c>
      <c r="G120" s="7">
        <v>71297859584</v>
      </c>
      <c r="H120" s="6">
        <v>32.24</v>
      </c>
      <c r="I120" s="6">
        <v>8.02</v>
      </c>
      <c r="J120" s="12">
        <f t="shared" si="3"/>
        <v>1.6945137157107233</v>
      </c>
      <c r="K120" s="11">
        <v>2.313743637204998E-3</v>
      </c>
      <c r="L120" s="13">
        <v>823353214.80999994</v>
      </c>
      <c r="M120" s="13">
        <v>24600134953.169998</v>
      </c>
      <c r="N120" s="9" t="s">
        <v>50</v>
      </c>
      <c r="O120" s="6">
        <v>1</v>
      </c>
      <c r="P120" s="12">
        <v>1.1649232518028491E-2</v>
      </c>
      <c r="Q120" s="12">
        <v>3.3469459268307869E-2</v>
      </c>
      <c r="R120" s="14">
        <v>92</v>
      </c>
    </row>
    <row r="121" spans="2:18" x14ac:dyDescent="0.5">
      <c r="B121" s="1" t="s">
        <v>839</v>
      </c>
      <c r="C121" t="s">
        <v>911</v>
      </c>
      <c r="D121" t="s">
        <v>314</v>
      </c>
      <c r="E121">
        <v>14.75</v>
      </c>
      <c r="F121" s="9" t="s">
        <v>50</v>
      </c>
      <c r="G121" s="7">
        <v>35233325056</v>
      </c>
      <c r="H121" s="6">
        <v>19.25</v>
      </c>
      <c r="I121" s="6">
        <v>10.26</v>
      </c>
      <c r="J121" s="12">
        <f t="shared" si="3"/>
        <v>0.43762183235867447</v>
      </c>
      <c r="K121" s="11">
        <v>0.18813559322033899</v>
      </c>
      <c r="L121" s="13">
        <v>683816416.95000005</v>
      </c>
      <c r="M121" s="13">
        <v>30469386639.139999</v>
      </c>
      <c r="N121" s="9" t="s">
        <v>50</v>
      </c>
      <c r="O121" s="6">
        <v>1</v>
      </c>
      <c r="P121" s="12">
        <v>1.9688294033595521E-2</v>
      </c>
      <c r="Q121" s="12">
        <v>2.2442736542375663E-2</v>
      </c>
      <c r="R121" s="14">
        <v>93</v>
      </c>
    </row>
    <row r="122" spans="2:18" x14ac:dyDescent="0.5">
      <c r="B122" s="1" t="s">
        <v>863</v>
      </c>
      <c r="C122" t="s">
        <v>933</v>
      </c>
      <c r="D122" t="s">
        <v>164</v>
      </c>
      <c r="E122">
        <v>8.5500000000000007</v>
      </c>
      <c r="F122" s="9" t="s">
        <v>50</v>
      </c>
      <c r="G122" s="7">
        <v>10998531072</v>
      </c>
      <c r="H122" s="6">
        <v>9.25</v>
      </c>
      <c r="I122" s="6">
        <v>5.99</v>
      </c>
      <c r="J122" s="12">
        <f t="shared" si="3"/>
        <v>0.42737896494156935</v>
      </c>
      <c r="K122" s="11">
        <v>7.3684210526315788E-3</v>
      </c>
      <c r="L122" s="13">
        <v>140546260.21000001</v>
      </c>
      <c r="M122" s="13">
        <v>6823229098.8500004</v>
      </c>
      <c r="N122" s="9" t="s">
        <v>50</v>
      </c>
      <c r="O122" s="6">
        <v>1</v>
      </c>
      <c r="P122" s="12">
        <v>1.2960844704267284E-2</v>
      </c>
      <c r="Q122" s="12">
        <v>2.0598203310172883E-2</v>
      </c>
      <c r="R122" s="14">
        <v>94</v>
      </c>
    </row>
    <row r="123" spans="2:18" x14ac:dyDescent="0.5">
      <c r="B123" s="1" t="s">
        <v>759</v>
      </c>
      <c r="C123" t="s">
        <v>760</v>
      </c>
      <c r="D123" t="s">
        <v>401</v>
      </c>
      <c r="E123">
        <v>25.23</v>
      </c>
      <c r="F123" s="9" t="s">
        <v>50</v>
      </c>
      <c r="G123" s="7">
        <v>11073367040</v>
      </c>
      <c r="H123" s="6">
        <v>37.619999999999997</v>
      </c>
      <c r="I123" s="6">
        <v>15.18</v>
      </c>
      <c r="J123" s="12">
        <f t="shared" si="3"/>
        <v>0.6620553359683794</v>
      </c>
      <c r="K123" s="11">
        <v>3.9635354736424896E-3</v>
      </c>
      <c r="L123" s="13">
        <v>77003052.530000001</v>
      </c>
      <c r="M123" s="13">
        <v>2584081781.4400001</v>
      </c>
      <c r="N123" s="9" t="s">
        <v>50</v>
      </c>
      <c r="O123" s="6">
        <v>1</v>
      </c>
      <c r="P123" s="12">
        <v>8.4649899980119223E-3</v>
      </c>
      <c r="Q123" s="12">
        <v>2.9798999816131762E-2</v>
      </c>
      <c r="R123" s="14">
        <v>94</v>
      </c>
    </row>
    <row r="124" spans="2:18" x14ac:dyDescent="0.5">
      <c r="B124" s="1" t="s">
        <v>821</v>
      </c>
      <c r="C124" t="s">
        <v>891</v>
      </c>
      <c r="D124" t="s">
        <v>892</v>
      </c>
      <c r="E124">
        <v>4.43</v>
      </c>
      <c r="F124" s="9" t="s">
        <v>50</v>
      </c>
      <c r="G124" s="7">
        <v>92147818496</v>
      </c>
      <c r="H124" s="6">
        <v>5.23</v>
      </c>
      <c r="I124" s="6">
        <v>3.68</v>
      </c>
      <c r="J124" s="12">
        <f t="shared" si="3"/>
        <v>0.20380434782608692</v>
      </c>
      <c r="K124" s="11">
        <v>1.1286681715575623E-2</v>
      </c>
      <c r="L124" s="13">
        <v>1098266000</v>
      </c>
      <c r="M124" s="13">
        <v>185265569000</v>
      </c>
      <c r="N124" s="9" t="s">
        <v>50</v>
      </c>
      <c r="O124" s="6">
        <v>1</v>
      </c>
      <c r="P124" s="12">
        <v>4.5048329694022862E-3</v>
      </c>
      <c r="Q124" s="12">
        <v>5.9280631901980664E-3</v>
      </c>
      <c r="R124" s="14">
        <v>95</v>
      </c>
    </row>
    <row r="125" spans="2:18" x14ac:dyDescent="0.5">
      <c r="B125" s="1" t="s">
        <v>762</v>
      </c>
      <c r="C125" t="s">
        <v>763</v>
      </c>
      <c r="D125" t="s">
        <v>49</v>
      </c>
      <c r="E125">
        <v>2.69</v>
      </c>
      <c r="F125" s="9" t="s">
        <v>50</v>
      </c>
      <c r="G125" s="7">
        <v>4179741952</v>
      </c>
      <c r="H125" s="6">
        <v>3.21</v>
      </c>
      <c r="I125" s="6">
        <v>1.81</v>
      </c>
      <c r="J125" s="12">
        <f t="shared" si="3"/>
        <v>0.48618784530386727</v>
      </c>
      <c r="K125" s="11">
        <v>0</v>
      </c>
      <c r="L125" s="13">
        <v>-11448340.02</v>
      </c>
      <c r="M125" s="13">
        <v>2419968780.5500002</v>
      </c>
      <c r="N125" s="9" t="s">
        <v>50</v>
      </c>
      <c r="O125" s="6">
        <v>1</v>
      </c>
      <c r="P125" s="12">
        <v>-1.7848306849542427E-3</v>
      </c>
      <c r="Q125" s="12">
        <v>-4.7307800464260821E-3</v>
      </c>
      <c r="R125" s="14">
        <v>96</v>
      </c>
    </row>
    <row r="126" spans="2:18" x14ac:dyDescent="0.5">
      <c r="B126" s="1" t="s">
        <v>554</v>
      </c>
      <c r="C126" t="s">
        <v>563</v>
      </c>
      <c r="D126" t="s">
        <v>534</v>
      </c>
      <c r="E126">
        <v>81.650000000000006</v>
      </c>
      <c r="F126" s="9" t="s">
        <v>50</v>
      </c>
      <c r="G126" s="7">
        <v>96550232064</v>
      </c>
      <c r="H126" s="6">
        <v>127.77</v>
      </c>
      <c r="I126" s="6">
        <v>23.87</v>
      </c>
      <c r="J126" s="12">
        <f t="shared" si="3"/>
        <v>2.4206116464180982</v>
      </c>
      <c r="K126" s="11">
        <v>1.2247397428046539E-4</v>
      </c>
      <c r="L126" s="13">
        <v>-41030373.009999998</v>
      </c>
      <c r="M126" s="13">
        <v>6579370456.6700001</v>
      </c>
      <c r="N126" s="9" t="s">
        <v>50</v>
      </c>
      <c r="O126" s="6">
        <v>1</v>
      </c>
      <c r="P126" s="12">
        <v>-4.3013255715458945E-4</v>
      </c>
      <c r="Q126" s="12">
        <v>-6.2362156501469587E-3</v>
      </c>
      <c r="R126" s="14">
        <v>96</v>
      </c>
    </row>
    <row r="127" spans="2:18" x14ac:dyDescent="0.5">
      <c r="B127" s="1" t="s">
        <v>464</v>
      </c>
      <c r="C127" t="s">
        <v>478</v>
      </c>
      <c r="D127" t="s">
        <v>363</v>
      </c>
      <c r="E127">
        <v>11.16</v>
      </c>
      <c r="F127" s="9" t="s">
        <v>50</v>
      </c>
      <c r="G127" s="7">
        <v>78115061760</v>
      </c>
      <c r="H127" s="6">
        <v>14.68</v>
      </c>
      <c r="I127" s="6">
        <v>8.98</v>
      </c>
      <c r="J127" s="12">
        <f t="shared" si="3"/>
        <v>0.24276169265033398</v>
      </c>
      <c r="K127" s="11">
        <v>1.7921146953405017E-2</v>
      </c>
      <c r="L127" s="13">
        <v>-931377000</v>
      </c>
      <c r="M127" s="13">
        <v>31106254000</v>
      </c>
      <c r="N127" s="9" t="s">
        <v>50</v>
      </c>
      <c r="O127" s="6">
        <v>1</v>
      </c>
      <c r="P127" s="12">
        <v>-1.6683511577979111E-2</v>
      </c>
      <c r="Q127" s="12">
        <v>-2.9941792412548292E-2</v>
      </c>
      <c r="R127" s="14">
        <v>97</v>
      </c>
    </row>
    <row r="128" spans="2:18" x14ac:dyDescent="0.5">
      <c r="B128" s="1" t="s">
        <v>512</v>
      </c>
      <c r="C128" t="s">
        <v>551</v>
      </c>
      <c r="D128" t="s">
        <v>401</v>
      </c>
      <c r="E128">
        <v>38.39</v>
      </c>
      <c r="F128" s="9" t="s">
        <v>50</v>
      </c>
      <c r="G128" s="7">
        <v>35848065024</v>
      </c>
      <c r="H128" s="6">
        <v>56.74</v>
      </c>
      <c r="I128" s="6">
        <v>38.39</v>
      </c>
      <c r="J128" s="12">
        <f t="shared" si="3"/>
        <v>0</v>
      </c>
      <c r="K128" s="11">
        <v>0</v>
      </c>
      <c r="L128" s="13">
        <v>-243865509.30000001</v>
      </c>
      <c r="M128" s="13">
        <v>3088241018.6100001</v>
      </c>
      <c r="N128" s="9" t="s">
        <v>50</v>
      </c>
      <c r="O128" s="6">
        <v>1</v>
      </c>
      <c r="P128" s="12">
        <v>-7.0102884932432578E-3</v>
      </c>
      <c r="Q128" s="12">
        <v>-7.8965828065376359E-2</v>
      </c>
      <c r="R128" s="14">
        <v>98</v>
      </c>
    </row>
    <row r="129" spans="2:18" x14ac:dyDescent="0.5">
      <c r="B129" s="1" t="s">
        <v>558</v>
      </c>
      <c r="C129" t="s">
        <v>568</v>
      </c>
      <c r="D129" t="s">
        <v>569</v>
      </c>
      <c r="E129">
        <v>29.8</v>
      </c>
      <c r="F129" s="9" t="s">
        <v>50</v>
      </c>
      <c r="G129" s="7">
        <v>2439499776</v>
      </c>
      <c r="H129" s="6">
        <v>33.68</v>
      </c>
      <c r="I129" s="6">
        <v>16.600000000000001</v>
      </c>
      <c r="J129" s="12">
        <f t="shared" si="3"/>
        <v>0.79518072289156616</v>
      </c>
      <c r="K129" s="11">
        <v>0</v>
      </c>
      <c r="L129" s="13">
        <v>-44822598.270000003</v>
      </c>
      <c r="M129" s="13">
        <v>1000072896.86</v>
      </c>
      <c r="N129" s="9" t="s">
        <v>50</v>
      </c>
      <c r="O129" s="6">
        <v>1</v>
      </c>
      <c r="P129" s="12">
        <v>-1.8360375018497618E-2</v>
      </c>
      <c r="Q129" s="12">
        <v>-4.4819331081496862E-2</v>
      </c>
      <c r="R129" s="14">
        <v>98</v>
      </c>
    </row>
    <row r="130" spans="2:18" x14ac:dyDescent="0.5">
      <c r="B130" s="1" t="s">
        <v>560</v>
      </c>
      <c r="C130" t="s">
        <v>571</v>
      </c>
      <c r="D130" t="s">
        <v>178</v>
      </c>
      <c r="E130">
        <v>15.66</v>
      </c>
      <c r="F130" s="9" t="s">
        <v>50</v>
      </c>
      <c r="G130" s="7">
        <v>50516013056</v>
      </c>
      <c r="H130" s="6">
        <v>19.75</v>
      </c>
      <c r="I130" s="6">
        <v>13.01</v>
      </c>
      <c r="J130" s="12">
        <f t="shared" ref="J130:J161" si="4">E130/I130-1</f>
        <v>0.20368946963873946</v>
      </c>
      <c r="K130" s="11">
        <v>0</v>
      </c>
      <c r="L130" s="13">
        <v>-1185481187.71</v>
      </c>
      <c r="M130" s="13">
        <v>18993088958.560001</v>
      </c>
      <c r="N130" s="9" t="s">
        <v>50</v>
      </c>
      <c r="O130" s="6">
        <v>1</v>
      </c>
      <c r="P130" s="12">
        <v>-2.0837517171139894E-2</v>
      </c>
      <c r="Q130" s="12">
        <v>-6.241645002013825E-2</v>
      </c>
      <c r="R130" s="14">
        <v>99</v>
      </c>
    </row>
    <row r="131" spans="2:18" x14ac:dyDescent="0.5">
      <c r="B131" s="1" t="s">
        <v>557</v>
      </c>
      <c r="C131" t="s">
        <v>567</v>
      </c>
      <c r="D131" t="s">
        <v>168</v>
      </c>
      <c r="E131">
        <v>4.29</v>
      </c>
      <c r="F131" s="9" t="s">
        <v>50</v>
      </c>
      <c r="G131" s="7">
        <v>15393833984</v>
      </c>
      <c r="H131" s="6">
        <v>5.03</v>
      </c>
      <c r="I131" s="6">
        <v>3.46</v>
      </c>
      <c r="J131" s="12">
        <f t="shared" si="4"/>
        <v>0.23988439306358389</v>
      </c>
      <c r="K131" s="11">
        <v>0</v>
      </c>
      <c r="L131" s="13">
        <v>-2407942158.9699998</v>
      </c>
      <c r="M131" s="13">
        <v>29426622086.59</v>
      </c>
      <c r="N131" s="9" t="s">
        <v>50</v>
      </c>
      <c r="O131" s="6">
        <v>1</v>
      </c>
      <c r="P131" s="12">
        <v>-6.8508455571591909E-2</v>
      </c>
      <c r="Q131" s="12">
        <v>-8.182869756115578E-2</v>
      </c>
      <c r="R131" s="14">
        <v>100</v>
      </c>
    </row>
    <row r="132" spans="2:18" x14ac:dyDescent="0.5">
      <c r="B132" s="1" t="s">
        <v>948</v>
      </c>
      <c r="C132" t="s">
        <v>949</v>
      </c>
      <c r="D132" t="s">
        <v>892</v>
      </c>
      <c r="E132">
        <v>18.989999999999998</v>
      </c>
      <c r="F132" s="9" t="s">
        <v>50</v>
      </c>
      <c r="G132" s="7">
        <v>143907438592</v>
      </c>
      <c r="H132" s="6">
        <v>23.57</v>
      </c>
      <c r="I132" s="6">
        <v>14.01</v>
      </c>
      <c r="J132" s="12">
        <f t="shared" si="4"/>
        <v>0.35546038543897218</v>
      </c>
      <c r="K132" s="11">
        <v>0</v>
      </c>
      <c r="L132" s="13">
        <v>-9360198718.7700005</v>
      </c>
      <c r="M132" s="13">
        <v>82118074725.779999</v>
      </c>
      <c r="N132" s="9" t="s">
        <v>50</v>
      </c>
      <c r="O132" s="6">
        <v>1</v>
      </c>
      <c r="P132" s="12">
        <v>-7.7576836693669618E-2</v>
      </c>
      <c r="Q132" s="12">
        <v>-0.11398463432109029</v>
      </c>
      <c r="R132" s="14">
        <v>101</v>
      </c>
    </row>
    <row r="133" spans="2:18" x14ac:dyDescent="0.5">
      <c r="B133" s="1" t="s">
        <v>453</v>
      </c>
      <c r="C133" t="s">
        <v>467</v>
      </c>
      <c r="D133" t="s">
        <v>225</v>
      </c>
      <c r="E133">
        <v>10.77</v>
      </c>
      <c r="F133" s="9" t="s">
        <v>50</v>
      </c>
      <c r="G133" s="7">
        <v>209001742336</v>
      </c>
      <c r="H133" s="6">
        <v>13.33</v>
      </c>
      <c r="I133" s="6">
        <v>10.48</v>
      </c>
      <c r="J133" s="12">
        <f t="shared" si="4"/>
        <v>2.767175572519065E-2</v>
      </c>
      <c r="K133" s="11">
        <v>5.5338904363974005E-2</v>
      </c>
      <c r="M133" s="13">
        <v>1225730000000</v>
      </c>
      <c r="N133" s="9" t="s">
        <v>50</v>
      </c>
      <c r="O133" s="6">
        <v>1</v>
      </c>
    </row>
    <row r="134" spans="2:18" x14ac:dyDescent="0.5">
      <c r="B134" s="1" t="s">
        <v>458</v>
      </c>
      <c r="C134" t="s">
        <v>472</v>
      </c>
      <c r="D134" t="s">
        <v>225</v>
      </c>
      <c r="E134">
        <v>5.05</v>
      </c>
      <c r="F134" s="9" t="s">
        <v>50</v>
      </c>
      <c r="G134" s="7">
        <v>606480039936</v>
      </c>
      <c r="H134" s="6">
        <v>6.44</v>
      </c>
      <c r="I134" s="6">
        <v>4.91</v>
      </c>
      <c r="J134" s="12">
        <f t="shared" si="4"/>
        <v>2.8513238289205711E-2</v>
      </c>
      <c r="K134" s="11">
        <v>4.6930693069306931E-2</v>
      </c>
      <c r="M134" s="13">
        <v>1271649000000</v>
      </c>
      <c r="N134" s="9" t="s">
        <v>50</v>
      </c>
      <c r="O134" s="6">
        <v>1</v>
      </c>
    </row>
    <row r="135" spans="2:18" x14ac:dyDescent="0.5">
      <c r="B135" s="1" t="s">
        <v>460</v>
      </c>
      <c r="C135" t="s">
        <v>474</v>
      </c>
      <c r="D135" t="s">
        <v>225</v>
      </c>
      <c r="E135">
        <v>3.28</v>
      </c>
      <c r="F135" s="9" t="s">
        <v>50</v>
      </c>
      <c r="G135" s="7">
        <v>193800601600</v>
      </c>
      <c r="H135" s="6">
        <v>4.5</v>
      </c>
      <c r="I135" s="6">
        <v>3.18</v>
      </c>
      <c r="J135" s="12">
        <f t="shared" si="4"/>
        <v>3.1446540880503138E-2</v>
      </c>
      <c r="K135" s="11">
        <v>5.7926829268292686E-2</v>
      </c>
      <c r="M135" s="13">
        <v>1970468000000</v>
      </c>
      <c r="N135" s="9" t="s">
        <v>50</v>
      </c>
      <c r="O135" s="6">
        <v>1</v>
      </c>
    </row>
    <row r="136" spans="2:18" x14ac:dyDescent="0.5">
      <c r="B136" s="1" t="s">
        <v>462</v>
      </c>
      <c r="C136" t="s">
        <v>476</v>
      </c>
      <c r="D136" t="s">
        <v>225</v>
      </c>
      <c r="E136">
        <v>3.83</v>
      </c>
      <c r="F136" s="9" t="s">
        <v>50</v>
      </c>
      <c r="G136" s="7">
        <v>167686651904</v>
      </c>
      <c r="H136" s="6">
        <v>5.68</v>
      </c>
      <c r="I136" s="6">
        <v>3.7</v>
      </c>
      <c r="J136" s="12">
        <f t="shared" si="4"/>
        <v>3.5135135135134998E-2</v>
      </c>
      <c r="K136" s="11">
        <v>5.1697127937336815E-2</v>
      </c>
      <c r="M136" s="13">
        <v>1646749000000</v>
      </c>
      <c r="N136" s="9" t="s">
        <v>50</v>
      </c>
      <c r="O136" s="6">
        <v>1</v>
      </c>
    </row>
    <row r="137" spans="2:18" x14ac:dyDescent="0.5">
      <c r="B137" s="1" t="s">
        <v>351</v>
      </c>
      <c r="C137" t="s">
        <v>372</v>
      </c>
      <c r="D137" t="s">
        <v>225</v>
      </c>
      <c r="E137">
        <v>18.79</v>
      </c>
      <c r="F137" s="9" t="s">
        <v>50</v>
      </c>
      <c r="G137" s="7">
        <v>397650100224</v>
      </c>
      <c r="H137" s="6">
        <v>25.45</v>
      </c>
      <c r="I137" s="6">
        <v>18.02</v>
      </c>
      <c r="J137" s="12">
        <f t="shared" si="4"/>
        <v>4.2730299667036675E-2</v>
      </c>
      <c r="K137" s="11">
        <v>0</v>
      </c>
      <c r="M137" s="13">
        <v>2415915000000</v>
      </c>
      <c r="N137" s="9" t="s">
        <v>50</v>
      </c>
      <c r="O137" s="6">
        <v>1</v>
      </c>
    </row>
    <row r="138" spans="2:18" x14ac:dyDescent="0.5">
      <c r="B138" s="1" t="s">
        <v>452</v>
      </c>
      <c r="C138" t="s">
        <v>466</v>
      </c>
      <c r="D138" t="s">
        <v>225</v>
      </c>
      <c r="E138">
        <v>39.75</v>
      </c>
      <c r="F138" s="9" t="s">
        <v>50</v>
      </c>
      <c r="G138" s="7">
        <v>1019055767552</v>
      </c>
      <c r="H138" s="6">
        <v>48.55</v>
      </c>
      <c r="I138" s="6">
        <v>37.31</v>
      </c>
      <c r="J138" s="12">
        <f t="shared" si="4"/>
        <v>6.5398016617528754E-2</v>
      </c>
      <c r="K138" s="11">
        <v>0</v>
      </c>
      <c r="M138" s="13">
        <v>1656843000000</v>
      </c>
      <c r="N138" s="9" t="s">
        <v>50</v>
      </c>
      <c r="O138" s="6">
        <v>1</v>
      </c>
    </row>
    <row r="139" spans="2:18" x14ac:dyDescent="0.5">
      <c r="B139" s="1" t="s">
        <v>457</v>
      </c>
      <c r="C139" t="s">
        <v>471</v>
      </c>
      <c r="D139" t="s">
        <v>227</v>
      </c>
      <c r="E139">
        <v>6.91</v>
      </c>
      <c r="F139" s="9" t="s">
        <v>50</v>
      </c>
      <c r="G139" s="7">
        <v>610593734656</v>
      </c>
      <c r="H139" s="6">
        <v>8.34</v>
      </c>
      <c r="I139" s="6">
        <v>6.48</v>
      </c>
      <c r="J139" s="12">
        <f t="shared" si="4"/>
        <v>6.6358024691357986E-2</v>
      </c>
      <c r="K139" s="11">
        <v>7.7424023154848046E-2</v>
      </c>
      <c r="M139" s="13">
        <v>2314289000000</v>
      </c>
      <c r="N139" s="9" t="s">
        <v>50</v>
      </c>
      <c r="O139" s="6">
        <v>1</v>
      </c>
    </row>
    <row r="140" spans="2:18" x14ac:dyDescent="0.5">
      <c r="B140" s="1" t="s">
        <v>455</v>
      </c>
      <c r="C140" t="s">
        <v>469</v>
      </c>
      <c r="D140" t="s">
        <v>227</v>
      </c>
      <c r="E140">
        <v>5.51</v>
      </c>
      <c r="F140" s="9" t="s">
        <v>50</v>
      </c>
      <c r="G140" s="7">
        <v>1775390425088</v>
      </c>
      <c r="H140" s="6">
        <v>6.39</v>
      </c>
      <c r="I140" s="6">
        <v>5.13</v>
      </c>
      <c r="J140" s="12">
        <f t="shared" si="4"/>
        <v>7.4074074074073959E-2</v>
      </c>
      <c r="K140" s="11">
        <v>4.192377495462795E-2</v>
      </c>
      <c r="M140" s="13">
        <v>5199928000000</v>
      </c>
      <c r="N140" s="9" t="s">
        <v>50</v>
      </c>
      <c r="O140" s="6">
        <v>1</v>
      </c>
    </row>
    <row r="141" spans="2:18" x14ac:dyDescent="0.5">
      <c r="B141" s="1" t="s">
        <v>459</v>
      </c>
      <c r="C141" t="s">
        <v>473</v>
      </c>
      <c r="D141" t="s">
        <v>225</v>
      </c>
      <c r="E141">
        <v>10.28</v>
      </c>
      <c r="F141" s="9" t="s">
        <v>50</v>
      </c>
      <c r="G141" s="7">
        <v>342384017408</v>
      </c>
      <c r="H141" s="6">
        <v>14.8</v>
      </c>
      <c r="I141" s="6">
        <v>9.43</v>
      </c>
      <c r="J141" s="12">
        <f t="shared" si="4"/>
        <v>9.013785790031803E-2</v>
      </c>
      <c r="K141" s="11">
        <v>0</v>
      </c>
      <c r="M141" s="13">
        <v>2505906000000</v>
      </c>
      <c r="N141" s="9" t="s">
        <v>50</v>
      </c>
      <c r="O141" s="6">
        <v>1</v>
      </c>
    </row>
    <row r="142" spans="2:18" x14ac:dyDescent="0.5">
      <c r="B142" s="1" t="s">
        <v>456</v>
      </c>
      <c r="C142" t="s">
        <v>470</v>
      </c>
      <c r="D142" t="s">
        <v>227</v>
      </c>
      <c r="E142">
        <v>9.3800000000000008</v>
      </c>
      <c r="F142" s="9" t="s">
        <v>50</v>
      </c>
      <c r="G142" s="7">
        <v>2453811494912</v>
      </c>
      <c r="H142" s="6">
        <v>10.029999999999999</v>
      </c>
      <c r="I142" s="6">
        <v>8.48</v>
      </c>
      <c r="J142" s="12">
        <f t="shared" si="4"/>
        <v>0.10613207547169812</v>
      </c>
      <c r="K142" s="11">
        <v>4.1791044776119404E-2</v>
      </c>
      <c r="M142" s="13">
        <v>6128626000000</v>
      </c>
      <c r="N142" s="9" t="s">
        <v>50</v>
      </c>
      <c r="O142" s="6">
        <v>1</v>
      </c>
    </row>
    <row r="143" spans="2:18" x14ac:dyDescent="0.5">
      <c r="B143" s="1" t="s">
        <v>451</v>
      </c>
      <c r="C143" t="s">
        <v>465</v>
      </c>
      <c r="D143" t="s">
        <v>227</v>
      </c>
      <c r="E143">
        <v>7.5</v>
      </c>
      <c r="F143" s="9" t="s">
        <v>50</v>
      </c>
      <c r="G143" s="7">
        <v>2673046978560</v>
      </c>
      <c r="H143" s="6">
        <v>8.4</v>
      </c>
      <c r="I143" s="6">
        <v>6.6</v>
      </c>
      <c r="J143" s="12">
        <f t="shared" si="4"/>
        <v>0.13636363636363646</v>
      </c>
      <c r="K143" s="11">
        <v>4.0799999999999996E-2</v>
      </c>
      <c r="M143" s="13">
        <v>6434377000000</v>
      </c>
      <c r="N143" s="9" t="s">
        <v>50</v>
      </c>
      <c r="O143" s="6">
        <v>1</v>
      </c>
    </row>
    <row r="144" spans="2:18" x14ac:dyDescent="0.5">
      <c r="B144" s="1" t="s">
        <v>463</v>
      </c>
      <c r="C144" t="s">
        <v>477</v>
      </c>
      <c r="D144" t="s">
        <v>225</v>
      </c>
      <c r="E144">
        <v>7.18</v>
      </c>
      <c r="F144" s="9" t="s">
        <v>50</v>
      </c>
      <c r="G144" s="7">
        <v>114269184000</v>
      </c>
      <c r="H144" s="6">
        <v>8.7200000000000006</v>
      </c>
      <c r="I144" s="6">
        <v>6.31</v>
      </c>
      <c r="J144" s="12">
        <f t="shared" si="4"/>
        <v>0.13787638668779723</v>
      </c>
      <c r="K144" s="11">
        <v>0</v>
      </c>
      <c r="M144" s="13">
        <v>1231745000000</v>
      </c>
      <c r="N144" s="9" t="s">
        <v>50</v>
      </c>
      <c r="O144" s="6">
        <v>1</v>
      </c>
    </row>
    <row r="145" spans="2:15" x14ac:dyDescent="0.5">
      <c r="B145" s="1" t="s">
        <v>461</v>
      </c>
      <c r="C145" t="s">
        <v>475</v>
      </c>
      <c r="D145" t="s">
        <v>225</v>
      </c>
      <c r="E145">
        <v>7.97</v>
      </c>
      <c r="F145" s="9" t="s">
        <v>50</v>
      </c>
      <c r="G145" s="7">
        <v>443491942400</v>
      </c>
      <c r="H145" s="6">
        <v>9.07</v>
      </c>
      <c r="I145" s="6">
        <v>6.62</v>
      </c>
      <c r="J145" s="12">
        <f t="shared" si="4"/>
        <v>0.20392749244712993</v>
      </c>
      <c r="K145" s="11">
        <v>0</v>
      </c>
      <c r="M145" s="13">
        <v>2066897000000</v>
      </c>
      <c r="N145" s="9" t="s">
        <v>50</v>
      </c>
      <c r="O145" s="6">
        <v>1</v>
      </c>
    </row>
    <row r="146" spans="2:15" x14ac:dyDescent="0.5">
      <c r="B146" s="1" t="s">
        <v>497</v>
      </c>
      <c r="C146" t="s">
        <v>535</v>
      </c>
      <c r="D146" t="s">
        <v>298</v>
      </c>
      <c r="E146">
        <v>41.72</v>
      </c>
      <c r="F146" s="9" t="s">
        <v>50</v>
      </c>
      <c r="G146" s="7">
        <v>1179203534848</v>
      </c>
      <c r="H146" s="6">
        <v>51.92</v>
      </c>
      <c r="I146" s="6">
        <v>33.61</v>
      </c>
      <c r="J146" s="12">
        <f t="shared" si="4"/>
        <v>0.24129723296637895</v>
      </c>
      <c r="K146" s="11">
        <v>1.6490891658676891E-2</v>
      </c>
      <c r="M146" s="13">
        <v>557627000000</v>
      </c>
      <c r="N146" s="9" t="s">
        <v>50</v>
      </c>
      <c r="O146" s="6">
        <v>1</v>
      </c>
    </row>
    <row r="147" spans="2:15" x14ac:dyDescent="0.5">
      <c r="B147" s="1" t="s">
        <v>498</v>
      </c>
      <c r="C147" t="s">
        <v>536</v>
      </c>
      <c r="D147" t="s">
        <v>298</v>
      </c>
      <c r="E147">
        <v>39.159999999999997</v>
      </c>
      <c r="F147" s="9" t="s">
        <v>50</v>
      </c>
      <c r="G147" s="7">
        <v>376732581888</v>
      </c>
      <c r="H147" s="6">
        <v>48.39</v>
      </c>
      <c r="I147" s="6">
        <v>28.7</v>
      </c>
      <c r="J147" s="12">
        <f t="shared" si="4"/>
        <v>0.3644599303135887</v>
      </c>
      <c r="K147" s="11">
        <v>2.7579162410623088E-2</v>
      </c>
      <c r="M147" s="13">
        <v>301703000000</v>
      </c>
      <c r="N147" s="9" t="s">
        <v>50</v>
      </c>
      <c r="O147" s="6">
        <v>1</v>
      </c>
    </row>
    <row r="148" spans="2:15" x14ac:dyDescent="0.5">
      <c r="B148" s="1" t="s">
        <v>454</v>
      </c>
      <c r="C148" t="s">
        <v>468</v>
      </c>
      <c r="D148" t="s">
        <v>227</v>
      </c>
      <c r="E148">
        <v>6.76</v>
      </c>
      <c r="F148" s="9" t="s">
        <v>50</v>
      </c>
      <c r="G148" s="7">
        <v>2365885513728</v>
      </c>
      <c r="H148" s="6">
        <v>8.68</v>
      </c>
      <c r="I148" s="6">
        <v>4.92</v>
      </c>
      <c r="J148" s="12">
        <f t="shared" si="4"/>
        <v>0.37398373983739841</v>
      </c>
      <c r="K148" s="11">
        <v>3.6242603550295856E-2</v>
      </c>
      <c r="M148" s="13">
        <v>6053339000000</v>
      </c>
      <c r="N148" s="9" t="s">
        <v>50</v>
      </c>
      <c r="O148" s="6">
        <v>1</v>
      </c>
    </row>
  </sheetData>
  <autoFilter ref="B1:R11" xr:uid="{7A9EDF16-08C4-B24B-A5E4-CFD78B458569}">
    <sortState xmlns:xlrd2="http://schemas.microsoft.com/office/spreadsheetml/2017/richdata2" ref="B2:R148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22.03</v>
      </c>
      <c r="F2" s="9" t="s">
        <v>71</v>
      </c>
      <c r="G2" s="7">
        <v>776466752</v>
      </c>
      <c r="H2" s="6">
        <v>23.82</v>
      </c>
      <c r="I2" s="6">
        <v>17.75</v>
      </c>
      <c r="J2" s="12">
        <f t="shared" ref="J2:J33" si="0">E2/I2-1</f>
        <v>0.24112676056338045</v>
      </c>
      <c r="K2" s="11">
        <v>8.5610531093962772E-2</v>
      </c>
      <c r="L2" s="13">
        <v>322022000</v>
      </c>
      <c r="M2" s="13">
        <v>658210000</v>
      </c>
      <c r="N2" s="9" t="s">
        <v>71</v>
      </c>
      <c r="O2" s="6">
        <v>1</v>
      </c>
      <c r="P2" s="12">
        <v>0.28450396383776877</v>
      </c>
      <c r="Q2" s="12">
        <v>0.48923899667279441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67.53</v>
      </c>
      <c r="F3" s="9" t="s">
        <v>71</v>
      </c>
      <c r="G3" s="7">
        <v>113360691200</v>
      </c>
      <c r="H3" s="6">
        <v>70.510000000000005</v>
      </c>
      <c r="I3" s="6">
        <v>52.82</v>
      </c>
      <c r="J3" s="12">
        <f t="shared" si="0"/>
        <v>0.27849299507762204</v>
      </c>
      <c r="K3" s="11">
        <v>6.1602250851473417E-2</v>
      </c>
      <c r="L3" s="13">
        <v>10566000000</v>
      </c>
      <c r="M3" s="13">
        <v>22207000000</v>
      </c>
      <c r="N3" s="9" t="s">
        <v>71</v>
      </c>
      <c r="O3" s="6">
        <v>1</v>
      </c>
      <c r="P3" s="12">
        <v>7.8501770047747263E-2</v>
      </c>
      <c r="Q3" s="12">
        <v>0.47579592020534067</v>
      </c>
      <c r="R3" s="14">
        <v>8</v>
      </c>
    </row>
    <row r="4" spans="1:22" x14ac:dyDescent="0.5">
      <c r="B4" s="1" t="s">
        <v>205</v>
      </c>
      <c r="C4" t="s">
        <v>232</v>
      </c>
      <c r="D4" t="s">
        <v>233</v>
      </c>
      <c r="E4">
        <v>35.630000000000003</v>
      </c>
      <c r="F4" s="9" t="s">
        <v>71</v>
      </c>
      <c r="G4" s="7">
        <v>88870346752</v>
      </c>
      <c r="H4" s="6">
        <v>35.998800000000003</v>
      </c>
      <c r="I4" s="6">
        <v>21.41</v>
      </c>
      <c r="J4" s="12">
        <f t="shared" si="0"/>
        <v>0.66417561886968723</v>
      </c>
      <c r="K4" s="11">
        <v>4.2099354476564689E-2</v>
      </c>
      <c r="M4" s="13">
        <v>68927000000</v>
      </c>
      <c r="N4" s="9" t="s">
        <v>71</v>
      </c>
      <c r="O4" s="6">
        <v>1</v>
      </c>
    </row>
    <row r="5" spans="1:22" x14ac:dyDescent="0.5">
      <c r="B5" s="1" t="s">
        <v>389</v>
      </c>
      <c r="C5" t="s">
        <v>402</v>
      </c>
      <c r="D5" t="s">
        <v>74</v>
      </c>
      <c r="E5">
        <v>159.91</v>
      </c>
      <c r="F5" s="9" t="s">
        <v>71</v>
      </c>
      <c r="G5" s="7">
        <v>18963593216</v>
      </c>
      <c r="H5" s="6">
        <v>348.5</v>
      </c>
      <c r="I5" s="6">
        <v>156.63999999999999</v>
      </c>
      <c r="J5" s="12">
        <f t="shared" si="0"/>
        <v>2.0875893769152221E-2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0.13504125512534859</v>
      </c>
      <c r="Q5" s="12">
        <v>0.57947959400071281</v>
      </c>
      <c r="R5" s="14">
        <v>2</v>
      </c>
    </row>
    <row r="6" spans="1:22" x14ac:dyDescent="0.5">
      <c r="B6" s="1" t="s">
        <v>642</v>
      </c>
      <c r="C6" t="s">
        <v>738</v>
      </c>
      <c r="D6" t="s">
        <v>739</v>
      </c>
      <c r="E6">
        <v>6565.94</v>
      </c>
      <c r="F6" s="9" t="s">
        <v>71</v>
      </c>
      <c r="G6" s="7">
        <v>18643539968</v>
      </c>
      <c r="H6" s="6">
        <v>8618.2800000000007</v>
      </c>
      <c r="I6" s="6">
        <v>6368.7</v>
      </c>
      <c r="J6" s="12">
        <f t="shared" si="0"/>
        <v>3.0970213701383198E-2</v>
      </c>
      <c r="K6" s="11">
        <v>0</v>
      </c>
      <c r="L6" s="13">
        <v>1790767000</v>
      </c>
      <c r="M6" s="13">
        <v>4774029000</v>
      </c>
      <c r="N6" s="9" t="s">
        <v>71</v>
      </c>
      <c r="O6" s="6">
        <v>1</v>
      </c>
      <c r="P6" s="12">
        <v>0.10071835440358666</v>
      </c>
      <c r="Q6" s="12">
        <v>0.37510601632290042</v>
      </c>
      <c r="R6" s="14">
        <v>7</v>
      </c>
    </row>
    <row r="7" spans="1:22" x14ac:dyDescent="0.5">
      <c r="B7" s="1" t="s">
        <v>38</v>
      </c>
      <c r="C7" t="s">
        <v>103</v>
      </c>
      <c r="D7" t="s">
        <v>104</v>
      </c>
      <c r="E7">
        <v>68.28</v>
      </c>
      <c r="F7" s="9" t="s">
        <v>71</v>
      </c>
      <c r="G7" s="7">
        <v>116076904448</v>
      </c>
      <c r="H7" s="6">
        <v>79.180000000000007</v>
      </c>
      <c r="I7" s="6">
        <v>32.82</v>
      </c>
      <c r="J7" s="12">
        <f t="shared" si="0"/>
        <v>1.080438756855576</v>
      </c>
      <c r="K7" s="11">
        <v>4.4376098418277676E-3</v>
      </c>
      <c r="L7" s="13">
        <v>8990000000</v>
      </c>
      <c r="M7" s="13">
        <v>5382000000</v>
      </c>
      <c r="N7" s="9" t="s">
        <v>71</v>
      </c>
      <c r="O7" s="6">
        <v>1</v>
      </c>
      <c r="P7" s="12">
        <v>8.0894133422081987E-2</v>
      </c>
      <c r="Q7" s="12">
        <v>1.6703827573392791</v>
      </c>
      <c r="R7" s="14">
        <v>4</v>
      </c>
    </row>
    <row r="8" spans="1:22" x14ac:dyDescent="0.5">
      <c r="B8" s="1" t="s">
        <v>625</v>
      </c>
      <c r="C8" t="s">
        <v>717</v>
      </c>
      <c r="D8" t="s">
        <v>164</v>
      </c>
      <c r="E8">
        <v>100.26</v>
      </c>
      <c r="F8" s="9" t="s">
        <v>71</v>
      </c>
      <c r="G8" s="7">
        <v>33278537728</v>
      </c>
      <c r="H8" s="6">
        <v>147.12</v>
      </c>
      <c r="I8" s="6">
        <v>96.26</v>
      </c>
      <c r="J8" s="12">
        <f t="shared" si="0"/>
        <v>4.1554124246831581E-2</v>
      </c>
      <c r="K8" s="11">
        <v>5.0269299820466781E-2</v>
      </c>
      <c r="L8" s="13">
        <v>2308000000</v>
      </c>
      <c r="M8" s="13">
        <v>8670000000</v>
      </c>
      <c r="N8" s="9" t="s">
        <v>71</v>
      </c>
      <c r="O8" s="6">
        <v>1</v>
      </c>
      <c r="P8" s="12">
        <v>5.7864134905341862E-2</v>
      </c>
      <c r="Q8" s="12">
        <v>0.26620530565167244</v>
      </c>
      <c r="R8" s="14">
        <v>20</v>
      </c>
    </row>
    <row r="9" spans="1:22" x14ac:dyDescent="0.5">
      <c r="B9" s="1" t="s">
        <v>607</v>
      </c>
      <c r="C9" t="s">
        <v>697</v>
      </c>
      <c r="D9" t="s">
        <v>164</v>
      </c>
      <c r="E9">
        <v>112.09</v>
      </c>
      <c r="F9" s="9" t="s">
        <v>71</v>
      </c>
      <c r="G9" s="7">
        <v>13672779776</v>
      </c>
      <c r="H9" s="6">
        <v>150.84</v>
      </c>
      <c r="I9" s="6">
        <v>96.66</v>
      </c>
      <c r="J9" s="12">
        <f t="shared" si="0"/>
        <v>0.15963169873784411</v>
      </c>
      <c r="K9" s="11">
        <v>4.4071728075653495E-2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7.1159262234673892E-2</v>
      </c>
      <c r="Q9" s="12">
        <v>0.41509433962264153</v>
      </c>
      <c r="R9" s="14">
        <v>12</v>
      </c>
    </row>
    <row r="10" spans="1:22" x14ac:dyDescent="0.5">
      <c r="B10" s="1" t="s">
        <v>646</v>
      </c>
      <c r="C10" t="s">
        <v>744</v>
      </c>
      <c r="D10" t="s">
        <v>296</v>
      </c>
      <c r="E10">
        <v>204.71</v>
      </c>
      <c r="F10" s="9" t="s">
        <v>71</v>
      </c>
      <c r="G10" s="7">
        <v>119940898816</v>
      </c>
      <c r="H10" s="6">
        <v>291.64</v>
      </c>
      <c r="I10" s="6">
        <v>197.92</v>
      </c>
      <c r="J10" s="12">
        <f t="shared" si="0"/>
        <v>3.4306790622473882E-2</v>
      </c>
      <c r="K10" s="11">
        <v>6.7900933027209218E-2</v>
      </c>
      <c r="L10" s="13">
        <v>14501000000</v>
      </c>
      <c r="M10" s="13">
        <v>37220000000</v>
      </c>
      <c r="N10" s="9" t="s">
        <v>71</v>
      </c>
      <c r="O10" s="6">
        <v>1</v>
      </c>
      <c r="P10" s="12">
        <v>0.11443980948661686</v>
      </c>
      <c r="Q10" s="12">
        <v>0.38960236432025791</v>
      </c>
      <c r="R10" s="14">
        <v>6</v>
      </c>
    </row>
    <row r="11" spans="1:22" x14ac:dyDescent="0.5">
      <c r="B11" s="1" t="s">
        <v>39</v>
      </c>
      <c r="C11" t="s">
        <v>105</v>
      </c>
      <c r="D11" t="s">
        <v>106</v>
      </c>
      <c r="E11">
        <v>83.82</v>
      </c>
      <c r="F11" s="9" t="s">
        <v>71</v>
      </c>
      <c r="G11" s="7">
        <v>3432333312</v>
      </c>
      <c r="H11" s="6">
        <v>110.2</v>
      </c>
      <c r="I11" s="6">
        <v>47.63</v>
      </c>
      <c r="J11" s="12">
        <f t="shared" si="0"/>
        <v>0.75981524249422616</v>
      </c>
      <c r="K11" s="11">
        <v>1.4912908613696017E-2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0.12549169692644876</v>
      </c>
      <c r="Q11" s="12">
        <v>0.27162760557295607</v>
      </c>
      <c r="R11" s="14">
        <v>11</v>
      </c>
    </row>
    <row r="12" spans="1:22" x14ac:dyDescent="0.5">
      <c r="B12" s="1" t="s">
        <v>396</v>
      </c>
      <c r="C12" t="s">
        <v>409</v>
      </c>
      <c r="D12" t="s">
        <v>164</v>
      </c>
      <c r="E12">
        <v>90.3</v>
      </c>
      <c r="F12" s="9" t="s">
        <v>71</v>
      </c>
      <c r="G12" s="7">
        <v>72379793408</v>
      </c>
      <c r="H12" s="6">
        <v>99.33</v>
      </c>
      <c r="I12" s="6">
        <v>74.55</v>
      </c>
      <c r="J12" s="12">
        <f t="shared" si="0"/>
        <v>0.21126760563380276</v>
      </c>
      <c r="K12" s="11">
        <v>2.2812846068660023E-2</v>
      </c>
      <c r="L12" s="13">
        <v>3326000000</v>
      </c>
      <c r="M12" s="13">
        <v>8042000000</v>
      </c>
      <c r="N12" s="9" t="s">
        <v>71</v>
      </c>
      <c r="O12" s="6">
        <v>1</v>
      </c>
      <c r="P12" s="12">
        <v>4.1759895377800595E-2</v>
      </c>
      <c r="Q12" s="12">
        <v>0.41357871176324296</v>
      </c>
      <c r="R12" s="14">
        <v>26</v>
      </c>
    </row>
    <row r="13" spans="1:22" x14ac:dyDescent="0.5">
      <c r="B13" s="1" t="s">
        <v>648</v>
      </c>
      <c r="C13" t="s">
        <v>747</v>
      </c>
      <c r="D13" t="s">
        <v>193</v>
      </c>
      <c r="E13">
        <v>129.38999999999999</v>
      </c>
      <c r="F13" s="9" t="s">
        <v>71</v>
      </c>
      <c r="G13" s="7">
        <v>138194354176</v>
      </c>
      <c r="H13" s="6">
        <v>205.95</v>
      </c>
      <c r="I13" s="6">
        <v>120.8</v>
      </c>
      <c r="J13" s="12">
        <f t="shared" si="0"/>
        <v>7.1109271523178696E-2</v>
      </c>
      <c r="K13" s="11">
        <v>2.7204575314939333E-2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9.0361514704004942E-2</v>
      </c>
      <c r="Q13" s="12">
        <v>0.37001971291334645</v>
      </c>
      <c r="R13" s="14">
        <v>9</v>
      </c>
    </row>
    <row r="14" spans="1:22" x14ac:dyDescent="0.5">
      <c r="B14" s="1" t="s">
        <v>589</v>
      </c>
      <c r="C14" t="s">
        <v>673</v>
      </c>
      <c r="D14" t="s">
        <v>49</v>
      </c>
      <c r="E14">
        <v>268.64</v>
      </c>
      <c r="F14" s="9" t="s">
        <v>71</v>
      </c>
      <c r="G14" s="7">
        <v>77422051328</v>
      </c>
      <c r="H14" s="6">
        <v>303.16000000000003</v>
      </c>
      <c r="I14" s="6">
        <v>214.66</v>
      </c>
      <c r="J14" s="12">
        <f t="shared" si="0"/>
        <v>0.25146743687692164</v>
      </c>
      <c r="K14" s="11">
        <v>2.3153662894580106E-2</v>
      </c>
      <c r="L14" s="13">
        <v>4258000000</v>
      </c>
      <c r="M14" s="13">
        <v>12194000000</v>
      </c>
      <c r="N14" s="9" t="s">
        <v>71</v>
      </c>
      <c r="O14" s="6">
        <v>1</v>
      </c>
      <c r="P14" s="12">
        <v>4.9637423377985275E-2</v>
      </c>
      <c r="Q14" s="12">
        <v>0.3491881253075283</v>
      </c>
      <c r="R14" s="14">
        <v>21</v>
      </c>
    </row>
    <row r="15" spans="1:22" x14ac:dyDescent="0.5">
      <c r="B15" s="1" t="s">
        <v>629</v>
      </c>
      <c r="C15" t="s">
        <v>721</v>
      </c>
      <c r="D15" t="s">
        <v>709</v>
      </c>
      <c r="E15">
        <v>242.11</v>
      </c>
      <c r="F15" s="9" t="s">
        <v>71</v>
      </c>
      <c r="G15" s="7">
        <v>135811964928</v>
      </c>
      <c r="H15" s="6">
        <v>293.06</v>
      </c>
      <c r="I15" s="6">
        <v>206.39</v>
      </c>
      <c r="J15" s="12">
        <f t="shared" si="0"/>
        <v>0.1730704006977084</v>
      </c>
      <c r="K15" s="11">
        <v>1.9619181363842879E-2</v>
      </c>
      <c r="M15" s="13">
        <v>21256000000</v>
      </c>
      <c r="N15" s="9" t="s">
        <v>71</v>
      </c>
      <c r="O15" s="6">
        <v>1</v>
      </c>
    </row>
    <row r="16" spans="1:22" x14ac:dyDescent="0.5">
      <c r="B16" s="1" t="s">
        <v>209</v>
      </c>
      <c r="C16" t="s">
        <v>239</v>
      </c>
      <c r="D16" t="s">
        <v>240</v>
      </c>
      <c r="E16">
        <v>9.49</v>
      </c>
      <c r="F16" s="9" t="s">
        <v>71</v>
      </c>
      <c r="G16" s="7">
        <v>3016347904</v>
      </c>
      <c r="H16" s="6">
        <v>10.9</v>
      </c>
      <c r="I16" s="6">
        <v>7.85</v>
      </c>
      <c r="J16" s="12">
        <f t="shared" si="0"/>
        <v>0.20891719745222948</v>
      </c>
      <c r="K16" s="11">
        <v>9.9051633298208638E-2</v>
      </c>
      <c r="L16" s="13">
        <v>768700000</v>
      </c>
      <c r="M16" s="13">
        <v>3835600000</v>
      </c>
      <c r="N16" s="9" t="s">
        <v>71</v>
      </c>
      <c r="O16" s="6">
        <v>1</v>
      </c>
      <c r="P16" s="12">
        <v>0.17145286762765516</v>
      </c>
      <c r="Q16" s="12">
        <v>0.20041193033684429</v>
      </c>
      <c r="R16" s="14">
        <v>15</v>
      </c>
    </row>
    <row r="17" spans="1:18" x14ac:dyDescent="0.5">
      <c r="B17" s="1" t="s">
        <v>602</v>
      </c>
      <c r="C17" t="s">
        <v>690</v>
      </c>
      <c r="D17" t="s">
        <v>444</v>
      </c>
      <c r="E17">
        <v>4293.0200000000004</v>
      </c>
      <c r="F17" s="9" t="s">
        <v>71</v>
      </c>
      <c r="G17" s="7">
        <v>138380410880</v>
      </c>
      <c r="H17" s="6">
        <v>5839.41</v>
      </c>
      <c r="I17" s="6">
        <v>3765.45</v>
      </c>
      <c r="J17" s="12">
        <f t="shared" si="0"/>
        <v>0.14010808801072927</v>
      </c>
      <c r="K17" s="11">
        <v>8.9447521791186611E-3</v>
      </c>
      <c r="L17" s="13">
        <v>8449000000</v>
      </c>
      <c r="M17" s="13">
        <v>13158000000</v>
      </c>
      <c r="N17" s="9" t="s">
        <v>71</v>
      </c>
      <c r="O17" s="6">
        <v>1</v>
      </c>
      <c r="P17" s="12">
        <v>6.0147898387068487E-2</v>
      </c>
      <c r="Q17" s="12">
        <v>0.6421188630490956</v>
      </c>
      <c r="R17" s="14">
        <v>10</v>
      </c>
    </row>
    <row r="18" spans="1:18" x14ac:dyDescent="0.5">
      <c r="B18" s="1" t="s">
        <v>611</v>
      </c>
      <c r="C18" t="s">
        <v>701</v>
      </c>
      <c r="D18" t="s">
        <v>182</v>
      </c>
      <c r="E18">
        <v>392.27</v>
      </c>
      <c r="F18" s="9" t="s">
        <v>71</v>
      </c>
      <c r="G18" s="7">
        <v>13191606272</v>
      </c>
      <c r="H18" s="6">
        <v>499.08</v>
      </c>
      <c r="I18" s="6">
        <v>370.7</v>
      </c>
      <c r="J18" s="12">
        <f t="shared" si="0"/>
        <v>5.8187213380091807E-2</v>
      </c>
      <c r="K18" s="11">
        <v>1.7742881178779923E-2</v>
      </c>
      <c r="L18" s="13">
        <v>966310000</v>
      </c>
      <c r="M18" s="13">
        <v>915672000</v>
      </c>
      <c r="N18" s="9" t="s">
        <v>71</v>
      </c>
      <c r="O18" s="6">
        <v>1</v>
      </c>
      <c r="P18" s="12">
        <v>5.3345396722411217E-2</v>
      </c>
      <c r="Q18" s="12">
        <v>1.0553014616587599</v>
      </c>
      <c r="R18" s="14">
        <v>14</v>
      </c>
    </row>
    <row r="19" spans="1:18" x14ac:dyDescent="0.5">
      <c r="B19" s="1" t="s">
        <v>206</v>
      </c>
      <c r="C19" t="s">
        <v>234</v>
      </c>
      <c r="D19" t="s">
        <v>76</v>
      </c>
      <c r="E19">
        <v>37.82</v>
      </c>
      <c r="F19" s="9" t="s">
        <v>71</v>
      </c>
      <c r="G19" s="7">
        <v>1352846080</v>
      </c>
      <c r="H19" s="6">
        <v>41.4</v>
      </c>
      <c r="I19" s="6">
        <v>17.73</v>
      </c>
      <c r="J19" s="12">
        <f t="shared" si="0"/>
        <v>1.1331077270163563</v>
      </c>
      <c r="K19" s="11">
        <v>6.0814383923849809E-2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0.20801854858304183</v>
      </c>
      <c r="Q19" s="12">
        <v>0.18435624112536766</v>
      </c>
      <c r="R19" s="14">
        <v>16</v>
      </c>
    </row>
    <row r="20" spans="1:18" x14ac:dyDescent="0.5">
      <c r="B20" s="1" t="s">
        <v>631</v>
      </c>
      <c r="C20" t="s">
        <v>723</v>
      </c>
      <c r="D20" t="s">
        <v>724</v>
      </c>
      <c r="E20">
        <v>943.25</v>
      </c>
      <c r="F20" s="9" t="s">
        <v>71</v>
      </c>
      <c r="G20" s="7">
        <v>116422189056</v>
      </c>
      <c r="H20" s="6">
        <v>999</v>
      </c>
      <c r="I20" s="6">
        <v>637</v>
      </c>
      <c r="J20" s="12">
        <f t="shared" si="0"/>
        <v>0.48076923076923084</v>
      </c>
      <c r="K20" s="11">
        <v>3.2441028359395706E-3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3.9146236479280706E-2</v>
      </c>
      <c r="Q20" s="12">
        <v>1.2916201117318435</v>
      </c>
      <c r="R20" s="14">
        <v>25</v>
      </c>
    </row>
    <row r="21" spans="1:18" x14ac:dyDescent="0.5">
      <c r="B21" s="1" t="s">
        <v>394</v>
      </c>
      <c r="C21" t="s">
        <v>407</v>
      </c>
      <c r="D21" t="s">
        <v>311</v>
      </c>
      <c r="E21">
        <v>97.4</v>
      </c>
      <c r="F21" s="9" t="s">
        <v>71</v>
      </c>
      <c r="G21" s="7">
        <v>82702508032</v>
      </c>
      <c r="H21" s="6">
        <v>122.41</v>
      </c>
      <c r="I21" s="6">
        <v>82</v>
      </c>
      <c r="J21" s="12">
        <f t="shared" si="0"/>
        <v>0.18780487804878065</v>
      </c>
      <c r="K21" s="11">
        <v>6.7351129363449683E-2</v>
      </c>
      <c r="L21" s="13">
        <v>8181000000</v>
      </c>
      <c r="M21" s="13">
        <v>40354000000</v>
      </c>
      <c r="N21" s="9" t="s">
        <v>71</v>
      </c>
      <c r="O21" s="6">
        <v>1</v>
      </c>
      <c r="P21" s="12">
        <v>7.7614539816233646E-2</v>
      </c>
      <c r="Q21" s="12">
        <v>0.20273083213559995</v>
      </c>
      <c r="R21" s="14">
        <v>18</v>
      </c>
    </row>
    <row r="22" spans="1:18" x14ac:dyDescent="0.5">
      <c r="B22" s="1" t="s">
        <v>391</v>
      </c>
      <c r="C22" t="s">
        <v>404</v>
      </c>
      <c r="D22" t="s">
        <v>401</v>
      </c>
      <c r="E22">
        <v>251.86</v>
      </c>
      <c r="F22" s="9" t="s">
        <v>71</v>
      </c>
      <c r="G22" s="7">
        <v>103388528640</v>
      </c>
      <c r="H22" s="6">
        <v>422.95</v>
      </c>
      <c r="I22" s="6">
        <v>244.28</v>
      </c>
      <c r="J22" s="12">
        <f t="shared" si="0"/>
        <v>3.1029965613230681E-2</v>
      </c>
      <c r="K22" s="11">
        <v>0</v>
      </c>
      <c r="L22" s="13">
        <v>8997000000</v>
      </c>
      <c r="M22" s="13">
        <v>17833000000</v>
      </c>
      <c r="N22" s="9" t="s">
        <v>71</v>
      </c>
      <c r="O22" s="6">
        <v>1</v>
      </c>
      <c r="P22" s="12">
        <v>8.6008838318318542E-2</v>
      </c>
      <c r="Q22" s="12">
        <v>0.50451410306734701</v>
      </c>
      <c r="R22" s="14">
        <v>5</v>
      </c>
    </row>
    <row r="23" spans="1:18" x14ac:dyDescent="0.5">
      <c r="B23" s="1" t="s">
        <v>586</v>
      </c>
      <c r="C23" t="s">
        <v>670</v>
      </c>
      <c r="D23" t="s">
        <v>401</v>
      </c>
      <c r="E23">
        <v>209.11</v>
      </c>
      <c r="F23" s="9" t="s">
        <v>71</v>
      </c>
      <c r="G23" s="7">
        <v>84574273536</v>
      </c>
      <c r="H23" s="6">
        <v>329.93</v>
      </c>
      <c r="I23" s="6">
        <v>203.26</v>
      </c>
      <c r="J23" s="12">
        <f t="shared" si="0"/>
        <v>2.8780871789825913E-2</v>
      </c>
      <c r="K23" s="11">
        <v>3.0223327435321121E-2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6.3859567580033166E-2</v>
      </c>
      <c r="Q23" s="12">
        <v>0.38614537710451241</v>
      </c>
      <c r="R23" s="14">
        <v>15</v>
      </c>
    </row>
    <row r="24" spans="1:18" x14ac:dyDescent="0.5">
      <c r="B24" s="1" t="s">
        <v>615</v>
      </c>
      <c r="C24" t="s">
        <v>705</v>
      </c>
      <c r="D24" t="s">
        <v>311</v>
      </c>
      <c r="E24">
        <v>142.79</v>
      </c>
      <c r="F24" s="9" t="s">
        <v>71</v>
      </c>
      <c r="G24" s="7">
        <v>19136847872</v>
      </c>
      <c r="H24" s="6">
        <v>167.19</v>
      </c>
      <c r="I24" s="6">
        <v>100.47</v>
      </c>
      <c r="J24" s="12">
        <f t="shared" si="0"/>
        <v>0.42122026475564844</v>
      </c>
      <c r="K24" s="11">
        <v>1.078506898242174E-2</v>
      </c>
      <c r="L24" s="13">
        <v>1052546000</v>
      </c>
      <c r="M24" s="13">
        <v>2355633000</v>
      </c>
      <c r="N24" s="9" t="s">
        <v>71</v>
      </c>
      <c r="O24" s="6">
        <v>1</v>
      </c>
      <c r="P24" s="12">
        <v>5.7224884963968402E-2</v>
      </c>
      <c r="Q24" s="12">
        <v>0.4468208757476228</v>
      </c>
      <c r="R24" s="14">
        <v>15</v>
      </c>
    </row>
    <row r="25" spans="1:18" x14ac:dyDescent="0.5">
      <c r="B25" s="1" t="s">
        <v>210</v>
      </c>
      <c r="C25" t="s">
        <v>241</v>
      </c>
      <c r="D25" t="s">
        <v>85</v>
      </c>
      <c r="E25">
        <v>76.400000000000006</v>
      </c>
      <c r="F25" s="9" t="s">
        <v>71</v>
      </c>
      <c r="G25" s="7">
        <v>892872320</v>
      </c>
      <c r="H25" s="6">
        <v>85.15</v>
      </c>
      <c r="I25" s="6">
        <v>58.47</v>
      </c>
      <c r="J25" s="12">
        <f t="shared" si="0"/>
        <v>0.30665298443646316</v>
      </c>
      <c r="K25" s="11">
        <v>1.1780104712041883E-2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8.2248173724241591E-2</v>
      </c>
      <c r="Q25" s="12">
        <v>0.18756220051603392</v>
      </c>
      <c r="R25" s="14">
        <v>18</v>
      </c>
    </row>
    <row r="26" spans="1:18" x14ac:dyDescent="0.5">
      <c r="B26" s="1" t="s">
        <v>608</v>
      </c>
      <c r="C26" t="s">
        <v>698</v>
      </c>
      <c r="D26" t="s">
        <v>429</v>
      </c>
      <c r="E26">
        <v>121.32</v>
      </c>
      <c r="F26" s="9" t="s">
        <v>71</v>
      </c>
      <c r="G26" s="7">
        <v>148294189056</v>
      </c>
      <c r="H26" s="6">
        <v>122.5</v>
      </c>
      <c r="I26" s="6">
        <v>79.88</v>
      </c>
      <c r="J26" s="12">
        <f t="shared" si="0"/>
        <v>0.51877816725087622</v>
      </c>
      <c r="K26" s="11">
        <v>2.6211671612265088E-2</v>
      </c>
      <c r="L26" s="13">
        <v>13889000000</v>
      </c>
      <c r="M26" s="13">
        <v>87130000000</v>
      </c>
      <c r="N26" s="9" t="s">
        <v>71</v>
      </c>
      <c r="O26" s="6">
        <v>1</v>
      </c>
      <c r="P26" s="12">
        <v>8.4052893103383791E-2</v>
      </c>
      <c r="Q26" s="12">
        <v>0.15940548605531965</v>
      </c>
      <c r="R26" s="14">
        <v>24</v>
      </c>
    </row>
    <row r="27" spans="1:18" x14ac:dyDescent="0.5">
      <c r="B27" s="1" t="s">
        <v>413</v>
      </c>
      <c r="C27" t="s">
        <v>420</v>
      </c>
      <c r="D27" t="s">
        <v>233</v>
      </c>
      <c r="E27">
        <v>157.22999999999999</v>
      </c>
      <c r="F27" s="9" t="s">
        <v>71</v>
      </c>
      <c r="G27" s="7">
        <v>655140192256</v>
      </c>
      <c r="H27" s="6">
        <v>159.61000000000001</v>
      </c>
      <c r="I27" s="6">
        <v>97.8</v>
      </c>
      <c r="J27" s="12">
        <f t="shared" si="0"/>
        <v>0.60766871165644165</v>
      </c>
      <c r="K27" s="11">
        <v>2.54404375755263E-2</v>
      </c>
      <c r="L27" s="13">
        <v>41871000000</v>
      </c>
      <c r="M27" s="13">
        <v>296610000000</v>
      </c>
      <c r="N27" s="9" t="s">
        <v>71</v>
      </c>
      <c r="O27" s="6">
        <v>1</v>
      </c>
      <c r="Q27" s="12">
        <v>0.14116516638009508</v>
      </c>
    </row>
    <row r="28" spans="1:18" x14ac:dyDescent="0.5">
      <c r="B28" s="1" t="s">
        <v>618</v>
      </c>
      <c r="C28" t="s">
        <v>708</v>
      </c>
      <c r="D28" t="s">
        <v>709</v>
      </c>
      <c r="E28">
        <v>342.58</v>
      </c>
      <c r="F28" s="9" t="s">
        <v>71</v>
      </c>
      <c r="G28" s="7">
        <v>341042298880</v>
      </c>
      <c r="H28" s="6">
        <v>426.75</v>
      </c>
      <c r="I28" s="6">
        <v>326.31</v>
      </c>
      <c r="J28" s="12">
        <f t="shared" si="0"/>
        <v>4.9860562042229661E-2</v>
      </c>
      <c r="K28" s="11">
        <v>2.6942611944655265E-2</v>
      </c>
      <c r="M28" s="13">
        <v>60023000000</v>
      </c>
      <c r="N28" s="9" t="s">
        <v>71</v>
      </c>
      <c r="O28" s="6">
        <v>1</v>
      </c>
    </row>
    <row r="29" spans="1:18" x14ac:dyDescent="0.5">
      <c r="B29" s="1" t="s">
        <v>398</v>
      </c>
      <c r="C29" t="s">
        <v>411</v>
      </c>
      <c r="D29" t="s">
        <v>164</v>
      </c>
      <c r="E29">
        <v>152.12</v>
      </c>
      <c r="F29" s="9" t="s">
        <v>71</v>
      </c>
      <c r="G29" s="7">
        <v>355463888896</v>
      </c>
      <c r="H29" s="6">
        <v>174.8</v>
      </c>
      <c r="I29" s="6">
        <v>137.62</v>
      </c>
      <c r="J29" s="12">
        <f t="shared" si="0"/>
        <v>0.10536259264641767</v>
      </c>
      <c r="K29" s="11">
        <v>2.7458585327373122E-2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5.525854388363368E-2</v>
      </c>
      <c r="Q29" s="12">
        <v>0.24578386321755966</v>
      </c>
      <c r="R29" s="14">
        <v>24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208.78</v>
      </c>
      <c r="F30" s="9" t="s">
        <v>71</v>
      </c>
      <c r="G30" s="7">
        <v>7776947200</v>
      </c>
      <c r="H30" s="6">
        <v>345</v>
      </c>
      <c r="I30" s="6">
        <v>203.8</v>
      </c>
      <c r="J30" s="12">
        <f t="shared" si="0"/>
        <v>2.4435721295387625E-2</v>
      </c>
      <c r="K30" s="11">
        <v>2.3709167544783985E-2</v>
      </c>
      <c r="L30" s="13">
        <v>580204000</v>
      </c>
      <c r="M30" s="13">
        <v>2384682000</v>
      </c>
      <c r="N30" s="9" t="s">
        <v>71</v>
      </c>
      <c r="O30" s="6">
        <v>1</v>
      </c>
      <c r="P30" s="12">
        <v>6.3017599884053629E-2</v>
      </c>
      <c r="Q30" s="12">
        <v>0.2433045580081537</v>
      </c>
      <c r="R30" s="14">
        <v>20</v>
      </c>
    </row>
    <row r="31" spans="1:18" x14ac:dyDescent="0.5">
      <c r="B31" s="1" t="s">
        <v>211</v>
      </c>
      <c r="C31" t="s">
        <v>242</v>
      </c>
      <c r="D31" t="s">
        <v>233</v>
      </c>
      <c r="E31">
        <v>196.84</v>
      </c>
      <c r="F31" s="9" t="s">
        <v>71</v>
      </c>
      <c r="G31" s="7">
        <v>393552756736</v>
      </c>
      <c r="H31" s="6">
        <v>198.88</v>
      </c>
      <c r="I31" s="6">
        <v>132.04</v>
      </c>
      <c r="J31" s="12">
        <f t="shared" si="0"/>
        <v>0.49076037564374442</v>
      </c>
      <c r="K31" s="11">
        <v>3.4749034749034749E-2</v>
      </c>
      <c r="L31" s="13">
        <v>20960000000</v>
      </c>
      <c r="M31" s="13">
        <v>225763000000</v>
      </c>
      <c r="N31" s="9" t="s">
        <v>71</v>
      </c>
      <c r="O31" s="6">
        <v>1</v>
      </c>
      <c r="P31" s="12">
        <v>4.8969930966971685E-2</v>
      </c>
      <c r="Q31" s="12">
        <v>9.2840722350429436E-2</v>
      </c>
      <c r="R31" s="14">
        <v>50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193.47</v>
      </c>
      <c r="F32" s="9" t="s">
        <v>71</v>
      </c>
      <c r="G32" s="7">
        <v>11818432512</v>
      </c>
      <c r="H32" s="6">
        <v>246.33</v>
      </c>
      <c r="I32" s="6">
        <v>152.33000000000001</v>
      </c>
      <c r="J32" s="12">
        <f t="shared" si="0"/>
        <v>0.27007155517626202</v>
      </c>
      <c r="K32" s="11">
        <v>4.1350080115780223E-3</v>
      </c>
      <c r="L32" s="13">
        <v>2124398000</v>
      </c>
      <c r="M32" s="13">
        <v>12028343000</v>
      </c>
      <c r="N32" s="9" t="s">
        <v>71</v>
      </c>
      <c r="O32" s="6">
        <v>1</v>
      </c>
      <c r="P32" s="12">
        <v>0.12609844683634663</v>
      </c>
      <c r="Q32" s="12">
        <v>0.17661601435875249</v>
      </c>
      <c r="R32" s="14">
        <v>17</v>
      </c>
    </row>
    <row r="33" spans="2:18" x14ac:dyDescent="0.5">
      <c r="B33" s="1" t="s">
        <v>645</v>
      </c>
      <c r="C33" t="s">
        <v>743</v>
      </c>
      <c r="D33" t="s">
        <v>401</v>
      </c>
      <c r="E33">
        <v>93.1</v>
      </c>
      <c r="F33" s="9" t="s">
        <v>71</v>
      </c>
      <c r="G33" s="7">
        <v>33419870208</v>
      </c>
      <c r="H33" s="6">
        <v>161.24</v>
      </c>
      <c r="I33" s="6">
        <v>86.89</v>
      </c>
      <c r="J33" s="12">
        <f t="shared" si="0"/>
        <v>7.1469674300840058E-2</v>
      </c>
      <c r="K33" s="11">
        <v>4.5327604726100965E-2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6.1968996408401811E-2</v>
      </c>
      <c r="Q33" s="12">
        <v>0.25083564234507633</v>
      </c>
      <c r="R33" s="14">
        <v>19</v>
      </c>
    </row>
    <row r="34" spans="2:18" x14ac:dyDescent="0.5">
      <c r="B34" s="1" t="s">
        <v>591</v>
      </c>
      <c r="C34" t="s">
        <v>675</v>
      </c>
      <c r="D34" t="s">
        <v>676</v>
      </c>
      <c r="E34">
        <v>204.74</v>
      </c>
      <c r="F34" s="9" t="s">
        <v>71</v>
      </c>
      <c r="G34" s="7">
        <v>28535142400</v>
      </c>
      <c r="H34" s="6">
        <v>322.92</v>
      </c>
      <c r="I34" s="6">
        <v>164.6</v>
      </c>
      <c r="J34" s="12">
        <f t="shared" ref="J34:J65" si="1">E34/I34-1</f>
        <v>0.24386391251518846</v>
      </c>
      <c r="K34" s="11">
        <v>8.7916381752466549E-3</v>
      </c>
      <c r="L34" s="13">
        <v>1342200000</v>
      </c>
      <c r="M34" s="13">
        <v>5022600000</v>
      </c>
      <c r="N34" s="9" t="s">
        <v>71</v>
      </c>
      <c r="O34" s="6">
        <v>1</v>
      </c>
      <c r="P34" s="12">
        <v>4.2940310881964171E-2</v>
      </c>
      <c r="Q34" s="12">
        <v>0.26723211085891768</v>
      </c>
      <c r="R34" s="14">
        <v>32</v>
      </c>
    </row>
    <row r="35" spans="2:18" x14ac:dyDescent="0.5">
      <c r="B35" s="1" t="s">
        <v>399</v>
      </c>
      <c r="C35" t="s">
        <v>412</v>
      </c>
      <c r="D35" t="s">
        <v>145</v>
      </c>
      <c r="E35">
        <v>157.72</v>
      </c>
      <c r="F35" s="9" t="s">
        <v>71</v>
      </c>
      <c r="G35" s="7">
        <v>215656890368</v>
      </c>
      <c r="H35" s="6">
        <v>171.48</v>
      </c>
      <c r="I35" s="6">
        <v>127.6</v>
      </c>
      <c r="J35" s="12">
        <f t="shared" si="1"/>
        <v>0.23605015673981189</v>
      </c>
      <c r="K35" s="11">
        <v>3.5651787978696427E-2</v>
      </c>
      <c r="L35" s="13">
        <v>11365000000</v>
      </c>
      <c r="M35" s="13">
        <v>69588000000</v>
      </c>
      <c r="N35" s="9" t="s">
        <v>71</v>
      </c>
      <c r="O35" s="6">
        <v>1</v>
      </c>
      <c r="P35" s="12">
        <v>4.432546483991498E-2</v>
      </c>
      <c r="Q35" s="12">
        <v>0.16331838822785538</v>
      </c>
      <c r="R35" s="14">
        <v>42</v>
      </c>
    </row>
    <row r="36" spans="2:18" x14ac:dyDescent="0.5">
      <c r="B36" s="1" t="s">
        <v>399</v>
      </c>
      <c r="C36" t="s">
        <v>412</v>
      </c>
      <c r="D36" t="s">
        <v>145</v>
      </c>
      <c r="E36">
        <v>157.72</v>
      </c>
      <c r="F36" s="9" t="s">
        <v>71</v>
      </c>
      <c r="G36" s="7">
        <v>215656890368</v>
      </c>
      <c r="H36" s="6">
        <v>171.48</v>
      </c>
      <c r="I36" s="6">
        <v>127.6</v>
      </c>
      <c r="J36" s="12">
        <f t="shared" si="1"/>
        <v>0.23605015673981189</v>
      </c>
      <c r="K36" s="11">
        <v>3.5651787978696427E-2</v>
      </c>
      <c r="L36" s="13">
        <v>11365000000</v>
      </c>
      <c r="M36" s="13">
        <v>69588000000</v>
      </c>
      <c r="N36" s="9" t="s">
        <v>71</v>
      </c>
      <c r="O36" s="6">
        <v>1</v>
      </c>
      <c r="P36" s="12">
        <v>4.432546483991498E-2</v>
      </c>
      <c r="Q36" s="12">
        <v>0.16331838822785538</v>
      </c>
      <c r="R36" s="14">
        <v>42</v>
      </c>
    </row>
    <row r="37" spans="2:18" x14ac:dyDescent="0.5">
      <c r="B37" s="1" t="s">
        <v>587</v>
      </c>
      <c r="C37" t="s">
        <v>671</v>
      </c>
      <c r="D37" t="s">
        <v>74</v>
      </c>
      <c r="E37">
        <v>156.02000000000001</v>
      </c>
      <c r="F37" s="9" t="s">
        <v>71</v>
      </c>
      <c r="G37" s="7">
        <v>173640712192</v>
      </c>
      <c r="H37" s="6">
        <v>162.68</v>
      </c>
      <c r="I37" s="6">
        <v>113.98</v>
      </c>
      <c r="J37" s="12">
        <f t="shared" si="1"/>
        <v>0.36883663800666788</v>
      </c>
      <c r="K37" s="11">
        <v>1.0896038969362901E-2</v>
      </c>
      <c r="M37" s="13">
        <v>11259000000</v>
      </c>
      <c r="N37" s="9" t="s">
        <v>71</v>
      </c>
      <c r="O37" s="6">
        <v>1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174.17500000000001</v>
      </c>
      <c r="J38" s="12">
        <f t="shared" si="1"/>
        <v>4.8945026553753213E-2</v>
      </c>
      <c r="K38" s="11">
        <v>1.8773946360153258E-2</v>
      </c>
      <c r="L38" s="13">
        <v>6499000000</v>
      </c>
      <c r="M38" s="13">
        <v>34687000000</v>
      </c>
      <c r="N38" s="9" t="s">
        <v>71</v>
      </c>
      <c r="O38" s="6">
        <v>1</v>
      </c>
      <c r="P38" s="12">
        <v>5.9853542862034349E-2</v>
      </c>
      <c r="Q38" s="12">
        <v>0.18736125926139477</v>
      </c>
      <c r="R38" s="14">
        <v>25</v>
      </c>
    </row>
    <row r="39" spans="2:18" x14ac:dyDescent="0.5">
      <c r="B39" s="1" t="s">
        <v>590</v>
      </c>
      <c r="C39" t="s">
        <v>674</v>
      </c>
      <c r="D39" t="s">
        <v>446</v>
      </c>
      <c r="E39">
        <v>39.78</v>
      </c>
      <c r="F39" s="9" t="s">
        <v>71</v>
      </c>
      <c r="G39" s="7">
        <v>73973161984</v>
      </c>
      <c r="H39" s="6">
        <v>43.35</v>
      </c>
      <c r="I39" s="6">
        <v>26.22</v>
      </c>
      <c r="J39" s="12">
        <f t="shared" si="1"/>
        <v>0.51716247139588112</v>
      </c>
      <c r="K39" s="11">
        <v>1.3071895424836602E-2</v>
      </c>
      <c r="L39" s="13">
        <v>4613000000</v>
      </c>
      <c r="M39" s="13">
        <v>32028000000</v>
      </c>
      <c r="N39" s="9" t="s">
        <v>71</v>
      </c>
      <c r="O39" s="6">
        <v>1</v>
      </c>
      <c r="P39" s="12">
        <v>4.9786756627726671E-2</v>
      </c>
      <c r="Q39" s="12">
        <v>0.14403022355438991</v>
      </c>
      <c r="R39" s="14">
        <v>38</v>
      </c>
    </row>
    <row r="40" spans="2:18" x14ac:dyDescent="0.5">
      <c r="B40" s="1" t="s">
        <v>643</v>
      </c>
      <c r="C40" t="s">
        <v>740</v>
      </c>
      <c r="D40" t="s">
        <v>741</v>
      </c>
      <c r="E40">
        <v>182.44</v>
      </c>
      <c r="F40" s="9" t="s">
        <v>71</v>
      </c>
      <c r="G40" s="7">
        <v>38147919872</v>
      </c>
      <c r="H40" s="6">
        <v>221.63</v>
      </c>
      <c r="I40" s="6">
        <v>126.01</v>
      </c>
      <c r="J40" s="12">
        <f t="shared" si="1"/>
        <v>0.44782160146020145</v>
      </c>
      <c r="K40" s="11">
        <v>6.1390046042534537E-3</v>
      </c>
      <c r="L40" s="13">
        <v>1361604000</v>
      </c>
      <c r="M40" s="13">
        <v>4351052000</v>
      </c>
      <c r="N40" s="9" t="s">
        <v>71</v>
      </c>
      <c r="O40" s="6">
        <v>1</v>
      </c>
      <c r="P40" s="12">
        <v>3.5767844376350069E-2</v>
      </c>
      <c r="Q40" s="12">
        <v>0.31293673346124112</v>
      </c>
      <c r="R40" s="14">
        <v>40</v>
      </c>
    </row>
    <row r="41" spans="2:18" x14ac:dyDescent="0.5">
      <c r="B41" s="1" t="s">
        <v>630</v>
      </c>
      <c r="C41" t="s">
        <v>722</v>
      </c>
      <c r="D41" t="s">
        <v>182</v>
      </c>
      <c r="E41">
        <v>326.64999999999998</v>
      </c>
      <c r="F41" s="9" t="s">
        <v>71</v>
      </c>
      <c r="G41" s="7">
        <v>233098870784</v>
      </c>
      <c r="H41" s="6">
        <v>341.75</v>
      </c>
      <c r="I41" s="6">
        <v>283.47000000000003</v>
      </c>
      <c r="J41" s="12">
        <f t="shared" si="1"/>
        <v>0.15232652485271791</v>
      </c>
      <c r="K41" s="11">
        <v>2.1950099494872189E-2</v>
      </c>
      <c r="M41" s="13">
        <v>34628000000</v>
      </c>
      <c r="N41" s="9" t="s">
        <v>71</v>
      </c>
      <c r="O41" s="6">
        <v>1</v>
      </c>
    </row>
    <row r="42" spans="2:18" x14ac:dyDescent="0.5">
      <c r="B42" s="1" t="s">
        <v>397</v>
      </c>
      <c r="C42" t="s">
        <v>410</v>
      </c>
      <c r="D42" t="s">
        <v>85</v>
      </c>
      <c r="E42">
        <v>38.979999999999997</v>
      </c>
      <c r="F42" s="9" t="s">
        <v>71</v>
      </c>
      <c r="G42" s="7">
        <v>20799029248</v>
      </c>
      <c r="H42" s="6">
        <v>62.61</v>
      </c>
      <c r="I42" s="6">
        <v>38.590000000000003</v>
      </c>
      <c r="J42" s="12">
        <f t="shared" si="1"/>
        <v>1.0106245141228154E-2</v>
      </c>
      <c r="K42" s="11">
        <v>6.2083119548486408E-2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9.4699881624151661E-2</v>
      </c>
      <c r="Q42" s="12">
        <v>0.14053609549045179</v>
      </c>
      <c r="R42" s="14">
        <v>25</v>
      </c>
    </row>
    <row r="43" spans="2:18" x14ac:dyDescent="0.5">
      <c r="B43" s="1" t="s">
        <v>632</v>
      </c>
      <c r="C43" t="s">
        <v>725</v>
      </c>
      <c r="D43" t="s">
        <v>726</v>
      </c>
      <c r="E43">
        <v>57.16</v>
      </c>
      <c r="F43" s="9" t="s">
        <v>71</v>
      </c>
      <c r="G43" s="7">
        <v>73756893184</v>
      </c>
      <c r="H43" s="6">
        <v>71.150000000000006</v>
      </c>
      <c r="I43" s="6">
        <v>51.2</v>
      </c>
      <c r="J43" s="12">
        <f t="shared" si="1"/>
        <v>0.11640624999999982</v>
      </c>
      <c r="K43" s="11">
        <v>3.3939818054583626E-2</v>
      </c>
      <c r="L43" s="13">
        <v>3613000000</v>
      </c>
      <c r="M43" s="13">
        <v>47043000000</v>
      </c>
      <c r="N43" s="9" t="s">
        <v>71</v>
      </c>
      <c r="O43" s="6">
        <v>1</v>
      </c>
      <c r="P43" s="12">
        <v>3.8668223493995471E-2</v>
      </c>
      <c r="Q43" s="12">
        <v>7.6802074697617073E-2</v>
      </c>
      <c r="R43" s="14">
        <v>68</v>
      </c>
    </row>
    <row r="44" spans="2:18" x14ac:dyDescent="0.5">
      <c r="B44" s="1" t="s">
        <v>628</v>
      </c>
      <c r="C44" t="s">
        <v>720</v>
      </c>
      <c r="D44" t="s">
        <v>534</v>
      </c>
      <c r="E44">
        <v>645.20000000000005</v>
      </c>
      <c r="F44" s="9" t="s">
        <v>71</v>
      </c>
      <c r="G44" s="7">
        <v>149297856512</v>
      </c>
      <c r="H44" s="6">
        <v>692</v>
      </c>
      <c r="I44" s="6">
        <v>410.11</v>
      </c>
      <c r="J44" s="12">
        <f t="shared" si="1"/>
        <v>0.57323644875765045</v>
      </c>
      <c r="K44" s="11">
        <v>2.069125852448853E-2</v>
      </c>
      <c r="L44" s="13">
        <v>7040000000</v>
      </c>
      <c r="M44" s="13">
        <v>28421000000</v>
      </c>
      <c r="N44" s="9" t="s">
        <v>71</v>
      </c>
      <c r="O44" s="6">
        <v>1</v>
      </c>
      <c r="P44" s="12">
        <v>4.2186796582507284E-2</v>
      </c>
      <c r="Q44" s="12">
        <v>0.24770416241511559</v>
      </c>
      <c r="R44" s="14">
        <v>34</v>
      </c>
    </row>
    <row r="45" spans="2:18" x14ac:dyDescent="0.5">
      <c r="B45" s="1" t="s">
        <v>639</v>
      </c>
      <c r="C45" t="s">
        <v>734</v>
      </c>
      <c r="D45" t="s">
        <v>534</v>
      </c>
      <c r="E45">
        <v>735.96</v>
      </c>
      <c r="F45" s="9" t="s">
        <v>71</v>
      </c>
      <c r="G45" s="7">
        <v>105036259328</v>
      </c>
      <c r="H45" s="6">
        <v>774</v>
      </c>
      <c r="I45" s="6">
        <v>450.13</v>
      </c>
      <c r="J45" s="12">
        <f t="shared" si="1"/>
        <v>0.63499433496989766</v>
      </c>
      <c r="K45" s="11">
        <v>1.2215337790097288E-2</v>
      </c>
      <c r="L45" s="13">
        <v>5733000000</v>
      </c>
      <c r="M45" s="13">
        <v>31836000000</v>
      </c>
      <c r="N45" s="9" t="s">
        <v>71</v>
      </c>
      <c r="O45" s="6">
        <v>1</v>
      </c>
      <c r="P45" s="12">
        <v>4.8728345998159735E-2</v>
      </c>
      <c r="Q45" s="12">
        <v>0.18007915567282323</v>
      </c>
      <c r="R45" s="14">
        <v>33</v>
      </c>
    </row>
    <row r="46" spans="2:18" x14ac:dyDescent="0.5">
      <c r="B46" s="1" t="s">
        <v>609</v>
      </c>
      <c r="C46" t="s">
        <v>699</v>
      </c>
      <c r="D46" t="s">
        <v>363</v>
      </c>
      <c r="E46">
        <v>310.22000000000003</v>
      </c>
      <c r="F46" s="9" t="s">
        <v>71</v>
      </c>
      <c r="G46" s="7">
        <v>21702387712</v>
      </c>
      <c r="H46" s="6">
        <v>361.99</v>
      </c>
      <c r="I46" s="6">
        <v>252.84</v>
      </c>
      <c r="J46" s="12">
        <f t="shared" si="1"/>
        <v>0.22694193956652442</v>
      </c>
      <c r="K46" s="11">
        <v>0</v>
      </c>
      <c r="L46" s="13">
        <v>1945527000</v>
      </c>
      <c r="M46" s="13">
        <v>13885551000</v>
      </c>
      <c r="N46" s="9" t="s">
        <v>71</v>
      </c>
      <c r="O46" s="6">
        <v>1</v>
      </c>
      <c r="P46" s="12">
        <v>6.6409355547914953E-2</v>
      </c>
      <c r="Q46" s="12">
        <v>0.14011161674462899</v>
      </c>
      <c r="R46" s="14">
        <v>31</v>
      </c>
    </row>
    <row r="47" spans="2:18" x14ac:dyDescent="0.5">
      <c r="B47" s="1" t="s">
        <v>212</v>
      </c>
      <c r="C47" t="s">
        <v>243</v>
      </c>
      <c r="D47" t="s">
        <v>85</v>
      </c>
      <c r="E47">
        <v>9.76</v>
      </c>
      <c r="F47" s="9" t="s">
        <v>71</v>
      </c>
      <c r="G47" s="7">
        <v>1431266048</v>
      </c>
      <c r="H47" s="6">
        <v>20.29</v>
      </c>
      <c r="I47" s="6">
        <v>9.5399999999999991</v>
      </c>
      <c r="J47" s="12">
        <f t="shared" si="1"/>
        <v>2.3060796645702375E-2</v>
      </c>
      <c r="K47" s="11">
        <v>5.9323770491803277E-2</v>
      </c>
      <c r="L47" s="13">
        <v>259300000</v>
      </c>
      <c r="M47" s="13">
        <v>4698700000</v>
      </c>
      <c r="N47" s="9" t="s">
        <v>188</v>
      </c>
      <c r="O47" s="6">
        <v>0.87055300000000002</v>
      </c>
      <c r="P47" s="12">
        <v>7.1802629602272683E-2</v>
      </c>
      <c r="Q47" s="12">
        <v>5.5185476834017921E-2</v>
      </c>
      <c r="R47" s="14">
        <v>45</v>
      </c>
    </row>
    <row r="48" spans="2:18" x14ac:dyDescent="0.5">
      <c r="B48" s="1" t="s">
        <v>208</v>
      </c>
      <c r="C48" t="s">
        <v>237</v>
      </c>
      <c r="D48" t="s">
        <v>238</v>
      </c>
      <c r="E48">
        <v>42.1</v>
      </c>
      <c r="F48" s="9" t="s">
        <v>71</v>
      </c>
      <c r="G48" s="7">
        <v>8311713792</v>
      </c>
      <c r="H48" s="6">
        <v>63.5</v>
      </c>
      <c r="I48" s="6">
        <v>42.09</v>
      </c>
      <c r="J48" s="12">
        <f t="shared" si="1"/>
        <v>2.3758612497015719E-4</v>
      </c>
      <c r="K48" s="11">
        <v>4.4655581947743467E-2</v>
      </c>
      <c r="L48" s="13">
        <v>-2270100000</v>
      </c>
      <c r="M48" s="13">
        <v>16529800000</v>
      </c>
      <c r="N48" s="9" t="s">
        <v>71</v>
      </c>
      <c r="O48" s="6">
        <v>1</v>
      </c>
      <c r="P48" s="12">
        <v>-0.16488815876974863</v>
      </c>
      <c r="Q48" s="12">
        <v>-0.13733378504277124</v>
      </c>
      <c r="R48" s="14">
        <v>83</v>
      </c>
    </row>
    <row r="49" spans="2:18" x14ac:dyDescent="0.5">
      <c r="B49" s="1" t="s">
        <v>575</v>
      </c>
      <c r="C49" t="s">
        <v>654</v>
      </c>
      <c r="D49" t="s">
        <v>240</v>
      </c>
      <c r="E49">
        <v>508.5</v>
      </c>
      <c r="F49" s="9" t="s">
        <v>71</v>
      </c>
      <c r="G49" s="7">
        <v>453804556288</v>
      </c>
      <c r="H49" s="6">
        <v>601.77</v>
      </c>
      <c r="I49" s="6">
        <v>465.59</v>
      </c>
      <c r="J49" s="12">
        <f t="shared" si="1"/>
        <v>9.2162632358942398E-2</v>
      </c>
      <c r="K49" s="11">
        <v>6.1946902654867256E-3</v>
      </c>
      <c r="L49" s="13">
        <v>19300000000</v>
      </c>
      <c r="M49" s="13">
        <v>26737000000</v>
      </c>
      <c r="N49" s="9" t="s">
        <v>71</v>
      </c>
      <c r="O49" s="6">
        <v>1</v>
      </c>
      <c r="P49" s="12">
        <v>4.1753332207915259E-2</v>
      </c>
      <c r="Q49" s="12">
        <v>0.72184613082993609</v>
      </c>
      <c r="R49" s="14">
        <v>22</v>
      </c>
    </row>
    <row r="50" spans="2:18" x14ac:dyDescent="0.5">
      <c r="B50" s="1" t="s">
        <v>574</v>
      </c>
      <c r="C50" t="s">
        <v>652</v>
      </c>
      <c r="D50" t="s">
        <v>653</v>
      </c>
      <c r="E50">
        <v>285.49</v>
      </c>
      <c r="F50" s="9" t="s">
        <v>71</v>
      </c>
      <c r="G50" s="7">
        <v>259132358656</v>
      </c>
      <c r="H50" s="6">
        <v>606.36</v>
      </c>
      <c r="I50" s="6">
        <v>234.6</v>
      </c>
      <c r="J50" s="12">
        <f t="shared" si="1"/>
        <v>0.21692242114237015</v>
      </c>
      <c r="K50" s="11">
        <v>3.0579004518547059E-2</v>
      </c>
      <c r="L50" s="13">
        <v>18699000000</v>
      </c>
      <c r="M50" s="13">
        <v>172499000000</v>
      </c>
      <c r="N50" s="9" t="s">
        <v>71</v>
      </c>
      <c r="O50" s="6">
        <v>1</v>
      </c>
      <c r="P50" s="12">
        <v>5.9711385329207757E-2</v>
      </c>
      <c r="Q50" s="12">
        <v>0.10840062840944005</v>
      </c>
      <c r="R50" s="14">
        <v>41</v>
      </c>
    </row>
    <row r="51" spans="2:18" x14ac:dyDescent="0.5">
      <c r="B51" s="1" t="s">
        <v>605</v>
      </c>
      <c r="C51" t="s">
        <v>695</v>
      </c>
      <c r="D51" t="s">
        <v>81</v>
      </c>
      <c r="E51">
        <v>699.78</v>
      </c>
      <c r="F51" s="9" t="s">
        <v>71</v>
      </c>
      <c r="G51" s="7">
        <v>327482769408</v>
      </c>
      <c r="H51" s="6">
        <v>789.81</v>
      </c>
      <c r="I51" s="6">
        <v>267.3</v>
      </c>
      <c r="J51" s="12">
        <f t="shared" si="1"/>
        <v>1.6179573512906846</v>
      </c>
      <c r="K51" s="11">
        <v>8.4883820629340651E-3</v>
      </c>
      <c r="L51" s="13">
        <v>12043000000</v>
      </c>
      <c r="M51" s="13">
        <v>64642000000</v>
      </c>
      <c r="N51" s="9" t="s">
        <v>71</v>
      </c>
      <c r="O51" s="6">
        <v>1</v>
      </c>
      <c r="P51" s="12">
        <v>3.3375571791216023E-2</v>
      </c>
      <c r="Q51" s="12">
        <v>0.18630302280251229</v>
      </c>
      <c r="R51" s="14">
        <v>52</v>
      </c>
    </row>
    <row r="52" spans="2:18" x14ac:dyDescent="0.5">
      <c r="B52" s="1" t="s">
        <v>626</v>
      </c>
      <c r="C52" t="s">
        <v>718</v>
      </c>
      <c r="D52" t="s">
        <v>145</v>
      </c>
      <c r="E52">
        <v>77.819999999999993</v>
      </c>
      <c r="F52" s="9" t="s">
        <v>71</v>
      </c>
      <c r="G52" s="7">
        <v>334751203328</v>
      </c>
      <c r="H52" s="6">
        <v>82</v>
      </c>
      <c r="I52" s="6">
        <v>65.349999999999994</v>
      </c>
      <c r="J52" s="12">
        <f t="shared" si="1"/>
        <v>0.1908186687069624</v>
      </c>
      <c r="K52" s="11">
        <v>2.6214340786430226E-2</v>
      </c>
      <c r="L52" s="13">
        <v>17652000000</v>
      </c>
      <c r="M52" s="13">
        <v>77661000000</v>
      </c>
      <c r="N52" s="9" t="s">
        <v>71</v>
      </c>
      <c r="O52" s="6">
        <v>1</v>
      </c>
      <c r="P52" s="12">
        <v>4.7711563543564553E-2</v>
      </c>
      <c r="Q52" s="12">
        <v>0.22729555375284893</v>
      </c>
      <c r="R52" s="14">
        <v>29</v>
      </c>
    </row>
    <row r="53" spans="2:18" x14ac:dyDescent="0.5">
      <c r="B53" s="1" t="s">
        <v>415</v>
      </c>
      <c r="C53" t="s">
        <v>422</v>
      </c>
      <c r="D53" t="s">
        <v>423</v>
      </c>
      <c r="E53">
        <v>8.65</v>
      </c>
      <c r="F53" s="9" t="s">
        <v>71</v>
      </c>
      <c r="G53" s="7">
        <v>48288919552</v>
      </c>
      <c r="H53" s="6">
        <v>8.82</v>
      </c>
      <c r="I53" s="6">
        <v>4</v>
      </c>
      <c r="J53" s="12">
        <f t="shared" si="1"/>
        <v>1.1625000000000001</v>
      </c>
      <c r="K53" s="11">
        <v>1.6184971098265898E-2</v>
      </c>
      <c r="L53" s="13">
        <v>1134000000</v>
      </c>
      <c r="M53" s="13">
        <v>24380000000</v>
      </c>
      <c r="N53" s="9" t="s">
        <v>188</v>
      </c>
      <c r="O53" s="6">
        <v>0.87055300000000002</v>
      </c>
      <c r="P53" s="12">
        <v>2.0837832580379665E-2</v>
      </c>
      <c r="Q53" s="12">
        <v>4.6513535684987693E-2</v>
      </c>
      <c r="R53" s="14">
        <v>77</v>
      </c>
    </row>
    <row r="54" spans="2:18" x14ac:dyDescent="0.5">
      <c r="B54" s="1" t="s">
        <v>619</v>
      </c>
      <c r="C54" t="s">
        <v>710</v>
      </c>
      <c r="D54" t="s">
        <v>168</v>
      </c>
      <c r="E54">
        <v>234.51</v>
      </c>
      <c r="F54" s="9" t="s">
        <v>71</v>
      </c>
      <c r="G54" s="7">
        <v>149072314368</v>
      </c>
      <c r="H54" s="6">
        <v>248.18</v>
      </c>
      <c r="I54" s="6">
        <v>169.04807</v>
      </c>
      <c r="J54" s="12">
        <f t="shared" si="1"/>
        <v>0.3872385529157476</v>
      </c>
      <c r="K54" s="11">
        <v>1.9530084004946484E-2</v>
      </c>
      <c r="L54" s="13">
        <v>6820000000</v>
      </c>
      <c r="M54" s="13">
        <v>48484000000</v>
      </c>
      <c r="N54" s="9" t="s">
        <v>71</v>
      </c>
      <c r="O54" s="6">
        <v>1</v>
      </c>
      <c r="P54" s="12">
        <v>3.9617001334215467E-2</v>
      </c>
      <c r="Q54" s="12">
        <v>0.14066496163682865</v>
      </c>
      <c r="R54" s="14">
        <v>55</v>
      </c>
    </row>
    <row r="55" spans="2:18" x14ac:dyDescent="0.5">
      <c r="B55" s="1" t="s">
        <v>395</v>
      </c>
      <c r="C55" t="s">
        <v>408</v>
      </c>
      <c r="D55" t="s">
        <v>58</v>
      </c>
      <c r="E55">
        <v>76.900000000000006</v>
      </c>
      <c r="F55" s="9" t="s">
        <v>71</v>
      </c>
      <c r="G55" s="7">
        <v>42745868288</v>
      </c>
      <c r="H55" s="6">
        <v>116.69</v>
      </c>
      <c r="I55" s="6">
        <v>75.77</v>
      </c>
      <c r="J55" s="12">
        <f t="shared" si="1"/>
        <v>1.491355417711504E-2</v>
      </c>
      <c r="K55" s="11">
        <v>1.0793237971391416E-2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7.1458410887804136E-2</v>
      </c>
      <c r="Q55" s="12">
        <v>0.13321660256042253</v>
      </c>
      <c r="R55" s="14">
        <v>32</v>
      </c>
    </row>
    <row r="56" spans="2:18" x14ac:dyDescent="0.5">
      <c r="B56" s="1" t="s">
        <v>573</v>
      </c>
      <c r="C56" t="s">
        <v>651</v>
      </c>
      <c r="D56" t="s">
        <v>363</v>
      </c>
      <c r="E56">
        <v>399.95</v>
      </c>
      <c r="F56" s="9" t="s">
        <v>71</v>
      </c>
      <c r="G56" s="7">
        <v>2972579528704</v>
      </c>
      <c r="H56" s="6">
        <v>555.45000000000005</v>
      </c>
      <c r="I56" s="6">
        <v>344.79</v>
      </c>
      <c r="J56" s="12">
        <f t="shared" si="1"/>
        <v>0.15998143797673947</v>
      </c>
      <c r="K56" s="11">
        <v>8.7010876359544954E-3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4.196307860301289E-2</v>
      </c>
      <c r="Q56" s="12">
        <v>0.32592401003543442</v>
      </c>
      <c r="R56" s="14">
        <v>30</v>
      </c>
    </row>
    <row r="57" spans="2:18" x14ac:dyDescent="0.5">
      <c r="B57" s="1" t="s">
        <v>388</v>
      </c>
      <c r="C57" t="s">
        <v>400</v>
      </c>
      <c r="D57" t="s">
        <v>401</v>
      </c>
      <c r="E57">
        <v>1161.53</v>
      </c>
      <c r="F57" s="9" t="s">
        <v>71</v>
      </c>
      <c r="G57" s="7">
        <v>27553970176</v>
      </c>
      <c r="H57" s="6">
        <v>2217.6</v>
      </c>
      <c r="I57" s="6">
        <v>1068.67</v>
      </c>
      <c r="J57" s="12">
        <f t="shared" si="1"/>
        <v>8.6893053982988189E-2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3.0701781823566209E-2</v>
      </c>
      <c r="Q57" s="12">
        <v>0.71473929065193176</v>
      </c>
      <c r="R57" s="14">
        <v>33</v>
      </c>
    </row>
    <row r="58" spans="2:18" x14ac:dyDescent="0.5">
      <c r="B58" s="1" t="s">
        <v>593</v>
      </c>
      <c r="C58" t="s">
        <v>679</v>
      </c>
      <c r="D58" t="s">
        <v>666</v>
      </c>
      <c r="E58">
        <v>33.880000000000003</v>
      </c>
      <c r="F58" s="9" t="s">
        <v>71</v>
      </c>
      <c r="G58" s="7">
        <v>32796438528</v>
      </c>
      <c r="H58" s="6">
        <v>63.85</v>
      </c>
      <c r="I58" s="6">
        <v>33.53</v>
      </c>
      <c r="J58" s="12">
        <f t="shared" si="1"/>
        <v>1.0438413361169241E-2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5.6332467196209983E-2</v>
      </c>
      <c r="Q58" s="12">
        <v>0.18468574130516349</v>
      </c>
      <c r="R58" s="14">
        <v>27</v>
      </c>
    </row>
    <row r="59" spans="2:18" x14ac:dyDescent="0.5">
      <c r="B59" s="1" t="s">
        <v>595</v>
      </c>
      <c r="C59" t="s">
        <v>681</v>
      </c>
      <c r="D59" t="s">
        <v>678</v>
      </c>
      <c r="E59">
        <v>45.68</v>
      </c>
      <c r="F59" s="9" t="s">
        <v>71</v>
      </c>
      <c r="G59" s="7">
        <v>52455649280</v>
      </c>
      <c r="H59" s="6">
        <v>50.63</v>
      </c>
      <c r="I59" s="6">
        <v>35.305</v>
      </c>
      <c r="J59" s="12">
        <f t="shared" si="1"/>
        <v>0.2938677241183969</v>
      </c>
      <c r="K59" s="11">
        <v>1.9154991243432576E-2</v>
      </c>
      <c r="L59" s="13">
        <v>1661200000</v>
      </c>
      <c r="M59" s="13">
        <v>4068600000</v>
      </c>
      <c r="N59" s="9" t="s">
        <v>71</v>
      </c>
      <c r="O59" s="6">
        <v>1</v>
      </c>
      <c r="P59" s="12">
        <v>3.1569295814481799E-2</v>
      </c>
      <c r="Q59" s="12">
        <v>0.40829769453866194</v>
      </c>
      <c r="R59" s="14">
        <v>39</v>
      </c>
    </row>
    <row r="60" spans="2:18" x14ac:dyDescent="0.5">
      <c r="B60" s="1" t="s">
        <v>418</v>
      </c>
      <c r="C60" t="s">
        <v>428</v>
      </c>
      <c r="D60" t="s">
        <v>429</v>
      </c>
      <c r="E60">
        <v>32.369999999999997</v>
      </c>
      <c r="F60" s="9" t="s">
        <v>71</v>
      </c>
      <c r="G60" s="7">
        <v>24577656832</v>
      </c>
      <c r="H60" s="6">
        <v>32.7089</v>
      </c>
      <c r="I60" s="6">
        <v>22.33</v>
      </c>
      <c r="J60" s="12">
        <f t="shared" si="1"/>
        <v>0.44961934617107024</v>
      </c>
      <c r="K60" s="11">
        <v>2.7185665739882611E-2</v>
      </c>
      <c r="L60" s="13">
        <v>2483000000</v>
      </c>
      <c r="M60" s="13">
        <v>18656000000</v>
      </c>
      <c r="N60" s="9" t="s">
        <v>71</v>
      </c>
      <c r="O60" s="6">
        <v>1</v>
      </c>
      <c r="P60" s="12">
        <v>8.718197809294119E-2</v>
      </c>
      <c r="Q60" s="12">
        <v>0.13309391080617497</v>
      </c>
      <c r="R60" s="14">
        <v>28</v>
      </c>
    </row>
    <row r="61" spans="2:18" x14ac:dyDescent="0.5">
      <c r="B61" s="1" t="s">
        <v>594</v>
      </c>
      <c r="C61" t="s">
        <v>680</v>
      </c>
      <c r="D61" t="s">
        <v>534</v>
      </c>
      <c r="E61">
        <v>354.36</v>
      </c>
      <c r="F61" s="9" t="s">
        <v>71</v>
      </c>
      <c r="G61" s="7">
        <v>95815311360</v>
      </c>
      <c r="H61" s="6">
        <v>369.7</v>
      </c>
      <c r="I61" s="6">
        <v>239.2</v>
      </c>
      <c r="J61" s="12">
        <f t="shared" si="1"/>
        <v>0.4814381270903012</v>
      </c>
      <c r="K61" s="11">
        <v>1.6931933626820182E-2</v>
      </c>
      <c r="L61" s="13">
        <v>5505000000</v>
      </c>
      <c r="M61" s="13">
        <v>33635000000</v>
      </c>
      <c r="N61" s="9" t="s">
        <v>71</v>
      </c>
      <c r="O61" s="6">
        <v>1</v>
      </c>
      <c r="P61" s="12">
        <v>5.3306188596848277E-2</v>
      </c>
      <c r="Q61" s="12">
        <v>0.16366879738367771</v>
      </c>
      <c r="R61" s="14">
        <v>33</v>
      </c>
    </row>
    <row r="62" spans="2:18" x14ac:dyDescent="0.5">
      <c r="B62" s="1" t="s">
        <v>616</v>
      </c>
      <c r="C62" t="s">
        <v>706</v>
      </c>
      <c r="D62" t="s">
        <v>171</v>
      </c>
      <c r="E62">
        <v>305.56</v>
      </c>
      <c r="F62" s="9" t="s">
        <v>71</v>
      </c>
      <c r="G62" s="7">
        <v>3696359374848</v>
      </c>
      <c r="H62" s="6">
        <v>349</v>
      </c>
      <c r="I62" s="6">
        <v>140.53</v>
      </c>
      <c r="J62" s="12">
        <f t="shared" si="1"/>
        <v>1.1743399985768161</v>
      </c>
      <c r="K62" s="11">
        <v>2.7163241261945279E-3</v>
      </c>
      <c r="L62" s="13">
        <v>159562000000</v>
      </c>
      <c r="M62" s="13">
        <v>461812000000</v>
      </c>
      <c r="N62" s="9" t="s">
        <v>71</v>
      </c>
      <c r="O62" s="6">
        <v>1</v>
      </c>
      <c r="P62" s="12">
        <v>4.2836098909184085E-2</v>
      </c>
      <c r="Q62" s="12">
        <v>0.34551289269226437</v>
      </c>
      <c r="R62" s="14">
        <v>28</v>
      </c>
    </row>
    <row r="63" spans="2:18" x14ac:dyDescent="0.5">
      <c r="B63" s="1" t="s">
        <v>603</v>
      </c>
      <c r="C63" t="s">
        <v>691</v>
      </c>
      <c r="D63" t="s">
        <v>692</v>
      </c>
      <c r="E63">
        <v>69.19</v>
      </c>
      <c r="F63" s="9" t="s">
        <v>71</v>
      </c>
      <c r="G63" s="7">
        <v>23622905856</v>
      </c>
      <c r="H63" s="6">
        <v>125.68</v>
      </c>
      <c r="I63" s="6">
        <v>65.680000000000007</v>
      </c>
      <c r="J63" s="12">
        <f t="shared" si="1"/>
        <v>5.3440925700365183E-2</v>
      </c>
      <c r="K63" s="11">
        <v>8.8885677120971243E-3</v>
      </c>
      <c r="L63" s="13">
        <v>1677000000</v>
      </c>
      <c r="M63" s="13">
        <v>20160000000</v>
      </c>
      <c r="N63" s="9" t="s">
        <v>71</v>
      </c>
      <c r="O63" s="6">
        <v>1</v>
      </c>
      <c r="P63" s="12">
        <v>5.5052366320332703E-2</v>
      </c>
      <c r="Q63" s="12">
        <v>8.3184523809523805E-2</v>
      </c>
      <c r="R63" s="14">
        <v>48</v>
      </c>
    </row>
    <row r="64" spans="2:18" x14ac:dyDescent="0.5">
      <c r="B64" s="1" t="s">
        <v>419</v>
      </c>
      <c r="C64" t="s">
        <v>430</v>
      </c>
      <c r="D64" t="s">
        <v>238</v>
      </c>
      <c r="E64">
        <v>16.53</v>
      </c>
      <c r="F64" s="9" t="s">
        <v>71</v>
      </c>
      <c r="G64" s="7">
        <v>13391785984</v>
      </c>
      <c r="H64" s="6">
        <v>17.78</v>
      </c>
      <c r="I64" s="6">
        <v>13.15</v>
      </c>
      <c r="J64" s="12">
        <f t="shared" si="1"/>
        <v>0.2570342205323195</v>
      </c>
      <c r="K64" s="11">
        <v>4.4767090139140953</v>
      </c>
      <c r="M64" s="13">
        <v>2039094000000</v>
      </c>
      <c r="N64" s="9" t="s">
        <v>431</v>
      </c>
      <c r="O64" s="6">
        <v>159.17223999999999</v>
      </c>
    </row>
    <row r="65" spans="2:18" x14ac:dyDescent="0.5">
      <c r="B65" s="1" t="s">
        <v>213</v>
      </c>
      <c r="C65" t="s">
        <v>244</v>
      </c>
      <c r="D65" t="s">
        <v>106</v>
      </c>
      <c r="E65">
        <v>23.66</v>
      </c>
      <c r="F65" s="9" t="s">
        <v>71</v>
      </c>
      <c r="G65" s="7">
        <v>523784000</v>
      </c>
      <c r="H65" s="6">
        <v>25.85</v>
      </c>
      <c r="I65" s="6">
        <v>12.85</v>
      </c>
      <c r="J65" s="12">
        <f t="shared" si="1"/>
        <v>0.84124513618677055</v>
      </c>
      <c r="K65" s="11">
        <v>5.9171597633136092E-2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6.6186404717427455E-2</v>
      </c>
      <c r="Q65" s="12">
        <v>5.638554917738179E-2</v>
      </c>
      <c r="R65" s="14">
        <v>46</v>
      </c>
    </row>
    <row r="66" spans="2:18" x14ac:dyDescent="0.5">
      <c r="B66" s="1" t="s">
        <v>582</v>
      </c>
      <c r="C66" t="s">
        <v>665</v>
      </c>
      <c r="D66" t="s">
        <v>666</v>
      </c>
      <c r="E66">
        <v>192.74</v>
      </c>
      <c r="F66" s="9" t="s">
        <v>71</v>
      </c>
      <c r="G66" s="7">
        <v>77455785984</v>
      </c>
      <c r="H66" s="6">
        <v>229.24</v>
      </c>
      <c r="I66" s="6">
        <v>180.39</v>
      </c>
      <c r="J66" s="12">
        <f t="shared" ref="J66:J97" si="2">E66/I66-1</f>
        <v>6.8462775098398154E-2</v>
      </c>
      <c r="K66" s="11">
        <v>8.7164055203901615E-3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2.9623290975458079E-2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54.79</v>
      </c>
      <c r="F67" s="9" t="s">
        <v>71</v>
      </c>
      <c r="G67" s="7">
        <v>81110204416</v>
      </c>
      <c r="H67" s="6">
        <v>80.17</v>
      </c>
      <c r="I67" s="6">
        <v>52.28</v>
      </c>
      <c r="J67" s="12">
        <f t="shared" si="2"/>
        <v>4.8010711553175156E-2</v>
      </c>
      <c r="K67" s="11">
        <v>2.9384924256251142E-2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4.3725681065992388E-2</v>
      </c>
      <c r="Q67" s="12">
        <v>0.17479578828084424</v>
      </c>
      <c r="R67" s="14">
        <v>42</v>
      </c>
    </row>
    <row r="68" spans="2:18" x14ac:dyDescent="0.5">
      <c r="B68" s="1" t="s">
        <v>604</v>
      </c>
      <c r="C68" t="s">
        <v>693</v>
      </c>
      <c r="D68" t="s">
        <v>694</v>
      </c>
      <c r="E68">
        <v>55.85</v>
      </c>
      <c r="F68" s="9" t="s">
        <v>71</v>
      </c>
      <c r="G68" s="7">
        <v>46681882624</v>
      </c>
      <c r="H68" s="6">
        <v>81.09</v>
      </c>
      <c r="I68" s="6">
        <v>50.24</v>
      </c>
      <c r="J68" s="12">
        <f t="shared" si="2"/>
        <v>0.11166401273885351</v>
      </c>
      <c r="K68" s="11">
        <v>1.6383169203222917E-2</v>
      </c>
      <c r="L68" s="13">
        <v>2256000000</v>
      </c>
      <c r="M68" s="13">
        <v>25637000000</v>
      </c>
      <c r="N68" s="9" t="s">
        <v>71</v>
      </c>
      <c r="O68" s="6">
        <v>1</v>
      </c>
      <c r="P68" s="12">
        <v>3.9318286015949305E-2</v>
      </c>
      <c r="Q68" s="12">
        <v>8.7997815657058165E-2</v>
      </c>
      <c r="R68" s="14">
        <v>64</v>
      </c>
    </row>
    <row r="69" spans="2:18" x14ac:dyDescent="0.5">
      <c r="B69" s="1" t="s">
        <v>576</v>
      </c>
      <c r="C69" t="s">
        <v>655</v>
      </c>
      <c r="D69" t="s">
        <v>656</v>
      </c>
      <c r="E69">
        <v>1001.74</v>
      </c>
      <c r="F69" s="9" t="s">
        <v>71</v>
      </c>
      <c r="G69" s="7">
        <v>444464005120</v>
      </c>
      <c r="H69" s="6">
        <v>1067.08</v>
      </c>
      <c r="I69" s="6">
        <v>844.06</v>
      </c>
      <c r="J69" s="12">
        <f t="shared" si="2"/>
        <v>0.18681136412103405</v>
      </c>
      <c r="K69" s="11">
        <v>5.1909677161738575E-3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2.5023034035801424E-2</v>
      </c>
      <c r="Q69" s="12">
        <v>0.31459127791954583</v>
      </c>
      <c r="R69" s="14">
        <v>49</v>
      </c>
    </row>
    <row r="70" spans="2:18" x14ac:dyDescent="0.5">
      <c r="B70" s="1" t="s">
        <v>585</v>
      </c>
      <c r="C70" t="s">
        <v>669</v>
      </c>
      <c r="D70" t="s">
        <v>314</v>
      </c>
      <c r="E70">
        <v>497.41</v>
      </c>
      <c r="F70" s="9" t="s">
        <v>71</v>
      </c>
      <c r="G70" s="7">
        <v>230496878592</v>
      </c>
      <c r="H70" s="6">
        <v>510.65</v>
      </c>
      <c r="I70" s="6">
        <v>387.78</v>
      </c>
      <c r="J70" s="12">
        <f t="shared" si="2"/>
        <v>0.28271184692351348</v>
      </c>
      <c r="K70" s="11">
        <v>1.2062483665386703E-2</v>
      </c>
      <c r="L70" s="13">
        <v>9361000000</v>
      </c>
      <c r="M70" s="13">
        <v>65234000000</v>
      </c>
      <c r="N70" s="9" t="s">
        <v>71</v>
      </c>
      <c r="O70" s="6">
        <v>1</v>
      </c>
      <c r="P70" s="12">
        <v>3.6925582750428586E-2</v>
      </c>
      <c r="Q70" s="12">
        <v>0.14349878897507434</v>
      </c>
      <c r="R70" s="14">
        <v>58</v>
      </c>
    </row>
    <row r="71" spans="2:18" x14ac:dyDescent="0.5">
      <c r="B71" s="1" t="s">
        <v>633</v>
      </c>
      <c r="C71" t="s">
        <v>727</v>
      </c>
      <c r="D71" t="s">
        <v>85</v>
      </c>
      <c r="E71">
        <v>57.69</v>
      </c>
      <c r="F71" s="9" t="s">
        <v>71</v>
      </c>
      <c r="G71" s="7">
        <v>15486201856</v>
      </c>
      <c r="H71" s="6">
        <v>83.15</v>
      </c>
      <c r="I71" s="6">
        <v>56.68</v>
      </c>
      <c r="J71" s="12">
        <f t="shared" si="2"/>
        <v>1.7819336626676119E-2</v>
      </c>
      <c r="K71" s="11">
        <v>3.1201248049921998E-2</v>
      </c>
      <c r="L71" s="13">
        <v>1109200000</v>
      </c>
      <c r="M71" s="13">
        <v>9732800000</v>
      </c>
      <c r="N71" s="9" t="s">
        <v>71</v>
      </c>
      <c r="O71" s="6">
        <v>1</v>
      </c>
      <c r="P71" s="12">
        <v>5.6724091106308432E-2</v>
      </c>
      <c r="Q71" s="12">
        <v>0.11396514877527536</v>
      </c>
      <c r="R71" s="14">
        <v>42</v>
      </c>
    </row>
    <row r="72" spans="2:18" x14ac:dyDescent="0.5">
      <c r="B72" s="1" t="s">
        <v>393</v>
      </c>
      <c r="C72" t="s">
        <v>406</v>
      </c>
      <c r="D72" t="s">
        <v>401</v>
      </c>
      <c r="E72">
        <v>249.78</v>
      </c>
      <c r="F72" s="9" t="s">
        <v>71</v>
      </c>
      <c r="G72" s="7">
        <v>52953358336</v>
      </c>
      <c r="H72" s="6">
        <v>329.09</v>
      </c>
      <c r="I72" s="6">
        <v>215.01</v>
      </c>
      <c r="J72" s="12">
        <f t="shared" si="2"/>
        <v>0.16171340867866624</v>
      </c>
      <c r="K72" s="11">
        <v>0</v>
      </c>
      <c r="L72" s="13">
        <v>1794000000</v>
      </c>
      <c r="M72" s="13">
        <v>5528000000</v>
      </c>
      <c r="N72" s="9" t="s">
        <v>71</v>
      </c>
      <c r="O72" s="6">
        <v>1</v>
      </c>
      <c r="P72" s="12">
        <v>3.3571390586514892E-2</v>
      </c>
      <c r="Q72" s="12">
        <v>0.32452966714905934</v>
      </c>
      <c r="R72" s="14">
        <v>41</v>
      </c>
    </row>
    <row r="73" spans="2:18" x14ac:dyDescent="0.5">
      <c r="B73" s="1" t="s">
        <v>620</v>
      </c>
      <c r="C73" t="s">
        <v>711</v>
      </c>
      <c r="D73" t="s">
        <v>401</v>
      </c>
      <c r="E73">
        <v>452.31</v>
      </c>
      <c r="F73" s="9" t="s">
        <v>71</v>
      </c>
      <c r="G73" s="7">
        <v>125866147840</v>
      </c>
      <c r="H73" s="6">
        <v>813.7</v>
      </c>
      <c r="I73" s="6">
        <v>349</v>
      </c>
      <c r="J73" s="12">
        <f t="shared" si="2"/>
        <v>0.29601719197707732</v>
      </c>
      <c r="K73" s="11">
        <v>9.9047113705202187E-3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3.9198850532258953E-2</v>
      </c>
      <c r="Q73" s="12">
        <v>0.19783514386948564</v>
      </c>
      <c r="R73" s="14">
        <v>44</v>
      </c>
    </row>
    <row r="74" spans="2:18" x14ac:dyDescent="0.5">
      <c r="B74" s="1" t="s">
        <v>627</v>
      </c>
      <c r="C74" t="s">
        <v>719</v>
      </c>
      <c r="D74" t="s">
        <v>716</v>
      </c>
      <c r="E74">
        <v>989.12</v>
      </c>
      <c r="F74" s="9" t="s">
        <v>71</v>
      </c>
      <c r="G74" s="7">
        <v>885280931840</v>
      </c>
      <c r="H74" s="6">
        <v>1133.95</v>
      </c>
      <c r="I74" s="6">
        <v>623.78</v>
      </c>
      <c r="J74" s="12">
        <f t="shared" si="2"/>
        <v>0.58568726153451545</v>
      </c>
      <c r="K74" s="11">
        <v>6.0659980588806213E-3</v>
      </c>
      <c r="L74" s="13">
        <v>29696000000</v>
      </c>
      <c r="M74" s="13">
        <v>69038000000</v>
      </c>
      <c r="N74" s="9" t="s">
        <v>71</v>
      </c>
      <c r="O74" s="6">
        <v>1</v>
      </c>
      <c r="P74" s="12">
        <v>3.2260169512374745E-2</v>
      </c>
      <c r="Q74" s="12">
        <v>0.43013992294098902</v>
      </c>
      <c r="R74" s="14">
        <v>35</v>
      </c>
    </row>
    <row r="75" spans="2:18" x14ac:dyDescent="0.5">
      <c r="B75" s="1" t="s">
        <v>599</v>
      </c>
      <c r="C75" t="s">
        <v>687</v>
      </c>
      <c r="D75" t="s">
        <v>435</v>
      </c>
      <c r="E75">
        <v>211.74</v>
      </c>
      <c r="F75" s="9" t="s">
        <v>71</v>
      </c>
      <c r="G75" s="7">
        <v>2273012088832</v>
      </c>
      <c r="H75" s="6">
        <v>258.60000000000002</v>
      </c>
      <c r="I75" s="6">
        <v>161.38</v>
      </c>
      <c r="J75" s="12">
        <f t="shared" si="2"/>
        <v>0.3120584954765151</v>
      </c>
      <c r="K75" s="11">
        <v>0</v>
      </c>
      <c r="L75" s="13">
        <v>99585000000</v>
      </c>
      <c r="M75" s="13">
        <v>476713000000</v>
      </c>
      <c r="N75" s="9" t="s">
        <v>71</v>
      </c>
      <c r="O75" s="6">
        <v>1</v>
      </c>
      <c r="P75" s="12">
        <v>4.2572445500643395E-2</v>
      </c>
      <c r="Q75" s="12">
        <v>0.20889927482573373</v>
      </c>
      <c r="R75" s="14">
        <v>37</v>
      </c>
    </row>
    <row r="76" spans="2:18" x14ac:dyDescent="0.5">
      <c r="B76" s="1" t="s">
        <v>596</v>
      </c>
      <c r="C76" t="s">
        <v>682</v>
      </c>
      <c r="D76" t="s">
        <v>683</v>
      </c>
      <c r="E76">
        <v>111.83</v>
      </c>
      <c r="F76" s="9" t="s">
        <v>71</v>
      </c>
      <c r="G76" s="7">
        <v>31629959168</v>
      </c>
      <c r="H76" s="6">
        <v>160.27000000000001</v>
      </c>
      <c r="I76" s="6">
        <v>96.43</v>
      </c>
      <c r="J76" s="12">
        <f t="shared" si="2"/>
        <v>0.15970133775795903</v>
      </c>
      <c r="K76" s="11">
        <v>8.9332021818832163E-3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4.6603461452403613E-2</v>
      </c>
      <c r="Q76" s="12">
        <v>0.15324418028727094</v>
      </c>
      <c r="R76" s="14">
        <v>43</v>
      </c>
    </row>
    <row r="77" spans="2:18" x14ac:dyDescent="0.5">
      <c r="B77" s="1" t="s">
        <v>598</v>
      </c>
      <c r="C77" t="s">
        <v>685</v>
      </c>
      <c r="D77" t="s">
        <v>686</v>
      </c>
      <c r="E77">
        <v>184.71</v>
      </c>
      <c r="F77" s="9" t="s">
        <v>71</v>
      </c>
      <c r="G77" s="7">
        <v>86471368704</v>
      </c>
      <c r="H77" s="6">
        <v>234.33</v>
      </c>
      <c r="I77" s="6">
        <v>166.88</v>
      </c>
      <c r="J77" s="12">
        <f t="shared" si="2"/>
        <v>0.10684324065196549</v>
      </c>
      <c r="K77" s="11">
        <v>3.6814465919549559E-2</v>
      </c>
      <c r="L77" s="13">
        <v>4403600000</v>
      </c>
      <c r="M77" s="13">
        <v>40872800000</v>
      </c>
      <c r="N77" s="9" t="s">
        <v>71</v>
      </c>
      <c r="O77" s="6">
        <v>1</v>
      </c>
      <c r="P77" s="12">
        <v>3.3884149879681552E-2</v>
      </c>
      <c r="Q77" s="12">
        <v>0.10773913213677555</v>
      </c>
      <c r="R77" s="14">
        <v>67</v>
      </c>
    </row>
    <row r="78" spans="2:18" x14ac:dyDescent="0.5">
      <c r="B78" s="1" t="s">
        <v>624</v>
      </c>
      <c r="C78" t="s">
        <v>715</v>
      </c>
      <c r="D78" t="s">
        <v>716</v>
      </c>
      <c r="E78">
        <v>243.19</v>
      </c>
      <c r="F78" s="9" t="s">
        <v>71</v>
      </c>
      <c r="G78" s="7">
        <v>586063347712</v>
      </c>
      <c r="H78" s="6">
        <v>251.71</v>
      </c>
      <c r="I78" s="6">
        <v>141.5</v>
      </c>
      <c r="J78" s="12">
        <f t="shared" si="2"/>
        <v>0.7186572438162544</v>
      </c>
      <c r="K78" s="11">
        <v>2.1135737489205969E-2</v>
      </c>
      <c r="L78" s="13">
        <v>33552000000</v>
      </c>
      <c r="M78" s="13">
        <v>129477000000</v>
      </c>
      <c r="N78" s="9" t="s">
        <v>71</v>
      </c>
      <c r="O78" s="6">
        <v>1</v>
      </c>
      <c r="P78" s="12">
        <v>5.4619389647156437E-2</v>
      </c>
      <c r="Q78" s="12">
        <v>0.25913482703491741</v>
      </c>
      <c r="R78" s="14">
        <v>23</v>
      </c>
    </row>
    <row r="79" spans="2:18" x14ac:dyDescent="0.5">
      <c r="B79" s="1" t="s">
        <v>637</v>
      </c>
      <c r="C79" t="s">
        <v>732</v>
      </c>
      <c r="D79" t="s">
        <v>174</v>
      </c>
      <c r="E79">
        <v>110.19</v>
      </c>
      <c r="F79" s="9" t="s">
        <v>71</v>
      </c>
      <c r="G79" s="7">
        <v>120246272000</v>
      </c>
      <c r="H79" s="6">
        <v>134.88</v>
      </c>
      <c r="I79" s="6">
        <v>42.93</v>
      </c>
      <c r="J79" s="12">
        <f t="shared" si="2"/>
        <v>1.5667365478686235</v>
      </c>
      <c r="K79" s="11">
        <v>9.1659860241401214E-3</v>
      </c>
      <c r="L79" s="13">
        <v>11571000000</v>
      </c>
      <c r="M79" s="13">
        <v>38982000000</v>
      </c>
      <c r="N79" s="9" t="s">
        <v>71</v>
      </c>
      <c r="O79" s="6">
        <v>1</v>
      </c>
      <c r="P79" s="12">
        <v>9.7903115124654674E-2</v>
      </c>
      <c r="Q79" s="12">
        <v>0.29682930583346162</v>
      </c>
      <c r="R79" s="14">
        <v>13</v>
      </c>
    </row>
    <row r="80" spans="2:18" x14ac:dyDescent="0.5">
      <c r="B80" s="1" t="s">
        <v>606</v>
      </c>
      <c r="C80" t="s">
        <v>696</v>
      </c>
      <c r="D80" t="s">
        <v>164</v>
      </c>
      <c r="E80">
        <v>98.22</v>
      </c>
      <c r="F80" s="9" t="s">
        <v>71</v>
      </c>
      <c r="G80" s="7">
        <v>23585576960</v>
      </c>
      <c r="H80" s="6">
        <v>113.91</v>
      </c>
      <c r="I80" s="6">
        <v>81.33</v>
      </c>
      <c r="J80" s="12">
        <f t="shared" si="2"/>
        <v>0.20767244559203246</v>
      </c>
      <c r="K80" s="11">
        <v>1.201384646711464E-2</v>
      </c>
      <c r="L80" s="13">
        <v>1052100000</v>
      </c>
      <c r="M80" s="13">
        <v>6207300000</v>
      </c>
      <c r="N80" s="9" t="s">
        <v>71</v>
      </c>
      <c r="O80" s="6">
        <v>1</v>
      </c>
      <c r="P80" s="12">
        <v>4.1451161862080525E-2</v>
      </c>
      <c r="Q80" s="12">
        <v>0.16949398289111209</v>
      </c>
      <c r="R80" s="14">
        <v>47</v>
      </c>
    </row>
    <row r="81" spans="2:18" x14ac:dyDescent="0.5">
      <c r="B81" s="1" t="s">
        <v>414</v>
      </c>
      <c r="C81" t="s">
        <v>421</v>
      </c>
      <c r="D81" t="s">
        <v>85</v>
      </c>
      <c r="E81">
        <v>22.69</v>
      </c>
      <c r="F81" s="9" t="s">
        <v>71</v>
      </c>
      <c r="G81" s="7">
        <v>12485949440</v>
      </c>
      <c r="H81" s="6">
        <v>32.07</v>
      </c>
      <c r="I81" s="6">
        <v>21.03</v>
      </c>
      <c r="J81" s="12">
        <f t="shared" si="2"/>
        <v>7.8934854969091806E-2</v>
      </c>
      <c r="K81" s="11">
        <v>5.1256059938298806E-2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5.0535162647331731E-2</v>
      </c>
      <c r="Q81" s="12">
        <v>6.8920430595258958E-2</v>
      </c>
      <c r="R81" s="14">
        <v>53</v>
      </c>
    </row>
    <row r="82" spans="2:18" x14ac:dyDescent="0.5">
      <c r="B82" s="1" t="s">
        <v>622</v>
      </c>
      <c r="C82" t="s">
        <v>713</v>
      </c>
      <c r="D82" t="s">
        <v>300</v>
      </c>
      <c r="E82">
        <v>128.83000000000001</v>
      </c>
      <c r="F82" s="9" t="s">
        <v>71</v>
      </c>
      <c r="G82" s="7">
        <v>15213317120</v>
      </c>
      <c r="H82" s="6">
        <v>168.44</v>
      </c>
      <c r="I82" s="6">
        <v>105.17821499999999</v>
      </c>
      <c r="J82" s="12">
        <f t="shared" si="2"/>
        <v>0.22487342079346018</v>
      </c>
      <c r="K82" s="11">
        <v>9.9355740122642235E-3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4.130370998682234E-2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83.56</v>
      </c>
      <c r="F83" s="9" t="s">
        <v>71</v>
      </c>
      <c r="G83" s="7">
        <v>48531648512</v>
      </c>
      <c r="H83" s="6">
        <v>87.89</v>
      </c>
      <c r="I83" s="6">
        <v>65.94</v>
      </c>
      <c r="J83" s="12">
        <f t="shared" si="2"/>
        <v>0.26721261753108894</v>
      </c>
      <c r="K83" s="11">
        <v>0</v>
      </c>
      <c r="L83" s="13">
        <v>1293300000</v>
      </c>
      <c r="M83" s="13">
        <v>10935900000</v>
      </c>
      <c r="N83" s="9" t="s">
        <v>71</v>
      </c>
      <c r="O83" s="6">
        <v>1</v>
      </c>
      <c r="P83" s="12">
        <v>2.7933619406126597E-2</v>
      </c>
      <c r="Q83" s="12">
        <v>0.11826187145090938</v>
      </c>
      <c r="R83" s="14">
        <v>69</v>
      </c>
    </row>
    <row r="84" spans="2:18" x14ac:dyDescent="0.5">
      <c r="B84" s="1" t="s">
        <v>612</v>
      </c>
      <c r="C84" t="s">
        <v>702</v>
      </c>
      <c r="D84" t="s">
        <v>663</v>
      </c>
      <c r="E84">
        <v>133.46</v>
      </c>
      <c r="F84" s="9" t="s">
        <v>71</v>
      </c>
      <c r="G84" s="7">
        <v>103787954176</v>
      </c>
      <c r="H84" s="6">
        <v>134.27000000000001</v>
      </c>
      <c r="I84" s="6">
        <v>111.22</v>
      </c>
      <c r="J84" s="12">
        <f t="shared" si="2"/>
        <v>0.19996403524545947</v>
      </c>
      <c r="K84" s="11">
        <v>3.1619961037014831E-2</v>
      </c>
      <c r="L84" s="13">
        <v>9346000000</v>
      </c>
      <c r="M84" s="13">
        <v>140705000000</v>
      </c>
      <c r="N84" s="9" t="s">
        <v>71</v>
      </c>
      <c r="O84" s="6">
        <v>1</v>
      </c>
      <c r="P84" s="12">
        <v>4.8073175539088103E-2</v>
      </c>
      <c r="Q84" s="12">
        <v>6.6422657332717391E-2</v>
      </c>
      <c r="R84" s="14">
        <v>57</v>
      </c>
    </row>
    <row r="85" spans="2:18" x14ac:dyDescent="0.5">
      <c r="B85" s="1" t="s">
        <v>578</v>
      </c>
      <c r="C85" t="s">
        <v>659</v>
      </c>
      <c r="D85" t="s">
        <v>660</v>
      </c>
      <c r="E85">
        <v>236.96</v>
      </c>
      <c r="F85" s="9" t="s">
        <v>71</v>
      </c>
      <c r="G85" s="7">
        <v>95574450176</v>
      </c>
      <c r="H85" s="6">
        <v>248.13</v>
      </c>
      <c r="I85" s="6">
        <v>194.11</v>
      </c>
      <c r="J85" s="12">
        <f t="shared" si="2"/>
        <v>0.22075112049868628</v>
      </c>
      <c r="K85" s="11">
        <v>1.3926401080351113E-2</v>
      </c>
      <c r="L85" s="13">
        <v>4338000000</v>
      </c>
      <c r="M85" s="13">
        <v>32897000000</v>
      </c>
      <c r="N85" s="9" t="s">
        <v>71</v>
      </c>
      <c r="O85" s="6">
        <v>1</v>
      </c>
      <c r="P85" s="12">
        <v>3.6675545227847071E-2</v>
      </c>
      <c r="Q85" s="12">
        <v>0.13186612761042041</v>
      </c>
      <c r="R85" s="14">
        <v>62</v>
      </c>
    </row>
    <row r="86" spans="2:18" x14ac:dyDescent="0.5">
      <c r="B86" s="1" t="s">
        <v>597</v>
      </c>
      <c r="C86" t="s">
        <v>684</v>
      </c>
      <c r="D86" t="s">
        <v>663</v>
      </c>
      <c r="E86">
        <v>134.15</v>
      </c>
      <c r="F86" s="9" t="s">
        <v>71</v>
      </c>
      <c r="G86" s="7">
        <v>72556568576</v>
      </c>
      <c r="H86" s="6">
        <v>135</v>
      </c>
      <c r="I86" s="6">
        <v>97.46</v>
      </c>
      <c r="J86" s="12">
        <f t="shared" si="2"/>
        <v>0.37646213831315434</v>
      </c>
      <c r="K86" s="11">
        <v>2.787923965710026E-2</v>
      </c>
      <c r="L86" s="13">
        <v>5750000000</v>
      </c>
      <c r="M86" s="13">
        <v>79968000000</v>
      </c>
      <c r="N86" s="9" t="s">
        <v>71</v>
      </c>
      <c r="O86" s="6">
        <v>1</v>
      </c>
      <c r="P86" s="12">
        <v>4.7182364161258705E-2</v>
      </c>
      <c r="Q86" s="12">
        <v>7.1903761504601843E-2</v>
      </c>
      <c r="R86" s="14">
        <v>56</v>
      </c>
    </row>
    <row r="87" spans="2:18" x14ac:dyDescent="0.5">
      <c r="B87" s="1" t="s">
        <v>583</v>
      </c>
      <c r="C87" t="s">
        <v>667</v>
      </c>
      <c r="D87" t="s">
        <v>401</v>
      </c>
      <c r="E87">
        <v>352.2</v>
      </c>
      <c r="F87" s="9" t="s">
        <v>71</v>
      </c>
      <c r="G87" s="7">
        <v>37909905408</v>
      </c>
      <c r="H87" s="6">
        <v>594.25</v>
      </c>
      <c r="I87" s="6">
        <v>313.07</v>
      </c>
      <c r="J87" s="12">
        <f t="shared" si="2"/>
        <v>0.12498802184814894</v>
      </c>
      <c r="K87" s="11">
        <v>9.611016467915956E-3</v>
      </c>
      <c r="L87" s="13">
        <v>2261100000</v>
      </c>
      <c r="M87" s="13">
        <v>29182500000</v>
      </c>
      <c r="N87" s="9" t="s">
        <v>71</v>
      </c>
      <c r="O87" s="6">
        <v>1</v>
      </c>
      <c r="P87" s="12">
        <v>4.8147637859229722E-2</v>
      </c>
      <c r="Q87" s="12">
        <v>7.7481367257774353E-2</v>
      </c>
      <c r="R87" s="14">
        <v>54</v>
      </c>
    </row>
    <row r="88" spans="2:18" x14ac:dyDescent="0.5">
      <c r="B88" s="1" t="s">
        <v>581</v>
      </c>
      <c r="C88" t="s">
        <v>664</v>
      </c>
      <c r="D88" t="s">
        <v>99</v>
      </c>
      <c r="E88">
        <v>161.49</v>
      </c>
      <c r="F88" s="9" t="s">
        <v>71</v>
      </c>
      <c r="G88" s="7">
        <v>92078137344</v>
      </c>
      <c r="H88" s="6">
        <v>189.35</v>
      </c>
      <c r="I88" s="6">
        <v>143.16999999999999</v>
      </c>
      <c r="J88" s="12">
        <f t="shared" si="2"/>
        <v>0.12795976810784393</v>
      </c>
      <c r="K88" s="11">
        <v>1.1889281070035295E-2</v>
      </c>
      <c r="L88" s="13">
        <v>5149000000</v>
      </c>
      <c r="M88" s="13">
        <v>48559000000</v>
      </c>
      <c r="N88" s="9" t="s">
        <v>71</v>
      </c>
      <c r="O88" s="6">
        <v>1</v>
      </c>
      <c r="P88" s="12">
        <v>4.6171033524798885E-2</v>
      </c>
      <c r="Q88" s="12">
        <v>0.10603595625939578</v>
      </c>
      <c r="R88" s="14">
        <v>54</v>
      </c>
    </row>
    <row r="89" spans="2:18" x14ac:dyDescent="0.5">
      <c r="B89" s="1" t="s">
        <v>579</v>
      </c>
      <c r="C89" t="s">
        <v>661</v>
      </c>
      <c r="D89" t="s">
        <v>193</v>
      </c>
      <c r="E89">
        <v>324.92</v>
      </c>
      <c r="F89" s="9" t="s">
        <v>71</v>
      </c>
      <c r="G89" s="7">
        <v>1540534697984</v>
      </c>
      <c r="H89" s="6">
        <v>414.61</v>
      </c>
      <c r="I89" s="6">
        <v>138.1</v>
      </c>
      <c r="J89" s="12">
        <f t="shared" si="2"/>
        <v>1.3527878349022449</v>
      </c>
      <c r="K89" s="11">
        <v>7.6326480364397389E-3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1.6319043197178064E-2</v>
      </c>
      <c r="Q89" s="12">
        <v>0.17714508154178163</v>
      </c>
      <c r="R89" s="14">
        <v>63</v>
      </c>
    </row>
    <row r="90" spans="2:18" x14ac:dyDescent="0.5">
      <c r="B90" s="1" t="s">
        <v>610</v>
      </c>
      <c r="C90" t="s">
        <v>700</v>
      </c>
      <c r="D90" t="s">
        <v>656</v>
      </c>
      <c r="E90">
        <v>134.85</v>
      </c>
      <c r="F90" s="9" t="s">
        <v>71</v>
      </c>
      <c r="G90" s="7">
        <v>29683030016</v>
      </c>
      <c r="H90" s="6">
        <v>158.22999999999999</v>
      </c>
      <c r="I90" s="6">
        <v>79.099999999999994</v>
      </c>
      <c r="J90" s="12">
        <f t="shared" si="2"/>
        <v>0.70480404551201015</v>
      </c>
      <c r="K90" s="11">
        <v>1.7500926955876898E-2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3.7090058659843411E-2</v>
      </c>
      <c r="Q90" s="12">
        <v>0.1255529971554025</v>
      </c>
      <c r="R90" s="14">
        <v>61</v>
      </c>
    </row>
    <row r="91" spans="2:18" x14ac:dyDescent="0.5">
      <c r="B91" s="1" t="s">
        <v>644</v>
      </c>
      <c r="C91" t="s">
        <v>742</v>
      </c>
      <c r="D91" t="s">
        <v>363</v>
      </c>
      <c r="E91">
        <v>155.97</v>
      </c>
      <c r="F91" s="9" t="s">
        <v>71</v>
      </c>
      <c r="G91" s="7">
        <v>448576913408</v>
      </c>
      <c r="H91" s="6">
        <v>345.72</v>
      </c>
      <c r="I91" s="6">
        <v>118.86</v>
      </c>
      <c r="J91" s="12">
        <f t="shared" si="2"/>
        <v>0.31221605249873807</v>
      </c>
      <c r="K91" s="11">
        <v>1.2822978777970123E-2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3.2733283817788526E-2</v>
      </c>
      <c r="Q91" s="12">
        <v>0.15694706199842504</v>
      </c>
      <c r="R91" s="14">
        <v>60</v>
      </c>
    </row>
    <row r="92" spans="2:18" x14ac:dyDescent="0.5">
      <c r="B92" s="1" t="s">
        <v>588</v>
      </c>
      <c r="C92" t="s">
        <v>672</v>
      </c>
      <c r="D92" t="s">
        <v>658</v>
      </c>
      <c r="E92">
        <v>349.56</v>
      </c>
      <c r="F92" s="9" t="s">
        <v>71</v>
      </c>
      <c r="G92" s="7">
        <v>133772648448</v>
      </c>
      <c r="H92" s="6">
        <v>404.87</v>
      </c>
      <c r="I92" s="6">
        <v>328.23</v>
      </c>
      <c r="J92" s="12">
        <f t="shared" si="2"/>
        <v>6.4984919111598538E-2</v>
      </c>
      <c r="K92" s="11">
        <v>9.7265133310447411E-3</v>
      </c>
      <c r="L92" s="13">
        <v>5121000000</v>
      </c>
      <c r="M92" s="13">
        <v>38279000000</v>
      </c>
      <c r="N92" s="9" t="s">
        <v>71</v>
      </c>
      <c r="O92" s="6">
        <v>1</v>
      </c>
      <c r="P92" s="12">
        <v>3.5166716084420332E-2</v>
      </c>
      <c r="Q92" s="12">
        <v>0.13378092426656912</v>
      </c>
      <c r="R92" s="14">
        <v>61</v>
      </c>
    </row>
    <row r="93" spans="2:18" x14ac:dyDescent="0.5">
      <c r="B93" s="1" t="s">
        <v>577</v>
      </c>
      <c r="C93" t="s">
        <v>657</v>
      </c>
      <c r="D93" t="s">
        <v>658</v>
      </c>
      <c r="E93">
        <v>109.95</v>
      </c>
      <c r="F93" s="9" t="s">
        <v>71</v>
      </c>
      <c r="G93" s="7">
        <v>191058231296</v>
      </c>
      <c r="H93" s="6">
        <v>139.06</v>
      </c>
      <c r="I93" s="6">
        <v>105.27</v>
      </c>
      <c r="J93" s="12">
        <f t="shared" si="2"/>
        <v>4.4457110287831281E-2</v>
      </c>
      <c r="K93" s="11">
        <v>2.1828103683492497E-2</v>
      </c>
      <c r="L93" s="13">
        <v>8959000000</v>
      </c>
      <c r="M93" s="13">
        <v>65059000000</v>
      </c>
      <c r="N93" s="9" t="s">
        <v>71</v>
      </c>
      <c r="O93" s="6">
        <v>1</v>
      </c>
      <c r="P93" s="12">
        <v>4.5616964953351768E-2</v>
      </c>
      <c r="Q93" s="12">
        <v>0.13770577475829632</v>
      </c>
      <c r="R93" s="14">
        <v>47</v>
      </c>
    </row>
    <row r="94" spans="2:18" x14ac:dyDescent="0.5">
      <c r="B94" s="1" t="s">
        <v>390</v>
      </c>
      <c r="C94" t="s">
        <v>403</v>
      </c>
      <c r="D94" t="s">
        <v>401</v>
      </c>
      <c r="E94">
        <v>198.34</v>
      </c>
      <c r="F94" s="9" t="s">
        <v>71</v>
      </c>
      <c r="G94" s="7">
        <v>185844580352</v>
      </c>
      <c r="H94" s="6">
        <v>296.05</v>
      </c>
      <c r="I94" s="6">
        <v>174.57</v>
      </c>
      <c r="J94" s="12">
        <f t="shared" si="2"/>
        <v>0.13616314372458049</v>
      </c>
      <c r="K94" s="11">
        <v>8.389633961883634E-3</v>
      </c>
      <c r="L94" s="13">
        <v>8917000000</v>
      </c>
      <c r="M94" s="13">
        <v>73581000000</v>
      </c>
      <c r="N94" s="9" t="s">
        <v>71</v>
      </c>
      <c r="O94" s="6">
        <v>1</v>
      </c>
      <c r="P94" s="12">
        <v>4.5566134484129321E-2</v>
      </c>
      <c r="Q94" s="12">
        <v>0.1211861757790734</v>
      </c>
      <c r="R94" s="14">
        <v>51</v>
      </c>
    </row>
    <row r="95" spans="2:18" x14ac:dyDescent="0.5">
      <c r="B95" s="1" t="s">
        <v>640</v>
      </c>
      <c r="C95" t="s">
        <v>735</v>
      </c>
      <c r="D95" t="s">
        <v>401</v>
      </c>
      <c r="E95">
        <v>114.88</v>
      </c>
      <c r="F95" s="9" t="s">
        <v>71</v>
      </c>
      <c r="G95" s="7">
        <v>121214820352</v>
      </c>
      <c r="H95" s="6">
        <v>211.47800000000001</v>
      </c>
      <c r="I95" s="6">
        <v>98</v>
      </c>
      <c r="J95" s="12">
        <f t="shared" si="2"/>
        <v>0.17224489795918352</v>
      </c>
      <c r="K95" s="11">
        <v>0</v>
      </c>
      <c r="L95" s="13">
        <v>2284000000</v>
      </c>
      <c r="M95" s="13">
        <v>14455000000</v>
      </c>
      <c r="N95" s="9" t="s">
        <v>71</v>
      </c>
      <c r="O95" s="6">
        <v>1</v>
      </c>
      <c r="P95" s="12">
        <v>1.9050507309791621E-2</v>
      </c>
      <c r="Q95" s="12">
        <v>0.15800760982359047</v>
      </c>
      <c r="R95" s="14">
        <v>66</v>
      </c>
    </row>
    <row r="96" spans="2:18" x14ac:dyDescent="0.5">
      <c r="B96" s="1" t="s">
        <v>417</v>
      </c>
      <c r="C96" t="s">
        <v>426</v>
      </c>
      <c r="D96" t="s">
        <v>427</v>
      </c>
      <c r="E96">
        <v>71.040000000000006</v>
      </c>
      <c r="F96" s="9" t="s">
        <v>71</v>
      </c>
      <c r="G96" s="7">
        <v>13860927488</v>
      </c>
      <c r="H96" s="6">
        <v>89.83</v>
      </c>
      <c r="I96" s="6">
        <v>61.78</v>
      </c>
      <c r="J96" s="12">
        <f t="shared" si="2"/>
        <v>0.14988669472321137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4.1001185619688581E-2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22.71</v>
      </c>
      <c r="F97" s="9" t="s">
        <v>71</v>
      </c>
      <c r="G97" s="7">
        <v>26882842624</v>
      </c>
      <c r="H97" s="6">
        <v>31.15</v>
      </c>
      <c r="I97" s="6">
        <v>21.984999999999999</v>
      </c>
      <c r="J97" s="12">
        <f t="shared" si="2"/>
        <v>3.2977029793040735E-2</v>
      </c>
      <c r="K97" s="11">
        <v>7.0453544693967418E-2</v>
      </c>
      <c r="L97" s="13">
        <v>-4498000000</v>
      </c>
      <c r="M97" s="13">
        <v>62883000000</v>
      </c>
      <c r="N97" s="9" t="s">
        <v>71</v>
      </c>
      <c r="O97" s="6">
        <v>1</v>
      </c>
      <c r="P97" s="12">
        <v>-9.8885737952423683E-2</v>
      </c>
      <c r="Q97" s="12">
        <v>-7.152966620549274E-2</v>
      </c>
      <c r="R97" s="14">
        <v>82</v>
      </c>
    </row>
    <row r="98" spans="2:18" x14ac:dyDescent="0.5">
      <c r="B98" s="1" t="s">
        <v>580</v>
      </c>
      <c r="C98" t="s">
        <v>662</v>
      </c>
      <c r="D98" t="s">
        <v>663</v>
      </c>
      <c r="E98">
        <v>92.82</v>
      </c>
      <c r="F98" s="9" t="s">
        <v>71</v>
      </c>
      <c r="G98" s="7">
        <v>193392508928</v>
      </c>
      <c r="H98" s="6">
        <v>95.91</v>
      </c>
      <c r="I98" s="6">
        <v>61.72</v>
      </c>
      <c r="J98" s="12">
        <f t="shared" ref="J98:J115" si="3">E98/I98-1</f>
        <v>0.50388852883992219</v>
      </c>
      <c r="K98" s="11">
        <v>2.4412842059900887E-2</v>
      </c>
      <c r="L98" s="13">
        <v>9102000000</v>
      </c>
      <c r="M98" s="13">
        <v>150227000000</v>
      </c>
      <c r="N98" s="9" t="s">
        <v>71</v>
      </c>
      <c r="O98" s="6">
        <v>1</v>
      </c>
      <c r="P98" s="12">
        <v>3.1802989579167364E-2</v>
      </c>
      <c r="Q98" s="12">
        <v>6.0588309691333782E-2</v>
      </c>
      <c r="R98" s="14">
        <v>72</v>
      </c>
    </row>
    <row r="99" spans="2:18" x14ac:dyDescent="0.5">
      <c r="B99" s="1" t="s">
        <v>647</v>
      </c>
      <c r="C99" t="s">
        <v>745</v>
      </c>
      <c r="D99" t="s">
        <v>746</v>
      </c>
      <c r="E99">
        <v>134.07</v>
      </c>
      <c r="F99" s="9" t="s">
        <v>71</v>
      </c>
      <c r="G99" s="7">
        <v>124625977344</v>
      </c>
      <c r="H99" s="6">
        <v>143.94999999999999</v>
      </c>
      <c r="I99" s="6">
        <v>85.35</v>
      </c>
      <c r="J99" s="12">
        <f t="shared" si="3"/>
        <v>0.57082601054481552</v>
      </c>
      <c r="K99" s="11">
        <v>3.0133512344297758E-2</v>
      </c>
      <c r="L99" s="13">
        <v>4741575000</v>
      </c>
      <c r="M99" s="13">
        <v>88166303000</v>
      </c>
      <c r="N99" s="9" t="s">
        <v>71</v>
      </c>
      <c r="O99" s="6">
        <v>1</v>
      </c>
      <c r="P99" s="12">
        <v>2.9791086015666931E-2</v>
      </c>
      <c r="Q99" s="12">
        <v>5.3779900468322914E-2</v>
      </c>
      <c r="R99" s="14">
        <v>74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131.69</v>
      </c>
      <c r="F100" s="9" t="s">
        <v>71</v>
      </c>
      <c r="G100" s="7">
        <v>80602996736</v>
      </c>
      <c r="H100" s="6">
        <v>146.49</v>
      </c>
      <c r="I100" s="6">
        <v>68.03</v>
      </c>
      <c r="J100" s="12">
        <f t="shared" si="3"/>
        <v>0.93576363369101867</v>
      </c>
      <c r="K100" s="11">
        <v>1.1694130154149898E-2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2.4371837871234116E-2</v>
      </c>
      <c r="Q100" s="12">
        <v>9.6286227912483008E-2</v>
      </c>
      <c r="R100" s="14">
        <v>71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5.0199999999999996</v>
      </c>
      <c r="F101" s="9" t="s">
        <v>71</v>
      </c>
      <c r="G101" s="7">
        <v>3019530240</v>
      </c>
      <c r="H101" s="6">
        <v>6.34</v>
      </c>
      <c r="I101" s="6">
        <v>3.95</v>
      </c>
      <c r="J101" s="12">
        <f t="shared" si="3"/>
        <v>0.27088607594936698</v>
      </c>
      <c r="K101" s="11">
        <v>6.3745019920318738E-2</v>
      </c>
      <c r="L101" s="13">
        <v>539775000</v>
      </c>
      <c r="M101" s="13">
        <v>14304030000</v>
      </c>
      <c r="N101" s="9" t="s">
        <v>71</v>
      </c>
      <c r="O101" s="6">
        <v>1</v>
      </c>
      <c r="P101" s="12">
        <v>4.3867015950756476E-2</v>
      </c>
      <c r="Q101" s="12">
        <v>3.7735868842556961E-2</v>
      </c>
      <c r="R101" s="14">
        <v>65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160.27000000000001</v>
      </c>
      <c r="F102" s="9" t="s">
        <v>71</v>
      </c>
      <c r="G102" s="7">
        <v>58065039360</v>
      </c>
      <c r="H102" s="6">
        <v>187.35</v>
      </c>
      <c r="I102" s="6">
        <v>127.58647999999999</v>
      </c>
      <c r="J102" s="12">
        <f t="shared" si="3"/>
        <v>0.25616758139263673</v>
      </c>
      <c r="K102" s="11">
        <v>2.6018593623260745E-2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3.2556604902709105E-2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191.39</v>
      </c>
      <c r="F103" s="9" t="s">
        <v>71</v>
      </c>
      <c r="G103" s="7">
        <v>135339393024</v>
      </c>
      <c r="H103" s="6">
        <v>242.8</v>
      </c>
      <c r="I103" s="6">
        <v>171</v>
      </c>
      <c r="J103" s="12">
        <f t="shared" si="3"/>
        <v>0.11923976608187137</v>
      </c>
      <c r="K103" s="11">
        <v>6.6879147290872043E-3</v>
      </c>
      <c r="L103" s="13">
        <v>4498000000</v>
      </c>
      <c r="M103" s="13">
        <v>70952000000</v>
      </c>
      <c r="N103" s="9" t="s">
        <v>71</v>
      </c>
      <c r="O103" s="6">
        <v>1</v>
      </c>
      <c r="P103" s="12">
        <v>2.9902860307527129E-2</v>
      </c>
      <c r="Q103" s="12">
        <v>6.3394971248167772E-2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34.82</v>
      </c>
      <c r="F104" s="9" t="s">
        <v>71</v>
      </c>
      <c r="G104" s="7">
        <v>8303507968</v>
      </c>
      <c r="H104" s="6">
        <v>44.38</v>
      </c>
      <c r="I104" s="6">
        <v>29.68</v>
      </c>
      <c r="J104" s="12">
        <f t="shared" si="3"/>
        <v>0.17318059299191368</v>
      </c>
      <c r="K104" s="11">
        <v>4.9396898334290638E-2</v>
      </c>
      <c r="L104" s="13">
        <v>324666000</v>
      </c>
      <c r="M104" s="13">
        <v>11556796000</v>
      </c>
      <c r="N104" s="9" t="s">
        <v>71</v>
      </c>
      <c r="O104" s="6">
        <v>1</v>
      </c>
      <c r="P104" s="12">
        <v>2.8505381154940224E-2</v>
      </c>
      <c r="Q104" s="12">
        <v>2.8093080469708039E-2</v>
      </c>
      <c r="R104" s="14">
        <v>75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64.92</v>
      </c>
      <c r="F105" s="9" t="s">
        <v>71</v>
      </c>
      <c r="G105" s="7">
        <v>60750508032</v>
      </c>
      <c r="H105" s="6">
        <v>67.94</v>
      </c>
      <c r="I105" s="6">
        <v>50.71</v>
      </c>
      <c r="J105" s="12">
        <f t="shared" si="3"/>
        <v>0.28022086373496347</v>
      </c>
      <c r="K105" s="11">
        <v>4.9584103512014782E-2</v>
      </c>
      <c r="L105" s="13">
        <v>2261626000</v>
      </c>
      <c r="M105" s="13">
        <v>68233432000</v>
      </c>
      <c r="N105" s="9" t="s">
        <v>71</v>
      </c>
      <c r="O105" s="6">
        <v>1</v>
      </c>
      <c r="P105" s="12">
        <v>2.5224044840921604E-2</v>
      </c>
      <c r="Q105" s="12">
        <v>3.3145423492694899E-2</v>
      </c>
      <c r="R105" s="14">
        <v>76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56.16</v>
      </c>
      <c r="F106" s="9" t="s">
        <v>71</v>
      </c>
      <c r="G106" s="7">
        <v>1895426048</v>
      </c>
      <c r="H106" s="6">
        <v>80.06</v>
      </c>
      <c r="I106" s="6">
        <v>49.92</v>
      </c>
      <c r="J106" s="12">
        <f t="shared" si="3"/>
        <v>0.125</v>
      </c>
      <c r="K106" s="11">
        <v>2.3326210826210829E-2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6.3256636027488981E-3</v>
      </c>
      <c r="Q106" s="12">
        <v>6.7993809733133907E-3</v>
      </c>
      <c r="R106" s="14">
        <v>79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289.16000000000003</v>
      </c>
      <c r="F107" s="9" t="s">
        <v>71</v>
      </c>
      <c r="G107" s="7">
        <v>64383209472</v>
      </c>
      <c r="H107" s="6">
        <v>301.11</v>
      </c>
      <c r="I107" s="6">
        <v>229.11</v>
      </c>
      <c r="J107" s="12">
        <f t="shared" si="3"/>
        <v>0.26210117410850686</v>
      </c>
      <c r="K107" s="11">
        <v>2.4761377783925852E-2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-2.8010682050708603E-3</v>
      </c>
      <c r="Q107" s="12">
        <v>-6.9277854006166862E-3</v>
      </c>
      <c r="R107" s="14">
        <v>80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88.76</v>
      </c>
      <c r="F108" s="9" t="s">
        <v>71</v>
      </c>
      <c r="G108" s="7">
        <v>32106893312</v>
      </c>
      <c r="H108" s="6">
        <v>121.64</v>
      </c>
      <c r="I108" s="6">
        <v>48.37</v>
      </c>
      <c r="J108" s="12">
        <f t="shared" si="3"/>
        <v>0.83502170767004369</v>
      </c>
      <c r="K108" s="11">
        <v>1.5772870662460567E-2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-1.7670087320163404E-2</v>
      </c>
      <c r="Q108" s="12">
        <v>-6.1080307637274192E-2</v>
      </c>
      <c r="R108" s="14">
        <v>81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22.4</v>
      </c>
      <c r="F109" s="9" t="s">
        <v>71</v>
      </c>
      <c r="G109" s="7">
        <v>7538980352</v>
      </c>
      <c r="H109" s="6">
        <v>24.92</v>
      </c>
      <c r="I109" s="6">
        <v>18.690000000000001</v>
      </c>
      <c r="J109" s="12">
        <f t="shared" si="3"/>
        <v>0.19850187265917585</v>
      </c>
      <c r="K109" s="11">
        <v>4.8214285714285723E-2</v>
      </c>
      <c r="L109" s="13">
        <v>1515000000</v>
      </c>
      <c r="M109" s="13">
        <v>21269000000</v>
      </c>
      <c r="N109" s="9" t="s">
        <v>71</v>
      </c>
      <c r="O109" s="6">
        <v>1</v>
      </c>
      <c r="P109" s="12">
        <v>8.8333142998635275E-2</v>
      </c>
      <c r="Q109" s="12">
        <v>7.1230429263246978E-2</v>
      </c>
      <c r="R109" s="14">
        <v>36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45.76</v>
      </c>
      <c r="F110" s="9" t="s">
        <v>71</v>
      </c>
      <c r="G110" s="7">
        <v>228579360768</v>
      </c>
      <c r="H110" s="6">
        <v>54.6</v>
      </c>
      <c r="I110" s="6">
        <v>17.670000000000002</v>
      </c>
      <c r="J110" s="12">
        <f t="shared" si="3"/>
        <v>1.5897000565930952</v>
      </c>
      <c r="K110" s="11">
        <v>0</v>
      </c>
      <c r="L110" s="13">
        <v>2648000000</v>
      </c>
      <c r="M110" s="13">
        <v>160866000000</v>
      </c>
      <c r="N110" s="9" t="s">
        <v>71</v>
      </c>
      <c r="O110" s="6">
        <v>1</v>
      </c>
      <c r="P110" s="12">
        <v>1.0149507427711507E-2</v>
      </c>
      <c r="Q110" s="12">
        <v>1.646090534979424E-2</v>
      </c>
      <c r="R110" s="14">
        <v>78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27.51</v>
      </c>
      <c r="F111" s="9" t="s">
        <v>71</v>
      </c>
      <c r="G111" s="7">
        <v>68252708864</v>
      </c>
      <c r="H111" s="6">
        <v>30</v>
      </c>
      <c r="I111" s="6">
        <v>7.52</v>
      </c>
      <c r="J111" s="12">
        <f t="shared" si="3"/>
        <v>2.6582446808510642</v>
      </c>
      <c r="K111" s="11">
        <v>0</v>
      </c>
      <c r="L111" s="13">
        <v>3724000000</v>
      </c>
      <c r="M111" s="13">
        <v>68486000000</v>
      </c>
      <c r="N111" s="9" t="s">
        <v>71</v>
      </c>
      <c r="O111" s="6">
        <v>1</v>
      </c>
      <c r="P111" s="12">
        <v>3.8689418246332312E-2</v>
      </c>
      <c r="Q111" s="12">
        <v>5.437607686242444E-2</v>
      </c>
      <c r="R111" s="14">
        <v>70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298.2</v>
      </c>
      <c r="F112" s="9" t="s">
        <v>71</v>
      </c>
      <c r="G112" s="7">
        <v>205415563264</v>
      </c>
      <c r="H112" s="6">
        <v>387.49</v>
      </c>
      <c r="I112" s="6">
        <v>220.43</v>
      </c>
      <c r="J112" s="12">
        <f t="shared" si="3"/>
        <v>0.3528104160050809</v>
      </c>
      <c r="K112" s="11">
        <v>1.0999329309188463E-2</v>
      </c>
      <c r="M112" s="13">
        <v>91233000000</v>
      </c>
      <c r="N112" s="9" t="s">
        <v>71</v>
      </c>
      <c r="O112" s="6">
        <v>1</v>
      </c>
    </row>
    <row r="113" spans="2:18" x14ac:dyDescent="0.5">
      <c r="B113" s="1" t="s">
        <v>617</v>
      </c>
      <c r="C113" t="s">
        <v>707</v>
      </c>
      <c r="D113" t="s">
        <v>104</v>
      </c>
      <c r="E113">
        <v>794.77</v>
      </c>
      <c r="F113" s="9" t="s">
        <v>71</v>
      </c>
      <c r="G113" s="7">
        <v>238374191104</v>
      </c>
      <c r="H113" s="6">
        <v>984.7</v>
      </c>
      <c r="I113" s="6">
        <v>439.38</v>
      </c>
      <c r="J113" s="12">
        <f t="shared" si="3"/>
        <v>0.80884428057717694</v>
      </c>
      <c r="K113" s="11">
        <v>1.7615159102633466E-2</v>
      </c>
      <c r="M113" s="13">
        <v>493799000000</v>
      </c>
      <c r="N113" s="9" t="s">
        <v>71</v>
      </c>
      <c r="O113" s="6">
        <v>1</v>
      </c>
    </row>
    <row r="114" spans="2:18" x14ac:dyDescent="0.5">
      <c r="B114" s="1" t="s">
        <v>621</v>
      </c>
      <c r="C114" t="s">
        <v>712</v>
      </c>
      <c r="D114" t="s">
        <v>427</v>
      </c>
      <c r="E114">
        <v>483.46</v>
      </c>
      <c r="F114" s="9" t="s">
        <v>71</v>
      </c>
      <c r="G114" s="7">
        <v>171691261952</v>
      </c>
      <c r="H114" s="6">
        <v>603.88</v>
      </c>
      <c r="I114" s="6">
        <v>425</v>
      </c>
      <c r="J114" s="12">
        <f t="shared" si="3"/>
        <v>0.13755294117647043</v>
      </c>
      <c r="K114" s="11">
        <v>0</v>
      </c>
      <c r="L114" s="13">
        <v>2945500000</v>
      </c>
      <c r="M114" s="13">
        <v>17824000000</v>
      </c>
      <c r="N114" s="9" t="s">
        <v>71</v>
      </c>
      <c r="O114" s="6">
        <v>1</v>
      </c>
      <c r="Q114" s="12">
        <v>0.16525471274685816</v>
      </c>
    </row>
    <row r="115" spans="2:18" x14ac:dyDescent="0.5">
      <c r="B115" s="1" t="s">
        <v>641</v>
      </c>
      <c r="C115" t="s">
        <v>736</v>
      </c>
      <c r="D115" t="s">
        <v>716</v>
      </c>
      <c r="E115">
        <v>38.58</v>
      </c>
      <c r="F115" s="9" t="s">
        <v>71</v>
      </c>
      <c r="G115" s="7">
        <v>172053381120</v>
      </c>
      <c r="H115" s="6">
        <v>82.57</v>
      </c>
      <c r="I115" s="6">
        <v>35.85</v>
      </c>
      <c r="J115" s="12">
        <f t="shared" si="3"/>
        <v>7.6150627615062749E-2</v>
      </c>
      <c r="K115" s="11">
        <v>0.30326594090202175</v>
      </c>
      <c r="L115" s="13">
        <v>134747000000</v>
      </c>
      <c r="M115" s="13">
        <v>316433000000</v>
      </c>
      <c r="N115" s="9" t="s">
        <v>737</v>
      </c>
      <c r="O115" s="6">
        <v>6.498068</v>
      </c>
      <c r="P115" s="12">
        <v>1.0288259324328446</v>
      </c>
      <c r="Q115" s="12">
        <v>0.42583106060366649</v>
      </c>
      <c r="R115" s="14">
        <v>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5" sqref="B5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2026-03-22T08:54:39Z</dcterms:modified>
</cp:coreProperties>
</file>