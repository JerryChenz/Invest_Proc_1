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erry\PycharmProjects\Invest_Proc\financial_models\"/>
    </mc:Choice>
  </mc:AlternateContent>
  <xr:revisionPtr revIDLastSave="0" documentId="13_ncr:1_{3E9533D6-F490-4E9D-9B88-7F1F21ABC4CA}" xr6:coauthVersionLast="47" xr6:coauthVersionMax="47" xr10:uidLastSave="{00000000-0000-0000-0000-000000000000}"/>
  <bookViews>
    <workbookView xWindow="0" yWindow="360" windowWidth="17115" windowHeight="10755" activeTab="4" xr2:uid="{F6774656-057E-A240-BF5A-628B92823BF8}"/>
  </bookViews>
  <sheets>
    <sheet name="hk_screener" sheetId="1" r:id="rId1"/>
    <sheet name="cn_screener" sheetId="3" r:id="rId2"/>
    <sheet name="us_screener" sheetId="4" r:id="rId3"/>
    <sheet name="Selected" sheetId="6" r:id="rId4"/>
    <sheet name="Note" sheetId="5" r:id="rId5"/>
  </sheets>
  <definedNames>
    <definedName name="_xlnm._FilterDatabase" localSheetId="1" hidden="1">cn_screener!$B$1:$R$11</definedName>
    <definedName name="_xlnm._FilterDatabase" localSheetId="0" hidden="1">hk_screener!$B$1:$R$19</definedName>
    <definedName name="_xlnm._FilterDatabase" localSheetId="2" hidden="1">us_screener!$B$1:$R$4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3" l="1"/>
  <c r="J3" i="3"/>
  <c r="J5" i="3"/>
  <c r="J4" i="3"/>
  <c r="J7" i="3"/>
  <c r="J9" i="3"/>
  <c r="J8" i="3"/>
  <c r="J6" i="3"/>
  <c r="J10" i="3"/>
  <c r="J11" i="3"/>
  <c r="J12" i="3"/>
  <c r="J13" i="3"/>
  <c r="J14" i="3"/>
  <c r="J16" i="3"/>
  <c r="J17" i="3"/>
  <c r="J15" i="3"/>
  <c r="J18" i="3"/>
  <c r="J19" i="3"/>
  <c r="J20" i="3"/>
  <c r="J21" i="3"/>
  <c r="J2" i="4"/>
  <c r="J3" i="4"/>
  <c r="J4" i="4"/>
  <c r="J5" i="4"/>
  <c r="J6" i="4"/>
  <c r="J9" i="4"/>
  <c r="J7" i="4"/>
  <c r="J8" i="4"/>
  <c r="J10" i="4"/>
  <c r="J13" i="4"/>
  <c r="J17" i="4"/>
  <c r="J18" i="4"/>
  <c r="J12" i="4"/>
  <c r="J28" i="4"/>
  <c r="J19" i="4"/>
  <c r="J14" i="4"/>
  <c r="J26" i="4"/>
  <c r="J23" i="4"/>
  <c r="J15" i="4"/>
  <c r="J24" i="4"/>
  <c r="J20" i="4"/>
  <c r="J21" i="4"/>
  <c r="J31" i="4"/>
  <c r="J33" i="4"/>
  <c r="J34" i="4"/>
  <c r="J35" i="4"/>
  <c r="J11" i="4"/>
  <c r="J25" i="4"/>
  <c r="J27" i="4"/>
  <c r="J16" i="4"/>
  <c r="J32" i="4"/>
  <c r="J29" i="4"/>
  <c r="J30" i="4"/>
  <c r="J22" i="4"/>
  <c r="J2" i="1"/>
  <c r="J3" i="1"/>
  <c r="J4" i="1"/>
  <c r="J5" i="1"/>
  <c r="J6" i="1"/>
  <c r="J7" i="1"/>
  <c r="J9" i="1"/>
  <c r="J8" i="1"/>
  <c r="J10" i="1"/>
  <c r="J11" i="1"/>
  <c r="J13" i="1"/>
  <c r="J12" i="1"/>
  <c r="J14" i="1"/>
  <c r="J17" i="1"/>
  <c r="J15" i="1"/>
  <c r="J16" i="1"/>
  <c r="J18" i="1"/>
  <c r="J21" i="1"/>
  <c r="J19" i="1"/>
  <c r="J22" i="1"/>
  <c r="J24" i="1"/>
  <c r="J23" i="1"/>
  <c r="J20" i="1"/>
  <c r="J26" i="1"/>
  <c r="J25" i="1"/>
  <c r="J27" i="1"/>
  <c r="J28" i="1"/>
  <c r="J29" i="1"/>
  <c r="J32" i="1"/>
  <c r="J30" i="1"/>
  <c r="J31" i="1"/>
  <c r="J33" i="1"/>
  <c r="J39" i="1"/>
  <c r="J35" i="1"/>
  <c r="J36" i="1"/>
  <c r="J34" i="1"/>
  <c r="J37" i="1"/>
  <c r="J38" i="1"/>
  <c r="J41" i="1"/>
  <c r="J40" i="1"/>
  <c r="J42" i="1"/>
  <c r="J43" i="1"/>
  <c r="J44" i="1"/>
  <c r="J45" i="1"/>
  <c r="J47" i="1"/>
  <c r="J49" i="1"/>
  <c r="J48" i="1"/>
  <c r="J51" i="1"/>
  <c r="J50" i="1"/>
  <c r="J53" i="1"/>
  <c r="J46" i="1"/>
  <c r="J52" i="1"/>
  <c r="J54" i="1"/>
  <c r="J55" i="1"/>
  <c r="J56" i="1"/>
  <c r="J57" i="1"/>
  <c r="J58" i="1"/>
  <c r="J60" i="1"/>
  <c r="J59" i="1"/>
  <c r="J61" i="1"/>
  <c r="J62" i="1"/>
  <c r="J63" i="1"/>
  <c r="J64" i="1"/>
  <c r="J65" i="1"/>
  <c r="J66" i="1"/>
  <c r="J67" i="1"/>
  <c r="J68" i="1"/>
  <c r="J69" i="1"/>
  <c r="J71" i="1"/>
  <c r="J70" i="1"/>
  <c r="J72" i="1"/>
  <c r="J73" i="1"/>
  <c r="J74" i="1"/>
  <c r="J76" i="1"/>
  <c r="J77" i="1"/>
  <c r="J78" i="1"/>
  <c r="J80" i="1"/>
  <c r="J75" i="1"/>
  <c r="J79" i="1"/>
  <c r="J81" i="1"/>
  <c r="J82" i="1"/>
  <c r="J83" i="1"/>
  <c r="J84" i="1"/>
  <c r="J85" i="1"/>
  <c r="J87" i="1"/>
  <c r="J86" i="1"/>
  <c r="J88" i="1"/>
  <c r="J89" i="1"/>
  <c r="J90" i="1"/>
  <c r="J91" i="1"/>
  <c r="J92" i="1"/>
  <c r="J93" i="1"/>
  <c r="J94" i="1"/>
  <c r="J96" i="1"/>
  <c r="J100" i="1"/>
  <c r="J97" i="1"/>
  <c r="J98" i="1"/>
  <c r="J95" i="1"/>
  <c r="J99" i="1"/>
  <c r="J101" i="1"/>
  <c r="J102" i="1"/>
  <c r="J103" i="1"/>
  <c r="J104" i="1"/>
  <c r="J105" i="1"/>
  <c r="J106" i="1"/>
  <c r="J107" i="1"/>
  <c r="J108" i="1"/>
  <c r="J109" i="1"/>
  <c r="J110" i="1"/>
  <c r="J112" i="1"/>
  <c r="J111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</calcChain>
</file>

<file path=xl/sharedStrings.xml><?xml version="1.0" encoding="utf-8"?>
<sst xmlns="http://schemas.openxmlformats.org/spreadsheetml/2006/main" count="969" uniqueCount="461">
  <si>
    <t>Ticker</t>
  </si>
  <si>
    <t>Industry</t>
  </si>
  <si>
    <t>ROIC</t>
  </si>
  <si>
    <t>D/P</t>
  </si>
  <si>
    <t>Price</t>
  </si>
  <si>
    <t>Name</t>
  </si>
  <si>
    <t>EBIT/EV</t>
  </si>
  <si>
    <t>Ranking</t>
  </si>
  <si>
    <t>688169.SS</t>
  </si>
  <si>
    <t>603486.SS</t>
  </si>
  <si>
    <t>300866.SZ</t>
  </si>
  <si>
    <t>601369.SS</t>
  </si>
  <si>
    <t>000858.SZ</t>
  </si>
  <si>
    <t>601098.SS</t>
  </si>
  <si>
    <t>000719.SZ</t>
  </si>
  <si>
    <t>600757.SS</t>
  </si>
  <si>
    <t>601921.SS</t>
  </si>
  <si>
    <t>603230.SS</t>
  </si>
  <si>
    <t>1880.HK</t>
  </si>
  <si>
    <t>2232.HK</t>
  </si>
  <si>
    <t>2111.HK</t>
  </si>
  <si>
    <t>1919.HK</t>
  </si>
  <si>
    <t>1898.HK</t>
  </si>
  <si>
    <t>0135.HK</t>
  </si>
  <si>
    <t>0564.HK</t>
  </si>
  <si>
    <t>2155.HK</t>
  </si>
  <si>
    <t>1475.HK</t>
  </si>
  <si>
    <t>0327.HK</t>
  </si>
  <si>
    <t>6186.HK</t>
  </si>
  <si>
    <t>0151.HK</t>
  </si>
  <si>
    <t>2233.HK</t>
  </si>
  <si>
    <t>6110.HK</t>
  </si>
  <si>
    <t>1836.HK</t>
  </si>
  <si>
    <t>0788.HK</t>
  </si>
  <si>
    <t>3998.HK</t>
  </si>
  <si>
    <t>0388.HK</t>
  </si>
  <si>
    <t>1072.HK</t>
  </si>
  <si>
    <t>0710.HK</t>
  </si>
  <si>
    <t>IBKR</t>
  </si>
  <si>
    <t>SIG</t>
  </si>
  <si>
    <t>52 wk high</t>
  </si>
  <si>
    <t>52 wk low</t>
  </si>
  <si>
    <t>EBIT</t>
  </si>
  <si>
    <t>IC</t>
  </si>
  <si>
    <t>Rpt CCY</t>
  </si>
  <si>
    <t>CCY</t>
  </si>
  <si>
    <t>Market Cap</t>
  </si>
  <si>
    <t>Forex</t>
  </si>
  <si>
    <t xml:space="preserve">BEIJING ROBOROCK TECHNOLOGY CO </t>
  </si>
  <si>
    <t>Specialty Industrial Machinery</t>
  </si>
  <si>
    <t>CNY</t>
  </si>
  <si>
    <t>% from low</t>
  </si>
  <si>
    <t>ECOVACS ROBOTICS CO LTD</t>
  </si>
  <si>
    <t>Furnishings, Fixtures &amp; Appliances</t>
  </si>
  <si>
    <t>ANKER INNOVATIONS</t>
  </si>
  <si>
    <t>Consumer Electronics</t>
  </si>
  <si>
    <t>XI AN SHAANGU POWER CO LTD</t>
  </si>
  <si>
    <t>WULIANGYE YIBIN CO</t>
  </si>
  <si>
    <t>Beverages - Wineries &amp; Distilleries</t>
  </si>
  <si>
    <t xml:space="preserve">CHINA SOUTH PUBLISHING &amp; MEDIA </t>
  </si>
  <si>
    <t>Publishing</t>
  </si>
  <si>
    <t>CENTRAL CHINA LAND</t>
  </si>
  <si>
    <t>CHANGJIANG PUBLISHING AND MEDIA</t>
  </si>
  <si>
    <t xml:space="preserve">ZHEJIANG PUBLISHING &amp; MEDIA CO </t>
  </si>
  <si>
    <t>INNER MONGOLIA XINHUA DISTRIBUT</t>
  </si>
  <si>
    <t>Specialty Retail</t>
  </si>
  <si>
    <t>CTG DUTY-FREE</t>
  </si>
  <si>
    <t>HKD</t>
  </si>
  <si>
    <t>Utilities - Regulated Water</t>
  </si>
  <si>
    <t>CRYSTAL INTL</t>
  </si>
  <si>
    <t>Apparel Manufacturing</t>
  </si>
  <si>
    <t>USD</t>
  </si>
  <si>
    <t>BEST PACIFIC</t>
  </si>
  <si>
    <t>Textile Manufacturing</t>
  </si>
  <si>
    <t>Apparel Retail</t>
  </si>
  <si>
    <t>COSCO SHIP HOLD</t>
  </si>
  <si>
    <t>Marine Shipping</t>
  </si>
  <si>
    <t>CHINA COAL</t>
  </si>
  <si>
    <t>Thermal Coal</t>
  </si>
  <si>
    <t>KUNLUN ENERGY</t>
  </si>
  <si>
    <t>Oil &amp; Gas Refining &amp; Marketing</t>
  </si>
  <si>
    <t>ZMJ</t>
  </si>
  <si>
    <t>Farm &amp; Heavy Construction Machinery</t>
  </si>
  <si>
    <t>MORIMATSU INTL</t>
  </si>
  <si>
    <t>Leisure</t>
  </si>
  <si>
    <t>NISSIN FOODS</t>
  </si>
  <si>
    <t>Packaged Foods</t>
  </si>
  <si>
    <t>PAX GLOBAL</t>
  </si>
  <si>
    <t>Business Equipment &amp; Supplies</t>
  </si>
  <si>
    <t>CHINA FEIHE</t>
  </si>
  <si>
    <t>WANT WANT CHINA</t>
  </si>
  <si>
    <t>WESTCHINACEMENT</t>
  </si>
  <si>
    <t>Building Materials</t>
  </si>
  <si>
    <t>TOPSPORTS</t>
  </si>
  <si>
    <t>STELLA HOLDINGS</t>
  </si>
  <si>
    <t>Footwear &amp; Accessories</t>
  </si>
  <si>
    <t>CHINA TOWER</t>
  </si>
  <si>
    <t>Telecom Services</t>
  </si>
  <si>
    <t>BOSIDENG</t>
  </si>
  <si>
    <t>HKEX</t>
  </si>
  <si>
    <t>Financial Data &amp; Stock Exchanges</t>
  </si>
  <si>
    <t>DONGFANG ELEC</t>
  </si>
  <si>
    <t>BOE VARITRONIX</t>
  </si>
  <si>
    <t>Electronic Components</t>
  </si>
  <si>
    <t>Interactive Brokers Group, Inc.</t>
  </si>
  <si>
    <t>Capital Markets</t>
  </si>
  <si>
    <t>Signet Jewelers Limited</t>
  </si>
  <si>
    <t>Luxury Goods</t>
  </si>
  <si>
    <t>0639.HK</t>
  </si>
  <si>
    <t>0506.HK</t>
  </si>
  <si>
    <t>0728.HK</t>
  </si>
  <si>
    <t>3990.HK</t>
  </si>
  <si>
    <t>0014.HK</t>
  </si>
  <si>
    <t>3606.HK</t>
  </si>
  <si>
    <t>0914.HK</t>
  </si>
  <si>
    <t>0081.HK</t>
  </si>
  <si>
    <t>2020.HK</t>
  </si>
  <si>
    <t>9992.HK</t>
  </si>
  <si>
    <t>0855.HK</t>
  </si>
  <si>
    <t>0762.HK</t>
  </si>
  <si>
    <t>1113.HK</t>
  </si>
  <si>
    <t>1138.HK</t>
  </si>
  <si>
    <t>0517.HK</t>
  </si>
  <si>
    <t>1044.HK</t>
  </si>
  <si>
    <t>1929.HK</t>
  </si>
  <si>
    <t>1888.HK</t>
  </si>
  <si>
    <t>0148.HK</t>
  </si>
  <si>
    <t>6823.HK</t>
  </si>
  <si>
    <t>0700.HK</t>
  </si>
  <si>
    <t>0772.HK</t>
  </si>
  <si>
    <t>AI提问</t>
  </si>
  <si>
    <t>2899.HK</t>
  </si>
  <si>
    <t>0008.HK</t>
  </si>
  <si>
    <t>0144.HK</t>
  </si>
  <si>
    <t>3396.HK</t>
  </si>
  <si>
    <t>6055.HK</t>
  </si>
  <si>
    <t>9987.HK</t>
  </si>
  <si>
    <t>0322.HK</t>
  </si>
  <si>
    <t>2314.HK</t>
  </si>
  <si>
    <t>0285.HK</t>
  </si>
  <si>
    <t>1913.HK</t>
  </si>
  <si>
    <t>0992.HK</t>
  </si>
  <si>
    <t> </t>
  </si>
  <si>
    <t>SHOUGANG RES</t>
  </si>
  <si>
    <t>Coking Coal</t>
  </si>
  <si>
    <t>CHINA FOODS</t>
  </si>
  <si>
    <t>Beverages - Non-Alcoholic</t>
  </si>
  <si>
    <t>CHINA TELECOM</t>
  </si>
  <si>
    <t>MIDEA REAL EST</t>
  </si>
  <si>
    <t>Real Estate - Development</t>
  </si>
  <si>
    <t>HYSAN DEV</t>
  </si>
  <si>
    <t>Real Estate Services</t>
  </si>
  <si>
    <t>FUYAO GLASS</t>
  </si>
  <si>
    <t>Auto Parts</t>
  </si>
  <si>
    <t>CONCH CEMENT</t>
  </si>
  <si>
    <t>CH OVS G OCEANS</t>
  </si>
  <si>
    <t>ANTA SPORTS</t>
  </si>
  <si>
    <t>POP MART</t>
  </si>
  <si>
    <t>CHINA WATER</t>
  </si>
  <si>
    <t>CHINA UNICOM</t>
  </si>
  <si>
    <t>CK ASSET</t>
  </si>
  <si>
    <t>COSCO SHIP ENGY</t>
  </si>
  <si>
    <t>Oil &amp; Gas Midstream</t>
  </si>
  <si>
    <t>COSCO SHIP INTL</t>
  </si>
  <si>
    <t>HENGAN INT'L</t>
  </si>
  <si>
    <t>Household &amp; Personal Products</t>
  </si>
  <si>
    <t>CHOW TAI FOOK</t>
  </si>
  <si>
    <t>KB LAMINATES</t>
  </si>
  <si>
    <t>KINGBOARD HLDG</t>
  </si>
  <si>
    <t>Conglomerates</t>
  </si>
  <si>
    <t>HKT-SS</t>
  </si>
  <si>
    <t>TENCENT</t>
  </si>
  <si>
    <t>Internet Content &amp; Information</t>
  </si>
  <si>
    <t>CHINA LIT</t>
  </si>
  <si>
    <t>ZIJIN MINING</t>
  </si>
  <si>
    <t>Gold</t>
  </si>
  <si>
    <t>PCCW</t>
  </si>
  <si>
    <t>CHINA MER PORT</t>
  </si>
  <si>
    <t>LEGENDHOLDING</t>
  </si>
  <si>
    <t>Computer Hardware</t>
  </si>
  <si>
    <t>CTIHK</t>
  </si>
  <si>
    <t>Tobacco</t>
  </si>
  <si>
    <t>YUM CHINA</t>
  </si>
  <si>
    <t>Restaurants</t>
  </si>
  <si>
    <t>TINGYI</t>
  </si>
  <si>
    <t>LEE &amp; MAN PAPER</t>
  </si>
  <si>
    <t>Paper &amp; Paper Products</t>
  </si>
  <si>
    <t>BYD ELECTRONIC</t>
  </si>
  <si>
    <t>PRADA</t>
  </si>
  <si>
    <t>EUR</t>
  </si>
  <si>
    <t>LENOVO GROUP</t>
  </si>
  <si>
    <t>Company Evaluation Framework (MECE Scorecard)
All data must be publicly observable. Score 0-2 per category (lower = better). No management speculation. 中文回答.
1. Five Forces Analysis (Porter's Model)
Competitive Rivalry (0-2):
0 = Monopoly/Oligopoly (Top 3 control &gt;80% market)
1 = Moderate competition (Top 5 control 50-80%)
2 = Fragmented market (Top 5 &lt;50%)
Supplier Power (0-2):
0 = 500+ suppliers/commoditized inputs
1 = 20-500 suppliers/moderate specialization
2 = &lt;5 suppliers/critical proprietary inputs
Buyer Power (0-2):
0 = Fragmented (Top 5 customers &lt;10% revenue)
1 = Moderate (Top 5 = 10-25% revenue)
2 = Concentrated (Top 5 &gt;25% revenue)
Threat of Substitutes (0-2):
0 = No functional substitutes
1 = Few substitutes (20%+ price premium)
2 = Many substitutes (price parity)
Threat of New Entrants (0-2):
0 = High barriers (regulatory+capital &gt;5x EBITDA)
1 = Moderate barriers (2-5x EBITDA)
2 = Low barriers (&lt;2x EBITDA)
2. Financial Filters
Stable Revenue (0-2):
0 = &lt;5% annual revenue variation (5y)
1 = 5-15% variation
2 = &gt;15% variation
Reinvestment Needs (0-2):
0 = CapEx &lt;5% revenue (5y avg)
1 = CapEx 5-15% revenue
2 = CapEx &gt;15% revenue
Operating Margin (0-2):
0 = &gt;20% margin (vs. industry avg)
1 = 10-20%
2 = &lt;10%
Debt Level (0-2):
0 = Debt/EBITDA &lt;2x
1 = 2-4x
2 = &gt;4x
ROE (0-2):
0 = &gt;15% (5y avg)
1 = 10-15%
2 = &lt;10%
3. MOAT Components
Switching Costs (0-2):
0 = High (contractual/technical/data barriers)
1 = Moderate (retraining costs)
2 = Low (commodity product)
Network Effects (0-2):
0 = Strong (user growth &gt;20% drives value)
1 = Moderate (localized networks)
2 = None
Intangible Assets (0-2):
0 = Strong (patents &gt;5% revenue, iconic brand)
1 = Moderate (some patents/trademarks)
2 = Weak (generic branding)
Cost Advantage (0-2):
0 = Sustained &gt;20% margin vs industry
1 = 10-20% margin advantage
2 = No advantage
Efficient Scale (0-2):
0 = Natural monopoly/duopoly
1 = Regional dominance
2 = No scale protection
Total Score (0-30): Sum of all 15 categories
Ideal Profile: Low Five Forces risk (0-5), Stable finances (0-5), Strong moat (0-5) → Total ≤15</t>
  </si>
  <si>
    <t>0981.HK</t>
  </si>
  <si>
    <t>SMIC</t>
  </si>
  <si>
    <t>Semiconductors</t>
  </si>
  <si>
    <t>1258.HK</t>
  </si>
  <si>
    <t>0316.HK</t>
  </si>
  <si>
    <t>2360.HK</t>
  </si>
  <si>
    <t>2338.HK</t>
  </si>
  <si>
    <t>0716.HK</t>
  </si>
  <si>
    <t>2388.HK</t>
  </si>
  <si>
    <t>3328.HK</t>
  </si>
  <si>
    <t>1398.HK</t>
  </si>
  <si>
    <t>1658.HK</t>
  </si>
  <si>
    <t>0939.HK</t>
  </si>
  <si>
    <t>0998.HK</t>
  </si>
  <si>
    <t>EQNR</t>
  </si>
  <si>
    <t>GSL</t>
  </si>
  <si>
    <t>ATKR</t>
  </si>
  <si>
    <t>TAP</t>
  </si>
  <si>
    <t>WU</t>
  </si>
  <si>
    <t>JBSS</t>
  </si>
  <si>
    <t>CVX</t>
  </si>
  <si>
    <t>NOMD</t>
  </si>
  <si>
    <t>MOV</t>
  </si>
  <si>
    <t>WLKP</t>
  </si>
  <si>
    <t>CHINFMINING</t>
  </si>
  <si>
    <t>Copper</t>
  </si>
  <si>
    <t>OOIL</t>
  </si>
  <si>
    <t>BEST MART 360</t>
  </si>
  <si>
    <t>Grocery Stores</t>
  </si>
  <si>
    <t>WEICHAI POWER</t>
  </si>
  <si>
    <t>Auto Manufacturers</t>
  </si>
  <si>
    <t>SINGAMAS CONT</t>
  </si>
  <si>
    <t>Packaging &amp; Containers</t>
  </si>
  <si>
    <t>BOC HONG KONG</t>
  </si>
  <si>
    <t>Banks - Regional</t>
  </si>
  <si>
    <t>BANKCOMM</t>
  </si>
  <si>
    <t>Banks - Diversified</t>
  </si>
  <si>
    <t>ICBC</t>
  </si>
  <si>
    <t>PSBC</t>
  </si>
  <si>
    <t>CCB</t>
  </si>
  <si>
    <t>CITIC BANK</t>
  </si>
  <si>
    <t>Equinor ASA</t>
  </si>
  <si>
    <t>Oil &amp; Gas Integrated</t>
  </si>
  <si>
    <t>Global Ship Lease Inc New</t>
  </si>
  <si>
    <t>Atkore Inc.</t>
  </si>
  <si>
    <t>Electrical Equipment &amp; Parts</t>
  </si>
  <si>
    <t>Molson Coors Beverage Company</t>
  </si>
  <si>
    <t>Beverages - Brewers</t>
  </si>
  <si>
    <t>Western Union Company (The)</t>
  </si>
  <si>
    <t>Credit Services</t>
  </si>
  <si>
    <t>John B. Sanfilippo &amp; Son, Inc.</t>
  </si>
  <si>
    <t>Chevron Corporation</t>
  </si>
  <si>
    <t>Nomad Foods Limited</t>
  </si>
  <si>
    <t>Movado Group Inc.</t>
  </si>
  <si>
    <t>Westlake Chemical Partners LP</t>
  </si>
  <si>
    <t>Chemicals</t>
  </si>
  <si>
    <t>1890.HK</t>
  </si>
  <si>
    <t>3993.HK</t>
  </si>
  <si>
    <t>1339.HK</t>
  </si>
  <si>
    <t>0966.HK</t>
  </si>
  <si>
    <t>1186.HK</t>
  </si>
  <si>
    <t>0001.HK</t>
  </si>
  <si>
    <t>3900.HK</t>
  </si>
  <si>
    <t>1045.HK</t>
  </si>
  <si>
    <t>1618.HK</t>
  </si>
  <si>
    <t>0116.HK</t>
  </si>
  <si>
    <t>2318.HK</t>
  </si>
  <si>
    <t>0179.HK</t>
  </si>
  <si>
    <t>1876.HK</t>
  </si>
  <si>
    <t>3709.HK</t>
  </si>
  <si>
    <t>0636.HK</t>
  </si>
  <si>
    <t>0345.HK</t>
  </si>
  <si>
    <t>0546.HK</t>
  </si>
  <si>
    <t>1286.HK</t>
  </si>
  <si>
    <t>0662.HK</t>
  </si>
  <si>
    <t>2386.HK</t>
  </si>
  <si>
    <t>9898.HK</t>
  </si>
  <si>
    <t>3899.HK</t>
  </si>
  <si>
    <t>0411.HK</t>
  </si>
  <si>
    <t>0551.HK</t>
  </si>
  <si>
    <t>3813.HK</t>
  </si>
  <si>
    <t>6963.HK</t>
  </si>
  <si>
    <t>3339.HK</t>
  </si>
  <si>
    <t>1866.HK</t>
  </si>
  <si>
    <t>1109.HK</t>
  </si>
  <si>
    <t>6690.HK</t>
  </si>
  <si>
    <t>1070.HK</t>
  </si>
  <si>
    <t>1882.HK</t>
  </si>
  <si>
    <t>0811.HK</t>
  </si>
  <si>
    <t>1263.HK</t>
  </si>
  <si>
    <t>0552.HK</t>
  </si>
  <si>
    <t>1368.HK</t>
  </si>
  <si>
    <t>0315.HK</t>
  </si>
  <si>
    <t>2368.HK</t>
  </si>
  <si>
    <t>1133.HK</t>
  </si>
  <si>
    <t>0288.HK</t>
  </si>
  <si>
    <t>3393.HK</t>
  </si>
  <si>
    <t>1999.HK</t>
  </si>
  <si>
    <t>1308.HK</t>
  </si>
  <si>
    <t>1837.HK</t>
  </si>
  <si>
    <t>0816.HK</t>
  </si>
  <si>
    <t>1361.HK</t>
  </si>
  <si>
    <t>Education &amp; Training Services</t>
  </si>
  <si>
    <t>CHINA KEPEI</t>
  </si>
  <si>
    <t>CMOC</t>
  </si>
  <si>
    <t>Other Industrial Metals &amp; Mining</t>
  </si>
  <si>
    <t>PICC GROUP</t>
  </si>
  <si>
    <t>Insurance - Property &amp; Casualty</t>
  </si>
  <si>
    <t>CHINA TAIPING</t>
  </si>
  <si>
    <t>Insurance - Life</t>
  </si>
  <si>
    <t>CHINA RAIL CONS</t>
  </si>
  <si>
    <t>Engineering &amp; Construction</t>
  </si>
  <si>
    <t>CKH HOLDINGS</t>
  </si>
  <si>
    <t>GREENTOWN CHINA</t>
  </si>
  <si>
    <t>APT SATELLITE</t>
  </si>
  <si>
    <t>MCC</t>
  </si>
  <si>
    <t>CHOW SANG SANG</t>
  </si>
  <si>
    <t>PING AN</t>
  </si>
  <si>
    <t>JOHNSON ELEC H</t>
  </si>
  <si>
    <t>BUD APAC</t>
  </si>
  <si>
    <t>EEKA FASHION</t>
  </si>
  <si>
    <t>KLN</t>
  </si>
  <si>
    <t>Integrated Freight &amp; Logistics</t>
  </si>
  <si>
    <t>VITASOY INT'L</t>
  </si>
  <si>
    <t>FUFENG GROUP</t>
  </si>
  <si>
    <t>Specialty Chemicals</t>
  </si>
  <si>
    <t>IMPRO PRECISION</t>
  </si>
  <si>
    <t>ASIA FINANCIAL</t>
  </si>
  <si>
    <t>SINOPEC SEG</t>
  </si>
  <si>
    <t>WB-SW</t>
  </si>
  <si>
    <t>CIMC ENRIC</t>
  </si>
  <si>
    <t>Oil &amp; Gas Equipment &amp; Services</t>
  </si>
  <si>
    <t>LAM SOON (HK)</t>
  </si>
  <si>
    <t>YUE YUEN IND</t>
  </si>
  <si>
    <t>POU SHENG INT'L</t>
  </si>
  <si>
    <t>SUNSHINE INS</t>
  </si>
  <si>
    <t>LONKING</t>
  </si>
  <si>
    <t>CHINA XLX FERT</t>
  </si>
  <si>
    <t>Agricultural Inputs</t>
  </si>
  <si>
    <t>CHINA RES LAND</t>
  </si>
  <si>
    <t>HAIER SMARTHOME</t>
  </si>
  <si>
    <t>TCL ELECTRONICS</t>
  </si>
  <si>
    <t>HAITIAN INT'L</t>
  </si>
  <si>
    <t>XINHUA WINSHARE</t>
  </si>
  <si>
    <t>PC PARTNER</t>
  </si>
  <si>
    <t>CHINACOMSERVICE</t>
  </si>
  <si>
    <t>XTEP INT'L</t>
  </si>
  <si>
    <t>SMARTONE TELE</t>
  </si>
  <si>
    <t>EAGLE NICE</t>
  </si>
  <si>
    <t>HARBIN ELECTRIC</t>
  </si>
  <si>
    <t>WH GROUP</t>
  </si>
  <si>
    <t>WASION HOLDINGS</t>
  </si>
  <si>
    <t>MAN WAH HLDGS</t>
  </si>
  <si>
    <t>SITC</t>
  </si>
  <si>
    <t>NATURAL FOOD IH</t>
  </si>
  <si>
    <t>JINMAO SERVICES</t>
  </si>
  <si>
    <t>361 DEGREES</t>
  </si>
  <si>
    <t>603279.SS</t>
  </si>
  <si>
    <t>600132.SS</t>
  </si>
  <si>
    <t>603338.SS</t>
  </si>
  <si>
    <t>600583.SS</t>
  </si>
  <si>
    <t>002304.SZ</t>
  </si>
  <si>
    <t>600373.SS</t>
  </si>
  <si>
    <t>002557.SZ</t>
  </si>
  <si>
    <t>601166.SS</t>
  </si>
  <si>
    <t>600007.SS</t>
  </si>
  <si>
    <t>300481.SZ</t>
  </si>
  <si>
    <t>KHC</t>
  </si>
  <si>
    <t>SIRI</t>
  </si>
  <si>
    <t>The Kraft Heinz Company</t>
  </si>
  <si>
    <t>SiriusXM Holdings Inc.</t>
  </si>
  <si>
    <t>Entertainment</t>
  </si>
  <si>
    <t>2390.HK</t>
  </si>
  <si>
    <t>9959.HK</t>
  </si>
  <si>
    <t>ZHIHU-W</t>
  </si>
  <si>
    <t>LINKLOGIS-W</t>
  </si>
  <si>
    <t>Software - Infrastructure</t>
  </si>
  <si>
    <t>JINGJIN EQUIPMENT INC</t>
  </si>
  <si>
    <t>Pollution &amp; Treatment Controls</t>
  </si>
  <si>
    <t>CHONG QING BREWERY CO.LTD</t>
  </si>
  <si>
    <t>ZHEJIANG DINGLI MACHINERY CO LT</t>
  </si>
  <si>
    <t>OFFSHORE OIL ENGINEERING CO</t>
  </si>
  <si>
    <t>JIANGSU YANGHE DIS</t>
  </si>
  <si>
    <t>CHINESE UNIVERSE PUBLISHING&amp;MED</t>
  </si>
  <si>
    <t>CHACHA FOOD CO LTD</t>
  </si>
  <si>
    <t>INDUSTRIAL BANK CO LTD</t>
  </si>
  <si>
    <t>CHINA WORLD TRADE CENTER</t>
  </si>
  <si>
    <t>PUYANG HUICHENG EL</t>
  </si>
  <si>
    <t>0308.HK</t>
  </si>
  <si>
    <t>CHINA TRAVEL HK</t>
  </si>
  <si>
    <t>0341.HK</t>
  </si>
  <si>
    <t>CAFE DE CORAL H</t>
  </si>
  <si>
    <t>0083.HK</t>
  </si>
  <si>
    <t>2331.HK</t>
  </si>
  <si>
    <t>0823.HK</t>
  </si>
  <si>
    <t>SINO LAND</t>
  </si>
  <si>
    <t>LI NING</t>
  </si>
  <si>
    <t>LINK REIT</t>
  </si>
  <si>
    <t>REIT - Retail</t>
  </si>
  <si>
    <t>1810.HK</t>
  </si>
  <si>
    <t>XIAOMI-W</t>
  </si>
  <si>
    <t>FICO</t>
  </si>
  <si>
    <t>LULU</t>
  </si>
  <si>
    <t>CRM</t>
  </si>
  <si>
    <t>ADBE</t>
  </si>
  <si>
    <t>INTC</t>
  </si>
  <si>
    <t>ADSK</t>
  </si>
  <si>
    <t>UPS</t>
  </si>
  <si>
    <t>DEO</t>
  </si>
  <si>
    <t>CL</t>
  </si>
  <si>
    <t>GIS</t>
  </si>
  <si>
    <t>PG</t>
  </si>
  <si>
    <t>PEP</t>
  </si>
  <si>
    <t>Fair Isaac Corporation</t>
  </si>
  <si>
    <t>Software - Application</t>
  </si>
  <si>
    <t>lululemon athletica inc.</t>
  </si>
  <si>
    <t>Salesforce, Inc.</t>
  </si>
  <si>
    <t>Adobe Inc.</t>
  </si>
  <si>
    <t>Intel Corporation</t>
  </si>
  <si>
    <t>Autodesk, Inc.</t>
  </si>
  <si>
    <t>United Parcel Service, Inc.</t>
  </si>
  <si>
    <t>Diageo plc</t>
  </si>
  <si>
    <t>Colgate-Palmolive Company</t>
  </si>
  <si>
    <t>General Mills, Inc.</t>
  </si>
  <si>
    <t>Procter &amp; Gamble Company (The)</t>
  </si>
  <si>
    <t>Pepsico, Inc.</t>
  </si>
  <si>
    <t>XOM</t>
  </si>
  <si>
    <t>HRL</t>
  </si>
  <si>
    <t>NOK</t>
  </si>
  <si>
    <t>UHS</t>
  </si>
  <si>
    <t>COO</t>
  </si>
  <si>
    <t>CTRA</t>
  </si>
  <si>
    <t>KNBWY</t>
  </si>
  <si>
    <t>Exxon Mobil Corporation</t>
  </si>
  <si>
    <t>Hormel Foods Corporation</t>
  </si>
  <si>
    <t>Nokia Corporation Sponsored</t>
  </si>
  <si>
    <t>Communication Equipment</t>
  </si>
  <si>
    <t>Universal Health Services, Inc.</t>
  </si>
  <si>
    <t>Medical Care Facilities</t>
  </si>
  <si>
    <t>The Cooper Companies, Inc.</t>
  </si>
  <si>
    <t>Medical Instruments &amp; Supplies</t>
  </si>
  <si>
    <t>Coterra Energy Inc.</t>
  </si>
  <si>
    <t>Oil &amp; Gas E&amp;P</t>
  </si>
  <si>
    <t>Kirin Holdings Co., Ltd.</t>
  </si>
  <si>
    <t>JPY</t>
  </si>
  <si>
    <t>3690.HK</t>
  </si>
  <si>
    <t>6862.HK</t>
  </si>
  <si>
    <t>Code</t>
  </si>
  <si>
    <t>中国海油</t>
  </si>
  <si>
    <t>0883.HK</t>
  </si>
  <si>
    <t>600938.SS</t>
  </si>
  <si>
    <t>80883.HK</t>
  </si>
  <si>
    <t>MEITUAN-W</t>
  </si>
  <si>
    <t>Internet Retail</t>
  </si>
  <si>
    <t>HAIDILAO</t>
  </si>
  <si>
    <t>6601.HK</t>
  </si>
  <si>
    <t>6993.HK</t>
  </si>
  <si>
    <t>9961.HK</t>
  </si>
  <si>
    <t>0525.HK</t>
  </si>
  <si>
    <t>CHEERWIN GP</t>
  </si>
  <si>
    <t>BLUE MOON GROUP</t>
  </si>
  <si>
    <t>TRIP.COM-S</t>
  </si>
  <si>
    <t>Travel Services</t>
  </si>
  <si>
    <t>GUANGSHEN RAIL</t>
  </si>
  <si>
    <t>Railroads</t>
  </si>
  <si>
    <t>角色：你是一名专业战略分析师，擅长用“护城河”框架快速拆解企业竞争优势。
任务：对【xx公司】进行护城河分析并打分。
输出格式：必须严格按以下 2 大维度、9 个子项逐一作答，每子项 0–5 分（保留 1 位小数），并给 1–2 句“关键事实+结论”作为得分理由；最后给出两大维度平均分与总护城河强度（0–5 分）。
维度 1. 独占生产要素
① 劳动力
② 土地 / 稀缺点位
③ 资本 / 融资能力
④ 技术 / 专利
⑤ 数据 / 算法
维度 2. 独占生产关系
① 政府合作 / 牌照 &amp; 政策红利
② 同行博弈 / 市占率 &amp; 定价权
③ 供应商绑定 / 原材料锁定
④ 客户锁定 / 转换成本 &amp; 品牌粘性</t>
  </si>
  <si>
    <t>Role: You are a professional strategy analyst who excels at quickly dissecting a company’s competitive advantages using the “moat” framework.
Task: Conduct a moat analysis and scoring for [XX Company].
Output format: Answer strictly in the following 2 dimensions and 9 sub-items. Each sub-item is scored 0–5 (1 decimal place) and justified with 1–2 sentences of “key fact + conclusion.” Finish with the average score of each dimension and the overall moat strength (0–5).
Dimension 1. Exclusive Factor Inputs
① Labor
② Land / Scarce Locations
③ Capital / Fund-raising Ability
④ Technology / Patents
⑤ Data / Algorithms
Dimension 2. Exclusive Production Relationships
① Government Partnership / Licenses &amp; Policy Windfalls
② Industry Rivalry / Market Share &amp; Pricing Power
③ Supplier Lock-in / Raw-material Securing
④ Customer Lock-in / Switching Costs &amp; Brand Stickiness</t>
  </si>
  <si>
    <t>APD</t>
  </si>
  <si>
    <t>Air Products and Chemicals,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</si>
</sst>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F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4" fontId="0" fillId="0" borderId="0" xfId="0" applyNumberFormat="1"/>
    <xf numFmtId="3" fontId="0" fillId="0" borderId="0" xfId="0" applyNumberFormat="1"/>
    <xf numFmtId="0" fontId="3" fillId="3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 wrapText="1"/>
    </xf>
    <xf numFmtId="10" fontId="0" fillId="0" borderId="0" xfId="0" applyNumberFormat="1"/>
    <xf numFmtId="10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常规" xfId="0" builtinId="0"/>
  </cellStyles>
  <dxfs count="6"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EDF16-08C4-B24B-A5E4-CFD78B458569}">
  <dimension ref="B1:V128"/>
  <sheetViews>
    <sheetView zoomScale="55" zoomScaleNormal="55" workbookViewId="0">
      <pane xSplit="3" ySplit="1" topLeftCell="D26" activePane="bottomRight" state="frozen"/>
      <selection pane="topRight" activeCell="D1" sqref="D1"/>
      <selection pane="bottomLeft" activeCell="A2" sqref="A2"/>
      <selection pane="bottomRight" activeCell="F54" sqref="F54"/>
    </sheetView>
  </sheetViews>
  <sheetFormatPr defaultColWidth="11" defaultRowHeight="15.75" x14ac:dyDescent="0.5"/>
  <cols>
    <col min="1" max="1" width="2.8125" customWidth="1"/>
    <col min="2" max="2" width="14" style="1" customWidth="1"/>
    <col min="3" max="3" width="32.6875" bestFit="1" customWidth="1"/>
    <col min="4" max="4" width="25" customWidth="1"/>
    <col min="6" max="6" width="7.5" style="9" customWidth="1"/>
    <col min="7" max="7" width="21.1875" style="7" customWidth="1"/>
    <col min="8" max="9" width="11" style="6"/>
    <col min="10" max="10" width="11" style="12"/>
    <col min="11" max="11" width="11" style="11"/>
    <col min="12" max="13" width="18.5" style="13" customWidth="1"/>
    <col min="14" max="14" width="7.5" style="9" bestFit="1" customWidth="1"/>
    <col min="15" max="15" width="5.1875" style="6" customWidth="1"/>
    <col min="16" max="17" width="11" style="12"/>
    <col min="18" max="18" width="11" style="14"/>
  </cols>
  <sheetData>
    <row r="1" spans="2:22" ht="31.5" x14ac:dyDescent="0.5">
      <c r="B1" s="2" t="s">
        <v>0</v>
      </c>
      <c r="C1" s="2" t="s">
        <v>5</v>
      </c>
      <c r="D1" s="2" t="s">
        <v>1</v>
      </c>
      <c r="E1" s="3" t="s">
        <v>4</v>
      </c>
      <c r="F1" s="3" t="s">
        <v>45</v>
      </c>
      <c r="G1" s="8" t="s">
        <v>46</v>
      </c>
      <c r="H1" s="3" t="s">
        <v>40</v>
      </c>
      <c r="I1" s="3" t="s">
        <v>41</v>
      </c>
      <c r="J1" s="3" t="s">
        <v>51</v>
      </c>
      <c r="K1" s="3" t="s">
        <v>3</v>
      </c>
      <c r="L1" s="4" t="s">
        <v>42</v>
      </c>
      <c r="M1" s="4" t="s">
        <v>43</v>
      </c>
      <c r="N1" s="4" t="s">
        <v>44</v>
      </c>
      <c r="O1" s="10" t="s">
        <v>47</v>
      </c>
      <c r="P1" s="4" t="s">
        <v>6</v>
      </c>
      <c r="Q1" s="4" t="s">
        <v>2</v>
      </c>
      <c r="R1" s="4" t="s">
        <v>7</v>
      </c>
      <c r="S1" s="5"/>
      <c r="T1" s="5"/>
      <c r="U1" s="5"/>
      <c r="V1" s="5"/>
    </row>
    <row r="2" spans="2:22" x14ac:dyDescent="0.5">
      <c r="B2" s="1" t="s">
        <v>292</v>
      </c>
      <c r="C2" t="s">
        <v>347</v>
      </c>
      <c r="D2" t="s">
        <v>151</v>
      </c>
      <c r="E2">
        <v>2.76</v>
      </c>
      <c r="F2" s="9" t="s">
        <v>67</v>
      </c>
      <c r="G2" s="7">
        <v>2495561728</v>
      </c>
      <c r="H2" s="6">
        <v>3.5</v>
      </c>
      <c r="I2" s="6">
        <v>2.39</v>
      </c>
      <c r="J2" s="12">
        <f t="shared" ref="J2:J33" si="0">E2/I2-1</f>
        <v>0.15481171548117145</v>
      </c>
      <c r="K2" s="11">
        <v>6.1594202898550734E-2</v>
      </c>
      <c r="L2" s="13">
        <v>504294000</v>
      </c>
      <c r="M2" s="13">
        <v>1704754000</v>
      </c>
      <c r="N2" s="9" t="s">
        <v>50</v>
      </c>
      <c r="O2" s="6">
        <v>1.0683760683760684</v>
      </c>
      <c r="P2" s="12">
        <v>0.43510913390596101</v>
      </c>
      <c r="Q2" s="12">
        <v>0.29581628786323422</v>
      </c>
      <c r="R2" s="14">
        <v>1</v>
      </c>
    </row>
    <row r="3" spans="2:22" x14ac:dyDescent="0.5">
      <c r="B3" s="1" t="s">
        <v>21</v>
      </c>
      <c r="C3" t="s">
        <v>75</v>
      </c>
      <c r="D3" t="s">
        <v>76</v>
      </c>
      <c r="E3">
        <v>13.66</v>
      </c>
      <c r="F3" s="9" t="s">
        <v>67</v>
      </c>
      <c r="G3" s="7">
        <v>249036750848</v>
      </c>
      <c r="H3" s="6">
        <v>15.6</v>
      </c>
      <c r="I3" s="6">
        <v>9.8000000000000007</v>
      </c>
      <c r="J3" s="12">
        <f t="shared" si="0"/>
        <v>0.393877551020408</v>
      </c>
      <c r="K3" s="11">
        <v>0.116398243045388</v>
      </c>
      <c r="L3" s="13">
        <v>70144988000</v>
      </c>
      <c r="M3" s="13">
        <v>269343749000</v>
      </c>
      <c r="N3" s="9" t="s">
        <v>50</v>
      </c>
      <c r="O3" s="6">
        <v>1.0683760683760684</v>
      </c>
      <c r="P3" s="12">
        <v>0.56056977294454813</v>
      </c>
      <c r="Q3" s="12">
        <v>0.26042924055386191</v>
      </c>
      <c r="R3" s="14">
        <v>2</v>
      </c>
    </row>
    <row r="4" spans="2:22" x14ac:dyDescent="0.5">
      <c r="B4" s="1" t="s">
        <v>109</v>
      </c>
      <c r="C4" t="s">
        <v>145</v>
      </c>
      <c r="D4" t="s">
        <v>146</v>
      </c>
      <c r="E4">
        <v>4.2</v>
      </c>
      <c r="F4" s="9" t="s">
        <v>67</v>
      </c>
      <c r="G4" s="7">
        <v>11748337664</v>
      </c>
      <c r="H4" s="6">
        <v>5.2</v>
      </c>
      <c r="I4" s="6">
        <v>2.36</v>
      </c>
      <c r="J4" s="12">
        <f t="shared" si="0"/>
        <v>0.77966101694915269</v>
      </c>
      <c r="K4" s="11">
        <v>3.6428571428571428E-2</v>
      </c>
      <c r="L4" s="13">
        <v>1871151000</v>
      </c>
      <c r="M4" s="13">
        <v>6461978000</v>
      </c>
      <c r="N4" s="9" t="s">
        <v>50</v>
      </c>
      <c r="O4" s="6">
        <v>1.0683760683760684</v>
      </c>
      <c r="P4" s="12">
        <v>0.26474961331916119</v>
      </c>
      <c r="Q4" s="12">
        <v>0.28956319566547578</v>
      </c>
      <c r="R4" s="14">
        <v>3</v>
      </c>
    </row>
    <row r="5" spans="2:22" x14ac:dyDescent="0.5">
      <c r="B5" s="1" t="s">
        <v>196</v>
      </c>
      <c r="C5" t="s">
        <v>218</v>
      </c>
      <c r="D5" t="s">
        <v>76</v>
      </c>
      <c r="E5">
        <v>136</v>
      </c>
      <c r="F5" s="9" t="s">
        <v>67</v>
      </c>
      <c r="G5" s="7">
        <v>89810771968</v>
      </c>
      <c r="H5" s="6">
        <v>149.5</v>
      </c>
      <c r="I5" s="6">
        <v>93</v>
      </c>
      <c r="J5" s="12">
        <f t="shared" si="0"/>
        <v>0.4623655913978495</v>
      </c>
      <c r="K5" s="11">
        <v>1.4999999999999999E-2</v>
      </c>
      <c r="L5" s="13">
        <v>2635100000</v>
      </c>
      <c r="M5" s="13">
        <v>13245550000</v>
      </c>
      <c r="N5" s="9" t="s">
        <v>71</v>
      </c>
      <c r="O5" s="6">
        <v>7.6923076923076916</v>
      </c>
      <c r="P5" s="12">
        <v>0.51215218560309539</v>
      </c>
      <c r="Q5" s="12">
        <v>0.19894228627727803</v>
      </c>
      <c r="R5" s="14">
        <v>4</v>
      </c>
    </row>
    <row r="6" spans="2:22" x14ac:dyDescent="0.5">
      <c r="B6" s="1" t="s">
        <v>28</v>
      </c>
      <c r="C6" t="s">
        <v>89</v>
      </c>
      <c r="D6" t="s">
        <v>86</v>
      </c>
      <c r="E6">
        <v>4.1900000000000004</v>
      </c>
      <c r="F6" s="9" t="s">
        <v>67</v>
      </c>
      <c r="G6" s="7">
        <v>37912403968</v>
      </c>
      <c r="H6" s="6">
        <v>7.38</v>
      </c>
      <c r="I6" s="6">
        <v>3.8</v>
      </c>
      <c r="J6" s="12">
        <f t="shared" si="0"/>
        <v>0.10263157894736863</v>
      </c>
      <c r="K6" s="11">
        <v>6.3245823389021474E-2</v>
      </c>
      <c r="L6" s="13">
        <v>5594372000</v>
      </c>
      <c r="M6" s="13">
        <v>26933044000</v>
      </c>
      <c r="N6" s="9" t="s">
        <v>50</v>
      </c>
      <c r="O6" s="6">
        <v>1.0683760683760684</v>
      </c>
      <c r="P6" s="12">
        <v>0.20532896278855051</v>
      </c>
      <c r="Q6" s="12">
        <v>0.20771406306691512</v>
      </c>
      <c r="R6" s="14">
        <v>5</v>
      </c>
    </row>
    <row r="7" spans="2:22" x14ac:dyDescent="0.5">
      <c r="B7" s="1" t="s">
        <v>198</v>
      </c>
      <c r="C7" t="s">
        <v>221</v>
      </c>
      <c r="D7" t="s">
        <v>222</v>
      </c>
      <c r="E7">
        <v>16.440000000000001</v>
      </c>
      <c r="F7" s="9" t="s">
        <v>67</v>
      </c>
      <c r="G7" s="7">
        <v>146491179008</v>
      </c>
      <c r="H7" s="6">
        <v>18.100000000000001</v>
      </c>
      <c r="I7" s="6">
        <v>10.6</v>
      </c>
      <c r="J7" s="12">
        <f t="shared" si="0"/>
        <v>0.55094339622641519</v>
      </c>
      <c r="K7" s="11">
        <v>4.2883211678832113E-2</v>
      </c>
      <c r="L7" s="13">
        <v>21175963859.630001</v>
      </c>
      <c r="M7" s="13">
        <v>104071284594.97</v>
      </c>
      <c r="N7" s="9" t="s">
        <v>50</v>
      </c>
      <c r="O7" s="6">
        <v>1.0683760683760684</v>
      </c>
      <c r="P7" s="12">
        <v>0.19555591298490183</v>
      </c>
      <c r="Q7" s="12">
        <v>0.20347556909712136</v>
      </c>
      <c r="R7" s="14">
        <v>6</v>
      </c>
    </row>
    <row r="8" spans="2:22" x14ac:dyDescent="0.5">
      <c r="B8" s="1" t="s">
        <v>250</v>
      </c>
      <c r="C8" t="s">
        <v>298</v>
      </c>
      <c r="D8" t="s">
        <v>299</v>
      </c>
      <c r="E8">
        <v>7.21</v>
      </c>
      <c r="F8" s="9" t="s">
        <v>67</v>
      </c>
      <c r="G8" s="7">
        <v>391860158464</v>
      </c>
      <c r="H8" s="6">
        <v>7.57</v>
      </c>
      <c r="I8" s="6">
        <v>3.5</v>
      </c>
      <c r="J8" s="12">
        <f t="shared" si="0"/>
        <v>1.06</v>
      </c>
      <c r="K8" s="11">
        <v>2.6629680998613039E-2</v>
      </c>
      <c r="L8" s="13">
        <v>72477000000</v>
      </c>
      <c r="M8" s="13">
        <v>319355000000</v>
      </c>
      <c r="N8" s="9" t="s">
        <v>50</v>
      </c>
      <c r="O8" s="6">
        <v>1.0683760683760684</v>
      </c>
      <c r="P8" s="12">
        <v>0.18372742945343765</v>
      </c>
      <c r="Q8" s="12">
        <v>0.22694806719794586</v>
      </c>
      <c r="R8" s="14">
        <v>6</v>
      </c>
    </row>
    <row r="9" spans="2:22" x14ac:dyDescent="0.5">
      <c r="B9" s="1" t="s">
        <v>197</v>
      </c>
      <c r="C9" t="s">
        <v>219</v>
      </c>
      <c r="D9" t="s">
        <v>220</v>
      </c>
      <c r="E9">
        <v>2.08</v>
      </c>
      <c r="F9" s="9" t="s">
        <v>67</v>
      </c>
      <c r="G9" s="7">
        <v>2079999872</v>
      </c>
      <c r="H9" s="6">
        <v>2.42</v>
      </c>
      <c r="I9" s="6">
        <v>1.55</v>
      </c>
      <c r="J9" s="12">
        <f t="shared" si="0"/>
        <v>0.34193548387096784</v>
      </c>
      <c r="K9" s="11">
        <v>0.10096153846153845</v>
      </c>
      <c r="L9" s="13">
        <v>315190000</v>
      </c>
      <c r="M9" s="13">
        <v>607806000</v>
      </c>
      <c r="N9" s="9" t="s">
        <v>67</v>
      </c>
      <c r="O9" s="6">
        <v>1</v>
      </c>
      <c r="P9" s="12">
        <v>0.14016898989374066</v>
      </c>
      <c r="Q9" s="12">
        <v>0.51857007005524791</v>
      </c>
      <c r="R9" s="14">
        <v>7</v>
      </c>
    </row>
    <row r="10" spans="2:22" x14ac:dyDescent="0.5">
      <c r="B10" s="1" t="s">
        <v>248</v>
      </c>
      <c r="C10" t="s">
        <v>295</v>
      </c>
      <c r="D10" t="s">
        <v>294</v>
      </c>
      <c r="E10">
        <v>1.48</v>
      </c>
      <c r="F10" s="9" t="s">
        <v>67</v>
      </c>
      <c r="G10" s="7">
        <v>2981088000</v>
      </c>
      <c r="H10" s="6">
        <v>1.85</v>
      </c>
      <c r="I10" s="6">
        <v>1.1299999999999999</v>
      </c>
      <c r="J10" s="12">
        <f t="shared" si="0"/>
        <v>0.30973451327433632</v>
      </c>
      <c r="K10" s="11">
        <v>8.0405405405405403E-2</v>
      </c>
      <c r="L10" s="13">
        <v>929863000</v>
      </c>
      <c r="M10" s="13">
        <v>6026676000</v>
      </c>
      <c r="N10" s="9" t="s">
        <v>50</v>
      </c>
      <c r="O10" s="6">
        <v>1.0683760683760684</v>
      </c>
      <c r="P10" s="12">
        <v>0.35839619416152035</v>
      </c>
      <c r="Q10" s="12">
        <v>0.15429118804462028</v>
      </c>
      <c r="R10" s="14">
        <v>8</v>
      </c>
    </row>
    <row r="11" spans="2:22" x14ac:dyDescent="0.5">
      <c r="B11" s="1" t="s">
        <v>108</v>
      </c>
      <c r="C11" t="s">
        <v>143</v>
      </c>
      <c r="D11" t="s">
        <v>144</v>
      </c>
      <c r="E11">
        <v>3.04</v>
      </c>
      <c r="F11" s="9" t="s">
        <v>67</v>
      </c>
      <c r="G11" s="7">
        <v>15476840448</v>
      </c>
      <c r="H11" s="6">
        <v>3.3</v>
      </c>
      <c r="I11" s="6">
        <v>2.23</v>
      </c>
      <c r="J11" s="12">
        <f t="shared" si="0"/>
        <v>0.36322869955156944</v>
      </c>
      <c r="K11" s="11">
        <v>8.8815789473684209E-2</v>
      </c>
      <c r="L11" s="13">
        <v>2527643000</v>
      </c>
      <c r="M11" s="13">
        <v>16480074000</v>
      </c>
      <c r="N11" s="9" t="s">
        <v>67</v>
      </c>
      <c r="O11" s="6">
        <v>1</v>
      </c>
      <c r="P11" s="12">
        <v>0.3222128102850203</v>
      </c>
      <c r="Q11" s="12">
        <v>0.15337570692947131</v>
      </c>
      <c r="R11" s="14">
        <v>9</v>
      </c>
    </row>
    <row r="12" spans="2:22" x14ac:dyDescent="0.5">
      <c r="B12" s="1" t="s">
        <v>293</v>
      </c>
      <c r="C12" t="s">
        <v>348</v>
      </c>
      <c r="D12" t="s">
        <v>95</v>
      </c>
      <c r="E12">
        <v>5.93</v>
      </c>
      <c r="F12" s="9" t="s">
        <v>67</v>
      </c>
      <c r="G12" s="7">
        <v>12261354496</v>
      </c>
      <c r="H12" s="6">
        <v>6.7</v>
      </c>
      <c r="I12" s="6">
        <v>3.67</v>
      </c>
      <c r="J12" s="12">
        <f t="shared" si="0"/>
        <v>0.61580381471389645</v>
      </c>
      <c r="K12" s="11">
        <v>4.7723440134907251E-2</v>
      </c>
      <c r="L12" s="13">
        <v>1576240000</v>
      </c>
      <c r="M12" s="13">
        <v>9636462000</v>
      </c>
      <c r="N12" s="9" t="s">
        <v>50</v>
      </c>
      <c r="O12" s="6">
        <v>1.0683760683760684</v>
      </c>
      <c r="P12" s="12">
        <v>0.21053306981106371</v>
      </c>
      <c r="Q12" s="12">
        <v>0.16357040581906512</v>
      </c>
      <c r="R12" s="14">
        <v>11</v>
      </c>
    </row>
    <row r="13" spans="2:22" x14ac:dyDescent="0.5">
      <c r="B13" s="1" t="s">
        <v>287</v>
      </c>
      <c r="C13" t="s">
        <v>342</v>
      </c>
      <c r="D13" t="s">
        <v>86</v>
      </c>
      <c r="E13">
        <v>7.46</v>
      </c>
      <c r="F13" s="9" t="s">
        <v>67</v>
      </c>
      <c r="G13" s="7">
        <v>95713435648</v>
      </c>
      <c r="H13" s="6">
        <v>8.9700000000000006</v>
      </c>
      <c r="I13" s="6">
        <v>5.73</v>
      </c>
      <c r="J13" s="12">
        <f t="shared" si="0"/>
        <v>0.30191972076788831</v>
      </c>
      <c r="K13" s="11">
        <v>1.0321715817694369E-2</v>
      </c>
      <c r="L13" s="13">
        <v>2553000000</v>
      </c>
      <c r="M13" s="13">
        <v>13971000000</v>
      </c>
      <c r="N13" s="9" t="s">
        <v>71</v>
      </c>
      <c r="O13" s="6">
        <v>7.6923076923076916</v>
      </c>
      <c r="P13" s="12">
        <v>0.18091311204564395</v>
      </c>
      <c r="Q13" s="12">
        <v>0.18273566673824351</v>
      </c>
      <c r="R13" s="14">
        <v>12</v>
      </c>
    </row>
    <row r="14" spans="2:22" x14ac:dyDescent="0.5">
      <c r="B14" s="1" t="s">
        <v>251</v>
      </c>
      <c r="C14" t="s">
        <v>300</v>
      </c>
      <c r="D14" t="s">
        <v>301</v>
      </c>
      <c r="E14">
        <v>17.79</v>
      </c>
      <c r="F14" s="9" t="s">
        <v>67</v>
      </c>
      <c r="G14" s="7">
        <v>63937593344</v>
      </c>
      <c r="H14" s="6">
        <v>19.600000000000001</v>
      </c>
      <c r="I14" s="6">
        <v>9.56</v>
      </c>
      <c r="J14" s="12">
        <f t="shared" si="0"/>
        <v>0.86087866108786582</v>
      </c>
      <c r="K14" s="11">
        <v>1.9673974142776839E-2</v>
      </c>
      <c r="L14" s="13">
        <v>25585077000</v>
      </c>
      <c r="M14" s="13">
        <v>167756547000</v>
      </c>
      <c r="N14" s="9" t="s">
        <v>67</v>
      </c>
      <c r="O14" s="6">
        <v>1</v>
      </c>
      <c r="P14" s="12">
        <v>0.25164189982537555</v>
      </c>
      <c r="Q14" s="12">
        <v>0.15251313559762292</v>
      </c>
      <c r="R14" s="14">
        <v>13</v>
      </c>
    </row>
    <row r="15" spans="2:22" x14ac:dyDescent="0.5">
      <c r="B15" s="1" t="s">
        <v>195</v>
      </c>
      <c r="C15" t="s">
        <v>216</v>
      </c>
      <c r="D15" t="s">
        <v>217</v>
      </c>
      <c r="E15">
        <v>14.89</v>
      </c>
      <c r="F15" s="9" t="s">
        <v>67</v>
      </c>
      <c r="G15" s="7">
        <v>58140336128</v>
      </c>
      <c r="H15" s="6">
        <v>16.52</v>
      </c>
      <c r="I15" s="6">
        <v>4.22</v>
      </c>
      <c r="J15" s="12">
        <f t="shared" si="0"/>
        <v>2.5284360189573465</v>
      </c>
      <c r="K15" s="11">
        <v>2.8878441907320344E-3</v>
      </c>
      <c r="L15" s="13">
        <v>786762000</v>
      </c>
      <c r="M15" s="13">
        <v>2279244000</v>
      </c>
      <c r="N15" s="9" t="s">
        <v>71</v>
      </c>
      <c r="O15" s="6">
        <v>7.6923076923076916</v>
      </c>
      <c r="P15" s="12">
        <v>0.11943519610402978</v>
      </c>
      <c r="Q15" s="12">
        <v>0.34518550887925997</v>
      </c>
      <c r="R15" s="14">
        <v>14</v>
      </c>
    </row>
    <row r="16" spans="2:22" x14ac:dyDescent="0.5">
      <c r="B16" s="1" t="s">
        <v>23</v>
      </c>
      <c r="C16" t="s">
        <v>79</v>
      </c>
      <c r="D16" t="s">
        <v>80</v>
      </c>
      <c r="E16">
        <v>7.21</v>
      </c>
      <c r="F16" s="9" t="s">
        <v>67</v>
      </c>
      <c r="G16" s="7">
        <v>62431391744</v>
      </c>
      <c r="H16" s="6">
        <v>8.48</v>
      </c>
      <c r="I16" s="6">
        <v>6.8</v>
      </c>
      <c r="J16" s="12">
        <f t="shared" si="0"/>
        <v>6.0294117647058831E-2</v>
      </c>
      <c r="K16" s="11">
        <v>4.4105409153952842E-2</v>
      </c>
      <c r="L16" s="13">
        <v>13438000000</v>
      </c>
      <c r="M16" s="13">
        <v>88611000000</v>
      </c>
      <c r="N16" s="9" t="s">
        <v>50</v>
      </c>
      <c r="O16" s="6">
        <v>1.0683760683760684</v>
      </c>
      <c r="P16" s="12">
        <v>0.24482679652426795</v>
      </c>
      <c r="Q16" s="12">
        <v>0.15165160081705431</v>
      </c>
      <c r="R16" s="14">
        <v>15</v>
      </c>
    </row>
    <row r="17" spans="2:18" x14ac:dyDescent="0.5">
      <c r="B17" s="1" t="s">
        <v>290</v>
      </c>
      <c r="C17" t="s">
        <v>345</v>
      </c>
      <c r="D17" t="s">
        <v>76</v>
      </c>
      <c r="E17">
        <v>28.6</v>
      </c>
      <c r="F17" s="9" t="s">
        <v>67</v>
      </c>
      <c r="G17" s="7">
        <v>76620308480</v>
      </c>
      <c r="H17" s="6">
        <v>31.8</v>
      </c>
      <c r="I17" s="6">
        <v>15.7</v>
      </c>
      <c r="J17" s="12">
        <f t="shared" si="0"/>
        <v>0.82165605095541427</v>
      </c>
      <c r="K17" s="11">
        <v>1.2307692307692306E-2</v>
      </c>
      <c r="L17" s="13">
        <v>1069250000</v>
      </c>
      <c r="M17" s="13">
        <v>2571093000</v>
      </c>
      <c r="N17" s="9" t="s">
        <v>71</v>
      </c>
      <c r="O17" s="6">
        <v>7.6923076923076916</v>
      </c>
      <c r="P17" s="12">
        <v>0.11132260929168883</v>
      </c>
      <c r="Q17" s="12">
        <v>0.41587371596437778</v>
      </c>
      <c r="R17" s="14">
        <v>16</v>
      </c>
    </row>
    <row r="18" spans="2:18" x14ac:dyDescent="0.5">
      <c r="B18" s="1" t="s">
        <v>32</v>
      </c>
      <c r="C18" t="s">
        <v>94</v>
      </c>
      <c r="D18" t="s">
        <v>95</v>
      </c>
      <c r="E18">
        <v>16.47</v>
      </c>
      <c r="F18" s="9" t="s">
        <v>67</v>
      </c>
      <c r="G18" s="7">
        <v>13787160576</v>
      </c>
      <c r="H18" s="6">
        <v>19.440000000000001</v>
      </c>
      <c r="I18" s="6">
        <v>12.5</v>
      </c>
      <c r="J18" s="12">
        <f t="shared" si="0"/>
        <v>0.31759999999999988</v>
      </c>
      <c r="K18" s="11">
        <v>7.953855494839103E-3</v>
      </c>
      <c r="L18" s="13">
        <v>199557000</v>
      </c>
      <c r="M18" s="13">
        <v>1108087000</v>
      </c>
      <c r="N18" s="9" t="s">
        <v>71</v>
      </c>
      <c r="O18" s="6">
        <v>7.6923076923076916</v>
      </c>
      <c r="P18" s="12">
        <v>0.14452463754808695</v>
      </c>
      <c r="Q18" s="12">
        <v>0.18009145491283626</v>
      </c>
      <c r="R18" s="14">
        <v>17</v>
      </c>
    </row>
    <row r="19" spans="2:18" x14ac:dyDescent="0.5">
      <c r="B19" s="1" t="s">
        <v>20</v>
      </c>
      <c r="C19" t="s">
        <v>72</v>
      </c>
      <c r="D19" t="s">
        <v>73</v>
      </c>
      <c r="E19">
        <v>3.27</v>
      </c>
      <c r="F19" s="9" t="s">
        <v>67</v>
      </c>
      <c r="G19" s="7">
        <v>3400172032</v>
      </c>
      <c r="H19" s="6">
        <v>3.74</v>
      </c>
      <c r="I19" s="6">
        <v>1.92</v>
      </c>
      <c r="J19" s="12">
        <f t="shared" si="0"/>
        <v>0.703125</v>
      </c>
      <c r="K19" s="11">
        <v>8.6850152905198763E-2</v>
      </c>
      <c r="L19" s="13">
        <v>762183000</v>
      </c>
      <c r="M19" s="13">
        <v>5008319000</v>
      </c>
      <c r="N19" s="9" t="s">
        <v>67</v>
      </c>
      <c r="O19" s="6">
        <v>1</v>
      </c>
      <c r="P19" s="12">
        <v>0.18387073519686609</v>
      </c>
      <c r="Q19" s="12">
        <v>0.15218339726363278</v>
      </c>
      <c r="R19" s="14">
        <v>18</v>
      </c>
    </row>
    <row r="20" spans="2:18" x14ac:dyDescent="0.5">
      <c r="B20" s="1" t="s">
        <v>29</v>
      </c>
      <c r="C20" t="s">
        <v>90</v>
      </c>
      <c r="D20" t="s">
        <v>86</v>
      </c>
      <c r="E20">
        <v>5.07</v>
      </c>
      <c r="F20" s="9" t="s">
        <v>67</v>
      </c>
      <c r="G20" s="7">
        <v>59841572864</v>
      </c>
      <c r="H20" s="6">
        <v>5.97</v>
      </c>
      <c r="I20" s="6">
        <v>4.34</v>
      </c>
      <c r="J20" s="12">
        <f t="shared" si="0"/>
        <v>0.16820276497695863</v>
      </c>
      <c r="K20" s="11">
        <v>2.9191321499013805E-2</v>
      </c>
      <c r="L20" s="13">
        <v>5915895000</v>
      </c>
      <c r="M20" s="13">
        <v>21902003000</v>
      </c>
      <c r="N20" s="9" t="s">
        <v>50</v>
      </c>
      <c r="O20" s="6">
        <v>1.0683760683760684</v>
      </c>
      <c r="P20" s="12">
        <v>0.11364554916845719</v>
      </c>
      <c r="Q20" s="12">
        <v>0.27010748742934609</v>
      </c>
      <c r="R20" s="14">
        <v>18</v>
      </c>
    </row>
    <row r="21" spans="2:18" x14ac:dyDescent="0.5">
      <c r="B21" s="1" t="s">
        <v>438</v>
      </c>
      <c r="C21" t="s">
        <v>446</v>
      </c>
      <c r="D21" t="s">
        <v>183</v>
      </c>
      <c r="E21">
        <v>12.89</v>
      </c>
      <c r="F21" s="9" t="s">
        <v>67</v>
      </c>
      <c r="G21" s="7">
        <v>69799354368</v>
      </c>
      <c r="H21" s="6">
        <v>18.88</v>
      </c>
      <c r="I21" s="6">
        <v>12.43</v>
      </c>
      <c r="J21" s="12">
        <f t="shared" si="0"/>
        <v>3.7007240547063613E-2</v>
      </c>
      <c r="K21" s="11">
        <v>6.0279286268425138E-2</v>
      </c>
      <c r="L21" s="13">
        <v>6898733000</v>
      </c>
      <c r="M21" s="13">
        <v>12604518000</v>
      </c>
      <c r="N21" s="9" t="s">
        <v>50</v>
      </c>
      <c r="O21" s="6">
        <v>1.0683760683760684</v>
      </c>
      <c r="P21" s="12">
        <v>0.10774956678389774</v>
      </c>
      <c r="Q21" s="12">
        <v>0.54732223794674262</v>
      </c>
      <c r="R21" s="14">
        <v>19</v>
      </c>
    </row>
    <row r="22" spans="2:18" x14ac:dyDescent="0.5">
      <c r="B22" s="1" t="s">
        <v>283</v>
      </c>
      <c r="C22" t="s">
        <v>338</v>
      </c>
      <c r="D22" t="s">
        <v>74</v>
      </c>
      <c r="E22">
        <v>5.59</v>
      </c>
      <c r="F22" s="9" t="s">
        <v>67</v>
      </c>
      <c r="G22" s="7">
        <v>15071421440</v>
      </c>
      <c r="H22" s="6">
        <v>6.83</v>
      </c>
      <c r="I22" s="6">
        <v>4.46</v>
      </c>
      <c r="J22" s="12">
        <f t="shared" si="0"/>
        <v>0.25336322869955152</v>
      </c>
      <c r="K22" s="11">
        <v>4.45438282647585E-2</v>
      </c>
      <c r="L22" s="13">
        <v>2030839000</v>
      </c>
      <c r="M22" s="13">
        <v>11587361000</v>
      </c>
      <c r="N22" s="9" t="s">
        <v>50</v>
      </c>
      <c r="O22" s="6">
        <v>1.0683760683760684</v>
      </c>
      <c r="P22" s="12">
        <v>0.14347181377436857</v>
      </c>
      <c r="Q22" s="12">
        <v>0.17526328902672489</v>
      </c>
      <c r="R22" s="14">
        <v>19</v>
      </c>
    </row>
    <row r="23" spans="2:18" x14ac:dyDescent="0.5">
      <c r="B23" s="1" t="s">
        <v>27</v>
      </c>
      <c r="C23" t="s">
        <v>87</v>
      </c>
      <c r="D23" t="s">
        <v>88</v>
      </c>
      <c r="E23">
        <v>5.35</v>
      </c>
      <c r="F23" s="9" t="s">
        <v>67</v>
      </c>
      <c r="G23" s="7">
        <v>5670154752</v>
      </c>
      <c r="H23" s="6">
        <v>7.12</v>
      </c>
      <c r="I23" s="6">
        <v>3.98</v>
      </c>
      <c r="J23" s="12">
        <f t="shared" si="0"/>
        <v>0.34422110552763807</v>
      </c>
      <c r="K23" s="11">
        <v>9.3457943925233655E-2</v>
      </c>
      <c r="L23" s="13">
        <v>866801000</v>
      </c>
      <c r="M23" s="13">
        <v>7530053000</v>
      </c>
      <c r="N23" s="9" t="s">
        <v>67</v>
      </c>
      <c r="O23" s="6">
        <v>1</v>
      </c>
      <c r="P23" s="12">
        <v>0.32411266617107848</v>
      </c>
      <c r="Q23" s="12">
        <v>0.11511220438953086</v>
      </c>
      <c r="R23" s="14">
        <v>19</v>
      </c>
    </row>
    <row r="24" spans="2:18" x14ac:dyDescent="0.5">
      <c r="B24" s="1" t="s">
        <v>24</v>
      </c>
      <c r="C24" t="s">
        <v>81</v>
      </c>
      <c r="D24" t="s">
        <v>82</v>
      </c>
      <c r="E24">
        <v>21.56</v>
      </c>
      <c r="F24" s="9" t="s">
        <v>67</v>
      </c>
      <c r="G24" s="7">
        <v>46010019840</v>
      </c>
      <c r="H24" s="6">
        <v>26</v>
      </c>
      <c r="I24" s="6">
        <v>9.3000000000000007</v>
      </c>
      <c r="J24" s="12">
        <f t="shared" si="0"/>
        <v>1.3182795698924727</v>
      </c>
      <c r="K24" s="11">
        <v>5.1948051948051958E-2</v>
      </c>
      <c r="L24" s="13">
        <v>5451928473.2399998</v>
      </c>
      <c r="M24" s="13">
        <v>25994816572.18</v>
      </c>
      <c r="N24" s="9" t="s">
        <v>50</v>
      </c>
      <c r="O24" s="6">
        <v>1.0683760683760684</v>
      </c>
      <c r="P24" s="12">
        <v>0.1177287598922009</v>
      </c>
      <c r="Q24" s="12">
        <v>0.20973136925592797</v>
      </c>
      <c r="R24" s="14">
        <v>20</v>
      </c>
    </row>
    <row r="25" spans="2:18" x14ac:dyDescent="0.5">
      <c r="B25" s="1" t="s">
        <v>289</v>
      </c>
      <c r="C25" t="s">
        <v>344</v>
      </c>
      <c r="D25" t="s">
        <v>53</v>
      </c>
      <c r="E25">
        <v>4.75</v>
      </c>
      <c r="F25" s="9" t="s">
        <v>67</v>
      </c>
      <c r="G25" s="7">
        <v>18420893696</v>
      </c>
      <c r="H25" s="6">
        <v>5.93</v>
      </c>
      <c r="I25" s="6">
        <v>3.33</v>
      </c>
      <c r="J25" s="12">
        <f t="shared" si="0"/>
        <v>0.42642642642642636</v>
      </c>
      <c r="K25" s="11">
        <v>5.6842105263157895E-2</v>
      </c>
      <c r="L25" s="13">
        <v>2823432000</v>
      </c>
      <c r="M25" s="13">
        <v>16925205000</v>
      </c>
      <c r="N25" s="9" t="s">
        <v>67</v>
      </c>
      <c r="O25" s="6">
        <v>1</v>
      </c>
      <c r="P25" s="12">
        <v>0.14520642407152839</v>
      </c>
      <c r="Q25" s="12">
        <v>0.16681818624944278</v>
      </c>
      <c r="R25" s="14">
        <v>20</v>
      </c>
    </row>
    <row r="26" spans="2:18" x14ac:dyDescent="0.5">
      <c r="B26" s="1" t="s">
        <v>34</v>
      </c>
      <c r="C26" t="s">
        <v>98</v>
      </c>
      <c r="D26" t="s">
        <v>70</v>
      </c>
      <c r="E26">
        <v>4.72</v>
      </c>
      <c r="F26" s="9" t="s">
        <v>67</v>
      </c>
      <c r="G26" s="7">
        <v>54421385216</v>
      </c>
      <c r="H26" s="6">
        <v>5.09</v>
      </c>
      <c r="I26" s="6">
        <v>3.46</v>
      </c>
      <c r="J26" s="12">
        <f t="shared" si="0"/>
        <v>0.36416184971098264</v>
      </c>
      <c r="K26" s="11">
        <v>5.5296610169491528E-2</v>
      </c>
      <c r="L26" s="13">
        <v>5294586000</v>
      </c>
      <c r="M26" s="13">
        <v>17815083000</v>
      </c>
      <c r="N26" s="9" t="s">
        <v>50</v>
      </c>
      <c r="O26" s="6">
        <v>1.0683760683760684</v>
      </c>
      <c r="P26" s="12">
        <v>0.10891511076145574</v>
      </c>
      <c r="Q26" s="12">
        <v>0.29719681912231338</v>
      </c>
      <c r="R26" s="14">
        <v>22</v>
      </c>
    </row>
    <row r="27" spans="2:18" x14ac:dyDescent="0.5">
      <c r="B27" s="1" t="s">
        <v>22</v>
      </c>
      <c r="C27" t="s">
        <v>77</v>
      </c>
      <c r="D27" t="s">
        <v>78</v>
      </c>
      <c r="E27">
        <v>11.03</v>
      </c>
      <c r="F27" s="9" t="s">
        <v>67</v>
      </c>
      <c r="G27" s="7">
        <v>181088960512</v>
      </c>
      <c r="H27" s="6">
        <v>11.32</v>
      </c>
      <c r="I27" s="6">
        <v>7.16</v>
      </c>
      <c r="J27" s="12">
        <f t="shared" si="0"/>
        <v>0.5405027932960893</v>
      </c>
      <c r="K27" s="11">
        <v>3.8440616500453308E-2</v>
      </c>
      <c r="L27" s="13">
        <v>32866046000</v>
      </c>
      <c r="M27" s="13">
        <v>215280386000</v>
      </c>
      <c r="N27" s="9" t="s">
        <v>50</v>
      </c>
      <c r="O27" s="6">
        <v>1.0683760683760684</v>
      </c>
      <c r="P27" s="12">
        <v>0.16105391027174942</v>
      </c>
      <c r="Q27" s="12">
        <v>0.15266623500015464</v>
      </c>
      <c r="R27" s="14">
        <v>23</v>
      </c>
    </row>
    <row r="28" spans="2:18" x14ac:dyDescent="0.5">
      <c r="B28" s="1" t="s">
        <v>278</v>
      </c>
      <c r="C28" t="s">
        <v>333</v>
      </c>
      <c r="D28" t="s">
        <v>55</v>
      </c>
      <c r="E28">
        <v>9.41</v>
      </c>
      <c r="F28" s="9" t="s">
        <v>67</v>
      </c>
      <c r="G28" s="7">
        <v>23721080832</v>
      </c>
      <c r="H28" s="6">
        <v>11.37</v>
      </c>
      <c r="I28" s="6">
        <v>4.8499999999999996</v>
      </c>
      <c r="J28" s="12">
        <f t="shared" si="0"/>
        <v>0.94020618556701052</v>
      </c>
      <c r="K28" s="11">
        <v>3.3793836344314557E-2</v>
      </c>
      <c r="L28" s="13">
        <v>3301437000</v>
      </c>
      <c r="M28" s="13">
        <v>21814427000</v>
      </c>
      <c r="N28" s="9" t="s">
        <v>67</v>
      </c>
      <c r="O28" s="6">
        <v>1</v>
      </c>
      <c r="P28" s="12">
        <v>0.16576091121225545</v>
      </c>
      <c r="Q28" s="12">
        <v>0.15134190781174311</v>
      </c>
      <c r="R28" s="14">
        <v>24</v>
      </c>
    </row>
    <row r="29" spans="2:18" x14ac:dyDescent="0.5">
      <c r="B29" s="1" t="s">
        <v>280</v>
      </c>
      <c r="C29" t="s">
        <v>335</v>
      </c>
      <c r="D29" t="s">
        <v>60</v>
      </c>
      <c r="E29">
        <v>10.29</v>
      </c>
      <c r="F29" s="9" t="s">
        <v>67</v>
      </c>
      <c r="G29" s="7">
        <v>16929121280</v>
      </c>
      <c r="H29" s="6">
        <v>12.4</v>
      </c>
      <c r="I29" s="6">
        <v>9.1</v>
      </c>
      <c r="J29" s="12">
        <f t="shared" si="0"/>
        <v>0.13076923076923075</v>
      </c>
      <c r="K29" s="11">
        <v>5.830903790087464E-2</v>
      </c>
      <c r="L29" s="13">
        <v>1721368005.75</v>
      </c>
      <c r="M29" s="13">
        <v>14620942286.52</v>
      </c>
      <c r="N29" s="9" t="s">
        <v>50</v>
      </c>
      <c r="O29" s="6">
        <v>1.0683760683760684</v>
      </c>
      <c r="P29" s="12">
        <v>0.24945175894276184</v>
      </c>
      <c r="Q29" s="12">
        <v>0.11773304155211949</v>
      </c>
      <c r="R29" s="14">
        <v>25</v>
      </c>
    </row>
    <row r="30" spans="2:18" x14ac:dyDescent="0.5">
      <c r="B30" s="1" t="s">
        <v>271</v>
      </c>
      <c r="C30" t="s">
        <v>325</v>
      </c>
      <c r="D30" t="s">
        <v>95</v>
      </c>
      <c r="E30">
        <v>14.24</v>
      </c>
      <c r="F30" s="9" t="s">
        <v>67</v>
      </c>
      <c r="G30" s="7">
        <v>22847088640</v>
      </c>
      <c r="H30" s="6">
        <v>18.399999999999999</v>
      </c>
      <c r="I30" s="6">
        <v>9.6300000000000008</v>
      </c>
      <c r="J30" s="12">
        <f t="shared" si="0"/>
        <v>0.47871235721702998</v>
      </c>
      <c r="K30" s="11">
        <v>1.1727528089887642E-2</v>
      </c>
      <c r="L30" s="13">
        <v>634792000</v>
      </c>
      <c r="M30" s="13">
        <v>5195491000</v>
      </c>
      <c r="N30" s="9" t="s">
        <v>71</v>
      </c>
      <c r="O30" s="6">
        <v>7.6923076923076916</v>
      </c>
      <c r="P30" s="12">
        <v>0.19940131587488802</v>
      </c>
      <c r="Q30" s="12">
        <v>0.12218132992627646</v>
      </c>
      <c r="R30" s="14">
        <v>26</v>
      </c>
    </row>
    <row r="31" spans="2:18" x14ac:dyDescent="0.5">
      <c r="B31" s="1" t="s">
        <v>141</v>
      </c>
      <c r="C31" t="s">
        <v>190</v>
      </c>
      <c r="D31" t="s">
        <v>179</v>
      </c>
      <c r="E31">
        <v>11.53</v>
      </c>
      <c r="F31" s="9" t="s">
        <v>67</v>
      </c>
      <c r="G31" s="7">
        <v>143025717248</v>
      </c>
      <c r="H31" s="6">
        <v>13.6</v>
      </c>
      <c r="I31" s="6">
        <v>6.57</v>
      </c>
      <c r="J31" s="12">
        <f t="shared" si="0"/>
        <v>0.75494672754946701</v>
      </c>
      <c r="K31" s="11">
        <v>4.3365134431916745E-3</v>
      </c>
      <c r="L31" s="13">
        <v>2250990000</v>
      </c>
      <c r="M31" s="13">
        <v>11437145000</v>
      </c>
      <c r="N31" s="9" t="s">
        <v>71</v>
      </c>
      <c r="O31" s="6">
        <v>7.6923076923076916</v>
      </c>
      <c r="P31" s="12">
        <v>0.11485711003513305</v>
      </c>
      <c r="Q31" s="12">
        <v>0.19681397761416858</v>
      </c>
      <c r="R31" s="14">
        <v>26</v>
      </c>
    </row>
    <row r="32" spans="2:18" x14ac:dyDescent="0.5">
      <c r="B32" s="1" t="s">
        <v>284</v>
      </c>
      <c r="C32" t="s">
        <v>339</v>
      </c>
      <c r="D32" t="s">
        <v>97</v>
      </c>
      <c r="E32">
        <v>4.8600000000000003</v>
      </c>
      <c r="F32" s="9" t="s">
        <v>67</v>
      </c>
      <c r="G32" s="7">
        <v>5350624768</v>
      </c>
      <c r="H32" s="6">
        <v>4.88</v>
      </c>
      <c r="I32" s="6">
        <v>3.91</v>
      </c>
      <c r="J32" s="12">
        <f t="shared" si="0"/>
        <v>0.24296675191815864</v>
      </c>
      <c r="K32" s="11">
        <v>6.5843621399176946E-2</v>
      </c>
      <c r="L32" s="13">
        <v>765224000</v>
      </c>
      <c r="M32" s="13">
        <v>5249449000</v>
      </c>
      <c r="N32" s="9" t="s">
        <v>67</v>
      </c>
      <c r="O32" s="6">
        <v>1</v>
      </c>
      <c r="P32" s="12">
        <v>0.16154579980996495</v>
      </c>
      <c r="Q32" s="12">
        <v>0.14577225152582682</v>
      </c>
      <c r="R32" s="14">
        <v>27</v>
      </c>
    </row>
    <row r="33" spans="2:18" x14ac:dyDescent="0.5">
      <c r="B33" s="1" t="s">
        <v>199</v>
      </c>
      <c r="C33" t="s">
        <v>223</v>
      </c>
      <c r="D33" t="s">
        <v>224</v>
      </c>
      <c r="E33">
        <v>0.65</v>
      </c>
      <c r="F33" s="9" t="s">
        <v>67</v>
      </c>
      <c r="G33" s="7">
        <v>1548433792</v>
      </c>
      <c r="H33" s="6">
        <v>0.75</v>
      </c>
      <c r="I33" s="6">
        <v>0.55000000000000004</v>
      </c>
      <c r="J33" s="12">
        <f t="shared" si="0"/>
        <v>0.18181818181818166</v>
      </c>
      <c r="K33" s="11">
        <v>1.5384615384615384E-2</v>
      </c>
      <c r="L33" s="13">
        <v>54195000</v>
      </c>
      <c r="M33" s="13">
        <v>586711000</v>
      </c>
      <c r="N33" s="9" t="s">
        <v>71</v>
      </c>
      <c r="O33" s="6">
        <v>7.6923076923076916</v>
      </c>
      <c r="P33" s="12">
        <v>1.6717361673932885</v>
      </c>
      <c r="Q33" s="12">
        <v>9.2370860611101543E-2</v>
      </c>
      <c r="R33" s="14">
        <v>28</v>
      </c>
    </row>
    <row r="34" spans="2:18" x14ac:dyDescent="0.5">
      <c r="B34" s="1" t="s">
        <v>116</v>
      </c>
      <c r="C34" t="s">
        <v>156</v>
      </c>
      <c r="D34" t="s">
        <v>84</v>
      </c>
      <c r="E34">
        <v>82.05</v>
      </c>
      <c r="F34" s="9" t="s">
        <v>67</v>
      </c>
      <c r="G34" s="7">
        <v>227319496704</v>
      </c>
      <c r="H34" s="6">
        <v>106.3</v>
      </c>
      <c r="I34" s="6">
        <v>73.55</v>
      </c>
      <c r="J34" s="12">
        <f t="shared" ref="J34:J65" si="1">E34/I34-1</f>
        <v>0.1155676410605031</v>
      </c>
      <c r="K34" s="11">
        <v>2.8884826325411336E-2</v>
      </c>
      <c r="L34" s="13">
        <v>22510000000</v>
      </c>
      <c r="M34" s="13">
        <v>82545000000</v>
      </c>
      <c r="N34" s="9" t="s">
        <v>50</v>
      </c>
      <c r="O34" s="6">
        <v>1.0683760683760684</v>
      </c>
      <c r="P34" s="12">
        <v>9.8082340392014897E-2</v>
      </c>
      <c r="Q34" s="12">
        <v>0.27269973953601068</v>
      </c>
      <c r="R34" s="14">
        <v>29</v>
      </c>
    </row>
    <row r="35" spans="2:18" x14ac:dyDescent="0.5">
      <c r="B35" s="1" t="s">
        <v>279</v>
      </c>
      <c r="C35" t="s">
        <v>334</v>
      </c>
      <c r="D35" t="s">
        <v>49</v>
      </c>
      <c r="E35">
        <v>21.46</v>
      </c>
      <c r="F35" s="9" t="s">
        <v>67</v>
      </c>
      <c r="G35" s="7">
        <v>34250158080</v>
      </c>
      <c r="H35" s="6">
        <v>24.25</v>
      </c>
      <c r="I35" s="6">
        <v>16.18</v>
      </c>
      <c r="J35" s="12">
        <f t="shared" si="1"/>
        <v>0.32632880098887518</v>
      </c>
      <c r="K35" s="11">
        <v>3.1966449207828519E-2</v>
      </c>
      <c r="L35" s="13">
        <v>3811007000</v>
      </c>
      <c r="M35" s="13">
        <v>22856317000</v>
      </c>
      <c r="N35" s="9" t="s">
        <v>50</v>
      </c>
      <c r="O35" s="6">
        <v>1.0683760683760684</v>
      </c>
      <c r="P35" s="12">
        <v>0.12137392110472039</v>
      </c>
      <c r="Q35" s="12">
        <v>0.1667375806872122</v>
      </c>
      <c r="R35" s="14">
        <v>30</v>
      </c>
    </row>
    <row r="36" spans="2:18" x14ac:dyDescent="0.5">
      <c r="B36" s="1" t="s">
        <v>137</v>
      </c>
      <c r="C36" t="s">
        <v>184</v>
      </c>
      <c r="D36" t="s">
        <v>86</v>
      </c>
      <c r="E36">
        <v>10.81</v>
      </c>
      <c r="F36" s="9" t="s">
        <v>67</v>
      </c>
      <c r="G36" s="7">
        <v>60930744320</v>
      </c>
      <c r="H36" s="6">
        <v>14.24</v>
      </c>
      <c r="I36" s="6">
        <v>9.6199999999999992</v>
      </c>
      <c r="J36" s="12">
        <f t="shared" si="1"/>
        <v>0.12370062370062374</v>
      </c>
      <c r="K36" s="11">
        <v>3.0619796484736356E-2</v>
      </c>
      <c r="L36" s="13">
        <v>6482967000</v>
      </c>
      <c r="M36" s="13">
        <v>27483863000</v>
      </c>
      <c r="N36" s="9" t="s">
        <v>50</v>
      </c>
      <c r="O36" s="6">
        <v>1.0683760683760684</v>
      </c>
      <c r="P36" s="12">
        <v>0.1028543885182911</v>
      </c>
      <c r="Q36" s="12">
        <v>0.23588267049650188</v>
      </c>
      <c r="R36" s="14">
        <v>31</v>
      </c>
    </row>
    <row r="37" spans="2:18" x14ac:dyDescent="0.5">
      <c r="B37" s="1" t="s">
        <v>385</v>
      </c>
      <c r="C37" t="s">
        <v>388</v>
      </c>
      <c r="D37" t="s">
        <v>84</v>
      </c>
      <c r="E37">
        <v>16.66</v>
      </c>
      <c r="F37" s="9" t="s">
        <v>67</v>
      </c>
      <c r="G37" s="7">
        <v>42899853312</v>
      </c>
      <c r="H37" s="6">
        <v>20.9</v>
      </c>
      <c r="I37" s="6">
        <v>13.5</v>
      </c>
      <c r="J37" s="12">
        <f t="shared" si="1"/>
        <v>0.2340740740740741</v>
      </c>
      <c r="K37" s="11">
        <v>3.2593037214885955E-2</v>
      </c>
      <c r="L37" s="13">
        <v>4264779000</v>
      </c>
      <c r="M37" s="13">
        <v>26103689000</v>
      </c>
      <c r="N37" s="9" t="s">
        <v>50</v>
      </c>
      <c r="O37" s="6">
        <v>1.0683760683760684</v>
      </c>
      <c r="P37" s="12">
        <v>0.12328871419896656</v>
      </c>
      <c r="Q37" s="12">
        <v>0.16337840218675606</v>
      </c>
      <c r="R37" s="14">
        <v>31</v>
      </c>
    </row>
    <row r="38" spans="2:18" x14ac:dyDescent="0.5">
      <c r="B38" s="1" t="s">
        <v>276</v>
      </c>
      <c r="C38" t="s">
        <v>331</v>
      </c>
      <c r="D38" t="s">
        <v>149</v>
      </c>
      <c r="E38">
        <v>28.42</v>
      </c>
      <c r="F38" s="9" t="s">
        <v>67</v>
      </c>
      <c r="G38" s="7">
        <v>202661298176</v>
      </c>
      <c r="H38" s="6">
        <v>34.119999999999997</v>
      </c>
      <c r="I38" s="6">
        <v>21</v>
      </c>
      <c r="J38" s="12">
        <f t="shared" si="1"/>
        <v>0.3533333333333335</v>
      </c>
      <c r="K38" s="11">
        <v>4.6410978184377193E-2</v>
      </c>
      <c r="L38" s="13">
        <v>61181051000</v>
      </c>
      <c r="M38" s="13">
        <v>532289194000</v>
      </c>
      <c r="N38" s="9" t="s">
        <v>50</v>
      </c>
      <c r="O38" s="6">
        <v>1.0683760683760684</v>
      </c>
      <c r="P38" s="12">
        <v>0.18842847644012914</v>
      </c>
      <c r="Q38" s="12">
        <v>0.11493949471384535</v>
      </c>
      <c r="R38" s="14">
        <v>32</v>
      </c>
    </row>
    <row r="39" spans="2:18" x14ac:dyDescent="0.5">
      <c r="B39" s="1" t="s">
        <v>277</v>
      </c>
      <c r="C39" t="s">
        <v>332</v>
      </c>
      <c r="D39" t="s">
        <v>53</v>
      </c>
      <c r="E39">
        <v>25.04</v>
      </c>
      <c r="F39" s="9" t="s">
        <v>67</v>
      </c>
      <c r="G39" s="7">
        <v>256298074112</v>
      </c>
      <c r="H39" s="6">
        <v>30</v>
      </c>
      <c r="I39" s="6">
        <v>19.239999999999998</v>
      </c>
      <c r="J39" s="12">
        <f t="shared" si="1"/>
        <v>0.30145530145530142</v>
      </c>
      <c r="K39" s="11">
        <v>4.9281150159744408E-2</v>
      </c>
      <c r="L39" s="13">
        <v>25459748125.549999</v>
      </c>
      <c r="M39" s="13">
        <v>134815560756.77</v>
      </c>
      <c r="N39" s="9" t="s">
        <v>50</v>
      </c>
      <c r="O39" s="6">
        <v>1.0683760683760684</v>
      </c>
      <c r="P39" s="12">
        <v>0.11128956413863934</v>
      </c>
      <c r="Q39" s="12">
        <v>0.18884873513587705</v>
      </c>
      <c r="R39" s="14">
        <v>33</v>
      </c>
    </row>
    <row r="40" spans="2:18" x14ac:dyDescent="0.5">
      <c r="B40" s="1" t="s">
        <v>273</v>
      </c>
      <c r="C40" t="s">
        <v>327</v>
      </c>
      <c r="D40" t="s">
        <v>299</v>
      </c>
      <c r="E40">
        <v>3.69</v>
      </c>
      <c r="F40" s="9" t="s">
        <v>67</v>
      </c>
      <c r="G40" s="7">
        <v>42440622080</v>
      </c>
      <c r="H40" s="6">
        <v>4.54</v>
      </c>
      <c r="I40" s="6">
        <v>2.5</v>
      </c>
      <c r="J40" s="12">
        <f t="shared" si="1"/>
        <v>0.47599999999999998</v>
      </c>
      <c r="K40" s="11">
        <v>5.1490514905149054E-2</v>
      </c>
      <c r="L40" s="13">
        <v>9414000000</v>
      </c>
      <c r="M40" s="13">
        <v>81589000000</v>
      </c>
      <c r="N40" s="9" t="s">
        <v>50</v>
      </c>
      <c r="O40" s="6">
        <v>1.0683760683760684</v>
      </c>
      <c r="P40" s="12">
        <v>0.17722331302292113</v>
      </c>
      <c r="Q40" s="12">
        <v>0.11538320116682396</v>
      </c>
      <c r="R40" s="14">
        <v>34</v>
      </c>
    </row>
    <row r="41" spans="2:18" x14ac:dyDescent="0.5">
      <c r="B41" s="1" t="s">
        <v>122</v>
      </c>
      <c r="C41" t="s">
        <v>163</v>
      </c>
      <c r="D41" t="s">
        <v>76</v>
      </c>
      <c r="E41">
        <v>6.03</v>
      </c>
      <c r="F41" s="9" t="s">
        <v>67</v>
      </c>
      <c r="G41" s="7">
        <v>8839808000</v>
      </c>
      <c r="H41" s="6">
        <v>6.57</v>
      </c>
      <c r="I41" s="6">
        <v>4.0199999999999996</v>
      </c>
      <c r="J41" s="12">
        <f t="shared" si="1"/>
        <v>0.50000000000000022</v>
      </c>
      <c r="K41" s="11">
        <v>9.038142620232173E-2</v>
      </c>
      <c r="L41" s="13">
        <v>784607000</v>
      </c>
      <c r="M41" s="13">
        <v>7872586000</v>
      </c>
      <c r="N41" s="9" t="s">
        <v>67</v>
      </c>
      <c r="O41" s="6">
        <v>1</v>
      </c>
      <c r="P41" s="12">
        <v>0.25153255243313738</v>
      </c>
      <c r="Q41" s="12">
        <v>9.9663185641922489E-2</v>
      </c>
      <c r="R41" s="14">
        <v>35</v>
      </c>
    </row>
    <row r="42" spans="2:18" x14ac:dyDescent="0.5">
      <c r="B42" s="1" t="s">
        <v>281</v>
      </c>
      <c r="C42" t="s">
        <v>336</v>
      </c>
      <c r="D42" t="s">
        <v>179</v>
      </c>
      <c r="E42">
        <v>6.27</v>
      </c>
      <c r="F42" s="9" t="s">
        <v>67</v>
      </c>
      <c r="G42" s="7">
        <v>2538576128</v>
      </c>
      <c r="H42" s="6">
        <v>14.18</v>
      </c>
      <c r="I42" s="6">
        <v>4.42</v>
      </c>
      <c r="J42" s="12">
        <f t="shared" si="1"/>
        <v>0.41855203619909487</v>
      </c>
      <c r="K42" s="11">
        <v>6.3795853269537489E-2</v>
      </c>
      <c r="L42" s="13">
        <v>348303000</v>
      </c>
      <c r="M42" s="13">
        <v>3681615000</v>
      </c>
      <c r="N42" s="9" t="s">
        <v>67</v>
      </c>
      <c r="O42" s="6">
        <v>1</v>
      </c>
      <c r="P42" s="12">
        <v>0.30676620327771659</v>
      </c>
      <c r="Q42" s="12">
        <v>9.4606035666412708E-2</v>
      </c>
      <c r="R42" s="14">
        <v>35</v>
      </c>
    </row>
    <row r="43" spans="2:18" x14ac:dyDescent="0.5">
      <c r="B43" s="1" t="s">
        <v>291</v>
      </c>
      <c r="C43" t="s">
        <v>346</v>
      </c>
      <c r="D43" t="s">
        <v>86</v>
      </c>
      <c r="E43">
        <v>1.1599999999999999</v>
      </c>
      <c r="F43" s="9" t="s">
        <v>67</v>
      </c>
      <c r="G43" s="7">
        <v>2538676224</v>
      </c>
      <c r="H43" s="6">
        <v>1.29</v>
      </c>
      <c r="I43" s="6">
        <v>0.46</v>
      </c>
      <c r="J43" s="12">
        <f t="shared" si="1"/>
        <v>1.5217391304347823</v>
      </c>
      <c r="K43" s="11">
        <v>3.1896551724137932E-2</v>
      </c>
      <c r="L43" s="13">
        <v>219938000</v>
      </c>
      <c r="M43" s="13">
        <v>1520292000</v>
      </c>
      <c r="N43" s="9" t="s">
        <v>50</v>
      </c>
      <c r="O43" s="6">
        <v>1.0683760683760684</v>
      </c>
      <c r="P43" s="12">
        <v>0.14163542791487538</v>
      </c>
      <c r="Q43" s="12">
        <v>0.14466826109721026</v>
      </c>
      <c r="R43" s="14">
        <v>35</v>
      </c>
    </row>
    <row r="44" spans="2:18" x14ac:dyDescent="0.5">
      <c r="B44" s="1" t="s">
        <v>140</v>
      </c>
      <c r="C44" t="s">
        <v>188</v>
      </c>
      <c r="D44" t="s">
        <v>107</v>
      </c>
      <c r="E44">
        <v>46.04</v>
      </c>
      <c r="F44" s="9" t="s">
        <v>67</v>
      </c>
      <c r="G44" s="7">
        <v>117808259072</v>
      </c>
      <c r="H44" s="6">
        <v>71.7</v>
      </c>
      <c r="I44" s="6">
        <v>39.549999999999997</v>
      </c>
      <c r="J44" s="12">
        <f t="shared" si="1"/>
        <v>0.16409608091024031</v>
      </c>
      <c r="K44" s="11">
        <v>3.5621198957428326E-3</v>
      </c>
      <c r="L44" s="13">
        <v>1279098000</v>
      </c>
      <c r="M44" s="13">
        <v>4811702000</v>
      </c>
      <c r="N44" s="9" t="s">
        <v>189</v>
      </c>
      <c r="O44" s="6">
        <v>8.7546153846153842</v>
      </c>
      <c r="P44" s="12">
        <v>8.3971143473597215E-2</v>
      </c>
      <c r="Q44" s="12">
        <v>0.26583067696212276</v>
      </c>
      <c r="R44" s="14">
        <v>36</v>
      </c>
    </row>
    <row r="45" spans="2:18" x14ac:dyDescent="0.5">
      <c r="B45" s="1" t="s">
        <v>111</v>
      </c>
      <c r="C45" t="s">
        <v>148</v>
      </c>
      <c r="D45" t="s">
        <v>149</v>
      </c>
      <c r="E45">
        <v>4.75</v>
      </c>
      <c r="F45" s="9" t="s">
        <v>67</v>
      </c>
      <c r="G45" s="7">
        <v>6818204672</v>
      </c>
      <c r="H45" s="6">
        <v>6.5</v>
      </c>
      <c r="I45" s="6">
        <v>2.73</v>
      </c>
      <c r="J45" s="12">
        <f t="shared" si="1"/>
        <v>0.73992673992673996</v>
      </c>
      <c r="K45" s="11">
        <v>8.2315789473684217E-2</v>
      </c>
      <c r="L45" s="13">
        <v>811880000</v>
      </c>
      <c r="M45" s="13">
        <v>5532140000</v>
      </c>
      <c r="N45" s="9" t="s">
        <v>50</v>
      </c>
      <c r="O45" s="6">
        <v>1.0683760683760684</v>
      </c>
      <c r="P45" s="12">
        <v>0.13133904506659613</v>
      </c>
      <c r="Q45" s="12">
        <v>0.14675695119790894</v>
      </c>
      <c r="R45" s="14">
        <v>37</v>
      </c>
    </row>
    <row r="46" spans="2:18" x14ac:dyDescent="0.5">
      <c r="B46" s="1" t="s">
        <v>288</v>
      </c>
      <c r="C46" t="s">
        <v>343</v>
      </c>
      <c r="D46" t="s">
        <v>237</v>
      </c>
      <c r="E46">
        <v>12.89</v>
      </c>
      <c r="F46" s="9" t="s">
        <v>67</v>
      </c>
      <c r="G46" s="7">
        <v>12772104192</v>
      </c>
      <c r="H46" s="6">
        <v>14.08</v>
      </c>
      <c r="I46" s="6">
        <v>5.65</v>
      </c>
      <c r="J46" s="12">
        <f t="shared" si="1"/>
        <v>1.2814159292035399</v>
      </c>
      <c r="K46" s="11">
        <v>2.7463149728471681E-2</v>
      </c>
      <c r="L46" s="13">
        <v>1333116000</v>
      </c>
      <c r="M46" s="13">
        <v>8019803000</v>
      </c>
      <c r="N46" s="9" t="s">
        <v>50</v>
      </c>
      <c r="O46" s="6">
        <v>1.0683760683760684</v>
      </c>
      <c r="P46" s="12">
        <v>0.11310224705770928</v>
      </c>
      <c r="Q46" s="12">
        <v>0.16622802330680692</v>
      </c>
      <c r="R46" s="14">
        <v>38</v>
      </c>
    </row>
    <row r="47" spans="2:18" x14ac:dyDescent="0.5">
      <c r="B47" s="1" t="s">
        <v>249</v>
      </c>
      <c r="C47" t="s">
        <v>296</v>
      </c>
      <c r="D47" t="s">
        <v>297</v>
      </c>
      <c r="E47">
        <v>17.350000000000001</v>
      </c>
      <c r="F47" s="9" t="s">
        <v>67</v>
      </c>
      <c r="G47" s="7">
        <v>405119172608</v>
      </c>
      <c r="H47" s="6">
        <v>17.829999999999998</v>
      </c>
      <c r="I47" s="6">
        <v>4.58</v>
      </c>
      <c r="J47" s="12">
        <f t="shared" si="1"/>
        <v>2.7882096069869</v>
      </c>
      <c r="K47" s="11">
        <v>1.4697406340057636E-2</v>
      </c>
      <c r="L47" s="13">
        <v>29168443138.220001</v>
      </c>
      <c r="M47" s="13">
        <v>100996030941.41</v>
      </c>
      <c r="N47" s="9" t="s">
        <v>50</v>
      </c>
      <c r="O47" s="6">
        <v>1.0683760683760684</v>
      </c>
      <c r="P47" s="12">
        <v>7.6959052348770485E-2</v>
      </c>
      <c r="Q47" s="12">
        <v>0.2888078161719172</v>
      </c>
      <c r="R47" s="14">
        <v>39</v>
      </c>
    </row>
    <row r="48" spans="2:18" x14ac:dyDescent="0.5">
      <c r="B48" s="1" t="s">
        <v>282</v>
      </c>
      <c r="C48" t="s">
        <v>337</v>
      </c>
      <c r="D48" t="s">
        <v>97</v>
      </c>
      <c r="E48">
        <v>4.76</v>
      </c>
      <c r="F48" s="9" t="s">
        <v>67</v>
      </c>
      <c r="G48" s="7">
        <v>32967849984</v>
      </c>
      <c r="H48" s="6">
        <v>6.15</v>
      </c>
      <c r="I48" s="6">
        <v>3.78</v>
      </c>
      <c r="J48" s="12">
        <f t="shared" si="1"/>
        <v>0.2592592592592593</v>
      </c>
      <c r="K48" s="11">
        <v>4.6008403361344541E-2</v>
      </c>
      <c r="L48" s="13">
        <v>4216348000</v>
      </c>
      <c r="M48" s="13">
        <v>46142120000</v>
      </c>
      <c r="N48" s="9" t="s">
        <v>50</v>
      </c>
      <c r="O48" s="6">
        <v>1.0683760683760684</v>
      </c>
      <c r="P48" s="12">
        <v>0.31822998822871235</v>
      </c>
      <c r="Q48" s="12">
        <v>9.1377422623841298E-2</v>
      </c>
      <c r="R48" s="14">
        <v>39</v>
      </c>
    </row>
    <row r="49" spans="2:18" x14ac:dyDescent="0.5">
      <c r="B49" s="1" t="s">
        <v>275</v>
      </c>
      <c r="C49" t="s">
        <v>329</v>
      </c>
      <c r="D49" t="s">
        <v>330</v>
      </c>
      <c r="E49">
        <v>7.35</v>
      </c>
      <c r="F49" s="9" t="s">
        <v>67</v>
      </c>
      <c r="G49" s="7">
        <v>9414998016</v>
      </c>
      <c r="H49" s="6">
        <v>8.31</v>
      </c>
      <c r="I49" s="6">
        <v>3.73</v>
      </c>
      <c r="J49" s="12">
        <f t="shared" si="1"/>
        <v>0.97050938337801607</v>
      </c>
      <c r="K49" s="11">
        <v>3.5374149659863949E-2</v>
      </c>
      <c r="L49" s="13">
        <v>2871477000</v>
      </c>
      <c r="M49" s="13">
        <v>21784665000</v>
      </c>
      <c r="N49" s="9" t="s">
        <v>50</v>
      </c>
      <c r="O49" s="6">
        <v>1.0683760683760684</v>
      </c>
      <c r="P49" s="12">
        <v>0.13677374561511418</v>
      </c>
      <c r="Q49" s="12">
        <v>0.1318118502166547</v>
      </c>
      <c r="R49" s="14">
        <v>40</v>
      </c>
    </row>
    <row r="50" spans="2:18" x14ac:dyDescent="0.5">
      <c r="B50" s="1" t="s">
        <v>262</v>
      </c>
      <c r="C50" t="s">
        <v>313</v>
      </c>
      <c r="D50" t="s">
        <v>314</v>
      </c>
      <c r="E50">
        <v>7.23</v>
      </c>
      <c r="F50" s="9" t="s">
        <v>67</v>
      </c>
      <c r="G50" s="7">
        <v>13067714560</v>
      </c>
      <c r="H50" s="6">
        <v>9.7899999999999991</v>
      </c>
      <c r="I50" s="6">
        <v>5.49</v>
      </c>
      <c r="J50" s="12">
        <f t="shared" si="1"/>
        <v>0.31693989071038264</v>
      </c>
      <c r="K50" s="11">
        <v>3.5961272475795295E-2</v>
      </c>
      <c r="L50" s="13">
        <v>2897428000</v>
      </c>
      <c r="M50" s="13">
        <v>25970601000</v>
      </c>
      <c r="N50" s="9" t="s">
        <v>67</v>
      </c>
      <c r="O50" s="6">
        <v>1</v>
      </c>
      <c r="P50" s="12">
        <v>0.1611282444107508</v>
      </c>
      <c r="Q50" s="12">
        <v>0.11156568921912897</v>
      </c>
      <c r="R50" s="14">
        <v>40</v>
      </c>
    </row>
    <row r="51" spans="2:18" x14ac:dyDescent="0.5">
      <c r="B51" s="1" t="s">
        <v>19</v>
      </c>
      <c r="C51" t="s">
        <v>69</v>
      </c>
      <c r="D51" t="s">
        <v>70</v>
      </c>
      <c r="E51">
        <v>6.87</v>
      </c>
      <c r="F51" s="9" t="s">
        <v>67</v>
      </c>
      <c r="G51" s="7">
        <v>19598886912</v>
      </c>
      <c r="H51" s="6">
        <v>7.3</v>
      </c>
      <c r="I51" s="6">
        <v>3.6</v>
      </c>
      <c r="J51" s="12">
        <f t="shared" si="1"/>
        <v>0.90833333333333321</v>
      </c>
      <c r="K51" s="11">
        <v>6.5502183406113534E-3</v>
      </c>
      <c r="L51" s="13">
        <v>259348000</v>
      </c>
      <c r="M51" s="13">
        <v>1677627000</v>
      </c>
      <c r="N51" s="9" t="s">
        <v>71</v>
      </c>
      <c r="O51" s="6">
        <v>7.6923076923076916</v>
      </c>
      <c r="P51" s="12">
        <v>0.11296435258455095</v>
      </c>
      <c r="Q51" s="12">
        <v>0.15459217096529801</v>
      </c>
      <c r="R51" s="14">
        <v>41</v>
      </c>
    </row>
    <row r="52" spans="2:18" x14ac:dyDescent="0.5">
      <c r="B52" s="1" t="s">
        <v>268</v>
      </c>
      <c r="C52" t="s">
        <v>321</v>
      </c>
      <c r="D52" t="s">
        <v>172</v>
      </c>
      <c r="E52">
        <v>85.35</v>
      </c>
      <c r="F52" s="9" t="s">
        <v>67</v>
      </c>
      <c r="G52" s="7">
        <v>20895838208</v>
      </c>
      <c r="H52" s="6">
        <v>103.1</v>
      </c>
      <c r="I52" s="6">
        <v>58.2</v>
      </c>
      <c r="J52" s="12">
        <f t="shared" si="1"/>
        <v>0.46649484536082464</v>
      </c>
      <c r="K52" s="11">
        <v>0</v>
      </c>
      <c r="L52" s="13">
        <v>526052000</v>
      </c>
      <c r="M52" s="13">
        <v>5343547000</v>
      </c>
      <c r="N52" s="9" t="s">
        <v>71</v>
      </c>
      <c r="O52" s="6">
        <v>7.6923076923076916</v>
      </c>
      <c r="P52" s="12">
        <v>0.19259815451656057</v>
      </c>
      <c r="Q52" s="12">
        <v>9.8446219337080781E-2</v>
      </c>
      <c r="R52" s="14">
        <v>42</v>
      </c>
    </row>
    <row r="53" spans="2:18" x14ac:dyDescent="0.5">
      <c r="B53" s="1" t="s">
        <v>272</v>
      </c>
      <c r="C53" t="s">
        <v>326</v>
      </c>
      <c r="D53" t="s">
        <v>95</v>
      </c>
      <c r="E53">
        <v>0.48</v>
      </c>
      <c r="F53" s="9" t="s">
        <v>67</v>
      </c>
      <c r="G53" s="7">
        <v>2488183040</v>
      </c>
      <c r="H53" s="6">
        <v>0.68</v>
      </c>
      <c r="I53" s="6">
        <v>0.46</v>
      </c>
      <c r="J53" s="12">
        <f t="shared" si="1"/>
        <v>4.3478260869565188E-2</v>
      </c>
      <c r="K53" s="11">
        <v>4.1666666666666671E-2</v>
      </c>
      <c r="L53" s="13">
        <v>756004000</v>
      </c>
      <c r="M53" s="13">
        <v>8813758000</v>
      </c>
      <c r="N53" s="9" t="s">
        <v>50</v>
      </c>
      <c r="O53" s="6">
        <v>1.0683760683760684</v>
      </c>
      <c r="P53" s="12">
        <v>0.31273171324163412</v>
      </c>
      <c r="Q53" s="12">
        <v>8.5775443346640556E-2</v>
      </c>
      <c r="R53" s="14">
        <v>43</v>
      </c>
    </row>
    <row r="54" spans="2:18" x14ac:dyDescent="0.5">
      <c r="B54" s="1" t="s">
        <v>266</v>
      </c>
      <c r="C54" t="s">
        <v>319</v>
      </c>
      <c r="D54" t="s">
        <v>301</v>
      </c>
      <c r="E54">
        <v>4.41</v>
      </c>
      <c r="F54" s="9" t="s">
        <v>67</v>
      </c>
      <c r="G54" s="7">
        <v>4075466240</v>
      </c>
      <c r="H54" s="6">
        <v>5.59</v>
      </c>
      <c r="I54" s="6">
        <v>3.5</v>
      </c>
      <c r="J54" s="12">
        <f t="shared" si="1"/>
        <v>0.26</v>
      </c>
      <c r="K54" s="11">
        <v>3.5147392290249435E-2</v>
      </c>
      <c r="L54" s="13">
        <v>754477000</v>
      </c>
      <c r="M54" s="13">
        <v>11677999000</v>
      </c>
      <c r="N54" s="9" t="s">
        <v>67</v>
      </c>
      <c r="O54" s="6">
        <v>1</v>
      </c>
      <c r="P54" s="12">
        <v>0.4849268818519622</v>
      </c>
      <c r="Q54" s="12">
        <v>6.460670188445812E-2</v>
      </c>
      <c r="R54" s="14">
        <v>44</v>
      </c>
    </row>
    <row r="55" spans="2:18" x14ac:dyDescent="0.5">
      <c r="B55" s="1" t="s">
        <v>37</v>
      </c>
      <c r="C55" t="s">
        <v>102</v>
      </c>
      <c r="D55" t="s">
        <v>103</v>
      </c>
      <c r="E55">
        <v>5.14</v>
      </c>
      <c r="F55" s="9" t="s">
        <v>67</v>
      </c>
      <c r="G55" s="7">
        <v>3986564608</v>
      </c>
      <c r="H55" s="6">
        <v>8.83</v>
      </c>
      <c r="I55" s="6">
        <v>4.28</v>
      </c>
      <c r="J55" s="12">
        <f t="shared" si="1"/>
        <v>0.20093457943925208</v>
      </c>
      <c r="K55" s="11">
        <v>3.3073929961089502E-2</v>
      </c>
      <c r="L55" s="13">
        <v>437453000</v>
      </c>
      <c r="M55" s="13">
        <v>4911072000</v>
      </c>
      <c r="N55" s="9" t="s">
        <v>67</v>
      </c>
      <c r="O55" s="6">
        <v>1</v>
      </c>
      <c r="P55" s="12">
        <v>0.25776264029268181</v>
      </c>
      <c r="Q55" s="12">
        <v>8.9074849645861431E-2</v>
      </c>
      <c r="R55" s="14">
        <v>44</v>
      </c>
    </row>
    <row r="56" spans="2:18" x14ac:dyDescent="0.5">
      <c r="B56" s="1" t="s">
        <v>285</v>
      </c>
      <c r="C56" t="s">
        <v>340</v>
      </c>
      <c r="D56" t="s">
        <v>70</v>
      </c>
      <c r="E56">
        <v>3.62</v>
      </c>
      <c r="F56" s="9" t="s">
        <v>67</v>
      </c>
      <c r="G56" s="7">
        <v>2078531456</v>
      </c>
      <c r="H56" s="6">
        <v>4.84</v>
      </c>
      <c r="I56" s="6">
        <v>2.8</v>
      </c>
      <c r="J56" s="12">
        <f t="shared" si="1"/>
        <v>0.29285714285714293</v>
      </c>
      <c r="K56" s="11">
        <v>7.18232044198895E-2</v>
      </c>
      <c r="L56" s="13">
        <v>392836000</v>
      </c>
      <c r="M56" s="13">
        <v>3201831000</v>
      </c>
      <c r="N56" s="9" t="s">
        <v>67</v>
      </c>
      <c r="O56" s="6">
        <v>1</v>
      </c>
      <c r="P56" s="12">
        <v>0.12445490799434364</v>
      </c>
      <c r="Q56" s="12">
        <v>0.12269104771613493</v>
      </c>
      <c r="R56" s="14">
        <v>45</v>
      </c>
    </row>
    <row r="57" spans="2:18" x14ac:dyDescent="0.5">
      <c r="B57" s="1" t="s">
        <v>270</v>
      </c>
      <c r="C57" t="s">
        <v>324</v>
      </c>
      <c r="D57" t="s">
        <v>86</v>
      </c>
      <c r="E57">
        <v>11.3</v>
      </c>
      <c r="F57" s="9" t="s">
        <v>67</v>
      </c>
      <c r="G57" s="7">
        <v>2652064768</v>
      </c>
      <c r="H57" s="6">
        <v>17</v>
      </c>
      <c r="I57" s="6">
        <v>8</v>
      </c>
      <c r="J57" s="12">
        <f t="shared" si="1"/>
        <v>0.41250000000000009</v>
      </c>
      <c r="K57" s="11">
        <v>4.2477876106194683E-2</v>
      </c>
      <c r="L57" s="13">
        <v>244811000</v>
      </c>
      <c r="M57" s="13">
        <v>2904223000</v>
      </c>
      <c r="N57" s="9" t="s">
        <v>67</v>
      </c>
      <c r="O57" s="6">
        <v>1</v>
      </c>
      <c r="P57" s="12">
        <v>0.25781281803910383</v>
      </c>
      <c r="Q57" s="12">
        <v>8.4294835486117978E-2</v>
      </c>
      <c r="R57" s="14">
        <v>45</v>
      </c>
    </row>
    <row r="58" spans="2:18" x14ac:dyDescent="0.5">
      <c r="B58" s="1" t="s">
        <v>269</v>
      </c>
      <c r="C58" t="s">
        <v>322</v>
      </c>
      <c r="D58" t="s">
        <v>323</v>
      </c>
      <c r="E58">
        <v>7.53</v>
      </c>
      <c r="F58" s="9" t="s">
        <v>67</v>
      </c>
      <c r="G58" s="7">
        <v>15272931328</v>
      </c>
      <c r="H58" s="6">
        <v>8.3000000000000007</v>
      </c>
      <c r="I58" s="6">
        <v>5.31</v>
      </c>
      <c r="J58" s="12">
        <f t="shared" si="1"/>
        <v>0.41807909604519788</v>
      </c>
      <c r="K58" s="11">
        <v>3.5856573705179286E-2</v>
      </c>
      <c r="L58" s="13">
        <v>1537565000</v>
      </c>
      <c r="M58" s="13">
        <v>14484935000</v>
      </c>
      <c r="N58" s="9" t="s">
        <v>50</v>
      </c>
      <c r="O58" s="6">
        <v>1.0683760683760684</v>
      </c>
      <c r="P58" s="12">
        <v>0.1508842711929447</v>
      </c>
      <c r="Q58" s="12">
        <v>0.10614925092863724</v>
      </c>
      <c r="R58" s="14">
        <v>45</v>
      </c>
    </row>
    <row r="59" spans="2:18" x14ac:dyDescent="0.5">
      <c r="B59" s="1" t="s">
        <v>136</v>
      </c>
      <c r="C59" t="s">
        <v>182</v>
      </c>
      <c r="D59" t="s">
        <v>183</v>
      </c>
      <c r="E59">
        <v>341.4</v>
      </c>
      <c r="F59" s="9" t="s">
        <v>67</v>
      </c>
      <c r="G59" s="7">
        <v>123568283648</v>
      </c>
      <c r="H59" s="6">
        <v>421.4</v>
      </c>
      <c r="I59" s="6">
        <v>324</v>
      </c>
      <c r="J59" s="12">
        <f t="shared" si="1"/>
        <v>5.3703703703703587E-2</v>
      </c>
      <c r="K59" s="11">
        <v>2.3432923257176337E-3</v>
      </c>
      <c r="L59" s="13">
        <v>1200000000</v>
      </c>
      <c r="M59" s="13">
        <v>5855000000</v>
      </c>
      <c r="N59" s="9" t="s">
        <v>71</v>
      </c>
      <c r="O59" s="6">
        <v>7.6923076923076916</v>
      </c>
      <c r="P59" s="12">
        <v>6.7606102763537096E-2</v>
      </c>
      <c r="Q59" s="12">
        <v>0.20495303159692571</v>
      </c>
      <c r="R59" s="14">
        <v>46</v>
      </c>
    </row>
    <row r="60" spans="2:18" x14ac:dyDescent="0.5">
      <c r="B60" s="1" t="s">
        <v>25</v>
      </c>
      <c r="C60" t="s">
        <v>83</v>
      </c>
      <c r="D60" t="s">
        <v>49</v>
      </c>
      <c r="E60">
        <v>10.36</v>
      </c>
      <c r="F60" s="9" t="s">
        <v>67</v>
      </c>
      <c r="G60" s="7">
        <v>12902540288</v>
      </c>
      <c r="H60" s="6">
        <v>11.68</v>
      </c>
      <c r="I60" s="6">
        <v>3.89</v>
      </c>
      <c r="J60" s="12">
        <f t="shared" si="1"/>
        <v>1.6632390745501282</v>
      </c>
      <c r="K60" s="11">
        <v>1.361003861003861E-2</v>
      </c>
      <c r="L60" s="13">
        <v>921702000</v>
      </c>
      <c r="M60" s="13">
        <v>5262544000</v>
      </c>
      <c r="N60" s="9" t="s">
        <v>50</v>
      </c>
      <c r="O60" s="6">
        <v>1.0683760683760684</v>
      </c>
      <c r="P60" s="12">
        <v>9.4271283393705288E-2</v>
      </c>
      <c r="Q60" s="12">
        <v>0.17514380877385538</v>
      </c>
      <c r="R60" s="14">
        <v>47</v>
      </c>
    </row>
    <row r="61" spans="2:18" x14ac:dyDescent="0.5">
      <c r="B61" s="1" t="s">
        <v>35</v>
      </c>
      <c r="C61" t="s">
        <v>99</v>
      </c>
      <c r="D61" t="s">
        <v>100</v>
      </c>
      <c r="E61">
        <v>428.6</v>
      </c>
      <c r="F61" s="9" t="s">
        <v>67</v>
      </c>
      <c r="G61" s="7">
        <v>541710680064</v>
      </c>
      <c r="H61" s="6">
        <v>466</v>
      </c>
      <c r="I61" s="6">
        <v>271</v>
      </c>
      <c r="J61" s="12">
        <f t="shared" si="1"/>
        <v>0.5815498154981551</v>
      </c>
      <c r="K61" s="11">
        <v>2.5431637890807279E-2</v>
      </c>
      <c r="L61" s="13">
        <v>20744000000</v>
      </c>
      <c r="M61" s="13">
        <v>53852000000</v>
      </c>
      <c r="N61" s="9" t="s">
        <v>67</v>
      </c>
      <c r="O61" s="6">
        <v>1</v>
      </c>
      <c r="P61" s="12">
        <v>5.0763547966636853E-2</v>
      </c>
      <c r="Q61" s="12">
        <v>0.38520389214885242</v>
      </c>
      <c r="R61" s="14">
        <v>48</v>
      </c>
    </row>
    <row r="62" spans="2:18" x14ac:dyDescent="0.5">
      <c r="B62" s="1" t="s">
        <v>264</v>
      </c>
      <c r="C62" t="s">
        <v>316</v>
      </c>
      <c r="D62" t="s">
        <v>317</v>
      </c>
      <c r="E62">
        <v>8.23</v>
      </c>
      <c r="F62" s="9" t="s">
        <v>67</v>
      </c>
      <c r="G62" s="7">
        <v>20633399296</v>
      </c>
      <c r="H62" s="6">
        <v>10.14</v>
      </c>
      <c r="I62" s="6">
        <v>4.32</v>
      </c>
      <c r="J62" s="12">
        <f t="shared" si="1"/>
        <v>0.90509259259259256</v>
      </c>
      <c r="K62" s="11">
        <v>4.8359659781287971E-2</v>
      </c>
      <c r="L62" s="13">
        <v>3040816000</v>
      </c>
      <c r="M62" s="13">
        <v>29707522000</v>
      </c>
      <c r="N62" s="9" t="s">
        <v>50</v>
      </c>
      <c r="O62" s="6">
        <v>1.0683760683760684</v>
      </c>
      <c r="P62" s="12">
        <v>0.14635294823240413</v>
      </c>
      <c r="Q62" s="12">
        <v>0.102358453189061</v>
      </c>
      <c r="R62" s="14">
        <v>48</v>
      </c>
    </row>
    <row r="63" spans="2:18" x14ac:dyDescent="0.5">
      <c r="B63" s="1" t="s">
        <v>117</v>
      </c>
      <c r="C63" t="s">
        <v>157</v>
      </c>
      <c r="D63" t="s">
        <v>84</v>
      </c>
      <c r="E63">
        <v>226.8</v>
      </c>
      <c r="F63" s="9" t="s">
        <v>67</v>
      </c>
      <c r="G63" s="7">
        <v>301652574208</v>
      </c>
      <c r="H63" s="6">
        <v>339.8</v>
      </c>
      <c r="I63" s="6">
        <v>67.5</v>
      </c>
      <c r="J63" s="12">
        <f t="shared" si="1"/>
        <v>2.3600000000000003</v>
      </c>
      <c r="K63" s="11">
        <v>3.5934744268077599E-3</v>
      </c>
      <c r="L63" s="13">
        <v>4408440000</v>
      </c>
      <c r="M63" s="13">
        <v>10683505000</v>
      </c>
      <c r="N63" s="9" t="s">
        <v>50</v>
      </c>
      <c r="O63" s="6">
        <v>1.0683760683760684</v>
      </c>
      <c r="P63" s="12">
        <v>1.590332818244632E-2</v>
      </c>
      <c r="Q63" s="12">
        <v>0.41263985929711272</v>
      </c>
      <c r="R63" s="14">
        <v>49</v>
      </c>
    </row>
    <row r="64" spans="2:18" x14ac:dyDescent="0.5">
      <c r="B64" s="1" t="s">
        <v>267</v>
      </c>
      <c r="C64" t="s">
        <v>320</v>
      </c>
      <c r="D64" t="s">
        <v>303</v>
      </c>
      <c r="E64">
        <v>7.45</v>
      </c>
      <c r="F64" s="9" t="s">
        <v>67</v>
      </c>
      <c r="G64" s="7">
        <v>32735477760</v>
      </c>
      <c r="H64" s="6">
        <v>7.52</v>
      </c>
      <c r="I64" s="6">
        <v>4.8</v>
      </c>
      <c r="J64" s="12">
        <f t="shared" si="1"/>
        <v>0.55208333333333348</v>
      </c>
      <c r="K64" s="11">
        <v>4.9395973154362414E-2</v>
      </c>
      <c r="L64" s="13">
        <v>2919921000</v>
      </c>
      <c r="M64" s="13">
        <v>31662140000</v>
      </c>
      <c r="N64" s="9" t="s">
        <v>50</v>
      </c>
      <c r="O64" s="6">
        <v>1.0683760683760684</v>
      </c>
      <c r="P64" s="12">
        <v>0.14767350895270023</v>
      </c>
      <c r="Q64" s="12">
        <v>9.2221214358852555E-2</v>
      </c>
      <c r="R64" s="14">
        <v>50</v>
      </c>
    </row>
    <row r="65" spans="2:18" x14ac:dyDescent="0.5">
      <c r="B65" s="1" t="s">
        <v>131</v>
      </c>
      <c r="C65" t="s">
        <v>174</v>
      </c>
      <c r="D65" t="s">
        <v>175</v>
      </c>
      <c r="E65">
        <v>32.68</v>
      </c>
      <c r="F65" s="9" t="s">
        <v>67</v>
      </c>
      <c r="G65" s="7">
        <v>900754309120</v>
      </c>
      <c r="H65" s="6">
        <v>36.92</v>
      </c>
      <c r="I65" s="6">
        <v>13.86</v>
      </c>
      <c r="J65" s="12">
        <f t="shared" si="1"/>
        <v>1.3578643578643579</v>
      </c>
      <c r="K65" s="11">
        <v>1.5299877600979192E-2</v>
      </c>
      <c r="L65" s="13">
        <v>52374992116</v>
      </c>
      <c r="M65" s="13">
        <v>269573093476</v>
      </c>
      <c r="N65" s="9" t="s">
        <v>50</v>
      </c>
      <c r="O65" s="6">
        <v>1.0683760683760684</v>
      </c>
      <c r="P65" s="12">
        <v>5.4589269884157729E-2</v>
      </c>
      <c r="Q65" s="12">
        <v>0.19428864891763736</v>
      </c>
      <c r="R65" s="14">
        <v>51</v>
      </c>
    </row>
    <row r="66" spans="2:18" x14ac:dyDescent="0.5">
      <c r="B66" s="1" t="s">
        <v>437</v>
      </c>
      <c r="C66" t="s">
        <v>444</v>
      </c>
      <c r="D66" t="s">
        <v>445</v>
      </c>
      <c r="E66">
        <v>103.9</v>
      </c>
      <c r="F66" s="9" t="s">
        <v>67</v>
      </c>
      <c r="G66" s="7">
        <v>634503561216</v>
      </c>
      <c r="H66" s="6">
        <v>205.4</v>
      </c>
      <c r="I66" s="6">
        <v>94.05</v>
      </c>
      <c r="J66" s="12">
        <f t="shared" ref="J66:J97" si="2">E66/I66-1</f>
        <v>0.10473152578415745</v>
      </c>
      <c r="K66" s="11">
        <v>0</v>
      </c>
      <c r="L66" s="13">
        <v>39322363000</v>
      </c>
      <c r="M66" s="13">
        <v>228415685000</v>
      </c>
      <c r="N66" s="9" t="s">
        <v>50</v>
      </c>
      <c r="O66" s="6">
        <v>1.0683760683760684</v>
      </c>
      <c r="P66" s="12">
        <v>6.7267066329931943E-2</v>
      </c>
      <c r="Q66" s="12">
        <v>0.17215263916748974</v>
      </c>
      <c r="R66" s="14">
        <v>52</v>
      </c>
    </row>
    <row r="67" spans="2:18" x14ac:dyDescent="0.5">
      <c r="B67" s="1" t="s">
        <v>135</v>
      </c>
      <c r="C67" t="s">
        <v>180</v>
      </c>
      <c r="D67" t="s">
        <v>181</v>
      </c>
      <c r="E67">
        <v>38.18</v>
      </c>
      <c r="F67" s="9" t="s">
        <v>67</v>
      </c>
      <c r="G67" s="7">
        <v>26408343552</v>
      </c>
      <c r="H67" s="6">
        <v>48.1</v>
      </c>
      <c r="I67" s="6">
        <v>19.82</v>
      </c>
      <c r="J67" s="12">
        <f t="shared" si="2"/>
        <v>0.92633703329969719</v>
      </c>
      <c r="K67" s="11">
        <v>1.3095861707700367E-2</v>
      </c>
      <c r="L67" s="13">
        <v>1323087000</v>
      </c>
      <c r="M67" s="13">
        <v>5952918000</v>
      </c>
      <c r="N67" s="9" t="s">
        <v>67</v>
      </c>
      <c r="O67" s="6">
        <v>1</v>
      </c>
      <c r="P67" s="12">
        <v>4.5827231220465142E-2</v>
      </c>
      <c r="Q67" s="12">
        <v>0.222258562943417</v>
      </c>
      <c r="R67" s="14">
        <v>53</v>
      </c>
    </row>
    <row r="68" spans="2:18" x14ac:dyDescent="0.5">
      <c r="B68" s="1" t="s">
        <v>364</v>
      </c>
      <c r="C68" t="s">
        <v>366</v>
      </c>
      <c r="D68" t="s">
        <v>172</v>
      </c>
      <c r="E68">
        <v>11</v>
      </c>
      <c r="F68" s="9" t="s">
        <v>67</v>
      </c>
      <c r="G68" s="7">
        <v>2959862272</v>
      </c>
      <c r="H68" s="6">
        <v>15.58</v>
      </c>
      <c r="I68" s="6">
        <v>8.3000000000000007</v>
      </c>
      <c r="J68" s="12">
        <f t="shared" si="2"/>
        <v>0.32530120481927693</v>
      </c>
      <c r="K68" s="11">
        <v>0</v>
      </c>
      <c r="L68" s="13">
        <v>-481083000</v>
      </c>
      <c r="M68" s="13">
        <v>4136123000</v>
      </c>
      <c r="N68" s="9" t="s">
        <v>50</v>
      </c>
      <c r="O68" s="6">
        <v>1.0683760683760684</v>
      </c>
      <c r="P68" s="12">
        <v>0.39772142020695567</v>
      </c>
      <c r="Q68" s="12">
        <v>-0.11631254679805218</v>
      </c>
      <c r="R68" s="14">
        <v>54</v>
      </c>
    </row>
    <row r="69" spans="2:18" x14ac:dyDescent="0.5">
      <c r="B69" s="1" t="s">
        <v>31</v>
      </c>
      <c r="C69" t="s">
        <v>93</v>
      </c>
      <c r="D69" t="s">
        <v>74</v>
      </c>
      <c r="E69">
        <v>3.13</v>
      </c>
      <c r="F69" s="9" t="s">
        <v>67</v>
      </c>
      <c r="G69" s="7">
        <v>19409825792</v>
      </c>
      <c r="H69" s="6">
        <v>4.13</v>
      </c>
      <c r="I69" s="6">
        <v>2.2200000000000002</v>
      </c>
      <c r="J69" s="12">
        <f t="shared" si="2"/>
        <v>0.40990990990990972</v>
      </c>
      <c r="K69" s="11">
        <v>4.7923322683706068E-2</v>
      </c>
      <c r="L69" s="13">
        <v>1677300000</v>
      </c>
      <c r="M69" s="13">
        <v>11188800000</v>
      </c>
      <c r="N69" s="9" t="s">
        <v>50</v>
      </c>
      <c r="O69" s="6">
        <v>1.0683760683760684</v>
      </c>
      <c r="P69" s="12">
        <v>8.5380082623709427E-2</v>
      </c>
      <c r="Q69" s="12">
        <v>0.1499088374088374</v>
      </c>
      <c r="R69" s="14">
        <v>55</v>
      </c>
    </row>
    <row r="70" spans="2:18" x14ac:dyDescent="0.5">
      <c r="B70" s="1" t="s">
        <v>123</v>
      </c>
      <c r="C70" t="s">
        <v>164</v>
      </c>
      <c r="D70" t="s">
        <v>165</v>
      </c>
      <c r="E70">
        <v>27.44</v>
      </c>
      <c r="F70" s="9" t="s">
        <v>67</v>
      </c>
      <c r="G70" s="7">
        <v>31216316416</v>
      </c>
      <c r="H70" s="6">
        <v>28.26</v>
      </c>
      <c r="I70" s="6">
        <v>19.52</v>
      </c>
      <c r="J70" s="12">
        <f t="shared" si="2"/>
        <v>0.40573770491803285</v>
      </c>
      <c r="K70" s="11">
        <v>5.10204081632653E-2</v>
      </c>
      <c r="L70" s="13">
        <v>3446618000</v>
      </c>
      <c r="M70" s="13">
        <v>34010798000</v>
      </c>
      <c r="N70" s="9" t="s">
        <v>50</v>
      </c>
      <c r="O70" s="6">
        <v>1.0683760683760684</v>
      </c>
      <c r="P70" s="12">
        <v>0.1227879546055955</v>
      </c>
      <c r="Q70" s="12">
        <v>0.10133893359397213</v>
      </c>
      <c r="R70" s="14">
        <v>55</v>
      </c>
    </row>
    <row r="71" spans="2:18" x14ac:dyDescent="0.5">
      <c r="B71" s="1" t="s">
        <v>261</v>
      </c>
      <c r="C71" t="s">
        <v>312</v>
      </c>
      <c r="D71" t="s">
        <v>74</v>
      </c>
      <c r="E71">
        <v>7.79</v>
      </c>
      <c r="F71" s="9" t="s">
        <v>67</v>
      </c>
      <c r="G71" s="7">
        <v>5311721984</v>
      </c>
      <c r="H71" s="6">
        <v>10.98</v>
      </c>
      <c r="I71" s="6">
        <v>6.56</v>
      </c>
      <c r="J71" s="12">
        <f t="shared" si="2"/>
        <v>0.1875</v>
      </c>
      <c r="K71" s="11">
        <v>4.5827984595635425E-2</v>
      </c>
      <c r="L71" s="13">
        <v>618033000</v>
      </c>
      <c r="M71" s="13">
        <v>5033024000</v>
      </c>
      <c r="N71" s="9" t="s">
        <v>50</v>
      </c>
      <c r="O71" s="6">
        <v>1.0683760683760684</v>
      </c>
      <c r="P71" s="12">
        <v>0.1043169064803612</v>
      </c>
      <c r="Q71" s="12">
        <v>0.12279555988606453</v>
      </c>
      <c r="R71" s="14">
        <v>56</v>
      </c>
    </row>
    <row r="72" spans="2:18" x14ac:dyDescent="0.5">
      <c r="B72" s="1" t="s">
        <v>113</v>
      </c>
      <c r="C72" t="s">
        <v>152</v>
      </c>
      <c r="D72" t="s">
        <v>153</v>
      </c>
      <c r="E72">
        <v>69.95</v>
      </c>
      <c r="F72" s="9" t="s">
        <v>67</v>
      </c>
      <c r="G72" s="7">
        <v>190971691008</v>
      </c>
      <c r="H72" s="6">
        <v>86</v>
      </c>
      <c r="I72" s="6">
        <v>44.25</v>
      </c>
      <c r="J72" s="12">
        <f t="shared" si="2"/>
        <v>0.58079096045197742</v>
      </c>
      <c r="K72" s="11">
        <v>3.8598999285203717E-2</v>
      </c>
      <c r="L72" s="13">
        <v>8955723006</v>
      </c>
      <c r="M72" s="13">
        <v>47495870210</v>
      </c>
      <c r="N72" s="9" t="s">
        <v>50</v>
      </c>
      <c r="O72" s="6">
        <v>1.0683760683760684</v>
      </c>
      <c r="P72" s="12">
        <v>5.1187190538076049E-2</v>
      </c>
      <c r="Q72" s="12">
        <v>0.18855793075067021</v>
      </c>
      <c r="R72" s="14">
        <v>57</v>
      </c>
    </row>
    <row r="73" spans="2:18" x14ac:dyDescent="0.5">
      <c r="B73" s="1" t="s">
        <v>113</v>
      </c>
      <c r="C73" t="s">
        <v>152</v>
      </c>
      <c r="D73" t="s">
        <v>153</v>
      </c>
      <c r="E73">
        <v>69.95</v>
      </c>
      <c r="F73" s="9" t="s">
        <v>67</v>
      </c>
      <c r="G73" s="7">
        <v>190971691008</v>
      </c>
      <c r="H73" s="6">
        <v>86</v>
      </c>
      <c r="I73" s="6">
        <v>44.25</v>
      </c>
      <c r="J73" s="12">
        <f t="shared" si="2"/>
        <v>0.58079096045197742</v>
      </c>
      <c r="K73" s="11">
        <v>3.8598999285203717E-2</v>
      </c>
      <c r="L73" s="13">
        <v>8955723006</v>
      </c>
      <c r="M73" s="13">
        <v>47495870210</v>
      </c>
      <c r="N73" s="9" t="s">
        <v>50</v>
      </c>
      <c r="O73" s="6">
        <v>1.0683760683760684</v>
      </c>
      <c r="P73" s="12">
        <v>5.1187190538076049E-2</v>
      </c>
      <c r="Q73" s="12">
        <v>0.18855793075067021</v>
      </c>
      <c r="R73" s="14">
        <v>57</v>
      </c>
    </row>
    <row r="74" spans="2:18" x14ac:dyDescent="0.5">
      <c r="B74" s="1" t="s">
        <v>124</v>
      </c>
      <c r="C74" t="s">
        <v>166</v>
      </c>
      <c r="D74" t="s">
        <v>107</v>
      </c>
      <c r="E74">
        <v>15.51</v>
      </c>
      <c r="F74" s="9" t="s">
        <v>67</v>
      </c>
      <c r="G74" s="7">
        <v>153005293568</v>
      </c>
      <c r="H74" s="6">
        <v>16.95</v>
      </c>
      <c r="I74" s="6">
        <v>6.43</v>
      </c>
      <c r="J74" s="12">
        <f t="shared" si="2"/>
        <v>1.4121306376360812</v>
      </c>
      <c r="K74" s="11">
        <v>3.3526756931012251E-2</v>
      </c>
      <c r="L74" s="13">
        <v>8510100000</v>
      </c>
      <c r="M74" s="13">
        <v>46117200000</v>
      </c>
      <c r="N74" s="9" t="s">
        <v>67</v>
      </c>
      <c r="O74" s="6">
        <v>1</v>
      </c>
      <c r="P74" s="12">
        <v>5.120027632974862E-2</v>
      </c>
      <c r="Q74" s="12">
        <v>0.18453201842262756</v>
      </c>
      <c r="R74" s="14">
        <v>58</v>
      </c>
    </row>
    <row r="75" spans="2:18" x14ac:dyDescent="0.5">
      <c r="B75" s="1" t="s">
        <v>260</v>
      </c>
      <c r="C75" t="s">
        <v>311</v>
      </c>
      <c r="D75" t="s">
        <v>239</v>
      </c>
      <c r="E75">
        <v>7.95</v>
      </c>
      <c r="F75" s="9" t="s">
        <v>67</v>
      </c>
      <c r="G75" s="7">
        <v>105081765888</v>
      </c>
      <c r="H75" s="6">
        <v>9.83</v>
      </c>
      <c r="I75" s="6">
        <v>6.84</v>
      </c>
      <c r="J75" s="12">
        <f t="shared" si="2"/>
        <v>0.16228070175438591</v>
      </c>
      <c r="K75" s="11">
        <v>7.169811320754717E-3</v>
      </c>
      <c r="L75" s="13">
        <v>1187000000</v>
      </c>
      <c r="M75" s="13">
        <v>10278000000</v>
      </c>
      <c r="N75" s="9" t="s">
        <v>71</v>
      </c>
      <c r="O75" s="6">
        <v>7.6923076923076916</v>
      </c>
      <c r="P75" s="12">
        <v>0.10793234968834937</v>
      </c>
      <c r="Q75" s="12">
        <v>0.1154893948238957</v>
      </c>
      <c r="R75" s="14">
        <v>59</v>
      </c>
    </row>
    <row r="76" spans="2:18" x14ac:dyDescent="0.5">
      <c r="B76" s="1" t="s">
        <v>133</v>
      </c>
      <c r="C76" t="s">
        <v>177</v>
      </c>
      <c r="D76" t="s">
        <v>76</v>
      </c>
      <c r="E76">
        <v>15.21</v>
      </c>
      <c r="F76" s="9" t="s">
        <v>67</v>
      </c>
      <c r="G76" s="7">
        <v>63851716608</v>
      </c>
      <c r="H76" s="6">
        <v>16.3</v>
      </c>
      <c r="I76" s="6">
        <v>11.42</v>
      </c>
      <c r="J76" s="12">
        <f t="shared" si="2"/>
        <v>0.3318739054290718</v>
      </c>
      <c r="K76" s="11">
        <v>5.8251150558842862E-2</v>
      </c>
      <c r="L76" s="13">
        <v>11996000000</v>
      </c>
      <c r="M76" s="13">
        <v>138296000000</v>
      </c>
      <c r="N76" s="9" t="s">
        <v>67</v>
      </c>
      <c r="O76" s="6">
        <v>1</v>
      </c>
      <c r="P76" s="12">
        <v>0.13790135739902834</v>
      </c>
      <c r="Q76" s="12">
        <v>8.6741482038526066E-2</v>
      </c>
      <c r="R76" s="14">
        <v>60</v>
      </c>
    </row>
    <row r="77" spans="2:18" x14ac:dyDescent="0.5">
      <c r="B77" s="1" t="s">
        <v>133</v>
      </c>
      <c r="C77" t="s">
        <v>177</v>
      </c>
      <c r="D77" t="s">
        <v>76</v>
      </c>
      <c r="E77">
        <v>15.21</v>
      </c>
      <c r="F77" s="9" t="s">
        <v>67</v>
      </c>
      <c r="G77" s="7">
        <v>63851716608</v>
      </c>
      <c r="H77" s="6">
        <v>16.3</v>
      </c>
      <c r="I77" s="6">
        <v>11.42</v>
      </c>
      <c r="J77" s="12">
        <f t="shared" si="2"/>
        <v>0.3318739054290718</v>
      </c>
      <c r="K77" s="11">
        <v>5.8251150558842862E-2</v>
      </c>
      <c r="L77" s="13">
        <v>11996000000</v>
      </c>
      <c r="M77" s="13">
        <v>138296000000</v>
      </c>
      <c r="N77" s="9" t="s">
        <v>67</v>
      </c>
      <c r="O77" s="6">
        <v>1</v>
      </c>
      <c r="P77" s="12">
        <v>0.13790135739902834</v>
      </c>
      <c r="Q77" s="12">
        <v>8.6741482038526066E-2</v>
      </c>
      <c r="R77" s="14">
        <v>60</v>
      </c>
    </row>
    <row r="78" spans="2:18" x14ac:dyDescent="0.5">
      <c r="B78" s="1" t="s">
        <v>128</v>
      </c>
      <c r="C78" t="s">
        <v>171</v>
      </c>
      <c r="D78" t="s">
        <v>172</v>
      </c>
      <c r="E78">
        <v>646.5</v>
      </c>
      <c r="F78" s="9" t="s">
        <v>67</v>
      </c>
      <c r="G78" s="7">
        <v>5856882065408</v>
      </c>
      <c r="H78" s="6">
        <v>683</v>
      </c>
      <c r="I78" s="6">
        <v>364.8</v>
      </c>
      <c r="J78" s="12">
        <f t="shared" si="2"/>
        <v>0.77220394736842102</v>
      </c>
      <c r="K78" s="11">
        <v>6.5413766434648107E-3</v>
      </c>
      <c r="L78" s="13">
        <v>253932000000</v>
      </c>
      <c r="M78" s="13">
        <v>1312163000000</v>
      </c>
      <c r="N78" s="9" t="s">
        <v>50</v>
      </c>
      <c r="O78" s="6">
        <v>1.0683760683760684</v>
      </c>
      <c r="P78" s="12">
        <v>4.4489883674711711E-2</v>
      </c>
      <c r="Q78" s="12">
        <v>0.19352168899747973</v>
      </c>
      <c r="R78" s="14">
        <v>61</v>
      </c>
    </row>
    <row r="79" spans="2:18" x14ac:dyDescent="0.5">
      <c r="B79" s="1" t="s">
        <v>265</v>
      </c>
      <c r="C79" t="s">
        <v>318</v>
      </c>
      <c r="D79" t="s">
        <v>49</v>
      </c>
      <c r="E79">
        <v>4.7</v>
      </c>
      <c r="F79" s="9" t="s">
        <v>67</v>
      </c>
      <c r="G79" s="7">
        <v>8870242304</v>
      </c>
      <c r="H79" s="6">
        <v>5.18</v>
      </c>
      <c r="I79" s="6">
        <v>1.88</v>
      </c>
      <c r="J79" s="12">
        <f t="shared" si="2"/>
        <v>1.5000000000000004</v>
      </c>
      <c r="K79" s="11">
        <v>3.4042553191489362E-2</v>
      </c>
      <c r="L79" s="13">
        <v>896597000</v>
      </c>
      <c r="M79" s="13">
        <v>6906279000</v>
      </c>
      <c r="N79" s="9" t="s">
        <v>67</v>
      </c>
      <c r="O79" s="6">
        <v>1</v>
      </c>
      <c r="P79" s="12">
        <v>8.5678950538596088E-2</v>
      </c>
      <c r="Q79" s="12">
        <v>0.12982345485897689</v>
      </c>
      <c r="R79" s="14">
        <v>61</v>
      </c>
    </row>
    <row r="80" spans="2:18" x14ac:dyDescent="0.5">
      <c r="B80" s="1" t="s">
        <v>274</v>
      </c>
      <c r="C80" t="s">
        <v>328</v>
      </c>
      <c r="D80" t="s">
        <v>82</v>
      </c>
      <c r="E80">
        <v>3.18</v>
      </c>
      <c r="F80" s="9" t="s">
        <v>67</v>
      </c>
      <c r="G80" s="7">
        <v>13610718208</v>
      </c>
      <c r="H80" s="6">
        <v>3.55</v>
      </c>
      <c r="I80" s="6">
        <v>1.39</v>
      </c>
      <c r="J80" s="12">
        <f t="shared" si="2"/>
        <v>1.2877697841726623</v>
      </c>
      <c r="K80" s="11">
        <v>3.8364779874213835E-2</v>
      </c>
      <c r="L80" s="13">
        <v>1230913000</v>
      </c>
      <c r="M80" s="13">
        <v>10701340000</v>
      </c>
      <c r="N80" s="9" t="s">
        <v>50</v>
      </c>
      <c r="O80" s="6">
        <v>1.0683760683760684</v>
      </c>
      <c r="P80" s="12">
        <v>0.10678156638426067</v>
      </c>
      <c r="Q80" s="12">
        <v>0.11502419323187564</v>
      </c>
      <c r="R80" s="14">
        <v>62</v>
      </c>
    </row>
    <row r="81" spans="2:18" x14ac:dyDescent="0.5">
      <c r="B81" s="1" t="s">
        <v>118</v>
      </c>
      <c r="C81" t="s">
        <v>158</v>
      </c>
      <c r="D81" t="s">
        <v>68</v>
      </c>
      <c r="E81">
        <v>6.34</v>
      </c>
      <c r="F81" s="9" t="s">
        <v>67</v>
      </c>
      <c r="G81" s="7">
        <v>10313356288</v>
      </c>
      <c r="H81" s="6">
        <v>7.05</v>
      </c>
      <c r="I81" s="6">
        <v>4.3</v>
      </c>
      <c r="J81" s="12">
        <f t="shared" si="2"/>
        <v>0.47441860465116292</v>
      </c>
      <c r="K81" s="11">
        <v>4.4164037854889593E-2</v>
      </c>
      <c r="L81" s="13">
        <v>3597261000</v>
      </c>
      <c r="M81" s="13">
        <v>38357165000</v>
      </c>
      <c r="N81" s="9" t="s">
        <v>67</v>
      </c>
      <c r="O81" s="6">
        <v>1</v>
      </c>
      <c r="P81" s="12">
        <v>0.11536297839172656</v>
      </c>
      <c r="Q81" s="12">
        <v>9.3783286642795421E-2</v>
      </c>
      <c r="R81" s="14">
        <v>63</v>
      </c>
    </row>
    <row r="82" spans="2:18" x14ac:dyDescent="0.5">
      <c r="B82" s="1" t="s">
        <v>258</v>
      </c>
      <c r="C82" t="s">
        <v>309</v>
      </c>
      <c r="D82" t="s">
        <v>301</v>
      </c>
      <c r="E82">
        <v>57.35</v>
      </c>
      <c r="F82" s="9" t="s">
        <v>67</v>
      </c>
      <c r="G82" s="7">
        <v>1114519240704</v>
      </c>
      <c r="H82" s="6">
        <v>59.2</v>
      </c>
      <c r="I82" s="6">
        <v>39.6</v>
      </c>
      <c r="J82" s="12">
        <f t="shared" si="2"/>
        <v>0.44823232323232332</v>
      </c>
      <c r="K82" s="11">
        <v>4.4812554489973844E-2</v>
      </c>
      <c r="L82" s="13">
        <v>189900000000</v>
      </c>
      <c r="M82" s="13">
        <v>2315380000000</v>
      </c>
      <c r="N82" s="9" t="s">
        <v>50</v>
      </c>
      <c r="O82" s="6">
        <v>1.0683760683760684</v>
      </c>
      <c r="P82" s="12">
        <v>0.12758666945282096</v>
      </c>
      <c r="Q82" s="12">
        <v>8.2016774784268678E-2</v>
      </c>
      <c r="R82" s="14">
        <v>64</v>
      </c>
    </row>
    <row r="83" spans="2:18" x14ac:dyDescent="0.5">
      <c r="B83" s="1" t="s">
        <v>382</v>
      </c>
      <c r="C83" t="s">
        <v>383</v>
      </c>
      <c r="D83" t="s">
        <v>183</v>
      </c>
      <c r="E83">
        <v>6.28</v>
      </c>
      <c r="F83" s="9" t="s">
        <v>67</v>
      </c>
      <c r="G83" s="7">
        <v>3603112448</v>
      </c>
      <c r="H83" s="6">
        <v>8.6199999999999992</v>
      </c>
      <c r="I83" s="6">
        <v>6.18</v>
      </c>
      <c r="J83" s="12">
        <f t="shared" si="2"/>
        <v>1.6181229773462924E-2</v>
      </c>
      <c r="K83" s="11">
        <v>6.3694267515923567E-2</v>
      </c>
      <c r="L83" s="13">
        <v>371538000</v>
      </c>
      <c r="M83" s="13">
        <v>3037286000</v>
      </c>
      <c r="N83" s="9" t="s">
        <v>67</v>
      </c>
      <c r="O83" s="6">
        <v>1</v>
      </c>
      <c r="P83" s="12">
        <v>7.9324231826571209E-2</v>
      </c>
      <c r="Q83" s="12">
        <v>0.12232565520665489</v>
      </c>
      <c r="R83" s="14">
        <v>65</v>
      </c>
    </row>
    <row r="84" spans="2:18" x14ac:dyDescent="0.5">
      <c r="B84" s="1" t="s">
        <v>255</v>
      </c>
      <c r="C84" t="s">
        <v>306</v>
      </c>
      <c r="D84" t="s">
        <v>97</v>
      </c>
      <c r="E84">
        <v>2.0699999999999998</v>
      </c>
      <c r="F84" s="9" t="s">
        <v>67</v>
      </c>
      <c r="G84" s="7">
        <v>1922145024</v>
      </c>
      <c r="H84" s="6">
        <v>2.4</v>
      </c>
      <c r="I84" s="6">
        <v>1.72</v>
      </c>
      <c r="J84" s="12">
        <f t="shared" si="2"/>
        <v>0.20348837209302317</v>
      </c>
      <c r="K84" s="11">
        <v>4.3478260869565216E-2</v>
      </c>
      <c r="L84" s="13">
        <v>238321000</v>
      </c>
      <c r="M84" s="13">
        <v>6087917000</v>
      </c>
      <c r="N84" s="9" t="s">
        <v>67</v>
      </c>
      <c r="O84" s="6">
        <v>1</v>
      </c>
      <c r="P84" s="12">
        <v>0.152032123829385</v>
      </c>
      <c r="Q84" s="12">
        <v>3.9146558666946343E-2</v>
      </c>
      <c r="R84" s="14">
        <v>65</v>
      </c>
    </row>
    <row r="85" spans="2:18" x14ac:dyDescent="0.5">
      <c r="B85" s="1" t="s">
        <v>447</v>
      </c>
      <c r="C85" t="s">
        <v>451</v>
      </c>
      <c r="D85" t="s">
        <v>165</v>
      </c>
      <c r="E85">
        <v>2.25</v>
      </c>
      <c r="F85" s="9" t="s">
        <v>67</v>
      </c>
      <c r="G85" s="7">
        <v>3000000512</v>
      </c>
      <c r="H85" s="6">
        <v>3.21</v>
      </c>
      <c r="I85" s="6">
        <v>1.73</v>
      </c>
      <c r="J85" s="12">
        <f t="shared" si="2"/>
        <v>0.300578034682081</v>
      </c>
      <c r="K85" s="11">
        <v>5.333333333333333E-2</v>
      </c>
      <c r="L85" s="13">
        <v>244399000</v>
      </c>
      <c r="M85" s="13">
        <v>2990882000</v>
      </c>
      <c r="N85" s="9" t="s">
        <v>50</v>
      </c>
      <c r="O85" s="6">
        <v>1.0683760683760684</v>
      </c>
      <c r="P85" s="12">
        <v>0.12430905706650816</v>
      </c>
      <c r="Q85" s="12">
        <v>8.171469151909036E-2</v>
      </c>
      <c r="R85" s="14">
        <v>66</v>
      </c>
    </row>
    <row r="86" spans="2:18" x14ac:dyDescent="0.5">
      <c r="B86" s="1" t="s">
        <v>286</v>
      </c>
      <c r="C86" t="s">
        <v>341</v>
      </c>
      <c r="D86" t="s">
        <v>49</v>
      </c>
      <c r="E86">
        <v>13.1</v>
      </c>
      <c r="F86" s="9" t="s">
        <v>67</v>
      </c>
      <c r="G86" s="7">
        <v>29295216640</v>
      </c>
      <c r="H86" s="6">
        <v>13.92</v>
      </c>
      <c r="I86" s="6">
        <v>2.36</v>
      </c>
      <c r="J86" s="12">
        <f t="shared" si="2"/>
        <v>4.5508474576271185</v>
      </c>
      <c r="K86" s="11">
        <v>1.7633587786259543E-2</v>
      </c>
      <c r="L86" s="13">
        <v>2184074765.02</v>
      </c>
      <c r="M86" s="13">
        <v>23493408528.349998</v>
      </c>
      <c r="N86" s="9" t="s">
        <v>50</v>
      </c>
      <c r="O86" s="6">
        <v>1.0683760683760684</v>
      </c>
      <c r="P86" s="12">
        <v>0.11260413115407783</v>
      </c>
      <c r="Q86" s="12">
        <v>9.29654274042198E-2</v>
      </c>
      <c r="R86" s="14">
        <v>66</v>
      </c>
    </row>
    <row r="87" spans="2:18" x14ac:dyDescent="0.5">
      <c r="B87" s="1" t="s">
        <v>259</v>
      </c>
      <c r="C87" t="s">
        <v>310</v>
      </c>
      <c r="D87" t="s">
        <v>153</v>
      </c>
      <c r="E87">
        <v>37.24</v>
      </c>
      <c r="F87" s="9" t="s">
        <v>67</v>
      </c>
      <c r="G87" s="7">
        <v>34292234240</v>
      </c>
      <c r="H87" s="6">
        <v>45.78</v>
      </c>
      <c r="I87" s="6">
        <v>9.9</v>
      </c>
      <c r="J87" s="12">
        <f t="shared" si="2"/>
        <v>2.7616161616161619</v>
      </c>
      <c r="K87" s="11">
        <v>2.0945220193340493E-3</v>
      </c>
      <c r="L87" s="13">
        <v>334940000</v>
      </c>
      <c r="M87" s="13">
        <v>3025375000</v>
      </c>
      <c r="N87" s="9" t="s">
        <v>71</v>
      </c>
      <c r="O87" s="6">
        <v>7.6923076923076916</v>
      </c>
      <c r="P87" s="12">
        <v>8.1874435162708731E-2</v>
      </c>
      <c r="Q87" s="12">
        <v>0.11071024253191752</v>
      </c>
      <c r="R87" s="14">
        <v>67</v>
      </c>
    </row>
    <row r="88" spans="2:18" x14ac:dyDescent="0.5">
      <c r="B88" s="1" t="s">
        <v>134</v>
      </c>
      <c r="C88" t="s">
        <v>178</v>
      </c>
      <c r="D88" t="s">
        <v>179</v>
      </c>
      <c r="E88">
        <v>10.25</v>
      </c>
      <c r="F88" s="9" t="s">
        <v>67</v>
      </c>
      <c r="G88" s="7">
        <v>24151367680</v>
      </c>
      <c r="H88" s="6">
        <v>12.7</v>
      </c>
      <c r="I88" s="6">
        <v>6.33</v>
      </c>
      <c r="J88" s="12">
        <f t="shared" si="2"/>
        <v>0.61927330173775674</v>
      </c>
      <c r="K88" s="11">
        <v>0</v>
      </c>
      <c r="L88" s="13">
        <v>13493113000</v>
      </c>
      <c r="M88" s="13">
        <v>208027754000</v>
      </c>
      <c r="N88" s="9" t="s">
        <v>50</v>
      </c>
      <c r="O88" s="6">
        <v>1.0683760683760684</v>
      </c>
      <c r="P88" s="12">
        <v>0.11690496723462658</v>
      </c>
      <c r="Q88" s="12">
        <v>6.4862080854845933E-2</v>
      </c>
      <c r="R88" s="14">
        <v>68</v>
      </c>
    </row>
    <row r="89" spans="2:18" x14ac:dyDescent="0.5">
      <c r="B89" s="1" t="s">
        <v>114</v>
      </c>
      <c r="C89" t="s">
        <v>154</v>
      </c>
      <c r="D89" t="s">
        <v>92</v>
      </c>
      <c r="E89">
        <v>23.46</v>
      </c>
      <c r="F89" s="9" t="s">
        <v>67</v>
      </c>
      <c r="G89" s="7">
        <v>131434201088</v>
      </c>
      <c r="H89" s="6">
        <v>25.9</v>
      </c>
      <c r="I89" s="6">
        <v>18.7</v>
      </c>
      <c r="J89" s="12">
        <f t="shared" si="2"/>
        <v>0.25454545454545463</v>
      </c>
      <c r="K89" s="11">
        <v>4.0494458653026422E-2</v>
      </c>
      <c r="L89" s="13">
        <v>10795274825</v>
      </c>
      <c r="M89" s="13">
        <v>215275428010</v>
      </c>
      <c r="N89" s="9" t="s">
        <v>50</v>
      </c>
      <c r="O89" s="6">
        <v>1.0683760683760684</v>
      </c>
      <c r="P89" s="12">
        <v>0.13110377277797788</v>
      </c>
      <c r="Q89" s="12">
        <v>5.0146340085309396E-2</v>
      </c>
      <c r="R89" s="14">
        <v>68</v>
      </c>
    </row>
    <row r="90" spans="2:18" x14ac:dyDescent="0.5">
      <c r="B90" s="1" t="s">
        <v>139</v>
      </c>
      <c r="C90" t="s">
        <v>187</v>
      </c>
      <c r="D90" t="s">
        <v>103</v>
      </c>
      <c r="E90">
        <v>37.5</v>
      </c>
      <c r="F90" s="9" t="s">
        <v>67</v>
      </c>
      <c r="G90" s="7">
        <v>84495171584</v>
      </c>
      <c r="H90" s="6">
        <v>61.55</v>
      </c>
      <c r="I90" s="6">
        <v>26.65</v>
      </c>
      <c r="J90" s="12">
        <f t="shared" si="2"/>
        <v>0.40712945590994387</v>
      </c>
      <c r="K90" s="11">
        <v>1.5146666666666666E-2</v>
      </c>
      <c r="L90" s="13">
        <v>5261270000</v>
      </c>
      <c r="M90" s="13">
        <v>43208997000</v>
      </c>
      <c r="N90" s="9" t="s">
        <v>50</v>
      </c>
      <c r="O90" s="6">
        <v>1.0683760683760684</v>
      </c>
      <c r="P90" s="12">
        <v>6.2267263043961317E-2</v>
      </c>
      <c r="Q90" s="12">
        <v>0.12176329850933591</v>
      </c>
      <c r="R90" s="14">
        <v>68</v>
      </c>
    </row>
    <row r="91" spans="2:18" x14ac:dyDescent="0.5">
      <c r="B91" s="1" t="s">
        <v>36</v>
      </c>
      <c r="C91" t="s">
        <v>101</v>
      </c>
      <c r="D91" t="s">
        <v>49</v>
      </c>
      <c r="E91">
        <v>19.3</v>
      </c>
      <c r="F91" s="9" t="s">
        <v>67</v>
      </c>
      <c r="G91" s="7">
        <v>76872867840</v>
      </c>
      <c r="H91" s="6">
        <v>119.9</v>
      </c>
      <c r="I91" s="6">
        <v>8.4700000000000006</v>
      </c>
      <c r="J91" s="12">
        <f t="shared" si="2"/>
        <v>1.278630460448642</v>
      </c>
      <c r="K91" s="11">
        <v>2.2694300518134713E-2</v>
      </c>
      <c r="L91" s="13">
        <v>3967214824.1399999</v>
      </c>
      <c r="M91" s="13">
        <v>41038539262.660004</v>
      </c>
      <c r="N91" s="9" t="s">
        <v>50</v>
      </c>
      <c r="O91" s="6">
        <v>1.0683760683760684</v>
      </c>
      <c r="P91" s="12">
        <v>8.2501331872157954E-2</v>
      </c>
      <c r="Q91" s="12">
        <v>9.6670468672106824E-2</v>
      </c>
      <c r="R91" s="14">
        <v>69</v>
      </c>
    </row>
    <row r="92" spans="2:18" x14ac:dyDescent="0.5">
      <c r="B92" s="1" t="s">
        <v>391</v>
      </c>
      <c r="C92" t="s">
        <v>392</v>
      </c>
      <c r="D92" t="s">
        <v>55</v>
      </c>
      <c r="E92">
        <v>43.86</v>
      </c>
      <c r="F92" s="9" t="s">
        <v>67</v>
      </c>
      <c r="G92" s="7">
        <v>1142201122816</v>
      </c>
      <c r="H92" s="6">
        <v>61.45</v>
      </c>
      <c r="I92" s="6">
        <v>26.55</v>
      </c>
      <c r="J92" s="12">
        <f t="shared" si="2"/>
        <v>0.65197740112994351</v>
      </c>
      <c r="K92" s="11">
        <v>0</v>
      </c>
      <c r="L92" s="13">
        <v>29458798000</v>
      </c>
      <c r="M92" s="13">
        <v>219340795000</v>
      </c>
      <c r="N92" s="9" t="s">
        <v>50</v>
      </c>
      <c r="O92" s="6">
        <v>1.0683760683760684</v>
      </c>
      <c r="P92" s="12">
        <v>2.7494323551966682E-2</v>
      </c>
      <c r="Q92" s="12">
        <v>0.13430606011982404</v>
      </c>
      <c r="R92" s="14">
        <v>70</v>
      </c>
    </row>
    <row r="93" spans="2:18" x14ac:dyDescent="0.5">
      <c r="B93" s="1" t="s">
        <v>127</v>
      </c>
      <c r="C93" t="s">
        <v>170</v>
      </c>
      <c r="D93" t="s">
        <v>97</v>
      </c>
      <c r="E93">
        <v>11.43</v>
      </c>
      <c r="F93" s="9" t="s">
        <v>67</v>
      </c>
      <c r="G93" s="7">
        <v>86612025344</v>
      </c>
      <c r="H93" s="6">
        <v>12.95</v>
      </c>
      <c r="I93" s="6">
        <v>9.39</v>
      </c>
      <c r="J93" s="12">
        <f t="shared" si="2"/>
        <v>0.21725239616613412</v>
      </c>
      <c r="K93" s="11">
        <v>6.9728783902012259E-2</v>
      </c>
      <c r="L93" s="13">
        <v>8154000000</v>
      </c>
      <c r="M93" s="13">
        <v>79588000000</v>
      </c>
      <c r="N93" s="9" t="s">
        <v>67</v>
      </c>
      <c r="O93" s="6">
        <v>1</v>
      </c>
      <c r="P93" s="12">
        <v>6.3742453424467133E-2</v>
      </c>
      <c r="Q93" s="12">
        <v>0.10245263104990703</v>
      </c>
      <c r="R93" s="14">
        <v>71</v>
      </c>
    </row>
    <row r="94" spans="2:18" x14ac:dyDescent="0.5">
      <c r="B94" s="1" t="s">
        <v>110</v>
      </c>
      <c r="C94" t="s">
        <v>147</v>
      </c>
      <c r="D94" t="s">
        <v>97</v>
      </c>
      <c r="E94">
        <v>5.51</v>
      </c>
      <c r="F94" s="9" t="s">
        <v>67</v>
      </c>
      <c r="G94" s="7">
        <v>655620374528</v>
      </c>
      <c r="H94" s="6">
        <v>6.98</v>
      </c>
      <c r="I94" s="6">
        <v>4.2300000000000004</v>
      </c>
      <c r="J94" s="12">
        <f t="shared" si="2"/>
        <v>0.30260047281323854</v>
      </c>
      <c r="K94" s="11">
        <v>8.0036297640653356E-2</v>
      </c>
      <c r="L94" s="13">
        <v>44563000000</v>
      </c>
      <c r="M94" s="13">
        <v>463922000000</v>
      </c>
      <c r="N94" s="9" t="s">
        <v>50</v>
      </c>
      <c r="O94" s="6">
        <v>1.0683760683760684</v>
      </c>
      <c r="P94" s="12">
        <v>7.5250338638335565E-2</v>
      </c>
      <c r="Q94" s="12">
        <v>9.605709580489824E-2</v>
      </c>
      <c r="R94" s="14">
        <v>72</v>
      </c>
    </row>
    <row r="95" spans="2:18" x14ac:dyDescent="0.5">
      <c r="B95" s="1" t="s">
        <v>256</v>
      </c>
      <c r="C95" t="s">
        <v>307</v>
      </c>
      <c r="D95" t="s">
        <v>303</v>
      </c>
      <c r="E95">
        <v>2.5099999999999998</v>
      </c>
      <c r="F95" s="9" t="s">
        <v>67</v>
      </c>
      <c r="G95" s="7">
        <v>76744130560</v>
      </c>
      <c r="H95" s="6">
        <v>3.17</v>
      </c>
      <c r="I95" s="6">
        <v>1.35</v>
      </c>
      <c r="J95" s="12">
        <f t="shared" si="2"/>
        <v>0.85925925925925895</v>
      </c>
      <c r="K95" s="11">
        <v>2.2310756972111555E-2</v>
      </c>
      <c r="L95" s="13">
        <v>12616717000</v>
      </c>
      <c r="M95" s="13">
        <v>231208465000</v>
      </c>
      <c r="N95" s="9" t="s">
        <v>50</v>
      </c>
      <c r="O95" s="6">
        <v>1.0683760683760684</v>
      </c>
      <c r="P95" s="12">
        <v>0.11162761587437908</v>
      </c>
      <c r="Q95" s="12">
        <v>5.4568577322633927E-2</v>
      </c>
      <c r="R95" s="14">
        <v>72</v>
      </c>
    </row>
    <row r="96" spans="2:18" x14ac:dyDescent="0.5">
      <c r="B96" s="1" t="s">
        <v>254</v>
      </c>
      <c r="C96" t="s">
        <v>305</v>
      </c>
      <c r="D96" t="s">
        <v>149</v>
      </c>
      <c r="E96">
        <v>8.26</v>
      </c>
      <c r="F96" s="9" t="s">
        <v>67</v>
      </c>
      <c r="G96" s="7">
        <v>20977084416</v>
      </c>
      <c r="H96" s="6">
        <v>13.78</v>
      </c>
      <c r="I96" s="6">
        <v>8.0399999999999991</v>
      </c>
      <c r="J96" s="12">
        <f t="shared" si="2"/>
        <v>2.7363184079602032E-2</v>
      </c>
      <c r="K96" s="11">
        <v>3.6319612590799029E-2</v>
      </c>
      <c r="L96" s="13">
        <v>9652467000</v>
      </c>
      <c r="M96" s="13">
        <v>173514401000</v>
      </c>
      <c r="N96" s="9" t="s">
        <v>50</v>
      </c>
      <c r="O96" s="6">
        <v>1.0683760683760684</v>
      </c>
      <c r="P96" s="12">
        <v>0.10910634323943863</v>
      </c>
      <c r="Q96" s="12">
        <v>5.5629198178196171E-2</v>
      </c>
      <c r="R96" s="14">
        <v>73</v>
      </c>
    </row>
    <row r="97" spans="2:18" x14ac:dyDescent="0.5">
      <c r="B97" s="1" t="s">
        <v>449</v>
      </c>
      <c r="C97" t="s">
        <v>453</v>
      </c>
      <c r="D97" t="s">
        <v>454</v>
      </c>
      <c r="E97">
        <v>552</v>
      </c>
      <c r="F97" s="9" t="s">
        <v>67</v>
      </c>
      <c r="G97" s="7">
        <v>360789114880</v>
      </c>
      <c r="H97" s="6">
        <v>613</v>
      </c>
      <c r="I97" s="6">
        <v>402.6</v>
      </c>
      <c r="J97" s="12">
        <f t="shared" si="2"/>
        <v>0.37108792846497751</v>
      </c>
      <c r="K97" s="11">
        <v>0</v>
      </c>
      <c r="L97" s="13">
        <v>18738000000</v>
      </c>
      <c r="M97" s="13">
        <v>182117000000</v>
      </c>
      <c r="N97" s="9" t="s">
        <v>50</v>
      </c>
      <c r="O97" s="6">
        <v>1.0683760683760684</v>
      </c>
      <c r="P97" s="12">
        <v>5.6853900049658214E-2</v>
      </c>
      <c r="Q97" s="12">
        <v>0.10288990044861271</v>
      </c>
      <c r="R97" s="14">
        <v>74</v>
      </c>
    </row>
    <row r="98" spans="2:18" x14ac:dyDescent="0.5">
      <c r="B98" s="1" t="s">
        <v>121</v>
      </c>
      <c r="C98" t="s">
        <v>161</v>
      </c>
      <c r="D98" t="s">
        <v>162</v>
      </c>
      <c r="E98">
        <v>11.28</v>
      </c>
      <c r="F98" s="9" t="s">
        <v>67</v>
      </c>
      <c r="G98" s="7">
        <v>76699172864</v>
      </c>
      <c r="H98" s="6">
        <v>11.43</v>
      </c>
      <c r="I98" s="6">
        <v>5</v>
      </c>
      <c r="J98" s="12">
        <f t="shared" ref="J98:J128" si="3">E98/I98-1</f>
        <v>1.2559999999999998</v>
      </c>
      <c r="K98" s="11">
        <v>1.8617021276595744E-2</v>
      </c>
      <c r="L98" s="13">
        <v>6749146000</v>
      </c>
      <c r="M98" s="13">
        <v>70848374000</v>
      </c>
      <c r="N98" s="9" t="s">
        <v>50</v>
      </c>
      <c r="O98" s="6">
        <v>1.0683760683760684</v>
      </c>
      <c r="P98" s="12">
        <v>6.5977722683527168E-2</v>
      </c>
      <c r="Q98" s="12">
        <v>9.5261833390841127E-2</v>
      </c>
      <c r="R98" s="14">
        <v>75</v>
      </c>
    </row>
    <row r="99" spans="2:18" x14ac:dyDescent="0.5">
      <c r="B99" s="1" t="s">
        <v>119</v>
      </c>
      <c r="C99" t="s">
        <v>159</v>
      </c>
      <c r="D99" t="s">
        <v>97</v>
      </c>
      <c r="E99">
        <v>9.26</v>
      </c>
      <c r="F99" s="9" t="s">
        <v>67</v>
      </c>
      <c r="G99" s="7">
        <v>283337490432</v>
      </c>
      <c r="H99" s="6">
        <v>11.56</v>
      </c>
      <c r="I99" s="6">
        <v>6.22</v>
      </c>
      <c r="J99" s="12">
        <f t="shared" si="3"/>
        <v>0.4887459807073955</v>
      </c>
      <c r="K99" s="11">
        <v>4.7516198704103674E-2</v>
      </c>
      <c r="L99" s="13">
        <v>26994000000</v>
      </c>
      <c r="M99" s="13">
        <v>363169000000</v>
      </c>
      <c r="N99" s="9" t="s">
        <v>50</v>
      </c>
      <c r="O99" s="6">
        <v>1.0683760683760684</v>
      </c>
      <c r="P99" s="12">
        <v>9.7631408980080311E-2</v>
      </c>
      <c r="Q99" s="12">
        <v>7.4329031387590908E-2</v>
      </c>
      <c r="R99" s="14">
        <v>76</v>
      </c>
    </row>
    <row r="100" spans="2:18" x14ac:dyDescent="0.5">
      <c r="B100" s="1" t="s">
        <v>18</v>
      </c>
      <c r="C100" t="s">
        <v>66</v>
      </c>
      <c r="D100" t="s">
        <v>65</v>
      </c>
      <c r="E100">
        <v>63.65</v>
      </c>
      <c r="F100" s="9" t="s">
        <v>67</v>
      </c>
      <c r="G100" s="7">
        <v>164883251200</v>
      </c>
      <c r="H100" s="6">
        <v>68.45</v>
      </c>
      <c r="I100" s="6">
        <v>43.15</v>
      </c>
      <c r="J100" s="12">
        <f t="shared" si="3"/>
        <v>0.47508690614136739</v>
      </c>
      <c r="K100" s="11">
        <v>1.6496465043205028E-2</v>
      </c>
      <c r="L100" s="13">
        <v>6350637223.7200003</v>
      </c>
      <c r="M100" s="13">
        <v>57896384836.860001</v>
      </c>
      <c r="N100" s="9" t="s">
        <v>50</v>
      </c>
      <c r="O100" s="6">
        <v>1.0683760683760684</v>
      </c>
      <c r="P100" s="12">
        <v>5.0938353014941609E-2</v>
      </c>
      <c r="Q100" s="12">
        <v>0.10968970241604512</v>
      </c>
      <c r="R100" s="14">
        <v>77</v>
      </c>
    </row>
    <row r="101" spans="2:18" x14ac:dyDescent="0.5">
      <c r="B101" s="1" t="s">
        <v>115</v>
      </c>
      <c r="C101" t="s">
        <v>155</v>
      </c>
      <c r="D101" t="s">
        <v>149</v>
      </c>
      <c r="E101">
        <v>2.2000000000000002</v>
      </c>
      <c r="F101" s="9" t="s">
        <v>67</v>
      </c>
      <c r="G101" s="7">
        <v>7830624768</v>
      </c>
      <c r="H101" s="6">
        <v>2.64</v>
      </c>
      <c r="I101" s="6">
        <v>1.6</v>
      </c>
      <c r="J101" s="12">
        <f t="shared" si="3"/>
        <v>0.375</v>
      </c>
      <c r="K101" s="11">
        <v>3.4090909090909088E-2</v>
      </c>
      <c r="L101" s="13">
        <v>2220197000</v>
      </c>
      <c r="M101" s="13">
        <v>71097505000</v>
      </c>
      <c r="N101" s="9" t="s">
        <v>50</v>
      </c>
      <c r="O101" s="6">
        <v>1.0683760683760684</v>
      </c>
      <c r="P101" s="12">
        <v>0.11232949816406015</v>
      </c>
      <c r="Q101" s="12">
        <v>3.1227495254580313E-2</v>
      </c>
      <c r="R101" s="14">
        <v>77</v>
      </c>
    </row>
    <row r="102" spans="2:18" x14ac:dyDescent="0.5">
      <c r="B102" s="1" t="s">
        <v>252</v>
      </c>
      <c r="C102" t="s">
        <v>302</v>
      </c>
      <c r="D102" t="s">
        <v>303</v>
      </c>
      <c r="E102">
        <v>5.53</v>
      </c>
      <c r="F102" s="9" t="s">
        <v>67</v>
      </c>
      <c r="G102" s="7">
        <v>112666984448</v>
      </c>
      <c r="H102" s="6">
        <v>6.07</v>
      </c>
      <c r="I102" s="6">
        <v>4.58</v>
      </c>
      <c r="J102" s="12">
        <f t="shared" si="3"/>
        <v>0.2074235807860263</v>
      </c>
      <c r="K102" s="11">
        <v>5.4249547920433995E-2</v>
      </c>
      <c r="L102" s="13">
        <v>42109966000</v>
      </c>
      <c r="M102" s="13">
        <v>746176876000</v>
      </c>
      <c r="N102" s="9" t="s">
        <v>50</v>
      </c>
      <c r="O102" s="6">
        <v>1.0683760683760684</v>
      </c>
      <c r="P102" s="12">
        <v>0.10064929569332658</v>
      </c>
      <c r="Q102" s="12">
        <v>5.643429507724386E-2</v>
      </c>
      <c r="R102" s="14">
        <v>78</v>
      </c>
    </row>
    <row r="103" spans="2:18" x14ac:dyDescent="0.5">
      <c r="B103" s="1" t="s">
        <v>120</v>
      </c>
      <c r="C103" t="s">
        <v>160</v>
      </c>
      <c r="D103" t="s">
        <v>149</v>
      </c>
      <c r="E103">
        <v>38.4</v>
      </c>
      <c r="F103" s="9" t="s">
        <v>67</v>
      </c>
      <c r="G103" s="7">
        <v>134391488512</v>
      </c>
      <c r="H103" s="6">
        <v>39.08</v>
      </c>
      <c r="I103" s="6">
        <v>28.1</v>
      </c>
      <c r="J103" s="12">
        <f t="shared" si="3"/>
        <v>0.36654804270462615</v>
      </c>
      <c r="K103" s="11">
        <v>4.5312499999999999E-2</v>
      </c>
      <c r="L103" s="13">
        <v>16863000000</v>
      </c>
      <c r="M103" s="13">
        <v>448320000000</v>
      </c>
      <c r="N103" s="9" t="s">
        <v>67</v>
      </c>
      <c r="O103" s="6">
        <v>1</v>
      </c>
      <c r="P103" s="12">
        <v>0.10812769905434602</v>
      </c>
      <c r="Q103" s="12">
        <v>3.7613758029978586E-2</v>
      </c>
      <c r="R103" s="14">
        <v>79</v>
      </c>
    </row>
    <row r="104" spans="2:18" x14ac:dyDescent="0.5">
      <c r="B104" s="1" t="s">
        <v>253</v>
      </c>
      <c r="C104" t="s">
        <v>304</v>
      </c>
      <c r="D104" t="s">
        <v>169</v>
      </c>
      <c r="E104">
        <v>51.35</v>
      </c>
      <c r="F104" s="9" t="s">
        <v>67</v>
      </c>
      <c r="G104" s="7">
        <v>196672782336</v>
      </c>
      <c r="H104" s="6">
        <v>54.6</v>
      </c>
      <c r="I104" s="6">
        <v>37.450000000000003</v>
      </c>
      <c r="J104" s="12">
        <f t="shared" si="3"/>
        <v>0.3711615487316422</v>
      </c>
      <c r="K104" s="11">
        <v>4.3310613437195715E-2</v>
      </c>
      <c r="L104" s="13">
        <v>41737000000</v>
      </c>
      <c r="M104" s="13">
        <v>794927000000</v>
      </c>
      <c r="N104" s="9" t="s">
        <v>67</v>
      </c>
      <c r="O104" s="6">
        <v>1</v>
      </c>
      <c r="P104" s="12">
        <v>0.10431621691994031</v>
      </c>
      <c r="Q104" s="12">
        <v>5.2504192208844336E-2</v>
      </c>
      <c r="R104" s="14">
        <v>79</v>
      </c>
    </row>
    <row r="105" spans="2:18" x14ac:dyDescent="0.5">
      <c r="B105" s="1" t="s">
        <v>263</v>
      </c>
      <c r="C105" t="s">
        <v>315</v>
      </c>
      <c r="D105" t="s">
        <v>86</v>
      </c>
      <c r="E105">
        <v>7.58</v>
      </c>
      <c r="F105" s="9" t="s">
        <v>67</v>
      </c>
      <c r="G105" s="7">
        <v>7899762688</v>
      </c>
      <c r="H105" s="6">
        <v>12.88</v>
      </c>
      <c r="I105" s="6">
        <v>7.55</v>
      </c>
      <c r="J105" s="12">
        <f t="shared" si="3"/>
        <v>3.9735099337747659E-3</v>
      </c>
      <c r="K105" s="11">
        <v>1.8733509234828496E-2</v>
      </c>
      <c r="L105" s="13">
        <v>350106000</v>
      </c>
      <c r="M105" s="13">
        <v>3348556000</v>
      </c>
      <c r="N105" s="9" t="s">
        <v>67</v>
      </c>
      <c r="O105" s="6">
        <v>1</v>
      </c>
      <c r="P105" s="12">
        <v>4.8660059683913605E-2</v>
      </c>
      <c r="Q105" s="12">
        <v>0.10455432132537129</v>
      </c>
      <c r="R105" s="14">
        <v>79</v>
      </c>
    </row>
    <row r="106" spans="2:18" x14ac:dyDescent="0.5">
      <c r="B106" s="1" t="s">
        <v>257</v>
      </c>
      <c r="C106" t="s">
        <v>308</v>
      </c>
      <c r="D106" t="s">
        <v>107</v>
      </c>
      <c r="E106">
        <v>14.33</v>
      </c>
      <c r="F106" s="9" t="s">
        <v>67</v>
      </c>
      <c r="G106" s="7">
        <v>9625632768</v>
      </c>
      <c r="H106" s="6">
        <v>15.74</v>
      </c>
      <c r="I106" s="6">
        <v>6.25</v>
      </c>
      <c r="J106" s="12">
        <f t="shared" si="3"/>
        <v>1.2928000000000002</v>
      </c>
      <c r="K106" s="11">
        <v>3.9776692254012556E-2</v>
      </c>
      <c r="L106" s="13">
        <v>1136392000</v>
      </c>
      <c r="M106" s="13">
        <v>17458813000</v>
      </c>
      <c r="N106" s="9" t="s">
        <v>67</v>
      </c>
      <c r="O106" s="6">
        <v>1</v>
      </c>
      <c r="P106" s="12">
        <v>7.9775566708358753E-2</v>
      </c>
      <c r="Q106" s="12">
        <v>6.5089877530620205E-2</v>
      </c>
      <c r="R106" s="14">
        <v>80</v>
      </c>
    </row>
    <row r="107" spans="2:18" x14ac:dyDescent="0.5">
      <c r="B107" s="1" t="s">
        <v>125</v>
      </c>
      <c r="C107" t="s">
        <v>167</v>
      </c>
      <c r="D107" t="s">
        <v>103</v>
      </c>
      <c r="E107">
        <v>13.85</v>
      </c>
      <c r="F107" s="9" t="s">
        <v>67</v>
      </c>
      <c r="G107" s="7">
        <v>43212001280</v>
      </c>
      <c r="H107" s="6">
        <v>14.3</v>
      </c>
      <c r="I107" s="6">
        <v>6.52</v>
      </c>
      <c r="J107" s="12">
        <f t="shared" si="3"/>
        <v>1.1242331288343559</v>
      </c>
      <c r="K107" s="11">
        <v>2.5270758122743681E-2</v>
      </c>
      <c r="L107" s="13">
        <v>1990539000</v>
      </c>
      <c r="M107" s="13">
        <v>18620709000</v>
      </c>
      <c r="N107" s="9" t="s">
        <v>67</v>
      </c>
      <c r="O107" s="6">
        <v>1</v>
      </c>
      <c r="P107" s="12">
        <v>4.3305201157901263E-2</v>
      </c>
      <c r="Q107" s="12">
        <v>0.10689920561026972</v>
      </c>
      <c r="R107" s="14">
        <v>80</v>
      </c>
    </row>
    <row r="108" spans="2:18" x14ac:dyDescent="0.5">
      <c r="B108" s="1" t="s">
        <v>132</v>
      </c>
      <c r="C108" t="s">
        <v>176</v>
      </c>
      <c r="D108" t="s">
        <v>97</v>
      </c>
      <c r="E108">
        <v>5.56</v>
      </c>
      <c r="F108" s="9" t="s">
        <v>67</v>
      </c>
      <c r="G108" s="7">
        <v>43040309248</v>
      </c>
      <c r="H108" s="6">
        <v>5.83</v>
      </c>
      <c r="I108" s="6">
        <v>4.2</v>
      </c>
      <c r="J108" s="12">
        <f t="shared" si="3"/>
        <v>0.32380952380952377</v>
      </c>
      <c r="K108" s="11">
        <v>6.8884892086330946E-2</v>
      </c>
      <c r="L108" s="13">
        <v>5474000000</v>
      </c>
      <c r="M108" s="13">
        <v>59407000000</v>
      </c>
      <c r="N108" s="9" t="s">
        <v>67</v>
      </c>
      <c r="O108" s="6">
        <v>1</v>
      </c>
      <c r="P108" s="12">
        <v>5.7807674517570157E-2</v>
      </c>
      <c r="Q108" s="12">
        <v>9.2144023431582137E-2</v>
      </c>
      <c r="R108" s="14">
        <v>81</v>
      </c>
    </row>
    <row r="109" spans="2:18" x14ac:dyDescent="0.5">
      <c r="B109" s="1" t="s">
        <v>126</v>
      </c>
      <c r="C109" t="s">
        <v>168</v>
      </c>
      <c r="D109" t="s">
        <v>169</v>
      </c>
      <c r="E109">
        <v>28.5</v>
      </c>
      <c r="F109" s="9" t="s">
        <v>67</v>
      </c>
      <c r="G109" s="7">
        <v>31586883584</v>
      </c>
      <c r="H109" s="6">
        <v>32.4</v>
      </c>
      <c r="I109" s="6">
        <v>17.600000000000001</v>
      </c>
      <c r="J109" s="12">
        <f t="shared" si="3"/>
        <v>0.61931818181818166</v>
      </c>
      <c r="K109" s="11">
        <v>4.3157894736842103E-2</v>
      </c>
      <c r="L109" s="13">
        <v>3838344000</v>
      </c>
      <c r="M109" s="13">
        <v>81520873000</v>
      </c>
      <c r="N109" s="9" t="s">
        <v>67</v>
      </c>
      <c r="O109" s="6">
        <v>1</v>
      </c>
      <c r="P109" s="12">
        <v>7.7691661586423377E-2</v>
      </c>
      <c r="Q109" s="12">
        <v>4.7084186647510511E-2</v>
      </c>
      <c r="R109" s="14">
        <v>82</v>
      </c>
    </row>
    <row r="110" spans="2:18" x14ac:dyDescent="0.5">
      <c r="B110" s="1" t="s">
        <v>26</v>
      </c>
      <c r="C110" t="s">
        <v>85</v>
      </c>
      <c r="D110" t="s">
        <v>86</v>
      </c>
      <c r="E110">
        <v>6.56</v>
      </c>
      <c r="F110" s="9" t="s">
        <v>67</v>
      </c>
      <c r="G110" s="7">
        <v>6846570496</v>
      </c>
      <c r="H110" s="6">
        <v>9.6</v>
      </c>
      <c r="I110" s="6">
        <v>4.3499999999999996</v>
      </c>
      <c r="J110" s="12">
        <f t="shared" si="3"/>
        <v>0.50804597701149423</v>
      </c>
      <c r="K110" s="11">
        <v>1.4634146341463415E-2</v>
      </c>
      <c r="L110" s="13">
        <v>303335000</v>
      </c>
      <c r="M110" s="13">
        <v>3620162000</v>
      </c>
      <c r="N110" s="9" t="s">
        <v>67</v>
      </c>
      <c r="O110" s="6">
        <v>1</v>
      </c>
      <c r="P110" s="12">
        <v>5.272994617332101E-2</v>
      </c>
      <c r="Q110" s="12">
        <v>8.3790449156695201E-2</v>
      </c>
      <c r="R110" s="14">
        <v>82</v>
      </c>
    </row>
    <row r="111" spans="2:18" x14ac:dyDescent="0.5">
      <c r="B111" s="1" t="s">
        <v>450</v>
      </c>
      <c r="C111" t="s">
        <v>455</v>
      </c>
      <c r="D111" t="s">
        <v>456</v>
      </c>
      <c r="E111">
        <v>2.31</v>
      </c>
      <c r="F111" s="9" t="s">
        <v>67</v>
      </c>
      <c r="G111" s="7">
        <v>22382807040</v>
      </c>
      <c r="H111" s="6">
        <v>2.64</v>
      </c>
      <c r="I111" s="6">
        <v>1.57</v>
      </c>
      <c r="J111" s="12">
        <f t="shared" si="3"/>
        <v>0.47133757961783429</v>
      </c>
      <c r="K111" s="11">
        <v>3.0303030303030304E-2</v>
      </c>
      <c r="L111" s="13">
        <v>1507922451</v>
      </c>
      <c r="M111" s="13">
        <v>27909411974</v>
      </c>
      <c r="N111" s="9" t="s">
        <v>50</v>
      </c>
      <c r="O111" s="6">
        <v>1.0683760683760684</v>
      </c>
      <c r="P111" s="12">
        <v>7.1091480498002166E-2</v>
      </c>
      <c r="Q111" s="12">
        <v>5.4029173112094174E-2</v>
      </c>
      <c r="R111" s="14">
        <v>82</v>
      </c>
    </row>
    <row r="112" spans="2:18" x14ac:dyDescent="0.5">
      <c r="B112" s="1" t="s">
        <v>33</v>
      </c>
      <c r="C112" t="s">
        <v>96</v>
      </c>
      <c r="D112" t="s">
        <v>97</v>
      </c>
      <c r="E112">
        <v>11.25</v>
      </c>
      <c r="F112" s="9" t="s">
        <v>67</v>
      </c>
      <c r="G112" s="7">
        <v>196663492608</v>
      </c>
      <c r="H112" s="6">
        <v>12.46</v>
      </c>
      <c r="I112" s="6">
        <v>9.89</v>
      </c>
      <c r="J112" s="12">
        <f t="shared" si="3"/>
        <v>0.13751263902932243</v>
      </c>
      <c r="K112" s="11">
        <v>3.911111111111111E-2</v>
      </c>
      <c r="L112" s="13">
        <v>16758000000</v>
      </c>
      <c r="M112" s="13">
        <v>269590000000</v>
      </c>
      <c r="N112" s="9" t="s">
        <v>50</v>
      </c>
      <c r="O112" s="6">
        <v>1.0683760683760684</v>
      </c>
      <c r="P112" s="12">
        <v>6.1155220789199639E-2</v>
      </c>
      <c r="Q112" s="12">
        <v>6.2161059386475759E-2</v>
      </c>
      <c r="R112" s="14">
        <v>83</v>
      </c>
    </row>
    <row r="113" spans="2:18" x14ac:dyDescent="0.5">
      <c r="B113" s="1" t="s">
        <v>30</v>
      </c>
      <c r="C113" t="s">
        <v>91</v>
      </c>
      <c r="D113" t="s">
        <v>92</v>
      </c>
      <c r="E113">
        <v>3.05</v>
      </c>
      <c r="F113" s="9" t="s">
        <v>67</v>
      </c>
      <c r="G113" s="7">
        <v>16660723712</v>
      </c>
      <c r="H113" s="6">
        <v>3.68</v>
      </c>
      <c r="I113" s="6">
        <v>1.1599999999999999</v>
      </c>
      <c r="J113" s="12">
        <f t="shared" si="3"/>
        <v>1.6293103448275863</v>
      </c>
      <c r="K113" s="11">
        <v>1.1147540983606558E-2</v>
      </c>
      <c r="L113" s="13">
        <v>1384865000</v>
      </c>
      <c r="M113" s="13">
        <v>23827484000</v>
      </c>
      <c r="N113" s="9" t="s">
        <v>50</v>
      </c>
      <c r="O113" s="6">
        <v>1.0683760683760684</v>
      </c>
      <c r="P113" s="12">
        <v>5.3270987468373485E-2</v>
      </c>
      <c r="Q113" s="12">
        <v>5.8120488088461209E-2</v>
      </c>
      <c r="R113" s="14">
        <v>84</v>
      </c>
    </row>
    <row r="114" spans="2:18" x14ac:dyDescent="0.5">
      <c r="B114" s="1" t="s">
        <v>138</v>
      </c>
      <c r="C114" t="s">
        <v>185</v>
      </c>
      <c r="D114" t="s">
        <v>186</v>
      </c>
      <c r="E114">
        <v>2.8</v>
      </c>
      <c r="F114" s="9" t="s">
        <v>67</v>
      </c>
      <c r="G114" s="7">
        <v>12026000384</v>
      </c>
      <c r="H114" s="6">
        <v>3.16</v>
      </c>
      <c r="I114" s="6">
        <v>1.93</v>
      </c>
      <c r="J114" s="12">
        <f t="shared" si="3"/>
        <v>0.45077720207253891</v>
      </c>
      <c r="K114" s="11">
        <v>3.9642857142857146E-2</v>
      </c>
      <c r="L114" s="13">
        <v>1938532000</v>
      </c>
      <c r="M114" s="13">
        <v>49986396000</v>
      </c>
      <c r="N114" s="9" t="s">
        <v>67</v>
      </c>
      <c r="O114" s="6">
        <v>1</v>
      </c>
      <c r="P114" s="12">
        <v>5.9547230331026872E-2</v>
      </c>
      <c r="Q114" s="12">
        <v>3.8781191586606881E-2</v>
      </c>
      <c r="R114" s="14">
        <v>85</v>
      </c>
    </row>
    <row r="115" spans="2:18" x14ac:dyDescent="0.5">
      <c r="B115" s="1" t="s">
        <v>384</v>
      </c>
      <c r="C115" t="s">
        <v>387</v>
      </c>
      <c r="D115" t="s">
        <v>149</v>
      </c>
      <c r="E115">
        <v>9.64</v>
      </c>
      <c r="F115" s="9" t="s">
        <v>67</v>
      </c>
      <c r="G115" s="7">
        <v>88206999552</v>
      </c>
      <c r="H115" s="6">
        <v>10.37</v>
      </c>
      <c r="I115" s="6">
        <v>7.31</v>
      </c>
      <c r="J115" s="12">
        <f t="shared" si="3"/>
        <v>0.3187414500683996</v>
      </c>
      <c r="K115" s="11">
        <v>6.0165975103734434E-2</v>
      </c>
      <c r="L115" s="13">
        <v>4532000000</v>
      </c>
      <c r="M115" s="13">
        <v>172303000000</v>
      </c>
      <c r="N115" s="9" t="s">
        <v>67</v>
      </c>
      <c r="O115" s="6">
        <v>1</v>
      </c>
      <c r="P115" s="12">
        <v>5.1010186536693834E-2</v>
      </c>
      <c r="Q115" s="12">
        <v>2.6302501987777345E-2</v>
      </c>
      <c r="R115" s="14">
        <v>86</v>
      </c>
    </row>
    <row r="116" spans="2:18" x14ac:dyDescent="0.5">
      <c r="B116" s="1" t="s">
        <v>380</v>
      </c>
      <c r="C116" t="s">
        <v>381</v>
      </c>
      <c r="D116" t="s">
        <v>84</v>
      </c>
      <c r="E116">
        <v>1.73</v>
      </c>
      <c r="F116" s="9" t="s">
        <v>67</v>
      </c>
      <c r="G116" s="7">
        <v>9578376192</v>
      </c>
      <c r="H116" s="6">
        <v>2.99</v>
      </c>
      <c r="I116" s="6">
        <v>0.91</v>
      </c>
      <c r="J116" s="12">
        <f t="shared" si="3"/>
        <v>0.90109890109890101</v>
      </c>
      <c r="K116" s="11">
        <v>0</v>
      </c>
      <c r="L116" s="13">
        <v>429393000</v>
      </c>
      <c r="M116" s="13">
        <v>18333659000</v>
      </c>
      <c r="N116" s="9" t="s">
        <v>67</v>
      </c>
      <c r="O116" s="6">
        <v>1</v>
      </c>
      <c r="P116" s="12">
        <v>4.4287494632534244E-2</v>
      </c>
      <c r="Q116" s="12">
        <v>2.3421020321148112E-2</v>
      </c>
      <c r="R116" s="14">
        <v>87</v>
      </c>
    </row>
    <row r="117" spans="2:18" x14ac:dyDescent="0.5">
      <c r="B117" s="1" t="s">
        <v>192</v>
      </c>
      <c r="C117" t="s">
        <v>193</v>
      </c>
      <c r="D117" t="s">
        <v>194</v>
      </c>
      <c r="E117">
        <v>76.8</v>
      </c>
      <c r="F117" s="9" t="s">
        <v>67</v>
      </c>
      <c r="G117" s="7">
        <v>733691510784</v>
      </c>
      <c r="H117" s="6">
        <v>93.5</v>
      </c>
      <c r="I117" s="6">
        <v>24.15</v>
      </c>
      <c r="J117" s="12">
        <f t="shared" si="3"/>
        <v>2.1801242236024847</v>
      </c>
      <c r="K117" s="11">
        <v>0</v>
      </c>
      <c r="L117" s="13">
        <v>984027000</v>
      </c>
      <c r="M117" s="13">
        <v>32183526000</v>
      </c>
      <c r="N117" s="9" t="s">
        <v>71</v>
      </c>
      <c r="O117" s="6">
        <v>7.6923076923076916</v>
      </c>
      <c r="P117" s="12">
        <v>9.7804426020758426E-3</v>
      </c>
      <c r="Q117" s="12">
        <v>3.0575487595734537E-2</v>
      </c>
      <c r="R117" s="14">
        <v>88</v>
      </c>
    </row>
    <row r="118" spans="2:18" x14ac:dyDescent="0.5">
      <c r="B118" s="1" t="s">
        <v>112</v>
      </c>
      <c r="C118" t="s">
        <v>150</v>
      </c>
      <c r="D118" t="s">
        <v>151</v>
      </c>
      <c r="E118">
        <v>16</v>
      </c>
      <c r="F118" s="9" t="s">
        <v>67</v>
      </c>
      <c r="G118" s="7">
        <v>16432131072</v>
      </c>
      <c r="H118" s="6">
        <v>16.690000000000001</v>
      </c>
      <c r="I118" s="6">
        <v>10.94</v>
      </c>
      <c r="J118" s="12">
        <f t="shared" si="3"/>
        <v>0.46252285191956122</v>
      </c>
      <c r="K118" s="11">
        <v>6.7500000000000004E-2</v>
      </c>
      <c r="L118" s="13">
        <v>984000000</v>
      </c>
      <c r="M118" s="13">
        <v>101944000000</v>
      </c>
      <c r="N118" s="9" t="s">
        <v>67</v>
      </c>
      <c r="O118" s="6">
        <v>1</v>
      </c>
      <c r="P118" s="12">
        <v>2.3778379085599936E-2</v>
      </c>
      <c r="Q118" s="12">
        <v>9.6523581574197593E-3</v>
      </c>
      <c r="R118" s="14">
        <v>89</v>
      </c>
    </row>
    <row r="119" spans="2:18" x14ac:dyDescent="0.5">
      <c r="B119" s="1" t="s">
        <v>129</v>
      </c>
      <c r="C119" t="s">
        <v>173</v>
      </c>
      <c r="D119" t="s">
        <v>172</v>
      </c>
      <c r="E119">
        <v>44.12</v>
      </c>
      <c r="F119" s="9" t="s">
        <v>67</v>
      </c>
      <c r="G119" s="7">
        <v>45067325440</v>
      </c>
      <c r="H119" s="6">
        <v>46.88</v>
      </c>
      <c r="I119" s="6">
        <v>22.4</v>
      </c>
      <c r="J119" s="12">
        <f t="shared" si="3"/>
        <v>0.96964285714285725</v>
      </c>
      <c r="K119" s="11">
        <v>0</v>
      </c>
      <c r="L119" s="13">
        <v>-90314000</v>
      </c>
      <c r="M119" s="13">
        <v>18374441000</v>
      </c>
      <c r="N119" s="9" t="s">
        <v>50</v>
      </c>
      <c r="O119" s="6">
        <v>1.0683760683760684</v>
      </c>
      <c r="P119" s="12">
        <v>-2.3107049724271308E-3</v>
      </c>
      <c r="Q119" s="12">
        <v>-4.9151971480384084E-3</v>
      </c>
      <c r="R119" s="14">
        <v>90</v>
      </c>
    </row>
    <row r="120" spans="2:18" x14ac:dyDescent="0.5">
      <c r="B120" s="1" t="s">
        <v>386</v>
      </c>
      <c r="C120" t="s">
        <v>389</v>
      </c>
      <c r="D120" t="s">
        <v>390</v>
      </c>
      <c r="E120">
        <v>40.68</v>
      </c>
      <c r="F120" s="9" t="s">
        <v>67</v>
      </c>
      <c r="G120" s="7">
        <v>105253388288</v>
      </c>
      <c r="H120" s="6">
        <v>45.05</v>
      </c>
      <c r="I120" s="6">
        <v>31.1</v>
      </c>
      <c r="J120" s="12">
        <f t="shared" si="3"/>
        <v>0.30803858520900307</v>
      </c>
      <c r="K120" s="11">
        <v>6.6937069813176001E-2</v>
      </c>
      <c r="L120" s="13">
        <v>-6742000000</v>
      </c>
      <c r="M120" s="13">
        <v>216378000000</v>
      </c>
      <c r="N120" s="9" t="s">
        <v>67</v>
      </c>
      <c r="O120" s="6">
        <v>1</v>
      </c>
      <c r="P120" s="12">
        <v>-4.3480395188150972E-2</v>
      </c>
      <c r="Q120" s="12">
        <v>-3.1158435700487111E-2</v>
      </c>
      <c r="R120" s="14">
        <v>91</v>
      </c>
    </row>
    <row r="121" spans="2:18" x14ac:dyDescent="0.5">
      <c r="B121" s="1" t="s">
        <v>448</v>
      </c>
      <c r="C121" t="s">
        <v>452</v>
      </c>
      <c r="D121" t="s">
        <v>165</v>
      </c>
      <c r="E121">
        <v>2.95</v>
      </c>
      <c r="F121" s="9" t="s">
        <v>67</v>
      </c>
      <c r="G121" s="7">
        <v>17296549888</v>
      </c>
      <c r="H121" s="6">
        <v>4.4400000000000004</v>
      </c>
      <c r="I121" s="6">
        <v>2.84</v>
      </c>
      <c r="J121" s="12">
        <f t="shared" si="3"/>
        <v>3.8732394366197243E-2</v>
      </c>
      <c r="K121" s="11">
        <v>4.7457627118644069E-2</v>
      </c>
      <c r="L121" s="13">
        <v>-780356000</v>
      </c>
      <c r="M121" s="13">
        <v>8664599000</v>
      </c>
      <c r="N121" s="9" t="s">
        <v>67</v>
      </c>
      <c r="O121" s="6">
        <v>1</v>
      </c>
      <c r="P121" s="12">
        <v>-6.4069505635813997E-2</v>
      </c>
      <c r="Q121" s="12">
        <v>-9.0062563772426163E-2</v>
      </c>
      <c r="R121" s="14">
        <v>92</v>
      </c>
    </row>
    <row r="122" spans="2:18" x14ac:dyDescent="0.5">
      <c r="B122" s="1" t="s">
        <v>365</v>
      </c>
      <c r="C122" t="s">
        <v>367</v>
      </c>
      <c r="D122" t="s">
        <v>368</v>
      </c>
      <c r="E122">
        <v>3.21</v>
      </c>
      <c r="F122" s="9" t="s">
        <v>67</v>
      </c>
      <c r="G122" s="7">
        <v>6608742912</v>
      </c>
      <c r="H122" s="6">
        <v>3.64</v>
      </c>
      <c r="I122" s="6">
        <v>0.99</v>
      </c>
      <c r="J122" s="12">
        <f t="shared" si="3"/>
        <v>2.2424242424242422</v>
      </c>
      <c r="K122" s="11">
        <v>0</v>
      </c>
      <c r="L122" s="13">
        <v>-732033000</v>
      </c>
      <c r="M122" s="13">
        <v>7864121000</v>
      </c>
      <c r="N122" s="9" t="s">
        <v>50</v>
      </c>
      <c r="O122" s="6">
        <v>1.0683760683760684</v>
      </c>
      <c r="P122" s="12">
        <v>-0.52166509836548469</v>
      </c>
      <c r="Q122" s="12">
        <v>-9.3085164890011229E-2</v>
      </c>
      <c r="R122" s="14">
        <v>93</v>
      </c>
    </row>
    <row r="123" spans="2:18" x14ac:dyDescent="0.5">
      <c r="B123" s="1" t="s">
        <v>201</v>
      </c>
      <c r="C123" t="s">
        <v>227</v>
      </c>
      <c r="D123" t="s">
        <v>228</v>
      </c>
      <c r="E123">
        <v>6.96</v>
      </c>
      <c r="F123" s="9" t="s">
        <v>67</v>
      </c>
      <c r="G123" s="7">
        <v>663184146432</v>
      </c>
      <c r="H123" s="6">
        <v>7.62</v>
      </c>
      <c r="I123" s="6">
        <v>5.57</v>
      </c>
      <c r="J123" s="12">
        <f t="shared" si="3"/>
        <v>0.24955116696588853</v>
      </c>
      <c r="K123" s="11">
        <v>5.0718390804597696E-2</v>
      </c>
      <c r="M123" s="13">
        <v>2314289000000</v>
      </c>
      <c r="N123" s="9" t="s">
        <v>50</v>
      </c>
      <c r="O123" s="6">
        <v>1.0683760683760684</v>
      </c>
    </row>
    <row r="124" spans="2:18" x14ac:dyDescent="0.5">
      <c r="B124" s="1" t="s">
        <v>203</v>
      </c>
      <c r="C124" t="s">
        <v>230</v>
      </c>
      <c r="D124" t="s">
        <v>226</v>
      </c>
      <c r="E124">
        <v>5.47</v>
      </c>
      <c r="F124" s="9" t="s">
        <v>67</v>
      </c>
      <c r="G124" s="7">
        <v>727685267456</v>
      </c>
      <c r="H124" s="6">
        <v>5.95</v>
      </c>
      <c r="I124" s="6">
        <v>4.34</v>
      </c>
      <c r="J124" s="12">
        <f t="shared" si="3"/>
        <v>0.26036866359446997</v>
      </c>
      <c r="K124" s="11">
        <v>4.3327239488117002E-2</v>
      </c>
      <c r="M124" s="13">
        <v>1271649000000</v>
      </c>
      <c r="N124" s="9" t="s">
        <v>50</v>
      </c>
      <c r="O124" s="6">
        <v>1.0683760683760684</v>
      </c>
    </row>
    <row r="125" spans="2:18" x14ac:dyDescent="0.5">
      <c r="B125" s="1" t="s">
        <v>202</v>
      </c>
      <c r="C125" t="s">
        <v>229</v>
      </c>
      <c r="D125" t="s">
        <v>228</v>
      </c>
      <c r="E125">
        <v>6.06</v>
      </c>
      <c r="F125" s="9" t="s">
        <v>67</v>
      </c>
      <c r="G125" s="7">
        <v>2843674411008</v>
      </c>
      <c r="H125" s="6">
        <v>6.48</v>
      </c>
      <c r="I125" s="6">
        <v>4.5199999999999996</v>
      </c>
      <c r="J125" s="12">
        <f t="shared" si="3"/>
        <v>0.34070796460176989</v>
      </c>
      <c r="K125" s="11">
        <v>5.0495049504950498E-2</v>
      </c>
      <c r="M125" s="13">
        <v>6434377000000</v>
      </c>
      <c r="N125" s="9" t="s">
        <v>50</v>
      </c>
      <c r="O125" s="6">
        <v>1.0683760683760684</v>
      </c>
    </row>
    <row r="126" spans="2:18" x14ac:dyDescent="0.5">
      <c r="B126" s="1" t="s">
        <v>204</v>
      </c>
      <c r="C126" t="s">
        <v>231</v>
      </c>
      <c r="D126" t="s">
        <v>228</v>
      </c>
      <c r="E126">
        <v>7.79</v>
      </c>
      <c r="F126" s="9" t="s">
        <v>67</v>
      </c>
      <c r="G126" s="7">
        <v>2085204918272</v>
      </c>
      <c r="H126" s="6">
        <v>8.56</v>
      </c>
      <c r="I126" s="6">
        <v>5.8</v>
      </c>
      <c r="J126" s="12">
        <f t="shared" si="3"/>
        <v>0.34310344827586214</v>
      </c>
      <c r="K126" s="11">
        <v>5.0320924261874199E-2</v>
      </c>
      <c r="M126" s="13">
        <v>6128626000000</v>
      </c>
      <c r="N126" s="9" t="s">
        <v>50</v>
      </c>
      <c r="O126" s="6">
        <v>1.0683760683760684</v>
      </c>
    </row>
    <row r="127" spans="2:18" x14ac:dyDescent="0.5">
      <c r="B127" s="1" t="s">
        <v>205</v>
      </c>
      <c r="C127" t="s">
        <v>232</v>
      </c>
      <c r="D127" t="s">
        <v>226</v>
      </c>
      <c r="E127">
        <v>7.38</v>
      </c>
      <c r="F127" s="9" t="s">
        <v>67</v>
      </c>
      <c r="G127" s="7">
        <v>454070960128</v>
      </c>
      <c r="H127" s="6">
        <v>8.1199999999999992</v>
      </c>
      <c r="I127" s="6">
        <v>4.83</v>
      </c>
      <c r="J127" s="12">
        <f t="shared" si="3"/>
        <v>0.52795031055900621</v>
      </c>
      <c r="K127" s="11">
        <v>4.8509485094850945E-2</v>
      </c>
      <c r="M127" s="13">
        <v>2066897000000</v>
      </c>
      <c r="N127" s="9" t="s">
        <v>50</v>
      </c>
      <c r="O127" s="6">
        <v>1.0683760683760684</v>
      </c>
    </row>
    <row r="128" spans="2:18" x14ac:dyDescent="0.5">
      <c r="B128" s="1" t="s">
        <v>200</v>
      </c>
      <c r="C128" t="s">
        <v>225</v>
      </c>
      <c r="D128" t="s">
        <v>226</v>
      </c>
      <c r="E128">
        <v>38.119999999999997</v>
      </c>
      <c r="F128" s="9" t="s">
        <v>67</v>
      </c>
      <c r="G128" s="7">
        <v>403034374144</v>
      </c>
      <c r="H128" s="6">
        <v>39.24</v>
      </c>
      <c r="I128" s="6">
        <v>23.75</v>
      </c>
      <c r="J128" s="12">
        <f t="shared" si="3"/>
        <v>0.60505263157894729</v>
      </c>
      <c r="K128" s="11">
        <v>5.2439664218258138E-2</v>
      </c>
      <c r="M128" s="13">
        <v>415994000000</v>
      </c>
      <c r="N128" s="9" t="s">
        <v>67</v>
      </c>
      <c r="O128" s="6">
        <v>1</v>
      </c>
    </row>
  </sheetData>
  <autoFilter ref="B1:R19" xr:uid="{7A9EDF16-08C4-B24B-A5E4-CFD78B458569}">
    <sortState xmlns:xlrd2="http://schemas.microsoft.com/office/spreadsheetml/2017/richdata2" ref="B2:R129">
      <sortCondition ref="R1:R19"/>
    </sortState>
  </autoFilter>
  <conditionalFormatting sqref="J2:J1048576">
    <cfRule type="cellIs" dxfId="5" priority="1" operator="between">
      <formula>0</formula>
      <formula>0.1</formula>
    </cfRule>
    <cfRule type="cellIs" dxfId="4" priority="2" operator="between">
      <formula>0.10001</formula>
      <formula>0.2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46D05-099C-4A4C-836A-6062A20AA7D3}">
  <dimension ref="B1:V21"/>
  <sheetViews>
    <sheetView zoomScale="70" zoomScaleNormal="70" workbookViewId="0">
      <selection activeCell="J2" sqref="J2"/>
    </sheetView>
  </sheetViews>
  <sheetFormatPr defaultColWidth="11" defaultRowHeight="15.75" x14ac:dyDescent="0.5"/>
  <cols>
    <col min="1" max="1" width="2.8125" customWidth="1"/>
    <col min="2" max="2" width="14" style="1" customWidth="1"/>
    <col min="3" max="3" width="32.6875" bestFit="1" customWidth="1"/>
    <col min="4" max="4" width="25" customWidth="1"/>
    <col min="6" max="6" width="7.5" style="9" customWidth="1"/>
    <col min="7" max="7" width="21.1875" style="7" customWidth="1"/>
    <col min="8" max="9" width="11" style="6"/>
    <col min="10" max="10" width="11" style="12"/>
    <col min="11" max="11" width="11" style="11"/>
    <col min="12" max="13" width="15.5" style="13" customWidth="1"/>
    <col min="14" max="14" width="7.5" style="9" bestFit="1" customWidth="1"/>
    <col min="15" max="15" width="5.1875" style="6" customWidth="1"/>
    <col min="16" max="17" width="11" style="12"/>
    <col min="18" max="18" width="11" style="14"/>
  </cols>
  <sheetData>
    <row r="1" spans="2:22" ht="31.5" x14ac:dyDescent="0.5">
      <c r="B1" s="2" t="s">
        <v>0</v>
      </c>
      <c r="C1" s="2" t="s">
        <v>5</v>
      </c>
      <c r="D1" s="2" t="s">
        <v>1</v>
      </c>
      <c r="E1" s="3" t="s">
        <v>4</v>
      </c>
      <c r="F1" s="3" t="s">
        <v>45</v>
      </c>
      <c r="G1" s="8" t="s">
        <v>46</v>
      </c>
      <c r="H1" s="3" t="s">
        <v>40</v>
      </c>
      <c r="I1" s="3" t="s">
        <v>41</v>
      </c>
      <c r="J1" s="3" t="s">
        <v>51</v>
      </c>
      <c r="K1" s="3" t="s">
        <v>3</v>
      </c>
      <c r="L1" s="4" t="s">
        <v>42</v>
      </c>
      <c r="M1" s="4" t="s">
        <v>43</v>
      </c>
      <c r="N1" s="4" t="s">
        <v>44</v>
      </c>
      <c r="O1" s="10" t="s">
        <v>47</v>
      </c>
      <c r="P1" s="4" t="s">
        <v>6</v>
      </c>
      <c r="Q1" s="4" t="s">
        <v>2</v>
      </c>
      <c r="R1" s="4" t="s">
        <v>7</v>
      </c>
      <c r="S1" s="5"/>
      <c r="T1" s="5"/>
      <c r="U1" s="5"/>
      <c r="V1" s="5"/>
    </row>
    <row r="2" spans="2:22" x14ac:dyDescent="0.5">
      <c r="B2" s="1" t="s">
        <v>349</v>
      </c>
      <c r="C2" t="s">
        <v>369</v>
      </c>
      <c r="D2" t="s">
        <v>370</v>
      </c>
      <c r="E2">
        <v>15.23</v>
      </c>
      <c r="F2" s="9" t="s">
        <v>50</v>
      </c>
      <c r="G2" s="7">
        <v>8779440128</v>
      </c>
      <c r="H2" s="6">
        <v>20.5</v>
      </c>
      <c r="I2" s="6">
        <v>14.43</v>
      </c>
      <c r="J2" s="12">
        <f>E2/I2-1</f>
        <v>5.5440055440055591E-2</v>
      </c>
      <c r="K2" s="11">
        <v>6.9599474720945506E-2</v>
      </c>
      <c r="L2" s="13">
        <v>1115194928.8599999</v>
      </c>
      <c r="M2" s="13">
        <v>4734235892.8000002</v>
      </c>
      <c r="N2" s="9" t="s">
        <v>50</v>
      </c>
      <c r="O2" s="6">
        <v>1</v>
      </c>
      <c r="P2" s="12">
        <v>0.15178988345323438</v>
      </c>
      <c r="Q2" s="12">
        <v>0.23555964555041065</v>
      </c>
      <c r="R2" s="14">
        <v>1</v>
      </c>
    </row>
    <row r="3" spans="2:22" x14ac:dyDescent="0.5">
      <c r="B3" s="1" t="s">
        <v>12</v>
      </c>
      <c r="C3" t="s">
        <v>57</v>
      </c>
      <c r="D3" t="s">
        <v>58</v>
      </c>
      <c r="E3">
        <v>119.18</v>
      </c>
      <c r="F3" s="9" t="s">
        <v>50</v>
      </c>
      <c r="G3" s="7">
        <v>462610038784</v>
      </c>
      <c r="H3" s="6">
        <v>164.6</v>
      </c>
      <c r="I3" s="6">
        <v>115.4</v>
      </c>
      <c r="J3" s="12">
        <f>E3/I3-1</f>
        <v>3.2755632582322391E-2</v>
      </c>
      <c r="K3" s="11">
        <v>4.8204396710857522E-2</v>
      </c>
      <c r="L3" s="13">
        <v>44203762134.690002</v>
      </c>
      <c r="M3" s="13">
        <v>133285282015.97</v>
      </c>
      <c r="N3" s="9" t="s">
        <v>50</v>
      </c>
      <c r="O3" s="6">
        <v>1</v>
      </c>
      <c r="P3" s="12">
        <v>0.13155344368489788</v>
      </c>
      <c r="Q3" s="12">
        <v>0.33164773684009302</v>
      </c>
      <c r="R3" s="14">
        <v>2</v>
      </c>
    </row>
    <row r="4" spans="2:22" x14ac:dyDescent="0.5">
      <c r="B4" s="1" t="s">
        <v>350</v>
      </c>
      <c r="C4" t="s">
        <v>371</v>
      </c>
      <c r="D4" t="s">
        <v>239</v>
      </c>
      <c r="E4">
        <v>53.7</v>
      </c>
      <c r="F4" s="9" t="s">
        <v>50</v>
      </c>
      <c r="G4" s="7">
        <v>25989253120</v>
      </c>
      <c r="H4" s="6">
        <v>68.94</v>
      </c>
      <c r="I4" s="6">
        <v>52.7</v>
      </c>
      <c r="J4" s="12">
        <f>E4/I4-1</f>
        <v>1.8975332068311257E-2</v>
      </c>
      <c r="K4" s="11">
        <v>1.6759776536312849E-2</v>
      </c>
      <c r="L4" s="13">
        <v>2927600473.4699998</v>
      </c>
      <c r="M4" s="13">
        <v>1185220264.01</v>
      </c>
      <c r="N4" s="9" t="s">
        <v>50</v>
      </c>
      <c r="O4" s="6">
        <v>1</v>
      </c>
      <c r="P4" s="12">
        <v>0.11673112799526854</v>
      </c>
      <c r="Q4" s="12">
        <v>2.4700897903693781</v>
      </c>
      <c r="R4" s="14">
        <v>3</v>
      </c>
    </row>
    <row r="5" spans="2:22" x14ac:dyDescent="0.5">
      <c r="B5" s="1" t="s">
        <v>11</v>
      </c>
      <c r="C5" t="s">
        <v>56</v>
      </c>
      <c r="D5" t="s">
        <v>49</v>
      </c>
      <c r="E5">
        <v>8.66</v>
      </c>
      <c r="F5" s="9" t="s">
        <v>50</v>
      </c>
      <c r="G5" s="7">
        <v>14925288448</v>
      </c>
      <c r="H5" s="6">
        <v>9.5500000000000007</v>
      </c>
      <c r="I5" s="6">
        <v>7.65</v>
      </c>
      <c r="J5" s="12">
        <f>E5/I5-1</f>
        <v>0.13202614379084965</v>
      </c>
      <c r="K5" s="11">
        <v>4.9653579676674366E-2</v>
      </c>
      <c r="L5" s="13">
        <v>1541495041.8099999</v>
      </c>
      <c r="M5" s="13">
        <v>11970268017.99</v>
      </c>
      <c r="N5" s="9" t="s">
        <v>50</v>
      </c>
      <c r="O5" s="6">
        <v>1</v>
      </c>
      <c r="P5" s="12">
        <v>0.19287731510384684</v>
      </c>
      <c r="Q5" s="12">
        <v>0.1287769864044232</v>
      </c>
      <c r="R5" s="14">
        <v>4</v>
      </c>
    </row>
    <row r="6" spans="2:22" x14ac:dyDescent="0.5">
      <c r="B6" s="1" t="s">
        <v>13</v>
      </c>
      <c r="C6" t="s">
        <v>59</v>
      </c>
      <c r="D6" t="s">
        <v>60</v>
      </c>
      <c r="E6">
        <v>12.04</v>
      </c>
      <c r="F6" s="9" t="s">
        <v>50</v>
      </c>
      <c r="G6" s="7">
        <v>21623840768</v>
      </c>
      <c r="H6" s="6">
        <v>15.58</v>
      </c>
      <c r="I6" s="6">
        <v>11.91</v>
      </c>
      <c r="J6" s="12">
        <f>E6/I6-1</f>
        <v>1.0915197313182023E-2</v>
      </c>
      <c r="K6" s="11">
        <v>3.7375415282392029E-2</v>
      </c>
      <c r="L6" s="13">
        <v>1789808265.4000001</v>
      </c>
      <c r="M6" s="13">
        <v>15580673812.24</v>
      </c>
      <c r="N6" s="9" t="s">
        <v>50</v>
      </c>
      <c r="O6" s="6">
        <v>1</v>
      </c>
      <c r="P6" s="12">
        <v>0.19413266484270184</v>
      </c>
      <c r="Q6" s="12">
        <v>0.11487361117809598</v>
      </c>
      <c r="R6" s="14">
        <v>5</v>
      </c>
    </row>
    <row r="7" spans="2:22" x14ac:dyDescent="0.5">
      <c r="B7" s="1" t="s">
        <v>14</v>
      </c>
      <c r="C7" t="s">
        <v>61</v>
      </c>
      <c r="D7" t="s">
        <v>60</v>
      </c>
      <c r="E7">
        <v>12.05</v>
      </c>
      <c r="F7" s="9" t="s">
        <v>50</v>
      </c>
      <c r="G7" s="7">
        <v>12329606144</v>
      </c>
      <c r="H7" s="6">
        <v>14.08</v>
      </c>
      <c r="I7" s="6">
        <v>10.33</v>
      </c>
      <c r="J7" s="12">
        <f>E7/I7-1</f>
        <v>0.16650532429816067</v>
      </c>
      <c r="K7" s="11">
        <v>4.9792531120331947E-2</v>
      </c>
      <c r="L7" s="13">
        <v>1324661161.8800001</v>
      </c>
      <c r="M7" s="13">
        <v>11491269147.950001</v>
      </c>
      <c r="N7" s="9" t="s">
        <v>50</v>
      </c>
      <c r="O7" s="6">
        <v>1</v>
      </c>
      <c r="P7" s="12">
        <v>0.18429075324520208</v>
      </c>
      <c r="Q7" s="12">
        <v>0.11527544475940803</v>
      </c>
      <c r="R7" s="14">
        <v>6</v>
      </c>
    </row>
    <row r="8" spans="2:22" x14ac:dyDescent="0.5">
      <c r="B8" s="1" t="s">
        <v>355</v>
      </c>
      <c r="C8" t="s">
        <v>376</v>
      </c>
      <c r="D8" t="s">
        <v>86</v>
      </c>
      <c r="E8">
        <v>21.94</v>
      </c>
      <c r="F8" s="9" t="s">
        <v>50</v>
      </c>
      <c r="G8" s="7">
        <v>11098462208</v>
      </c>
      <c r="H8" s="6">
        <v>34.1</v>
      </c>
      <c r="I8" s="6">
        <v>20.87</v>
      </c>
      <c r="J8" s="12">
        <f>E8/I8-1</f>
        <v>5.1269765213224794E-2</v>
      </c>
      <c r="K8" s="11">
        <v>4.5578851412944391E-2</v>
      </c>
      <c r="L8" s="13">
        <v>1139111857.1300001</v>
      </c>
      <c r="M8" s="13">
        <v>7932700024.4300003</v>
      </c>
      <c r="N8" s="9" t="s">
        <v>50</v>
      </c>
      <c r="O8" s="6">
        <v>1</v>
      </c>
      <c r="P8" s="12">
        <v>0.12905864360128735</v>
      </c>
      <c r="Q8" s="12">
        <v>0.14359699139283291</v>
      </c>
      <c r="R8" s="14">
        <v>7</v>
      </c>
    </row>
    <row r="9" spans="2:22" x14ac:dyDescent="0.5">
      <c r="B9" s="1" t="s">
        <v>353</v>
      </c>
      <c r="C9" t="s">
        <v>374</v>
      </c>
      <c r="D9" t="s">
        <v>58</v>
      </c>
      <c r="E9">
        <v>70.05</v>
      </c>
      <c r="F9" s="9" t="s">
        <v>50</v>
      </c>
      <c r="G9" s="7">
        <v>105526476800</v>
      </c>
      <c r="H9" s="6">
        <v>95</v>
      </c>
      <c r="I9" s="6">
        <v>63.17</v>
      </c>
      <c r="J9" s="12">
        <f>E9/I9-1</f>
        <v>0.1089124584454646</v>
      </c>
      <c r="K9" s="11">
        <v>3.3076374018558174E-2</v>
      </c>
      <c r="L9" s="13">
        <v>9147980437.1399994</v>
      </c>
      <c r="M9" s="13">
        <v>51588243128.650002</v>
      </c>
      <c r="N9" s="9" t="s">
        <v>50</v>
      </c>
      <c r="O9" s="6">
        <v>1</v>
      </c>
      <c r="P9" s="12">
        <v>0.10910988692441896</v>
      </c>
      <c r="Q9" s="12">
        <v>0.177326845853752</v>
      </c>
      <c r="R9" s="14">
        <v>8</v>
      </c>
    </row>
    <row r="10" spans="2:22" x14ac:dyDescent="0.5">
      <c r="B10" s="1" t="s">
        <v>351</v>
      </c>
      <c r="C10" t="s">
        <v>372</v>
      </c>
      <c r="D10" t="s">
        <v>82</v>
      </c>
      <c r="E10">
        <v>53.18</v>
      </c>
      <c r="F10" s="9" t="s">
        <v>50</v>
      </c>
      <c r="G10" s="7">
        <v>26927579136</v>
      </c>
      <c r="H10" s="6">
        <v>71.2</v>
      </c>
      <c r="I10" s="6">
        <v>39.03</v>
      </c>
      <c r="J10" s="12">
        <f>E10/I10-1</f>
        <v>0.36254163464002054</v>
      </c>
      <c r="K10" s="11">
        <v>0</v>
      </c>
      <c r="L10" s="13">
        <v>1949016683.5799999</v>
      </c>
      <c r="M10" s="13">
        <v>10523421872.709999</v>
      </c>
      <c r="N10" s="9" t="s">
        <v>50</v>
      </c>
      <c r="O10" s="6">
        <v>1</v>
      </c>
      <c r="P10" s="12">
        <v>8.4939145292750484E-2</v>
      </c>
      <c r="Q10" s="12">
        <v>0.18520750257426369</v>
      </c>
      <c r="R10" s="14">
        <v>9</v>
      </c>
    </row>
    <row r="11" spans="2:22" x14ac:dyDescent="0.5">
      <c r="B11" s="1" t="s">
        <v>354</v>
      </c>
      <c r="C11" t="s">
        <v>375</v>
      </c>
      <c r="D11" t="s">
        <v>60</v>
      </c>
      <c r="E11">
        <v>10.28</v>
      </c>
      <c r="F11" s="9" t="s">
        <v>50</v>
      </c>
      <c r="G11" s="7">
        <v>14057952256</v>
      </c>
      <c r="H11" s="6">
        <v>14.2</v>
      </c>
      <c r="I11" s="6">
        <v>9.91</v>
      </c>
      <c r="J11" s="12">
        <f>E11/I11-1</f>
        <v>3.7336024217961672E-2</v>
      </c>
      <c r="K11" s="11">
        <v>3.8910505836575883E-2</v>
      </c>
      <c r="L11" s="13">
        <v>1310024443.6900001</v>
      </c>
      <c r="M11" s="13">
        <v>19473263524.830002</v>
      </c>
      <c r="N11" s="9" t="s">
        <v>50</v>
      </c>
      <c r="O11" s="6">
        <v>1</v>
      </c>
      <c r="P11" s="12">
        <v>0.20977999066905151</v>
      </c>
      <c r="Q11" s="12">
        <v>6.7272978770076819E-2</v>
      </c>
      <c r="R11" s="14">
        <v>9</v>
      </c>
    </row>
    <row r="12" spans="2:22" x14ac:dyDescent="0.5">
      <c r="B12" s="1" t="s">
        <v>10</v>
      </c>
      <c r="C12" t="s">
        <v>54</v>
      </c>
      <c r="D12" t="s">
        <v>55</v>
      </c>
      <c r="E12">
        <v>116.38</v>
      </c>
      <c r="F12" s="9" t="s">
        <v>50</v>
      </c>
      <c r="G12" s="7">
        <v>62398021632</v>
      </c>
      <c r="H12" s="6">
        <v>149.5</v>
      </c>
      <c r="I12" s="6">
        <v>69.98</v>
      </c>
      <c r="J12" s="12">
        <f>E12/I12-1</f>
        <v>0.66304658473849654</v>
      </c>
      <c r="K12" s="11">
        <v>0</v>
      </c>
      <c r="L12" s="13">
        <v>2351242906.4000001</v>
      </c>
      <c r="M12" s="13">
        <v>10336332783.18</v>
      </c>
      <c r="N12" s="9" t="s">
        <v>50</v>
      </c>
      <c r="O12" s="6">
        <v>1</v>
      </c>
      <c r="P12" s="12">
        <v>3.8230203595889294E-2</v>
      </c>
      <c r="Q12" s="12">
        <v>0.22747360748931247</v>
      </c>
      <c r="R12" s="14">
        <v>10</v>
      </c>
    </row>
    <row r="13" spans="2:22" x14ac:dyDescent="0.5">
      <c r="B13" s="1" t="s">
        <v>352</v>
      </c>
      <c r="C13" t="s">
        <v>373</v>
      </c>
      <c r="D13" t="s">
        <v>323</v>
      </c>
      <c r="E13">
        <v>5.47</v>
      </c>
      <c r="F13" s="9" t="s">
        <v>50</v>
      </c>
      <c r="G13" s="7">
        <v>24184811520</v>
      </c>
      <c r="H13" s="6">
        <v>6.39</v>
      </c>
      <c r="I13" s="6">
        <v>4.96</v>
      </c>
      <c r="J13" s="12">
        <f>E13/I13-1</f>
        <v>0.10282258064516125</v>
      </c>
      <c r="K13" s="11">
        <v>3.6745886654478983E-2</v>
      </c>
      <c r="L13" s="13">
        <v>2697498300</v>
      </c>
      <c r="M13" s="13">
        <v>26396524300</v>
      </c>
      <c r="N13" s="9" t="s">
        <v>50</v>
      </c>
      <c r="O13" s="6">
        <v>1</v>
      </c>
      <c r="P13" s="12">
        <v>0.13940851748965477</v>
      </c>
      <c r="Q13" s="12">
        <v>0.10219141995145171</v>
      </c>
      <c r="R13" s="14">
        <v>10</v>
      </c>
    </row>
    <row r="14" spans="2:22" x14ac:dyDescent="0.5">
      <c r="B14" s="1" t="s">
        <v>357</v>
      </c>
      <c r="C14" t="s">
        <v>378</v>
      </c>
      <c r="D14" t="s">
        <v>151</v>
      </c>
      <c r="E14">
        <v>20.18</v>
      </c>
      <c r="F14" s="9" t="s">
        <v>50</v>
      </c>
      <c r="G14" s="7">
        <v>20326963200</v>
      </c>
      <c r="H14" s="6">
        <v>25.2</v>
      </c>
      <c r="I14" s="6">
        <v>19.93</v>
      </c>
      <c r="J14" s="12">
        <f>E14/I14-1</f>
        <v>1.2543903662819877E-2</v>
      </c>
      <c r="K14" s="11">
        <v>5.4509415262636279E-2</v>
      </c>
      <c r="L14" s="13">
        <v>1686709166</v>
      </c>
      <c r="M14" s="13">
        <v>10738080107</v>
      </c>
      <c r="N14" s="9" t="s">
        <v>50</v>
      </c>
      <c r="O14" s="6">
        <v>1</v>
      </c>
      <c r="P14" s="12">
        <v>9.657747920840716E-2</v>
      </c>
      <c r="Q14" s="12">
        <v>0.15707734987937541</v>
      </c>
      <c r="R14" s="14">
        <v>10</v>
      </c>
    </row>
    <row r="15" spans="2:22" x14ac:dyDescent="0.5">
      <c r="B15" s="1" t="s">
        <v>15</v>
      </c>
      <c r="C15" t="s">
        <v>62</v>
      </c>
      <c r="D15" t="s">
        <v>60</v>
      </c>
      <c r="E15">
        <v>8.76</v>
      </c>
      <c r="F15" s="9" t="s">
        <v>50</v>
      </c>
      <c r="G15" s="7">
        <v>10631576576</v>
      </c>
      <c r="H15" s="6">
        <v>10.07</v>
      </c>
      <c r="I15" s="6">
        <v>8.15</v>
      </c>
      <c r="J15" s="12">
        <f>E15/I15-1</f>
        <v>7.4846625766871178E-2</v>
      </c>
      <c r="K15" s="11">
        <v>4.6803652968036527E-2</v>
      </c>
      <c r="L15" s="13">
        <v>1074859531.29</v>
      </c>
      <c r="M15" s="13">
        <v>9527311896.5100002</v>
      </c>
      <c r="N15" s="9" t="s">
        <v>50</v>
      </c>
      <c r="O15" s="6">
        <v>1</v>
      </c>
      <c r="P15" s="12">
        <v>0.11981529071276621</v>
      </c>
      <c r="Q15" s="12">
        <v>0.1128187617835559</v>
      </c>
      <c r="R15" s="14">
        <v>11</v>
      </c>
    </row>
    <row r="16" spans="2:22" x14ac:dyDescent="0.5">
      <c r="B16" s="1" t="s">
        <v>8</v>
      </c>
      <c r="C16" t="s">
        <v>48</v>
      </c>
      <c r="D16" t="s">
        <v>49</v>
      </c>
      <c r="E16">
        <v>163.54</v>
      </c>
      <c r="F16" s="9" t="s">
        <v>50</v>
      </c>
      <c r="G16" s="7">
        <v>42374254592</v>
      </c>
      <c r="H16" s="6">
        <v>222.1</v>
      </c>
      <c r="I16" s="6">
        <v>123.57143000000001</v>
      </c>
      <c r="J16" s="12">
        <f>E16/I16-1</f>
        <v>0.32344507140525924</v>
      </c>
      <c r="K16" s="11">
        <v>4.6716399657576128E-3</v>
      </c>
      <c r="L16" s="13">
        <v>2107869808</v>
      </c>
      <c r="M16" s="13">
        <v>12869225664</v>
      </c>
      <c r="N16" s="9" t="s">
        <v>50</v>
      </c>
      <c r="O16" s="6">
        <v>1</v>
      </c>
      <c r="P16" s="12">
        <v>5.1276703761829349E-2</v>
      </c>
      <c r="Q16" s="12">
        <v>0.16379150253744434</v>
      </c>
      <c r="R16" s="14">
        <v>12</v>
      </c>
    </row>
    <row r="17" spans="2:18" x14ac:dyDescent="0.5">
      <c r="B17" s="1" t="s">
        <v>17</v>
      </c>
      <c r="C17" t="s">
        <v>64</v>
      </c>
      <c r="D17" t="s">
        <v>65</v>
      </c>
      <c r="E17">
        <v>12.11</v>
      </c>
      <c r="F17" s="9" t="s">
        <v>50</v>
      </c>
      <c r="G17" s="7">
        <v>4281163520</v>
      </c>
      <c r="H17" s="6">
        <v>15.53</v>
      </c>
      <c r="I17" s="6">
        <v>10.66</v>
      </c>
      <c r="J17" s="12">
        <f>E17/I17-1</f>
        <v>0.13602251407129451</v>
      </c>
      <c r="K17" s="11">
        <v>0</v>
      </c>
      <c r="L17" s="13">
        <v>339663210.94999999</v>
      </c>
      <c r="M17" s="13">
        <v>2751572515.0799999</v>
      </c>
      <c r="N17" s="9" t="s">
        <v>50</v>
      </c>
      <c r="O17" s="6">
        <v>1</v>
      </c>
      <c r="P17" s="12">
        <v>0.10113490776828557</v>
      </c>
      <c r="Q17" s="12">
        <v>0.12344330708657501</v>
      </c>
      <c r="R17" s="14">
        <v>12</v>
      </c>
    </row>
    <row r="18" spans="2:18" x14ac:dyDescent="0.5">
      <c r="B18" s="1" t="s">
        <v>16</v>
      </c>
      <c r="C18" t="s">
        <v>63</v>
      </c>
      <c r="D18" t="s">
        <v>60</v>
      </c>
      <c r="E18">
        <v>8</v>
      </c>
      <c r="F18" s="9" t="s">
        <v>50</v>
      </c>
      <c r="G18" s="7">
        <v>17777778688</v>
      </c>
      <c r="H18" s="6">
        <v>10.28</v>
      </c>
      <c r="I18" s="6">
        <v>7.15</v>
      </c>
      <c r="J18" s="12">
        <f>E18/I18-1</f>
        <v>0.11888111888111874</v>
      </c>
      <c r="K18" s="11">
        <v>3.7499999999999999E-2</v>
      </c>
      <c r="L18" s="13">
        <v>1357643494.6700001</v>
      </c>
      <c r="M18" s="13">
        <v>13696300546.360001</v>
      </c>
      <c r="N18" s="9" t="s">
        <v>50</v>
      </c>
      <c r="O18" s="6">
        <v>1</v>
      </c>
      <c r="P18" s="12">
        <v>0.11517187028413639</v>
      </c>
      <c r="Q18" s="12">
        <v>9.9124832291360196E-2</v>
      </c>
      <c r="R18" s="14">
        <v>13</v>
      </c>
    </row>
    <row r="19" spans="2:18" x14ac:dyDescent="0.5">
      <c r="B19" s="1" t="s">
        <v>9</v>
      </c>
      <c r="C19" t="s">
        <v>52</v>
      </c>
      <c r="D19" t="s">
        <v>53</v>
      </c>
      <c r="E19">
        <v>90.47</v>
      </c>
      <c r="F19" s="9" t="s">
        <v>50</v>
      </c>
      <c r="G19" s="7">
        <v>52385128448</v>
      </c>
      <c r="H19" s="6">
        <v>111.69</v>
      </c>
      <c r="I19" s="6">
        <v>42.3</v>
      </c>
      <c r="J19" s="12">
        <f>E19/I19-1</f>
        <v>1.1387706855791961</v>
      </c>
      <c r="K19" s="11">
        <v>4.9740245385210572E-3</v>
      </c>
      <c r="L19" s="13">
        <v>939613185.05999994</v>
      </c>
      <c r="M19" s="13">
        <v>9067794807.8099995</v>
      </c>
      <c r="N19" s="9" t="s">
        <v>50</v>
      </c>
      <c r="O19" s="6">
        <v>1</v>
      </c>
      <c r="P19" s="12">
        <v>1.9068778096515891E-2</v>
      </c>
      <c r="Q19" s="12">
        <v>0.10362091390188061</v>
      </c>
      <c r="R19" s="14">
        <v>14</v>
      </c>
    </row>
    <row r="20" spans="2:18" x14ac:dyDescent="0.5">
      <c r="B20" s="1" t="s">
        <v>358</v>
      </c>
      <c r="C20" t="s">
        <v>379</v>
      </c>
      <c r="D20" t="s">
        <v>247</v>
      </c>
      <c r="E20">
        <v>15.37</v>
      </c>
      <c r="F20" s="9" t="s">
        <v>50</v>
      </c>
      <c r="G20" s="7">
        <v>4485817856</v>
      </c>
      <c r="H20" s="6">
        <v>18.489999999999998</v>
      </c>
      <c r="I20" s="6">
        <v>11.95</v>
      </c>
      <c r="J20" s="12">
        <f>E20/I20-1</f>
        <v>0.28619246861924696</v>
      </c>
      <c r="K20" s="11">
        <v>2.602472348731295E-2</v>
      </c>
      <c r="L20" s="13">
        <v>225008130.19999999</v>
      </c>
      <c r="M20" s="13">
        <v>2512019918.8400002</v>
      </c>
      <c r="N20" s="9" t="s">
        <v>50</v>
      </c>
      <c r="O20" s="6">
        <v>1</v>
      </c>
      <c r="P20" s="12">
        <v>6.1236638166687486E-2</v>
      </c>
      <c r="Q20" s="12">
        <v>8.957258997528339E-2</v>
      </c>
      <c r="R20" s="14">
        <v>14</v>
      </c>
    </row>
    <row r="21" spans="2:18" x14ac:dyDescent="0.5">
      <c r="B21" s="1" t="s">
        <v>356</v>
      </c>
      <c r="C21" t="s">
        <v>377</v>
      </c>
      <c r="D21" t="s">
        <v>226</v>
      </c>
      <c r="E21">
        <v>20.18</v>
      </c>
      <c r="F21" s="9" t="s">
        <v>50</v>
      </c>
      <c r="G21" s="7">
        <v>427066359808</v>
      </c>
      <c r="H21" s="6">
        <v>25.45</v>
      </c>
      <c r="I21" s="6">
        <v>17.670000000000002</v>
      </c>
      <c r="J21" s="12">
        <f>E21/I21-1</f>
        <v>0.1420486700622523</v>
      </c>
      <c r="K21" s="11">
        <v>5.2527254707631324E-2</v>
      </c>
      <c r="M21" s="13">
        <v>2415915000000</v>
      </c>
      <c r="N21" s="9" t="s">
        <v>50</v>
      </c>
      <c r="O21" s="6">
        <v>1</v>
      </c>
    </row>
  </sheetData>
  <autoFilter ref="B1:R11" xr:uid="{7A9EDF16-08C4-B24B-A5E4-CFD78B458569}">
    <sortState xmlns:xlrd2="http://schemas.microsoft.com/office/spreadsheetml/2017/richdata2" ref="B2:R21">
      <sortCondition ref="R1:R11"/>
    </sortState>
  </autoFilter>
  <conditionalFormatting sqref="J2:J1048576">
    <cfRule type="cellIs" dxfId="3" priority="1" operator="between">
      <formula>0.100001</formula>
      <formula>0.2</formula>
    </cfRule>
    <cfRule type="cellIs" dxfId="2" priority="2" operator="between">
      <formula>0.00001</formula>
      <formula>0.1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A5E83-3B3C-124C-A85B-B3DA799E441B}">
  <dimension ref="B1:V35"/>
  <sheetViews>
    <sheetView topLeftCell="A7" zoomScale="89" zoomScaleNormal="100" workbookViewId="0">
      <selection activeCell="J25" sqref="B25:J25"/>
    </sheetView>
  </sheetViews>
  <sheetFormatPr defaultColWidth="11" defaultRowHeight="15.75" x14ac:dyDescent="0.5"/>
  <cols>
    <col min="1" max="1" width="2.8125" customWidth="1"/>
    <col min="2" max="2" width="14" style="1" customWidth="1"/>
    <col min="3" max="3" width="32.6875" bestFit="1" customWidth="1"/>
    <col min="4" max="4" width="25" customWidth="1"/>
    <col min="6" max="6" width="7.5" style="9" customWidth="1"/>
    <col min="7" max="7" width="21.1875" style="7" customWidth="1"/>
    <col min="8" max="9" width="11" style="6"/>
    <col min="10" max="10" width="11" style="12"/>
    <col min="11" max="11" width="11" style="11"/>
    <col min="12" max="13" width="15.5" style="13" customWidth="1"/>
    <col min="14" max="14" width="7.5" style="9" bestFit="1" customWidth="1"/>
    <col min="15" max="15" width="5.1875" style="6" customWidth="1"/>
    <col min="16" max="17" width="11" style="12"/>
    <col min="18" max="18" width="11" style="14"/>
  </cols>
  <sheetData>
    <row r="1" spans="2:22" ht="31.5" x14ac:dyDescent="0.5">
      <c r="B1" s="2" t="s">
        <v>0</v>
      </c>
      <c r="C1" s="2" t="s">
        <v>5</v>
      </c>
      <c r="D1" s="2" t="s">
        <v>1</v>
      </c>
      <c r="E1" s="3" t="s">
        <v>4</v>
      </c>
      <c r="F1" s="3" t="s">
        <v>45</v>
      </c>
      <c r="G1" s="8" t="s">
        <v>46</v>
      </c>
      <c r="H1" s="3" t="s">
        <v>40</v>
      </c>
      <c r="I1" s="3" t="s">
        <v>41</v>
      </c>
      <c r="J1" s="3" t="s">
        <v>51</v>
      </c>
      <c r="K1" s="3" t="s">
        <v>3</v>
      </c>
      <c r="L1" s="4" t="s">
        <v>42</v>
      </c>
      <c r="M1" s="4" t="s">
        <v>43</v>
      </c>
      <c r="N1" s="4" t="s">
        <v>44</v>
      </c>
      <c r="O1" s="10" t="s">
        <v>47</v>
      </c>
      <c r="P1" s="4" t="s">
        <v>6</v>
      </c>
      <c r="Q1" s="4" t="s">
        <v>2</v>
      </c>
      <c r="R1" s="4" t="s">
        <v>7</v>
      </c>
      <c r="S1" s="5"/>
      <c r="T1" s="5"/>
      <c r="U1" s="5"/>
      <c r="V1" s="5"/>
    </row>
    <row r="2" spans="2:22" x14ac:dyDescent="0.5">
      <c r="B2" s="1" t="s">
        <v>215</v>
      </c>
      <c r="C2" t="s">
        <v>246</v>
      </c>
      <c r="D2" t="s">
        <v>247</v>
      </c>
      <c r="E2">
        <v>18.95</v>
      </c>
      <c r="F2" s="9" t="s">
        <v>71</v>
      </c>
      <c r="G2" s="7">
        <v>667770688</v>
      </c>
      <c r="H2" s="6">
        <v>25.04</v>
      </c>
      <c r="I2" s="6">
        <v>18.113499999999998</v>
      </c>
      <c r="J2" s="12">
        <f t="shared" ref="J2:J35" si="0">E2/I2-1</f>
        <v>4.6181025202197246E-2</v>
      </c>
      <c r="K2" s="11">
        <v>9.9525065963060683E-2</v>
      </c>
      <c r="L2" s="13">
        <v>395695000</v>
      </c>
      <c r="M2" s="13">
        <v>675803000</v>
      </c>
      <c r="N2" s="9" t="s">
        <v>71</v>
      </c>
      <c r="O2" s="6">
        <v>1</v>
      </c>
      <c r="P2" s="12">
        <v>0.39211549994107392</v>
      </c>
      <c r="Q2" s="12">
        <v>0.58551826493815506</v>
      </c>
      <c r="R2" s="14">
        <v>1</v>
      </c>
    </row>
    <row r="3" spans="2:22" x14ac:dyDescent="0.5">
      <c r="B3" s="1" t="s">
        <v>206</v>
      </c>
      <c r="C3" t="s">
        <v>233</v>
      </c>
      <c r="D3" t="s">
        <v>234</v>
      </c>
      <c r="E3">
        <v>23.97</v>
      </c>
      <c r="F3" s="9" t="s">
        <v>71</v>
      </c>
      <c r="G3" s="7">
        <v>60857823232</v>
      </c>
      <c r="H3" s="6">
        <v>28.27</v>
      </c>
      <c r="I3" s="6">
        <v>21.41</v>
      </c>
      <c r="J3" s="12">
        <f t="shared" si="0"/>
        <v>0.11957029425502097</v>
      </c>
      <c r="K3" s="11">
        <v>6.1743846474760118E-2</v>
      </c>
      <c r="L3" s="13">
        <v>32043000000</v>
      </c>
      <c r="M3" s="13">
        <v>68927000000</v>
      </c>
      <c r="N3" s="9" t="s">
        <v>71</v>
      </c>
      <c r="O3" s="6">
        <v>1</v>
      </c>
      <c r="P3" s="12">
        <v>0.3767556331374457</v>
      </c>
      <c r="Q3" s="12">
        <v>0.46488313723214414</v>
      </c>
      <c r="R3" s="14">
        <v>2</v>
      </c>
    </row>
    <row r="4" spans="2:22" x14ac:dyDescent="0.5">
      <c r="B4" s="1" t="s">
        <v>394</v>
      </c>
      <c r="C4" t="s">
        <v>407</v>
      </c>
      <c r="D4" t="s">
        <v>74</v>
      </c>
      <c r="E4">
        <v>168.02</v>
      </c>
      <c r="F4" s="9" t="s">
        <v>71</v>
      </c>
      <c r="G4" s="7">
        <v>19925350400</v>
      </c>
      <c r="H4" s="6">
        <v>423.32</v>
      </c>
      <c r="I4" s="6">
        <v>159.25</v>
      </c>
      <c r="J4" s="12">
        <f t="shared" si="0"/>
        <v>5.5070643642072259E-2</v>
      </c>
      <c r="K4" s="11">
        <v>0</v>
      </c>
      <c r="L4" s="13">
        <v>2505697000</v>
      </c>
      <c r="M4" s="13">
        <v>4324047000</v>
      </c>
      <c r="N4" s="9" t="s">
        <v>71</v>
      </c>
      <c r="O4" s="6">
        <v>1</v>
      </c>
      <c r="P4" s="12">
        <v>0.12838663647279078</v>
      </c>
      <c r="Q4" s="12">
        <v>0.57947959400071281</v>
      </c>
      <c r="R4" s="14">
        <v>3</v>
      </c>
    </row>
    <row r="5" spans="2:22" x14ac:dyDescent="0.5">
      <c r="B5" s="1" t="s">
        <v>208</v>
      </c>
      <c r="C5" t="s">
        <v>236</v>
      </c>
      <c r="D5" t="s">
        <v>237</v>
      </c>
      <c r="E5">
        <v>68.61</v>
      </c>
      <c r="F5" s="9" t="s">
        <v>71</v>
      </c>
      <c r="G5" s="7">
        <v>2309120512</v>
      </c>
      <c r="H5" s="6">
        <v>105.27500000000001</v>
      </c>
      <c r="I5" s="6">
        <v>49.92</v>
      </c>
      <c r="J5" s="12">
        <f t="shared" si="0"/>
        <v>0.37439903846153832</v>
      </c>
      <c r="K5" s="11">
        <v>1.880192391779624E-2</v>
      </c>
      <c r="L5" s="13">
        <v>622821000</v>
      </c>
      <c r="M5" s="13">
        <v>2304738000</v>
      </c>
      <c r="N5" s="9" t="s">
        <v>71</v>
      </c>
      <c r="O5" s="6">
        <v>1</v>
      </c>
      <c r="P5" s="12">
        <v>0.21410586140781879</v>
      </c>
      <c r="Q5" s="12">
        <v>0.27023505491730515</v>
      </c>
      <c r="R5" s="14">
        <v>4</v>
      </c>
    </row>
    <row r="6" spans="2:22" x14ac:dyDescent="0.5">
      <c r="B6" s="1" t="s">
        <v>39</v>
      </c>
      <c r="C6" t="s">
        <v>106</v>
      </c>
      <c r="D6" t="s">
        <v>107</v>
      </c>
      <c r="E6">
        <v>98.81</v>
      </c>
      <c r="F6" s="9" t="s">
        <v>71</v>
      </c>
      <c r="G6" s="7">
        <v>4046156800</v>
      </c>
      <c r="H6" s="6">
        <v>110.2</v>
      </c>
      <c r="I6" s="6">
        <v>45.55</v>
      </c>
      <c r="J6" s="12">
        <f t="shared" si="0"/>
        <v>1.1692645444566412</v>
      </c>
      <c r="K6" s="11">
        <v>1.2346928448537596E-2</v>
      </c>
      <c r="L6" s="13">
        <v>503000000</v>
      </c>
      <c r="M6" s="13">
        <v>1851800000</v>
      </c>
      <c r="N6" s="9" t="s">
        <v>71</v>
      </c>
      <c r="O6" s="6">
        <v>1</v>
      </c>
      <c r="P6" s="12">
        <v>0.10882601010009224</v>
      </c>
      <c r="Q6" s="12">
        <v>0.27162760557295607</v>
      </c>
      <c r="R6" s="14">
        <v>5</v>
      </c>
    </row>
    <row r="7" spans="2:22" x14ac:dyDescent="0.5">
      <c r="B7" s="1" t="s">
        <v>207</v>
      </c>
      <c r="C7" t="s">
        <v>235</v>
      </c>
      <c r="D7" t="s">
        <v>76</v>
      </c>
      <c r="E7">
        <v>30.66</v>
      </c>
      <c r="F7" s="9" t="s">
        <v>71</v>
      </c>
      <c r="G7" s="7">
        <v>1096728192</v>
      </c>
      <c r="H7" s="6">
        <v>33.08</v>
      </c>
      <c r="I7" s="6">
        <v>17.73</v>
      </c>
      <c r="J7" s="12">
        <f t="shared" si="0"/>
        <v>0.72927241962774958</v>
      </c>
      <c r="K7" s="11">
        <v>6.3600782778864967E-2</v>
      </c>
      <c r="L7" s="13">
        <v>394305000</v>
      </c>
      <c r="M7" s="13">
        <v>2138821000</v>
      </c>
      <c r="N7" s="9" t="s">
        <v>71</v>
      </c>
      <c r="O7" s="6">
        <v>1</v>
      </c>
      <c r="P7" s="12">
        <v>0.24051637712399923</v>
      </c>
      <c r="Q7" s="12">
        <v>0.18435624112536766</v>
      </c>
      <c r="R7" s="14">
        <v>6</v>
      </c>
    </row>
    <row r="8" spans="2:22" x14ac:dyDescent="0.5">
      <c r="B8" s="1" t="s">
        <v>210</v>
      </c>
      <c r="C8" t="s">
        <v>240</v>
      </c>
      <c r="D8" t="s">
        <v>241</v>
      </c>
      <c r="E8">
        <v>9.42</v>
      </c>
      <c r="F8" s="9" t="s">
        <v>71</v>
      </c>
      <c r="G8" s="7">
        <v>2994098944</v>
      </c>
      <c r="H8" s="6">
        <v>11.95</v>
      </c>
      <c r="I8" s="6">
        <v>7.85</v>
      </c>
      <c r="J8" s="12">
        <f t="shared" si="0"/>
        <v>0.19999999999999996</v>
      </c>
      <c r="K8" s="11">
        <v>9.9787685774946913E-2</v>
      </c>
      <c r="L8" s="13">
        <v>738400000</v>
      </c>
      <c r="M8" s="13">
        <v>3909700000</v>
      </c>
      <c r="N8" s="9" t="s">
        <v>71</v>
      </c>
      <c r="O8" s="6">
        <v>1</v>
      </c>
      <c r="P8" s="12">
        <v>0.18365879715052599</v>
      </c>
      <c r="Q8" s="12">
        <v>0.18886359567230221</v>
      </c>
      <c r="R8" s="14">
        <v>6</v>
      </c>
    </row>
    <row r="9" spans="2:22" x14ac:dyDescent="0.5">
      <c r="B9" s="1" t="s">
        <v>38</v>
      </c>
      <c r="C9" t="s">
        <v>104</v>
      </c>
      <c r="D9" t="s">
        <v>105</v>
      </c>
      <c r="E9">
        <v>68.510000000000005</v>
      </c>
      <c r="F9" s="9" t="s">
        <v>71</v>
      </c>
      <c r="G9" s="7">
        <v>116454727680</v>
      </c>
      <c r="H9" s="6">
        <v>73.349999999999994</v>
      </c>
      <c r="I9" s="6">
        <v>32.82</v>
      </c>
      <c r="J9" s="12">
        <f t="shared" si="0"/>
        <v>1.0874466788543571</v>
      </c>
      <c r="K9" s="11">
        <v>4.1599766457451458E-3</v>
      </c>
      <c r="L9" s="13">
        <v>7886000000</v>
      </c>
      <c r="M9" s="13">
        <v>4294000000</v>
      </c>
      <c r="N9" s="9" t="s">
        <v>71</v>
      </c>
      <c r="O9" s="6">
        <v>1</v>
      </c>
      <c r="P9" s="12">
        <v>6.9889211175777122E-2</v>
      </c>
      <c r="Q9" s="12">
        <v>1.8365160689333955</v>
      </c>
      <c r="R9" s="14">
        <v>7</v>
      </c>
    </row>
    <row r="10" spans="2:22" x14ac:dyDescent="0.5">
      <c r="B10" s="1" t="s">
        <v>211</v>
      </c>
      <c r="C10" t="s">
        <v>242</v>
      </c>
      <c r="D10" t="s">
        <v>86</v>
      </c>
      <c r="E10">
        <v>68.58</v>
      </c>
      <c r="F10" s="9" t="s">
        <v>71</v>
      </c>
      <c r="G10" s="7">
        <v>798563328</v>
      </c>
      <c r="H10" s="6">
        <v>91.98</v>
      </c>
      <c r="I10" s="6">
        <v>58.47</v>
      </c>
      <c r="J10" s="12">
        <f t="shared" si="0"/>
        <v>0.17290918419702406</v>
      </c>
      <c r="K10" s="11">
        <v>0</v>
      </c>
      <c r="L10" s="13">
        <v>81417000</v>
      </c>
      <c r="M10" s="13">
        <v>434080000</v>
      </c>
      <c r="N10" s="9" t="s">
        <v>71</v>
      </c>
      <c r="O10" s="6">
        <v>1</v>
      </c>
      <c r="P10" s="12">
        <v>9.0909260630495731E-2</v>
      </c>
      <c r="Q10" s="12">
        <v>0.18756220051603392</v>
      </c>
      <c r="R10" s="14">
        <v>8</v>
      </c>
    </row>
    <row r="11" spans="2:22" x14ac:dyDescent="0.5">
      <c r="B11" s="1" t="s">
        <v>418</v>
      </c>
      <c r="C11" t="s">
        <v>425</v>
      </c>
      <c r="D11" t="s">
        <v>234</v>
      </c>
      <c r="E11">
        <v>114.69</v>
      </c>
      <c r="F11" s="9" t="s">
        <v>71</v>
      </c>
      <c r="G11" s="7">
        <v>488951808000</v>
      </c>
      <c r="H11" s="6">
        <v>123.21</v>
      </c>
      <c r="I11" s="6">
        <v>97.8</v>
      </c>
      <c r="J11" s="12">
        <f t="shared" si="0"/>
        <v>0.17269938650306749</v>
      </c>
      <c r="K11" s="11">
        <v>3.4179091463946293E-2</v>
      </c>
      <c r="L11" s="13">
        <v>49869000000</v>
      </c>
      <c r="M11" s="13">
        <v>301464000000</v>
      </c>
      <c r="N11" s="9" t="s">
        <v>71</v>
      </c>
      <c r="O11" s="6">
        <v>1</v>
      </c>
      <c r="P11" s="12">
        <v>9.8238331357022923E-2</v>
      </c>
      <c r="Q11" s="12">
        <v>0.16542273704322905</v>
      </c>
      <c r="R11" s="14">
        <v>8</v>
      </c>
    </row>
    <row r="12" spans="2:22" x14ac:dyDescent="0.5">
      <c r="B12" s="1" t="s">
        <v>399</v>
      </c>
      <c r="C12" t="s">
        <v>412</v>
      </c>
      <c r="D12" t="s">
        <v>314</v>
      </c>
      <c r="E12">
        <v>95.06</v>
      </c>
      <c r="F12" s="9" t="s">
        <v>71</v>
      </c>
      <c r="G12" s="7">
        <v>80569966592</v>
      </c>
      <c r="H12" s="6">
        <v>138.66999999999999</v>
      </c>
      <c r="I12" s="6">
        <v>82</v>
      </c>
      <c r="J12" s="12">
        <f t="shared" si="0"/>
        <v>0.15926829268292675</v>
      </c>
      <c r="K12" s="11">
        <v>6.8903850199873759E-2</v>
      </c>
      <c r="L12" s="13">
        <v>8308000000</v>
      </c>
      <c r="M12" s="13">
        <v>38002000000</v>
      </c>
      <c r="N12" s="9" t="s">
        <v>71</v>
      </c>
      <c r="O12" s="6">
        <v>1</v>
      </c>
      <c r="P12" s="12">
        <v>8.2988740110756465E-2</v>
      </c>
      <c r="Q12" s="12">
        <v>0.21862007262775643</v>
      </c>
      <c r="R12" s="14">
        <v>9</v>
      </c>
    </row>
    <row r="13" spans="2:22" x14ac:dyDescent="0.5">
      <c r="B13" s="1" t="s">
        <v>401</v>
      </c>
      <c r="C13" t="s">
        <v>414</v>
      </c>
      <c r="D13" t="s">
        <v>165</v>
      </c>
      <c r="E13">
        <v>76.510000000000005</v>
      </c>
      <c r="F13" s="9" t="s">
        <v>71</v>
      </c>
      <c r="G13" s="7">
        <v>61836976128</v>
      </c>
      <c r="H13" s="6">
        <v>100.18</v>
      </c>
      <c r="I13" s="6">
        <v>75.38</v>
      </c>
      <c r="J13" s="12">
        <f t="shared" si="0"/>
        <v>1.4990713717166537E-2</v>
      </c>
      <c r="K13" s="11">
        <v>2.6401777545418899E-2</v>
      </c>
      <c r="L13" s="13">
        <v>4248000000</v>
      </c>
      <c r="M13" s="13">
        <v>8161000000</v>
      </c>
      <c r="N13" s="9" t="s">
        <v>71</v>
      </c>
      <c r="O13" s="6">
        <v>1</v>
      </c>
      <c r="P13" s="12">
        <v>6.134032409160927E-2</v>
      </c>
      <c r="Q13" s="12">
        <v>0.52052444553363564</v>
      </c>
      <c r="R13" s="14">
        <v>10</v>
      </c>
    </row>
    <row r="14" spans="2:22" x14ac:dyDescent="0.5">
      <c r="B14" s="1" t="s">
        <v>209</v>
      </c>
      <c r="C14" t="s">
        <v>238</v>
      </c>
      <c r="D14" t="s">
        <v>239</v>
      </c>
      <c r="E14">
        <v>43.65</v>
      </c>
      <c r="F14" s="9" t="s">
        <v>71</v>
      </c>
      <c r="G14" s="7">
        <v>8636141568</v>
      </c>
      <c r="H14" s="6">
        <v>64.66</v>
      </c>
      <c r="I14" s="6">
        <v>43.42</v>
      </c>
      <c r="J14" s="12">
        <f t="shared" si="0"/>
        <v>5.2970981114692783E-3</v>
      </c>
      <c r="K14" s="11">
        <v>4.1695303550973659E-2</v>
      </c>
      <c r="L14" s="13">
        <v>1785700000</v>
      </c>
      <c r="M14" s="13">
        <v>19238500000</v>
      </c>
      <c r="N14" s="9" t="s">
        <v>71</v>
      </c>
      <c r="O14" s="6">
        <v>1</v>
      </c>
      <c r="P14" s="12">
        <v>0.12884171580042408</v>
      </c>
      <c r="Q14" s="12">
        <v>9.2819086727135694E-2</v>
      </c>
      <c r="R14" s="14">
        <v>11</v>
      </c>
    </row>
    <row r="15" spans="2:22" x14ac:dyDescent="0.5">
      <c r="B15" s="1" t="s">
        <v>212</v>
      </c>
      <c r="C15" t="s">
        <v>243</v>
      </c>
      <c r="D15" t="s">
        <v>234</v>
      </c>
      <c r="E15">
        <v>153.52000000000001</v>
      </c>
      <c r="F15" s="9" t="s">
        <v>71</v>
      </c>
      <c r="G15" s="7">
        <v>309315534848</v>
      </c>
      <c r="H15" s="6">
        <v>168.96</v>
      </c>
      <c r="I15" s="6">
        <v>132.04</v>
      </c>
      <c r="J15" s="12">
        <f t="shared" si="0"/>
        <v>0.16267797637079684</v>
      </c>
      <c r="K15" s="11">
        <v>4.3512245961438246E-2</v>
      </c>
      <c r="L15" s="13">
        <v>28100000000</v>
      </c>
      <c r="M15" s="13">
        <v>176255000000</v>
      </c>
      <c r="N15" s="9" t="s">
        <v>71</v>
      </c>
      <c r="O15" s="6">
        <v>1</v>
      </c>
      <c r="P15" s="12">
        <v>8.5912876403485078E-2</v>
      </c>
      <c r="Q15" s="12">
        <v>0.1594281013304587</v>
      </c>
      <c r="R15" s="14">
        <v>12</v>
      </c>
    </row>
    <row r="16" spans="2:22" x14ac:dyDescent="0.5">
      <c r="B16" s="1" t="s">
        <v>421</v>
      </c>
      <c r="C16" t="s">
        <v>429</v>
      </c>
      <c r="D16" t="s">
        <v>430</v>
      </c>
      <c r="E16">
        <v>218.69</v>
      </c>
      <c r="F16" s="9" t="s">
        <v>71</v>
      </c>
      <c r="G16" s="7">
        <v>13917145088</v>
      </c>
      <c r="H16" s="6">
        <v>227.22</v>
      </c>
      <c r="I16" s="6">
        <v>152.33000000000001</v>
      </c>
      <c r="J16" s="12">
        <f t="shared" si="0"/>
        <v>0.4356331648394931</v>
      </c>
      <c r="K16" s="11">
        <v>3.6581462343957204E-3</v>
      </c>
      <c r="L16" s="13">
        <v>1680449000</v>
      </c>
      <c r="M16" s="13">
        <v>11170748000</v>
      </c>
      <c r="N16" s="9" t="s">
        <v>71</v>
      </c>
      <c r="O16" s="6">
        <v>1</v>
      </c>
      <c r="P16" s="12">
        <v>8.9640244037524394E-2</v>
      </c>
      <c r="Q16" s="12">
        <v>0.15043298801476856</v>
      </c>
      <c r="R16" s="14">
        <v>12</v>
      </c>
    </row>
    <row r="17" spans="2:18" x14ac:dyDescent="0.5">
      <c r="B17" s="1" t="s">
        <v>393</v>
      </c>
      <c r="C17" t="s">
        <v>405</v>
      </c>
      <c r="D17" t="s">
        <v>406</v>
      </c>
      <c r="E17">
        <v>1585.36</v>
      </c>
      <c r="F17" s="9" t="s">
        <v>71</v>
      </c>
      <c r="G17" s="7">
        <v>38054436864</v>
      </c>
      <c r="H17" s="6">
        <v>2402.52</v>
      </c>
      <c r="I17" s="6">
        <v>1300</v>
      </c>
      <c r="J17" s="12">
        <f t="shared" si="0"/>
        <v>0.21950769230769218</v>
      </c>
      <c r="K17" s="11">
        <v>0</v>
      </c>
      <c r="L17" s="13">
        <v>747663000</v>
      </c>
      <c r="M17" s="13">
        <v>1246342000</v>
      </c>
      <c r="N17" s="9" t="s">
        <v>71</v>
      </c>
      <c r="O17" s="6">
        <v>1</v>
      </c>
      <c r="P17" s="12">
        <v>1.8623455584242873E-2</v>
      </c>
      <c r="Q17" s="12">
        <v>0.59988590611565684</v>
      </c>
      <c r="R17" s="14">
        <v>13</v>
      </c>
    </row>
    <row r="18" spans="2:18" x14ac:dyDescent="0.5">
      <c r="B18" s="1" t="s">
        <v>396</v>
      </c>
      <c r="C18" t="s">
        <v>409</v>
      </c>
      <c r="D18" t="s">
        <v>406</v>
      </c>
      <c r="E18">
        <v>339.24</v>
      </c>
      <c r="F18" s="9" t="s">
        <v>71</v>
      </c>
      <c r="G18" s="7">
        <v>142005862400</v>
      </c>
      <c r="H18" s="6">
        <v>557.9</v>
      </c>
      <c r="I18" s="6">
        <v>327.5</v>
      </c>
      <c r="J18" s="12">
        <f t="shared" si="0"/>
        <v>3.5847328244274834E-2</v>
      </c>
      <c r="K18" s="11">
        <v>0</v>
      </c>
      <c r="L18" s="13">
        <v>7100000000</v>
      </c>
      <c r="M18" s="13">
        <v>19733000000</v>
      </c>
      <c r="N18" s="9" t="s">
        <v>71</v>
      </c>
      <c r="O18" s="6">
        <v>1</v>
      </c>
      <c r="P18" s="12">
        <v>5.0552207249490687E-2</v>
      </c>
      <c r="Q18" s="12">
        <v>0.3598033750570111</v>
      </c>
      <c r="R18" s="14">
        <v>13</v>
      </c>
    </row>
    <row r="19" spans="2:18" x14ac:dyDescent="0.5">
      <c r="B19" s="1" t="s">
        <v>403</v>
      </c>
      <c r="C19" t="s">
        <v>416</v>
      </c>
      <c r="D19" t="s">
        <v>165</v>
      </c>
      <c r="E19">
        <v>149.58000000000001</v>
      </c>
      <c r="F19" s="9" t="s">
        <v>71</v>
      </c>
      <c r="G19" s="7">
        <v>349528588288</v>
      </c>
      <c r="H19" s="6">
        <v>180.43</v>
      </c>
      <c r="I19" s="6">
        <v>146.97</v>
      </c>
      <c r="J19" s="12">
        <f t="shared" si="0"/>
        <v>1.7758726270667546E-2</v>
      </c>
      <c r="K19" s="11">
        <v>2.7590586976868562E-2</v>
      </c>
      <c r="L19" s="13">
        <v>21074000000</v>
      </c>
      <c r="M19" s="13">
        <v>85742000000</v>
      </c>
      <c r="N19" s="9" t="s">
        <v>71</v>
      </c>
      <c r="O19" s="6">
        <v>1</v>
      </c>
      <c r="P19" s="12">
        <v>5.6132132001918654E-2</v>
      </c>
      <c r="Q19" s="12">
        <v>0.24578386321755966</v>
      </c>
      <c r="R19" s="14">
        <v>14</v>
      </c>
    </row>
    <row r="20" spans="2:18" x14ac:dyDescent="0.5">
      <c r="B20" s="1" t="s">
        <v>213</v>
      </c>
      <c r="C20" t="s">
        <v>244</v>
      </c>
      <c r="D20" t="s">
        <v>86</v>
      </c>
      <c r="E20">
        <v>11.31</v>
      </c>
      <c r="F20" s="9" t="s">
        <v>71</v>
      </c>
      <c r="G20" s="7">
        <v>1699163648</v>
      </c>
      <c r="H20" s="6">
        <v>20.81</v>
      </c>
      <c r="I20" s="6">
        <v>11.305</v>
      </c>
      <c r="J20" s="12">
        <f t="shared" si="0"/>
        <v>4.4228217602837461E-4</v>
      </c>
      <c r="K20" s="11">
        <v>5.37577365163572E-2</v>
      </c>
      <c r="L20" s="13">
        <v>408200000</v>
      </c>
      <c r="M20" s="13">
        <v>4745800000</v>
      </c>
      <c r="N20" s="9" t="s">
        <v>189</v>
      </c>
      <c r="O20" s="6">
        <v>1.1380999999999999</v>
      </c>
      <c r="P20" s="12">
        <v>0.1249317981404983</v>
      </c>
      <c r="Q20" s="12">
        <v>8.6012895612963047E-2</v>
      </c>
      <c r="R20" s="14">
        <v>14</v>
      </c>
    </row>
    <row r="21" spans="2:18" x14ac:dyDescent="0.5">
      <c r="B21" s="1" t="s">
        <v>402</v>
      </c>
      <c r="C21" t="s">
        <v>415</v>
      </c>
      <c r="D21" t="s">
        <v>86</v>
      </c>
      <c r="E21">
        <v>47.05</v>
      </c>
      <c r="F21" s="9" t="s">
        <v>71</v>
      </c>
      <c r="G21" s="7">
        <v>25097242624</v>
      </c>
      <c r="H21" s="6">
        <v>68.739999999999995</v>
      </c>
      <c r="I21" s="6">
        <v>46.46</v>
      </c>
      <c r="J21" s="12">
        <f t="shared" si="0"/>
        <v>1.2699095996556053E-2</v>
      </c>
      <c r="K21" s="11">
        <v>5.1222104144527103E-2</v>
      </c>
      <c r="L21" s="13">
        <v>3383800000</v>
      </c>
      <c r="M21" s="13">
        <v>24077800000</v>
      </c>
      <c r="N21" s="9" t="s">
        <v>71</v>
      </c>
      <c r="O21" s="6">
        <v>1</v>
      </c>
      <c r="P21" s="12">
        <v>8.4531511289754252E-2</v>
      </c>
      <c r="Q21" s="12">
        <v>0.14053609549045179</v>
      </c>
      <c r="R21" s="14">
        <v>14</v>
      </c>
    </row>
    <row r="22" spans="2:18" x14ac:dyDescent="0.5">
      <c r="B22" s="1" t="s">
        <v>459</v>
      </c>
      <c r="C22" t="s">
        <v>460</v>
      </c>
      <c r="D22" t="s">
        <v>317</v>
      </c>
      <c r="E22">
        <v>244.66</v>
      </c>
      <c r="F22" s="9" t="s">
        <v>71</v>
      </c>
      <c r="G22" s="7">
        <v>54449971200</v>
      </c>
      <c r="H22" s="6">
        <v>341.14</v>
      </c>
      <c r="I22" s="6">
        <v>243.69</v>
      </c>
      <c r="J22" s="12">
        <f t="shared" si="0"/>
        <v>3.9804669867453679E-3</v>
      </c>
      <c r="K22" s="11">
        <v>2.9101610398103491E-2</v>
      </c>
      <c r="L22" s="13">
        <v>5040000000</v>
      </c>
      <c r="M22" s="13">
        <v>31264400000</v>
      </c>
      <c r="N22" s="9" t="s">
        <v>71</v>
      </c>
      <c r="O22" s="6">
        <v>1</v>
      </c>
      <c r="P22" s="12">
        <v>7.5816412794806706E-2</v>
      </c>
      <c r="Q22" s="12">
        <v>0.16120571640588016</v>
      </c>
      <c r="R22" s="14">
        <v>14</v>
      </c>
    </row>
    <row r="23" spans="2:18" x14ac:dyDescent="0.5">
      <c r="B23" s="1" t="s">
        <v>398</v>
      </c>
      <c r="C23" t="s">
        <v>411</v>
      </c>
      <c r="D23" t="s">
        <v>406</v>
      </c>
      <c r="E23">
        <v>300.77</v>
      </c>
      <c r="F23" s="9" t="s">
        <v>71</v>
      </c>
      <c r="G23" s="7">
        <v>64064008192</v>
      </c>
      <c r="H23" s="6">
        <v>329.09</v>
      </c>
      <c r="I23" s="6">
        <v>232.67</v>
      </c>
      <c r="J23" s="12">
        <f t="shared" si="0"/>
        <v>0.29268921648686974</v>
      </c>
      <c r="K23" s="11">
        <v>0</v>
      </c>
      <c r="L23" s="13">
        <v>1369000000</v>
      </c>
      <c r="M23" s="13">
        <v>4908000000</v>
      </c>
      <c r="N23" s="9" t="s">
        <v>71</v>
      </c>
      <c r="O23" s="6">
        <v>1</v>
      </c>
      <c r="P23" s="12">
        <v>2.1053762111337058E-2</v>
      </c>
      <c r="Q23" s="12">
        <v>0.2789323553382233</v>
      </c>
      <c r="R23" s="14">
        <v>15</v>
      </c>
    </row>
    <row r="24" spans="2:18" x14ac:dyDescent="0.5">
      <c r="B24" s="1" t="s">
        <v>404</v>
      </c>
      <c r="C24" t="s">
        <v>417</v>
      </c>
      <c r="D24" t="s">
        <v>146</v>
      </c>
      <c r="E24">
        <v>147.55000000000001</v>
      </c>
      <c r="F24" s="9" t="s">
        <v>71</v>
      </c>
      <c r="G24" s="7">
        <v>201751052288</v>
      </c>
      <c r="H24" s="6">
        <v>167.96</v>
      </c>
      <c r="I24" s="6">
        <v>127.6</v>
      </c>
      <c r="J24" s="12">
        <f t="shared" si="0"/>
        <v>0.1563479623824453</v>
      </c>
      <c r="K24" s="11">
        <v>3.7648254828871561E-2</v>
      </c>
      <c r="L24" s="13">
        <v>12865000000</v>
      </c>
      <c r="M24" s="13">
        <v>62347000000</v>
      </c>
      <c r="N24" s="9" t="s">
        <v>71</v>
      </c>
      <c r="O24" s="6">
        <v>1</v>
      </c>
      <c r="P24" s="12">
        <v>5.40105845482865E-2</v>
      </c>
      <c r="Q24" s="12">
        <v>0.20634513288530323</v>
      </c>
      <c r="R24" s="14">
        <v>15</v>
      </c>
    </row>
    <row r="25" spans="2:18" x14ac:dyDescent="0.5">
      <c r="B25" s="1" t="s">
        <v>419</v>
      </c>
      <c r="C25" t="s">
        <v>426</v>
      </c>
      <c r="D25" t="s">
        <v>86</v>
      </c>
      <c r="E25">
        <v>21.29</v>
      </c>
      <c r="F25" s="9" t="s">
        <v>71</v>
      </c>
      <c r="G25" s="7">
        <v>11709467648</v>
      </c>
      <c r="H25" s="6">
        <v>33.799999999999997</v>
      </c>
      <c r="I25" s="6">
        <v>21.22</v>
      </c>
      <c r="J25" s="12">
        <f t="shared" si="0"/>
        <v>3.2987747408106394E-3</v>
      </c>
      <c r="K25" s="11">
        <v>5.4156881164866139E-2</v>
      </c>
      <c r="L25" s="13">
        <v>1116328000</v>
      </c>
      <c r="M25" s="13">
        <v>10852177000</v>
      </c>
      <c r="N25" s="9" t="s">
        <v>71</v>
      </c>
      <c r="O25" s="6">
        <v>1</v>
      </c>
      <c r="P25" s="12">
        <v>8.0739205419755239E-2</v>
      </c>
      <c r="Q25" s="12">
        <v>0.10286673355954294</v>
      </c>
      <c r="R25" s="14">
        <v>16</v>
      </c>
    </row>
    <row r="26" spans="2:18" x14ac:dyDescent="0.5">
      <c r="B26" s="1" t="s">
        <v>214</v>
      </c>
      <c r="C26" t="s">
        <v>245</v>
      </c>
      <c r="D26" t="s">
        <v>107</v>
      </c>
      <c r="E26">
        <v>18.149999999999999</v>
      </c>
      <c r="F26" s="9" t="s">
        <v>71</v>
      </c>
      <c r="G26" s="7">
        <v>401799200</v>
      </c>
      <c r="H26" s="6">
        <v>22.2</v>
      </c>
      <c r="I26" s="6">
        <v>12.85</v>
      </c>
      <c r="J26" s="12">
        <f t="shared" si="0"/>
        <v>0.41245136186770415</v>
      </c>
      <c r="K26" s="11">
        <v>7.7134986225895319E-2</v>
      </c>
      <c r="L26" s="13">
        <v>27140000</v>
      </c>
      <c r="M26" s="13">
        <v>481329000</v>
      </c>
      <c r="N26" s="9" t="s">
        <v>71</v>
      </c>
      <c r="O26" s="6">
        <v>1</v>
      </c>
      <c r="P26" s="12">
        <v>9.4213473707012066E-2</v>
      </c>
      <c r="Q26" s="12">
        <v>5.638554917738179E-2</v>
      </c>
      <c r="R26" s="14">
        <v>17</v>
      </c>
    </row>
    <row r="27" spans="2:18" x14ac:dyDescent="0.5">
      <c r="B27" s="1" t="s">
        <v>420</v>
      </c>
      <c r="C27" t="s">
        <v>427</v>
      </c>
      <c r="D27" t="s">
        <v>428</v>
      </c>
      <c r="E27">
        <v>7.13</v>
      </c>
      <c r="F27" s="9" t="s">
        <v>71</v>
      </c>
      <c r="G27" s="7">
        <v>38474240000</v>
      </c>
      <c r="H27" s="6">
        <v>8.19</v>
      </c>
      <c r="I27" s="6">
        <v>3.91</v>
      </c>
      <c r="J27" s="12">
        <f t="shared" si="0"/>
        <v>0.82352941176470584</v>
      </c>
      <c r="K27" s="11">
        <v>1.9635343618513327E-2</v>
      </c>
      <c r="L27" s="13">
        <v>2418000000</v>
      </c>
      <c r="M27" s="13">
        <v>24544000000</v>
      </c>
      <c r="N27" s="9" t="s">
        <v>189</v>
      </c>
      <c r="O27" s="6">
        <v>1.1380999999999999</v>
      </c>
      <c r="P27" s="12">
        <v>7.5721808920510073E-2</v>
      </c>
      <c r="Q27" s="12">
        <v>9.8516949152542374E-2</v>
      </c>
      <c r="R27" s="14">
        <v>18</v>
      </c>
    </row>
    <row r="28" spans="2:18" x14ac:dyDescent="0.5">
      <c r="B28" s="1" t="s">
        <v>400</v>
      </c>
      <c r="C28" t="s">
        <v>413</v>
      </c>
      <c r="D28" t="s">
        <v>58</v>
      </c>
      <c r="E28">
        <v>91</v>
      </c>
      <c r="F28" s="9" t="s">
        <v>71</v>
      </c>
      <c r="G28" s="7">
        <v>51825119232</v>
      </c>
      <c r="H28" s="6">
        <v>132.34</v>
      </c>
      <c r="I28" s="6">
        <v>90.5</v>
      </c>
      <c r="J28" s="12">
        <f t="shared" si="0"/>
        <v>5.5248618784531356E-3</v>
      </c>
      <c r="K28" s="11">
        <v>1.1373626373626372E-2</v>
      </c>
      <c r="L28" s="13">
        <v>4641000000</v>
      </c>
      <c r="M28" s="13">
        <v>34838000000</v>
      </c>
      <c r="N28" s="9" t="s">
        <v>71</v>
      </c>
      <c r="O28" s="6">
        <v>1</v>
      </c>
      <c r="P28" s="12">
        <v>6.2694087548409383E-2</v>
      </c>
      <c r="Q28" s="12">
        <v>0.13321660256042253</v>
      </c>
      <c r="R28" s="14">
        <v>19</v>
      </c>
    </row>
    <row r="29" spans="2:18" x14ac:dyDescent="0.5">
      <c r="B29" s="1" t="s">
        <v>423</v>
      </c>
      <c r="C29" t="s">
        <v>433</v>
      </c>
      <c r="D29" t="s">
        <v>434</v>
      </c>
      <c r="E29">
        <v>23.4</v>
      </c>
      <c r="F29" s="9" t="s">
        <v>71</v>
      </c>
      <c r="G29" s="7">
        <v>17857474560</v>
      </c>
      <c r="H29" s="6">
        <v>29.95</v>
      </c>
      <c r="I29" s="6">
        <v>22.33</v>
      </c>
      <c r="J29" s="12">
        <f t="shared" si="0"/>
        <v>4.7917599641737585E-2</v>
      </c>
      <c r="K29" s="11">
        <v>3.6752136752136753E-2</v>
      </c>
      <c r="L29" s="13">
        <v>1463000000</v>
      </c>
      <c r="M29" s="13">
        <v>16657000000</v>
      </c>
      <c r="N29" s="9" t="s">
        <v>71</v>
      </c>
      <c r="O29" s="6">
        <v>1</v>
      </c>
      <c r="P29" s="12">
        <v>7.4561164887293765E-2</v>
      </c>
      <c r="Q29" s="12">
        <v>8.7830941946328872E-2</v>
      </c>
      <c r="R29" s="14">
        <v>20</v>
      </c>
    </row>
    <row r="30" spans="2:18" x14ac:dyDescent="0.5">
      <c r="B30" s="1" t="s">
        <v>424</v>
      </c>
      <c r="C30" t="s">
        <v>435</v>
      </c>
      <c r="D30" t="s">
        <v>239</v>
      </c>
      <c r="E30">
        <v>14.19</v>
      </c>
      <c r="F30" s="9" t="s">
        <v>71</v>
      </c>
      <c r="G30" s="7">
        <v>11496061952</v>
      </c>
      <c r="H30" s="6">
        <v>15.7</v>
      </c>
      <c r="I30" s="6">
        <v>12.25</v>
      </c>
      <c r="J30" s="12">
        <f t="shared" si="0"/>
        <v>0.15836734693877541</v>
      </c>
      <c r="K30" s="11">
        <v>5.1092318534179002</v>
      </c>
      <c r="L30" s="13">
        <v>157715000000</v>
      </c>
      <c r="M30" s="13">
        <v>2039094000000</v>
      </c>
      <c r="N30" s="9" t="s">
        <v>436</v>
      </c>
      <c r="O30" s="6">
        <v>7.0111477248825634E-3</v>
      </c>
      <c r="P30" s="12">
        <v>6.6304825680905968E-2</v>
      </c>
      <c r="Q30" s="12">
        <v>7.7345625066818885E-2</v>
      </c>
      <c r="R30" s="14">
        <v>21</v>
      </c>
    </row>
    <row r="31" spans="2:18" x14ac:dyDescent="0.5">
      <c r="B31" s="1" t="s">
        <v>395</v>
      </c>
      <c r="C31" t="s">
        <v>408</v>
      </c>
      <c r="D31" t="s">
        <v>406</v>
      </c>
      <c r="E31">
        <v>256.64999999999998</v>
      </c>
      <c r="F31" s="9" t="s">
        <v>71</v>
      </c>
      <c r="G31" s="7">
        <v>244330790912</v>
      </c>
      <c r="H31" s="6">
        <v>369</v>
      </c>
      <c r="I31" s="6">
        <v>226.48</v>
      </c>
      <c r="J31" s="12">
        <f t="shared" si="0"/>
        <v>0.13321264570823033</v>
      </c>
      <c r="K31" s="11">
        <v>6.3588544710695503E-3</v>
      </c>
      <c r="L31" s="13">
        <v>7666000000</v>
      </c>
      <c r="M31" s="13">
        <v>69606000000</v>
      </c>
      <c r="N31" s="9" t="s">
        <v>71</v>
      </c>
      <c r="O31" s="6">
        <v>1</v>
      </c>
      <c r="P31" s="12">
        <v>3.1052178198026675E-2</v>
      </c>
      <c r="Q31" s="12">
        <v>0.1101341838347269</v>
      </c>
      <c r="R31" s="14">
        <v>22</v>
      </c>
    </row>
    <row r="32" spans="2:18" x14ac:dyDescent="0.5">
      <c r="B32" s="1" t="s">
        <v>422</v>
      </c>
      <c r="C32" t="s">
        <v>431</v>
      </c>
      <c r="D32" t="s">
        <v>432</v>
      </c>
      <c r="E32">
        <v>70.11</v>
      </c>
      <c r="F32" s="9" t="s">
        <v>71</v>
      </c>
      <c r="G32" s="7">
        <v>13938494464</v>
      </c>
      <c r="H32" s="6">
        <v>107.84</v>
      </c>
      <c r="I32" s="6">
        <v>61.78</v>
      </c>
      <c r="J32" s="12">
        <f t="shared" si="0"/>
        <v>0.1348332793784397</v>
      </c>
      <c r="K32" s="11">
        <v>0</v>
      </c>
      <c r="L32" s="13">
        <v>696600000</v>
      </c>
      <c r="M32" s="13">
        <v>10663600000</v>
      </c>
      <c r="N32" s="9" t="s">
        <v>71</v>
      </c>
      <c r="O32" s="6">
        <v>1</v>
      </c>
      <c r="P32" s="12">
        <v>4.2437844049559824E-2</v>
      </c>
      <c r="Q32" s="12">
        <v>6.5325030946397092E-2</v>
      </c>
      <c r="R32" s="14">
        <v>23</v>
      </c>
    </row>
    <row r="33" spans="2:18" x14ac:dyDescent="0.5">
      <c r="B33" s="1" t="s">
        <v>359</v>
      </c>
      <c r="C33" t="s">
        <v>361</v>
      </c>
      <c r="D33" t="s">
        <v>86</v>
      </c>
      <c r="E33">
        <v>24.58</v>
      </c>
      <c r="F33" s="9" t="s">
        <v>71</v>
      </c>
      <c r="G33" s="7">
        <v>29092868096</v>
      </c>
      <c r="H33" s="6">
        <v>34.08</v>
      </c>
      <c r="I33" s="6">
        <v>24.1</v>
      </c>
      <c r="J33" s="12">
        <f t="shared" si="0"/>
        <v>1.9917012448132709E-2</v>
      </c>
      <c r="K33" s="11">
        <v>1.627339300244101E-2</v>
      </c>
      <c r="L33" s="13">
        <v>1768000000</v>
      </c>
      <c r="M33" s="13">
        <v>69054000000</v>
      </c>
      <c r="N33" s="9" t="s">
        <v>71</v>
      </c>
      <c r="O33" s="6">
        <v>1</v>
      </c>
      <c r="P33" s="12">
        <v>3.7121124053597611E-2</v>
      </c>
      <c r="Q33" s="12">
        <v>2.5603151157065487E-2</v>
      </c>
      <c r="R33" s="14">
        <v>24</v>
      </c>
    </row>
    <row r="34" spans="2:18" x14ac:dyDescent="0.5">
      <c r="B34" s="1" t="s">
        <v>360</v>
      </c>
      <c r="C34" t="s">
        <v>362</v>
      </c>
      <c r="D34" t="s">
        <v>363</v>
      </c>
      <c r="E34">
        <v>23.19</v>
      </c>
      <c r="F34" s="9" t="s">
        <v>71</v>
      </c>
      <c r="G34" s="7">
        <v>7809011200</v>
      </c>
      <c r="H34" s="6">
        <v>29.18</v>
      </c>
      <c r="I34" s="6">
        <v>18.690000000000001</v>
      </c>
      <c r="J34" s="12">
        <f t="shared" si="0"/>
        <v>0.2407704654895666</v>
      </c>
      <c r="K34" s="11">
        <v>4.6399310047434236E-2</v>
      </c>
      <c r="L34" s="13">
        <v>-1369000000</v>
      </c>
      <c r="M34" s="13">
        <v>21449000000</v>
      </c>
      <c r="N34" s="9" t="s">
        <v>71</v>
      </c>
      <c r="O34" s="6">
        <v>1</v>
      </c>
      <c r="P34" s="12">
        <v>-7.5962665032635199E-2</v>
      </c>
      <c r="Q34" s="12">
        <v>-6.3825819385519136E-2</v>
      </c>
      <c r="R34" s="14">
        <v>25</v>
      </c>
    </row>
    <row r="35" spans="2:18" x14ac:dyDescent="0.5">
      <c r="B35" s="1" t="s">
        <v>397</v>
      </c>
      <c r="C35" t="s">
        <v>410</v>
      </c>
      <c r="D35" t="s">
        <v>194</v>
      </c>
      <c r="E35">
        <v>40.159999999999997</v>
      </c>
      <c r="F35" s="9" t="s">
        <v>71</v>
      </c>
      <c r="G35" s="7">
        <v>191402557440</v>
      </c>
      <c r="H35" s="6">
        <v>42.48</v>
      </c>
      <c r="I35" s="6">
        <v>17.670000000000002</v>
      </c>
      <c r="J35" s="12">
        <f t="shared" si="0"/>
        <v>1.2727787209960382</v>
      </c>
      <c r="K35" s="11">
        <v>0</v>
      </c>
      <c r="L35" s="13">
        <v>-10176000000</v>
      </c>
      <c r="M35" s="13">
        <v>149281000000</v>
      </c>
      <c r="N35" s="9" t="s">
        <v>71</v>
      </c>
      <c r="O35" s="6">
        <v>1</v>
      </c>
      <c r="P35" s="12">
        <v>-4.3642996653205236E-2</v>
      </c>
      <c r="Q35" s="12">
        <v>-6.8166745935517581E-2</v>
      </c>
      <c r="R35" s="14">
        <v>25</v>
      </c>
    </row>
  </sheetData>
  <autoFilter ref="B1:R4" xr:uid="{7A9EDF16-08C4-B24B-A5E4-CFD78B458569}">
    <sortState xmlns:xlrd2="http://schemas.microsoft.com/office/spreadsheetml/2017/richdata2" ref="B2:R36">
      <sortCondition ref="R1:R4"/>
    </sortState>
  </autoFilter>
  <conditionalFormatting sqref="J2:J1048576">
    <cfRule type="cellIs" dxfId="1" priority="1" operator="between">
      <formula>0.10001</formula>
      <formula>0.2</formula>
    </cfRule>
    <cfRule type="cellIs" dxfId="0" priority="2" operator="between">
      <formula>0.0000001</formula>
      <formula>0.1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C0F4F-FCAC-47CD-AAE6-697314930540}">
  <dimension ref="A1:B4"/>
  <sheetViews>
    <sheetView workbookViewId="0">
      <selection activeCell="B4" sqref="B4"/>
    </sheetView>
  </sheetViews>
  <sheetFormatPr defaultRowHeight="15.75" x14ac:dyDescent="0.5"/>
  <sheetData>
    <row r="1" spans="1:2" x14ac:dyDescent="0.5">
      <c r="A1" s="16" t="s">
        <v>439</v>
      </c>
      <c r="B1" s="16" t="s">
        <v>5</v>
      </c>
    </row>
    <row r="2" spans="1:2" x14ac:dyDescent="0.5">
      <c r="A2" t="s">
        <v>441</v>
      </c>
      <c r="B2" t="s">
        <v>440</v>
      </c>
    </row>
    <row r="3" spans="1:2" x14ac:dyDescent="0.5">
      <c r="A3" t="s">
        <v>443</v>
      </c>
      <c r="B3" t="s">
        <v>440</v>
      </c>
    </row>
    <row r="4" spans="1:2" x14ac:dyDescent="0.5">
      <c r="A4" t="s">
        <v>442</v>
      </c>
      <c r="B4" t="s">
        <v>440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03291-9A5D-4E46-9F96-9938DF840B6E}">
  <dimension ref="B2:B7"/>
  <sheetViews>
    <sheetView tabSelected="1" topLeftCell="B4" workbookViewId="0">
      <selection activeCell="B7" sqref="B7"/>
    </sheetView>
  </sheetViews>
  <sheetFormatPr defaultColWidth="11" defaultRowHeight="15.75" x14ac:dyDescent="0.5"/>
  <cols>
    <col min="1" max="1" width="2.6875" customWidth="1"/>
    <col min="2" max="2" width="210.1875" customWidth="1"/>
  </cols>
  <sheetData>
    <row r="2" spans="2:2" x14ac:dyDescent="0.5">
      <c r="B2" t="s">
        <v>130</v>
      </c>
    </row>
    <row r="3" spans="2:2" ht="409.5" x14ac:dyDescent="0.5">
      <c r="B3" s="15" t="s">
        <v>191</v>
      </c>
    </row>
    <row r="4" spans="2:2" x14ac:dyDescent="0.5">
      <c r="B4" t="s">
        <v>142</v>
      </c>
    </row>
    <row r="5" spans="2:2" ht="220.5" x14ac:dyDescent="0.5">
      <c r="B5" s="17" t="s">
        <v>457</v>
      </c>
    </row>
    <row r="7" spans="2:2" ht="236.25" x14ac:dyDescent="0.5">
      <c r="B7" s="17" t="s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hk_screener</vt:lpstr>
      <vt:lpstr>cn_screener</vt:lpstr>
      <vt:lpstr>us_screener</vt:lpstr>
      <vt:lpstr>Selected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2760</dc:creator>
  <cp:lastModifiedBy>Jerry Chen</cp:lastModifiedBy>
  <dcterms:created xsi:type="dcterms:W3CDTF">2025-05-25T03:08:01Z</dcterms:created>
  <dcterms:modified xsi:type="dcterms:W3CDTF">2025-10-31T03:19:40Z</dcterms:modified>
</cp:coreProperties>
</file>