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7F63DEC-AB7E-45CA-81F1-DD3CB6E82F04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10" i="1"/>
  <c r="J9" i="1"/>
  <c r="J12" i="1"/>
  <c r="J14" i="1"/>
  <c r="J13" i="1"/>
  <c r="J11" i="1"/>
  <c r="J15" i="1"/>
  <c r="J17" i="1"/>
  <c r="J16" i="1"/>
  <c r="J19" i="1"/>
  <c r="J21" i="1"/>
  <c r="J18" i="1"/>
  <c r="J22" i="1"/>
  <c r="J20" i="1"/>
  <c r="J26" i="1"/>
  <c r="J23" i="1"/>
  <c r="J24" i="1"/>
  <c r="J30" i="1"/>
  <c r="J25" i="1"/>
  <c r="J27" i="1"/>
  <c r="J31" i="1"/>
  <c r="J28" i="1"/>
  <c r="J32" i="1"/>
  <c r="J33" i="1"/>
  <c r="J29" i="1"/>
  <c r="J8" i="1"/>
  <c r="J34" i="1"/>
  <c r="J35" i="1"/>
  <c r="J36" i="1"/>
  <c r="J39" i="1"/>
  <c r="J38" i="1"/>
  <c r="J37" i="1"/>
  <c r="J42" i="1"/>
  <c r="J40" i="1"/>
  <c r="J41" i="1"/>
  <c r="J44" i="1"/>
  <c r="J43" i="1"/>
  <c r="J45" i="1"/>
  <c r="J46" i="1"/>
  <c r="J48" i="1"/>
  <c r="J50" i="1"/>
  <c r="J49" i="1"/>
  <c r="J51" i="1"/>
  <c r="J55" i="1"/>
  <c r="J47" i="1"/>
  <c r="J53" i="1"/>
  <c r="J58" i="1"/>
  <c r="J60" i="1"/>
  <c r="J57" i="1"/>
  <c r="J52" i="1"/>
  <c r="J59" i="1"/>
  <c r="J54" i="1"/>
  <c r="J56" i="1"/>
  <c r="J61" i="1"/>
  <c r="J62" i="1"/>
  <c r="J63" i="1"/>
  <c r="J67" i="1"/>
  <c r="J64" i="1"/>
  <c r="J65" i="1"/>
  <c r="J71" i="1"/>
  <c r="J68" i="1"/>
  <c r="J69" i="1"/>
  <c r="J66" i="1"/>
  <c r="J70" i="1"/>
  <c r="J72" i="1"/>
  <c r="J82" i="1"/>
  <c r="J74" i="1"/>
  <c r="J77" i="1"/>
  <c r="J73" i="1"/>
  <c r="J75" i="1"/>
  <c r="J76" i="1"/>
  <c r="J80" i="1"/>
  <c r="J78" i="1"/>
  <c r="J79" i="1"/>
  <c r="J81" i="1"/>
  <c r="J84" i="1"/>
  <c r="J83" i="1"/>
  <c r="J88" i="1"/>
  <c r="J89" i="1"/>
  <c r="J86" i="1"/>
  <c r="J87" i="1"/>
  <c r="J90" i="1"/>
  <c r="J91" i="1"/>
  <c r="J85" i="1"/>
  <c r="J92" i="1"/>
  <c r="J93" i="1"/>
  <c r="J94" i="1"/>
  <c r="J95" i="1"/>
  <c r="J96" i="1"/>
  <c r="J97" i="1"/>
  <c r="J99" i="1"/>
  <c r="J101" i="1"/>
  <c r="J100" i="1"/>
  <c r="J102" i="1"/>
  <c r="J98" i="1"/>
  <c r="J103" i="1"/>
  <c r="J105" i="1"/>
  <c r="J104" i="1"/>
  <c r="J106" i="1"/>
  <c r="J110" i="1"/>
  <c r="J107" i="1"/>
  <c r="J108" i="1"/>
  <c r="J109" i="1"/>
  <c r="J112" i="1"/>
  <c r="J111" i="1"/>
  <c r="J113" i="1"/>
  <c r="J114" i="1"/>
  <c r="J115" i="1"/>
  <c r="J117" i="1"/>
  <c r="J116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</calcChain>
</file>

<file path=xl/sharedStrings.xml><?xml version="1.0" encoding="utf-8"?>
<sst xmlns="http://schemas.openxmlformats.org/spreadsheetml/2006/main" count="1702" uniqueCount="782">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</sst>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9"/>
  <sheetViews>
    <sheetView tabSelected="1" zoomScaleNormal="100" workbookViewId="0">
      <pane xSplit="3" ySplit="1" topLeftCell="D113" activePane="bottomRight" state="frozen"/>
      <selection pane="topRight" activeCell="D1" sqref="D1"/>
      <selection pane="bottomLeft" activeCell="A2" sqref="A2"/>
      <selection pane="bottomRight" activeCell="B140" sqref="B140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13.75</v>
      </c>
      <c r="F2" s="9" t="s">
        <v>67</v>
      </c>
      <c r="G2" s="7">
        <v>247143170048</v>
      </c>
      <c r="H2" s="6">
        <v>15.6</v>
      </c>
      <c r="I2" s="6">
        <v>9.8000000000000007</v>
      </c>
      <c r="J2" s="12">
        <f t="shared" ref="J2:J33" si="0">E2/I2-1</f>
        <v>0.40306122448979576</v>
      </c>
      <c r="K2" s="11">
        <v>0.11563636363636365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0.5686238878512343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4.24</v>
      </c>
      <c r="F3" s="9" t="s">
        <v>67</v>
      </c>
      <c r="G3" s="7">
        <v>11860227072</v>
      </c>
      <c r="H3" s="6">
        <v>5.2</v>
      </c>
      <c r="I3" s="6">
        <v>2.5099999999999998</v>
      </c>
      <c r="J3" s="12">
        <f t="shared" si="0"/>
        <v>0.68924302788844649</v>
      </c>
      <c r="K3" s="11">
        <v>3.6084905660377357E-2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0.26088382142950206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129.5</v>
      </c>
      <c r="F4" s="9" t="s">
        <v>67</v>
      </c>
      <c r="G4" s="7">
        <v>85518344192</v>
      </c>
      <c r="H4" s="6">
        <v>149.5</v>
      </c>
      <c r="I4" s="6">
        <v>93</v>
      </c>
      <c r="J4" s="12">
        <f t="shared" si="0"/>
        <v>0.39247311827956999</v>
      </c>
      <c r="K4" s="11">
        <v>1.5752895752895752E-2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0.5744544571958019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3.88</v>
      </c>
      <c r="F5" s="9" t="s">
        <v>67</v>
      </c>
      <c r="G5" s="7">
        <v>34173739008</v>
      </c>
      <c r="H5" s="6">
        <v>7.38</v>
      </c>
      <c r="I5" s="6">
        <v>3.77</v>
      </c>
      <c r="J5" s="12">
        <f t="shared" si="0"/>
        <v>2.917771883289122E-2</v>
      </c>
      <c r="K5" s="11">
        <v>6.8298969072164956E-2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0.23558714687522556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6.65</v>
      </c>
      <c r="F6" s="9" t="s">
        <v>67</v>
      </c>
      <c r="G6" s="7">
        <v>353229242368</v>
      </c>
      <c r="H6" s="6">
        <v>7.63</v>
      </c>
      <c r="I6" s="6">
        <v>3.66</v>
      </c>
      <c r="J6" s="12">
        <f t="shared" si="0"/>
        <v>0.81693989071038264</v>
      </c>
      <c r="K6" s="11">
        <v>2.887218045112782E-2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0.20226747041574419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1.97</v>
      </c>
      <c r="F7" s="9" t="s">
        <v>67</v>
      </c>
      <c r="G7" s="7">
        <v>1970000000</v>
      </c>
      <c r="H7" s="6">
        <v>2.42</v>
      </c>
      <c r="I7" s="6">
        <v>1.55</v>
      </c>
      <c r="J7" s="12">
        <f t="shared" si="0"/>
        <v>0.2709677419354839</v>
      </c>
      <c r="K7" s="11">
        <v>0.1065989847715736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0.14737850122718005</v>
      </c>
      <c r="Q7" s="12">
        <v>0.51857007005524791</v>
      </c>
      <c r="R7" s="14">
        <v>6</v>
      </c>
    </row>
    <row r="8" spans="2:22" x14ac:dyDescent="0.5">
      <c r="B8" s="1" t="s">
        <v>194</v>
      </c>
      <c r="C8" t="s">
        <v>215</v>
      </c>
      <c r="D8" t="s">
        <v>216</v>
      </c>
      <c r="E8">
        <v>14.52</v>
      </c>
      <c r="F8" s="9" t="s">
        <v>67</v>
      </c>
      <c r="G8" s="7">
        <v>56657563648</v>
      </c>
      <c r="H8" s="6">
        <v>19.05</v>
      </c>
      <c r="I8" s="6">
        <v>4.22</v>
      </c>
      <c r="J8" s="12">
        <f t="shared" si="0"/>
        <v>2.4407582938388628</v>
      </c>
      <c r="K8" s="11">
        <v>2.9614325068870523E-3</v>
      </c>
      <c r="L8" s="13">
        <v>786762000</v>
      </c>
      <c r="M8" s="13">
        <v>2279244000</v>
      </c>
      <c r="N8" s="9" t="s">
        <v>71</v>
      </c>
      <c r="O8" s="6">
        <v>7.6923076923076916</v>
      </c>
      <c r="P8" s="12">
        <v>0.12303548376312068</v>
      </c>
      <c r="Q8" s="12">
        <v>0.34518550887925997</v>
      </c>
      <c r="R8" s="14">
        <v>7</v>
      </c>
    </row>
    <row r="9" spans="2:22" x14ac:dyDescent="0.5">
      <c r="B9" s="1" t="s">
        <v>290</v>
      </c>
      <c r="C9" t="s">
        <v>343</v>
      </c>
      <c r="D9" t="s">
        <v>94</v>
      </c>
      <c r="E9">
        <v>5.55</v>
      </c>
      <c r="F9" s="9" t="s">
        <v>67</v>
      </c>
      <c r="G9" s="7">
        <v>11475636224</v>
      </c>
      <c r="H9" s="6">
        <v>6.7</v>
      </c>
      <c r="I9" s="6">
        <v>3.84</v>
      </c>
      <c r="J9" s="12">
        <f t="shared" si="0"/>
        <v>0.4453125</v>
      </c>
      <c r="K9" s="11">
        <v>5.0990990990990991E-2</v>
      </c>
      <c r="L9" s="13">
        <v>1576240000</v>
      </c>
      <c r="M9" s="13">
        <v>9636462000</v>
      </c>
      <c r="N9" s="9" t="s">
        <v>50</v>
      </c>
      <c r="O9" s="6">
        <v>1.0683760683760684</v>
      </c>
      <c r="P9" s="12">
        <v>0.23346627954258048</v>
      </c>
      <c r="Q9" s="12">
        <v>0.16357040581906512</v>
      </c>
      <c r="R9" s="14">
        <v>8</v>
      </c>
    </row>
    <row r="10" spans="2:22" x14ac:dyDescent="0.5">
      <c r="B10" s="1" t="s">
        <v>107</v>
      </c>
      <c r="C10" t="s">
        <v>142</v>
      </c>
      <c r="D10" t="s">
        <v>143</v>
      </c>
      <c r="E10">
        <v>3.23</v>
      </c>
      <c r="F10" s="9" t="s">
        <v>67</v>
      </c>
      <c r="G10" s="7">
        <v>16444142592</v>
      </c>
      <c r="H10" s="6">
        <v>3.45</v>
      </c>
      <c r="I10" s="6">
        <v>2.23</v>
      </c>
      <c r="J10" s="12">
        <f t="shared" si="0"/>
        <v>0.44843049327354256</v>
      </c>
      <c r="K10" s="11">
        <v>8.3591331269349853E-2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0.28684294606964822</v>
      </c>
      <c r="Q10" s="12">
        <v>0.15337570692947131</v>
      </c>
      <c r="R10" s="14">
        <v>9</v>
      </c>
    </row>
    <row r="11" spans="2:22" x14ac:dyDescent="0.5">
      <c r="B11" s="1" t="s">
        <v>775</v>
      </c>
      <c r="C11" t="s">
        <v>777</v>
      </c>
      <c r="D11" t="s">
        <v>435</v>
      </c>
      <c r="E11">
        <v>109.8</v>
      </c>
      <c r="F11" s="9" t="s">
        <v>67</v>
      </c>
      <c r="G11" s="7">
        <v>338877251584</v>
      </c>
      <c r="H11" s="6">
        <v>180.8</v>
      </c>
      <c r="I11" s="6">
        <v>109.5</v>
      </c>
      <c r="J11" s="12">
        <f t="shared" si="0"/>
        <v>2.739726027397138E-3</v>
      </c>
      <c r="K11" s="11">
        <v>6.6475409836065577E-2</v>
      </c>
      <c r="L11" s="13">
        <v>54434000000</v>
      </c>
      <c r="M11" s="13">
        <v>303403000000</v>
      </c>
      <c r="N11" s="9" t="s">
        <v>50</v>
      </c>
      <c r="O11" s="6">
        <v>1.0683760683760684</v>
      </c>
      <c r="P11" s="12">
        <v>0.18229304874522292</v>
      </c>
      <c r="Q11" s="12">
        <v>0.17941154174480806</v>
      </c>
      <c r="R11" s="14">
        <v>10</v>
      </c>
    </row>
    <row r="12" spans="2:22" x14ac:dyDescent="0.5">
      <c r="B12" s="1" t="s">
        <v>32</v>
      </c>
      <c r="C12" t="s">
        <v>93</v>
      </c>
      <c r="D12" t="s">
        <v>94</v>
      </c>
      <c r="E12">
        <v>14.51</v>
      </c>
      <c r="F12" s="9" t="s">
        <v>67</v>
      </c>
      <c r="G12" s="7">
        <v>12146429952</v>
      </c>
      <c r="H12" s="6">
        <v>19.440000000000001</v>
      </c>
      <c r="I12" s="6">
        <v>12.5</v>
      </c>
      <c r="J12" s="12">
        <f t="shared" si="0"/>
        <v>0.16080000000000005</v>
      </c>
      <c r="K12" s="11">
        <v>9.0282563749138536E-3</v>
      </c>
      <c r="L12" s="13">
        <v>199557000</v>
      </c>
      <c r="M12" s="13">
        <v>1108087000</v>
      </c>
      <c r="N12" s="9" t="s">
        <v>71</v>
      </c>
      <c r="O12" s="6">
        <v>7.6923076923076916</v>
      </c>
      <c r="P12" s="12">
        <v>0.17092868542387493</v>
      </c>
      <c r="Q12" s="12">
        <v>0.18009145491283626</v>
      </c>
      <c r="R12" s="14">
        <v>11</v>
      </c>
    </row>
    <row r="13" spans="2:22" x14ac:dyDescent="0.5">
      <c r="B13" s="1" t="s">
        <v>766</v>
      </c>
      <c r="C13" t="s">
        <v>771</v>
      </c>
      <c r="D13" t="s">
        <v>164</v>
      </c>
      <c r="E13">
        <v>0.96</v>
      </c>
      <c r="F13" s="9" t="s">
        <v>67</v>
      </c>
      <c r="G13" s="7">
        <v>704892224</v>
      </c>
      <c r="H13" s="6">
        <v>1.06</v>
      </c>
      <c r="I13" s="6">
        <v>0.74</v>
      </c>
      <c r="J13" s="12">
        <f t="shared" si="0"/>
        <v>0.29729729729729737</v>
      </c>
      <c r="K13" s="11">
        <v>0.10416666666666667</v>
      </c>
      <c r="L13" s="13">
        <v>180447000</v>
      </c>
      <c r="M13" s="13">
        <v>1366457000</v>
      </c>
      <c r="N13" s="9" t="s">
        <v>67</v>
      </c>
      <c r="O13" s="6">
        <v>1</v>
      </c>
      <c r="P13" s="12">
        <v>0.42726214691553605</v>
      </c>
      <c r="Q13" s="12">
        <v>0.13205464935962127</v>
      </c>
      <c r="R13" s="14">
        <v>11</v>
      </c>
    </row>
    <row r="14" spans="2:22" x14ac:dyDescent="0.5">
      <c r="B14" s="1" t="s">
        <v>29</v>
      </c>
      <c r="C14" t="s">
        <v>89</v>
      </c>
      <c r="D14" t="s">
        <v>85</v>
      </c>
      <c r="E14">
        <v>4.78</v>
      </c>
      <c r="F14" s="9" t="s">
        <v>67</v>
      </c>
      <c r="G14" s="7">
        <v>56418684928</v>
      </c>
      <c r="H14" s="6">
        <v>5.97</v>
      </c>
      <c r="I14" s="6">
        <v>4.4800000000000004</v>
      </c>
      <c r="J14" s="12">
        <f t="shared" si="0"/>
        <v>6.6964285714285587E-2</v>
      </c>
      <c r="K14" s="11">
        <v>3.0962343096234305E-2</v>
      </c>
      <c r="L14" s="13">
        <v>5915895000</v>
      </c>
      <c r="M14" s="13">
        <v>21902003000</v>
      </c>
      <c r="N14" s="9" t="s">
        <v>50</v>
      </c>
      <c r="O14" s="6">
        <v>1.0683760683760684</v>
      </c>
      <c r="P14" s="12">
        <v>0.12109870136502095</v>
      </c>
      <c r="Q14" s="12">
        <v>0.27010748742934609</v>
      </c>
      <c r="R14" s="14">
        <v>12</v>
      </c>
    </row>
    <row r="15" spans="2:22" x14ac:dyDescent="0.5">
      <c r="B15" s="1" t="s">
        <v>140</v>
      </c>
      <c r="C15" t="s">
        <v>189</v>
      </c>
      <c r="D15" t="s">
        <v>178</v>
      </c>
      <c r="E15">
        <v>8.99</v>
      </c>
      <c r="F15" s="9" t="s">
        <v>67</v>
      </c>
      <c r="G15" s="7">
        <v>111517884416</v>
      </c>
      <c r="H15" s="6">
        <v>13.6</v>
      </c>
      <c r="I15" s="6">
        <v>6.57</v>
      </c>
      <c r="J15" s="12">
        <f t="shared" si="0"/>
        <v>0.36834094368340931</v>
      </c>
      <c r="K15" s="11">
        <v>5.5617352614015575E-3</v>
      </c>
      <c r="L15" s="13">
        <v>2250990000</v>
      </c>
      <c r="M15" s="13">
        <v>11437145000</v>
      </c>
      <c r="N15" s="9" t="s">
        <v>71</v>
      </c>
      <c r="O15" s="6">
        <v>7.6923076923076916</v>
      </c>
      <c r="P15" s="12">
        <v>0.14520493589078218</v>
      </c>
      <c r="Q15" s="12">
        <v>0.19681397761416858</v>
      </c>
      <c r="R15" s="14">
        <v>13</v>
      </c>
    </row>
    <row r="16" spans="2:22" x14ac:dyDescent="0.5">
      <c r="B16" s="1" t="s">
        <v>23</v>
      </c>
      <c r="C16" t="s">
        <v>79</v>
      </c>
      <c r="D16" t="s">
        <v>80</v>
      </c>
      <c r="E16">
        <v>7.93</v>
      </c>
      <c r="F16" s="9" t="s">
        <v>67</v>
      </c>
      <c r="G16" s="7">
        <v>68665872384</v>
      </c>
      <c r="H16" s="6">
        <v>8.48</v>
      </c>
      <c r="I16" s="6">
        <v>6.8</v>
      </c>
      <c r="J16" s="12">
        <f t="shared" si="0"/>
        <v>0.16617647058823537</v>
      </c>
      <c r="K16" s="11">
        <v>4.0100882723833546E-2</v>
      </c>
      <c r="L16" s="13">
        <v>13438000000</v>
      </c>
      <c r="M16" s="13">
        <v>88611000000</v>
      </c>
      <c r="N16" s="9" t="s">
        <v>50</v>
      </c>
      <c r="O16" s="6">
        <v>1.0683760683760684</v>
      </c>
      <c r="P16" s="12">
        <v>0.2212990666701137</v>
      </c>
      <c r="Q16" s="12">
        <v>0.15165160081705431</v>
      </c>
      <c r="R16" s="14">
        <v>14</v>
      </c>
    </row>
    <row r="17" spans="2:18" x14ac:dyDescent="0.5">
      <c r="B17" s="1" t="s">
        <v>250</v>
      </c>
      <c r="C17" t="s">
        <v>297</v>
      </c>
      <c r="D17" t="s">
        <v>298</v>
      </c>
      <c r="E17">
        <v>25.4</v>
      </c>
      <c r="F17" s="9" t="s">
        <v>67</v>
      </c>
      <c r="G17" s="7">
        <v>91288068096</v>
      </c>
      <c r="H17" s="6">
        <v>25.9</v>
      </c>
      <c r="I17" s="6">
        <v>9.56</v>
      </c>
      <c r="J17" s="12">
        <f t="shared" si="0"/>
        <v>1.6569037656903762</v>
      </c>
      <c r="K17" s="11">
        <v>1.3779527559055118E-2</v>
      </c>
      <c r="L17" s="13">
        <v>25585077000</v>
      </c>
      <c r="M17" s="13">
        <v>167756547000</v>
      </c>
      <c r="N17" s="9" t="s">
        <v>67</v>
      </c>
      <c r="O17" s="6">
        <v>1</v>
      </c>
      <c r="P17" s="12">
        <v>0.19829851612208466</v>
      </c>
      <c r="Q17" s="12">
        <v>0.15251313559762292</v>
      </c>
      <c r="R17" s="14">
        <v>15</v>
      </c>
    </row>
    <row r="18" spans="2:18" x14ac:dyDescent="0.5">
      <c r="B18" s="1" t="s">
        <v>281</v>
      </c>
      <c r="C18" t="s">
        <v>334</v>
      </c>
      <c r="D18" t="s">
        <v>74</v>
      </c>
      <c r="E18">
        <v>5.07</v>
      </c>
      <c r="F18" s="9" t="s">
        <v>67</v>
      </c>
      <c r="G18" s="7">
        <v>13687572480</v>
      </c>
      <c r="H18" s="6">
        <v>6.83</v>
      </c>
      <c r="I18" s="6">
        <v>4.46</v>
      </c>
      <c r="J18" s="12">
        <f t="shared" si="0"/>
        <v>0.13677130044843056</v>
      </c>
      <c r="K18" s="11">
        <v>4.9112426035502955E-2</v>
      </c>
      <c r="L18" s="13">
        <v>2030839000</v>
      </c>
      <c r="M18" s="13">
        <v>11587361000</v>
      </c>
      <c r="N18" s="9" t="s">
        <v>50</v>
      </c>
      <c r="O18" s="6">
        <v>1.0683760683760684</v>
      </c>
      <c r="P18" s="12">
        <v>0.15792290924253705</v>
      </c>
      <c r="Q18" s="12">
        <v>0.17526328902672489</v>
      </c>
      <c r="R18" s="14">
        <v>15</v>
      </c>
    </row>
    <row r="19" spans="2:18" x14ac:dyDescent="0.5">
      <c r="B19" s="1" t="s">
        <v>285</v>
      </c>
      <c r="C19" t="s">
        <v>338</v>
      </c>
      <c r="D19" t="s">
        <v>85</v>
      </c>
      <c r="E19">
        <v>9.36</v>
      </c>
      <c r="F19" s="9" t="s">
        <v>67</v>
      </c>
      <c r="G19" s="7">
        <v>120090845184</v>
      </c>
      <c r="H19" s="6">
        <v>9.48</v>
      </c>
      <c r="I19" s="6">
        <v>5.84</v>
      </c>
      <c r="J19" s="12">
        <f t="shared" si="0"/>
        <v>0.60273972602739723</v>
      </c>
      <c r="K19" s="11">
        <v>8.2264957264957268E-3</v>
      </c>
      <c r="L19" s="13">
        <v>2553000000</v>
      </c>
      <c r="M19" s="13">
        <v>13971000000</v>
      </c>
      <c r="N19" s="9" t="s">
        <v>71</v>
      </c>
      <c r="O19" s="6">
        <v>7.6923076923076916</v>
      </c>
      <c r="P19" s="12">
        <v>0.14773613150231796</v>
      </c>
      <c r="Q19" s="12">
        <v>0.18273566673824351</v>
      </c>
      <c r="R19" s="14">
        <v>16</v>
      </c>
    </row>
    <row r="20" spans="2:18" x14ac:dyDescent="0.5">
      <c r="B20" s="1" t="s">
        <v>20</v>
      </c>
      <c r="C20" t="s">
        <v>72</v>
      </c>
      <c r="D20" t="s">
        <v>73</v>
      </c>
      <c r="E20">
        <v>3.2</v>
      </c>
      <c r="F20" s="9" t="s">
        <v>67</v>
      </c>
      <c r="G20" s="7">
        <v>3327385600</v>
      </c>
      <c r="H20" s="6">
        <v>3.74</v>
      </c>
      <c r="I20" s="6">
        <v>1.92</v>
      </c>
      <c r="J20" s="12">
        <f t="shared" si="0"/>
        <v>0.66666666666666674</v>
      </c>
      <c r="K20" s="11">
        <v>8.8749999999999982E-2</v>
      </c>
      <c r="L20" s="13">
        <v>762183000</v>
      </c>
      <c r="M20" s="13">
        <v>5008319000</v>
      </c>
      <c r="N20" s="9" t="s">
        <v>67</v>
      </c>
      <c r="O20" s="6">
        <v>1</v>
      </c>
      <c r="P20" s="12">
        <v>0.1871570562656949</v>
      </c>
      <c r="Q20" s="12">
        <v>0.15218339726363278</v>
      </c>
      <c r="R20" s="14">
        <v>16</v>
      </c>
    </row>
    <row r="21" spans="2:18" x14ac:dyDescent="0.5">
      <c r="B21" s="1" t="s">
        <v>288</v>
      </c>
      <c r="C21" t="s">
        <v>341</v>
      </c>
      <c r="D21" t="s">
        <v>76</v>
      </c>
      <c r="E21">
        <v>29.52</v>
      </c>
      <c r="F21" s="9" t="s">
        <v>67</v>
      </c>
      <c r="G21" s="7">
        <v>79085019136</v>
      </c>
      <c r="H21" s="6">
        <v>33</v>
      </c>
      <c r="I21" s="6">
        <v>15.7</v>
      </c>
      <c r="J21" s="12">
        <f t="shared" si="0"/>
        <v>0.88025477707006372</v>
      </c>
      <c r="K21" s="11">
        <v>1.1924119241192412E-2</v>
      </c>
      <c r="L21" s="13">
        <v>1069250000</v>
      </c>
      <c r="M21" s="13">
        <v>2571093000</v>
      </c>
      <c r="N21" s="9" t="s">
        <v>71</v>
      </c>
      <c r="O21" s="6">
        <v>7.6923076923076916</v>
      </c>
      <c r="P21" s="12">
        <v>0.10772887840986026</v>
      </c>
      <c r="Q21" s="12">
        <v>0.41587371596437778</v>
      </c>
      <c r="R21" s="14">
        <v>17</v>
      </c>
    </row>
    <row r="22" spans="2:18" x14ac:dyDescent="0.5">
      <c r="B22" s="1" t="s">
        <v>34</v>
      </c>
      <c r="C22" t="s">
        <v>97</v>
      </c>
      <c r="D22" t="s">
        <v>70</v>
      </c>
      <c r="E22">
        <v>4.6900000000000004</v>
      </c>
      <c r="F22" s="9" t="s">
        <v>67</v>
      </c>
      <c r="G22" s="7">
        <v>54075490304</v>
      </c>
      <c r="H22" s="6">
        <v>5.37</v>
      </c>
      <c r="I22" s="6">
        <v>3.5</v>
      </c>
      <c r="J22" s="12">
        <f t="shared" si="0"/>
        <v>0.34000000000000008</v>
      </c>
      <c r="K22" s="11">
        <v>5.628997867803838E-2</v>
      </c>
      <c r="L22" s="13">
        <v>5294586000</v>
      </c>
      <c r="M22" s="13">
        <v>17815083000</v>
      </c>
      <c r="N22" s="9" t="s">
        <v>50</v>
      </c>
      <c r="O22" s="6">
        <v>1.0683760683760684</v>
      </c>
      <c r="P22" s="12">
        <v>0.10964535204083971</v>
      </c>
      <c r="Q22" s="12">
        <v>0.29719681912231338</v>
      </c>
      <c r="R22" s="14">
        <v>17</v>
      </c>
    </row>
    <row r="23" spans="2:18" x14ac:dyDescent="0.5">
      <c r="B23" s="1" t="s">
        <v>247</v>
      </c>
      <c r="C23" t="s">
        <v>292</v>
      </c>
      <c r="D23" t="s">
        <v>291</v>
      </c>
      <c r="E23">
        <v>1.31</v>
      </c>
      <c r="F23" s="9" t="s">
        <v>67</v>
      </c>
      <c r="G23" s="7">
        <v>2638665728</v>
      </c>
      <c r="H23" s="6">
        <v>1.85</v>
      </c>
      <c r="I23" s="6">
        <v>1.1299999999999999</v>
      </c>
      <c r="J23" s="12">
        <f t="shared" si="0"/>
        <v>0.15929203539823034</v>
      </c>
      <c r="K23" s="11">
        <v>9.0839694656488543E-2</v>
      </c>
      <c r="L23" s="13">
        <v>809534000</v>
      </c>
      <c r="M23" s="13">
        <v>6812238000</v>
      </c>
      <c r="N23" s="9" t="s">
        <v>50</v>
      </c>
      <c r="O23" s="6">
        <v>1.0683760683760684</v>
      </c>
      <c r="P23" s="12">
        <v>0.32815733710339989</v>
      </c>
      <c r="Q23" s="12">
        <v>0.11883524915013245</v>
      </c>
      <c r="R23" s="14">
        <v>18</v>
      </c>
    </row>
    <row r="24" spans="2:18" x14ac:dyDescent="0.5">
      <c r="B24" s="1" t="s">
        <v>27</v>
      </c>
      <c r="C24" t="s">
        <v>86</v>
      </c>
      <c r="D24" t="s">
        <v>87</v>
      </c>
      <c r="E24">
        <v>4.82</v>
      </c>
      <c r="F24" s="9" t="s">
        <v>67</v>
      </c>
      <c r="G24" s="7">
        <v>5118271488</v>
      </c>
      <c r="H24" s="6">
        <v>7.12</v>
      </c>
      <c r="I24" s="6">
        <v>3.98</v>
      </c>
      <c r="J24" s="12">
        <f t="shared" si="0"/>
        <v>0.21105527638190957</v>
      </c>
      <c r="K24" s="11">
        <v>0.10373443983402489</v>
      </c>
      <c r="L24" s="13">
        <v>866801000</v>
      </c>
      <c r="M24" s="13">
        <v>7530053000</v>
      </c>
      <c r="N24" s="9" t="s">
        <v>67</v>
      </c>
      <c r="O24" s="6">
        <v>1</v>
      </c>
      <c r="P24" s="12">
        <v>0.40838709893111597</v>
      </c>
      <c r="Q24" s="12">
        <v>0.11511220438953086</v>
      </c>
      <c r="R24" s="14">
        <v>18</v>
      </c>
    </row>
    <row r="25" spans="2:18" x14ac:dyDescent="0.5">
      <c r="B25" s="1" t="s">
        <v>287</v>
      </c>
      <c r="C25" t="s">
        <v>340</v>
      </c>
      <c r="D25" t="s">
        <v>53</v>
      </c>
      <c r="E25">
        <v>4.75</v>
      </c>
      <c r="F25" s="9" t="s">
        <v>67</v>
      </c>
      <c r="G25" s="7">
        <v>18420893696</v>
      </c>
      <c r="H25" s="6">
        <v>5.29</v>
      </c>
      <c r="I25" s="6">
        <v>3.33</v>
      </c>
      <c r="J25" s="12">
        <f t="shared" si="0"/>
        <v>0.42642642642642636</v>
      </c>
      <c r="K25" s="11">
        <v>5.6842105263157895E-2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0.15016643669049762</v>
      </c>
      <c r="Q25" s="12">
        <v>0.16681818624944278</v>
      </c>
      <c r="R25" s="14">
        <v>19</v>
      </c>
    </row>
    <row r="26" spans="2:18" x14ac:dyDescent="0.5">
      <c r="B26" s="1" t="s">
        <v>24</v>
      </c>
      <c r="C26" t="s">
        <v>755</v>
      </c>
      <c r="D26" t="s">
        <v>81</v>
      </c>
      <c r="E26">
        <v>22.2</v>
      </c>
      <c r="F26" s="9" t="s">
        <v>67</v>
      </c>
      <c r="G26" s="7">
        <v>47303172096</v>
      </c>
      <c r="H26" s="6">
        <v>26</v>
      </c>
      <c r="I26" s="6">
        <v>9.76</v>
      </c>
      <c r="J26" s="12">
        <f t="shared" si="0"/>
        <v>1.2745901639344264</v>
      </c>
      <c r="K26" s="11">
        <v>5.0450450450450456E-2</v>
      </c>
      <c r="L26" s="13">
        <v>5451928473.2399998</v>
      </c>
      <c r="M26" s="13">
        <v>25994816572.18</v>
      </c>
      <c r="N26" s="9" t="s">
        <v>50</v>
      </c>
      <c r="O26" s="6">
        <v>1.0683760683760684</v>
      </c>
      <c r="P26" s="12">
        <v>0.11473004555232215</v>
      </c>
      <c r="Q26" s="12">
        <v>0.20973136925592797</v>
      </c>
      <c r="R26" s="14">
        <v>20</v>
      </c>
    </row>
    <row r="27" spans="2:18" x14ac:dyDescent="0.5">
      <c r="B27" s="1" t="s">
        <v>22</v>
      </c>
      <c r="C27" t="s">
        <v>77</v>
      </c>
      <c r="D27" t="s">
        <v>78</v>
      </c>
      <c r="E27">
        <v>10.91</v>
      </c>
      <c r="F27" s="9" t="s">
        <v>67</v>
      </c>
      <c r="G27" s="7">
        <v>176454942720</v>
      </c>
      <c r="H27" s="6">
        <v>12.31</v>
      </c>
      <c r="I27" s="6">
        <v>7.16</v>
      </c>
      <c r="J27" s="12">
        <f t="shared" si="0"/>
        <v>0.52374301675977653</v>
      </c>
      <c r="K27" s="11">
        <v>3.8863428047662692E-2</v>
      </c>
      <c r="L27" s="13">
        <v>32866046000</v>
      </c>
      <c r="M27" s="13">
        <v>215280386000</v>
      </c>
      <c r="N27" s="9" t="s">
        <v>50</v>
      </c>
      <c r="O27" s="6">
        <v>1.0683760683760684</v>
      </c>
      <c r="P27" s="12">
        <v>0.16455142052470798</v>
      </c>
      <c r="Q27" s="12">
        <v>0.15266623500015464</v>
      </c>
      <c r="R27" s="14">
        <v>20</v>
      </c>
    </row>
    <row r="28" spans="2:18" x14ac:dyDescent="0.5">
      <c r="B28" s="1" t="s">
        <v>764</v>
      </c>
      <c r="C28" t="s">
        <v>769</v>
      </c>
      <c r="D28" t="s">
        <v>660</v>
      </c>
      <c r="E28">
        <v>1.26</v>
      </c>
      <c r="F28" s="9" t="s">
        <v>67</v>
      </c>
      <c r="G28" s="7">
        <v>522900000</v>
      </c>
      <c r="H28" s="6">
        <v>1.41</v>
      </c>
      <c r="I28" s="6">
        <v>0.59</v>
      </c>
      <c r="J28" s="12">
        <f t="shared" si="0"/>
        <v>1.1355932203389831</v>
      </c>
      <c r="K28" s="11">
        <v>3.0158730158730159E-2</v>
      </c>
      <c r="L28" s="13">
        <v>76397000</v>
      </c>
      <c r="M28" s="13">
        <v>492379000</v>
      </c>
      <c r="N28" s="9" t="s">
        <v>67</v>
      </c>
      <c r="O28" s="6">
        <v>1</v>
      </c>
      <c r="P28" s="12">
        <v>0.14801690248906782</v>
      </c>
      <c r="Q28" s="12">
        <v>0.15515893244837817</v>
      </c>
      <c r="R28" s="14">
        <v>21</v>
      </c>
    </row>
    <row r="29" spans="2:18" x14ac:dyDescent="0.5">
      <c r="B29" s="1" t="s">
        <v>289</v>
      </c>
      <c r="C29" t="s">
        <v>342</v>
      </c>
      <c r="D29" t="s">
        <v>85</v>
      </c>
      <c r="E29">
        <v>1.04</v>
      </c>
      <c r="F29" s="9" t="s">
        <v>67</v>
      </c>
      <c r="G29" s="7">
        <v>2276054528</v>
      </c>
      <c r="H29" s="6">
        <v>1.29</v>
      </c>
      <c r="I29" s="6">
        <v>0.47</v>
      </c>
      <c r="J29" s="12">
        <f t="shared" si="0"/>
        <v>1.2127659574468086</v>
      </c>
      <c r="K29" s="11">
        <v>3.5576923076923075E-2</v>
      </c>
      <c r="L29" s="13">
        <v>219938000</v>
      </c>
      <c r="M29" s="13">
        <v>1520292000</v>
      </c>
      <c r="N29" s="9" t="s">
        <v>50</v>
      </c>
      <c r="O29" s="6">
        <v>1.0683760683760684</v>
      </c>
      <c r="P29" s="12">
        <v>0.16827284532485134</v>
      </c>
      <c r="Q29" s="12">
        <v>0.14466826109721026</v>
      </c>
      <c r="R29" s="14">
        <v>22</v>
      </c>
    </row>
    <row r="30" spans="2:18" x14ac:dyDescent="0.5">
      <c r="B30" s="1" t="s">
        <v>197</v>
      </c>
      <c r="C30" t="s">
        <v>220</v>
      </c>
      <c r="D30" t="s">
        <v>221</v>
      </c>
      <c r="E30">
        <v>26.62</v>
      </c>
      <c r="F30" s="9" t="s">
        <v>67</v>
      </c>
      <c r="G30" s="7">
        <v>231955546112</v>
      </c>
      <c r="H30" s="6">
        <v>27.58</v>
      </c>
      <c r="I30" s="6">
        <v>12.76</v>
      </c>
      <c r="J30" s="12">
        <f t="shared" si="0"/>
        <v>1.0862068965517242</v>
      </c>
      <c r="K30" s="11">
        <v>2.6483846731780614E-2</v>
      </c>
      <c r="L30" s="13">
        <v>21175963859.630001</v>
      </c>
      <c r="M30" s="13">
        <v>104071284594.97</v>
      </c>
      <c r="N30" s="9" t="s">
        <v>50</v>
      </c>
      <c r="O30" s="6">
        <v>1.0683760683760684</v>
      </c>
      <c r="P30" s="12">
        <v>0.11247022078987598</v>
      </c>
      <c r="Q30" s="12">
        <v>0.20347556909712136</v>
      </c>
      <c r="R30" s="14">
        <v>23</v>
      </c>
    </row>
    <row r="31" spans="2:18" x14ac:dyDescent="0.5">
      <c r="B31" s="1" t="s">
        <v>115</v>
      </c>
      <c r="C31" t="s">
        <v>155</v>
      </c>
      <c r="D31" t="s">
        <v>83</v>
      </c>
      <c r="E31">
        <v>77.599999999999994</v>
      </c>
      <c r="F31" s="9" t="s">
        <v>67</v>
      </c>
      <c r="G31" s="7">
        <v>214990766080</v>
      </c>
      <c r="H31" s="6">
        <v>106.3</v>
      </c>
      <c r="I31" s="6">
        <v>73.55</v>
      </c>
      <c r="J31" s="12">
        <f t="shared" si="0"/>
        <v>5.5064581917063204E-2</v>
      </c>
      <c r="K31" s="11">
        <v>3.0541237113402064E-2</v>
      </c>
      <c r="L31" s="13">
        <v>22510000000</v>
      </c>
      <c r="M31" s="13">
        <v>82545000000</v>
      </c>
      <c r="N31" s="9" t="s">
        <v>50</v>
      </c>
      <c r="O31" s="6">
        <v>1.0683760683760684</v>
      </c>
      <c r="P31" s="12">
        <v>0.10327518742115996</v>
      </c>
      <c r="Q31" s="12">
        <v>0.27269973953601068</v>
      </c>
      <c r="R31" s="14">
        <v>24</v>
      </c>
    </row>
    <row r="32" spans="2:18" x14ac:dyDescent="0.5">
      <c r="B32" s="1" t="s">
        <v>279</v>
      </c>
      <c r="C32" t="s">
        <v>332</v>
      </c>
      <c r="D32" t="s">
        <v>60</v>
      </c>
      <c r="E32">
        <v>10.91</v>
      </c>
      <c r="F32" s="9" t="s">
        <v>67</v>
      </c>
      <c r="G32" s="7">
        <v>17681825792</v>
      </c>
      <c r="H32" s="6">
        <v>12.4</v>
      </c>
      <c r="I32" s="6">
        <v>10.01</v>
      </c>
      <c r="J32" s="12">
        <f t="shared" si="0"/>
        <v>8.9910089910089974E-2</v>
      </c>
      <c r="K32" s="11">
        <v>5.4995417048579284E-2</v>
      </c>
      <c r="L32" s="13">
        <v>1721368005.75</v>
      </c>
      <c r="M32" s="13">
        <v>14620942286.52</v>
      </c>
      <c r="N32" s="9" t="s">
        <v>50</v>
      </c>
      <c r="O32" s="6">
        <v>1.0683760683760684</v>
      </c>
      <c r="P32" s="12">
        <v>0.22407814255426484</v>
      </c>
      <c r="Q32" s="12">
        <v>0.11773304155211949</v>
      </c>
      <c r="R32" s="14">
        <v>24</v>
      </c>
    </row>
    <row r="33" spans="2:18" x14ac:dyDescent="0.5">
      <c r="B33" s="1" t="s">
        <v>282</v>
      </c>
      <c r="C33" t="s">
        <v>335</v>
      </c>
      <c r="D33" t="s">
        <v>96</v>
      </c>
      <c r="E33">
        <v>4.9000000000000004</v>
      </c>
      <c r="F33" s="9" t="s">
        <v>67</v>
      </c>
      <c r="G33" s="7">
        <v>5394662912</v>
      </c>
      <c r="H33" s="6">
        <v>4.95</v>
      </c>
      <c r="I33" s="6">
        <v>4</v>
      </c>
      <c r="J33" s="12">
        <f t="shared" si="0"/>
        <v>0.22500000000000009</v>
      </c>
      <c r="K33" s="11">
        <v>6.5306122448979584E-2</v>
      </c>
      <c r="L33" s="13">
        <v>765224000</v>
      </c>
      <c r="M33" s="13">
        <v>5249449000</v>
      </c>
      <c r="N33" s="9" t="s">
        <v>67</v>
      </c>
      <c r="O33" s="6">
        <v>1</v>
      </c>
      <c r="P33" s="12">
        <v>0.16005776583879672</v>
      </c>
      <c r="Q33" s="12">
        <v>0.14577225152582682</v>
      </c>
      <c r="R33" s="14">
        <v>25</v>
      </c>
    </row>
    <row r="34" spans="2:18" x14ac:dyDescent="0.5">
      <c r="B34" s="1" t="s">
        <v>433</v>
      </c>
      <c r="C34" t="s">
        <v>436</v>
      </c>
      <c r="D34" t="s">
        <v>182</v>
      </c>
      <c r="E34">
        <v>15.78</v>
      </c>
      <c r="F34" s="9" t="s">
        <v>67</v>
      </c>
      <c r="G34" s="7">
        <v>85448695808</v>
      </c>
      <c r="H34" s="6">
        <v>18.88</v>
      </c>
      <c r="I34" s="6">
        <v>12.43</v>
      </c>
      <c r="J34" s="12">
        <f t="shared" ref="J34:J65" si="1">E34/I34-1</f>
        <v>0.26950925181013674</v>
      </c>
      <c r="K34" s="11">
        <v>4.9239543726235742E-2</v>
      </c>
      <c r="L34" s="13">
        <v>6898733000</v>
      </c>
      <c r="M34" s="13">
        <v>12604518000</v>
      </c>
      <c r="N34" s="9" t="s">
        <v>50</v>
      </c>
      <c r="O34" s="6">
        <v>1.0683760683760684</v>
      </c>
      <c r="P34" s="12">
        <v>8.7688247073744813E-2</v>
      </c>
      <c r="Q34" s="12">
        <v>0.54732223794674262</v>
      </c>
      <c r="R34" s="14">
        <v>25</v>
      </c>
    </row>
    <row r="35" spans="2:18" x14ac:dyDescent="0.5">
      <c r="B35" s="1" t="s">
        <v>110</v>
      </c>
      <c r="C35" t="s">
        <v>147</v>
      </c>
      <c r="D35" t="s">
        <v>148</v>
      </c>
      <c r="E35">
        <v>4.04</v>
      </c>
      <c r="F35" s="9" t="s">
        <v>67</v>
      </c>
      <c r="G35" s="7">
        <v>5799062016</v>
      </c>
      <c r="H35" s="6">
        <v>6.5</v>
      </c>
      <c r="I35" s="6">
        <v>2.84</v>
      </c>
      <c r="J35" s="12">
        <f t="shared" si="1"/>
        <v>0.42253521126760574</v>
      </c>
      <c r="K35" s="11">
        <v>9.6782178217821785E-2</v>
      </c>
      <c r="L35" s="13">
        <v>811880000</v>
      </c>
      <c r="M35" s="13">
        <v>5532140000</v>
      </c>
      <c r="N35" s="9" t="s">
        <v>50</v>
      </c>
      <c r="O35" s="6">
        <v>1.0683760683760684</v>
      </c>
      <c r="P35" s="12">
        <v>0.15530523092622112</v>
      </c>
      <c r="Q35" s="12">
        <v>0.14675695119790894</v>
      </c>
      <c r="R35" s="14">
        <v>26</v>
      </c>
    </row>
    <row r="36" spans="2:18" x14ac:dyDescent="0.5">
      <c r="B36" s="1" t="s">
        <v>198</v>
      </c>
      <c r="C36" t="s">
        <v>222</v>
      </c>
      <c r="D36" t="s">
        <v>223</v>
      </c>
      <c r="E36">
        <v>0.65</v>
      </c>
      <c r="F36" s="9" t="s">
        <v>67</v>
      </c>
      <c r="G36" s="7">
        <v>1548433792</v>
      </c>
      <c r="H36" s="6">
        <v>0.75</v>
      </c>
      <c r="I36" s="6">
        <v>0.55000000000000004</v>
      </c>
      <c r="J36" s="12">
        <f t="shared" si="1"/>
        <v>0.18181818181818166</v>
      </c>
      <c r="K36" s="11">
        <v>1.5384615384615384E-2</v>
      </c>
      <c r="L36" s="13">
        <v>54195000</v>
      </c>
      <c r="M36" s="13">
        <v>586711000</v>
      </c>
      <c r="N36" s="9" t="s">
        <v>71</v>
      </c>
      <c r="O36" s="6">
        <v>7.6923076923076916</v>
      </c>
      <c r="P36" s="12">
        <v>1.6717361673932885</v>
      </c>
      <c r="Q36" s="12">
        <v>9.2370860611101543E-2</v>
      </c>
      <c r="R36" s="14">
        <v>27</v>
      </c>
    </row>
    <row r="37" spans="2:18" x14ac:dyDescent="0.5">
      <c r="B37" s="1" t="s">
        <v>139</v>
      </c>
      <c r="C37" t="s">
        <v>187</v>
      </c>
      <c r="D37" t="s">
        <v>106</v>
      </c>
      <c r="E37">
        <v>39.78</v>
      </c>
      <c r="F37" s="9" t="s">
        <v>67</v>
      </c>
      <c r="G37" s="7">
        <v>101790015488</v>
      </c>
      <c r="H37" s="6">
        <v>71.7</v>
      </c>
      <c r="I37" s="6">
        <v>39.340000000000003</v>
      </c>
      <c r="J37" s="12">
        <f t="shared" si="1"/>
        <v>1.1184544992374201E-2</v>
      </c>
      <c r="K37" s="11">
        <v>4.1226747109100051E-3</v>
      </c>
      <c r="L37" s="13">
        <v>1279098000</v>
      </c>
      <c r="M37" s="13">
        <v>4811702000</v>
      </c>
      <c r="N37" s="9" t="s">
        <v>188</v>
      </c>
      <c r="O37" s="6">
        <v>8.7546153846153842</v>
      </c>
      <c r="P37" s="12">
        <v>9.5434430180046048E-2</v>
      </c>
      <c r="Q37" s="12">
        <v>0.26583067696212276</v>
      </c>
      <c r="R37" s="14">
        <v>28</v>
      </c>
    </row>
    <row r="38" spans="2:18" x14ac:dyDescent="0.5">
      <c r="B38" s="1" t="s">
        <v>270</v>
      </c>
      <c r="C38" t="s">
        <v>322</v>
      </c>
      <c r="D38" t="s">
        <v>94</v>
      </c>
      <c r="E38">
        <v>17.39</v>
      </c>
      <c r="F38" s="9" t="s">
        <v>67</v>
      </c>
      <c r="G38" s="7">
        <v>27903096832</v>
      </c>
      <c r="H38" s="6">
        <v>18.45</v>
      </c>
      <c r="I38" s="6">
        <v>9.6300000000000008</v>
      </c>
      <c r="J38" s="12">
        <f t="shared" si="1"/>
        <v>0.80581516095534789</v>
      </c>
      <c r="K38" s="11">
        <v>9.6032202415181137E-3</v>
      </c>
      <c r="L38" s="13">
        <v>634792000</v>
      </c>
      <c r="M38" s="13">
        <v>5195491000</v>
      </c>
      <c r="N38" s="9" t="s">
        <v>71</v>
      </c>
      <c r="O38" s="6">
        <v>7.6923076923076916</v>
      </c>
      <c r="P38" s="12">
        <v>0.1652772498198363</v>
      </c>
      <c r="Q38" s="12">
        <v>0.12218132992627646</v>
      </c>
      <c r="R38" s="14">
        <v>29</v>
      </c>
    </row>
    <row r="39" spans="2:18" x14ac:dyDescent="0.5">
      <c r="B39" s="1" t="s">
        <v>276</v>
      </c>
      <c r="C39" t="s">
        <v>329</v>
      </c>
      <c r="D39" t="s">
        <v>53</v>
      </c>
      <c r="E39">
        <v>25.9</v>
      </c>
      <c r="F39" s="9" t="s">
        <v>67</v>
      </c>
      <c r="G39" s="7">
        <v>264610529280</v>
      </c>
      <c r="H39" s="6">
        <v>27.92</v>
      </c>
      <c r="I39" s="6">
        <v>19.239999999999998</v>
      </c>
      <c r="J39" s="12">
        <f t="shared" si="1"/>
        <v>0.34615384615384626</v>
      </c>
      <c r="K39" s="11">
        <v>4.7644787644787648E-2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0.10762910769748738</v>
      </c>
      <c r="Q39" s="12">
        <v>0.18884873513587705</v>
      </c>
      <c r="R39" s="14">
        <v>30</v>
      </c>
    </row>
    <row r="40" spans="2:18" x14ac:dyDescent="0.5">
      <c r="B40" s="1" t="s">
        <v>275</v>
      </c>
      <c r="C40" t="s">
        <v>328</v>
      </c>
      <c r="D40" t="s">
        <v>148</v>
      </c>
      <c r="E40">
        <v>30.18</v>
      </c>
      <c r="F40" s="9" t="s">
        <v>67</v>
      </c>
      <c r="G40" s="7">
        <v>215211753472</v>
      </c>
      <c r="H40" s="6">
        <v>34.119999999999997</v>
      </c>
      <c r="I40" s="6">
        <v>22.4</v>
      </c>
      <c r="J40" s="12">
        <f t="shared" si="1"/>
        <v>0.34732142857142856</v>
      </c>
      <c r="K40" s="11">
        <v>4.370444002650762E-2</v>
      </c>
      <c r="L40" s="13">
        <v>61181051000</v>
      </c>
      <c r="M40" s="13">
        <v>532289194000</v>
      </c>
      <c r="N40" s="9" t="s">
        <v>50</v>
      </c>
      <c r="O40" s="6">
        <v>1.0683760683760684</v>
      </c>
      <c r="P40" s="12">
        <v>0.18184922641046694</v>
      </c>
      <c r="Q40" s="12">
        <v>0.11493949471384535</v>
      </c>
      <c r="R40" s="14">
        <v>31</v>
      </c>
    </row>
    <row r="41" spans="2:18" x14ac:dyDescent="0.5">
      <c r="B41" s="1" t="s">
        <v>277</v>
      </c>
      <c r="C41" t="s">
        <v>330</v>
      </c>
      <c r="D41" t="s">
        <v>55</v>
      </c>
      <c r="E41">
        <v>12.18</v>
      </c>
      <c r="F41" s="9" t="s">
        <v>67</v>
      </c>
      <c r="G41" s="7">
        <v>30703802368</v>
      </c>
      <c r="H41" s="6">
        <v>13.06</v>
      </c>
      <c r="I41" s="6">
        <v>6.09</v>
      </c>
      <c r="J41" s="12">
        <f t="shared" si="1"/>
        <v>1</v>
      </c>
      <c r="K41" s="11">
        <v>2.6108374384236455E-2</v>
      </c>
      <c r="L41" s="13">
        <v>3301437000</v>
      </c>
      <c r="M41" s="13">
        <v>21814427000</v>
      </c>
      <c r="N41" s="9" t="s">
        <v>67</v>
      </c>
      <c r="O41" s="6">
        <v>1</v>
      </c>
      <c r="P41" s="12">
        <v>0.12273190545617618</v>
      </c>
      <c r="Q41" s="12">
        <v>0.15134190781174311</v>
      </c>
      <c r="R41" s="14">
        <v>31</v>
      </c>
    </row>
    <row r="42" spans="2:18" x14ac:dyDescent="0.5">
      <c r="B42" s="1" t="s">
        <v>136</v>
      </c>
      <c r="C42" t="s">
        <v>183</v>
      </c>
      <c r="D42" t="s">
        <v>85</v>
      </c>
      <c r="E42">
        <v>12.04</v>
      </c>
      <c r="F42" s="9" t="s">
        <v>67</v>
      </c>
      <c r="G42" s="7">
        <v>67863658496</v>
      </c>
      <c r="H42" s="6">
        <v>14.24</v>
      </c>
      <c r="I42" s="6">
        <v>10.16</v>
      </c>
      <c r="J42" s="12">
        <f t="shared" si="1"/>
        <v>0.18503937007874005</v>
      </c>
      <c r="K42" s="11">
        <v>2.7491694352159472E-2</v>
      </c>
      <c r="L42" s="13">
        <v>6482967000</v>
      </c>
      <c r="M42" s="13">
        <v>27483863000</v>
      </c>
      <c r="N42" s="9" t="s">
        <v>50</v>
      </c>
      <c r="O42" s="6">
        <v>1.0683760683760684</v>
      </c>
      <c r="P42" s="12">
        <v>9.3253612195575583E-2</v>
      </c>
      <c r="Q42" s="12">
        <v>0.23588267049650188</v>
      </c>
      <c r="R42" s="14">
        <v>32</v>
      </c>
    </row>
    <row r="43" spans="2:18" x14ac:dyDescent="0.5">
      <c r="B43" s="1" t="s">
        <v>121</v>
      </c>
      <c r="C43" t="s">
        <v>162</v>
      </c>
      <c r="D43" t="s">
        <v>76</v>
      </c>
      <c r="E43">
        <v>6.26</v>
      </c>
      <c r="F43" s="9" t="s">
        <v>67</v>
      </c>
      <c r="G43" s="7">
        <v>9176981504</v>
      </c>
      <c r="H43" s="6">
        <v>6.57</v>
      </c>
      <c r="I43" s="6">
        <v>4.08</v>
      </c>
      <c r="J43" s="12">
        <f t="shared" si="1"/>
        <v>0.53431372549019596</v>
      </c>
      <c r="K43" s="11">
        <v>8.7060702875399368E-2</v>
      </c>
      <c r="L43" s="13">
        <v>784607000</v>
      </c>
      <c r="M43" s="13">
        <v>7872586000</v>
      </c>
      <c r="N43" s="9" t="s">
        <v>67</v>
      </c>
      <c r="O43" s="6">
        <v>1</v>
      </c>
      <c r="P43" s="12">
        <v>0.22699599378269594</v>
      </c>
      <c r="Q43" s="12">
        <v>9.9663185641922489E-2</v>
      </c>
      <c r="R43" s="14">
        <v>33</v>
      </c>
    </row>
    <row r="44" spans="2:18" x14ac:dyDescent="0.5">
      <c r="B44" s="1" t="s">
        <v>272</v>
      </c>
      <c r="C44" t="s">
        <v>324</v>
      </c>
      <c r="D44" t="s">
        <v>296</v>
      </c>
      <c r="E44">
        <v>4.1500000000000004</v>
      </c>
      <c r="F44" s="9" t="s">
        <v>67</v>
      </c>
      <c r="G44" s="7">
        <v>47731322880</v>
      </c>
      <c r="H44" s="6">
        <v>4.54</v>
      </c>
      <c r="I44" s="6">
        <v>2.7</v>
      </c>
      <c r="J44" s="12">
        <f t="shared" si="1"/>
        <v>0.53703703703703698</v>
      </c>
      <c r="K44" s="11">
        <v>4.5783132530120479E-2</v>
      </c>
      <c r="L44" s="13">
        <v>9414000000</v>
      </c>
      <c r="M44" s="13">
        <v>81589000000</v>
      </c>
      <c r="N44" s="9" t="s">
        <v>50</v>
      </c>
      <c r="O44" s="6">
        <v>1.0683760683760684</v>
      </c>
      <c r="P44" s="12">
        <v>0.16211045085881892</v>
      </c>
      <c r="Q44" s="12">
        <v>0.11538320116682396</v>
      </c>
      <c r="R44" s="14">
        <v>34</v>
      </c>
    </row>
    <row r="45" spans="2:18" x14ac:dyDescent="0.5">
      <c r="B45" s="1" t="s">
        <v>280</v>
      </c>
      <c r="C45" t="s">
        <v>333</v>
      </c>
      <c r="D45" t="s">
        <v>96</v>
      </c>
      <c r="E45">
        <v>4.55</v>
      </c>
      <c r="F45" s="9" t="s">
        <v>67</v>
      </c>
      <c r="G45" s="7">
        <v>31513384960</v>
      </c>
      <c r="H45" s="6">
        <v>6.15</v>
      </c>
      <c r="I45" s="6">
        <v>3.78</v>
      </c>
      <c r="J45" s="12">
        <f t="shared" si="1"/>
        <v>0.20370370370370372</v>
      </c>
      <c r="K45" s="11">
        <v>4.8131868131868136E-2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0.35467278042003964</v>
      </c>
      <c r="Q45" s="12">
        <v>9.1377422623841298E-2</v>
      </c>
      <c r="R45" s="14">
        <v>34</v>
      </c>
    </row>
    <row r="46" spans="2:18" x14ac:dyDescent="0.5">
      <c r="B46" s="1" t="s">
        <v>261</v>
      </c>
      <c r="C46" t="s">
        <v>310</v>
      </c>
      <c r="D46" t="s">
        <v>311</v>
      </c>
      <c r="E46">
        <v>6.96</v>
      </c>
      <c r="F46" s="9" t="s">
        <v>67</v>
      </c>
      <c r="G46" s="7">
        <v>12579708928</v>
      </c>
      <c r="H46" s="6">
        <v>9.7899999999999991</v>
      </c>
      <c r="I46" s="6">
        <v>5.49</v>
      </c>
      <c r="J46" s="12">
        <f t="shared" si="1"/>
        <v>0.26775956284152991</v>
      </c>
      <c r="K46" s="11">
        <v>3.7356321839080463E-2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0.16562298321783669</v>
      </c>
      <c r="Q46" s="12">
        <v>0.11156568921912897</v>
      </c>
      <c r="R46" s="14">
        <v>35</v>
      </c>
    </row>
    <row r="47" spans="2:18" x14ac:dyDescent="0.5">
      <c r="B47" s="1" t="s">
        <v>278</v>
      </c>
      <c r="C47" t="s">
        <v>331</v>
      </c>
      <c r="D47" t="s">
        <v>49</v>
      </c>
      <c r="E47">
        <v>23.78</v>
      </c>
      <c r="F47" s="9" t="s">
        <v>67</v>
      </c>
      <c r="G47" s="7">
        <v>37952880640</v>
      </c>
      <c r="H47" s="6">
        <v>24.94</v>
      </c>
      <c r="I47" s="6">
        <v>16.18</v>
      </c>
      <c r="J47" s="12">
        <f t="shared" si="1"/>
        <v>0.46971569839307792</v>
      </c>
      <c r="K47" s="11">
        <v>2.8847771236333055E-2</v>
      </c>
      <c r="L47" s="13">
        <v>3811007000</v>
      </c>
      <c r="M47" s="13">
        <v>22856317000</v>
      </c>
      <c r="N47" s="9" t="s">
        <v>50</v>
      </c>
      <c r="O47" s="6">
        <v>1.0683760683760684</v>
      </c>
      <c r="P47" s="12">
        <v>0.10930864743110992</v>
      </c>
      <c r="Q47" s="12">
        <v>0.1667375806872122</v>
      </c>
      <c r="R47" s="14">
        <v>36</v>
      </c>
    </row>
    <row r="48" spans="2:18" x14ac:dyDescent="0.5">
      <c r="B48" s="1" t="s">
        <v>267</v>
      </c>
      <c r="C48" t="s">
        <v>318</v>
      </c>
      <c r="D48" t="s">
        <v>171</v>
      </c>
      <c r="E48">
        <v>81</v>
      </c>
      <c r="F48" s="9" t="s">
        <v>67</v>
      </c>
      <c r="G48" s="7">
        <v>19830847488</v>
      </c>
      <c r="H48" s="6">
        <v>103.1</v>
      </c>
      <c r="I48" s="6">
        <v>58.2</v>
      </c>
      <c r="J48" s="12">
        <f t="shared" si="1"/>
        <v>0.39175257731958757</v>
      </c>
      <c r="K48" s="11">
        <v>1.0123456790123456E-2</v>
      </c>
      <c r="L48" s="13">
        <v>526052000</v>
      </c>
      <c r="M48" s="13">
        <v>5343547000</v>
      </c>
      <c r="N48" s="9" t="s">
        <v>71</v>
      </c>
      <c r="O48" s="6">
        <v>7.6923076923076916</v>
      </c>
      <c r="P48" s="12">
        <v>0.20288201486374435</v>
      </c>
      <c r="Q48" s="12">
        <v>9.8446219337080781E-2</v>
      </c>
      <c r="R48" s="14">
        <v>37</v>
      </c>
    </row>
    <row r="49" spans="2:18" x14ac:dyDescent="0.5">
      <c r="B49" s="1" t="s">
        <v>37</v>
      </c>
      <c r="C49" t="s">
        <v>101</v>
      </c>
      <c r="D49" t="s">
        <v>102</v>
      </c>
      <c r="E49">
        <v>4.72</v>
      </c>
      <c r="F49" s="9" t="s">
        <v>67</v>
      </c>
      <c r="G49" s="7">
        <v>3677833984</v>
      </c>
      <c r="H49" s="6">
        <v>8.83</v>
      </c>
      <c r="I49" s="6">
        <v>4.28</v>
      </c>
      <c r="J49" s="12">
        <f t="shared" si="1"/>
        <v>0.10280373831775691</v>
      </c>
      <c r="K49" s="11">
        <v>3.6016949152542374E-2</v>
      </c>
      <c r="L49" s="13">
        <v>437453000</v>
      </c>
      <c r="M49" s="13">
        <v>4911072000</v>
      </c>
      <c r="N49" s="9" t="s">
        <v>67</v>
      </c>
      <c r="O49" s="6">
        <v>1</v>
      </c>
      <c r="P49" s="12">
        <v>0.31508047482599394</v>
      </c>
      <c r="Q49" s="12">
        <v>8.9074849645861431E-2</v>
      </c>
      <c r="R49" s="14">
        <v>38</v>
      </c>
    </row>
    <row r="50" spans="2:18" x14ac:dyDescent="0.5">
      <c r="B50" s="1" t="s">
        <v>271</v>
      </c>
      <c r="C50" t="s">
        <v>323</v>
      </c>
      <c r="D50" t="s">
        <v>94</v>
      </c>
      <c r="E50">
        <v>0.46500000000000002</v>
      </c>
      <c r="F50" s="9" t="s">
        <v>67</v>
      </c>
      <c r="G50" s="7">
        <v>2408126976</v>
      </c>
      <c r="H50" s="6">
        <v>0.68</v>
      </c>
      <c r="I50" s="6">
        <v>0.44500000000000001</v>
      </c>
      <c r="J50" s="12">
        <f t="shared" si="1"/>
        <v>4.4943820224719211E-2</v>
      </c>
      <c r="K50" s="11">
        <v>4.301075268817204E-2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0.32273550539429657</v>
      </c>
      <c r="Q50" s="12">
        <v>8.5775443346640556E-2</v>
      </c>
      <c r="R50" s="14">
        <v>39</v>
      </c>
    </row>
    <row r="51" spans="2:18" x14ac:dyDescent="0.5">
      <c r="B51" s="1" t="s">
        <v>283</v>
      </c>
      <c r="C51" t="s">
        <v>336</v>
      </c>
      <c r="D51" t="s">
        <v>70</v>
      </c>
      <c r="E51">
        <v>3.48</v>
      </c>
      <c r="F51" s="9" t="s">
        <v>67</v>
      </c>
      <c r="G51" s="7">
        <v>1998146304</v>
      </c>
      <c r="H51" s="6">
        <v>4.84</v>
      </c>
      <c r="I51" s="6">
        <v>2.8</v>
      </c>
      <c r="J51" s="12">
        <f t="shared" si="1"/>
        <v>0.24285714285714288</v>
      </c>
      <c r="K51" s="11">
        <v>8.0459770114942541E-2</v>
      </c>
      <c r="L51" s="13">
        <v>392836000</v>
      </c>
      <c r="M51" s="13">
        <v>3201831000</v>
      </c>
      <c r="N51" s="9" t="s">
        <v>67</v>
      </c>
      <c r="O51" s="6">
        <v>1</v>
      </c>
      <c r="P51" s="12">
        <v>0.12770721872345611</v>
      </c>
      <c r="Q51" s="12">
        <v>0.12269104771613493</v>
      </c>
      <c r="R51" s="14">
        <v>39</v>
      </c>
    </row>
    <row r="52" spans="2:18" x14ac:dyDescent="0.5">
      <c r="B52" s="1" t="s">
        <v>274</v>
      </c>
      <c r="C52" t="s">
        <v>326</v>
      </c>
      <c r="D52" t="s">
        <v>327</v>
      </c>
      <c r="E52">
        <v>10.119999999999999</v>
      </c>
      <c r="F52" s="9" t="s">
        <v>67</v>
      </c>
      <c r="G52" s="7">
        <v>12899762176</v>
      </c>
      <c r="H52" s="6">
        <v>11.99</v>
      </c>
      <c r="I52" s="6">
        <v>3.85</v>
      </c>
      <c r="J52" s="12">
        <f t="shared" si="1"/>
        <v>1.6285714285714281</v>
      </c>
      <c r="K52" s="11">
        <v>2.5691699604743087E-2</v>
      </c>
      <c r="L52" s="13">
        <v>2871477000</v>
      </c>
      <c r="M52" s="13">
        <v>21784665000</v>
      </c>
      <c r="N52" s="9" t="s">
        <v>50</v>
      </c>
      <c r="O52" s="6">
        <v>1.0683760683760684</v>
      </c>
      <c r="P52" s="12">
        <v>0.11838165691016717</v>
      </c>
      <c r="Q52" s="12">
        <v>0.1318118502166547</v>
      </c>
      <c r="R52" s="14">
        <v>40</v>
      </c>
    </row>
    <row r="53" spans="2:18" x14ac:dyDescent="0.5">
      <c r="B53" s="1" t="s">
        <v>265</v>
      </c>
      <c r="C53" t="s">
        <v>316</v>
      </c>
      <c r="D53" t="s">
        <v>298</v>
      </c>
      <c r="E53">
        <v>4.9000000000000004</v>
      </c>
      <c r="F53" s="9" t="s">
        <v>67</v>
      </c>
      <c r="G53" s="7">
        <v>4528295936</v>
      </c>
      <c r="H53" s="6">
        <v>5.59</v>
      </c>
      <c r="I53" s="6">
        <v>3.78</v>
      </c>
      <c r="J53" s="12">
        <f t="shared" si="1"/>
        <v>0.2962962962962965</v>
      </c>
      <c r="K53" s="11">
        <v>3.1632653061224487E-2</v>
      </c>
      <c r="L53" s="13">
        <v>754477000</v>
      </c>
      <c r="M53" s="13">
        <v>11677999000</v>
      </c>
      <c r="N53" s="9" t="s">
        <v>67</v>
      </c>
      <c r="O53" s="6">
        <v>1</v>
      </c>
      <c r="P53" s="12">
        <v>0.37560706274240435</v>
      </c>
      <c r="Q53" s="12">
        <v>6.460670188445812E-2</v>
      </c>
      <c r="R53" s="14">
        <v>41</v>
      </c>
    </row>
    <row r="54" spans="2:18" x14ac:dyDescent="0.5">
      <c r="B54" s="1" t="s">
        <v>248</v>
      </c>
      <c r="C54" t="s">
        <v>293</v>
      </c>
      <c r="D54" t="s">
        <v>294</v>
      </c>
      <c r="E54">
        <v>21.9</v>
      </c>
      <c r="F54" s="9" t="s">
        <v>67</v>
      </c>
      <c r="G54" s="7">
        <v>532866334720</v>
      </c>
      <c r="H54" s="6">
        <v>25.24</v>
      </c>
      <c r="I54" s="6">
        <v>4.58</v>
      </c>
      <c r="J54" s="12">
        <f t="shared" si="1"/>
        <v>3.7816593886462879</v>
      </c>
      <c r="K54" s="11">
        <v>1.1643835616438357E-2</v>
      </c>
      <c r="L54" s="13">
        <v>29168443138.220001</v>
      </c>
      <c r="M54" s="13">
        <v>100996030941.41</v>
      </c>
      <c r="N54" s="9" t="s">
        <v>50</v>
      </c>
      <c r="O54" s="6">
        <v>1.0683760683760684</v>
      </c>
      <c r="P54" s="12">
        <v>5.8502583405110886E-2</v>
      </c>
      <c r="Q54" s="12">
        <v>0.2888078161719172</v>
      </c>
      <c r="R54" s="14">
        <v>41</v>
      </c>
    </row>
    <row r="55" spans="2:18" x14ac:dyDescent="0.5">
      <c r="B55" s="1" t="s">
        <v>19</v>
      </c>
      <c r="C55" t="s">
        <v>69</v>
      </c>
      <c r="D55" t="s">
        <v>70</v>
      </c>
      <c r="E55">
        <v>7.26</v>
      </c>
      <c r="F55" s="9" t="s">
        <v>67</v>
      </c>
      <c r="G55" s="7">
        <v>20711487488</v>
      </c>
      <c r="H55" s="6">
        <v>7.77</v>
      </c>
      <c r="I55" s="6">
        <v>3.6</v>
      </c>
      <c r="J55" s="12">
        <f t="shared" si="1"/>
        <v>1.0166666666666666</v>
      </c>
      <c r="K55" s="11">
        <v>6.1983471074380167E-3</v>
      </c>
      <c r="L55" s="13">
        <v>259348000</v>
      </c>
      <c r="M55" s="13">
        <v>1677627000</v>
      </c>
      <c r="N55" s="9" t="s">
        <v>71</v>
      </c>
      <c r="O55" s="6">
        <v>7.6923076923076916</v>
      </c>
      <c r="P55" s="12">
        <v>0.10626937287864847</v>
      </c>
      <c r="Q55" s="12">
        <v>0.15459217096529801</v>
      </c>
      <c r="R55" s="14">
        <v>42</v>
      </c>
    </row>
    <row r="56" spans="2:18" x14ac:dyDescent="0.5">
      <c r="B56" s="1" t="s">
        <v>25</v>
      </c>
      <c r="C56" t="s">
        <v>82</v>
      </c>
      <c r="D56" t="s">
        <v>49</v>
      </c>
      <c r="E56">
        <v>10.39</v>
      </c>
      <c r="F56" s="9" t="s">
        <v>67</v>
      </c>
      <c r="G56" s="7">
        <v>12939904000</v>
      </c>
      <c r="H56" s="6">
        <v>12.08</v>
      </c>
      <c r="I56" s="6">
        <v>4.3499999999999996</v>
      </c>
      <c r="J56" s="12">
        <f t="shared" si="1"/>
        <v>1.388505747126437</v>
      </c>
      <c r="K56" s="11">
        <v>1.3570741097208853E-2</v>
      </c>
      <c r="L56" s="13">
        <v>921702000</v>
      </c>
      <c r="M56" s="13">
        <v>5262544000</v>
      </c>
      <c r="N56" s="9" t="s">
        <v>50</v>
      </c>
      <c r="O56" s="6">
        <v>1.0683760683760684</v>
      </c>
      <c r="P56" s="12">
        <v>9.3935280135184138E-2</v>
      </c>
      <c r="Q56" s="12">
        <v>0.17514380877385538</v>
      </c>
      <c r="R56" s="14">
        <v>42</v>
      </c>
    </row>
    <row r="57" spans="2:18" x14ac:dyDescent="0.5">
      <c r="B57" s="1" t="s">
        <v>767</v>
      </c>
      <c r="C57" t="s">
        <v>772</v>
      </c>
      <c r="D57" t="s">
        <v>49</v>
      </c>
      <c r="E57">
        <v>1.66</v>
      </c>
      <c r="F57" s="9" t="s">
        <v>67</v>
      </c>
      <c r="G57" s="7">
        <v>1046682432</v>
      </c>
      <c r="H57" s="6">
        <v>1.94</v>
      </c>
      <c r="I57" s="6">
        <v>1.28</v>
      </c>
      <c r="J57" s="12">
        <f t="shared" si="1"/>
        <v>0.296875</v>
      </c>
      <c r="K57" s="11">
        <v>6.9879518072289162E-2</v>
      </c>
      <c r="L57" s="13">
        <v>191186000</v>
      </c>
      <c r="M57" s="13">
        <v>3081570000</v>
      </c>
      <c r="N57" s="9" t="s">
        <v>67</v>
      </c>
      <c r="O57" s="6">
        <v>1</v>
      </c>
      <c r="P57" s="12">
        <v>0.35666405974402271</v>
      </c>
      <c r="Q57" s="12">
        <v>6.2041751444880368E-2</v>
      </c>
      <c r="R57" s="14">
        <v>43</v>
      </c>
    </row>
    <row r="58" spans="2:18" x14ac:dyDescent="0.5">
      <c r="B58" s="1" t="s">
        <v>380</v>
      </c>
      <c r="C58" t="s">
        <v>383</v>
      </c>
      <c r="D58" t="s">
        <v>83</v>
      </c>
      <c r="E58">
        <v>19.95</v>
      </c>
      <c r="F58" s="9" t="s">
        <v>67</v>
      </c>
      <c r="G58" s="7">
        <v>51371732992</v>
      </c>
      <c r="H58" s="6">
        <v>21.68</v>
      </c>
      <c r="I58" s="6">
        <v>13.5</v>
      </c>
      <c r="J58" s="12">
        <f t="shared" si="1"/>
        <v>0.47777777777777763</v>
      </c>
      <c r="K58" s="11">
        <v>2.7218045112781957E-2</v>
      </c>
      <c r="L58" s="13">
        <v>4264779000</v>
      </c>
      <c r="M58" s="13">
        <v>26103689000</v>
      </c>
      <c r="N58" s="9" t="s">
        <v>50</v>
      </c>
      <c r="O58" s="6">
        <v>1.0683760683760684</v>
      </c>
      <c r="P58" s="12">
        <v>0.10029704260138067</v>
      </c>
      <c r="Q58" s="12">
        <v>0.16337840218675606</v>
      </c>
      <c r="R58" s="14">
        <v>44</v>
      </c>
    </row>
    <row r="59" spans="2:18" x14ac:dyDescent="0.5">
      <c r="B59" s="1" t="s">
        <v>35</v>
      </c>
      <c r="C59" t="s">
        <v>98</v>
      </c>
      <c r="D59" t="s">
        <v>99</v>
      </c>
      <c r="E59">
        <v>420.2</v>
      </c>
      <c r="F59" s="9" t="s">
        <v>67</v>
      </c>
      <c r="G59" s="7">
        <v>531093880832</v>
      </c>
      <c r="H59" s="6">
        <v>466</v>
      </c>
      <c r="I59" s="6">
        <v>283.2</v>
      </c>
      <c r="J59" s="12">
        <f t="shared" si="1"/>
        <v>0.48375706214689274</v>
      </c>
      <c r="K59" s="11">
        <v>2.5940028557829606E-2</v>
      </c>
      <c r="L59" s="13">
        <v>20744000000</v>
      </c>
      <c r="M59" s="13">
        <v>53852000000</v>
      </c>
      <c r="N59" s="9" t="s">
        <v>67</v>
      </c>
      <c r="O59" s="6">
        <v>1</v>
      </c>
      <c r="P59" s="12">
        <v>5.2117606798478898E-2</v>
      </c>
      <c r="Q59" s="12">
        <v>0.38520389214885242</v>
      </c>
      <c r="R59" s="14">
        <v>45</v>
      </c>
    </row>
    <row r="60" spans="2:18" x14ac:dyDescent="0.5">
      <c r="B60" s="1" t="s">
        <v>260</v>
      </c>
      <c r="C60" t="s">
        <v>309</v>
      </c>
      <c r="D60" t="s">
        <v>74</v>
      </c>
      <c r="E60">
        <v>7.11</v>
      </c>
      <c r="F60" s="9" t="s">
        <v>67</v>
      </c>
      <c r="G60" s="7">
        <v>4848054272</v>
      </c>
      <c r="H60" s="6">
        <v>10.98</v>
      </c>
      <c r="I60" s="6">
        <v>6.56</v>
      </c>
      <c r="J60" s="12">
        <f t="shared" si="1"/>
        <v>8.3841463414634276E-2</v>
      </c>
      <c r="K60" s="11">
        <v>5.0210970464135016E-2</v>
      </c>
      <c r="L60" s="13">
        <v>618033000</v>
      </c>
      <c r="M60" s="13">
        <v>5033024000</v>
      </c>
      <c r="N60" s="9" t="s">
        <v>50</v>
      </c>
      <c r="O60" s="6">
        <v>1.0683760683760684</v>
      </c>
      <c r="P60" s="12">
        <v>0.11256244972906825</v>
      </c>
      <c r="Q60" s="12">
        <v>0.12279555988606453</v>
      </c>
      <c r="R60" s="14">
        <v>46</v>
      </c>
    </row>
    <row r="61" spans="2:18" x14ac:dyDescent="0.5">
      <c r="B61" s="1" t="s">
        <v>135</v>
      </c>
      <c r="C61" t="s">
        <v>181</v>
      </c>
      <c r="D61" t="s">
        <v>182</v>
      </c>
      <c r="E61">
        <v>391.8</v>
      </c>
      <c r="F61" s="9" t="s">
        <v>67</v>
      </c>
      <c r="G61" s="7">
        <v>138497687552</v>
      </c>
      <c r="H61" s="6">
        <v>421.4</v>
      </c>
      <c r="I61" s="6">
        <v>324</v>
      </c>
      <c r="J61" s="12">
        <f t="shared" si="1"/>
        <v>0.20925925925925926</v>
      </c>
      <c r="K61" s="11">
        <v>2.2460438999489536E-3</v>
      </c>
      <c r="L61" s="13">
        <v>1200000000</v>
      </c>
      <c r="M61" s="13">
        <v>5855000000</v>
      </c>
      <c r="N61" s="9" t="s">
        <v>71</v>
      </c>
      <c r="O61" s="6">
        <v>7.6923076923076916</v>
      </c>
      <c r="P61" s="12">
        <v>6.0942477295224499E-2</v>
      </c>
      <c r="Q61" s="12">
        <v>0.20495303159692571</v>
      </c>
      <c r="R61" s="14">
        <v>47</v>
      </c>
    </row>
    <row r="62" spans="2:18" x14ac:dyDescent="0.5">
      <c r="B62" s="1" t="s">
        <v>269</v>
      </c>
      <c r="C62" t="s">
        <v>321</v>
      </c>
      <c r="D62" t="s">
        <v>85</v>
      </c>
      <c r="E62">
        <v>12.9</v>
      </c>
      <c r="F62" s="9" t="s">
        <v>67</v>
      </c>
      <c r="G62" s="7">
        <v>3027913728</v>
      </c>
      <c r="H62" s="6">
        <v>17</v>
      </c>
      <c r="I62" s="6">
        <v>8.3000000000000007</v>
      </c>
      <c r="J62" s="12">
        <f t="shared" si="1"/>
        <v>0.55421686746987953</v>
      </c>
      <c r="K62" s="11">
        <v>3.7209302325581395E-2</v>
      </c>
      <c r="L62" s="13">
        <v>244811000</v>
      </c>
      <c r="M62" s="13">
        <v>2904223000</v>
      </c>
      <c r="N62" s="9" t="s">
        <v>67</v>
      </c>
      <c r="O62" s="6">
        <v>1</v>
      </c>
      <c r="P62" s="12">
        <v>0.18470478765167084</v>
      </c>
      <c r="Q62" s="12">
        <v>8.4294835486117978E-2</v>
      </c>
      <c r="R62" s="14">
        <v>47</v>
      </c>
    </row>
    <row r="63" spans="2:18" x14ac:dyDescent="0.5">
      <c r="B63" s="1" t="s">
        <v>263</v>
      </c>
      <c r="C63" t="s">
        <v>313</v>
      </c>
      <c r="D63" t="s">
        <v>314</v>
      </c>
      <c r="E63">
        <v>8.5299999999999994</v>
      </c>
      <c r="F63" s="9" t="s">
        <v>67</v>
      </c>
      <c r="G63" s="7">
        <v>21385529344</v>
      </c>
      <c r="H63" s="6">
        <v>10.14</v>
      </c>
      <c r="I63" s="6">
        <v>5.19</v>
      </c>
      <c r="J63" s="12">
        <f t="shared" si="1"/>
        <v>0.64354527938342954</v>
      </c>
      <c r="K63" s="11">
        <v>4.6658851113716301E-2</v>
      </c>
      <c r="L63" s="13">
        <v>3040816000</v>
      </c>
      <c r="M63" s="13">
        <v>29707522000</v>
      </c>
      <c r="N63" s="9" t="s">
        <v>50</v>
      </c>
      <c r="O63" s="6">
        <v>1.0683760683760684</v>
      </c>
      <c r="P63" s="12">
        <v>0.14155660493647149</v>
      </c>
      <c r="Q63" s="12">
        <v>0.102358453189061</v>
      </c>
      <c r="R63" s="14">
        <v>48</v>
      </c>
    </row>
    <row r="64" spans="2:18" x14ac:dyDescent="0.5">
      <c r="B64" s="1" t="s">
        <v>432</v>
      </c>
      <c r="C64" t="s">
        <v>434</v>
      </c>
      <c r="D64" t="s">
        <v>435</v>
      </c>
      <c r="E64">
        <v>93.65</v>
      </c>
      <c r="F64" s="9" t="s">
        <v>67</v>
      </c>
      <c r="G64" s="7">
        <v>572213493760</v>
      </c>
      <c r="H64" s="6">
        <v>189.6</v>
      </c>
      <c r="I64" s="6">
        <v>93.65</v>
      </c>
      <c r="J64" s="12">
        <f t="shared" si="1"/>
        <v>0</v>
      </c>
      <c r="K64" s="11">
        <v>0</v>
      </c>
      <c r="L64" s="13">
        <v>39322363000</v>
      </c>
      <c r="M64" s="13">
        <v>228415685000</v>
      </c>
      <c r="N64" s="9" t="s">
        <v>50</v>
      </c>
      <c r="O64" s="6">
        <v>1.0683760683760684</v>
      </c>
      <c r="P64" s="12">
        <v>7.471937357326347E-2</v>
      </c>
      <c r="Q64" s="12">
        <v>0.17215263916748974</v>
      </c>
      <c r="R64" s="14">
        <v>49</v>
      </c>
    </row>
    <row r="65" spans="2:18" x14ac:dyDescent="0.5">
      <c r="B65" s="1" t="s">
        <v>266</v>
      </c>
      <c r="C65" t="s">
        <v>317</v>
      </c>
      <c r="D65" t="s">
        <v>300</v>
      </c>
      <c r="E65">
        <v>7.34</v>
      </c>
      <c r="F65" s="9" t="s">
        <v>67</v>
      </c>
      <c r="G65" s="7">
        <v>32252135424</v>
      </c>
      <c r="H65" s="6">
        <v>7.93</v>
      </c>
      <c r="I65" s="6">
        <v>4.8</v>
      </c>
      <c r="J65" s="12">
        <f t="shared" si="1"/>
        <v>0.52916666666666679</v>
      </c>
      <c r="K65" s="11">
        <v>5.0136239782016347E-2</v>
      </c>
      <c r="L65" s="13">
        <v>2919921000</v>
      </c>
      <c r="M65" s="13">
        <v>31662140000</v>
      </c>
      <c r="N65" s="9" t="s">
        <v>50</v>
      </c>
      <c r="O65" s="6">
        <v>1.0683760683760684</v>
      </c>
      <c r="P65" s="12">
        <v>0.15113144545792928</v>
      </c>
      <c r="Q65" s="12">
        <v>9.2221214358852555E-2</v>
      </c>
      <c r="R65" s="14">
        <v>50</v>
      </c>
    </row>
    <row r="66" spans="2:18" x14ac:dyDescent="0.5">
      <c r="B66" s="1" t="s">
        <v>258</v>
      </c>
      <c r="C66" t="s">
        <v>307</v>
      </c>
      <c r="D66" t="s">
        <v>152</v>
      </c>
      <c r="E66">
        <v>26.54</v>
      </c>
      <c r="F66" s="9" t="s">
        <v>67</v>
      </c>
      <c r="G66" s="7">
        <v>24618743808</v>
      </c>
      <c r="H66" s="6">
        <v>45.78</v>
      </c>
      <c r="I66" s="6">
        <v>9.9</v>
      </c>
      <c r="J66" s="12">
        <f t="shared" ref="J66:J97" si="2">E66/I66-1</f>
        <v>1.6808080808080805</v>
      </c>
      <c r="K66" s="11">
        <v>2.9389600602863601E-3</v>
      </c>
      <c r="L66" s="13">
        <v>334940000</v>
      </c>
      <c r="M66" s="13">
        <v>3025375000</v>
      </c>
      <c r="N66" s="9" t="s">
        <v>71</v>
      </c>
      <c r="O66" s="6">
        <v>7.6923076923076916</v>
      </c>
      <c r="P66" s="12">
        <v>0.11821364360867903</v>
      </c>
      <c r="Q66" s="12">
        <v>0.11071024253191752</v>
      </c>
      <c r="R66" s="14">
        <v>51</v>
      </c>
    </row>
    <row r="67" spans="2:18" x14ac:dyDescent="0.5">
      <c r="B67" s="1" t="s">
        <v>259</v>
      </c>
      <c r="C67" t="s">
        <v>308</v>
      </c>
      <c r="D67" t="s">
        <v>238</v>
      </c>
      <c r="E67">
        <v>7.82</v>
      </c>
      <c r="F67" s="9" t="s">
        <v>67</v>
      </c>
      <c r="G67" s="7">
        <v>103363452928</v>
      </c>
      <c r="H67" s="6">
        <v>9.83</v>
      </c>
      <c r="I67" s="6">
        <v>7.19</v>
      </c>
      <c r="J67" s="12">
        <f t="shared" si="2"/>
        <v>8.7621696801112536E-2</v>
      </c>
      <c r="K67" s="11">
        <v>0</v>
      </c>
      <c r="L67" s="13">
        <v>1187000000</v>
      </c>
      <c r="M67" s="13">
        <v>10278000000</v>
      </c>
      <c r="N67" s="9" t="s">
        <v>71</v>
      </c>
      <c r="O67" s="6">
        <v>7.6923076923076916</v>
      </c>
      <c r="P67" s="12">
        <v>0.11017009288999188</v>
      </c>
      <c r="Q67" s="12">
        <v>0.1154893948238957</v>
      </c>
      <c r="R67" s="14">
        <v>52</v>
      </c>
    </row>
    <row r="68" spans="2:18" x14ac:dyDescent="0.5">
      <c r="B68" s="1" t="s">
        <v>116</v>
      </c>
      <c r="C68" t="s">
        <v>156</v>
      </c>
      <c r="D68" t="s">
        <v>83</v>
      </c>
      <c r="E68">
        <v>232</v>
      </c>
      <c r="F68" s="9" t="s">
        <v>67</v>
      </c>
      <c r="G68" s="7">
        <v>308127956992</v>
      </c>
      <c r="H68" s="6">
        <v>339.8</v>
      </c>
      <c r="I68" s="6">
        <v>92.05</v>
      </c>
      <c r="J68" s="12">
        <f t="shared" si="2"/>
        <v>1.5203693644758283</v>
      </c>
      <c r="K68" s="11">
        <v>3.5129310344827582E-3</v>
      </c>
      <c r="L68" s="13">
        <v>4408440000</v>
      </c>
      <c r="M68" s="13">
        <v>10683505000</v>
      </c>
      <c r="N68" s="9" t="s">
        <v>50</v>
      </c>
      <c r="O68" s="6">
        <v>1.0683760683760684</v>
      </c>
      <c r="P68" s="12">
        <v>1.5563046173717586E-2</v>
      </c>
      <c r="Q68" s="12">
        <v>0.41263985929711272</v>
      </c>
      <c r="R68" s="14">
        <v>53</v>
      </c>
    </row>
    <row r="69" spans="2:18" x14ac:dyDescent="0.5">
      <c r="B69" s="1" t="s">
        <v>31</v>
      </c>
      <c r="C69" t="s">
        <v>92</v>
      </c>
      <c r="D69" t="s">
        <v>74</v>
      </c>
      <c r="E69">
        <v>2.84</v>
      </c>
      <c r="F69" s="9" t="s">
        <v>67</v>
      </c>
      <c r="G69" s="7">
        <v>17611470848</v>
      </c>
      <c r="H69" s="6">
        <v>4.13</v>
      </c>
      <c r="I69" s="6">
        <v>2.6</v>
      </c>
      <c r="J69" s="12">
        <f t="shared" si="2"/>
        <v>9.2307692307692202E-2</v>
      </c>
      <c r="K69" s="11">
        <v>5.2816901408450703E-2</v>
      </c>
      <c r="L69" s="13">
        <v>1677300000</v>
      </c>
      <c r="M69" s="13">
        <v>11188800000</v>
      </c>
      <c r="N69" s="9" t="s">
        <v>50</v>
      </c>
      <c r="O69" s="6">
        <v>1.0683760683760684</v>
      </c>
      <c r="P69" s="12">
        <v>9.3381318777831956E-2</v>
      </c>
      <c r="Q69" s="12">
        <v>0.1499088374088374</v>
      </c>
      <c r="R69" s="14">
        <v>54</v>
      </c>
    </row>
    <row r="70" spans="2:18" x14ac:dyDescent="0.5">
      <c r="B70" s="1" t="s">
        <v>360</v>
      </c>
      <c r="C70" t="s">
        <v>362</v>
      </c>
      <c r="D70" t="s">
        <v>363</v>
      </c>
      <c r="E70">
        <v>2.0699999999999998</v>
      </c>
      <c r="F70" s="9" t="s">
        <v>67</v>
      </c>
      <c r="G70" s="7">
        <v>4171689472</v>
      </c>
      <c r="H70" s="6">
        <v>3.64</v>
      </c>
      <c r="I70" s="6">
        <v>0.99</v>
      </c>
      <c r="J70" s="12">
        <f t="shared" si="2"/>
        <v>1.0909090909090908</v>
      </c>
      <c r="K70" s="11">
        <v>0</v>
      </c>
      <c r="L70" s="13">
        <v>-732033000</v>
      </c>
      <c r="M70" s="13">
        <v>7864121000</v>
      </c>
      <c r="N70" s="9" t="s">
        <v>50</v>
      </c>
      <c r="O70" s="6">
        <v>1.0683760683760684</v>
      </c>
      <c r="P70" s="12">
        <v>0.83392186138787927</v>
      </c>
      <c r="Q70" s="12">
        <v>-9.3085164890011229E-2</v>
      </c>
      <c r="R70" s="14">
        <v>55</v>
      </c>
    </row>
    <row r="71" spans="2:18" x14ac:dyDescent="0.5">
      <c r="B71" s="1" t="s">
        <v>122</v>
      </c>
      <c r="C71" t="s">
        <v>163</v>
      </c>
      <c r="D71" t="s">
        <v>164</v>
      </c>
      <c r="E71">
        <v>28</v>
      </c>
      <c r="F71" s="9" t="s">
        <v>67</v>
      </c>
      <c r="G71" s="7">
        <v>31853383680</v>
      </c>
      <c r="H71" s="6">
        <v>29.4</v>
      </c>
      <c r="I71" s="6">
        <v>19.52</v>
      </c>
      <c r="J71" s="12">
        <f t="shared" si="2"/>
        <v>0.43442622950819665</v>
      </c>
      <c r="K71" s="11">
        <v>4.9999999999999996E-2</v>
      </c>
      <c r="L71" s="13">
        <v>3446618000</v>
      </c>
      <c r="M71" s="13">
        <v>34010798000</v>
      </c>
      <c r="N71" s="9" t="s">
        <v>50</v>
      </c>
      <c r="O71" s="6">
        <v>1.0683760683760684</v>
      </c>
      <c r="P71" s="12">
        <v>0.12023378190353574</v>
      </c>
      <c r="Q71" s="12">
        <v>0.10133893359397213</v>
      </c>
      <c r="R71" s="14">
        <v>56</v>
      </c>
    </row>
    <row r="72" spans="2:18" x14ac:dyDescent="0.5">
      <c r="B72" s="1" t="s">
        <v>134</v>
      </c>
      <c r="C72" t="s">
        <v>179</v>
      </c>
      <c r="D72" t="s">
        <v>180</v>
      </c>
      <c r="E72">
        <v>39</v>
      </c>
      <c r="F72" s="9" t="s">
        <v>67</v>
      </c>
      <c r="G72" s="7">
        <v>26975520768</v>
      </c>
      <c r="H72" s="6">
        <v>48.1</v>
      </c>
      <c r="I72" s="6">
        <v>19.82</v>
      </c>
      <c r="J72" s="12">
        <f t="shared" si="2"/>
        <v>0.96770938446014121</v>
      </c>
      <c r="K72" s="11">
        <v>1.282051282051282E-2</v>
      </c>
      <c r="L72" s="13">
        <v>1323087000</v>
      </c>
      <c r="M72" s="13">
        <v>5952918000</v>
      </c>
      <c r="N72" s="9" t="s">
        <v>67</v>
      </c>
      <c r="O72" s="6">
        <v>1</v>
      </c>
      <c r="P72" s="12">
        <v>4.494429653034087E-2</v>
      </c>
      <c r="Q72" s="12">
        <v>0.222258562943417</v>
      </c>
      <c r="R72" s="14">
        <v>57</v>
      </c>
    </row>
    <row r="73" spans="2:18" x14ac:dyDescent="0.5">
      <c r="B73" s="1" t="s">
        <v>123</v>
      </c>
      <c r="C73" t="s">
        <v>165</v>
      </c>
      <c r="D73" t="s">
        <v>106</v>
      </c>
      <c r="E73">
        <v>13.88</v>
      </c>
      <c r="F73" s="9" t="s">
        <v>67</v>
      </c>
      <c r="G73" s="7">
        <v>136925429760</v>
      </c>
      <c r="H73" s="6">
        <v>16.95</v>
      </c>
      <c r="I73" s="6">
        <v>6.88</v>
      </c>
      <c r="J73" s="12">
        <f t="shared" si="2"/>
        <v>1.0174418604651163</v>
      </c>
      <c r="K73" s="11">
        <v>3.8904899135446688E-2</v>
      </c>
      <c r="L73" s="13">
        <v>8510100000</v>
      </c>
      <c r="M73" s="13">
        <v>46117200000</v>
      </c>
      <c r="N73" s="9" t="s">
        <v>67</v>
      </c>
      <c r="O73" s="6">
        <v>1</v>
      </c>
      <c r="P73" s="12">
        <v>5.6684068983795653E-2</v>
      </c>
      <c r="Q73" s="12">
        <v>0.18453201842262756</v>
      </c>
      <c r="R73" s="14">
        <v>57</v>
      </c>
    </row>
    <row r="74" spans="2:18" x14ac:dyDescent="0.5">
      <c r="B74" s="1" t="s">
        <v>117</v>
      </c>
      <c r="C74" t="s">
        <v>157</v>
      </c>
      <c r="D74" t="s">
        <v>68</v>
      </c>
      <c r="E74">
        <v>5.32</v>
      </c>
      <c r="F74" s="9" t="s">
        <v>67</v>
      </c>
      <c r="G74" s="7">
        <v>8654109696</v>
      </c>
      <c r="H74" s="6">
        <v>7.05</v>
      </c>
      <c r="I74" s="6">
        <v>4.37</v>
      </c>
      <c r="J74" s="12">
        <f t="shared" si="2"/>
        <v>0.21739130434782616</v>
      </c>
      <c r="K74" s="11">
        <v>5.2631578947368425E-2</v>
      </c>
      <c r="L74" s="13">
        <v>3597261000</v>
      </c>
      <c r="M74" s="13">
        <v>38357165000</v>
      </c>
      <c r="N74" s="9" t="s">
        <v>67</v>
      </c>
      <c r="O74" s="6">
        <v>1</v>
      </c>
      <c r="P74" s="12">
        <v>0.12184661890824654</v>
      </c>
      <c r="Q74" s="12">
        <v>9.3783286642795421E-2</v>
      </c>
      <c r="R74" s="14">
        <v>58</v>
      </c>
    </row>
    <row r="75" spans="2:18" x14ac:dyDescent="0.5">
      <c r="B75" s="1" t="s">
        <v>112</v>
      </c>
      <c r="C75" t="s">
        <v>151</v>
      </c>
      <c r="D75" t="s">
        <v>152</v>
      </c>
      <c r="E75">
        <v>65.400000000000006</v>
      </c>
      <c r="F75" s="9" t="s">
        <v>67</v>
      </c>
      <c r="G75" s="7">
        <v>185490784256</v>
      </c>
      <c r="H75" s="6">
        <v>86</v>
      </c>
      <c r="I75" s="6">
        <v>44.25</v>
      </c>
      <c r="J75" s="12">
        <f t="shared" si="2"/>
        <v>0.47796610169491549</v>
      </c>
      <c r="K75" s="11">
        <v>4.1284403669724773E-2</v>
      </c>
      <c r="L75" s="13">
        <v>8955723006</v>
      </c>
      <c r="M75" s="13">
        <v>47495870210</v>
      </c>
      <c r="N75" s="9" t="s">
        <v>50</v>
      </c>
      <c r="O75" s="6">
        <v>1.0683760683760684</v>
      </c>
      <c r="P75" s="12">
        <v>5.2733423290216949E-2</v>
      </c>
      <c r="Q75" s="12">
        <v>0.18855793075067021</v>
      </c>
      <c r="R75" s="14">
        <v>58</v>
      </c>
    </row>
    <row r="76" spans="2:18" x14ac:dyDescent="0.5">
      <c r="B76" s="1" t="s">
        <v>112</v>
      </c>
      <c r="C76" t="s">
        <v>151</v>
      </c>
      <c r="D76" t="s">
        <v>152</v>
      </c>
      <c r="E76">
        <v>65.400000000000006</v>
      </c>
      <c r="F76" s="9" t="s">
        <v>67</v>
      </c>
      <c r="G76" s="7">
        <v>185490784256</v>
      </c>
      <c r="H76" s="6">
        <v>86</v>
      </c>
      <c r="I76" s="6">
        <v>44.25</v>
      </c>
      <c r="J76" s="12">
        <f t="shared" si="2"/>
        <v>0.47796610169491549</v>
      </c>
      <c r="K76" s="11">
        <v>4.1284403669724773E-2</v>
      </c>
      <c r="L76" s="13">
        <v>8955723006</v>
      </c>
      <c r="M76" s="13">
        <v>47495870210</v>
      </c>
      <c r="N76" s="9" t="s">
        <v>50</v>
      </c>
      <c r="O76" s="6">
        <v>1.0683760683760684</v>
      </c>
      <c r="P76" s="12">
        <v>5.2733423290216949E-2</v>
      </c>
      <c r="Q76" s="12">
        <v>0.18855793075067021</v>
      </c>
      <c r="R76" s="14">
        <v>58</v>
      </c>
    </row>
    <row r="77" spans="2:18" x14ac:dyDescent="0.5">
      <c r="B77" s="1" t="s">
        <v>377</v>
      </c>
      <c r="C77" t="s">
        <v>378</v>
      </c>
      <c r="D77" t="s">
        <v>182</v>
      </c>
      <c r="E77">
        <v>4.71</v>
      </c>
      <c r="F77" s="9" t="s">
        <v>67</v>
      </c>
      <c r="G77" s="7">
        <v>2702334208</v>
      </c>
      <c r="H77" s="6">
        <v>8.6199999999999992</v>
      </c>
      <c r="I77" s="6">
        <v>4.53</v>
      </c>
      <c r="J77" s="12">
        <f t="shared" si="2"/>
        <v>3.9735099337748325E-2</v>
      </c>
      <c r="K77" s="11">
        <v>7.4309978768577492E-2</v>
      </c>
      <c r="L77" s="13">
        <v>371538000</v>
      </c>
      <c r="M77" s="13">
        <v>3037286000</v>
      </c>
      <c r="N77" s="9" t="s">
        <v>67</v>
      </c>
      <c r="O77" s="6">
        <v>1</v>
      </c>
      <c r="P77" s="12">
        <v>9.8212238762153833E-2</v>
      </c>
      <c r="Q77" s="12">
        <v>0.12232565520665489</v>
      </c>
      <c r="R77" s="14">
        <v>59</v>
      </c>
    </row>
    <row r="78" spans="2:18" x14ac:dyDescent="0.5">
      <c r="B78" s="1" t="s">
        <v>132</v>
      </c>
      <c r="C78" t="s">
        <v>176</v>
      </c>
      <c r="D78" t="s">
        <v>76</v>
      </c>
      <c r="E78">
        <v>15.86</v>
      </c>
      <c r="F78" s="9" t="s">
        <v>67</v>
      </c>
      <c r="G78" s="7">
        <v>66580422656</v>
      </c>
      <c r="H78" s="6">
        <v>16.73</v>
      </c>
      <c r="I78" s="6">
        <v>11.42</v>
      </c>
      <c r="J78" s="12">
        <f t="shared" si="2"/>
        <v>0.3887915936952715</v>
      </c>
      <c r="K78" s="11">
        <v>5.5863808322824719E-2</v>
      </c>
      <c r="L78" s="13">
        <v>11996000000</v>
      </c>
      <c r="M78" s="13">
        <v>138296000000</v>
      </c>
      <c r="N78" s="9" t="s">
        <v>67</v>
      </c>
      <c r="O78" s="6">
        <v>1</v>
      </c>
      <c r="P78" s="12">
        <v>0.13370721023479515</v>
      </c>
      <c r="Q78" s="12">
        <v>8.6741482038526066E-2</v>
      </c>
      <c r="R78" s="14">
        <v>59</v>
      </c>
    </row>
    <row r="79" spans="2:18" x14ac:dyDescent="0.5">
      <c r="B79" s="1" t="s">
        <v>132</v>
      </c>
      <c r="C79" t="s">
        <v>176</v>
      </c>
      <c r="D79" t="s">
        <v>76</v>
      </c>
      <c r="E79">
        <v>15.86</v>
      </c>
      <c r="F79" s="9" t="s">
        <v>67</v>
      </c>
      <c r="G79" s="7">
        <v>66580422656</v>
      </c>
      <c r="H79" s="6">
        <v>16.73</v>
      </c>
      <c r="I79" s="6">
        <v>11.42</v>
      </c>
      <c r="J79" s="12">
        <f t="shared" si="2"/>
        <v>0.3887915936952715</v>
      </c>
      <c r="K79" s="11">
        <v>5.5863808322824719E-2</v>
      </c>
      <c r="L79" s="13">
        <v>11996000000</v>
      </c>
      <c r="M79" s="13">
        <v>138296000000</v>
      </c>
      <c r="N79" s="9" t="s">
        <v>67</v>
      </c>
      <c r="O79" s="6">
        <v>1</v>
      </c>
      <c r="P79" s="12">
        <v>0.13370721023479515</v>
      </c>
      <c r="Q79" s="12">
        <v>8.6741482038526066E-2</v>
      </c>
      <c r="R79" s="14">
        <v>59</v>
      </c>
    </row>
    <row r="80" spans="2:18" x14ac:dyDescent="0.5">
      <c r="B80" s="1" t="s">
        <v>286</v>
      </c>
      <c r="C80" t="s">
        <v>339</v>
      </c>
      <c r="D80" t="s">
        <v>236</v>
      </c>
      <c r="E80">
        <v>23.64</v>
      </c>
      <c r="F80" s="9" t="s">
        <v>67</v>
      </c>
      <c r="G80" s="7">
        <v>23423780864</v>
      </c>
      <c r="H80" s="6">
        <v>25</v>
      </c>
      <c r="I80" s="6">
        <v>6.95</v>
      </c>
      <c r="J80" s="12">
        <f t="shared" si="2"/>
        <v>2.4014388489208631</v>
      </c>
      <c r="K80" s="11">
        <v>1.49746192893401E-2</v>
      </c>
      <c r="L80" s="13">
        <v>1333116000</v>
      </c>
      <c r="M80" s="13">
        <v>8019803000</v>
      </c>
      <c r="N80" s="9" t="s">
        <v>50</v>
      </c>
      <c r="O80" s="6">
        <v>1.0683760683760684</v>
      </c>
      <c r="P80" s="12">
        <v>6.1273558532575045E-2</v>
      </c>
      <c r="Q80" s="12">
        <v>0.16622802330680692</v>
      </c>
      <c r="R80" s="14">
        <v>60</v>
      </c>
    </row>
    <row r="81" spans="2:18" x14ac:dyDescent="0.5">
      <c r="B81" s="1" t="s">
        <v>127</v>
      </c>
      <c r="C81" t="s">
        <v>170</v>
      </c>
      <c r="D81" t="s">
        <v>171</v>
      </c>
      <c r="E81">
        <v>568.5</v>
      </c>
      <c r="F81" s="9" t="s">
        <v>67</v>
      </c>
      <c r="G81" s="7">
        <v>5133057392640</v>
      </c>
      <c r="H81" s="6">
        <v>683</v>
      </c>
      <c r="I81" s="6">
        <v>407</v>
      </c>
      <c r="J81" s="12">
        <f t="shared" si="2"/>
        <v>0.39680589680589673</v>
      </c>
      <c r="K81" s="11">
        <v>7.4388742304309589E-3</v>
      </c>
      <c r="L81" s="13">
        <v>253932000000</v>
      </c>
      <c r="M81" s="13">
        <v>1312163000000</v>
      </c>
      <c r="N81" s="9" t="s">
        <v>50</v>
      </c>
      <c r="O81" s="6">
        <v>1.0683760683760684</v>
      </c>
      <c r="P81" s="12">
        <v>5.0482146932375543E-2</v>
      </c>
      <c r="Q81" s="12">
        <v>0.19352168899747973</v>
      </c>
      <c r="R81" s="14">
        <v>61</v>
      </c>
    </row>
    <row r="82" spans="2:18" x14ac:dyDescent="0.5">
      <c r="B82" s="1" t="s">
        <v>273</v>
      </c>
      <c r="C82" t="s">
        <v>325</v>
      </c>
      <c r="D82" t="s">
        <v>81</v>
      </c>
      <c r="E82">
        <v>3.26</v>
      </c>
      <c r="F82" s="9" t="s">
        <v>67</v>
      </c>
      <c r="G82" s="7">
        <v>13953126400</v>
      </c>
      <c r="H82" s="6">
        <v>3.55</v>
      </c>
      <c r="I82" s="6">
        <v>1.62</v>
      </c>
      <c r="J82" s="12">
        <f t="shared" si="2"/>
        <v>1.0123456790123453</v>
      </c>
      <c r="K82" s="11">
        <v>3.7423312883435582E-2</v>
      </c>
      <c r="L82" s="13">
        <v>1230913000</v>
      </c>
      <c r="M82" s="13">
        <v>10701340000</v>
      </c>
      <c r="N82" s="9" t="s">
        <v>50</v>
      </c>
      <c r="O82" s="6">
        <v>1.0683760683760684</v>
      </c>
      <c r="P82" s="12">
        <v>0.10389304621529939</v>
      </c>
      <c r="Q82" s="12">
        <v>0.11502419323187564</v>
      </c>
      <c r="R82" s="14">
        <v>62</v>
      </c>
    </row>
    <row r="83" spans="2:18" x14ac:dyDescent="0.5">
      <c r="B83" s="1" t="s">
        <v>130</v>
      </c>
      <c r="C83" t="s">
        <v>173</v>
      </c>
      <c r="D83" t="s">
        <v>174</v>
      </c>
      <c r="E83">
        <v>40.020000000000003</v>
      </c>
      <c r="F83" s="9" t="s">
        <v>67</v>
      </c>
      <c r="G83" s="7">
        <v>1089139703808</v>
      </c>
      <c r="H83" s="6">
        <v>46.98</v>
      </c>
      <c r="I83" s="6">
        <v>14.02</v>
      </c>
      <c r="J83" s="12">
        <f t="shared" si="2"/>
        <v>1.8544935805991445</v>
      </c>
      <c r="K83" s="11">
        <v>1.249375312343828E-2</v>
      </c>
      <c r="L83" s="13">
        <v>52374992116</v>
      </c>
      <c r="M83" s="13">
        <v>269573093476</v>
      </c>
      <c r="N83" s="9" t="s">
        <v>50</v>
      </c>
      <c r="O83" s="6">
        <v>1.0683760683760684</v>
      </c>
      <c r="P83" s="12">
        <v>4.6114236529041876E-2</v>
      </c>
      <c r="Q83" s="12">
        <v>0.19428864891763736</v>
      </c>
      <c r="R83" s="14">
        <v>62</v>
      </c>
    </row>
    <row r="84" spans="2:18" x14ac:dyDescent="0.5">
      <c r="B84" s="1" t="s">
        <v>359</v>
      </c>
      <c r="C84" t="s">
        <v>361</v>
      </c>
      <c r="D84" t="s">
        <v>171</v>
      </c>
      <c r="E84">
        <v>9.25</v>
      </c>
      <c r="F84" s="9" t="s">
        <v>67</v>
      </c>
      <c r="G84" s="7">
        <v>2476566784</v>
      </c>
      <c r="H84" s="6">
        <v>15.58</v>
      </c>
      <c r="I84" s="6">
        <v>8.32</v>
      </c>
      <c r="J84" s="12">
        <f t="shared" si="2"/>
        <v>0.11177884615384603</v>
      </c>
      <c r="K84" s="11">
        <v>0</v>
      </c>
      <c r="L84" s="13">
        <v>-481083000</v>
      </c>
      <c r="M84" s="13">
        <v>4136123000</v>
      </c>
      <c r="N84" s="9" t="s">
        <v>50</v>
      </c>
      <c r="O84" s="6">
        <v>1.0683760683760684</v>
      </c>
      <c r="P84" s="12">
        <v>0.28946682181079419</v>
      </c>
      <c r="Q84" s="12">
        <v>-0.11631254679805218</v>
      </c>
      <c r="R84" s="14">
        <v>63</v>
      </c>
    </row>
    <row r="85" spans="2:18" x14ac:dyDescent="0.5">
      <c r="B85" s="1" t="s">
        <v>118</v>
      </c>
      <c r="C85" t="s">
        <v>158</v>
      </c>
      <c r="D85" t="s">
        <v>96</v>
      </c>
      <c r="E85">
        <v>7.29</v>
      </c>
      <c r="F85" s="9" t="s">
        <v>67</v>
      </c>
      <c r="G85" s="7">
        <v>223059427328</v>
      </c>
      <c r="H85" s="6">
        <v>11.56</v>
      </c>
      <c r="I85" s="6">
        <v>7.06</v>
      </c>
      <c r="J85" s="12">
        <f t="shared" si="2"/>
        <v>3.2577903682719622E-2</v>
      </c>
      <c r="K85" s="11">
        <v>6.035665294924554E-2</v>
      </c>
      <c r="L85" s="13">
        <v>26994000000</v>
      </c>
      <c r="M85" s="13">
        <v>363169000000</v>
      </c>
      <c r="N85" s="9" t="s">
        <v>50</v>
      </c>
      <c r="O85" s="6">
        <v>1.0683760683760684</v>
      </c>
      <c r="P85" s="12">
        <v>0.12266173847015517</v>
      </c>
      <c r="Q85" s="12">
        <v>7.4329031387590908E-2</v>
      </c>
      <c r="R85" s="14">
        <v>64</v>
      </c>
    </row>
    <row r="86" spans="2:18" x14ac:dyDescent="0.5">
      <c r="B86" s="1" t="s">
        <v>756</v>
      </c>
      <c r="C86" t="s">
        <v>757</v>
      </c>
      <c r="D86" t="s">
        <v>182</v>
      </c>
      <c r="E86">
        <v>1.06</v>
      </c>
      <c r="F86" s="9" t="s">
        <v>67</v>
      </c>
      <c r="G86" s="7">
        <v>1029704064</v>
      </c>
      <c r="H86" s="6">
        <v>1.18</v>
      </c>
      <c r="I86" s="6">
        <v>0.78</v>
      </c>
      <c r="J86" s="12">
        <f t="shared" si="2"/>
        <v>0.35897435897435903</v>
      </c>
      <c r="K86" s="11">
        <v>5.6603773584905655E-2</v>
      </c>
      <c r="L86" s="13">
        <v>115617000</v>
      </c>
      <c r="M86" s="13">
        <v>935619000</v>
      </c>
      <c r="N86" s="9" t="s">
        <v>67</v>
      </c>
      <c r="O86" s="6">
        <v>1</v>
      </c>
      <c r="P86" s="12">
        <v>6.4133540070055839E-2</v>
      </c>
      <c r="Q86" s="12">
        <v>0.12357273633818894</v>
      </c>
      <c r="R86" s="14">
        <v>65</v>
      </c>
    </row>
    <row r="87" spans="2:18" x14ac:dyDescent="0.5">
      <c r="B87" s="1" t="s">
        <v>138</v>
      </c>
      <c r="C87" t="s">
        <v>186</v>
      </c>
      <c r="D87" t="s">
        <v>102</v>
      </c>
      <c r="E87">
        <v>32.28</v>
      </c>
      <c r="F87" s="9" t="s">
        <v>67</v>
      </c>
      <c r="G87" s="7">
        <v>72733433856</v>
      </c>
      <c r="H87" s="6">
        <v>61.55</v>
      </c>
      <c r="I87" s="6">
        <v>26.65</v>
      </c>
      <c r="J87" s="12">
        <f t="shared" si="2"/>
        <v>0.2112570356472796</v>
      </c>
      <c r="K87" s="11">
        <v>1.7596034696406443E-2</v>
      </c>
      <c r="L87" s="13">
        <v>5261270000</v>
      </c>
      <c r="M87" s="13">
        <v>43208997000</v>
      </c>
      <c r="N87" s="9" t="s">
        <v>50</v>
      </c>
      <c r="O87" s="6">
        <v>1.0683760683760684</v>
      </c>
      <c r="P87" s="12">
        <v>7.1595566277953437E-2</v>
      </c>
      <c r="Q87" s="12">
        <v>0.12176329850933591</v>
      </c>
      <c r="R87" s="14">
        <v>65</v>
      </c>
    </row>
    <row r="88" spans="2:18" x14ac:dyDescent="0.5">
      <c r="B88" s="1" t="s">
        <v>264</v>
      </c>
      <c r="C88" t="s">
        <v>315</v>
      </c>
      <c r="D88" t="s">
        <v>49</v>
      </c>
      <c r="E88">
        <v>6.81</v>
      </c>
      <c r="F88" s="9" t="s">
        <v>67</v>
      </c>
      <c r="G88" s="7">
        <v>12852415488</v>
      </c>
      <c r="H88" s="6">
        <v>7.17</v>
      </c>
      <c r="I88" s="6">
        <v>1.92</v>
      </c>
      <c r="J88" s="12">
        <f t="shared" si="2"/>
        <v>2.546875</v>
      </c>
      <c r="K88" s="11">
        <v>2.3494860499265788E-2</v>
      </c>
      <c r="L88" s="13">
        <v>896597000</v>
      </c>
      <c r="M88" s="13">
        <v>6906279000</v>
      </c>
      <c r="N88" s="9" t="s">
        <v>67</v>
      </c>
      <c r="O88" s="6">
        <v>1</v>
      </c>
      <c r="P88" s="12">
        <v>6.2062041465538786E-2</v>
      </c>
      <c r="Q88" s="12">
        <v>0.12982345485897689</v>
      </c>
      <c r="R88" s="14">
        <v>66</v>
      </c>
    </row>
    <row r="89" spans="2:18" x14ac:dyDescent="0.5">
      <c r="B89" s="1" t="s">
        <v>437</v>
      </c>
      <c r="C89" t="s">
        <v>441</v>
      </c>
      <c r="D89" t="s">
        <v>164</v>
      </c>
      <c r="E89">
        <v>2.36</v>
      </c>
      <c r="F89" s="9" t="s">
        <v>67</v>
      </c>
      <c r="G89" s="7">
        <v>3146667008</v>
      </c>
      <c r="H89" s="6">
        <v>3.21</v>
      </c>
      <c r="I89" s="6">
        <v>1.77</v>
      </c>
      <c r="J89" s="12">
        <f t="shared" si="2"/>
        <v>0.33333333333333326</v>
      </c>
      <c r="K89" s="11">
        <v>5.0847457627118647E-2</v>
      </c>
      <c r="L89" s="13">
        <v>244399000</v>
      </c>
      <c r="M89" s="13">
        <v>2990882000</v>
      </c>
      <c r="N89" s="9" t="s">
        <v>50</v>
      </c>
      <c r="O89" s="6">
        <v>1.0683760683760684</v>
      </c>
      <c r="P89" s="12">
        <v>0.11619570733812563</v>
      </c>
      <c r="Q89" s="12">
        <v>8.171469151909036E-2</v>
      </c>
      <c r="R89" s="14">
        <v>67</v>
      </c>
    </row>
    <row r="90" spans="2:18" x14ac:dyDescent="0.5">
      <c r="B90" s="1" t="s">
        <v>133</v>
      </c>
      <c r="C90" t="s">
        <v>177</v>
      </c>
      <c r="D90" t="s">
        <v>178</v>
      </c>
      <c r="E90">
        <v>8.44</v>
      </c>
      <c r="F90" s="9" t="s">
        <v>67</v>
      </c>
      <c r="G90" s="7">
        <v>19886587904</v>
      </c>
      <c r="H90" s="6">
        <v>12.7</v>
      </c>
      <c r="I90" s="6">
        <v>6.33</v>
      </c>
      <c r="J90" s="12">
        <f t="shared" si="2"/>
        <v>0.33333333333333326</v>
      </c>
      <c r="K90" s="11">
        <v>0</v>
      </c>
      <c r="L90" s="13">
        <v>13493113000</v>
      </c>
      <c r="M90" s="13">
        <v>208027754000</v>
      </c>
      <c r="N90" s="9" t="s">
        <v>50</v>
      </c>
      <c r="O90" s="6">
        <v>1.0683760683760684</v>
      </c>
      <c r="P90" s="12">
        <v>0.12109302231301947</v>
      </c>
      <c r="Q90" s="12">
        <v>6.4862080854845933E-2</v>
      </c>
      <c r="R90" s="14">
        <v>67</v>
      </c>
    </row>
    <row r="91" spans="2:18" x14ac:dyDescent="0.5">
      <c r="B91" s="1" t="s">
        <v>268</v>
      </c>
      <c r="C91" t="s">
        <v>319</v>
      </c>
      <c r="D91" t="s">
        <v>320</v>
      </c>
      <c r="E91">
        <v>11.3</v>
      </c>
      <c r="F91" s="9" t="s">
        <v>67</v>
      </c>
      <c r="G91" s="7">
        <v>23861712896</v>
      </c>
      <c r="H91" s="6">
        <v>11.62</v>
      </c>
      <c r="I91" s="6">
        <v>5.31</v>
      </c>
      <c r="J91" s="12">
        <f t="shared" si="2"/>
        <v>1.1280602636534844</v>
      </c>
      <c r="K91" s="11">
        <v>2.3893805309734513E-2</v>
      </c>
      <c r="L91" s="13">
        <v>1537565000</v>
      </c>
      <c r="M91" s="13">
        <v>14484935000</v>
      </c>
      <c r="N91" s="9" t="s">
        <v>50</v>
      </c>
      <c r="O91" s="6">
        <v>1.0683760683760684</v>
      </c>
      <c r="P91" s="12">
        <v>8.4345068999112968E-2</v>
      </c>
      <c r="Q91" s="12">
        <v>0.10614925092863724</v>
      </c>
      <c r="R91" s="14">
        <v>68</v>
      </c>
    </row>
    <row r="92" spans="2:18" x14ac:dyDescent="0.5">
      <c r="B92" s="1" t="s">
        <v>257</v>
      </c>
      <c r="C92" t="s">
        <v>306</v>
      </c>
      <c r="D92" t="s">
        <v>298</v>
      </c>
      <c r="E92">
        <v>71.599999999999994</v>
      </c>
      <c r="F92" s="9" t="s">
        <v>67</v>
      </c>
      <c r="G92" s="7">
        <v>1386781474816</v>
      </c>
      <c r="H92" s="6">
        <v>74.7</v>
      </c>
      <c r="I92" s="6">
        <v>39.6</v>
      </c>
      <c r="J92" s="12">
        <f t="shared" si="2"/>
        <v>0.80808080808080796</v>
      </c>
      <c r="K92" s="11">
        <v>3.5893854748603356E-2</v>
      </c>
      <c r="L92" s="13">
        <v>189900000000</v>
      </c>
      <c r="M92" s="13">
        <v>2315380000000</v>
      </c>
      <c r="N92" s="9" t="s">
        <v>50</v>
      </c>
      <c r="O92" s="6">
        <v>1.0683760683760684</v>
      </c>
      <c r="P92" s="12">
        <v>0.10893524508898525</v>
      </c>
      <c r="Q92" s="12">
        <v>8.2016774784268678E-2</v>
      </c>
      <c r="R92" s="14">
        <v>69</v>
      </c>
    </row>
    <row r="93" spans="2:18" x14ac:dyDescent="0.5">
      <c r="B93" s="1" t="s">
        <v>255</v>
      </c>
      <c r="C93" t="s">
        <v>304</v>
      </c>
      <c r="D93" t="s">
        <v>300</v>
      </c>
      <c r="E93">
        <v>1.82</v>
      </c>
      <c r="F93" s="9" t="s">
        <v>67</v>
      </c>
      <c r="G93" s="7">
        <v>70632693760</v>
      </c>
      <c r="H93" s="6">
        <v>3.17</v>
      </c>
      <c r="I93" s="6">
        <v>1.35</v>
      </c>
      <c r="J93" s="12">
        <f t="shared" si="2"/>
        <v>0.3481481481481481</v>
      </c>
      <c r="K93" s="11">
        <v>3.0769230769230767E-2</v>
      </c>
      <c r="L93" s="13">
        <v>12616717000</v>
      </c>
      <c r="M93" s="13">
        <v>231208465000</v>
      </c>
      <c r="N93" s="9" t="s">
        <v>50</v>
      </c>
      <c r="O93" s="6">
        <v>1.0683760683760684</v>
      </c>
      <c r="P93" s="12">
        <v>0.11757836841389138</v>
      </c>
      <c r="Q93" s="12">
        <v>5.4568577322633927E-2</v>
      </c>
      <c r="R93" s="14">
        <v>70</v>
      </c>
    </row>
    <row r="94" spans="2:18" x14ac:dyDescent="0.5">
      <c r="B94" s="1" t="s">
        <v>109</v>
      </c>
      <c r="C94" t="s">
        <v>146</v>
      </c>
      <c r="D94" t="s">
        <v>96</v>
      </c>
      <c r="E94">
        <v>5</v>
      </c>
      <c r="F94" s="9" t="s">
        <v>67</v>
      </c>
      <c r="G94" s="7">
        <v>601594396672</v>
      </c>
      <c r="H94" s="6">
        <v>6.98</v>
      </c>
      <c r="I94" s="6">
        <v>4.79</v>
      </c>
      <c r="J94" s="12">
        <f t="shared" si="2"/>
        <v>4.3841336116910323E-2</v>
      </c>
      <c r="K94" s="11">
        <v>8.8200000000000001E-2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8.2275973119154744E-2</v>
      </c>
      <c r="Q94" s="12">
        <v>9.605709580489824E-2</v>
      </c>
      <c r="R94" s="14">
        <v>71</v>
      </c>
    </row>
    <row r="95" spans="2:18" x14ac:dyDescent="0.5">
      <c r="B95" s="1" t="s">
        <v>439</v>
      </c>
      <c r="C95" t="s">
        <v>443</v>
      </c>
      <c r="D95" t="s">
        <v>444</v>
      </c>
      <c r="E95">
        <v>481.8</v>
      </c>
      <c r="F95" s="9" t="s">
        <v>67</v>
      </c>
      <c r="G95" s="7">
        <v>314906148864</v>
      </c>
      <c r="H95" s="6">
        <v>613</v>
      </c>
      <c r="I95" s="6">
        <v>402.6</v>
      </c>
      <c r="J95" s="12">
        <f t="shared" si="2"/>
        <v>0.19672131147540983</v>
      </c>
      <c r="K95" s="11">
        <v>0</v>
      </c>
      <c r="L95" s="13">
        <v>18738000000</v>
      </c>
      <c r="M95" s="13">
        <v>182117000000</v>
      </c>
      <c r="N95" s="9" t="s">
        <v>50</v>
      </c>
      <c r="O95" s="6">
        <v>1.0683760683760684</v>
      </c>
      <c r="P95" s="12">
        <v>6.5372302214600594E-2</v>
      </c>
      <c r="Q95" s="12">
        <v>0.10288990044861271</v>
      </c>
      <c r="R95" s="14">
        <v>72</v>
      </c>
    </row>
    <row r="96" spans="2:18" x14ac:dyDescent="0.5">
      <c r="B96" s="1" t="s">
        <v>386</v>
      </c>
      <c r="C96" t="s">
        <v>387</v>
      </c>
      <c r="D96" t="s">
        <v>55</v>
      </c>
      <c r="E96">
        <v>34.72</v>
      </c>
      <c r="F96" s="9" t="s">
        <v>67</v>
      </c>
      <c r="G96" s="7">
        <v>897767178240</v>
      </c>
      <c r="H96" s="6">
        <v>61.45</v>
      </c>
      <c r="I96" s="6">
        <v>34.36</v>
      </c>
      <c r="J96" s="12">
        <f t="shared" si="2"/>
        <v>1.0477299185098987E-2</v>
      </c>
      <c r="K96" s="11">
        <v>0</v>
      </c>
      <c r="L96" s="13">
        <v>29458798000</v>
      </c>
      <c r="M96" s="13">
        <v>219340795000</v>
      </c>
      <c r="N96" s="9" t="s">
        <v>50</v>
      </c>
      <c r="O96" s="6">
        <v>1.0683760683760684</v>
      </c>
      <c r="P96" s="12">
        <v>3.4959292741198786E-2</v>
      </c>
      <c r="Q96" s="12">
        <v>0.13430606011982404</v>
      </c>
      <c r="R96" s="14">
        <v>73</v>
      </c>
    </row>
    <row r="97" spans="2:18" x14ac:dyDescent="0.5">
      <c r="B97" s="1" t="s">
        <v>126</v>
      </c>
      <c r="C97" t="s">
        <v>169</v>
      </c>
      <c r="D97" t="s">
        <v>96</v>
      </c>
      <c r="E97">
        <v>11.68</v>
      </c>
      <c r="F97" s="9" t="s">
        <v>67</v>
      </c>
      <c r="G97" s="7">
        <v>88537448448</v>
      </c>
      <c r="H97" s="6">
        <v>12.95</v>
      </c>
      <c r="I97" s="6">
        <v>9.58</v>
      </c>
      <c r="J97" s="12">
        <f t="shared" si="2"/>
        <v>0.21920668058455117</v>
      </c>
      <c r="K97" s="11">
        <v>6.8236301369863014E-2</v>
      </c>
      <c r="L97" s="13">
        <v>8154000000</v>
      </c>
      <c r="M97" s="13">
        <v>79588000000</v>
      </c>
      <c r="N97" s="9" t="s">
        <v>67</v>
      </c>
      <c r="O97" s="6">
        <v>1</v>
      </c>
      <c r="P97" s="12">
        <v>6.2797250887192776E-2</v>
      </c>
      <c r="Q97" s="12">
        <v>0.10245263104990703</v>
      </c>
      <c r="R97" s="14">
        <v>73</v>
      </c>
    </row>
    <row r="98" spans="2:18" x14ac:dyDescent="0.5">
      <c r="B98" s="1" t="s">
        <v>113</v>
      </c>
      <c r="C98" t="s">
        <v>153</v>
      </c>
      <c r="D98" t="s">
        <v>91</v>
      </c>
      <c r="E98">
        <v>24.24</v>
      </c>
      <c r="F98" s="9" t="s">
        <v>67</v>
      </c>
      <c r="G98" s="7">
        <v>145628299264</v>
      </c>
      <c r="H98" s="6">
        <v>25.94</v>
      </c>
      <c r="I98" s="6">
        <v>18.7</v>
      </c>
      <c r="J98" s="12">
        <f t="shared" ref="J98:J129" si="3">E98/I98-1</f>
        <v>0.29625668449197851</v>
      </c>
      <c r="K98" s="11">
        <v>3.9191419141914194E-2</v>
      </c>
      <c r="L98" s="13">
        <v>10795274825</v>
      </c>
      <c r="M98" s="13">
        <v>215275428010</v>
      </c>
      <c r="N98" s="9" t="s">
        <v>50</v>
      </c>
      <c r="O98" s="6">
        <v>1.0683760683760684</v>
      </c>
      <c r="P98" s="12">
        <v>0.11288925250559001</v>
      </c>
      <c r="Q98" s="12">
        <v>5.0146340085309396E-2</v>
      </c>
      <c r="R98" s="14">
        <v>73</v>
      </c>
    </row>
    <row r="99" spans="2:18" x14ac:dyDescent="0.5">
      <c r="B99" s="1" t="s">
        <v>765</v>
      </c>
      <c r="C99" t="s">
        <v>770</v>
      </c>
      <c r="D99" t="s">
        <v>73</v>
      </c>
      <c r="E99">
        <v>1.24</v>
      </c>
      <c r="F99" s="9" t="s">
        <v>67</v>
      </c>
      <c r="G99" s="7">
        <v>1719097600</v>
      </c>
      <c r="H99" s="6">
        <v>1.6</v>
      </c>
      <c r="I99" s="6">
        <v>1.08</v>
      </c>
      <c r="J99" s="12">
        <f t="shared" si="3"/>
        <v>0.14814814814814814</v>
      </c>
      <c r="K99" s="11">
        <v>8.0645161290322592E-2</v>
      </c>
      <c r="L99" s="13">
        <v>255887000</v>
      </c>
      <c r="M99" s="13">
        <v>4229022000</v>
      </c>
      <c r="N99" s="9" t="s">
        <v>67</v>
      </c>
      <c r="O99" s="6">
        <v>1</v>
      </c>
      <c r="P99" s="12">
        <v>0.10633188469730399</v>
      </c>
      <c r="Q99" s="12">
        <v>6.0507370261966002E-2</v>
      </c>
      <c r="R99" s="14">
        <v>74</v>
      </c>
    </row>
    <row r="100" spans="2:18" x14ac:dyDescent="0.5">
      <c r="B100" s="1" t="s">
        <v>284</v>
      </c>
      <c r="C100" t="s">
        <v>337</v>
      </c>
      <c r="D100" t="s">
        <v>49</v>
      </c>
      <c r="E100">
        <v>19.690000000000001</v>
      </c>
      <c r="F100" s="9" t="s">
        <v>67</v>
      </c>
      <c r="G100" s="7">
        <v>44032274432</v>
      </c>
      <c r="H100" s="6">
        <v>20.8</v>
      </c>
      <c r="I100" s="6">
        <v>3.05</v>
      </c>
      <c r="J100" s="12">
        <f t="shared" si="3"/>
        <v>5.4557377049180333</v>
      </c>
      <c r="K100" s="11">
        <v>1.1731843575418994E-2</v>
      </c>
      <c r="L100" s="13">
        <v>2184074765.02</v>
      </c>
      <c r="M100" s="13">
        <v>23493408528.349998</v>
      </c>
      <c r="N100" s="9" t="s">
        <v>50</v>
      </c>
      <c r="O100" s="6">
        <v>1.0683760683760684</v>
      </c>
      <c r="P100" s="12">
        <v>6.5805342482610121E-2</v>
      </c>
      <c r="Q100" s="12">
        <v>9.29654274042198E-2</v>
      </c>
      <c r="R100" s="14">
        <v>75</v>
      </c>
    </row>
    <row r="101" spans="2:18" x14ac:dyDescent="0.5">
      <c r="B101" s="1" t="s">
        <v>262</v>
      </c>
      <c r="C101" t="s">
        <v>312</v>
      </c>
      <c r="D101" t="s">
        <v>85</v>
      </c>
      <c r="E101">
        <v>7</v>
      </c>
      <c r="F101" s="9" t="s">
        <v>67</v>
      </c>
      <c r="G101" s="7">
        <v>7127071744</v>
      </c>
      <c r="H101" s="6">
        <v>10.76</v>
      </c>
      <c r="I101" s="6">
        <v>6.25</v>
      </c>
      <c r="J101" s="12">
        <f t="shared" si="3"/>
        <v>0.12000000000000011</v>
      </c>
      <c r="K101" s="11">
        <v>2.0285714285714285E-2</v>
      </c>
      <c r="L101" s="13">
        <v>350106000</v>
      </c>
      <c r="M101" s="13">
        <v>3348556000</v>
      </c>
      <c r="N101" s="9" t="s">
        <v>67</v>
      </c>
      <c r="O101" s="6">
        <v>1</v>
      </c>
      <c r="P101" s="12">
        <v>5.4514583911970581E-2</v>
      </c>
      <c r="Q101" s="12">
        <v>0.10455432132537129</v>
      </c>
      <c r="R101" s="14">
        <v>76</v>
      </c>
    </row>
    <row r="102" spans="2:18" x14ac:dyDescent="0.5">
      <c r="B102" s="1" t="s">
        <v>253</v>
      </c>
      <c r="C102" t="s">
        <v>302</v>
      </c>
      <c r="D102" t="s">
        <v>148</v>
      </c>
      <c r="E102">
        <v>10.73</v>
      </c>
      <c r="F102" s="9" t="s">
        <v>67</v>
      </c>
      <c r="G102" s="7">
        <v>27249891328</v>
      </c>
      <c r="H102" s="6">
        <v>13.78</v>
      </c>
      <c r="I102" s="6">
        <v>8.0399999999999991</v>
      </c>
      <c r="J102" s="12">
        <f t="shared" si="3"/>
        <v>0.33457711442786087</v>
      </c>
      <c r="K102" s="11">
        <v>2.7958993476234855E-2</v>
      </c>
      <c r="L102" s="13">
        <v>9652467000</v>
      </c>
      <c r="M102" s="13">
        <v>173514401000</v>
      </c>
      <c r="N102" s="9" t="s">
        <v>50</v>
      </c>
      <c r="O102" s="6">
        <v>1.0683760683760684</v>
      </c>
      <c r="P102" s="12">
        <v>0.10231598139910568</v>
      </c>
      <c r="Q102" s="12">
        <v>5.5629198178196171E-2</v>
      </c>
      <c r="R102" s="14">
        <v>77</v>
      </c>
    </row>
    <row r="103" spans="2:18" x14ac:dyDescent="0.5">
      <c r="B103" s="1" t="s">
        <v>251</v>
      </c>
      <c r="C103" t="s">
        <v>299</v>
      </c>
      <c r="D103" t="s">
        <v>300</v>
      </c>
      <c r="E103">
        <v>5.38</v>
      </c>
      <c r="F103" s="9" t="s">
        <v>67</v>
      </c>
      <c r="G103" s="7">
        <v>111075672064</v>
      </c>
      <c r="H103" s="6">
        <v>6.07</v>
      </c>
      <c r="I103" s="6">
        <v>4.58</v>
      </c>
      <c r="J103" s="12">
        <f t="shared" si="3"/>
        <v>0.1746724890829694</v>
      </c>
      <c r="K103" s="11">
        <v>5.5762081784386616E-2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0.10100889326756363</v>
      </c>
      <c r="Q103" s="12">
        <v>5.643429507724386E-2</v>
      </c>
      <c r="R103" s="14">
        <v>77</v>
      </c>
    </row>
    <row r="104" spans="2:18" x14ac:dyDescent="0.5">
      <c r="B104" s="1" t="s">
        <v>114</v>
      </c>
      <c r="C104" t="s">
        <v>154</v>
      </c>
      <c r="D104" t="s">
        <v>148</v>
      </c>
      <c r="E104">
        <v>2.44</v>
      </c>
      <c r="F104" s="9" t="s">
        <v>67</v>
      </c>
      <c r="G104" s="7">
        <v>8684874752</v>
      </c>
      <c r="H104" s="6">
        <v>2.72</v>
      </c>
      <c r="I104" s="6">
        <v>1.6</v>
      </c>
      <c r="J104" s="12">
        <f t="shared" si="3"/>
        <v>0.52499999999999991</v>
      </c>
      <c r="K104" s="11">
        <v>3.0737704918032786E-2</v>
      </c>
      <c r="L104" s="13">
        <v>2220197000</v>
      </c>
      <c r="M104" s="13">
        <v>71097505000</v>
      </c>
      <c r="N104" s="9" t="s">
        <v>50</v>
      </c>
      <c r="O104" s="6">
        <v>1.0683760683760684</v>
      </c>
      <c r="P104" s="12">
        <v>0.10796198718891839</v>
      </c>
      <c r="Q104" s="12">
        <v>3.1227495254580313E-2</v>
      </c>
      <c r="R104" s="14">
        <v>78</v>
      </c>
    </row>
    <row r="105" spans="2:18" x14ac:dyDescent="0.5">
      <c r="B105" s="1" t="s">
        <v>120</v>
      </c>
      <c r="C105" t="s">
        <v>160</v>
      </c>
      <c r="D105" t="s">
        <v>161</v>
      </c>
      <c r="E105">
        <v>13.79</v>
      </c>
      <c r="F105" s="9" t="s">
        <v>67</v>
      </c>
      <c r="G105" s="7">
        <v>92986302464</v>
      </c>
      <c r="H105" s="6">
        <v>14.68</v>
      </c>
      <c r="I105" s="6">
        <v>5</v>
      </c>
      <c r="J105" s="12">
        <f t="shared" si="3"/>
        <v>1.758</v>
      </c>
      <c r="K105" s="11">
        <v>1.5228426395939087E-2</v>
      </c>
      <c r="L105" s="13">
        <v>6749146000</v>
      </c>
      <c r="M105" s="13">
        <v>70848374000</v>
      </c>
      <c r="N105" s="9" t="s">
        <v>50</v>
      </c>
      <c r="O105" s="6">
        <v>1.0683760683760684</v>
      </c>
      <c r="P105" s="12">
        <v>5.7420447952467417E-2</v>
      </c>
      <c r="Q105" s="12">
        <v>9.5261833390841127E-2</v>
      </c>
      <c r="R105" s="14">
        <v>79</v>
      </c>
    </row>
    <row r="106" spans="2:18" x14ac:dyDescent="0.5">
      <c r="B106" s="1" t="s">
        <v>256</v>
      </c>
      <c r="C106" t="s">
        <v>305</v>
      </c>
      <c r="D106" t="s">
        <v>106</v>
      </c>
      <c r="E106">
        <v>13.83</v>
      </c>
      <c r="F106" s="9" t="s">
        <v>67</v>
      </c>
      <c r="G106" s="7">
        <v>9289777152</v>
      </c>
      <c r="H106" s="6">
        <v>15.74</v>
      </c>
      <c r="I106" s="6">
        <v>6.31</v>
      </c>
      <c r="J106" s="12">
        <f t="shared" si="3"/>
        <v>1.1917591125198101</v>
      </c>
      <c r="K106" s="11">
        <v>4.1214750542299346E-2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8.1701877609330023E-2</v>
      </c>
      <c r="Q106" s="12">
        <v>6.5089877530620205E-2</v>
      </c>
      <c r="R106" s="14">
        <v>80</v>
      </c>
    </row>
    <row r="107" spans="2:18" x14ac:dyDescent="0.5">
      <c r="B107" s="1" t="s">
        <v>124</v>
      </c>
      <c r="C107" t="s">
        <v>166</v>
      </c>
      <c r="D107" t="s">
        <v>102</v>
      </c>
      <c r="E107">
        <v>14.65</v>
      </c>
      <c r="F107" s="9" t="s">
        <v>67</v>
      </c>
      <c r="G107" s="7">
        <v>45932507136</v>
      </c>
      <c r="H107" s="6">
        <v>15.68</v>
      </c>
      <c r="I107" s="6">
        <v>6.7</v>
      </c>
      <c r="J107" s="12">
        <f t="shared" si="3"/>
        <v>1.1865671641791047</v>
      </c>
      <c r="K107" s="11">
        <v>2.3890784982935152E-2</v>
      </c>
      <c r="L107" s="13">
        <v>1990539000</v>
      </c>
      <c r="M107" s="13">
        <v>18620709000</v>
      </c>
      <c r="N107" s="9" t="s">
        <v>67</v>
      </c>
      <c r="O107" s="6">
        <v>1</v>
      </c>
      <c r="P107" s="12">
        <v>4.0885359993001483E-2</v>
      </c>
      <c r="Q107" s="12">
        <v>0.10689920561026972</v>
      </c>
      <c r="R107" s="14">
        <v>81</v>
      </c>
    </row>
    <row r="108" spans="2:18" x14ac:dyDescent="0.5">
      <c r="B108" s="1" t="s">
        <v>18</v>
      </c>
      <c r="C108" t="s">
        <v>66</v>
      </c>
      <c r="D108" t="s">
        <v>65</v>
      </c>
      <c r="E108">
        <v>88.9</v>
      </c>
      <c r="F108" s="9" t="s">
        <v>67</v>
      </c>
      <c r="G108" s="7">
        <v>232635826176</v>
      </c>
      <c r="H108" s="6">
        <v>97.95</v>
      </c>
      <c r="I108" s="6">
        <v>43.15</v>
      </c>
      <c r="J108" s="12">
        <f t="shared" si="3"/>
        <v>1.0602549246813444</v>
      </c>
      <c r="K108" s="11">
        <v>1.4623172103487063E-2</v>
      </c>
      <c r="L108" s="13">
        <v>6350637223.7200003</v>
      </c>
      <c r="M108" s="13">
        <v>57896384836.860001</v>
      </c>
      <c r="N108" s="9" t="s">
        <v>50</v>
      </c>
      <c r="O108" s="6">
        <v>1.0683760683760684</v>
      </c>
      <c r="P108" s="12">
        <v>3.376392779705506E-2</v>
      </c>
      <c r="Q108" s="12">
        <v>0.10968970241604512</v>
      </c>
      <c r="R108" s="14">
        <v>82</v>
      </c>
    </row>
    <row r="109" spans="2:18" x14ac:dyDescent="0.5">
      <c r="B109" s="1" t="s">
        <v>252</v>
      </c>
      <c r="C109" t="s">
        <v>301</v>
      </c>
      <c r="D109" t="s">
        <v>168</v>
      </c>
      <c r="E109">
        <v>63.25</v>
      </c>
      <c r="F109" s="9" t="s">
        <v>67</v>
      </c>
      <c r="G109" s="7">
        <v>242250301440</v>
      </c>
      <c r="H109" s="6">
        <v>66.5</v>
      </c>
      <c r="I109" s="6">
        <v>37.450000000000003</v>
      </c>
      <c r="J109" s="12">
        <f t="shared" si="3"/>
        <v>0.6889185580774364</v>
      </c>
      <c r="K109" s="11">
        <v>3.5162055335968383E-2</v>
      </c>
      <c r="L109" s="13">
        <v>41737000000</v>
      </c>
      <c r="M109" s="13">
        <v>794927000000</v>
      </c>
      <c r="N109" s="9" t="s">
        <v>67</v>
      </c>
      <c r="O109" s="6">
        <v>1</v>
      </c>
      <c r="P109" s="12">
        <v>9.3648265722487495E-2</v>
      </c>
      <c r="Q109" s="12">
        <v>5.2504192208844336E-2</v>
      </c>
      <c r="R109" s="14">
        <v>82</v>
      </c>
    </row>
    <row r="110" spans="2:18" x14ac:dyDescent="0.5">
      <c r="B110" s="1" t="s">
        <v>131</v>
      </c>
      <c r="C110" t="s">
        <v>175</v>
      </c>
      <c r="D110" t="s">
        <v>96</v>
      </c>
      <c r="E110">
        <v>5.96</v>
      </c>
      <c r="F110" s="9" t="s">
        <v>67</v>
      </c>
      <c r="G110" s="7">
        <v>46176665600</v>
      </c>
      <c r="H110" s="6">
        <v>6.13</v>
      </c>
      <c r="I110" s="6">
        <v>4.3600000000000003</v>
      </c>
      <c r="J110" s="12">
        <f t="shared" si="3"/>
        <v>0.36697247706421998</v>
      </c>
      <c r="K110" s="11">
        <v>6.4261744966442949E-2</v>
      </c>
      <c r="L110" s="13">
        <v>5474000000</v>
      </c>
      <c r="M110" s="13">
        <v>59407000000</v>
      </c>
      <c r="N110" s="9" t="s">
        <v>67</v>
      </c>
      <c r="O110" s="6">
        <v>1</v>
      </c>
      <c r="P110" s="12">
        <v>5.5954397538081742E-2</v>
      </c>
      <c r="Q110" s="12">
        <v>9.2144023431582137E-2</v>
      </c>
      <c r="R110" s="14">
        <v>83</v>
      </c>
    </row>
    <row r="111" spans="2:18" x14ac:dyDescent="0.5">
      <c r="B111" s="1" t="s">
        <v>36</v>
      </c>
      <c r="C111" t="s">
        <v>100</v>
      </c>
      <c r="D111" t="s">
        <v>49</v>
      </c>
      <c r="E111">
        <v>25.62</v>
      </c>
      <c r="F111" s="9" t="s">
        <v>67</v>
      </c>
      <c r="G111" s="7">
        <v>109354221568</v>
      </c>
      <c r="H111" s="6">
        <v>119.9</v>
      </c>
      <c r="I111" s="6">
        <v>8.6</v>
      </c>
      <c r="J111" s="12">
        <f t="shared" si="3"/>
        <v>1.9790697674418607</v>
      </c>
      <c r="K111" s="11">
        <v>1.5729898516783764E-2</v>
      </c>
      <c r="L111" s="13">
        <v>3967214824.1399999</v>
      </c>
      <c r="M111" s="13">
        <v>41038539262.660004</v>
      </c>
      <c r="N111" s="9" t="s">
        <v>50</v>
      </c>
      <c r="O111" s="6">
        <v>1.0683760683760684</v>
      </c>
      <c r="P111" s="12">
        <v>5.0544707446117366E-2</v>
      </c>
      <c r="Q111" s="12">
        <v>9.6670468672106824E-2</v>
      </c>
      <c r="R111" s="14">
        <v>83</v>
      </c>
    </row>
    <row r="112" spans="2:18" x14ac:dyDescent="0.5">
      <c r="B112" s="1" t="s">
        <v>752</v>
      </c>
      <c r="C112" t="s">
        <v>754</v>
      </c>
      <c r="D112" t="s">
        <v>85</v>
      </c>
      <c r="E112">
        <v>15.12</v>
      </c>
      <c r="F112" s="9" t="s">
        <v>67</v>
      </c>
      <c r="G112" s="7">
        <v>9760887808</v>
      </c>
      <c r="H112" s="6">
        <v>15.94</v>
      </c>
      <c r="I112" s="6">
        <v>8.0299999999999994</v>
      </c>
      <c r="J112" s="12">
        <f t="shared" si="3"/>
        <v>0.88293897882938976</v>
      </c>
      <c r="K112" s="11">
        <v>1.4748677248677249E-2</v>
      </c>
      <c r="L112" s="13">
        <v>1066661000</v>
      </c>
      <c r="M112" s="13">
        <v>15098330000</v>
      </c>
      <c r="N112" s="9" t="s">
        <v>50</v>
      </c>
      <c r="O112" s="6">
        <v>1.0683760683760684</v>
      </c>
      <c r="P112" s="12">
        <v>6.3145504694383708E-2</v>
      </c>
      <c r="Q112" s="12">
        <v>7.0647614669966816E-2</v>
      </c>
      <c r="R112" s="14">
        <v>84</v>
      </c>
    </row>
    <row r="113" spans="2:18" x14ac:dyDescent="0.5">
      <c r="B113" s="1" t="s">
        <v>119</v>
      </c>
      <c r="C113" t="s">
        <v>159</v>
      </c>
      <c r="D113" t="s">
        <v>148</v>
      </c>
      <c r="E113">
        <v>45.24</v>
      </c>
      <c r="F113" s="9" t="s">
        <v>67</v>
      </c>
      <c r="G113" s="7">
        <v>158329978880</v>
      </c>
      <c r="H113" s="6">
        <v>46.9</v>
      </c>
      <c r="I113" s="6">
        <v>28.1</v>
      </c>
      <c r="J113" s="12">
        <f t="shared" si="3"/>
        <v>0.60996441281138791</v>
      </c>
      <c r="K113" s="11">
        <v>3.8461538461538457E-2</v>
      </c>
      <c r="L113" s="13">
        <v>16863000000</v>
      </c>
      <c r="M113" s="13">
        <v>448320000000</v>
      </c>
      <c r="N113" s="9" t="s">
        <v>67</v>
      </c>
      <c r="O113" s="6">
        <v>1</v>
      </c>
      <c r="P113" s="12">
        <v>9.3739066999655882E-2</v>
      </c>
      <c r="Q113" s="12">
        <v>3.7613758029978586E-2</v>
      </c>
      <c r="R113" s="14">
        <v>85</v>
      </c>
    </row>
    <row r="114" spans="2:18" x14ac:dyDescent="0.5">
      <c r="B114" s="1" t="s">
        <v>125</v>
      </c>
      <c r="C114" t="s">
        <v>167</v>
      </c>
      <c r="D114" t="s">
        <v>168</v>
      </c>
      <c r="E114">
        <v>30.94</v>
      </c>
      <c r="F114" s="9" t="s">
        <v>67</v>
      </c>
      <c r="G114" s="7">
        <v>34291163136</v>
      </c>
      <c r="H114" s="6">
        <v>32.700000000000003</v>
      </c>
      <c r="I114" s="6">
        <v>17.8</v>
      </c>
      <c r="J114" s="12">
        <f t="shared" si="3"/>
        <v>0.73820224719101124</v>
      </c>
      <c r="K114" s="11">
        <v>3.9754363283775046E-2</v>
      </c>
      <c r="L114" s="13">
        <v>3838344000</v>
      </c>
      <c r="M114" s="13">
        <v>81520873000</v>
      </c>
      <c r="N114" s="9" t="s">
        <v>67</v>
      </c>
      <c r="O114" s="6">
        <v>1</v>
      </c>
      <c r="P114" s="12">
        <v>7.3659738205169301E-2</v>
      </c>
      <c r="Q114" s="12">
        <v>4.7084186647510511E-2</v>
      </c>
      <c r="R114" s="14">
        <v>86</v>
      </c>
    </row>
    <row r="115" spans="2:18" x14ac:dyDescent="0.5">
      <c r="B115" s="1" t="s">
        <v>440</v>
      </c>
      <c r="C115" t="s">
        <v>445</v>
      </c>
      <c r="D115" t="s">
        <v>446</v>
      </c>
      <c r="E115">
        <v>2.16</v>
      </c>
      <c r="F115" s="9" t="s">
        <v>67</v>
      </c>
      <c r="G115" s="7">
        <v>23739852800</v>
      </c>
      <c r="H115" s="6">
        <v>2.64</v>
      </c>
      <c r="I115" s="6">
        <v>1.57</v>
      </c>
      <c r="J115" s="12">
        <f t="shared" si="3"/>
        <v>0.37579617834394918</v>
      </c>
      <c r="K115" s="11">
        <v>3.2407407407407406E-2</v>
      </c>
      <c r="L115" s="13">
        <v>1507922451</v>
      </c>
      <c r="M115" s="13">
        <v>27909411974</v>
      </c>
      <c r="N115" s="9" t="s">
        <v>50</v>
      </c>
      <c r="O115" s="6">
        <v>1.0683760683760684</v>
      </c>
      <c r="P115" s="12">
        <v>6.7074791350761609E-2</v>
      </c>
      <c r="Q115" s="12">
        <v>5.4029173112094174E-2</v>
      </c>
      <c r="R115" s="14">
        <v>86</v>
      </c>
    </row>
    <row r="116" spans="2:18" x14ac:dyDescent="0.5">
      <c r="B116" s="1" t="s">
        <v>33</v>
      </c>
      <c r="C116" t="s">
        <v>95</v>
      </c>
      <c r="D116" t="s">
        <v>96</v>
      </c>
      <c r="E116">
        <v>11.05</v>
      </c>
      <c r="F116" s="9" t="s">
        <v>67</v>
      </c>
      <c r="G116" s="7">
        <v>193167261696</v>
      </c>
      <c r="H116" s="6">
        <v>12.85</v>
      </c>
      <c r="I116" s="6">
        <v>9.89</v>
      </c>
      <c r="J116" s="12">
        <f t="shared" si="3"/>
        <v>0.11729019211324565</v>
      </c>
      <c r="K116" s="11">
        <v>3.9819004524886875E-2</v>
      </c>
      <c r="L116" s="13">
        <v>16758000000</v>
      </c>
      <c r="M116" s="13">
        <v>269590000000</v>
      </c>
      <c r="N116" s="9" t="s">
        <v>50</v>
      </c>
      <c r="O116" s="6">
        <v>1.0683760683760684</v>
      </c>
      <c r="P116" s="12">
        <v>6.1894380918563571E-2</v>
      </c>
      <c r="Q116" s="12">
        <v>6.2161059386475759E-2</v>
      </c>
      <c r="R116" s="14">
        <v>86</v>
      </c>
    </row>
    <row r="117" spans="2:18" x14ac:dyDescent="0.5">
      <c r="B117" s="1" t="s">
        <v>254</v>
      </c>
      <c r="C117" t="s">
        <v>303</v>
      </c>
      <c r="D117" t="s">
        <v>96</v>
      </c>
      <c r="E117">
        <v>4.1500000000000004</v>
      </c>
      <c r="F117" s="9" t="s">
        <v>67</v>
      </c>
      <c r="G117" s="7">
        <v>3853577984</v>
      </c>
      <c r="H117" s="6">
        <v>5.39</v>
      </c>
      <c r="I117" s="6">
        <v>1.72</v>
      </c>
      <c r="J117" s="12">
        <f t="shared" si="3"/>
        <v>1.4127906976744189</v>
      </c>
      <c r="K117" s="11">
        <v>2.1686746987951804E-2</v>
      </c>
      <c r="L117" s="13">
        <v>238321000</v>
      </c>
      <c r="M117" s="13">
        <v>6087917000</v>
      </c>
      <c r="N117" s="9" t="s">
        <v>67</v>
      </c>
      <c r="O117" s="6">
        <v>1</v>
      </c>
      <c r="P117" s="12">
        <v>6.8111116535132396E-2</v>
      </c>
      <c r="Q117" s="12">
        <v>3.9146558666946343E-2</v>
      </c>
      <c r="R117" s="14">
        <v>87</v>
      </c>
    </row>
    <row r="118" spans="2:18" x14ac:dyDescent="0.5">
      <c r="B118" s="1" t="s">
        <v>26</v>
      </c>
      <c r="C118" t="s">
        <v>84</v>
      </c>
      <c r="D118" t="s">
        <v>85</v>
      </c>
      <c r="E118">
        <v>7.28</v>
      </c>
      <c r="F118" s="9" t="s">
        <v>67</v>
      </c>
      <c r="G118" s="7">
        <v>7598023680</v>
      </c>
      <c r="H118" s="6">
        <v>9.6</v>
      </c>
      <c r="I118" s="6">
        <v>5.14</v>
      </c>
      <c r="J118" s="12">
        <f t="shared" si="3"/>
        <v>0.41634241245136194</v>
      </c>
      <c r="K118" s="11">
        <v>1.3186813186813187E-2</v>
      </c>
      <c r="L118" s="13">
        <v>303335000</v>
      </c>
      <c r="M118" s="13">
        <v>3620162000</v>
      </c>
      <c r="N118" s="9" t="s">
        <v>67</v>
      </c>
      <c r="O118" s="6">
        <v>1</v>
      </c>
      <c r="P118" s="12">
        <v>4.6637744494956501E-2</v>
      </c>
      <c r="Q118" s="12">
        <v>8.3790449156695201E-2</v>
      </c>
      <c r="R118" s="14">
        <v>88</v>
      </c>
    </row>
    <row r="119" spans="2:18" x14ac:dyDescent="0.5">
      <c r="B119" s="1" t="s">
        <v>758</v>
      </c>
      <c r="C119" t="s">
        <v>761</v>
      </c>
      <c r="D119" t="s">
        <v>240</v>
      </c>
      <c r="E119">
        <v>11.57</v>
      </c>
      <c r="F119" s="9" t="s">
        <v>67</v>
      </c>
      <c r="G119" s="7">
        <v>12319791104</v>
      </c>
      <c r="H119" s="6">
        <v>15.24</v>
      </c>
      <c r="I119" s="6">
        <v>7.64</v>
      </c>
      <c r="J119" s="12">
        <f t="shared" si="3"/>
        <v>0.51439790575916233</v>
      </c>
      <c r="K119" s="11">
        <v>2.9991356957649089E-2</v>
      </c>
      <c r="L119" s="13">
        <v>697194000</v>
      </c>
      <c r="M119" s="13">
        <v>9479979000</v>
      </c>
      <c r="N119" s="9" t="s">
        <v>50</v>
      </c>
      <c r="O119" s="6">
        <v>1.0683760683760684</v>
      </c>
      <c r="P119" s="12">
        <v>4.2419139637332376E-2</v>
      </c>
      <c r="Q119" s="12">
        <v>7.3543833799631836E-2</v>
      </c>
      <c r="R119" s="14">
        <v>89</v>
      </c>
    </row>
    <row r="120" spans="2:18" x14ac:dyDescent="0.5">
      <c r="B120" s="1" t="s">
        <v>30</v>
      </c>
      <c r="C120" t="s">
        <v>90</v>
      </c>
      <c r="D120" t="s">
        <v>91</v>
      </c>
      <c r="E120">
        <v>3.18</v>
      </c>
      <c r="F120" s="9" t="s">
        <v>67</v>
      </c>
      <c r="G120" s="7">
        <v>17370853376</v>
      </c>
      <c r="H120" s="6">
        <v>3.83</v>
      </c>
      <c r="I120" s="6">
        <v>1.24</v>
      </c>
      <c r="J120" s="12">
        <f t="shared" si="3"/>
        <v>1.564516129032258</v>
      </c>
      <c r="K120" s="11">
        <v>1.069182389937107E-2</v>
      </c>
      <c r="L120" s="13">
        <v>1384865000</v>
      </c>
      <c r="M120" s="13">
        <v>23827484000</v>
      </c>
      <c r="N120" s="9" t="s">
        <v>50</v>
      </c>
      <c r="O120" s="6">
        <v>1.0683760683760684</v>
      </c>
      <c r="P120" s="12">
        <v>5.1942910957032573E-2</v>
      </c>
      <c r="Q120" s="12">
        <v>5.8120488088461209E-2</v>
      </c>
      <c r="R120" s="14">
        <v>90</v>
      </c>
    </row>
    <row r="121" spans="2:18" x14ac:dyDescent="0.5">
      <c r="B121" s="1" t="s">
        <v>137</v>
      </c>
      <c r="C121" t="s">
        <v>184</v>
      </c>
      <c r="D121" t="s">
        <v>185</v>
      </c>
      <c r="E121">
        <v>3.54</v>
      </c>
      <c r="F121" s="9" t="s">
        <v>67</v>
      </c>
      <c r="G121" s="7">
        <v>15204299776</v>
      </c>
      <c r="H121" s="6">
        <v>3.84</v>
      </c>
      <c r="I121" s="6">
        <v>1.93</v>
      </c>
      <c r="J121" s="12">
        <f t="shared" si="3"/>
        <v>0.83419689119170992</v>
      </c>
      <c r="K121" s="11">
        <v>3.1355932203389829E-2</v>
      </c>
      <c r="L121" s="13">
        <v>1938532000</v>
      </c>
      <c r="M121" s="13">
        <v>49986396000</v>
      </c>
      <c r="N121" s="9" t="s">
        <v>67</v>
      </c>
      <c r="O121" s="6">
        <v>1</v>
      </c>
      <c r="P121" s="12">
        <v>5.4250730229137296E-2</v>
      </c>
      <c r="Q121" s="12">
        <v>3.8781191586606881E-2</v>
      </c>
      <c r="R121" s="14">
        <v>91</v>
      </c>
    </row>
    <row r="122" spans="2:18" x14ac:dyDescent="0.5">
      <c r="B122" s="1" t="s">
        <v>375</v>
      </c>
      <c r="C122" t="s">
        <v>376</v>
      </c>
      <c r="D122" t="s">
        <v>83</v>
      </c>
      <c r="E122">
        <v>1.32</v>
      </c>
      <c r="F122" s="9" t="s">
        <v>67</v>
      </c>
      <c r="G122" s="7">
        <v>7308357120</v>
      </c>
      <c r="H122" s="6">
        <v>2.99</v>
      </c>
      <c r="I122" s="6">
        <v>0.91</v>
      </c>
      <c r="J122" s="12">
        <f t="shared" si="3"/>
        <v>0.4505494505494505</v>
      </c>
      <c r="K122" s="11">
        <v>0</v>
      </c>
      <c r="L122" s="13">
        <v>429393000</v>
      </c>
      <c r="M122" s="13">
        <v>18333659000</v>
      </c>
      <c r="N122" s="9" t="s">
        <v>67</v>
      </c>
      <c r="O122" s="6">
        <v>1</v>
      </c>
      <c r="P122" s="12">
        <v>5.7826329247650278E-2</v>
      </c>
      <c r="Q122" s="12">
        <v>2.3421020321148112E-2</v>
      </c>
      <c r="R122" s="14">
        <v>91</v>
      </c>
    </row>
    <row r="123" spans="2:18" x14ac:dyDescent="0.5">
      <c r="B123" s="1" t="s">
        <v>379</v>
      </c>
      <c r="C123" t="s">
        <v>382</v>
      </c>
      <c r="D123" t="s">
        <v>148</v>
      </c>
      <c r="E123">
        <v>11.53</v>
      </c>
      <c r="F123" s="9" t="s">
        <v>67</v>
      </c>
      <c r="G123" s="7">
        <v>109356220416</v>
      </c>
      <c r="H123" s="6">
        <v>11.8</v>
      </c>
      <c r="I123" s="6">
        <v>7.31</v>
      </c>
      <c r="J123" s="12">
        <f t="shared" si="3"/>
        <v>0.57729138166894667</v>
      </c>
      <c r="K123" s="11">
        <v>5.0303555941023419E-2</v>
      </c>
      <c r="L123" s="13">
        <v>4532000000</v>
      </c>
      <c r="M123" s="13">
        <v>172303000000</v>
      </c>
      <c r="N123" s="9" t="s">
        <v>67</v>
      </c>
      <c r="O123" s="6">
        <v>1</v>
      </c>
      <c r="P123" s="12">
        <v>4.1202164830660186E-2</v>
      </c>
      <c r="Q123" s="12">
        <v>2.6302501987777345E-2</v>
      </c>
      <c r="R123" s="14">
        <v>92</v>
      </c>
    </row>
    <row r="124" spans="2:18" x14ac:dyDescent="0.5">
      <c r="B124" s="1" t="s">
        <v>191</v>
      </c>
      <c r="C124" t="s">
        <v>192</v>
      </c>
      <c r="D124" t="s">
        <v>193</v>
      </c>
      <c r="E124">
        <v>70.900000000000006</v>
      </c>
      <c r="F124" s="9" t="s">
        <v>67</v>
      </c>
      <c r="G124" s="7">
        <v>685242384384</v>
      </c>
      <c r="H124" s="6">
        <v>93.5</v>
      </c>
      <c r="I124" s="6">
        <v>37</v>
      </c>
      <c r="J124" s="12">
        <f t="shared" si="3"/>
        <v>0.91621621621621641</v>
      </c>
      <c r="K124" s="11">
        <v>0</v>
      </c>
      <c r="L124" s="13">
        <v>984027000</v>
      </c>
      <c r="M124" s="13">
        <v>32183526000</v>
      </c>
      <c r="N124" s="9" t="s">
        <v>71</v>
      </c>
      <c r="O124" s="6">
        <v>7.6923076923076916</v>
      </c>
      <c r="P124" s="12">
        <v>1.043359539438367E-2</v>
      </c>
      <c r="Q124" s="12">
        <v>3.0575487595734537E-2</v>
      </c>
      <c r="R124" s="14">
        <v>93</v>
      </c>
    </row>
    <row r="125" spans="2:18" x14ac:dyDescent="0.5">
      <c r="B125" s="1" t="s">
        <v>111</v>
      </c>
      <c r="C125" t="s">
        <v>149</v>
      </c>
      <c r="D125" t="s">
        <v>150</v>
      </c>
      <c r="E125">
        <v>21.48</v>
      </c>
      <c r="F125" s="9" t="s">
        <v>67</v>
      </c>
      <c r="G125" s="7">
        <v>22060136448</v>
      </c>
      <c r="H125" s="6">
        <v>22.7</v>
      </c>
      <c r="I125" s="6">
        <v>11.2</v>
      </c>
      <c r="J125" s="12">
        <f t="shared" si="3"/>
        <v>0.91785714285714293</v>
      </c>
      <c r="K125" s="11">
        <v>5.027932960893855E-2</v>
      </c>
      <c r="L125" s="13">
        <v>984000000</v>
      </c>
      <c r="M125" s="13">
        <v>101944000000</v>
      </c>
      <c r="N125" s="9" t="s">
        <v>67</v>
      </c>
      <c r="O125" s="6">
        <v>1</v>
      </c>
      <c r="P125" s="12">
        <v>2.0931655901242619E-2</v>
      </c>
      <c r="Q125" s="12">
        <v>9.6523581574197593E-3</v>
      </c>
      <c r="R125" s="14">
        <v>94</v>
      </c>
    </row>
    <row r="126" spans="2:18" x14ac:dyDescent="0.5">
      <c r="B126" s="1" t="s">
        <v>128</v>
      </c>
      <c r="C126" t="s">
        <v>172</v>
      </c>
      <c r="D126" t="s">
        <v>171</v>
      </c>
      <c r="E126">
        <v>33.9</v>
      </c>
      <c r="F126" s="9" t="s">
        <v>67</v>
      </c>
      <c r="G126" s="7">
        <v>34628014080</v>
      </c>
      <c r="H126" s="6">
        <v>46.88</v>
      </c>
      <c r="I126" s="6">
        <v>22.4</v>
      </c>
      <c r="J126" s="12">
        <f t="shared" si="3"/>
        <v>0.51339285714285721</v>
      </c>
      <c r="K126" s="11">
        <v>0</v>
      </c>
      <c r="L126" s="13">
        <v>-90314000</v>
      </c>
      <c r="M126" s="13">
        <v>18374441000</v>
      </c>
      <c r="N126" s="9" t="s">
        <v>50</v>
      </c>
      <c r="O126" s="6">
        <v>1.0683760683760684</v>
      </c>
      <c r="P126" s="12">
        <v>-3.0809331347678736E-3</v>
      </c>
      <c r="Q126" s="12">
        <v>-4.9151971480384084E-3</v>
      </c>
      <c r="R126" s="14">
        <v>95</v>
      </c>
    </row>
    <row r="127" spans="2:18" x14ac:dyDescent="0.5">
      <c r="B127" s="1" t="s">
        <v>768</v>
      </c>
      <c r="C127" t="s">
        <v>773</v>
      </c>
      <c r="D127" t="s">
        <v>774</v>
      </c>
      <c r="E127">
        <v>1.46</v>
      </c>
      <c r="F127" s="9" t="s">
        <v>67</v>
      </c>
      <c r="G127" s="7">
        <v>925475456</v>
      </c>
      <c r="H127" s="6">
        <v>1.98</v>
      </c>
      <c r="I127" s="6">
        <v>1.17</v>
      </c>
      <c r="J127" s="12">
        <f t="shared" si="3"/>
        <v>0.24786324786324787</v>
      </c>
      <c r="K127" s="11">
        <v>9.5890410958904118E-2</v>
      </c>
      <c r="L127" s="13">
        <v>-19076000</v>
      </c>
      <c r="M127" s="13">
        <v>1673543000</v>
      </c>
      <c r="N127" s="9" t="s">
        <v>67</v>
      </c>
      <c r="O127" s="6">
        <v>1</v>
      </c>
      <c r="P127" s="12">
        <v>-4.9335530373089784E-2</v>
      </c>
      <c r="Q127" s="12">
        <v>-1.1398571772580687E-2</v>
      </c>
      <c r="R127" s="14">
        <v>96</v>
      </c>
    </row>
    <row r="128" spans="2:18" x14ac:dyDescent="0.5">
      <c r="B128" s="1" t="s">
        <v>776</v>
      </c>
      <c r="C128" t="s">
        <v>778</v>
      </c>
      <c r="D128" t="s">
        <v>171</v>
      </c>
      <c r="E128">
        <v>245.8</v>
      </c>
      <c r="F128" s="9" t="s">
        <v>67</v>
      </c>
      <c r="G128" s="7">
        <v>100177518592</v>
      </c>
      <c r="H128" s="6">
        <v>285.60000000000002</v>
      </c>
      <c r="I128" s="6">
        <v>113.6</v>
      </c>
      <c r="J128" s="12">
        <f t="shared" si="3"/>
        <v>1.1637323943661975</v>
      </c>
      <c r="K128" s="11">
        <v>0</v>
      </c>
      <c r="L128" s="13">
        <v>-1311002000</v>
      </c>
      <c r="M128" s="13">
        <v>18944386000</v>
      </c>
      <c r="N128" s="9" t="s">
        <v>50</v>
      </c>
      <c r="O128" s="6">
        <v>1.0683760683760684</v>
      </c>
      <c r="P128" s="12">
        <v>-1.4802310688532591E-2</v>
      </c>
      <c r="Q128" s="12">
        <v>-6.9202665106169181E-2</v>
      </c>
      <c r="R128" s="14">
        <v>96</v>
      </c>
    </row>
    <row r="129" spans="2:18" x14ac:dyDescent="0.5">
      <c r="B129" s="1" t="s">
        <v>381</v>
      </c>
      <c r="C129" t="s">
        <v>384</v>
      </c>
      <c r="D129" t="s">
        <v>385</v>
      </c>
      <c r="E129">
        <v>35.1</v>
      </c>
      <c r="F129" s="9" t="s">
        <v>67</v>
      </c>
      <c r="G129" s="7">
        <v>91222761472</v>
      </c>
      <c r="H129" s="6">
        <v>45.05</v>
      </c>
      <c r="I129" s="6">
        <v>31.8</v>
      </c>
      <c r="J129" s="12">
        <f t="shared" si="3"/>
        <v>0.10377358490566047</v>
      </c>
      <c r="K129" s="11">
        <v>7.529914529914529E-2</v>
      </c>
      <c r="L129" s="13">
        <v>-6742000000</v>
      </c>
      <c r="M129" s="13">
        <v>216378000000</v>
      </c>
      <c r="N129" s="9" t="s">
        <v>67</v>
      </c>
      <c r="O129" s="6">
        <v>1</v>
      </c>
      <c r="P129" s="12">
        <v>-4.7806190282177689E-2</v>
      </c>
      <c r="Q129" s="12">
        <v>-3.1158435700487111E-2</v>
      </c>
      <c r="R129" s="14">
        <v>96</v>
      </c>
    </row>
    <row r="130" spans="2:18" x14ac:dyDescent="0.5">
      <c r="B130" s="1" t="s">
        <v>438</v>
      </c>
      <c r="C130" t="s">
        <v>442</v>
      </c>
      <c r="D130" t="s">
        <v>164</v>
      </c>
      <c r="E130">
        <v>2.78</v>
      </c>
      <c r="F130" s="9" t="s">
        <v>67</v>
      </c>
      <c r="G130" s="7">
        <v>16299798528</v>
      </c>
      <c r="H130" s="6">
        <v>4.34</v>
      </c>
      <c r="I130" s="6">
        <v>2.57</v>
      </c>
      <c r="J130" s="12">
        <f t="shared" ref="J130:J136" si="4">E130/I130-1</f>
        <v>8.171206225680927E-2</v>
      </c>
      <c r="K130" s="11">
        <v>5.0359712230215833E-2</v>
      </c>
      <c r="L130" s="13">
        <v>-780356000</v>
      </c>
      <c r="M130" s="13">
        <v>8664599000</v>
      </c>
      <c r="N130" s="9" t="s">
        <v>67</v>
      </c>
      <c r="O130" s="6">
        <v>1</v>
      </c>
      <c r="P130" s="12">
        <v>-6.9780038577567524E-2</v>
      </c>
      <c r="Q130" s="12">
        <v>-9.0062563772426163E-2</v>
      </c>
      <c r="R130" s="14">
        <v>97</v>
      </c>
    </row>
    <row r="131" spans="2:18" x14ac:dyDescent="0.5">
      <c r="B131" s="1" t="s">
        <v>200</v>
      </c>
      <c r="C131" t="s">
        <v>226</v>
      </c>
      <c r="D131" t="s">
        <v>227</v>
      </c>
      <c r="E131">
        <v>6.71</v>
      </c>
      <c r="F131" s="9" t="s">
        <v>67</v>
      </c>
      <c r="G131" s="7">
        <v>664260837376</v>
      </c>
      <c r="H131" s="6">
        <v>7.62</v>
      </c>
      <c r="I131" s="6">
        <v>6.17</v>
      </c>
      <c r="J131" s="12">
        <f t="shared" si="4"/>
        <v>8.7520259319286975E-2</v>
      </c>
      <c r="K131" s="11">
        <v>7.9731743666169905E-2</v>
      </c>
      <c r="M131" s="13">
        <v>2314289000000</v>
      </c>
      <c r="N131" s="9" t="s">
        <v>50</v>
      </c>
      <c r="O131" s="6">
        <v>1.0683760683760684</v>
      </c>
    </row>
    <row r="132" spans="2:18" x14ac:dyDescent="0.5">
      <c r="B132" s="1" t="s">
        <v>202</v>
      </c>
      <c r="C132" t="s">
        <v>229</v>
      </c>
      <c r="D132" t="s">
        <v>225</v>
      </c>
      <c r="E132">
        <v>5.13</v>
      </c>
      <c r="F132" s="9" t="s">
        <v>67</v>
      </c>
      <c r="G132" s="7">
        <v>693876031488</v>
      </c>
      <c r="H132" s="6">
        <v>5.95</v>
      </c>
      <c r="I132" s="6">
        <v>4.3600000000000003</v>
      </c>
      <c r="J132" s="12">
        <f t="shared" si="4"/>
        <v>0.17660550458715596</v>
      </c>
      <c r="K132" s="11">
        <v>4.6198830409356725E-2</v>
      </c>
      <c r="M132" s="13">
        <v>1271649000000</v>
      </c>
      <c r="N132" s="9" t="s">
        <v>50</v>
      </c>
      <c r="O132" s="6">
        <v>1.0683760683760684</v>
      </c>
    </row>
    <row r="133" spans="2:18" x14ac:dyDescent="0.5">
      <c r="B133" s="1" t="s">
        <v>201</v>
      </c>
      <c r="C133" t="s">
        <v>228</v>
      </c>
      <c r="D133" t="s">
        <v>227</v>
      </c>
      <c r="E133">
        <v>6.45</v>
      </c>
      <c r="F133" s="9" t="s">
        <v>67</v>
      </c>
      <c r="G133" s="7">
        <v>2882041806848</v>
      </c>
      <c r="H133" s="6">
        <v>6.66</v>
      </c>
      <c r="I133" s="6">
        <v>4.8600000000000003</v>
      </c>
      <c r="J133" s="12">
        <f t="shared" si="4"/>
        <v>0.32716049382716039</v>
      </c>
      <c r="K133" s="11">
        <v>4.7441860465116274E-2</v>
      </c>
      <c r="M133" s="13">
        <v>6434377000000</v>
      </c>
      <c r="N133" s="9" t="s">
        <v>50</v>
      </c>
      <c r="O133" s="6">
        <v>1.0683760683760684</v>
      </c>
    </row>
    <row r="134" spans="2:18" x14ac:dyDescent="0.5">
      <c r="B134" s="1" t="s">
        <v>203</v>
      </c>
      <c r="C134" t="s">
        <v>230</v>
      </c>
      <c r="D134" t="s">
        <v>227</v>
      </c>
      <c r="E134">
        <v>7.88</v>
      </c>
      <c r="F134" s="9" t="s">
        <v>67</v>
      </c>
      <c r="G134" s="7">
        <v>2112216629248</v>
      </c>
      <c r="H134" s="6">
        <v>8.56</v>
      </c>
      <c r="I134" s="6">
        <v>6.02</v>
      </c>
      <c r="J134" s="12">
        <f t="shared" si="4"/>
        <v>0.30897009966777422</v>
      </c>
      <c r="K134" s="11">
        <v>4.9746192893401014E-2</v>
      </c>
      <c r="M134" s="13">
        <v>6128626000000</v>
      </c>
      <c r="N134" s="9" t="s">
        <v>50</v>
      </c>
      <c r="O134" s="6">
        <v>1.0683760683760684</v>
      </c>
    </row>
    <row r="135" spans="2:18" x14ac:dyDescent="0.5">
      <c r="B135" s="1" t="s">
        <v>204</v>
      </c>
      <c r="C135" t="s">
        <v>231</v>
      </c>
      <c r="D135" t="s">
        <v>225</v>
      </c>
      <c r="E135">
        <v>7.22</v>
      </c>
      <c r="F135" s="9" t="s">
        <v>67</v>
      </c>
      <c r="G135" s="7">
        <v>473442713600</v>
      </c>
      <c r="H135" s="6">
        <v>8.1199999999999992</v>
      </c>
      <c r="I135" s="6">
        <v>5.4</v>
      </c>
      <c r="J135" s="12">
        <f t="shared" si="4"/>
        <v>0.3370370370370368</v>
      </c>
      <c r="K135" s="11">
        <v>7.0637119113573413E-2</v>
      </c>
      <c r="M135" s="13">
        <v>2066897000000</v>
      </c>
      <c r="N135" s="9" t="s">
        <v>50</v>
      </c>
      <c r="O135" s="6">
        <v>1.0683760683760684</v>
      </c>
    </row>
    <row r="136" spans="2:18" x14ac:dyDescent="0.5">
      <c r="B136" s="1" t="s">
        <v>199</v>
      </c>
      <c r="C136" t="s">
        <v>224</v>
      </c>
      <c r="D136" t="s">
        <v>225</v>
      </c>
      <c r="E136">
        <v>41.26</v>
      </c>
      <c r="F136" s="9" t="s">
        <v>67</v>
      </c>
      <c r="G136" s="7">
        <v>436232912896</v>
      </c>
      <c r="H136" s="6">
        <v>41.7</v>
      </c>
      <c r="I136" s="6">
        <v>25.1</v>
      </c>
      <c r="J136" s="12">
        <f t="shared" si="4"/>
        <v>0.64382470119521895</v>
      </c>
      <c r="K136" s="11">
        <v>4.8448860882210378E-2</v>
      </c>
      <c r="M136" s="13">
        <v>415994000000</v>
      </c>
      <c r="N136" s="9" t="s">
        <v>67</v>
      </c>
      <c r="O136" s="6">
        <v>1</v>
      </c>
    </row>
    <row r="137" spans="2:18" x14ac:dyDescent="0.5">
      <c r="B137" s="1" t="s">
        <v>779</v>
      </c>
    </row>
    <row r="138" spans="2:18" x14ac:dyDescent="0.5">
      <c r="B138" s="1" t="s">
        <v>780</v>
      </c>
    </row>
    <row r="139" spans="2:18" x14ac:dyDescent="0.5">
      <c r="B139" s="1" t="s">
        <v>781</v>
      </c>
    </row>
  </sheetData>
  <autoFilter ref="B1:R18" xr:uid="{7A9EDF16-08C4-B24B-A5E4-CFD78B458569}">
    <sortState xmlns:xlrd2="http://schemas.microsoft.com/office/spreadsheetml/2017/richdata2" ref="B2:R136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zoomScale="70" zoomScaleNormal="70" workbookViewId="0">
      <selection activeCell="C2" sqref="C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14.95</v>
      </c>
      <c r="F2" s="9" t="s">
        <v>50</v>
      </c>
      <c r="G2" s="7">
        <v>229334056960</v>
      </c>
      <c r="H2" s="6">
        <v>16.88</v>
      </c>
      <c r="I2" s="6">
        <v>12.74</v>
      </c>
      <c r="J2" s="12">
        <f t="shared" ref="J2:J33" si="0">E2/I2-1</f>
        <v>0.1734693877551019</v>
      </c>
      <c r="K2" s="11">
        <v>0.10635451505016723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0.57795647526922012</v>
      </c>
      <c r="Q2" s="12">
        <v>0.26042924055386191</v>
      </c>
      <c r="R2" s="14">
        <v>1</v>
      </c>
    </row>
    <row r="3" spans="2:22" x14ac:dyDescent="0.5">
      <c r="B3" s="1" t="s">
        <v>344</v>
      </c>
      <c r="C3" t="s">
        <v>364</v>
      </c>
      <c r="D3" t="s">
        <v>365</v>
      </c>
      <c r="E3">
        <v>16.93</v>
      </c>
      <c r="F3" s="9" t="s">
        <v>50</v>
      </c>
      <c r="G3" s="7">
        <v>9757995008</v>
      </c>
      <c r="H3" s="6">
        <v>18.8</v>
      </c>
      <c r="I3" s="6">
        <v>14.43</v>
      </c>
      <c r="J3" s="12">
        <f t="shared" si="0"/>
        <v>0.17325017325017322</v>
      </c>
      <c r="K3" s="11">
        <v>5.3160070880094508E-2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0.13394898737511271</v>
      </c>
      <c r="Q3" s="12">
        <v>0.23555964555041065</v>
      </c>
      <c r="R3" s="14">
        <v>3</v>
      </c>
    </row>
    <row r="4" spans="2:22" x14ac:dyDescent="0.5">
      <c r="B4" s="1" t="s">
        <v>12</v>
      </c>
      <c r="C4" t="s">
        <v>57</v>
      </c>
      <c r="D4" t="s">
        <v>58</v>
      </c>
      <c r="E4">
        <v>107.77</v>
      </c>
      <c r="F4" s="9" t="s">
        <v>50</v>
      </c>
      <c r="G4" s="7">
        <v>418320875520</v>
      </c>
      <c r="H4" s="6">
        <v>142.96</v>
      </c>
      <c r="I4" s="6">
        <v>105.61</v>
      </c>
      <c r="J4" s="12">
        <f t="shared" si="0"/>
        <v>2.0452608654483395E-2</v>
      </c>
      <c r="K4" s="11">
        <v>5.3326528718567322E-2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0.15152568047131415</v>
      </c>
      <c r="Q4" s="12">
        <v>0.33164773684009302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52.3</v>
      </c>
      <c r="F5" s="9" t="s">
        <v>50</v>
      </c>
      <c r="G5" s="7">
        <v>25311692800</v>
      </c>
      <c r="H5" s="6">
        <v>61.78</v>
      </c>
      <c r="I5" s="6">
        <v>52.15</v>
      </c>
      <c r="J5" s="12">
        <f t="shared" si="0"/>
        <v>2.8763183125599667E-3</v>
      </c>
      <c r="K5" s="11">
        <v>4.2065009560229454E-2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0.11997231337472924</v>
      </c>
      <c r="Q5" s="12">
        <v>2.4700897903693781</v>
      </c>
      <c r="R5" s="14">
        <v>4</v>
      </c>
    </row>
    <row r="6" spans="2:22" x14ac:dyDescent="0.5">
      <c r="B6" s="1" t="s">
        <v>488</v>
      </c>
      <c r="C6" t="s">
        <v>522</v>
      </c>
      <c r="D6" t="s">
        <v>78</v>
      </c>
      <c r="E6">
        <v>12.49</v>
      </c>
      <c r="F6" s="9" t="s">
        <v>50</v>
      </c>
      <c r="G6" s="7">
        <v>165600690176</v>
      </c>
      <c r="H6" s="6">
        <v>15.35</v>
      </c>
      <c r="I6" s="6">
        <v>9.42</v>
      </c>
      <c r="J6" s="12">
        <f t="shared" si="0"/>
        <v>0.32590233545647562</v>
      </c>
      <c r="K6" s="11">
        <v>3.394715772618094E-2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0.16419064892200391</v>
      </c>
      <c r="Q6" s="12">
        <v>0.15266623500015464</v>
      </c>
      <c r="R6" s="14">
        <v>5</v>
      </c>
    </row>
    <row r="7" spans="2:22" x14ac:dyDescent="0.5">
      <c r="B7" s="1" t="s">
        <v>510</v>
      </c>
      <c r="C7" t="s">
        <v>549</v>
      </c>
      <c r="D7" t="s">
        <v>96</v>
      </c>
      <c r="E7">
        <v>5.13</v>
      </c>
      <c r="F7" s="9" t="s">
        <v>50</v>
      </c>
      <c r="G7" s="7">
        <v>160386514944</v>
      </c>
      <c r="H7" s="6">
        <v>6.93</v>
      </c>
      <c r="I7" s="6">
        <v>4.7</v>
      </c>
      <c r="J7" s="12">
        <f t="shared" si="0"/>
        <v>9.1489361702127514E-2</v>
      </c>
      <c r="K7" s="11">
        <v>3.3918128654970757E-2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0.17158930852129639</v>
      </c>
      <c r="Q7" s="12">
        <v>0.15030196783509336</v>
      </c>
      <c r="R7" s="14">
        <v>5</v>
      </c>
    </row>
    <row r="8" spans="2:22" x14ac:dyDescent="0.5">
      <c r="B8" s="1" t="s">
        <v>348</v>
      </c>
      <c r="C8" t="s">
        <v>369</v>
      </c>
      <c r="D8" t="s">
        <v>58</v>
      </c>
      <c r="E8">
        <v>61.61</v>
      </c>
      <c r="F8" s="9" t="s">
        <v>50</v>
      </c>
      <c r="G8" s="7">
        <v>92812083200</v>
      </c>
      <c r="H8" s="6">
        <v>81.709999999999994</v>
      </c>
      <c r="I8" s="6">
        <v>60.65</v>
      </c>
      <c r="J8" s="12">
        <f t="shared" si="0"/>
        <v>1.5828524319868142E-2</v>
      </c>
      <c r="K8" s="11">
        <v>3.7607531244927772E-2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0.12861381839808311</v>
      </c>
      <c r="Q8" s="12">
        <v>0.177326845853752</v>
      </c>
      <c r="R8" s="14">
        <v>6</v>
      </c>
    </row>
    <row r="9" spans="2:22" x14ac:dyDescent="0.5">
      <c r="B9" s="1" t="s">
        <v>485</v>
      </c>
      <c r="C9" t="s">
        <v>519</v>
      </c>
      <c r="D9" t="s">
        <v>233</v>
      </c>
      <c r="E9">
        <v>9.9700000000000006</v>
      </c>
      <c r="F9" s="9" t="s">
        <v>50</v>
      </c>
      <c r="G9" s="7">
        <v>1824719241216</v>
      </c>
      <c r="H9" s="6">
        <v>10.47</v>
      </c>
      <c r="I9" s="6">
        <v>7.33</v>
      </c>
      <c r="J9" s="12">
        <f t="shared" si="0"/>
        <v>0.36016371077762632</v>
      </c>
      <c r="K9" s="11">
        <v>4.714142427281845E-2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0.13350454647332527</v>
      </c>
      <c r="Q9" s="12">
        <v>0.15802899605760642</v>
      </c>
      <c r="R9" s="14">
        <v>6</v>
      </c>
    </row>
    <row r="10" spans="2:22" x14ac:dyDescent="0.5">
      <c r="B10" s="1" t="s">
        <v>487</v>
      </c>
      <c r="C10" t="s">
        <v>521</v>
      </c>
      <c r="D10" t="s">
        <v>78</v>
      </c>
      <c r="E10">
        <v>40.35</v>
      </c>
      <c r="F10" s="9" t="s">
        <v>50</v>
      </c>
      <c r="G10" s="7">
        <v>801694744576</v>
      </c>
      <c r="H10" s="6">
        <v>44.39</v>
      </c>
      <c r="I10" s="6">
        <v>34.78</v>
      </c>
      <c r="J10" s="12">
        <f t="shared" si="0"/>
        <v>0.16014951121334109</v>
      </c>
      <c r="K10" s="11">
        <v>5.6009913258983884E-2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0.1259066163421394</v>
      </c>
      <c r="Q10" s="12">
        <v>0.19365416397605262</v>
      </c>
      <c r="R10" s="14">
        <v>6</v>
      </c>
    </row>
    <row r="11" spans="2:22" x14ac:dyDescent="0.5">
      <c r="B11" s="1" t="s">
        <v>13</v>
      </c>
      <c r="C11" t="s">
        <v>59</v>
      </c>
      <c r="D11" t="s">
        <v>60</v>
      </c>
      <c r="E11">
        <v>11.35</v>
      </c>
      <c r="F11" s="9" t="s">
        <v>50</v>
      </c>
      <c r="G11" s="7">
        <v>20384600064</v>
      </c>
      <c r="H11" s="6">
        <v>15.58</v>
      </c>
      <c r="I11" s="6">
        <v>10.91</v>
      </c>
      <c r="J11" s="12">
        <f t="shared" si="0"/>
        <v>4.0329972502291422E-2</v>
      </c>
      <c r="K11" s="11">
        <v>4.8458149779735692E-2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0.22427914951332933</v>
      </c>
      <c r="Q11" s="12">
        <v>0.11487361117809598</v>
      </c>
      <c r="R11" s="14">
        <v>7</v>
      </c>
    </row>
    <row r="12" spans="2:22" x14ac:dyDescent="0.5">
      <c r="B12" s="1" t="s">
        <v>14</v>
      </c>
      <c r="C12" t="s">
        <v>61</v>
      </c>
      <c r="D12" t="s">
        <v>60</v>
      </c>
      <c r="E12">
        <v>11.78</v>
      </c>
      <c r="F12" s="9" t="s">
        <v>50</v>
      </c>
      <c r="G12" s="7">
        <v>12053340160</v>
      </c>
      <c r="H12" s="6">
        <v>14.08</v>
      </c>
      <c r="I12" s="6">
        <v>10.33</v>
      </c>
      <c r="J12" s="12">
        <f t="shared" si="0"/>
        <v>0.14036786060019346</v>
      </c>
      <c r="K12" s="11">
        <v>5.0933786078098474E-2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0.19165708077888621</v>
      </c>
      <c r="Q12" s="12">
        <v>0.11527544475940803</v>
      </c>
      <c r="R12" s="14">
        <v>7</v>
      </c>
    </row>
    <row r="13" spans="2:22" x14ac:dyDescent="0.5">
      <c r="B13" s="1" t="s">
        <v>504</v>
      </c>
      <c r="C13" t="s">
        <v>542</v>
      </c>
      <c r="D13" t="s">
        <v>300</v>
      </c>
      <c r="E13">
        <v>7.55</v>
      </c>
      <c r="F13" s="9" t="s">
        <v>50</v>
      </c>
      <c r="G13" s="7">
        <v>46106927104</v>
      </c>
      <c r="H13" s="6">
        <v>8.4</v>
      </c>
      <c r="I13" s="6">
        <v>6.57</v>
      </c>
      <c r="J13" s="12">
        <f t="shared" si="0"/>
        <v>0.1491628614916285</v>
      </c>
      <c r="K13" s="11">
        <v>3.7880794701986756E-2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0.84481246281680844</v>
      </c>
      <c r="Q13" s="12">
        <v>0.10659269185896057</v>
      </c>
      <c r="R13" s="14">
        <v>8</v>
      </c>
    </row>
    <row r="14" spans="2:22" x14ac:dyDescent="0.5">
      <c r="B14" s="1" t="s">
        <v>11</v>
      </c>
      <c r="C14" t="s">
        <v>56</v>
      </c>
      <c r="D14" t="s">
        <v>49</v>
      </c>
      <c r="E14">
        <v>10</v>
      </c>
      <c r="F14" s="9" t="s">
        <v>50</v>
      </c>
      <c r="G14" s="7">
        <v>17234743296</v>
      </c>
      <c r="H14" s="6">
        <v>10.64</v>
      </c>
      <c r="I14" s="6">
        <v>7.65</v>
      </c>
      <c r="J14" s="12">
        <f t="shared" si="0"/>
        <v>0.30718954248366015</v>
      </c>
      <c r="K14" s="11">
        <v>4.2999999999999997E-2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0.14963710519713164</v>
      </c>
      <c r="Q14" s="12">
        <v>0.1287769864044232</v>
      </c>
      <c r="R14" s="14">
        <v>9</v>
      </c>
    </row>
    <row r="15" spans="2:22" x14ac:dyDescent="0.5">
      <c r="B15" s="1" t="s">
        <v>507</v>
      </c>
      <c r="C15" t="s">
        <v>545</v>
      </c>
      <c r="D15" t="s">
        <v>546</v>
      </c>
      <c r="E15">
        <v>12.96</v>
      </c>
      <c r="F15" s="9" t="s">
        <v>50</v>
      </c>
      <c r="G15" s="7">
        <v>222336991232</v>
      </c>
      <c r="H15" s="6">
        <v>13.3</v>
      </c>
      <c r="I15" s="6">
        <v>5.96</v>
      </c>
      <c r="J15" s="12">
        <f t="shared" si="0"/>
        <v>1.174496644295302</v>
      </c>
      <c r="K15" s="11">
        <v>1.0416666666666666E-2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8.7188525342980938E-2</v>
      </c>
      <c r="Q15" s="12">
        <v>0.19802990067151485</v>
      </c>
      <c r="R15" s="14">
        <v>11</v>
      </c>
    </row>
    <row r="16" spans="2:22" x14ac:dyDescent="0.5">
      <c r="B16" s="1" t="s">
        <v>350</v>
      </c>
      <c r="C16" t="s">
        <v>371</v>
      </c>
      <c r="D16" t="s">
        <v>85</v>
      </c>
      <c r="E16">
        <v>22.17</v>
      </c>
      <c r="F16" s="9" t="s">
        <v>50</v>
      </c>
      <c r="G16" s="7">
        <v>11214809088</v>
      </c>
      <c r="H16" s="6">
        <v>29.23</v>
      </c>
      <c r="I16" s="6">
        <v>20.87</v>
      </c>
      <c r="J16" s="12">
        <f t="shared" si="0"/>
        <v>6.2290368950646879E-2</v>
      </c>
      <c r="K16" s="11">
        <v>4.5105999097880017E-2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0.12737954897292222</v>
      </c>
      <c r="Q16" s="12">
        <v>0.14359699139283291</v>
      </c>
      <c r="R16" s="14">
        <v>10</v>
      </c>
    </row>
    <row r="17" spans="2:18" x14ac:dyDescent="0.5">
      <c r="B17" s="1" t="s">
        <v>352</v>
      </c>
      <c r="C17" t="s">
        <v>373</v>
      </c>
      <c r="D17" t="s">
        <v>150</v>
      </c>
      <c r="E17">
        <v>19.78</v>
      </c>
      <c r="F17" s="9" t="s">
        <v>50</v>
      </c>
      <c r="G17" s="7">
        <v>19924049920</v>
      </c>
      <c r="H17" s="6">
        <v>25.2</v>
      </c>
      <c r="I17" s="6">
        <v>18.559999999999999</v>
      </c>
      <c r="J17" s="12">
        <f t="shared" si="0"/>
        <v>6.5732758620689724E-2</v>
      </c>
      <c r="K17" s="11">
        <v>5.5611729019211326E-2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9.8858134523440444E-2</v>
      </c>
      <c r="Q17" s="12">
        <v>0.15707734987937541</v>
      </c>
      <c r="R17" s="14">
        <v>12</v>
      </c>
    </row>
    <row r="18" spans="2:18" x14ac:dyDescent="0.5">
      <c r="B18" s="1" t="s">
        <v>346</v>
      </c>
      <c r="C18" t="s">
        <v>367</v>
      </c>
      <c r="D18" t="s">
        <v>81</v>
      </c>
      <c r="E18">
        <v>57.15</v>
      </c>
      <c r="F18" s="9" t="s">
        <v>50</v>
      </c>
      <c r="G18" s="7">
        <v>28937781248</v>
      </c>
      <c r="H18" s="6">
        <v>71.2</v>
      </c>
      <c r="I18" s="6">
        <v>39.03</v>
      </c>
      <c r="J18" s="12">
        <f t="shared" si="0"/>
        <v>0.46425826287471161</v>
      </c>
      <c r="K18" s="11">
        <v>1.7497812773403325E-2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7.8097374964098368E-2</v>
      </c>
      <c r="Q18" s="12">
        <v>0.18520750257426369</v>
      </c>
      <c r="R18" s="14">
        <v>14</v>
      </c>
    </row>
    <row r="19" spans="2:18" x14ac:dyDescent="0.5">
      <c r="B19" s="1" t="s">
        <v>494</v>
      </c>
      <c r="C19" t="s">
        <v>531</v>
      </c>
      <c r="D19" t="s">
        <v>311</v>
      </c>
      <c r="E19">
        <v>6.01</v>
      </c>
      <c r="F19" s="9" t="s">
        <v>50</v>
      </c>
      <c r="G19" s="7">
        <v>43110780928</v>
      </c>
      <c r="H19" s="6">
        <v>7.95</v>
      </c>
      <c r="I19" s="6">
        <v>4.62</v>
      </c>
      <c r="J19" s="12">
        <f t="shared" si="0"/>
        <v>0.30086580086580073</v>
      </c>
      <c r="K19" s="11">
        <v>4.8252911813643926E-2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0.13086358864226033</v>
      </c>
      <c r="Q19" s="12">
        <v>0.11149337666251874</v>
      </c>
      <c r="R19" s="14">
        <v>13</v>
      </c>
    </row>
    <row r="20" spans="2:18" x14ac:dyDescent="0.5">
      <c r="B20" s="1" t="s">
        <v>347</v>
      </c>
      <c r="C20" t="s">
        <v>368</v>
      </c>
      <c r="D20" t="s">
        <v>320</v>
      </c>
      <c r="E20">
        <v>5.58</v>
      </c>
      <c r="F20" s="9" t="s">
        <v>50</v>
      </c>
      <c r="G20" s="7">
        <v>24671160320</v>
      </c>
      <c r="H20" s="6">
        <v>6.39</v>
      </c>
      <c r="I20" s="6">
        <v>4.96</v>
      </c>
      <c r="J20" s="12">
        <f t="shared" si="0"/>
        <v>0.125</v>
      </c>
      <c r="K20" s="11">
        <v>3.602150537634409E-2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0.13599042117049959</v>
      </c>
      <c r="Q20" s="12">
        <v>0.10219141995145171</v>
      </c>
      <c r="R20" s="14">
        <v>14</v>
      </c>
    </row>
    <row r="21" spans="2:18" x14ac:dyDescent="0.5">
      <c r="B21" s="1" t="s">
        <v>349</v>
      </c>
      <c r="C21" t="s">
        <v>370</v>
      </c>
      <c r="D21" t="s">
        <v>60</v>
      </c>
      <c r="E21">
        <v>9.33</v>
      </c>
      <c r="F21" s="9" t="s">
        <v>50</v>
      </c>
      <c r="G21" s="7">
        <v>12758822912</v>
      </c>
      <c r="H21" s="6">
        <v>12.85</v>
      </c>
      <c r="I21" s="6">
        <v>9.19</v>
      </c>
      <c r="J21" s="12">
        <f t="shared" si="0"/>
        <v>1.5233949945593128E-2</v>
      </c>
      <c r="K21" s="11">
        <v>4.2872454448017148E-2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0.26488553517742491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8.9700000000000006</v>
      </c>
      <c r="F22" s="9" t="s">
        <v>50</v>
      </c>
      <c r="G22" s="7">
        <v>10886444032</v>
      </c>
      <c r="H22" s="6">
        <v>10.07</v>
      </c>
      <c r="I22" s="6">
        <v>8.15</v>
      </c>
      <c r="J22" s="12">
        <f t="shared" si="0"/>
        <v>0.10061349693251542</v>
      </c>
      <c r="K22" s="11">
        <v>4.5707915273132657E-2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0.11650534576095875</v>
      </c>
      <c r="Q22" s="12">
        <v>0.1128187617835559</v>
      </c>
      <c r="R22" s="14">
        <v>16</v>
      </c>
    </row>
    <row r="23" spans="2:18" x14ac:dyDescent="0.5">
      <c r="B23" s="1" t="s">
        <v>479</v>
      </c>
      <c r="C23" t="s">
        <v>513</v>
      </c>
      <c r="D23" t="s">
        <v>300</v>
      </c>
      <c r="E23">
        <v>5.12</v>
      </c>
      <c r="F23" s="9" t="s">
        <v>50</v>
      </c>
      <c r="G23" s="7">
        <v>211560398848</v>
      </c>
      <c r="H23" s="6">
        <v>6.2</v>
      </c>
      <c r="I23" s="6">
        <v>4.96</v>
      </c>
      <c r="J23" s="12">
        <f t="shared" si="0"/>
        <v>3.2258064516129004E-2</v>
      </c>
      <c r="K23" s="11">
        <v>5.3125000000000006E-2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0.15652767481068769</v>
      </c>
      <c r="Q23" s="12">
        <v>8.4831044736499703E-2</v>
      </c>
      <c r="R23" s="14">
        <v>16</v>
      </c>
    </row>
    <row r="24" spans="2:18" x14ac:dyDescent="0.5">
      <c r="B24" s="1" t="s">
        <v>508</v>
      </c>
      <c r="C24" t="s">
        <v>547</v>
      </c>
      <c r="D24" t="s">
        <v>96</v>
      </c>
      <c r="E24">
        <v>100.47</v>
      </c>
      <c r="F24" s="9" t="s">
        <v>50</v>
      </c>
      <c r="G24" s="7">
        <v>2171312930816</v>
      </c>
      <c r="H24" s="6">
        <v>118.68</v>
      </c>
      <c r="I24" s="6">
        <v>100</v>
      </c>
      <c r="J24" s="12">
        <f t="shared" si="0"/>
        <v>4.6999999999999265E-3</v>
      </c>
      <c r="K24" s="11">
        <v>4.9288344779536183E-2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8.6724343662841E-2</v>
      </c>
      <c r="Q24" s="12">
        <v>0.13036050895381715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12.43</v>
      </c>
      <c r="F25" s="9" t="s">
        <v>50</v>
      </c>
      <c r="G25" s="7">
        <v>4394291200</v>
      </c>
      <c r="H25" s="6">
        <v>15.53</v>
      </c>
      <c r="I25" s="6">
        <v>10.66</v>
      </c>
      <c r="J25" s="12">
        <f t="shared" si="0"/>
        <v>0.16604127579737327</v>
      </c>
      <c r="K25" s="11">
        <v>3.8616251005631534E-2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9.7839305346834063E-2</v>
      </c>
      <c r="Q25" s="12">
        <v>0.12344330708657501</v>
      </c>
      <c r="R25" s="14">
        <v>17</v>
      </c>
    </row>
    <row r="26" spans="2:18" x14ac:dyDescent="0.5">
      <c r="B26" s="1" t="s">
        <v>16</v>
      </c>
      <c r="C26" t="s">
        <v>63</v>
      </c>
      <c r="D26" t="s">
        <v>60</v>
      </c>
      <c r="E26">
        <v>8.08</v>
      </c>
      <c r="F26" s="9" t="s">
        <v>50</v>
      </c>
      <c r="G26" s="7">
        <v>17955555328</v>
      </c>
      <c r="H26" s="6">
        <v>10.28</v>
      </c>
      <c r="I26" s="6">
        <v>7.15</v>
      </c>
      <c r="J26" s="12">
        <f t="shared" si="0"/>
        <v>0.13006993006992995</v>
      </c>
      <c r="K26" s="11">
        <v>4.9504950495049507E-2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0.1134607481345031</v>
      </c>
      <c r="Q26" s="12">
        <v>9.9124832291360196E-2</v>
      </c>
      <c r="R26" s="14">
        <v>22</v>
      </c>
    </row>
    <row r="27" spans="2:18" x14ac:dyDescent="0.5">
      <c r="B27" s="1" t="s">
        <v>10</v>
      </c>
      <c r="C27" t="s">
        <v>54</v>
      </c>
      <c r="D27" t="s">
        <v>55</v>
      </c>
      <c r="E27">
        <v>113.9</v>
      </c>
      <c r="F27" s="9" t="s">
        <v>50</v>
      </c>
      <c r="G27" s="7">
        <v>61068349440</v>
      </c>
      <c r="H27" s="6">
        <v>149.5</v>
      </c>
      <c r="I27" s="6">
        <v>69.98</v>
      </c>
      <c r="J27" s="12">
        <f t="shared" si="0"/>
        <v>0.62760788796799094</v>
      </c>
      <c r="K27" s="11">
        <v>1.8437225636523266E-2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3.907500125038655E-2</v>
      </c>
      <c r="Q27" s="12">
        <v>0.22747360748931247</v>
      </c>
      <c r="R27" s="14">
        <v>19</v>
      </c>
    </row>
    <row r="28" spans="2:18" x14ac:dyDescent="0.5">
      <c r="B28" s="1" t="s">
        <v>553</v>
      </c>
      <c r="C28" t="s">
        <v>562</v>
      </c>
      <c r="D28" t="s">
        <v>446</v>
      </c>
      <c r="E28">
        <v>5.5</v>
      </c>
      <c r="F28" s="9" t="s">
        <v>50</v>
      </c>
      <c r="G28" s="7">
        <v>58244005888</v>
      </c>
      <c r="H28" s="6">
        <v>6.05</v>
      </c>
      <c r="I28" s="6">
        <v>4.8499999999999996</v>
      </c>
      <c r="J28" s="12">
        <f t="shared" si="0"/>
        <v>0.13402061855670122</v>
      </c>
      <c r="K28" s="11">
        <v>3.090909090909091E-2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0.11625082227779968</v>
      </c>
      <c r="Q28" s="12">
        <v>8.9592613512238767E-2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154.65</v>
      </c>
      <c r="F29" s="9" t="s">
        <v>50</v>
      </c>
      <c r="G29" s="7">
        <v>40070799360</v>
      </c>
      <c r="H29" s="6">
        <v>222.1</v>
      </c>
      <c r="I29" s="6">
        <v>123.57143000000001</v>
      </c>
      <c r="J29" s="12">
        <f t="shared" si="0"/>
        <v>0.25150287570516894</v>
      </c>
      <c r="K29" s="11">
        <v>4.9401875202069187E-3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5.4320531741670224E-2</v>
      </c>
      <c r="Q29" s="12">
        <v>0.16379150253744434</v>
      </c>
      <c r="R29" s="14">
        <v>21</v>
      </c>
    </row>
    <row r="30" spans="2:18" x14ac:dyDescent="0.5">
      <c r="B30" s="1" t="s">
        <v>500</v>
      </c>
      <c r="C30" t="s">
        <v>538</v>
      </c>
      <c r="D30" t="s">
        <v>534</v>
      </c>
      <c r="E30">
        <v>58.28</v>
      </c>
      <c r="F30" s="9" t="s">
        <v>50</v>
      </c>
      <c r="G30" s="7">
        <v>165229314048</v>
      </c>
      <c r="H30" s="6">
        <v>73.66</v>
      </c>
      <c r="I30" s="6">
        <v>39.06</v>
      </c>
      <c r="J30" s="12">
        <f t="shared" si="0"/>
        <v>0.49206349206349209</v>
      </c>
      <c r="K30" s="11">
        <v>4.4612216884008238E-3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2.5220853795278015E-2</v>
      </c>
      <c r="Q30" s="12">
        <v>0.22948707352964048</v>
      </c>
      <c r="R30" s="14">
        <v>22</v>
      </c>
    </row>
    <row r="31" spans="2:18" x14ac:dyDescent="0.5">
      <c r="B31" s="1" t="s">
        <v>503</v>
      </c>
      <c r="C31" t="s">
        <v>541</v>
      </c>
      <c r="D31" t="s">
        <v>102</v>
      </c>
      <c r="E31">
        <v>36.06</v>
      </c>
      <c r="F31" s="9" t="s">
        <v>50</v>
      </c>
      <c r="G31" s="7">
        <v>76384862208</v>
      </c>
      <c r="H31" s="6">
        <v>44</v>
      </c>
      <c r="I31" s="6">
        <v>32.17</v>
      </c>
      <c r="J31" s="12">
        <f t="shared" si="0"/>
        <v>0.12092011190550211</v>
      </c>
      <c r="K31" s="11">
        <v>2.2185246810870772E-2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5.5311300264373642E-2</v>
      </c>
      <c r="Q31" s="12">
        <v>0.1533648883104953</v>
      </c>
      <c r="R31" s="14">
        <v>23</v>
      </c>
    </row>
    <row r="32" spans="2:18" x14ac:dyDescent="0.5">
      <c r="B32" s="1" t="s">
        <v>492</v>
      </c>
      <c r="C32" t="s">
        <v>528</v>
      </c>
      <c r="D32" t="s">
        <v>446</v>
      </c>
      <c r="E32">
        <v>6.85</v>
      </c>
      <c r="F32" s="9" t="s">
        <v>50</v>
      </c>
      <c r="G32" s="7">
        <v>196587208704</v>
      </c>
      <c r="H32" s="6">
        <v>8.23</v>
      </c>
      <c r="I32" s="6">
        <v>6.26</v>
      </c>
      <c r="J32" s="12">
        <f t="shared" si="0"/>
        <v>9.4249201277955219E-2</v>
      </c>
      <c r="K32" s="11">
        <v>3.0656934306569343E-2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0.11745982165893018</v>
      </c>
      <c r="Q32" s="12">
        <v>9.6340651555626933E-2</v>
      </c>
      <c r="R32" s="14">
        <v>20</v>
      </c>
    </row>
    <row r="33" spans="2:18" x14ac:dyDescent="0.5">
      <c r="B33" s="1" t="s">
        <v>509</v>
      </c>
      <c r="C33" t="s">
        <v>548</v>
      </c>
      <c r="D33" t="s">
        <v>96</v>
      </c>
      <c r="E33">
        <v>6.31</v>
      </c>
      <c r="F33" s="9" t="s">
        <v>50</v>
      </c>
      <c r="G33" s="7">
        <v>577410039808</v>
      </c>
      <c r="H33" s="6">
        <v>8.61</v>
      </c>
      <c r="I33" s="6">
        <v>6.22</v>
      </c>
      <c r="J33" s="12">
        <f t="shared" si="0"/>
        <v>1.4469453376205754E-2</v>
      </c>
      <c r="K33" s="11">
        <v>6.988906497622821E-2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8.0157059874714026E-2</v>
      </c>
      <c r="Q33" s="12">
        <v>9.605709580489824E-2</v>
      </c>
      <c r="R33" s="14">
        <v>25</v>
      </c>
    </row>
    <row r="34" spans="2:18" x14ac:dyDescent="0.5">
      <c r="B34" s="1" t="s">
        <v>559</v>
      </c>
      <c r="C34" t="s">
        <v>570</v>
      </c>
      <c r="D34" t="s">
        <v>423</v>
      </c>
      <c r="E34">
        <v>38.25</v>
      </c>
      <c r="F34" s="9" t="s">
        <v>50</v>
      </c>
      <c r="G34" s="7">
        <v>182970220544</v>
      </c>
      <c r="H34" s="6">
        <v>55.85</v>
      </c>
      <c r="I34" s="6">
        <v>28.67</v>
      </c>
      <c r="J34" s="12">
        <f t="shared" ref="J34:J65" si="1">E34/I34-1</f>
        <v>0.33414719218695499</v>
      </c>
      <c r="K34" s="11">
        <v>1.6130718954248367E-2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6.4107089779803048E-2</v>
      </c>
      <c r="Q34" s="12">
        <v>0.10149474118952166</v>
      </c>
      <c r="R34" s="14">
        <v>26</v>
      </c>
    </row>
    <row r="35" spans="2:18" x14ac:dyDescent="0.5">
      <c r="B35" s="1" t="s">
        <v>486</v>
      </c>
      <c r="C35" t="s">
        <v>520</v>
      </c>
      <c r="D35" t="s">
        <v>233</v>
      </c>
      <c r="E35">
        <v>6.1</v>
      </c>
      <c r="F35" s="9" t="s">
        <v>50</v>
      </c>
      <c r="G35" s="7">
        <v>737945255936</v>
      </c>
      <c r="H35" s="6">
        <v>6.7</v>
      </c>
      <c r="I35" s="6">
        <v>5.25</v>
      </c>
      <c r="J35" s="12">
        <f t="shared" si="1"/>
        <v>0.16190476190476177</v>
      </c>
      <c r="K35" s="11">
        <v>3.7377049180327873E-2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7.7484178366731549E-2</v>
      </c>
      <c r="Q35" s="12">
        <v>7.7731447341958845E-2</v>
      </c>
      <c r="R35" s="14">
        <v>28</v>
      </c>
    </row>
    <row r="36" spans="2:18" x14ac:dyDescent="0.5">
      <c r="B36" s="1" t="s">
        <v>482</v>
      </c>
      <c r="C36" t="s">
        <v>516</v>
      </c>
      <c r="D36" t="s">
        <v>300</v>
      </c>
      <c r="E36">
        <v>8.24</v>
      </c>
      <c r="F36" s="9" t="s">
        <v>50</v>
      </c>
      <c r="G36" s="7">
        <v>133893939200</v>
      </c>
      <c r="H36" s="6">
        <v>10.6</v>
      </c>
      <c r="I36" s="6">
        <v>8.1999999999999993</v>
      </c>
      <c r="J36" s="12">
        <f t="shared" si="1"/>
        <v>4.8780487804878092E-3</v>
      </c>
      <c r="K36" s="11">
        <v>3.398058252427185E-2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9.6466780579763031E-2</v>
      </c>
      <c r="Q36" s="12">
        <v>6.4021546472295382E-2</v>
      </c>
      <c r="R36" s="14">
        <v>27</v>
      </c>
    </row>
    <row r="37" spans="2:18" x14ac:dyDescent="0.5">
      <c r="B37" s="1" t="s">
        <v>491</v>
      </c>
      <c r="C37" t="s">
        <v>526</v>
      </c>
      <c r="D37" t="s">
        <v>527</v>
      </c>
      <c r="E37">
        <v>27.22</v>
      </c>
      <c r="F37" s="9" t="s">
        <v>50</v>
      </c>
      <c r="G37" s="7">
        <v>666024869888</v>
      </c>
      <c r="H37" s="6">
        <v>31.19</v>
      </c>
      <c r="I37" s="6">
        <v>26.98</v>
      </c>
      <c r="J37" s="12">
        <f t="shared" si="1"/>
        <v>8.8954781319494636E-3</v>
      </c>
      <c r="K37" s="11">
        <v>3.464364437913299E-2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5.2448503118392963E-2</v>
      </c>
      <c r="Q37" s="12">
        <v>0.10903449769524313</v>
      </c>
      <c r="R37" s="14">
        <v>27</v>
      </c>
    </row>
    <row r="38" spans="2:18" x14ac:dyDescent="0.5">
      <c r="B38" s="1" t="s">
        <v>481</v>
      </c>
      <c r="C38" t="s">
        <v>515</v>
      </c>
      <c r="D38" t="s">
        <v>300</v>
      </c>
      <c r="E38">
        <v>7.7</v>
      </c>
      <c r="F38" s="9" t="s">
        <v>50</v>
      </c>
      <c r="G38" s="7">
        <v>104562466816</v>
      </c>
      <c r="H38" s="6">
        <v>8.93</v>
      </c>
      <c r="I38" s="6">
        <v>7.29</v>
      </c>
      <c r="J38" s="12">
        <f t="shared" si="1"/>
        <v>5.6241426611796985E-2</v>
      </c>
      <c r="K38" s="11">
        <v>3.896103896103896E-2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0.10086478247626005</v>
      </c>
      <c r="Q38" s="12">
        <v>5.643429507724386E-2</v>
      </c>
      <c r="R38" s="14">
        <v>28</v>
      </c>
    </row>
    <row r="39" spans="2:18" x14ac:dyDescent="0.5">
      <c r="B39" s="1" t="s">
        <v>552</v>
      </c>
      <c r="C39" t="s">
        <v>561</v>
      </c>
      <c r="D39" t="s">
        <v>524</v>
      </c>
      <c r="E39">
        <v>3.76</v>
      </c>
      <c r="F39" s="9" t="s">
        <v>50</v>
      </c>
      <c r="G39" s="7">
        <v>189874765824</v>
      </c>
      <c r="H39" s="6">
        <v>4.2</v>
      </c>
      <c r="I39" s="6">
        <v>3.33</v>
      </c>
      <c r="J39" s="12">
        <f t="shared" si="1"/>
        <v>0.12912912912912899</v>
      </c>
      <c r="K39" s="11">
        <v>2.5265957446808512E-2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7.0445329413794694E-2</v>
      </c>
      <c r="Q39" s="12">
        <v>8.2400077232001614E-2</v>
      </c>
      <c r="R39" s="14">
        <v>29</v>
      </c>
    </row>
    <row r="40" spans="2:18" x14ac:dyDescent="0.5">
      <c r="B40" s="1" t="s">
        <v>353</v>
      </c>
      <c r="C40" t="s">
        <v>374</v>
      </c>
      <c r="D40" t="s">
        <v>246</v>
      </c>
      <c r="E40">
        <v>16.239999999999998</v>
      </c>
      <c r="F40" s="9" t="s">
        <v>50</v>
      </c>
      <c r="G40" s="7">
        <v>4739731968</v>
      </c>
      <c r="H40" s="6">
        <v>18.8</v>
      </c>
      <c r="I40" s="6">
        <v>11.95</v>
      </c>
      <c r="J40" s="12">
        <f t="shared" si="1"/>
        <v>0.35899581589958163</v>
      </c>
      <c r="K40" s="11">
        <v>2.4630541871921187E-2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5.7278494420736563E-2</v>
      </c>
      <c r="Q40" s="12">
        <v>8.957258997528339E-2</v>
      </c>
      <c r="R40" s="14">
        <v>30</v>
      </c>
    </row>
    <row r="41" spans="2:18" x14ac:dyDescent="0.5">
      <c r="B41" s="1" t="s">
        <v>511</v>
      </c>
      <c r="C41" t="s">
        <v>550</v>
      </c>
      <c r="D41" t="s">
        <v>178</v>
      </c>
      <c r="E41">
        <v>87.66</v>
      </c>
      <c r="F41" s="9" t="s">
        <v>50</v>
      </c>
      <c r="G41" s="7">
        <v>128256737280</v>
      </c>
      <c r="H41" s="6">
        <v>128.12</v>
      </c>
      <c r="I41" s="6">
        <v>58.7</v>
      </c>
      <c r="J41" s="12">
        <f t="shared" si="1"/>
        <v>0.49335604770017016</v>
      </c>
      <c r="K41" s="11">
        <v>3.878621948437144E-3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1.9156523963736075E-2</v>
      </c>
      <c r="Q41" s="12">
        <v>0.11449515815702964</v>
      </c>
      <c r="R41" s="14">
        <v>31</v>
      </c>
    </row>
    <row r="42" spans="2:18" x14ac:dyDescent="0.5">
      <c r="B42" s="1" t="s">
        <v>483</v>
      </c>
      <c r="C42" t="s">
        <v>517</v>
      </c>
      <c r="D42" t="s">
        <v>300</v>
      </c>
      <c r="E42">
        <v>5.21</v>
      </c>
      <c r="F42" s="9" t="s">
        <v>50</v>
      </c>
      <c r="G42" s="7">
        <v>89748291584</v>
      </c>
      <c r="H42" s="6">
        <v>7.84</v>
      </c>
      <c r="I42" s="6">
        <v>4.38</v>
      </c>
      <c r="J42" s="12">
        <f t="shared" si="1"/>
        <v>0.18949771689497719</v>
      </c>
      <c r="K42" s="11">
        <v>2.4376199616122841E-2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7.710935612313484E-2</v>
      </c>
      <c r="Q42" s="12">
        <v>5.8266799805430196E-2</v>
      </c>
      <c r="R42" s="14">
        <v>32</v>
      </c>
    </row>
    <row r="43" spans="2:18" x14ac:dyDescent="0.5">
      <c r="B43" s="1" t="s">
        <v>489</v>
      </c>
      <c r="C43" t="s">
        <v>523</v>
      </c>
      <c r="D43" t="s">
        <v>524</v>
      </c>
      <c r="E43">
        <v>7.38</v>
      </c>
      <c r="F43" s="9" t="s">
        <v>50</v>
      </c>
      <c r="G43" s="7">
        <v>115851927552</v>
      </c>
      <c r="H43" s="6">
        <v>8.49</v>
      </c>
      <c r="I43" s="6">
        <v>6.15</v>
      </c>
      <c r="J43" s="12">
        <f t="shared" si="1"/>
        <v>0.19999999999999996</v>
      </c>
      <c r="K43" s="11">
        <v>3.6585365853658541E-2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6.5666768902637229E-2</v>
      </c>
      <c r="Q43" s="12">
        <v>6.6740977866165369E-2</v>
      </c>
      <c r="R43" s="14">
        <v>32</v>
      </c>
    </row>
    <row r="44" spans="2:18" x14ac:dyDescent="0.5">
      <c r="B44" s="1" t="s">
        <v>9</v>
      </c>
      <c r="C44" t="s">
        <v>52</v>
      </c>
      <c r="D44" t="s">
        <v>53</v>
      </c>
      <c r="E44">
        <v>82.38</v>
      </c>
      <c r="F44" s="9" t="s">
        <v>50</v>
      </c>
      <c r="G44" s="7">
        <v>47691534336</v>
      </c>
      <c r="H44" s="6">
        <v>111.69</v>
      </c>
      <c r="I44" s="6">
        <v>42.3</v>
      </c>
      <c r="J44" s="12">
        <f t="shared" si="1"/>
        <v>0.94751773049645394</v>
      </c>
      <c r="K44" s="11">
        <v>5.4624908958485078E-3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2.1076368321584094E-2</v>
      </c>
      <c r="Q44" s="12">
        <v>0.10362091390188061</v>
      </c>
      <c r="R44" s="14">
        <v>33</v>
      </c>
    </row>
    <row r="45" spans="2:18" x14ac:dyDescent="0.5">
      <c r="B45" s="1" t="s">
        <v>480</v>
      </c>
      <c r="C45" t="s">
        <v>514</v>
      </c>
      <c r="D45" t="s">
        <v>300</v>
      </c>
      <c r="E45">
        <v>5.41</v>
      </c>
      <c r="F45" s="9" t="s">
        <v>50</v>
      </c>
      <c r="G45" s="7">
        <v>133552799744</v>
      </c>
      <c r="H45" s="6">
        <v>6.31</v>
      </c>
      <c r="I45" s="6">
        <v>5.16</v>
      </c>
      <c r="J45" s="12">
        <f t="shared" si="1"/>
        <v>4.8449612403100861E-2</v>
      </c>
      <c r="K45" s="11">
        <v>4.8059149722735672E-2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8.3879731475430513E-2</v>
      </c>
      <c r="Q45" s="12">
        <v>4.0915758434259347E-2</v>
      </c>
      <c r="R45" s="14">
        <v>34</v>
      </c>
    </row>
    <row r="46" spans="2:18" x14ac:dyDescent="0.5">
      <c r="B46" s="1" t="s">
        <v>484</v>
      </c>
      <c r="C46" t="s">
        <v>518</v>
      </c>
      <c r="D46" t="s">
        <v>300</v>
      </c>
      <c r="E46">
        <v>2.35</v>
      </c>
      <c r="F46" s="9" t="s">
        <v>50</v>
      </c>
      <c r="G46" s="7">
        <v>97974231040</v>
      </c>
      <c r="H46" s="6">
        <v>3.09</v>
      </c>
      <c r="I46" s="6">
        <v>2.13</v>
      </c>
      <c r="J46" s="12">
        <f t="shared" si="1"/>
        <v>0.10328638497652598</v>
      </c>
      <c r="K46" s="11">
        <v>1.1063829787234041E-2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7.3665661718101599E-2</v>
      </c>
      <c r="Q46" s="12">
        <v>5.4232381236056518E-2</v>
      </c>
      <c r="R46" s="14">
        <v>36</v>
      </c>
    </row>
    <row r="47" spans="2:18" x14ac:dyDescent="0.5">
      <c r="B47" s="1" t="s">
        <v>490</v>
      </c>
      <c r="C47" t="s">
        <v>525</v>
      </c>
      <c r="D47" t="s">
        <v>524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35</v>
      </c>
    </row>
    <row r="48" spans="2:18" x14ac:dyDescent="0.5">
      <c r="B48" s="1" t="s">
        <v>496</v>
      </c>
      <c r="C48" t="s">
        <v>533</v>
      </c>
      <c r="D48" t="s">
        <v>534</v>
      </c>
      <c r="E48">
        <v>2.5099999999999998</v>
      </c>
      <c r="F48" s="9" t="s">
        <v>50</v>
      </c>
      <c r="G48" s="7">
        <v>33126117376</v>
      </c>
      <c r="H48" s="6">
        <v>2.87</v>
      </c>
      <c r="I48" s="6">
        <v>2.11</v>
      </c>
      <c r="J48" s="12">
        <f t="shared" si="1"/>
        <v>0.18957345971563977</v>
      </c>
      <c r="K48" s="11">
        <v>1.6334661354581677E-2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5.1332500215051077E-2</v>
      </c>
      <c r="Q48" s="12">
        <v>5.686341456422063E-2</v>
      </c>
      <c r="R48" s="14">
        <v>37</v>
      </c>
    </row>
    <row r="49" spans="2:18" x14ac:dyDescent="0.5">
      <c r="B49" s="1" t="s">
        <v>499</v>
      </c>
      <c r="C49" t="s">
        <v>537</v>
      </c>
      <c r="D49" t="s">
        <v>534</v>
      </c>
      <c r="E49">
        <v>34.28</v>
      </c>
      <c r="F49" s="9" t="s">
        <v>50</v>
      </c>
      <c r="G49" s="7">
        <v>257978286080</v>
      </c>
      <c r="H49" s="6">
        <v>40.98</v>
      </c>
      <c r="I49" s="6">
        <v>26.93</v>
      </c>
      <c r="J49" s="12">
        <f t="shared" si="1"/>
        <v>0.27292981804678806</v>
      </c>
      <c r="K49" s="11">
        <v>7.2928821470245042E-3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2.1139403348704074E-2</v>
      </c>
      <c r="Q49" s="12">
        <v>7.0618222817004847E-2</v>
      </c>
      <c r="R49" s="14">
        <v>37</v>
      </c>
    </row>
    <row r="50" spans="2:18" x14ac:dyDescent="0.5">
      <c r="B50" s="1" t="s">
        <v>502</v>
      </c>
      <c r="C50" t="s">
        <v>540</v>
      </c>
      <c r="D50" t="s">
        <v>49</v>
      </c>
      <c r="E50">
        <v>19.260000000000002</v>
      </c>
      <c r="F50" s="9" t="s">
        <v>50</v>
      </c>
      <c r="G50" s="7">
        <v>30113937408</v>
      </c>
      <c r="H50" s="6">
        <v>20.28</v>
      </c>
      <c r="I50" s="6">
        <v>14.35</v>
      </c>
      <c r="J50" s="12">
        <f t="shared" si="1"/>
        <v>0.34216027874564481</v>
      </c>
      <c r="K50" s="11">
        <v>6.334371754932502E-3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3.4330295495909199E-2</v>
      </c>
      <c r="Q50" s="12">
        <v>5.6764979452812038E-2</v>
      </c>
      <c r="R50" s="14">
        <v>38</v>
      </c>
    </row>
    <row r="51" spans="2:18" x14ac:dyDescent="0.5">
      <c r="B51" s="1" t="s">
        <v>506</v>
      </c>
      <c r="C51" t="s">
        <v>544</v>
      </c>
      <c r="D51" t="s">
        <v>300</v>
      </c>
      <c r="E51">
        <v>5.41</v>
      </c>
      <c r="F51" s="9" t="s">
        <v>50</v>
      </c>
      <c r="G51" s="7">
        <v>16164193280</v>
      </c>
      <c r="H51" s="6">
        <v>6.52</v>
      </c>
      <c r="I51" s="6">
        <v>3.95</v>
      </c>
      <c r="J51" s="12">
        <f t="shared" si="1"/>
        <v>0.36962025316455693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3.0527918771652882E-2</v>
      </c>
      <c r="Q51" s="12">
        <v>4.0513551113371724E-2</v>
      </c>
      <c r="R51" s="14">
        <v>39</v>
      </c>
    </row>
    <row r="52" spans="2:18" x14ac:dyDescent="0.5">
      <c r="B52" s="1" t="s">
        <v>505</v>
      </c>
      <c r="C52" t="s">
        <v>543</v>
      </c>
      <c r="D52" t="s">
        <v>246</v>
      </c>
      <c r="E52">
        <v>38.61</v>
      </c>
      <c r="F52" s="9" t="s">
        <v>50</v>
      </c>
      <c r="G52" s="7">
        <v>64792350720</v>
      </c>
      <c r="H52" s="6">
        <v>40.9</v>
      </c>
      <c r="I52" s="6">
        <v>11.86</v>
      </c>
      <c r="J52" s="12">
        <f t="shared" si="1"/>
        <v>2.2554806070826308</v>
      </c>
      <c r="K52" s="11">
        <v>5.8275058275058279E-3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2.0740929476118612E-2</v>
      </c>
      <c r="Q52" s="12">
        <v>5.2159157880766228E-2</v>
      </c>
      <c r="R52" s="14">
        <v>40</v>
      </c>
    </row>
    <row r="53" spans="2:18" x14ac:dyDescent="0.5">
      <c r="B53" s="1" t="s">
        <v>501</v>
      </c>
      <c r="C53" t="s">
        <v>539</v>
      </c>
      <c r="D53" t="s">
        <v>534</v>
      </c>
      <c r="E53">
        <v>36.35</v>
      </c>
      <c r="F53" s="9" t="s">
        <v>50</v>
      </c>
      <c r="G53" s="7">
        <v>29803116544</v>
      </c>
      <c r="H53" s="6">
        <v>41.5</v>
      </c>
      <c r="I53" s="6">
        <v>33.39</v>
      </c>
      <c r="J53" s="12">
        <f t="shared" si="1"/>
        <v>8.8649296196465999E-2</v>
      </c>
      <c r="K53" s="11">
        <v>5.6121045392022E-3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3.0365966506558328E-2</v>
      </c>
      <c r="Q53" s="12">
        <v>3.141247110523894E-2</v>
      </c>
      <c r="R53" s="14">
        <v>41</v>
      </c>
    </row>
    <row r="54" spans="2:18" x14ac:dyDescent="0.5">
      <c r="B54" s="1" t="s">
        <v>555</v>
      </c>
      <c r="C54" t="s">
        <v>564</v>
      </c>
      <c r="D54" t="s">
        <v>565</v>
      </c>
      <c r="E54">
        <v>27.63</v>
      </c>
      <c r="F54" s="9" t="s">
        <v>50</v>
      </c>
      <c r="G54" s="7">
        <v>19634690048</v>
      </c>
      <c r="H54" s="6">
        <v>39</v>
      </c>
      <c r="I54" s="6">
        <v>23.98</v>
      </c>
      <c r="J54" s="12">
        <f t="shared" si="1"/>
        <v>0.15221017514595481</v>
      </c>
      <c r="K54" s="11">
        <v>2.135360115816142E-3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1.6670817842919954E-2</v>
      </c>
      <c r="Q54" s="12">
        <v>3.3874105137293234E-2</v>
      </c>
      <c r="R54" s="14">
        <v>42</v>
      </c>
    </row>
    <row r="55" spans="2:18" x14ac:dyDescent="0.5">
      <c r="B55" s="1" t="s">
        <v>556</v>
      </c>
      <c r="C55" t="s">
        <v>566</v>
      </c>
      <c r="D55" t="s">
        <v>534</v>
      </c>
      <c r="E55">
        <v>22.13</v>
      </c>
      <c r="F55" s="9" t="s">
        <v>50</v>
      </c>
      <c r="G55" s="7">
        <v>73013493760</v>
      </c>
      <c r="H55" s="6">
        <v>22.33</v>
      </c>
      <c r="I55" s="6">
        <v>8.02</v>
      </c>
      <c r="J55" s="12">
        <f t="shared" si="1"/>
        <v>1.7593516209476308</v>
      </c>
      <c r="K55" s="11">
        <v>2.2593764121102578E-3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1.1373163854156638E-2</v>
      </c>
      <c r="Q55" s="12">
        <v>3.3469459268307869E-2</v>
      </c>
      <c r="R55" s="14">
        <v>43</v>
      </c>
    </row>
    <row r="56" spans="2:18" x14ac:dyDescent="0.5">
      <c r="B56" s="1" t="s">
        <v>493</v>
      </c>
      <c r="C56" t="s">
        <v>529</v>
      </c>
      <c r="D56" t="s">
        <v>530</v>
      </c>
      <c r="E56">
        <v>8.99</v>
      </c>
      <c r="F56" s="9" t="s">
        <v>50</v>
      </c>
      <c r="G56" s="7">
        <v>156861300736</v>
      </c>
      <c r="H56" s="6">
        <v>9.4499999999999993</v>
      </c>
      <c r="I56" s="6">
        <v>6.71</v>
      </c>
      <c r="J56" s="12">
        <f t="shared" si="1"/>
        <v>0.33979135618479894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1.3027438879383228E-2</v>
      </c>
      <c r="Q56" s="12">
        <v>3.2199243062702283E-2</v>
      </c>
      <c r="R56" s="14">
        <v>43</v>
      </c>
    </row>
    <row r="57" spans="2:18" x14ac:dyDescent="0.5">
      <c r="B57" s="1" t="s">
        <v>759</v>
      </c>
      <c r="C57" t="s">
        <v>760</v>
      </c>
      <c r="D57" t="s">
        <v>401</v>
      </c>
      <c r="E57">
        <v>22.26</v>
      </c>
      <c r="F57" s="9" t="s">
        <v>50</v>
      </c>
      <c r="G57" s="7">
        <v>9769843712</v>
      </c>
      <c r="H57" s="6">
        <v>24.7</v>
      </c>
      <c r="I57" s="6">
        <v>15.18</v>
      </c>
      <c r="J57" s="12">
        <f t="shared" si="1"/>
        <v>0.46640316205533616</v>
      </c>
      <c r="K57" s="11">
        <v>4.4923629829290209E-3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9.880893034955842E-3</v>
      </c>
      <c r="Q57" s="12">
        <v>2.9798999816131762E-2</v>
      </c>
      <c r="R57" s="14">
        <v>44</v>
      </c>
    </row>
    <row r="58" spans="2:18" x14ac:dyDescent="0.5">
      <c r="B58" s="1" t="s">
        <v>554</v>
      </c>
      <c r="C58" t="s">
        <v>563</v>
      </c>
      <c r="D58" t="s">
        <v>534</v>
      </c>
      <c r="E58">
        <v>101.86</v>
      </c>
      <c r="F58" s="9" t="s">
        <v>50</v>
      </c>
      <c r="G58" s="7">
        <v>120448335872</v>
      </c>
      <c r="H58" s="6">
        <v>102</v>
      </c>
      <c r="I58" s="6">
        <v>23.87</v>
      </c>
      <c r="J58" s="12">
        <f t="shared" si="1"/>
        <v>3.2672811059907829</v>
      </c>
      <c r="K58" s="11">
        <v>9.8173964264677014E-5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-3.4396011843100993E-4</v>
      </c>
      <c r="Q58" s="12">
        <v>-6.2362156501469587E-3</v>
      </c>
      <c r="R58" s="14">
        <v>45</v>
      </c>
    </row>
    <row r="59" spans="2:18" x14ac:dyDescent="0.5">
      <c r="B59" s="1" t="s">
        <v>464</v>
      </c>
      <c r="C59" t="s">
        <v>478</v>
      </c>
      <c r="D59" t="s">
        <v>363</v>
      </c>
      <c r="E59">
        <v>11.23</v>
      </c>
      <c r="F59" s="9" t="s">
        <v>50</v>
      </c>
      <c r="G59" s="7">
        <v>78605025280</v>
      </c>
      <c r="H59" s="6">
        <v>14.4</v>
      </c>
      <c r="I59" s="6">
        <v>8.98</v>
      </c>
      <c r="J59" s="12">
        <f t="shared" si="1"/>
        <v>0.25055679287305122</v>
      </c>
      <c r="K59" s="11">
        <v>1.7809439002671415E-2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-1.6538361198086993E-2</v>
      </c>
      <c r="Q59" s="12">
        <v>-2.9941792412548292E-2</v>
      </c>
      <c r="R59" s="14">
        <v>46</v>
      </c>
    </row>
    <row r="60" spans="2:18" x14ac:dyDescent="0.5">
      <c r="B60" s="1" t="s">
        <v>512</v>
      </c>
      <c r="C60" t="s">
        <v>551</v>
      </c>
      <c r="D60" t="s">
        <v>401</v>
      </c>
      <c r="E60">
        <v>46.87</v>
      </c>
      <c r="F60" s="9" t="s">
        <v>50</v>
      </c>
      <c r="G60" s="7">
        <v>43766575104</v>
      </c>
      <c r="H60" s="6">
        <v>56.74</v>
      </c>
      <c r="I60" s="6">
        <v>41.37</v>
      </c>
      <c r="J60" s="12">
        <f t="shared" si="1"/>
        <v>0.13294657964708723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-5.7104258071832507E-3</v>
      </c>
      <c r="Q60" s="12">
        <v>-7.8965828065376359E-2</v>
      </c>
      <c r="R60" s="14">
        <v>47</v>
      </c>
    </row>
    <row r="61" spans="2:18" x14ac:dyDescent="0.5">
      <c r="B61" s="1" t="s">
        <v>558</v>
      </c>
      <c r="C61" t="s">
        <v>568</v>
      </c>
      <c r="D61" t="s">
        <v>569</v>
      </c>
      <c r="E61">
        <v>23.52</v>
      </c>
      <c r="F61" s="9" t="s">
        <v>50</v>
      </c>
      <c r="G61" s="7">
        <v>1925390080</v>
      </c>
      <c r="H61" s="6">
        <v>27.89</v>
      </c>
      <c r="I61" s="6">
        <v>16.600000000000001</v>
      </c>
      <c r="J61" s="12">
        <f t="shared" si="1"/>
        <v>0.41686746987951784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-2.325838790836731E-2</v>
      </c>
      <c r="Q61" s="12">
        <v>-4.4819331081496862E-2</v>
      </c>
      <c r="R61" s="14">
        <v>48</v>
      </c>
    </row>
    <row r="62" spans="2:18" x14ac:dyDescent="0.5">
      <c r="B62" s="1" t="s">
        <v>560</v>
      </c>
      <c r="C62" t="s">
        <v>571</v>
      </c>
      <c r="D62" t="s">
        <v>178</v>
      </c>
      <c r="E62">
        <v>14.61</v>
      </c>
      <c r="F62" s="9" t="s">
        <v>50</v>
      </c>
      <c r="G62" s="7">
        <v>47128924160</v>
      </c>
      <c r="H62" s="6">
        <v>19.75</v>
      </c>
      <c r="I62" s="6">
        <v>12.91</v>
      </c>
      <c r="J62" s="12">
        <f t="shared" si="1"/>
        <v>0.13168086754453912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-2.2156628903630213E-2</v>
      </c>
      <c r="Q62" s="12">
        <v>-6.241645002013825E-2</v>
      </c>
      <c r="R62" s="14">
        <v>48</v>
      </c>
    </row>
    <row r="63" spans="2:18" x14ac:dyDescent="0.5">
      <c r="B63" s="1" t="s">
        <v>557</v>
      </c>
      <c r="C63" t="s">
        <v>567</v>
      </c>
      <c r="D63" t="s">
        <v>168</v>
      </c>
      <c r="E63">
        <v>3.91</v>
      </c>
      <c r="F63" s="9" t="s">
        <v>50</v>
      </c>
      <c r="G63" s="7">
        <v>14031127552</v>
      </c>
      <c r="H63" s="6">
        <v>4.84</v>
      </c>
      <c r="I63" s="6">
        <v>3.46</v>
      </c>
      <c r="J63" s="12">
        <f t="shared" si="1"/>
        <v>0.13005780346820806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-7.1271688397659252E-2</v>
      </c>
      <c r="Q63" s="12">
        <v>-8.182869756115578E-2</v>
      </c>
      <c r="R63" s="14">
        <v>49</v>
      </c>
    </row>
    <row r="64" spans="2:18" x14ac:dyDescent="0.5">
      <c r="B64" s="1" t="s">
        <v>351</v>
      </c>
      <c r="C64" t="s">
        <v>372</v>
      </c>
      <c r="D64" t="s">
        <v>225</v>
      </c>
      <c r="E64">
        <v>20.96</v>
      </c>
      <c r="F64" s="9" t="s">
        <v>50</v>
      </c>
      <c r="G64" s="7">
        <v>443573370880</v>
      </c>
      <c r="H64" s="6">
        <v>25.45</v>
      </c>
      <c r="I64" s="6">
        <v>18.7</v>
      </c>
      <c r="J64" s="12">
        <f t="shared" si="1"/>
        <v>0.12085561497326203</v>
      </c>
      <c r="K64" s="11">
        <v>5.0572519083969467E-2</v>
      </c>
      <c r="M64" s="13">
        <v>2415915000000</v>
      </c>
      <c r="N64" s="9" t="s">
        <v>50</v>
      </c>
      <c r="O64" s="6">
        <v>1</v>
      </c>
    </row>
    <row r="65" spans="2:18" x14ac:dyDescent="0.5">
      <c r="B65" s="1" t="s">
        <v>451</v>
      </c>
      <c r="C65" t="s">
        <v>465</v>
      </c>
      <c r="D65" t="s">
        <v>227</v>
      </c>
      <c r="E65">
        <v>7.78</v>
      </c>
      <c r="F65" s="9" t="s">
        <v>50</v>
      </c>
      <c r="G65" s="7">
        <v>2772840742912</v>
      </c>
      <c r="H65" s="6">
        <v>8.4</v>
      </c>
      <c r="I65" s="6">
        <v>6.4</v>
      </c>
      <c r="J65" s="12">
        <f t="shared" si="1"/>
        <v>0.21562499999999996</v>
      </c>
      <c r="K65" s="11">
        <v>3.9331619537275063E-2</v>
      </c>
      <c r="M65" s="13">
        <v>6434377000000</v>
      </c>
      <c r="N65" s="9" t="s">
        <v>50</v>
      </c>
      <c r="O65" s="6">
        <v>1</v>
      </c>
    </row>
    <row r="66" spans="2:18" x14ac:dyDescent="0.5">
      <c r="B66" s="1" t="s">
        <v>452</v>
      </c>
      <c r="C66" t="s">
        <v>466</v>
      </c>
      <c r="D66" t="s">
        <v>225</v>
      </c>
      <c r="E66">
        <v>42.37</v>
      </c>
      <c r="F66" s="9" t="s">
        <v>50</v>
      </c>
      <c r="G66" s="7">
        <v>1086223679488</v>
      </c>
      <c r="H66" s="6">
        <v>48.55</v>
      </c>
      <c r="I66" s="6">
        <v>38.130000000000003</v>
      </c>
      <c r="J66" s="12">
        <f t="shared" ref="J66:J80" si="2">E66/I66-1</f>
        <v>0.11119853134015201</v>
      </c>
      <c r="K66" s="11">
        <v>7.1111635591220204E-2</v>
      </c>
      <c r="M66" s="13">
        <v>1656843000000</v>
      </c>
      <c r="N66" s="9" t="s">
        <v>50</v>
      </c>
      <c r="O66" s="6">
        <v>1</v>
      </c>
    </row>
    <row r="67" spans="2:18" x14ac:dyDescent="0.5">
      <c r="B67" s="1" t="s">
        <v>453</v>
      </c>
      <c r="C67" t="s">
        <v>467</v>
      </c>
      <c r="D67" t="s">
        <v>225</v>
      </c>
      <c r="E67">
        <v>11.45</v>
      </c>
      <c r="F67" s="9" t="s">
        <v>50</v>
      </c>
      <c r="G67" s="7">
        <v>222197760000</v>
      </c>
      <c r="H67" s="6">
        <v>13.33</v>
      </c>
      <c r="I67" s="6">
        <v>10.48</v>
      </c>
      <c r="J67" s="12">
        <f t="shared" si="2"/>
        <v>9.2557251908396809E-2</v>
      </c>
      <c r="K67" s="11">
        <v>5.2227074235807865E-2</v>
      </c>
      <c r="M67" s="13">
        <v>1225730000000</v>
      </c>
      <c r="N67" s="9" t="s">
        <v>50</v>
      </c>
      <c r="O67" s="6">
        <v>1</v>
      </c>
    </row>
    <row r="68" spans="2:18" x14ac:dyDescent="0.5">
      <c r="B68" s="1" t="s">
        <v>454</v>
      </c>
      <c r="C68" t="s">
        <v>468</v>
      </c>
      <c r="D68" t="s">
        <v>227</v>
      </c>
      <c r="E68">
        <v>7.55</v>
      </c>
      <c r="F68" s="9" t="s">
        <v>50</v>
      </c>
      <c r="G68" s="7">
        <v>2642372198400</v>
      </c>
      <c r="H68" s="6">
        <v>8.68</v>
      </c>
      <c r="I68" s="6">
        <v>4.9000000000000004</v>
      </c>
      <c r="J68" s="12">
        <f t="shared" si="2"/>
        <v>0.54081632653061207</v>
      </c>
      <c r="K68" s="11">
        <v>3.2450331125827812E-2</v>
      </c>
      <c r="M68" s="13">
        <v>6053339000000</v>
      </c>
      <c r="N68" s="9" t="s">
        <v>50</v>
      </c>
      <c r="O68" s="6">
        <v>1</v>
      </c>
    </row>
    <row r="69" spans="2:18" x14ac:dyDescent="0.5">
      <c r="B69" s="1" t="s">
        <v>455</v>
      </c>
      <c r="C69" t="s">
        <v>469</v>
      </c>
      <c r="D69" t="s">
        <v>227</v>
      </c>
      <c r="E69">
        <v>5.67</v>
      </c>
      <c r="F69" s="9" t="s">
        <v>50</v>
      </c>
      <c r="G69" s="7">
        <v>1826944319488</v>
      </c>
      <c r="H69" s="6">
        <v>6.39</v>
      </c>
      <c r="I69" s="6">
        <v>5.13</v>
      </c>
      <c r="J69" s="12">
        <f t="shared" si="2"/>
        <v>0.10526315789473695</v>
      </c>
      <c r="K69" s="11">
        <v>4.0740740740740744E-2</v>
      </c>
      <c r="M69" s="13">
        <v>5199928000000</v>
      </c>
      <c r="N69" s="9" t="s">
        <v>50</v>
      </c>
      <c r="O69" s="6">
        <v>1</v>
      </c>
    </row>
    <row r="70" spans="2:18" x14ac:dyDescent="0.5">
      <c r="B70" s="1" t="s">
        <v>456</v>
      </c>
      <c r="C70" t="s">
        <v>470</v>
      </c>
      <c r="D70" t="s">
        <v>227</v>
      </c>
      <c r="E70">
        <v>9.18</v>
      </c>
      <c r="F70" s="9" t="s">
        <v>50</v>
      </c>
      <c r="G70" s="7">
        <v>2401491484672</v>
      </c>
      <c r="H70" s="6">
        <v>10.029999999999999</v>
      </c>
      <c r="I70" s="6">
        <v>8.14</v>
      </c>
      <c r="J70" s="12">
        <f t="shared" si="2"/>
        <v>0.12776412776412771</v>
      </c>
      <c r="K70" s="11">
        <v>4.2701525054466234E-2</v>
      </c>
      <c r="M70" s="13">
        <v>6128626000000</v>
      </c>
      <c r="N70" s="9" t="s">
        <v>50</v>
      </c>
      <c r="O70" s="6">
        <v>1</v>
      </c>
    </row>
    <row r="71" spans="2:18" x14ac:dyDescent="0.5">
      <c r="B71" s="1" t="s">
        <v>457</v>
      </c>
      <c r="C71" t="s">
        <v>471</v>
      </c>
      <c r="D71" t="s">
        <v>227</v>
      </c>
      <c r="E71">
        <v>7.22</v>
      </c>
      <c r="F71" s="9" t="s">
        <v>50</v>
      </c>
      <c r="G71" s="7">
        <v>637986537472</v>
      </c>
      <c r="H71" s="6">
        <v>8.34</v>
      </c>
      <c r="I71" s="6">
        <v>6.65</v>
      </c>
      <c r="J71" s="12">
        <f t="shared" si="2"/>
        <v>8.5714285714285632E-2</v>
      </c>
      <c r="K71" s="11">
        <v>7.4099722991689751E-2</v>
      </c>
      <c r="M71" s="13">
        <v>2314289000000</v>
      </c>
      <c r="N71" s="9" t="s">
        <v>50</v>
      </c>
      <c r="O71" s="6">
        <v>1</v>
      </c>
    </row>
    <row r="72" spans="2:18" x14ac:dyDescent="0.5">
      <c r="B72" s="1" t="s">
        <v>458</v>
      </c>
      <c r="C72" t="s">
        <v>472</v>
      </c>
      <c r="D72" t="s">
        <v>225</v>
      </c>
      <c r="E72">
        <v>5.44</v>
      </c>
      <c r="F72" s="9" t="s">
        <v>50</v>
      </c>
      <c r="G72" s="7">
        <v>653317111808</v>
      </c>
      <c r="H72" s="6">
        <v>6.44</v>
      </c>
      <c r="I72" s="6">
        <v>4.9400000000000004</v>
      </c>
      <c r="J72" s="12">
        <f t="shared" si="2"/>
        <v>0.10121457489878538</v>
      </c>
      <c r="K72" s="11">
        <v>4.3566176470588233E-2</v>
      </c>
      <c r="M72" s="13">
        <v>1271649000000</v>
      </c>
      <c r="N72" s="9" t="s">
        <v>50</v>
      </c>
      <c r="O72" s="6">
        <v>1</v>
      </c>
    </row>
    <row r="73" spans="2:18" x14ac:dyDescent="0.5">
      <c r="B73" s="1" t="s">
        <v>459</v>
      </c>
      <c r="C73" t="s">
        <v>473</v>
      </c>
      <c r="D73" t="s">
        <v>225</v>
      </c>
      <c r="E73">
        <v>11.84</v>
      </c>
      <c r="F73" s="9" t="s">
        <v>50</v>
      </c>
      <c r="G73" s="7">
        <v>394341122048</v>
      </c>
      <c r="H73" s="6">
        <v>14.8</v>
      </c>
      <c r="I73" s="6">
        <v>9.4600000000000009</v>
      </c>
      <c r="J73" s="12">
        <f t="shared" si="2"/>
        <v>0.2515856236786469</v>
      </c>
      <c r="K73" s="11">
        <v>3.4628378378378379E-2</v>
      </c>
      <c r="M73" s="13">
        <v>2505906000000</v>
      </c>
      <c r="N73" s="9" t="s">
        <v>50</v>
      </c>
      <c r="O73" s="6">
        <v>1</v>
      </c>
    </row>
    <row r="74" spans="2:18" x14ac:dyDescent="0.5">
      <c r="B74" s="1" t="s">
        <v>460</v>
      </c>
      <c r="C74" t="s">
        <v>474</v>
      </c>
      <c r="D74" t="s">
        <v>225</v>
      </c>
      <c r="E74">
        <v>3.48</v>
      </c>
      <c r="F74" s="9" t="s">
        <v>50</v>
      </c>
      <c r="G74" s="7">
        <v>205617709056</v>
      </c>
      <c r="H74" s="6">
        <v>4.5</v>
      </c>
      <c r="I74" s="6">
        <v>3.28</v>
      </c>
      <c r="J74" s="12">
        <f t="shared" si="2"/>
        <v>6.0975609756097615E-2</v>
      </c>
      <c r="K74" s="11">
        <v>5.459770114942529E-2</v>
      </c>
      <c r="M74" s="13">
        <v>1970468000000</v>
      </c>
      <c r="N74" s="9" t="s">
        <v>50</v>
      </c>
      <c r="O74" s="6">
        <v>1</v>
      </c>
    </row>
    <row r="75" spans="2:18" x14ac:dyDescent="0.5">
      <c r="B75" s="1" t="s">
        <v>461</v>
      </c>
      <c r="C75" t="s">
        <v>475</v>
      </c>
      <c r="D75" t="s">
        <v>225</v>
      </c>
      <c r="E75">
        <v>7.48</v>
      </c>
      <c r="F75" s="9" t="s">
        <v>50</v>
      </c>
      <c r="G75" s="7">
        <v>416225820672</v>
      </c>
      <c r="H75" s="6">
        <v>9.07</v>
      </c>
      <c r="I75" s="6">
        <v>6.38</v>
      </c>
      <c r="J75" s="12">
        <f t="shared" si="2"/>
        <v>0.1724137931034484</v>
      </c>
      <c r="K75" s="11">
        <v>4.7860962566844918E-2</v>
      </c>
      <c r="M75" s="13">
        <v>2066897000000</v>
      </c>
      <c r="N75" s="9" t="s">
        <v>50</v>
      </c>
      <c r="O75" s="6">
        <v>1</v>
      </c>
    </row>
    <row r="76" spans="2:18" x14ac:dyDescent="0.5">
      <c r="B76" s="1" t="s">
        <v>462</v>
      </c>
      <c r="C76" t="s">
        <v>476</v>
      </c>
      <c r="D76" t="s">
        <v>225</v>
      </c>
      <c r="E76">
        <v>3.84</v>
      </c>
      <c r="F76" s="9" t="s">
        <v>50</v>
      </c>
      <c r="G76" s="7">
        <v>168124481536</v>
      </c>
      <c r="H76" s="6">
        <v>5.68</v>
      </c>
      <c r="I76" s="6">
        <v>3.71</v>
      </c>
      <c r="J76" s="12">
        <f t="shared" si="2"/>
        <v>3.5040431266846417E-2</v>
      </c>
      <c r="K76" s="11">
        <v>5.1562500000000004E-2</v>
      </c>
      <c r="M76" s="13">
        <v>1646749000000</v>
      </c>
      <c r="N76" s="9" t="s">
        <v>50</v>
      </c>
      <c r="O76" s="6">
        <v>1</v>
      </c>
    </row>
    <row r="77" spans="2:18" x14ac:dyDescent="0.5">
      <c r="B77" s="1" t="s">
        <v>463</v>
      </c>
      <c r="C77" t="s">
        <v>477</v>
      </c>
      <c r="D77" t="s">
        <v>225</v>
      </c>
      <c r="E77">
        <v>6.86</v>
      </c>
      <c r="F77" s="9" t="s">
        <v>50</v>
      </c>
      <c r="G77" s="7">
        <v>109176406016</v>
      </c>
      <c r="H77" s="6">
        <v>8.7200000000000006</v>
      </c>
      <c r="I77" s="6">
        <v>6.43</v>
      </c>
      <c r="J77" s="12">
        <f t="shared" si="2"/>
        <v>6.6874027993779173E-2</v>
      </c>
      <c r="K77" s="11">
        <v>5.903790087463557E-2</v>
      </c>
      <c r="M77" s="13">
        <v>1231745000000</v>
      </c>
      <c r="N77" s="9" t="s">
        <v>50</v>
      </c>
      <c r="O77" s="6">
        <v>1</v>
      </c>
    </row>
    <row r="78" spans="2:18" x14ac:dyDescent="0.5">
      <c r="B78" s="1" t="s">
        <v>497</v>
      </c>
      <c r="C78" t="s">
        <v>535</v>
      </c>
      <c r="D78" t="s">
        <v>298</v>
      </c>
      <c r="E78">
        <v>47.85</v>
      </c>
      <c r="F78" s="9" t="s">
        <v>50</v>
      </c>
      <c r="G78" s="7">
        <v>1352466038784</v>
      </c>
      <c r="H78" s="6">
        <v>47.92</v>
      </c>
      <c r="I78" s="6">
        <v>33.61</v>
      </c>
      <c r="J78" s="12">
        <f t="shared" si="2"/>
        <v>0.42368342755132415</v>
      </c>
      <c r="K78" s="11">
        <v>1.437826541274817E-2</v>
      </c>
      <c r="M78" s="13">
        <v>557627000000</v>
      </c>
      <c r="N78" s="9" t="s">
        <v>50</v>
      </c>
      <c r="O78" s="6">
        <v>1</v>
      </c>
    </row>
    <row r="79" spans="2:18" x14ac:dyDescent="0.5">
      <c r="B79" s="1" t="s">
        <v>498</v>
      </c>
      <c r="C79" t="s">
        <v>536</v>
      </c>
      <c r="D79" t="s">
        <v>298</v>
      </c>
      <c r="E79">
        <v>44.49</v>
      </c>
      <c r="F79" s="9" t="s">
        <v>50</v>
      </c>
      <c r="G79" s="7">
        <v>428009029632</v>
      </c>
      <c r="H79" s="6">
        <v>44.68</v>
      </c>
      <c r="I79" s="6">
        <v>28.7</v>
      </c>
      <c r="J79" s="12">
        <f t="shared" si="2"/>
        <v>0.55017421602787464</v>
      </c>
      <c r="K79" s="11">
        <v>2.4275118004045852E-2</v>
      </c>
      <c r="M79" s="13">
        <v>301703000000</v>
      </c>
      <c r="N79" s="9" t="s">
        <v>50</v>
      </c>
      <c r="O79" s="6">
        <v>1</v>
      </c>
    </row>
    <row r="80" spans="2:18" x14ac:dyDescent="0.5">
      <c r="B80" s="1" t="s">
        <v>762</v>
      </c>
      <c r="C80" t="s">
        <v>763</v>
      </c>
      <c r="D80" t="s">
        <v>49</v>
      </c>
      <c r="E80">
        <v>2.58</v>
      </c>
      <c r="F80" s="9" t="s">
        <v>50</v>
      </c>
      <c r="G80" s="7">
        <v>4008822784</v>
      </c>
      <c r="H80" s="6">
        <v>3.21</v>
      </c>
      <c r="I80" s="6">
        <v>1.81</v>
      </c>
      <c r="J80" s="12">
        <f t="shared" si="2"/>
        <v>0.42541436464088389</v>
      </c>
      <c r="K80" s="11">
        <v>0</v>
      </c>
      <c r="L80" s="13">
        <v>-11448340.02</v>
      </c>
      <c r="M80" s="13">
        <v>2419968780.5500002</v>
      </c>
      <c r="N80" s="9" t="s">
        <v>50</v>
      </c>
      <c r="O80" s="6">
        <v>1</v>
      </c>
      <c r="P80" s="12">
        <v>-1.8336927528418614E-3</v>
      </c>
      <c r="Q80" s="12">
        <v>-4.7307800464260821E-3</v>
      </c>
      <c r="R80" s="14">
        <v>45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5" zoomScale="80" zoomScaleNormal="80" workbookViewId="0">
      <selection activeCell="B8" sqref="B8:J8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2026-02-04T03:23:51Z</dcterms:modified>
</cp:coreProperties>
</file>