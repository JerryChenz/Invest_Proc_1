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D168649-26C8-4CB6-AC2A-67B77BBB42E3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<sst xmlns="http://schemas.openxmlformats.org/spreadsheetml/2006/main" count="957" uniqueCount="458">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</sst>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55" zoomScaleNormal="55" workbookViewId="0">
      <pane xSplit="3" ySplit="1" topLeftCell="D70" activePane="bottomRight" state="frozen"/>
      <selection pane="topRight" activeCell="D1" sqref="D1"/>
      <selection pane="bottomLeft" activeCell="A2" sqref="A2"/>
      <selection pane="bottomRight" activeCell="B61" sqref="B6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12</v>
      </c>
      <c r="F2" s="9" t="s">
        <v>68</v>
      </c>
      <c r="G2" s="7">
        <v>229940723712</v>
      </c>
      <c r="H2" s="6">
        <v>15.6</v>
      </c>
      <c r="I2" s="6">
        <v>9.8000000000000007</v>
      </c>
      <c r="J2" s="12">
        <f t="shared" ref="J2:J33" si="0">E2/I2-1</f>
        <v>0.22448979591836715</v>
      </c>
      <c r="K2" s="11">
        <v>0.13250000000000001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0.65398550595614213</v>
      </c>
      <c r="Q2" s="12">
        <v>0.26042924055386191</v>
      </c>
      <c r="R2" s="14">
        <v>2</v>
      </c>
    </row>
    <row r="3" spans="2:22" x14ac:dyDescent="0.5">
      <c r="B3" s="1" t="s">
        <v>296</v>
      </c>
      <c r="C3" t="s">
        <v>354</v>
      </c>
      <c r="D3" t="s">
        <v>153</v>
      </c>
      <c r="E3">
        <v>2.91</v>
      </c>
      <c r="F3" s="9" t="s">
        <v>68</v>
      </c>
      <c r="G3" s="7">
        <v>2631190016</v>
      </c>
      <c r="H3" s="6">
        <v>3.55</v>
      </c>
      <c r="I3" s="6">
        <v>2.39</v>
      </c>
      <c r="J3" s="12">
        <f t="shared" si="0"/>
        <v>0.21757322175732208</v>
      </c>
      <c r="K3" s="11">
        <v>5.8419243986254296E-2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0.39215559566825331</v>
      </c>
      <c r="Q3" s="12">
        <v>0.29581628786323422</v>
      </c>
      <c r="R3" s="14">
        <v>1</v>
      </c>
    </row>
    <row r="4" spans="2:22" x14ac:dyDescent="0.5">
      <c r="B4" s="1" t="s">
        <v>111</v>
      </c>
      <c r="C4" t="s">
        <v>147</v>
      </c>
      <c r="D4" t="s">
        <v>148</v>
      </c>
      <c r="E4">
        <v>4.5</v>
      </c>
      <c r="F4" s="9" t="s">
        <v>68</v>
      </c>
      <c r="G4" s="7">
        <v>12587505664</v>
      </c>
      <c r="H4" s="6">
        <v>5.2</v>
      </c>
      <c r="I4" s="6">
        <v>2.36</v>
      </c>
      <c r="J4" s="12">
        <f t="shared" si="0"/>
        <v>0.90677966101694918</v>
      </c>
      <c r="K4" s="11">
        <v>3.4000000000000002E-2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0.23826950681054435</v>
      </c>
      <c r="Q4" s="12">
        <v>0.28956319566547578</v>
      </c>
      <c r="R4" s="14">
        <v>4</v>
      </c>
    </row>
    <row r="5" spans="2:22" x14ac:dyDescent="0.5">
      <c r="B5" s="1" t="s">
        <v>197</v>
      </c>
      <c r="C5" t="s">
        <v>218</v>
      </c>
      <c r="D5" t="s">
        <v>219</v>
      </c>
      <c r="E5">
        <v>15.53</v>
      </c>
      <c r="F5" s="9" t="s">
        <v>68</v>
      </c>
      <c r="G5" s="7">
        <v>60598616064</v>
      </c>
      <c r="H5" s="6">
        <v>15.73</v>
      </c>
      <c r="I5" s="6">
        <v>4.22</v>
      </c>
      <c r="J5" s="12">
        <f t="shared" si="0"/>
        <v>2.6800947867298577</v>
      </c>
      <c r="K5" s="11">
        <v>2.7688345138441725E-3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0.11390905598152815</v>
      </c>
      <c r="Q5" s="12">
        <v>0.34518550887925997</v>
      </c>
      <c r="R5" s="14">
        <v>15</v>
      </c>
    </row>
    <row r="6" spans="2:22" x14ac:dyDescent="0.5">
      <c r="B6" s="1" t="s">
        <v>198</v>
      </c>
      <c r="C6" t="s">
        <v>220</v>
      </c>
      <c r="D6" t="s">
        <v>77</v>
      </c>
      <c r="E6">
        <v>125.7</v>
      </c>
      <c r="F6" s="9" t="s">
        <v>68</v>
      </c>
      <c r="G6" s="7">
        <v>83008921600</v>
      </c>
      <c r="H6" s="6">
        <v>149.5</v>
      </c>
      <c r="I6" s="6">
        <v>93</v>
      </c>
      <c r="J6" s="12">
        <f t="shared" si="0"/>
        <v>0.35161290322580641</v>
      </c>
      <c r="K6" s="11">
        <v>1.6229116945107397E-2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0.61843599577078867</v>
      </c>
      <c r="Q6" s="12">
        <v>0.19894228627727803</v>
      </c>
      <c r="R6" s="14">
        <v>3</v>
      </c>
    </row>
    <row r="7" spans="2:22" x14ac:dyDescent="0.5">
      <c r="B7" s="1" t="s">
        <v>253</v>
      </c>
      <c r="C7" t="s">
        <v>303</v>
      </c>
      <c r="D7" t="s">
        <v>304</v>
      </c>
      <c r="E7">
        <v>6.7</v>
      </c>
      <c r="F7" s="9" t="s">
        <v>68</v>
      </c>
      <c r="G7" s="7">
        <v>371203604480</v>
      </c>
      <c r="H7" s="6">
        <v>7.22</v>
      </c>
      <c r="I7" s="6">
        <v>3.5</v>
      </c>
      <c r="J7" s="12">
        <f t="shared" si="0"/>
        <v>0.91428571428571437</v>
      </c>
      <c r="K7" s="11">
        <v>2.8656716417910448E-2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0.19319648655497937</v>
      </c>
      <c r="Q7" s="12">
        <v>0.22694806719794586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2.76</v>
      </c>
      <c r="F8" s="9" t="s">
        <v>68</v>
      </c>
      <c r="G8" s="7">
        <v>14051341312</v>
      </c>
      <c r="H8" s="6">
        <v>3.12</v>
      </c>
      <c r="I8" s="6">
        <v>2.23</v>
      </c>
      <c r="J8" s="12">
        <f t="shared" si="0"/>
        <v>0.2376681614349776</v>
      </c>
      <c r="K8" s="11">
        <v>9.7826086956521757E-2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0.39376665268423139</v>
      </c>
      <c r="Q8" s="12">
        <v>0.15337570692947131</v>
      </c>
      <c r="R8" s="14">
        <v>7</v>
      </c>
    </row>
    <row r="9" spans="2:22" x14ac:dyDescent="0.5">
      <c r="B9" s="1" t="s">
        <v>200</v>
      </c>
      <c r="C9" t="s">
        <v>223</v>
      </c>
      <c r="D9" t="s">
        <v>224</v>
      </c>
      <c r="E9">
        <v>14.21</v>
      </c>
      <c r="F9" s="9" t="s">
        <v>68</v>
      </c>
      <c r="G9" s="7">
        <v>132348813312</v>
      </c>
      <c r="H9" s="6">
        <v>18.100000000000001</v>
      </c>
      <c r="I9" s="6">
        <v>10.6</v>
      </c>
      <c r="J9" s="12">
        <f t="shared" si="0"/>
        <v>0.34056603773584926</v>
      </c>
      <c r="K9" s="11">
        <v>4.9612948627726944E-2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0.22279061081377458</v>
      </c>
      <c r="Q9" s="12">
        <v>0.20347556909712136</v>
      </c>
      <c r="R9" s="14">
        <v>6</v>
      </c>
    </row>
    <row r="10" spans="2:22" x14ac:dyDescent="0.5">
      <c r="B10" s="1" t="s">
        <v>252</v>
      </c>
      <c r="C10" t="s">
        <v>301</v>
      </c>
      <c r="D10" t="s">
        <v>302</v>
      </c>
      <c r="E10">
        <v>15.79</v>
      </c>
      <c r="F10" s="9" t="s">
        <v>68</v>
      </c>
      <c r="G10" s="7">
        <v>360944041984</v>
      </c>
      <c r="H10" s="6">
        <v>16</v>
      </c>
      <c r="I10" s="6">
        <v>4.58</v>
      </c>
      <c r="J10" s="12">
        <f t="shared" si="0"/>
        <v>2.447598253275109</v>
      </c>
      <c r="K10" s="11">
        <v>1.6149461684610514E-2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8.6382892117286766E-2</v>
      </c>
      <c r="Q10" s="12">
        <v>0.2888078161719172</v>
      </c>
      <c r="R10" s="14">
        <v>33</v>
      </c>
    </row>
    <row r="11" spans="2:22" x14ac:dyDescent="0.5">
      <c r="B11" s="1" t="s">
        <v>199</v>
      </c>
      <c r="C11" t="s">
        <v>221</v>
      </c>
      <c r="D11" t="s">
        <v>222</v>
      </c>
      <c r="E11">
        <v>2.14</v>
      </c>
      <c r="F11" s="9" t="s">
        <v>68</v>
      </c>
      <c r="G11" s="7">
        <v>2140000128</v>
      </c>
      <c r="H11" s="6">
        <v>2.42</v>
      </c>
      <c r="I11" s="6">
        <v>1.55</v>
      </c>
      <c r="J11" s="12">
        <f t="shared" si="0"/>
        <v>0.38064516129032255</v>
      </c>
      <c r="K11" s="11">
        <v>9.8130841121495324E-2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0.13652608156595089</v>
      </c>
      <c r="Q11" s="12">
        <v>0.51857007005524791</v>
      </c>
      <c r="R11" s="14">
        <v>8</v>
      </c>
    </row>
    <row r="12" spans="2:22" x14ac:dyDescent="0.5">
      <c r="B12" s="1" t="s">
        <v>251</v>
      </c>
      <c r="C12" t="s">
        <v>300</v>
      </c>
      <c r="D12" t="s">
        <v>299</v>
      </c>
      <c r="E12">
        <v>1.58</v>
      </c>
      <c r="F12" s="9" t="s">
        <v>68</v>
      </c>
      <c r="G12" s="7">
        <v>3182513152</v>
      </c>
      <c r="H12" s="6">
        <v>1.85</v>
      </c>
      <c r="I12" s="6">
        <v>1.1299999999999999</v>
      </c>
      <c r="J12" s="12">
        <f t="shared" si="0"/>
        <v>0.3982300884955754</v>
      </c>
      <c r="K12" s="11">
        <v>7.5316455696202531E-2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0.33411708985403477</v>
      </c>
      <c r="Q12" s="12">
        <v>0.15429118804462028</v>
      </c>
      <c r="R12" s="14">
        <v>9</v>
      </c>
    </row>
    <row r="13" spans="2:22" x14ac:dyDescent="0.5">
      <c r="B13" s="1" t="s">
        <v>28</v>
      </c>
      <c r="C13" t="s">
        <v>90</v>
      </c>
      <c r="D13" t="s">
        <v>87</v>
      </c>
      <c r="E13">
        <v>4</v>
      </c>
      <c r="F13" s="9" t="s">
        <v>68</v>
      </c>
      <c r="G13" s="7">
        <v>36261007360</v>
      </c>
      <c r="H13" s="6">
        <v>7.38</v>
      </c>
      <c r="I13" s="6">
        <v>3.85</v>
      </c>
      <c r="J13" s="12">
        <f t="shared" si="0"/>
        <v>3.8961038961038863E-2</v>
      </c>
      <c r="K13" s="11">
        <v>6.6250000000000003E-2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0.217678227534223</v>
      </c>
      <c r="Q13" s="12">
        <v>0.20771406306691512</v>
      </c>
      <c r="R13" s="14">
        <v>5</v>
      </c>
    </row>
    <row r="14" spans="2:22" x14ac:dyDescent="0.5">
      <c r="B14" s="1" t="s">
        <v>250</v>
      </c>
      <c r="C14" t="s">
        <v>298</v>
      </c>
      <c r="D14" t="s">
        <v>299</v>
      </c>
      <c r="E14">
        <v>1.5</v>
      </c>
      <c r="F14" s="9" t="s">
        <v>68</v>
      </c>
      <c r="G14" s="7">
        <v>1774194176</v>
      </c>
      <c r="H14" s="6">
        <v>2.77</v>
      </c>
      <c r="I14" s="6">
        <v>1.36</v>
      </c>
      <c r="J14" s="12">
        <f t="shared" si="0"/>
        <v>0.10294117647058809</v>
      </c>
      <c r="K14" s="11">
        <v>4.0666666666666663E-2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0.64437132178560552</v>
      </c>
      <c r="Q14" s="12">
        <v>0.14567921288909008</v>
      </c>
      <c r="R14" s="14">
        <v>10</v>
      </c>
    </row>
    <row r="15" spans="2:22" x14ac:dyDescent="0.5">
      <c r="B15" s="1" t="s">
        <v>297</v>
      </c>
      <c r="C15" t="s">
        <v>355</v>
      </c>
      <c r="D15" t="s">
        <v>96</v>
      </c>
      <c r="E15">
        <v>6</v>
      </c>
      <c r="F15" s="9" t="s">
        <v>68</v>
      </c>
      <c r="G15" s="7">
        <v>12406091776</v>
      </c>
      <c r="H15" s="6">
        <v>6.7</v>
      </c>
      <c r="I15" s="6">
        <v>3.67</v>
      </c>
      <c r="J15" s="12">
        <f t="shared" si="0"/>
        <v>0.63487738419618522</v>
      </c>
      <c r="K15" s="11">
        <v>4.7166666666666662E-2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0.20679122018888835</v>
      </c>
      <c r="Q15" s="12">
        <v>0.16357040581906512</v>
      </c>
      <c r="R15" s="14">
        <v>12</v>
      </c>
    </row>
    <row r="16" spans="2:22" x14ac:dyDescent="0.5">
      <c r="B16" s="1" t="s">
        <v>254</v>
      </c>
      <c r="C16" t="s">
        <v>305</v>
      </c>
      <c r="D16" t="s">
        <v>306</v>
      </c>
      <c r="E16">
        <v>15.31</v>
      </c>
      <c r="F16" s="9" t="s">
        <v>68</v>
      </c>
      <c r="G16" s="7">
        <v>55024427008</v>
      </c>
      <c r="H16" s="6">
        <v>19.600000000000001</v>
      </c>
      <c r="I16" s="6">
        <v>9.56</v>
      </c>
      <c r="J16" s="12">
        <f t="shared" si="0"/>
        <v>0.60146443514644354</v>
      </c>
      <c r="K16" s="11">
        <v>2.2860875244937948E-2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0.27582194176826552</v>
      </c>
      <c r="Q16" s="12">
        <v>0.15251313559762292</v>
      </c>
      <c r="R16" s="14">
        <v>11</v>
      </c>
    </row>
    <row r="17" spans="2:18" x14ac:dyDescent="0.5">
      <c r="B17" s="1" t="s">
        <v>24</v>
      </c>
      <c r="C17" t="s">
        <v>82</v>
      </c>
      <c r="D17" t="s">
        <v>83</v>
      </c>
      <c r="E17">
        <v>24.36</v>
      </c>
      <c r="F17" s="9" t="s">
        <v>68</v>
      </c>
      <c r="G17" s="7">
        <v>49594253312</v>
      </c>
      <c r="H17" s="6">
        <v>26</v>
      </c>
      <c r="I17" s="6">
        <v>9.2200000000000006</v>
      </c>
      <c r="J17" s="12">
        <f t="shared" si="0"/>
        <v>1.6420824295010843</v>
      </c>
      <c r="K17" s="11">
        <v>4.597701149425288E-2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0.10977610088933179</v>
      </c>
      <c r="Q17" s="12">
        <v>0.20973136925592797</v>
      </c>
      <c r="R17" s="14">
        <v>28</v>
      </c>
    </row>
    <row r="18" spans="2:18" x14ac:dyDescent="0.5">
      <c r="B18" s="1" t="s">
        <v>294</v>
      </c>
      <c r="C18" t="s">
        <v>352</v>
      </c>
      <c r="D18" t="s">
        <v>77</v>
      </c>
      <c r="E18">
        <v>28.94</v>
      </c>
      <c r="F18" s="9" t="s">
        <v>68</v>
      </c>
      <c r="G18" s="7">
        <v>77531185152</v>
      </c>
      <c r="H18" s="6">
        <v>31.8</v>
      </c>
      <c r="I18" s="6">
        <v>15.7</v>
      </c>
      <c r="J18" s="12">
        <f t="shared" si="0"/>
        <v>0.84331210191082828</v>
      </c>
      <c r="K18" s="11">
        <v>1.2163096060815479E-2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0.10996689241414168</v>
      </c>
      <c r="Q18" s="12">
        <v>0.41587371596437778</v>
      </c>
      <c r="R18" s="14">
        <v>16</v>
      </c>
    </row>
    <row r="19" spans="2:18" x14ac:dyDescent="0.5">
      <c r="B19" s="1" t="s">
        <v>291</v>
      </c>
      <c r="C19" t="s">
        <v>349</v>
      </c>
      <c r="D19" t="s">
        <v>87</v>
      </c>
      <c r="E19">
        <v>8.51</v>
      </c>
      <c r="F19" s="9" t="s">
        <v>68</v>
      </c>
      <c r="G19" s="7">
        <v>109185171456</v>
      </c>
      <c r="H19" s="6">
        <v>8.9700000000000006</v>
      </c>
      <c r="I19" s="6">
        <v>5.73</v>
      </c>
      <c r="J19" s="12">
        <f t="shared" si="0"/>
        <v>0.48516579406631744</v>
      </c>
      <c r="K19" s="11">
        <v>9.0481786133960046E-3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0.16093982007037028</v>
      </c>
      <c r="Q19" s="12">
        <v>0.18273566673824351</v>
      </c>
      <c r="R19" s="14">
        <v>14</v>
      </c>
    </row>
    <row r="20" spans="2:18" x14ac:dyDescent="0.5">
      <c r="B20" s="1" t="s">
        <v>295</v>
      </c>
      <c r="C20" t="s">
        <v>353</v>
      </c>
      <c r="D20" t="s">
        <v>87</v>
      </c>
      <c r="E20">
        <v>0.97</v>
      </c>
      <c r="F20" s="9" t="s">
        <v>68</v>
      </c>
      <c r="G20" s="7">
        <v>2122858752</v>
      </c>
      <c r="H20" s="6">
        <v>0.97</v>
      </c>
      <c r="I20" s="6">
        <v>0.46</v>
      </c>
      <c r="J20" s="12">
        <f t="shared" si="0"/>
        <v>1.1086956521739131</v>
      </c>
      <c r="K20" s="11">
        <v>3.8144329896907213E-2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0.18900849947532009</v>
      </c>
      <c r="Q20" s="12">
        <v>0.14466826109721026</v>
      </c>
      <c r="R20" s="14">
        <v>25</v>
      </c>
    </row>
    <row r="21" spans="2:18" x14ac:dyDescent="0.5">
      <c r="B21" s="1" t="s">
        <v>32</v>
      </c>
      <c r="C21" t="s">
        <v>95</v>
      </c>
      <c r="D21" t="s">
        <v>96</v>
      </c>
      <c r="E21">
        <v>15.4</v>
      </c>
      <c r="F21" s="9" t="s">
        <v>68</v>
      </c>
      <c r="G21" s="7">
        <v>12891455488</v>
      </c>
      <c r="H21" s="6">
        <v>19.440000000000001</v>
      </c>
      <c r="I21" s="6">
        <v>12.5</v>
      </c>
      <c r="J21" s="12">
        <f t="shared" si="0"/>
        <v>0.23199999999999998</v>
      </c>
      <c r="K21" s="11">
        <v>8.5064935064935072E-3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0.15783489117778507</v>
      </c>
      <c r="Q21" s="12">
        <v>0.18009145491283626</v>
      </c>
      <c r="R21" s="14">
        <v>17</v>
      </c>
    </row>
    <row r="22" spans="2:18" x14ac:dyDescent="0.5">
      <c r="B22" s="1" t="s">
        <v>20</v>
      </c>
      <c r="C22" t="s">
        <v>73</v>
      </c>
      <c r="D22" t="s">
        <v>74</v>
      </c>
      <c r="E22">
        <v>3.46</v>
      </c>
      <c r="F22" s="9" t="s">
        <v>68</v>
      </c>
      <c r="G22" s="7">
        <v>3597735680</v>
      </c>
      <c r="H22" s="6">
        <v>3.74</v>
      </c>
      <c r="I22" s="6">
        <v>1.92</v>
      </c>
      <c r="J22" s="12">
        <f t="shared" si="0"/>
        <v>0.80208333333333348</v>
      </c>
      <c r="K22" s="11">
        <v>8.2080924855491316E-2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0.17550599700926689</v>
      </c>
      <c r="Q22" s="12">
        <v>0.15218339726363278</v>
      </c>
      <c r="R22" s="14">
        <v>22</v>
      </c>
    </row>
    <row r="23" spans="2:18" x14ac:dyDescent="0.5">
      <c r="B23" s="1" t="s">
        <v>23</v>
      </c>
      <c r="C23" t="s">
        <v>80</v>
      </c>
      <c r="D23" t="s">
        <v>81</v>
      </c>
      <c r="E23">
        <v>6.93</v>
      </c>
      <c r="F23" s="9" t="s">
        <v>68</v>
      </c>
      <c r="G23" s="7">
        <v>60006871040</v>
      </c>
      <c r="H23" s="6">
        <v>8.6199999999999992</v>
      </c>
      <c r="I23" s="6">
        <v>6.91</v>
      </c>
      <c r="J23" s="12">
        <f t="shared" si="0"/>
        <v>2.8943560057885787E-3</v>
      </c>
      <c r="K23" s="11">
        <v>4.5887445887445893E-2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0.25538579675740597</v>
      </c>
      <c r="Q23" s="12">
        <v>0.15165160081705431</v>
      </c>
      <c r="R23" s="14">
        <v>13</v>
      </c>
    </row>
    <row r="24" spans="2:18" x14ac:dyDescent="0.5">
      <c r="B24" s="1" t="s">
        <v>22</v>
      </c>
      <c r="C24" t="s">
        <v>78</v>
      </c>
      <c r="D24" t="s">
        <v>79</v>
      </c>
      <c r="E24">
        <v>9.31</v>
      </c>
      <c r="F24" s="9" t="s">
        <v>68</v>
      </c>
      <c r="G24" s="7">
        <v>151367434240</v>
      </c>
      <c r="H24" s="6">
        <v>10.76</v>
      </c>
      <c r="I24" s="6">
        <v>7.16</v>
      </c>
      <c r="J24" s="12">
        <f t="shared" si="0"/>
        <v>0.30027932960893855</v>
      </c>
      <c r="K24" s="11">
        <v>4.5542427497314714E-2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0.18647481183531348</v>
      </c>
      <c r="Q24" s="12">
        <v>0.15266623500015464</v>
      </c>
      <c r="R24" s="14">
        <v>19</v>
      </c>
    </row>
    <row r="25" spans="2:18" x14ac:dyDescent="0.5">
      <c r="B25" s="1" t="s">
        <v>289</v>
      </c>
      <c r="C25" t="s">
        <v>347</v>
      </c>
      <c r="D25" t="s">
        <v>71</v>
      </c>
      <c r="E25">
        <v>3.7</v>
      </c>
      <c r="F25" s="9" t="s">
        <v>68</v>
      </c>
      <c r="G25" s="7">
        <v>2124465920</v>
      </c>
      <c r="H25" s="6">
        <v>4.84</v>
      </c>
      <c r="I25" s="6">
        <v>2.8</v>
      </c>
      <c r="J25" s="12">
        <f t="shared" si="0"/>
        <v>0.32142857142857162</v>
      </c>
      <c r="K25" s="11">
        <v>7.0270270270270274E-2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0.12266974910077387</v>
      </c>
      <c r="Q25" s="12">
        <v>0.12269104771613493</v>
      </c>
      <c r="R25" s="14">
        <v>44</v>
      </c>
    </row>
    <row r="26" spans="2:18" x14ac:dyDescent="0.5">
      <c r="B26" s="1" t="s">
        <v>274</v>
      </c>
      <c r="C26" t="s">
        <v>330</v>
      </c>
      <c r="D26" t="s">
        <v>96</v>
      </c>
      <c r="E26">
        <v>13.38</v>
      </c>
      <c r="F26" s="9" t="s">
        <v>68</v>
      </c>
      <c r="G26" s="7">
        <v>21467279360</v>
      </c>
      <c r="H26" s="6">
        <v>18.399999999999999</v>
      </c>
      <c r="I26" s="6">
        <v>9.6300000000000008</v>
      </c>
      <c r="J26" s="12">
        <f t="shared" si="0"/>
        <v>0.38940809968847345</v>
      </c>
      <c r="K26" s="11">
        <v>1.2481315396113602E-2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0.21130753794888338</v>
      </c>
      <c r="Q26" s="12">
        <v>0.12218132992627646</v>
      </c>
      <c r="R26" s="14">
        <v>26</v>
      </c>
    </row>
    <row r="27" spans="2:18" x14ac:dyDescent="0.5">
      <c r="B27" s="1" t="s">
        <v>287</v>
      </c>
      <c r="C27" t="s">
        <v>345</v>
      </c>
      <c r="D27" t="s">
        <v>75</v>
      </c>
      <c r="E27">
        <v>5.85</v>
      </c>
      <c r="F27" s="9" t="s">
        <v>68</v>
      </c>
      <c r="G27" s="7">
        <v>15772417024</v>
      </c>
      <c r="H27" s="6">
        <v>7.13</v>
      </c>
      <c r="I27" s="6">
        <v>4.46</v>
      </c>
      <c r="J27" s="12">
        <f t="shared" si="0"/>
        <v>0.31165919282511201</v>
      </c>
      <c r="K27" s="11">
        <v>4.256410256410257E-2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0.13711601124424452</v>
      </c>
      <c r="Q27" s="12">
        <v>0.17526328902672489</v>
      </c>
      <c r="R27" s="14">
        <v>24</v>
      </c>
    </row>
    <row r="28" spans="2:18" x14ac:dyDescent="0.5">
      <c r="B28" s="1" t="s">
        <v>284</v>
      </c>
      <c r="C28" t="s">
        <v>342</v>
      </c>
      <c r="D28" t="s">
        <v>61</v>
      </c>
      <c r="E28">
        <v>10.45</v>
      </c>
      <c r="F28" s="9" t="s">
        <v>68</v>
      </c>
      <c r="G28" s="7">
        <v>17116205056</v>
      </c>
      <c r="H28" s="6">
        <v>12.4</v>
      </c>
      <c r="I28" s="6">
        <v>9.1</v>
      </c>
      <c r="J28" s="12">
        <f t="shared" si="0"/>
        <v>0.14835164835164827</v>
      </c>
      <c r="K28" s="11">
        <v>5.7416267942583733E-2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0.24327830516081256</v>
      </c>
      <c r="Q28" s="12">
        <v>0.11773304155211949</v>
      </c>
      <c r="R28" s="14">
        <v>25</v>
      </c>
    </row>
    <row r="29" spans="2:18" x14ac:dyDescent="0.5">
      <c r="B29" s="1" t="s">
        <v>293</v>
      </c>
      <c r="C29" t="s">
        <v>351</v>
      </c>
      <c r="D29" t="s">
        <v>54</v>
      </c>
      <c r="E29">
        <v>4.34</v>
      </c>
      <c r="F29" s="9" t="s">
        <v>68</v>
      </c>
      <c r="G29" s="7">
        <v>16830880768</v>
      </c>
      <c r="H29" s="6">
        <v>6.97</v>
      </c>
      <c r="I29" s="6">
        <v>3.33</v>
      </c>
      <c r="J29" s="12">
        <f t="shared" si="0"/>
        <v>0.30330330330330324</v>
      </c>
      <c r="K29" s="11">
        <v>6.2211981566820285E-2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0.15813780352298007</v>
      </c>
      <c r="Q29" s="12">
        <v>0.16681818624944278</v>
      </c>
      <c r="R29" s="14">
        <v>20</v>
      </c>
    </row>
    <row r="30" spans="2:18" x14ac:dyDescent="0.5">
      <c r="B30" s="1" t="s">
        <v>292</v>
      </c>
      <c r="C30" t="s">
        <v>350</v>
      </c>
      <c r="D30" t="s">
        <v>239</v>
      </c>
      <c r="E30">
        <v>13.26</v>
      </c>
      <c r="F30" s="9" t="s">
        <v>68</v>
      </c>
      <c r="G30" s="7">
        <v>13138719744</v>
      </c>
      <c r="H30" s="6">
        <v>13.32</v>
      </c>
      <c r="I30" s="6">
        <v>5.43</v>
      </c>
      <c r="J30" s="12">
        <f t="shared" si="0"/>
        <v>1.4419889502762433</v>
      </c>
      <c r="K30" s="11">
        <v>2.6696832579185519E-2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0.10990262923289355</v>
      </c>
      <c r="Q30" s="12">
        <v>0.16622802330680692</v>
      </c>
      <c r="R30" s="14">
        <v>39</v>
      </c>
    </row>
    <row r="31" spans="2:18" x14ac:dyDescent="0.5">
      <c r="B31" s="1" t="s">
        <v>201</v>
      </c>
      <c r="C31" t="s">
        <v>225</v>
      </c>
      <c r="D31" t="s">
        <v>226</v>
      </c>
      <c r="E31">
        <v>0.67</v>
      </c>
      <c r="F31" s="9" t="s">
        <v>68</v>
      </c>
      <c r="G31" s="7">
        <v>1596078080</v>
      </c>
      <c r="H31" s="6">
        <v>0.79</v>
      </c>
      <c r="I31" s="6">
        <v>0.55000000000000004</v>
      </c>
      <c r="J31" s="12">
        <f t="shared" si="0"/>
        <v>0.21818181818181825</v>
      </c>
      <c r="K31" s="11">
        <v>1.4925373134328358E-2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1.403573731029494</v>
      </c>
      <c r="Q31" s="12">
        <v>9.2370860611101543E-2</v>
      </c>
      <c r="R31" s="14">
        <v>29</v>
      </c>
    </row>
    <row r="32" spans="2:18" x14ac:dyDescent="0.5">
      <c r="B32" s="1" t="s">
        <v>27</v>
      </c>
      <c r="C32" t="s">
        <v>88</v>
      </c>
      <c r="D32" t="s">
        <v>89</v>
      </c>
      <c r="E32">
        <v>5.73</v>
      </c>
      <c r="F32" s="9" t="s">
        <v>68</v>
      </c>
      <c r="G32" s="7">
        <v>6072894464</v>
      </c>
      <c r="H32" s="6">
        <v>7.12</v>
      </c>
      <c r="I32" s="6">
        <v>3.98</v>
      </c>
      <c r="J32" s="12">
        <f t="shared" si="0"/>
        <v>0.43969849246231174</v>
      </c>
      <c r="K32" s="11">
        <v>8.7260034904013961E-2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0.28169216267245795</v>
      </c>
      <c r="Q32" s="12">
        <v>0.11511220438953086</v>
      </c>
      <c r="R32" s="14">
        <v>23</v>
      </c>
    </row>
    <row r="33" spans="2:18" x14ac:dyDescent="0.5">
      <c r="B33" s="1" t="s">
        <v>25</v>
      </c>
      <c r="C33" t="s">
        <v>84</v>
      </c>
      <c r="D33" t="s">
        <v>50</v>
      </c>
      <c r="E33">
        <v>11.2</v>
      </c>
      <c r="F33" s="9" t="s">
        <v>68</v>
      </c>
      <c r="G33" s="7">
        <v>13948692480</v>
      </c>
      <c r="H33" s="6">
        <v>11.68</v>
      </c>
      <c r="I33" s="6">
        <v>3.89</v>
      </c>
      <c r="J33" s="12">
        <f t="shared" si="0"/>
        <v>1.8791773778920304</v>
      </c>
      <c r="K33" s="11">
        <v>1.2589285714285714E-2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8.5689326349659811E-2</v>
      </c>
      <c r="Q33" s="12">
        <v>0.17514380877385538</v>
      </c>
      <c r="R33" s="14">
        <v>47</v>
      </c>
    </row>
    <row r="34" spans="2:18" x14ac:dyDescent="0.5">
      <c r="B34" s="1" t="s">
        <v>34</v>
      </c>
      <c r="C34" t="s">
        <v>99</v>
      </c>
      <c r="D34" t="s">
        <v>71</v>
      </c>
      <c r="E34">
        <v>4.68</v>
      </c>
      <c r="F34" s="9" t="s">
        <v>68</v>
      </c>
      <c r="G34" s="7">
        <v>53838757888</v>
      </c>
      <c r="H34" s="6">
        <v>5.14</v>
      </c>
      <c r="I34" s="6">
        <v>3.46</v>
      </c>
      <c r="J34" s="12">
        <f t="shared" ref="J34:J65" si="1">E34/I34-1</f>
        <v>0.35260115606936404</v>
      </c>
      <c r="K34" s="11">
        <v>5.5769230769230772E-2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0.11015080351555914</v>
      </c>
      <c r="Q34" s="12">
        <v>0.29719681912231338</v>
      </c>
      <c r="R34" s="14">
        <v>18</v>
      </c>
    </row>
    <row r="35" spans="2:18" x14ac:dyDescent="0.5">
      <c r="B35" s="1" t="s">
        <v>290</v>
      </c>
      <c r="C35" t="s">
        <v>348</v>
      </c>
      <c r="D35" t="s">
        <v>50</v>
      </c>
      <c r="E35">
        <v>12</v>
      </c>
      <c r="F35" s="9" t="s">
        <v>68</v>
      </c>
      <c r="G35" s="7">
        <v>26835312640</v>
      </c>
      <c r="H35" s="6">
        <v>12.28</v>
      </c>
      <c r="I35" s="6">
        <v>2.36</v>
      </c>
      <c r="J35" s="12">
        <f t="shared" si="1"/>
        <v>4.0847457627118651</v>
      </c>
      <c r="K35" s="11">
        <v>1.925E-2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0.12777168131853936</v>
      </c>
      <c r="Q35" s="12">
        <v>9.29654274042198E-2</v>
      </c>
      <c r="R35" s="14">
        <v>58</v>
      </c>
    </row>
    <row r="36" spans="2:18" x14ac:dyDescent="0.5">
      <c r="B36" s="1" t="s">
        <v>143</v>
      </c>
      <c r="C36" t="s">
        <v>192</v>
      </c>
      <c r="D36" t="s">
        <v>181</v>
      </c>
      <c r="E36">
        <v>11.8</v>
      </c>
      <c r="F36" s="9" t="s">
        <v>68</v>
      </c>
      <c r="G36" s="7">
        <v>146374983680</v>
      </c>
      <c r="H36" s="6">
        <v>13.6</v>
      </c>
      <c r="I36" s="6">
        <v>6.57</v>
      </c>
      <c r="J36" s="12">
        <f t="shared" si="1"/>
        <v>0.7960426179604263</v>
      </c>
      <c r="K36" s="11">
        <v>4.2372881355932203E-3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0.11236083560409105</v>
      </c>
      <c r="Q36" s="12">
        <v>0.19681397761416858</v>
      </c>
      <c r="R36" s="14">
        <v>28</v>
      </c>
    </row>
    <row r="37" spans="2:18" x14ac:dyDescent="0.5">
      <c r="B37" s="1" t="s">
        <v>288</v>
      </c>
      <c r="C37" t="s">
        <v>346</v>
      </c>
      <c r="D37" t="s">
        <v>98</v>
      </c>
      <c r="E37">
        <v>4.68</v>
      </c>
      <c r="F37" s="9" t="s">
        <v>68</v>
      </c>
      <c r="G37" s="7">
        <v>5152453120</v>
      </c>
      <c r="H37" s="6">
        <v>4.8099999999999996</v>
      </c>
      <c r="I37" s="6">
        <v>3.91</v>
      </c>
      <c r="J37" s="12">
        <f t="shared" si="1"/>
        <v>0.19693094629156005</v>
      </c>
      <c r="K37" s="11">
        <v>6.8376068376068383E-2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0.16859929481524605</v>
      </c>
      <c r="Q37" s="12">
        <v>0.14577225152582682</v>
      </c>
      <c r="R37" s="14">
        <v>27</v>
      </c>
    </row>
    <row r="38" spans="2:18" x14ac:dyDescent="0.5">
      <c r="B38" s="1" t="s">
        <v>124</v>
      </c>
      <c r="C38" t="s">
        <v>165</v>
      </c>
      <c r="D38" t="s">
        <v>77</v>
      </c>
      <c r="E38">
        <v>5.92</v>
      </c>
      <c r="F38" s="9" t="s">
        <v>68</v>
      </c>
      <c r="G38" s="7">
        <v>8678551552</v>
      </c>
      <c r="H38" s="6">
        <v>6.57</v>
      </c>
      <c r="I38" s="6">
        <v>4.0199999999999996</v>
      </c>
      <c r="J38" s="12">
        <f t="shared" si="1"/>
        <v>0.47263681592039819</v>
      </c>
      <c r="K38" s="11">
        <v>9.2060810810810814E-2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0.26524471149224343</v>
      </c>
      <c r="Q38" s="12">
        <v>9.9663185641922489E-2</v>
      </c>
      <c r="R38" s="14">
        <v>32</v>
      </c>
    </row>
    <row r="39" spans="2:18" x14ac:dyDescent="0.5">
      <c r="B39" s="1" t="s">
        <v>19</v>
      </c>
      <c r="C39" t="s">
        <v>70</v>
      </c>
      <c r="D39" t="s">
        <v>71</v>
      </c>
      <c r="E39">
        <v>6.81</v>
      </c>
      <c r="F39" s="9" t="s">
        <v>68</v>
      </c>
      <c r="G39" s="7">
        <v>19427717120</v>
      </c>
      <c r="H39" s="6">
        <v>7.3</v>
      </c>
      <c r="I39" s="6">
        <v>3.6</v>
      </c>
      <c r="J39" s="12">
        <f t="shared" si="1"/>
        <v>0.89166666666666661</v>
      </c>
      <c r="K39" s="11">
        <v>6.6079295154185024E-3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0.11406995829313653</v>
      </c>
      <c r="Q39" s="12">
        <v>0.15459217096529801</v>
      </c>
      <c r="R39" s="14">
        <v>37</v>
      </c>
    </row>
    <row r="40" spans="2:18" x14ac:dyDescent="0.5">
      <c r="B40" s="1" t="s">
        <v>286</v>
      </c>
      <c r="C40" t="s">
        <v>344</v>
      </c>
      <c r="D40" t="s">
        <v>98</v>
      </c>
      <c r="E40">
        <v>4.5999999999999996</v>
      </c>
      <c r="F40" s="9" t="s">
        <v>68</v>
      </c>
      <c r="G40" s="7">
        <v>31859685376</v>
      </c>
      <c r="H40" s="6">
        <v>6.15</v>
      </c>
      <c r="I40" s="6">
        <v>3.78</v>
      </c>
      <c r="J40" s="12">
        <f t="shared" si="1"/>
        <v>0.21693121693121697</v>
      </c>
      <c r="K40" s="11">
        <v>4.7608695652173919E-2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0.3452589743141064</v>
      </c>
      <c r="Q40" s="12">
        <v>9.1377422623841298E-2</v>
      </c>
      <c r="R40" s="14">
        <v>36</v>
      </c>
    </row>
    <row r="41" spans="2:18" x14ac:dyDescent="0.5">
      <c r="B41" s="1" t="s">
        <v>276</v>
      </c>
      <c r="C41" t="s">
        <v>332</v>
      </c>
      <c r="D41" t="s">
        <v>304</v>
      </c>
      <c r="E41">
        <v>3.81</v>
      </c>
      <c r="F41" s="9" t="s">
        <v>68</v>
      </c>
      <c r="G41" s="7">
        <v>43820802048</v>
      </c>
      <c r="H41" s="6">
        <v>4.54</v>
      </c>
      <c r="I41" s="6">
        <v>2.5</v>
      </c>
      <c r="J41" s="12">
        <f t="shared" si="1"/>
        <v>0.52400000000000002</v>
      </c>
      <c r="K41" s="11">
        <v>4.9868766404199474E-2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0.17301562481376109</v>
      </c>
      <c r="Q41" s="12">
        <v>0.11538320116682396</v>
      </c>
      <c r="R41" s="14">
        <v>35</v>
      </c>
    </row>
    <row r="42" spans="2:18" x14ac:dyDescent="0.5">
      <c r="B42" s="1" t="s">
        <v>280</v>
      </c>
      <c r="C42" t="s">
        <v>338</v>
      </c>
      <c r="D42" t="s">
        <v>151</v>
      </c>
      <c r="E42">
        <v>29.34</v>
      </c>
      <c r="F42" s="9" t="s">
        <v>68</v>
      </c>
      <c r="G42" s="7">
        <v>209221763072</v>
      </c>
      <c r="H42" s="6">
        <v>34.119999999999997</v>
      </c>
      <c r="I42" s="6">
        <v>21</v>
      </c>
      <c r="J42" s="12">
        <f t="shared" si="1"/>
        <v>0.39714285714285724</v>
      </c>
      <c r="K42" s="11">
        <v>4.4955691888207222E-2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0.18493103960939825</v>
      </c>
      <c r="Q42" s="12">
        <v>0.11493949471384535</v>
      </c>
      <c r="R42" s="14">
        <v>35</v>
      </c>
    </row>
    <row r="43" spans="2:18" x14ac:dyDescent="0.5">
      <c r="B43" s="1" t="s">
        <v>139</v>
      </c>
      <c r="C43" t="s">
        <v>186</v>
      </c>
      <c r="D43" t="s">
        <v>87</v>
      </c>
      <c r="E43">
        <v>10.46</v>
      </c>
      <c r="F43" s="9" t="s">
        <v>68</v>
      </c>
      <c r="G43" s="7">
        <v>58957963264</v>
      </c>
      <c r="H43" s="6">
        <v>14.24</v>
      </c>
      <c r="I43" s="6">
        <v>9.6199999999999992</v>
      </c>
      <c r="J43" s="12">
        <f t="shared" si="1"/>
        <v>8.7318087318087434E-2</v>
      </c>
      <c r="K43" s="11">
        <v>3.1644359464627153E-2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0.10595851652783941</v>
      </c>
      <c r="Q43" s="12">
        <v>0.23588267049650188</v>
      </c>
      <c r="R43" s="14">
        <v>30</v>
      </c>
    </row>
    <row r="44" spans="2:18" x14ac:dyDescent="0.5">
      <c r="B44" s="1" t="s">
        <v>29</v>
      </c>
      <c r="C44" t="s">
        <v>91</v>
      </c>
      <c r="D44" t="s">
        <v>87</v>
      </c>
      <c r="E44">
        <v>5.33</v>
      </c>
      <c r="F44" s="9" t="s">
        <v>68</v>
      </c>
      <c r="G44" s="7">
        <v>62910369792</v>
      </c>
      <c r="H44" s="6">
        <v>5.97</v>
      </c>
      <c r="I44" s="6">
        <v>4.34</v>
      </c>
      <c r="J44" s="12">
        <f t="shared" si="1"/>
        <v>0.22811059907834097</v>
      </c>
      <c r="K44" s="11">
        <v>2.7767354596622888E-2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0.1077025981092064</v>
      </c>
      <c r="Q44" s="12">
        <v>0.27010748742934609</v>
      </c>
      <c r="R44" s="14">
        <v>26</v>
      </c>
    </row>
    <row r="45" spans="2:18" x14ac:dyDescent="0.5">
      <c r="B45" s="1" t="s">
        <v>118</v>
      </c>
      <c r="C45" t="s">
        <v>158</v>
      </c>
      <c r="D45" t="s">
        <v>85</v>
      </c>
      <c r="E45">
        <v>93.05</v>
      </c>
      <c r="F45" s="9" t="s">
        <v>68</v>
      </c>
      <c r="G45" s="7">
        <v>258097561600</v>
      </c>
      <c r="H45" s="6">
        <v>107.5</v>
      </c>
      <c r="I45" s="6">
        <v>73.55</v>
      </c>
      <c r="J45" s="12">
        <f t="shared" si="1"/>
        <v>0.26512576478586003</v>
      </c>
      <c r="K45" s="11">
        <v>2.5470177324019346E-2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8.7143585079025143E-2</v>
      </c>
      <c r="Q45" s="12">
        <v>0.27269973953601068</v>
      </c>
      <c r="R45" s="14">
        <v>33</v>
      </c>
    </row>
    <row r="46" spans="2:18" x14ac:dyDescent="0.5">
      <c r="B46" s="1" t="s">
        <v>282</v>
      </c>
      <c r="C46" t="s">
        <v>340</v>
      </c>
      <c r="D46" t="s">
        <v>56</v>
      </c>
      <c r="E46">
        <v>10.65</v>
      </c>
      <c r="F46" s="9" t="s">
        <v>68</v>
      </c>
      <c r="G46" s="7">
        <v>26846920704</v>
      </c>
      <c r="H46" s="6">
        <v>11.3</v>
      </c>
      <c r="I46" s="6">
        <v>4.72</v>
      </c>
      <c r="J46" s="12">
        <f t="shared" si="1"/>
        <v>1.2563559322033901</v>
      </c>
      <c r="K46" s="11">
        <v>2.9859154929577466E-2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0.14327474207165747</v>
      </c>
      <c r="Q46" s="12">
        <v>0.15134190781174311</v>
      </c>
      <c r="R46" s="14">
        <v>30</v>
      </c>
    </row>
    <row r="47" spans="2:18" x14ac:dyDescent="0.5">
      <c r="B47" s="1" t="s">
        <v>281</v>
      </c>
      <c r="C47" t="s">
        <v>339</v>
      </c>
      <c r="D47" t="s">
        <v>54</v>
      </c>
      <c r="E47">
        <v>25.6</v>
      </c>
      <c r="F47" s="9" t="s">
        <v>68</v>
      </c>
      <c r="G47" s="7">
        <v>259027533824</v>
      </c>
      <c r="H47" s="6">
        <v>36.450000000000003</v>
      </c>
      <c r="I47" s="6">
        <v>19.239999999999998</v>
      </c>
      <c r="J47" s="12">
        <f t="shared" si="1"/>
        <v>0.33056133056133064</v>
      </c>
      <c r="K47" s="11">
        <v>4.8203124999999999E-2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0.11006047254353818</v>
      </c>
      <c r="Q47" s="12">
        <v>0.18884873513587705</v>
      </c>
      <c r="R47" s="14">
        <v>31</v>
      </c>
    </row>
    <row r="48" spans="2:18" x14ac:dyDescent="0.5">
      <c r="B48" s="1" t="s">
        <v>278</v>
      </c>
      <c r="C48" t="s">
        <v>334</v>
      </c>
      <c r="D48" t="s">
        <v>335</v>
      </c>
      <c r="E48">
        <v>7.85</v>
      </c>
      <c r="F48" s="9" t="s">
        <v>68</v>
      </c>
      <c r="G48" s="7">
        <v>10065544192</v>
      </c>
      <c r="H48" s="6">
        <v>7.97</v>
      </c>
      <c r="I48" s="6">
        <v>3.73</v>
      </c>
      <c r="J48" s="12">
        <f t="shared" si="1"/>
        <v>1.1045576407506701</v>
      </c>
      <c r="K48" s="11">
        <v>3.3121019108280254E-2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0.13291863151155034</v>
      </c>
      <c r="Q48" s="12">
        <v>0.1318118502166547</v>
      </c>
      <c r="R48" s="14">
        <v>42</v>
      </c>
    </row>
    <row r="49" spans="2:18" x14ac:dyDescent="0.5">
      <c r="B49" s="1" t="s">
        <v>273</v>
      </c>
      <c r="C49" t="s">
        <v>329</v>
      </c>
      <c r="D49" t="s">
        <v>87</v>
      </c>
      <c r="E49">
        <v>11.5</v>
      </c>
      <c r="F49" s="9" t="s">
        <v>68</v>
      </c>
      <c r="G49" s="7">
        <v>2699302912</v>
      </c>
      <c r="H49" s="6">
        <v>17</v>
      </c>
      <c r="I49" s="6">
        <v>8</v>
      </c>
      <c r="J49" s="12">
        <f t="shared" si="1"/>
        <v>0.4375</v>
      </c>
      <c r="K49" s="11">
        <v>4.1739130434782605E-2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0.24559520710867622</v>
      </c>
      <c r="Q49" s="12">
        <v>8.4294835486117978E-2</v>
      </c>
      <c r="R49" s="14">
        <v>43</v>
      </c>
    </row>
    <row r="50" spans="2:18" x14ac:dyDescent="0.5">
      <c r="B50" s="1" t="s">
        <v>142</v>
      </c>
      <c r="C50" t="s">
        <v>190</v>
      </c>
      <c r="D50" t="s">
        <v>109</v>
      </c>
      <c r="E50">
        <v>47.78</v>
      </c>
      <c r="F50" s="9" t="s">
        <v>68</v>
      </c>
      <c r="G50" s="7">
        <v>122260602880</v>
      </c>
      <c r="H50" s="6">
        <v>71.7</v>
      </c>
      <c r="I50" s="6">
        <v>39.549999999999997</v>
      </c>
      <c r="J50" s="12">
        <f t="shared" si="1"/>
        <v>0.20809102402022761</v>
      </c>
      <c r="K50" s="11">
        <v>3.4323984930933445E-3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8.1258173873011416E-2</v>
      </c>
      <c r="Q50" s="12">
        <v>0.26583067696212276</v>
      </c>
      <c r="R50" s="14">
        <v>38</v>
      </c>
    </row>
    <row r="51" spans="2:18" x14ac:dyDescent="0.5">
      <c r="B51" s="1" t="s">
        <v>271</v>
      </c>
      <c r="C51" t="s">
        <v>326</v>
      </c>
      <c r="D51" t="s">
        <v>174</v>
      </c>
      <c r="E51">
        <v>101.5</v>
      </c>
      <c r="F51" s="9" t="s">
        <v>68</v>
      </c>
      <c r="G51" s="7">
        <v>24849766400</v>
      </c>
      <c r="H51" s="6">
        <v>102.4</v>
      </c>
      <c r="I51" s="6">
        <v>58.2</v>
      </c>
      <c r="J51" s="12">
        <f t="shared" si="1"/>
        <v>0.74398625429553267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0.16209379175983013</v>
      </c>
      <c r="Q51" s="12">
        <v>9.8446219337080781E-2</v>
      </c>
      <c r="R51" s="14">
        <v>45</v>
      </c>
    </row>
    <row r="52" spans="2:18" x14ac:dyDescent="0.5">
      <c r="B52" s="1" t="s">
        <v>283</v>
      </c>
      <c r="C52" t="s">
        <v>341</v>
      </c>
      <c r="D52" t="s">
        <v>50</v>
      </c>
      <c r="E52">
        <v>21.78</v>
      </c>
      <c r="F52" s="9" t="s">
        <v>68</v>
      </c>
      <c r="G52" s="7">
        <v>34760880128</v>
      </c>
      <c r="H52" s="6">
        <v>27.35</v>
      </c>
      <c r="I52" s="6">
        <v>16.18</v>
      </c>
      <c r="J52" s="12">
        <f t="shared" si="1"/>
        <v>0.34610630407911014</v>
      </c>
      <c r="K52" s="11">
        <v>3.1496786042240592E-2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0.11955376205864067</v>
      </c>
      <c r="Q52" s="12">
        <v>0.1667375806872122</v>
      </c>
      <c r="R52" s="14">
        <v>31</v>
      </c>
    </row>
    <row r="53" spans="2:18" x14ac:dyDescent="0.5">
      <c r="B53" s="1" t="s">
        <v>272</v>
      </c>
      <c r="C53" t="s">
        <v>327</v>
      </c>
      <c r="D53" t="s">
        <v>328</v>
      </c>
      <c r="E53">
        <v>8</v>
      </c>
      <c r="F53" s="9" t="s">
        <v>68</v>
      </c>
      <c r="G53" s="7">
        <v>16226221056</v>
      </c>
      <c r="H53" s="6">
        <v>8.09</v>
      </c>
      <c r="I53" s="6">
        <v>5.31</v>
      </c>
      <c r="J53" s="12">
        <f t="shared" si="1"/>
        <v>0.50659133709981186</v>
      </c>
      <c r="K53" s="11">
        <v>3.3750000000000002E-2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0.13873636168299183</v>
      </c>
      <c r="Q53" s="12">
        <v>0.10614925092863724</v>
      </c>
      <c r="R53" s="14">
        <v>47</v>
      </c>
    </row>
    <row r="54" spans="2:18" x14ac:dyDescent="0.5">
      <c r="B54" s="1" t="s">
        <v>275</v>
      </c>
      <c r="C54" t="s">
        <v>331</v>
      </c>
      <c r="D54" t="s">
        <v>96</v>
      </c>
      <c r="E54">
        <v>0.5</v>
      </c>
      <c r="F54" s="9" t="s">
        <v>68</v>
      </c>
      <c r="G54" s="7">
        <v>2591857408</v>
      </c>
      <c r="H54" s="6">
        <v>0.68</v>
      </c>
      <c r="I54" s="6">
        <v>0.46</v>
      </c>
      <c r="J54" s="12">
        <f t="shared" si="1"/>
        <v>8.6956521739130377E-2</v>
      </c>
      <c r="K54" s="11">
        <v>0.04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0.30066262344298844</v>
      </c>
      <c r="Q54" s="12">
        <v>8.5775443346640556E-2</v>
      </c>
      <c r="R54" s="14">
        <v>40</v>
      </c>
    </row>
    <row r="55" spans="2:18" x14ac:dyDescent="0.5">
      <c r="B55" s="1" t="s">
        <v>279</v>
      </c>
      <c r="C55" t="s">
        <v>336</v>
      </c>
      <c r="D55" t="s">
        <v>337</v>
      </c>
      <c r="E55">
        <v>2.94</v>
      </c>
      <c r="F55" s="9" t="s">
        <v>68</v>
      </c>
      <c r="G55" s="7">
        <v>6676926464</v>
      </c>
      <c r="H55" s="6">
        <v>4.79</v>
      </c>
      <c r="I55" s="6">
        <v>2.82</v>
      </c>
      <c r="J55" s="12">
        <f t="shared" si="1"/>
        <v>4.2553191489361764E-2</v>
      </c>
      <c r="K55" s="11">
        <v>5.2380952380952382E-2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0.18989219966124232</v>
      </c>
      <c r="Q55" s="12">
        <v>0.14788755315990715</v>
      </c>
      <c r="R55" s="14">
        <v>22</v>
      </c>
    </row>
    <row r="56" spans="2:18" x14ac:dyDescent="0.5">
      <c r="B56" s="1" t="s">
        <v>285</v>
      </c>
      <c r="C56" t="s">
        <v>343</v>
      </c>
      <c r="D56" t="s">
        <v>181</v>
      </c>
      <c r="E56">
        <v>6.36</v>
      </c>
      <c r="F56" s="9" t="s">
        <v>68</v>
      </c>
      <c r="G56" s="7">
        <v>2747640576</v>
      </c>
      <c r="H56" s="6">
        <v>14.18</v>
      </c>
      <c r="I56" s="6">
        <v>4.3</v>
      </c>
      <c r="J56" s="12">
        <f t="shared" si="1"/>
        <v>0.47906976744186069</v>
      </c>
      <c r="K56" s="11">
        <v>6.2893081761006289E-2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0.25906408252725505</v>
      </c>
      <c r="Q56" s="12">
        <v>9.4606035666412708E-2</v>
      </c>
      <c r="R56" s="14">
        <v>36</v>
      </c>
    </row>
    <row r="57" spans="2:18" x14ac:dyDescent="0.5">
      <c r="B57" s="1" t="s">
        <v>270</v>
      </c>
      <c r="C57" t="s">
        <v>325</v>
      </c>
      <c r="D57" t="s">
        <v>308</v>
      </c>
      <c r="E57">
        <v>6.71</v>
      </c>
      <c r="F57" s="9" t="s">
        <v>68</v>
      </c>
      <c r="G57" s="7">
        <v>29483900928</v>
      </c>
      <c r="H57" s="6">
        <v>7.44</v>
      </c>
      <c r="I57" s="6">
        <v>4.8</v>
      </c>
      <c r="J57" s="12">
        <f t="shared" si="1"/>
        <v>0.3979166666666667</v>
      </c>
      <c r="K57" s="11">
        <v>5.4843517138599106E-2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0.17453893146151481</v>
      </c>
      <c r="Q57" s="12">
        <v>9.2221214358852555E-2</v>
      </c>
      <c r="R57" s="14">
        <v>48</v>
      </c>
    </row>
    <row r="58" spans="2:18" x14ac:dyDescent="0.5">
      <c r="B58" s="1" t="s">
        <v>267</v>
      </c>
      <c r="C58" t="s">
        <v>321</v>
      </c>
      <c r="D58" t="s">
        <v>322</v>
      </c>
      <c r="E58">
        <v>8.74</v>
      </c>
      <c r="F58" s="9" t="s">
        <v>68</v>
      </c>
      <c r="G58" s="7">
        <v>21912018944</v>
      </c>
      <c r="H58" s="6">
        <v>10.06</v>
      </c>
      <c r="I58" s="6">
        <v>4.32</v>
      </c>
      <c r="J58" s="12">
        <f t="shared" si="1"/>
        <v>1.0231481481481479</v>
      </c>
      <c r="K58" s="11">
        <v>4.553775743707094E-2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0.13838203174423522</v>
      </c>
      <c r="Q58" s="12">
        <v>0.102358453189061</v>
      </c>
      <c r="R58" s="14">
        <v>50</v>
      </c>
    </row>
    <row r="59" spans="2:18" x14ac:dyDescent="0.5">
      <c r="B59" s="1" t="s">
        <v>113</v>
      </c>
      <c r="C59" t="s">
        <v>150</v>
      </c>
      <c r="D59" t="s">
        <v>151</v>
      </c>
      <c r="E59">
        <v>4.45</v>
      </c>
      <c r="F59" s="9" t="s">
        <v>68</v>
      </c>
      <c r="G59" s="7">
        <v>6387580928</v>
      </c>
      <c r="H59" s="6">
        <v>6.5</v>
      </c>
      <c r="I59" s="6">
        <v>2.73</v>
      </c>
      <c r="J59" s="12">
        <f t="shared" si="1"/>
        <v>0.63003663003663002</v>
      </c>
      <c r="K59" s="11">
        <v>8.7865168539325841E-2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0.14050025747545697</v>
      </c>
      <c r="Q59" s="12">
        <v>0.14675695119790894</v>
      </c>
      <c r="R59" s="14">
        <v>33</v>
      </c>
    </row>
    <row r="60" spans="2:18" x14ac:dyDescent="0.5">
      <c r="B60" s="1" t="s">
        <v>269</v>
      </c>
      <c r="C60" t="s">
        <v>324</v>
      </c>
      <c r="D60" t="s">
        <v>306</v>
      </c>
      <c r="E60">
        <v>4.25</v>
      </c>
      <c r="F60" s="9" t="s">
        <v>68</v>
      </c>
      <c r="G60" s="7">
        <v>3927603456</v>
      </c>
      <c r="H60" s="6">
        <v>5.59</v>
      </c>
      <c r="I60" s="6">
        <v>3.5</v>
      </c>
      <c r="J60" s="12">
        <f t="shared" si="1"/>
        <v>0.21428571428571419</v>
      </c>
      <c r="K60" s="11">
        <v>3.6470588235294116E-2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0.53585225196369668</v>
      </c>
      <c r="Q60" s="12">
        <v>6.460670188445812E-2</v>
      </c>
      <c r="R60" s="14">
        <v>42</v>
      </c>
    </row>
    <row r="61" spans="2:18" x14ac:dyDescent="0.5">
      <c r="B61" s="1" t="s">
        <v>35</v>
      </c>
      <c r="C61" t="s">
        <v>100</v>
      </c>
      <c r="D61" t="s">
        <v>101</v>
      </c>
      <c r="E61">
        <v>451.2</v>
      </c>
      <c r="F61" s="9" t="s">
        <v>68</v>
      </c>
      <c r="G61" s="7">
        <v>570275004416</v>
      </c>
      <c r="H61" s="6">
        <v>466</v>
      </c>
      <c r="I61" s="6">
        <v>271</v>
      </c>
      <c r="J61" s="12">
        <f t="shared" si="1"/>
        <v>0.66494464944649434</v>
      </c>
      <c r="K61" s="11">
        <v>2.4157801418439716E-2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4.7446957920042436E-2</v>
      </c>
      <c r="Q61" s="12">
        <v>0.38520389214885242</v>
      </c>
      <c r="R61" s="14">
        <v>45</v>
      </c>
    </row>
    <row r="62" spans="2:18" x14ac:dyDescent="0.5">
      <c r="B62" s="1" t="s">
        <v>133</v>
      </c>
      <c r="C62" t="s">
        <v>176</v>
      </c>
      <c r="D62" t="s">
        <v>177</v>
      </c>
      <c r="E62">
        <v>33.9</v>
      </c>
      <c r="F62" s="9" t="s">
        <v>68</v>
      </c>
      <c r="G62" s="7">
        <v>889601392640</v>
      </c>
      <c r="H62" s="6">
        <v>34.299999999999997</v>
      </c>
      <c r="I62" s="6">
        <v>13.86</v>
      </c>
      <c r="J62" s="12">
        <f t="shared" si="1"/>
        <v>1.445887445887446</v>
      </c>
      <c r="K62" s="11">
        <v>1.4749262536873156E-2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5.5189760357999565E-2</v>
      </c>
      <c r="Q62" s="12">
        <v>0.19428864891763736</v>
      </c>
      <c r="R62" s="14">
        <v>52</v>
      </c>
    </row>
    <row r="63" spans="2:18" x14ac:dyDescent="0.5">
      <c r="B63" s="1" t="s">
        <v>277</v>
      </c>
      <c r="C63" t="s">
        <v>333</v>
      </c>
      <c r="D63" t="s">
        <v>83</v>
      </c>
      <c r="E63">
        <v>2.96</v>
      </c>
      <c r="F63" s="9" t="s">
        <v>68</v>
      </c>
      <c r="G63" s="7">
        <v>12669095936</v>
      </c>
      <c r="H63" s="6">
        <v>3.55</v>
      </c>
      <c r="I63" s="6">
        <v>1.39</v>
      </c>
      <c r="J63" s="12">
        <f t="shared" si="1"/>
        <v>1.1294964028776979</v>
      </c>
      <c r="K63" s="11">
        <v>0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0.11562174454597236</v>
      </c>
      <c r="Q63" s="12">
        <v>0.11502419323187564</v>
      </c>
      <c r="R63" s="14">
        <v>52</v>
      </c>
    </row>
    <row r="64" spans="2:18" x14ac:dyDescent="0.5">
      <c r="B64" s="1" t="s">
        <v>119</v>
      </c>
      <c r="C64" t="s">
        <v>159</v>
      </c>
      <c r="D64" t="s">
        <v>85</v>
      </c>
      <c r="E64">
        <v>254</v>
      </c>
      <c r="F64" s="9" t="s">
        <v>68</v>
      </c>
      <c r="G64" s="7">
        <v>337829593088</v>
      </c>
      <c r="H64" s="6">
        <v>339.8</v>
      </c>
      <c r="I64" s="6">
        <v>52.5</v>
      </c>
      <c r="J64" s="12">
        <f t="shared" si="1"/>
        <v>3.8380952380952378</v>
      </c>
      <c r="K64" s="11">
        <v>3.2086614173228345E-3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1.4172129814928198E-2</v>
      </c>
      <c r="Q64" s="12">
        <v>0.41263985929711272</v>
      </c>
      <c r="R64" s="14">
        <v>49</v>
      </c>
    </row>
    <row r="65" spans="2:18" x14ac:dyDescent="0.5">
      <c r="B65" s="1" t="s">
        <v>138</v>
      </c>
      <c r="C65" t="s">
        <v>184</v>
      </c>
      <c r="D65" t="s">
        <v>185</v>
      </c>
      <c r="E65">
        <v>335.4</v>
      </c>
      <c r="F65" s="9" t="s">
        <v>68</v>
      </c>
      <c r="G65" s="7">
        <v>121996861440</v>
      </c>
      <c r="H65" s="6">
        <v>421.4</v>
      </c>
      <c r="I65" s="6">
        <v>324</v>
      </c>
      <c r="J65" s="12">
        <f t="shared" si="1"/>
        <v>3.5185185185185208E-2</v>
      </c>
      <c r="K65" s="11">
        <v>2.3852116875372692E-3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6.8393246627154763E-2</v>
      </c>
      <c r="Q65" s="12">
        <v>0.20495303159692571</v>
      </c>
      <c r="R65" s="14">
        <v>46</v>
      </c>
    </row>
    <row r="66" spans="2:18" x14ac:dyDescent="0.5">
      <c r="B66" s="1" t="s">
        <v>265</v>
      </c>
      <c r="C66" t="s">
        <v>318</v>
      </c>
      <c r="D66" t="s">
        <v>319</v>
      </c>
      <c r="E66">
        <v>7.3</v>
      </c>
      <c r="F66" s="9" t="s">
        <v>68</v>
      </c>
      <c r="G66" s="7">
        <v>13194234880</v>
      </c>
      <c r="H66" s="6">
        <v>9.7899999999999991</v>
      </c>
      <c r="I66" s="6">
        <v>5.49</v>
      </c>
      <c r="J66" s="12">
        <f t="shared" ref="J66:J97" si="2">E66/I66-1</f>
        <v>0.32969034608378855</v>
      </c>
      <c r="K66" s="11">
        <v>3.5616438356164383E-2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0.16000248385247939</v>
      </c>
      <c r="Q66" s="12">
        <v>0.11156568921912897</v>
      </c>
      <c r="R66" s="14">
        <v>41</v>
      </c>
    </row>
    <row r="67" spans="2:18" x14ac:dyDescent="0.5">
      <c r="B67" s="1" t="s">
        <v>371</v>
      </c>
      <c r="C67" t="s">
        <v>373</v>
      </c>
      <c r="D67" t="s">
        <v>174</v>
      </c>
      <c r="E67">
        <v>13.58</v>
      </c>
      <c r="F67" s="9" t="s">
        <v>68</v>
      </c>
      <c r="G67" s="7">
        <v>3582227200</v>
      </c>
      <c r="H67" s="6">
        <v>15.58</v>
      </c>
      <c r="I67" s="6">
        <v>8.3000000000000007</v>
      </c>
      <c r="J67" s="12">
        <f t="shared" si="2"/>
        <v>0.63614457831325288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0.76719878439625655</v>
      </c>
      <c r="Q67" s="12">
        <v>-0.11631254679805218</v>
      </c>
      <c r="R67" s="14">
        <v>51</v>
      </c>
    </row>
    <row r="68" spans="2:18" x14ac:dyDescent="0.5">
      <c r="B68" s="1" t="s">
        <v>137</v>
      </c>
      <c r="C68" t="s">
        <v>182</v>
      </c>
      <c r="D68" t="s">
        <v>183</v>
      </c>
      <c r="E68">
        <v>44.62</v>
      </c>
      <c r="F68" s="9" t="s">
        <v>68</v>
      </c>
      <c r="G68" s="7">
        <v>30862759936</v>
      </c>
      <c r="H68" s="6">
        <v>48.1</v>
      </c>
      <c r="I68" s="6">
        <v>17.68</v>
      </c>
      <c r="J68" s="12">
        <f t="shared" si="2"/>
        <v>1.5237556561085972</v>
      </c>
      <c r="K68" s="11">
        <v>1.0309278350515465E-2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3.9701805411378799E-2</v>
      </c>
      <c r="Q68" s="12">
        <v>0.222258562943417</v>
      </c>
      <c r="R68" s="14">
        <v>55</v>
      </c>
    </row>
    <row r="69" spans="2:18" x14ac:dyDescent="0.5">
      <c r="B69" s="1" t="s">
        <v>268</v>
      </c>
      <c r="C69" t="s">
        <v>323</v>
      </c>
      <c r="D69" t="s">
        <v>50</v>
      </c>
      <c r="E69">
        <v>4.41</v>
      </c>
      <c r="F69" s="9" t="s">
        <v>68</v>
      </c>
      <c r="G69" s="7">
        <v>8322929152</v>
      </c>
      <c r="H69" s="6">
        <v>4.43</v>
      </c>
      <c r="I69" s="6">
        <v>1.88</v>
      </c>
      <c r="J69" s="12">
        <f t="shared" si="2"/>
        <v>1.3457446808510642</v>
      </c>
      <c r="K69" s="11">
        <v>3.6281179138321996E-2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9.0407376671619841E-2</v>
      </c>
      <c r="Q69" s="12">
        <v>0.12982345485897689</v>
      </c>
      <c r="R69" s="14">
        <v>58</v>
      </c>
    </row>
    <row r="70" spans="2:18" x14ac:dyDescent="0.5">
      <c r="B70" s="1" t="s">
        <v>125</v>
      </c>
      <c r="C70" t="s">
        <v>166</v>
      </c>
      <c r="D70" t="s">
        <v>167</v>
      </c>
      <c r="E70">
        <v>25.38</v>
      </c>
      <c r="F70" s="9" t="s">
        <v>68</v>
      </c>
      <c r="G70" s="7">
        <v>28872816640</v>
      </c>
      <c r="H70" s="6">
        <v>28.75</v>
      </c>
      <c r="I70" s="6">
        <v>19.52</v>
      </c>
      <c r="J70" s="12">
        <f t="shared" si="2"/>
        <v>0.30020491803278682</v>
      </c>
      <c r="K70" s="11">
        <v>5.5161544523246647E-2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0.13319665990790691</v>
      </c>
      <c r="Q70" s="12">
        <v>0.10133893359397213</v>
      </c>
      <c r="R70" s="14">
        <v>53</v>
      </c>
    </row>
    <row r="71" spans="2:18" x14ac:dyDescent="0.5">
      <c r="B71" s="1" t="s">
        <v>37</v>
      </c>
      <c r="C71" t="s">
        <v>103</v>
      </c>
      <c r="D71" t="s">
        <v>104</v>
      </c>
      <c r="E71">
        <v>5.82</v>
      </c>
      <c r="F71" s="9" t="s">
        <v>68</v>
      </c>
      <c r="G71" s="7">
        <v>4513970176</v>
      </c>
      <c r="H71" s="6">
        <v>8.83</v>
      </c>
      <c r="I71" s="6">
        <v>4.28</v>
      </c>
      <c r="J71" s="12">
        <f t="shared" si="2"/>
        <v>0.35981308411214963</v>
      </c>
      <c r="K71" s="11">
        <v>2.9209621993127148E-2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0.19665040940927414</v>
      </c>
      <c r="Q71" s="12">
        <v>8.9074849645861431E-2</v>
      </c>
      <c r="R71" s="14">
        <v>46</v>
      </c>
    </row>
    <row r="72" spans="2:18" x14ac:dyDescent="0.5">
      <c r="B72" s="1" t="s">
        <v>115</v>
      </c>
      <c r="C72" t="s">
        <v>154</v>
      </c>
      <c r="D72" t="s">
        <v>155</v>
      </c>
      <c r="E72">
        <v>77.5</v>
      </c>
      <c r="F72" s="9" t="s">
        <v>68</v>
      </c>
      <c r="G72" s="7">
        <v>208112353280</v>
      </c>
      <c r="H72" s="6">
        <v>86</v>
      </c>
      <c r="I72" s="6">
        <v>44.25</v>
      </c>
      <c r="J72" s="12">
        <f t="shared" si="2"/>
        <v>0.75141242937853114</v>
      </c>
      <c r="K72" s="11">
        <v>3.4838709677419359E-2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4.6887645411460975E-2</v>
      </c>
      <c r="Q72" s="12">
        <v>0.18855793075067021</v>
      </c>
      <c r="R72" s="14">
        <v>58</v>
      </c>
    </row>
    <row r="73" spans="2:18" x14ac:dyDescent="0.5">
      <c r="B73" s="1" t="s">
        <v>130</v>
      </c>
      <c r="C73" t="s">
        <v>173</v>
      </c>
      <c r="D73" t="s">
        <v>174</v>
      </c>
      <c r="E73">
        <v>676.5</v>
      </c>
      <c r="F73" s="9" t="s">
        <v>68</v>
      </c>
      <c r="G73" s="7">
        <v>6134085713920</v>
      </c>
      <c r="H73" s="6">
        <v>683</v>
      </c>
      <c r="I73" s="6">
        <v>364.8</v>
      </c>
      <c r="J73" s="12">
        <f t="shared" si="2"/>
        <v>0.85444078947368407</v>
      </c>
      <c r="K73" s="11">
        <v>6.2512934220251299E-3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4.255536490987602E-2</v>
      </c>
      <c r="Q73" s="12">
        <v>0.19352168899747973</v>
      </c>
      <c r="R73" s="14">
        <v>58</v>
      </c>
    </row>
    <row r="74" spans="2:18" x14ac:dyDescent="0.5">
      <c r="B74" s="1" t="s">
        <v>120</v>
      </c>
      <c r="C74" t="s">
        <v>160</v>
      </c>
      <c r="D74" t="s">
        <v>69</v>
      </c>
      <c r="E74">
        <v>6.02</v>
      </c>
      <c r="F74" s="9" t="s">
        <v>68</v>
      </c>
      <c r="G74" s="7">
        <v>9792807936</v>
      </c>
      <c r="H74" s="6">
        <v>7.05</v>
      </c>
      <c r="I74" s="6">
        <v>4.3</v>
      </c>
      <c r="J74" s="12">
        <f t="shared" si="2"/>
        <v>0.39999999999999991</v>
      </c>
      <c r="K74" s="11">
        <v>4.651162790697675E-2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0.11732152213348099</v>
      </c>
      <c r="Q74" s="12">
        <v>9.3783286642795421E-2</v>
      </c>
      <c r="R74" s="14">
        <v>59</v>
      </c>
    </row>
    <row r="75" spans="2:18" x14ac:dyDescent="0.5">
      <c r="B75" s="1" t="s">
        <v>126</v>
      </c>
      <c r="C75" t="s">
        <v>168</v>
      </c>
      <c r="D75" t="s">
        <v>109</v>
      </c>
      <c r="E75">
        <v>15.18</v>
      </c>
      <c r="F75" s="9" t="s">
        <v>68</v>
      </c>
      <c r="G75" s="7">
        <v>149749858304</v>
      </c>
      <c r="H75" s="6">
        <v>16.690000000000001</v>
      </c>
      <c r="I75" s="6">
        <v>6.43</v>
      </c>
      <c r="J75" s="12">
        <f t="shared" si="2"/>
        <v>1.3608087091757386</v>
      </c>
      <c r="K75" s="11">
        <v>3.4255599472990776E-2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5.2223120619203131E-2</v>
      </c>
      <c r="Q75" s="12">
        <v>0.18453201842262756</v>
      </c>
      <c r="R75" s="14">
        <v>55</v>
      </c>
    </row>
    <row r="76" spans="2:18" x14ac:dyDescent="0.5">
      <c r="B76" s="1" t="s">
        <v>264</v>
      </c>
      <c r="C76" t="s">
        <v>317</v>
      </c>
      <c r="D76" t="s">
        <v>75</v>
      </c>
      <c r="E76">
        <v>8.18</v>
      </c>
      <c r="F76" s="9" t="s">
        <v>68</v>
      </c>
      <c r="G76" s="7">
        <v>5540021248</v>
      </c>
      <c r="H76" s="6">
        <v>10.98</v>
      </c>
      <c r="I76" s="6">
        <v>6.56</v>
      </c>
      <c r="J76" s="12">
        <f t="shared" si="2"/>
        <v>0.24695121951219523</v>
      </c>
      <c r="K76" s="11">
        <v>4.3643031784841073E-2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0.10068537521445398</v>
      </c>
      <c r="Q76" s="12">
        <v>0.12279555988606453</v>
      </c>
      <c r="R76" s="14">
        <v>58</v>
      </c>
    </row>
    <row r="77" spans="2:18" x14ac:dyDescent="0.5">
      <c r="B77" s="1" t="s">
        <v>262</v>
      </c>
      <c r="C77" t="s">
        <v>315</v>
      </c>
      <c r="D77" t="s">
        <v>155</v>
      </c>
      <c r="E77">
        <v>42.6</v>
      </c>
      <c r="F77" s="9" t="s">
        <v>68</v>
      </c>
      <c r="G77" s="7">
        <v>39227953152</v>
      </c>
      <c r="H77" s="6">
        <v>45.78</v>
      </c>
      <c r="I77" s="6">
        <v>9.9</v>
      </c>
      <c r="J77" s="12">
        <f t="shared" si="2"/>
        <v>3.3030303030303028</v>
      </c>
      <c r="K77" s="11">
        <v>1.8309859154929577E-3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7.0773805364353487E-2</v>
      </c>
      <c r="Q77" s="12">
        <v>0.11071024253191752</v>
      </c>
      <c r="R77" s="14">
        <v>66</v>
      </c>
    </row>
    <row r="78" spans="2:18" x14ac:dyDescent="0.5">
      <c r="B78" s="1" t="s">
        <v>31</v>
      </c>
      <c r="C78" t="s">
        <v>94</v>
      </c>
      <c r="D78" t="s">
        <v>75</v>
      </c>
      <c r="E78">
        <v>3.18</v>
      </c>
      <c r="F78" s="9" t="s">
        <v>68</v>
      </c>
      <c r="G78" s="7">
        <v>19719886848</v>
      </c>
      <c r="H78" s="6">
        <v>4.13</v>
      </c>
      <c r="I78" s="6">
        <v>2.2200000000000002</v>
      </c>
      <c r="J78" s="12">
        <f t="shared" si="2"/>
        <v>0.43243243243243246</v>
      </c>
      <c r="K78" s="11">
        <v>5.0314465408805027E-2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8.4137124323727427E-2</v>
      </c>
      <c r="Q78" s="12">
        <v>0.1499088374088374</v>
      </c>
      <c r="R78" s="14">
        <v>57</v>
      </c>
    </row>
    <row r="79" spans="2:18" x14ac:dyDescent="0.5">
      <c r="B79" s="1" t="s">
        <v>263</v>
      </c>
      <c r="C79" t="s">
        <v>316</v>
      </c>
      <c r="D79" t="s">
        <v>241</v>
      </c>
      <c r="E79">
        <v>8.34</v>
      </c>
      <c r="F79" s="9" t="s">
        <v>68</v>
      </c>
      <c r="G79" s="7">
        <v>110236729344</v>
      </c>
      <c r="H79" s="6">
        <v>10.98</v>
      </c>
      <c r="I79" s="6">
        <v>6.84</v>
      </c>
      <c r="J79" s="12">
        <f t="shared" si="2"/>
        <v>0.2192982456140351</v>
      </c>
      <c r="K79" s="11">
        <v>6.83453237410072E-3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0.10173319410505655</v>
      </c>
      <c r="Q79" s="12">
        <v>0.1154893948238957</v>
      </c>
      <c r="R79" s="14">
        <v>59</v>
      </c>
    </row>
    <row r="80" spans="2:18" x14ac:dyDescent="0.5">
      <c r="B80" s="1" t="s">
        <v>135</v>
      </c>
      <c r="C80" t="s">
        <v>179</v>
      </c>
      <c r="D80" t="s">
        <v>77</v>
      </c>
      <c r="E80">
        <v>14.6</v>
      </c>
      <c r="F80" s="9" t="s">
        <v>68</v>
      </c>
      <c r="G80" s="7">
        <v>61290934272</v>
      </c>
      <c r="H80" s="6">
        <v>16.3</v>
      </c>
      <c r="I80" s="6">
        <v>11.42</v>
      </c>
      <c r="J80" s="12">
        <f t="shared" si="2"/>
        <v>0.27845884413309974</v>
      </c>
      <c r="K80" s="11">
        <v>6.0684931506849317E-2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0.14208399174331818</v>
      </c>
      <c r="Q80" s="12">
        <v>8.6741482038526066E-2</v>
      </c>
      <c r="R80" s="14">
        <v>56</v>
      </c>
    </row>
    <row r="81" spans="2:18" x14ac:dyDescent="0.5">
      <c r="B81" s="1" t="s">
        <v>135</v>
      </c>
      <c r="C81" t="s">
        <v>179</v>
      </c>
      <c r="D81" t="s">
        <v>77</v>
      </c>
      <c r="E81">
        <v>14.6</v>
      </c>
      <c r="F81" s="9" t="s">
        <v>68</v>
      </c>
      <c r="G81" s="7">
        <v>61290934272</v>
      </c>
      <c r="H81" s="6">
        <v>16.3</v>
      </c>
      <c r="I81" s="6">
        <v>11.42</v>
      </c>
      <c r="J81" s="12">
        <f t="shared" si="2"/>
        <v>0.27845884413309974</v>
      </c>
      <c r="K81" s="11">
        <v>6.0684931506849317E-2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0.14208399174331818</v>
      </c>
      <c r="Q81" s="12">
        <v>8.6741482038526066E-2</v>
      </c>
      <c r="R81" s="14">
        <v>56</v>
      </c>
    </row>
    <row r="82" spans="2:18" x14ac:dyDescent="0.5">
      <c r="B82" s="1" t="s">
        <v>36</v>
      </c>
      <c r="C82" t="s">
        <v>102</v>
      </c>
      <c r="D82" t="s">
        <v>50</v>
      </c>
      <c r="E82">
        <v>16.95</v>
      </c>
      <c r="F82" s="9" t="s">
        <v>68</v>
      </c>
      <c r="G82" s="7">
        <v>73830678528</v>
      </c>
      <c r="H82" s="6">
        <v>119.9</v>
      </c>
      <c r="I82" s="6">
        <v>8.4700000000000006</v>
      </c>
      <c r="J82" s="12">
        <f t="shared" si="2"/>
        <v>1.0011806375442736</v>
      </c>
      <c r="K82" s="11">
        <v>2.5840707964601771E-2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8.7694211479523249E-2</v>
      </c>
      <c r="Q82" s="12">
        <v>9.6670468672106824E-2</v>
      </c>
      <c r="R82" s="14">
        <v>65</v>
      </c>
    </row>
    <row r="83" spans="2:18" x14ac:dyDescent="0.5">
      <c r="B83" s="1" t="s">
        <v>389</v>
      </c>
      <c r="C83" t="s">
        <v>390</v>
      </c>
      <c r="D83" t="s">
        <v>185</v>
      </c>
      <c r="E83">
        <v>6.5</v>
      </c>
      <c r="F83" s="9" t="s">
        <v>68</v>
      </c>
      <c r="G83" s="7">
        <v>3729336064</v>
      </c>
      <c r="H83" s="6">
        <v>9.24</v>
      </c>
      <c r="I83" s="6">
        <v>6.39</v>
      </c>
      <c r="J83" s="12">
        <f t="shared" si="2"/>
        <v>1.7214397496087663E-2</v>
      </c>
      <c r="K83" s="11">
        <v>6.1538461538461542E-2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7.7242617651235551E-2</v>
      </c>
      <c r="Q83" s="12">
        <v>0.12232565520665489</v>
      </c>
      <c r="R83" s="14">
        <v>62</v>
      </c>
    </row>
    <row r="84" spans="2:18" x14ac:dyDescent="0.5">
      <c r="B84" s="1" t="s">
        <v>258</v>
      </c>
      <c r="C84" t="s">
        <v>311</v>
      </c>
      <c r="D84" t="s">
        <v>98</v>
      </c>
      <c r="E84">
        <v>2.16</v>
      </c>
      <c r="F84" s="9" t="s">
        <v>68</v>
      </c>
      <c r="G84" s="7">
        <v>2005716608</v>
      </c>
      <c r="H84" s="6">
        <v>2.54</v>
      </c>
      <c r="I84" s="6">
        <v>1.72</v>
      </c>
      <c r="J84" s="12">
        <f t="shared" si="2"/>
        <v>0.2558139534883721</v>
      </c>
      <c r="K84" s="11">
        <v>4.1666666666666664E-2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0.14433710521575083</v>
      </c>
      <c r="Q84" s="12">
        <v>3.9146558666946343E-2</v>
      </c>
      <c r="R84" s="14">
        <v>61</v>
      </c>
    </row>
    <row r="85" spans="2:18" x14ac:dyDescent="0.5">
      <c r="B85" s="1" t="s">
        <v>141</v>
      </c>
      <c r="C85" t="s">
        <v>189</v>
      </c>
      <c r="D85" t="s">
        <v>104</v>
      </c>
      <c r="E85">
        <v>44.08</v>
      </c>
      <c r="F85" s="9" t="s">
        <v>68</v>
      </c>
      <c r="G85" s="7">
        <v>99321257984</v>
      </c>
      <c r="H85" s="6">
        <v>61.55</v>
      </c>
      <c r="I85" s="6">
        <v>26.65</v>
      </c>
      <c r="J85" s="12">
        <f t="shared" si="2"/>
        <v>0.65403377110694194</v>
      </c>
      <c r="K85" s="11">
        <v>1.2885662431941922E-2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5.3483312880407197E-2</v>
      </c>
      <c r="Q85" s="12">
        <v>0.12176329850933591</v>
      </c>
      <c r="R85" s="14">
        <v>66</v>
      </c>
    </row>
    <row r="86" spans="2:18" x14ac:dyDescent="0.5">
      <c r="B86" s="1" t="s">
        <v>261</v>
      </c>
      <c r="C86" t="s">
        <v>314</v>
      </c>
      <c r="D86" t="s">
        <v>306</v>
      </c>
      <c r="E86">
        <v>53.2</v>
      </c>
      <c r="F86" s="9" t="s">
        <v>68</v>
      </c>
      <c r="G86" s="7">
        <v>1048042668032</v>
      </c>
      <c r="H86" s="6">
        <v>59.8</v>
      </c>
      <c r="I86" s="6">
        <v>39.6</v>
      </c>
      <c r="J86" s="12">
        <f t="shared" si="2"/>
        <v>0.34343434343434343</v>
      </c>
      <c r="K86" s="11">
        <v>4.8308270676691724E-2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0.13315309053402488</v>
      </c>
      <c r="Q86" s="12">
        <v>8.2016774784268678E-2</v>
      </c>
      <c r="R86" s="14">
        <v>60</v>
      </c>
    </row>
    <row r="87" spans="2:18" x14ac:dyDescent="0.5">
      <c r="B87" s="1" t="s">
        <v>18</v>
      </c>
      <c r="C87" t="s">
        <v>67</v>
      </c>
      <c r="D87" t="s">
        <v>66</v>
      </c>
      <c r="E87">
        <v>64.099999999999994</v>
      </c>
      <c r="F87" s="9" t="s">
        <v>68</v>
      </c>
      <c r="G87" s="7">
        <v>163273424896</v>
      </c>
      <c r="H87" s="6">
        <v>82.25</v>
      </c>
      <c r="I87" s="6">
        <v>43.15</v>
      </c>
      <c r="J87" s="12">
        <f t="shared" si="2"/>
        <v>0.48551564310544593</v>
      </c>
      <c r="K87" s="11">
        <v>1.6380655226209049E-2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5.1561525428129654E-2</v>
      </c>
      <c r="Q87" s="12">
        <v>0.10968970241604512</v>
      </c>
      <c r="R87" s="14">
        <v>70</v>
      </c>
    </row>
    <row r="88" spans="2:18" x14ac:dyDescent="0.5">
      <c r="B88" s="1" t="s">
        <v>123</v>
      </c>
      <c r="C88" t="s">
        <v>163</v>
      </c>
      <c r="D88" t="s">
        <v>164</v>
      </c>
      <c r="E88">
        <v>8.93</v>
      </c>
      <c r="F88" s="9" t="s">
        <v>68</v>
      </c>
      <c r="G88" s="7">
        <v>58137202688</v>
      </c>
      <c r="H88" s="6">
        <v>10.72</v>
      </c>
      <c r="I88" s="6">
        <v>5</v>
      </c>
      <c r="J88" s="12">
        <f t="shared" si="2"/>
        <v>0.78600000000000003</v>
      </c>
      <c r="K88" s="11">
        <v>2.3516237402015677E-2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7.9476227343274378E-2</v>
      </c>
      <c r="Q88" s="12">
        <v>9.5261833390841127E-2</v>
      </c>
      <c r="R88" s="14">
        <v>68</v>
      </c>
    </row>
    <row r="89" spans="2:18" x14ac:dyDescent="0.5">
      <c r="B89" s="1" t="s">
        <v>136</v>
      </c>
      <c r="C89" t="s">
        <v>180</v>
      </c>
      <c r="D89" t="s">
        <v>181</v>
      </c>
      <c r="E89">
        <v>11.17</v>
      </c>
      <c r="F89" s="9" t="s">
        <v>68</v>
      </c>
      <c r="G89" s="7">
        <v>26319099904</v>
      </c>
      <c r="H89" s="6">
        <v>12.7</v>
      </c>
      <c r="I89" s="6">
        <v>6.33</v>
      </c>
      <c r="J89" s="12">
        <f t="shared" si="2"/>
        <v>0.76461295418641395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0.11488535972075116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23.6</v>
      </c>
      <c r="F90" s="9" t="s">
        <v>68</v>
      </c>
      <c r="G90" s="7">
        <v>133846089728</v>
      </c>
      <c r="H90" s="6">
        <v>26.6</v>
      </c>
      <c r="I90" s="6">
        <v>18.7</v>
      </c>
      <c r="J90" s="12">
        <f t="shared" si="2"/>
        <v>0.26203208556149749</v>
      </c>
      <c r="K90" s="11">
        <v>4.025423728813559E-2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0.12760526235565867</v>
      </c>
      <c r="Q90" s="12">
        <v>5.0146340085309396E-2</v>
      </c>
      <c r="R90" s="14">
        <v>64</v>
      </c>
    </row>
    <row r="91" spans="2:18" x14ac:dyDescent="0.5">
      <c r="B91" s="1" t="s">
        <v>259</v>
      </c>
      <c r="C91" t="s">
        <v>312</v>
      </c>
      <c r="D91" t="s">
        <v>308</v>
      </c>
      <c r="E91">
        <v>2.74</v>
      </c>
      <c r="F91" s="9" t="s">
        <v>68</v>
      </c>
      <c r="G91" s="7">
        <v>84955766784</v>
      </c>
      <c r="H91" s="6">
        <v>2.8</v>
      </c>
      <c r="I91" s="6">
        <v>1.35</v>
      </c>
      <c r="J91" s="12">
        <f t="shared" si="2"/>
        <v>1.0296296296296297</v>
      </c>
      <c r="K91" s="11">
        <v>2.0437956204379562E-2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0.10451990360433558</v>
      </c>
      <c r="Q91" s="12">
        <v>5.4568577322633927E-2</v>
      </c>
      <c r="R91" s="14">
        <v>73</v>
      </c>
    </row>
    <row r="92" spans="2:18" x14ac:dyDescent="0.5">
      <c r="B92" s="1" t="s">
        <v>260</v>
      </c>
      <c r="C92" t="s">
        <v>313</v>
      </c>
      <c r="D92" t="s">
        <v>109</v>
      </c>
      <c r="E92">
        <v>13.85</v>
      </c>
      <c r="F92" s="9" t="s">
        <v>68</v>
      </c>
      <c r="G92" s="7">
        <v>9303211008</v>
      </c>
      <c r="H92" s="6">
        <v>15.74</v>
      </c>
      <c r="I92" s="6">
        <v>6.18</v>
      </c>
      <c r="J92" s="12">
        <f t="shared" si="2"/>
        <v>1.2411003236245954</v>
      </c>
      <c r="K92" s="11">
        <v>4.1155234657039706E-2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8.162304292379588E-2</v>
      </c>
      <c r="Q92" s="12">
        <v>6.5089877530620205E-2</v>
      </c>
      <c r="R92" s="14">
        <v>76</v>
      </c>
    </row>
    <row r="93" spans="2:18" x14ac:dyDescent="0.5">
      <c r="B93" s="1" t="s">
        <v>129</v>
      </c>
      <c r="C93" t="s">
        <v>172</v>
      </c>
      <c r="D93" t="s">
        <v>98</v>
      </c>
      <c r="E93">
        <v>11.56</v>
      </c>
      <c r="F93" s="9" t="s">
        <v>68</v>
      </c>
      <c r="G93" s="7">
        <v>87597121536</v>
      </c>
      <c r="H93" s="6">
        <v>12.95</v>
      </c>
      <c r="I93" s="6">
        <v>9.39</v>
      </c>
      <c r="J93" s="12">
        <f t="shared" si="2"/>
        <v>0.23109691160809365</v>
      </c>
      <c r="K93" s="11">
        <v>6.8944636678200694E-2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6.3255335765592849E-2</v>
      </c>
      <c r="Q93" s="12">
        <v>0.10245263104990703</v>
      </c>
      <c r="R93" s="14">
        <v>68</v>
      </c>
    </row>
    <row r="94" spans="2:18" x14ac:dyDescent="0.5">
      <c r="B94" s="1" t="s">
        <v>112</v>
      </c>
      <c r="C94" t="s">
        <v>149</v>
      </c>
      <c r="D94" t="s">
        <v>98</v>
      </c>
      <c r="E94">
        <v>5.35</v>
      </c>
      <c r="F94" s="9" t="s">
        <v>68</v>
      </c>
      <c r="G94" s="7">
        <v>634798473216</v>
      </c>
      <c r="H94" s="6">
        <v>6.98</v>
      </c>
      <c r="I94" s="6">
        <v>4.2300000000000004</v>
      </c>
      <c r="J94" s="12">
        <f t="shared" si="2"/>
        <v>0.26477541371158364</v>
      </c>
      <c r="K94" s="11">
        <v>5.1214953271028048E-2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7.7811116570094013E-2</v>
      </c>
      <c r="Q94" s="12">
        <v>9.605709580489824E-2</v>
      </c>
      <c r="R94" s="14">
        <v>69</v>
      </c>
    </row>
    <row r="95" spans="2:18" x14ac:dyDescent="0.5">
      <c r="B95" s="1" t="s">
        <v>127</v>
      </c>
      <c r="C95" t="s">
        <v>169</v>
      </c>
      <c r="D95" t="s">
        <v>104</v>
      </c>
      <c r="E95">
        <v>12.3</v>
      </c>
      <c r="F95" s="9" t="s">
        <v>68</v>
      </c>
      <c r="G95" s="7">
        <v>38376001536</v>
      </c>
      <c r="H95" s="6">
        <v>14.27</v>
      </c>
      <c r="I95" s="6">
        <v>6.48</v>
      </c>
      <c r="J95" s="12">
        <f t="shared" si="2"/>
        <v>0.89814814814814814</v>
      </c>
      <c r="K95" s="11">
        <v>2.8455284552845524E-2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4.8397037241701232E-2</v>
      </c>
      <c r="Q95" s="12">
        <v>0.10689920561026972</v>
      </c>
      <c r="R95" s="14">
        <v>72</v>
      </c>
    </row>
    <row r="96" spans="2:18" x14ac:dyDescent="0.5">
      <c r="B96" s="1" t="s">
        <v>121</v>
      </c>
      <c r="C96" t="s">
        <v>161</v>
      </c>
      <c r="D96" t="s">
        <v>98</v>
      </c>
      <c r="E96">
        <v>8.9499999999999993</v>
      </c>
      <c r="F96" s="9" t="s">
        <v>68</v>
      </c>
      <c r="G96" s="7">
        <v>273852104704</v>
      </c>
      <c r="H96" s="6">
        <v>11.56</v>
      </c>
      <c r="I96" s="6">
        <v>6.22</v>
      </c>
      <c r="J96" s="12">
        <f t="shared" si="2"/>
        <v>0.43890675241157551</v>
      </c>
      <c r="K96" s="11">
        <v>4.9162011173184361E-2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0.10087045515318409</v>
      </c>
      <c r="Q96" s="12">
        <v>7.4329031387590908E-2</v>
      </c>
      <c r="R96" s="14">
        <v>71</v>
      </c>
    </row>
    <row r="97" spans="2:18" x14ac:dyDescent="0.5">
      <c r="B97" s="1" t="s">
        <v>257</v>
      </c>
      <c r="C97" t="s">
        <v>310</v>
      </c>
      <c r="D97" t="s">
        <v>151</v>
      </c>
      <c r="E97">
        <v>9.33</v>
      </c>
      <c r="F97" s="9" t="s">
        <v>68</v>
      </c>
      <c r="G97" s="7">
        <v>23694454784</v>
      </c>
      <c r="H97" s="6">
        <v>13.78</v>
      </c>
      <c r="I97" s="6">
        <v>7.96</v>
      </c>
      <c r="J97" s="12">
        <f t="shared" si="2"/>
        <v>0.17211055276381915</v>
      </c>
      <c r="K97" s="11">
        <v>3.215434083601286E-2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0.10605720894455754</v>
      </c>
      <c r="Q97" s="12">
        <v>5.5629198178196171E-2</v>
      </c>
      <c r="R97" s="14">
        <v>71</v>
      </c>
    </row>
    <row r="98" spans="2:18" x14ac:dyDescent="0.5">
      <c r="B98" s="1" t="s">
        <v>117</v>
      </c>
      <c r="C98" t="s">
        <v>157</v>
      </c>
      <c r="D98" t="s">
        <v>151</v>
      </c>
      <c r="E98">
        <v>2.41</v>
      </c>
      <c r="F98" s="9" t="s">
        <v>68</v>
      </c>
      <c r="G98" s="7">
        <v>8578093568</v>
      </c>
      <c r="H98" s="6">
        <v>2.95</v>
      </c>
      <c r="I98" s="6">
        <v>1.6</v>
      </c>
      <c r="J98" s="12">
        <f t="shared" ref="J98:J125" si="3">E98/I98-1</f>
        <v>0.50625000000000009</v>
      </c>
      <c r="K98" s="11">
        <v>3.1120331950207466E-2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0.10848926159642042</v>
      </c>
      <c r="Q98" s="12">
        <v>3.1227495254580313E-2</v>
      </c>
      <c r="R98" s="14">
        <v>75</v>
      </c>
    </row>
    <row r="99" spans="2:18" x14ac:dyDescent="0.5">
      <c r="B99" s="1" t="s">
        <v>255</v>
      </c>
      <c r="C99" t="s">
        <v>307</v>
      </c>
      <c r="D99" t="s">
        <v>308</v>
      </c>
      <c r="E99">
        <v>5.42</v>
      </c>
      <c r="F99" s="9" t="s">
        <v>68</v>
      </c>
      <c r="G99" s="7">
        <v>109660135424</v>
      </c>
      <c r="H99" s="6">
        <v>7.03</v>
      </c>
      <c r="I99" s="6">
        <v>4.58</v>
      </c>
      <c r="J99" s="12">
        <f t="shared" si="3"/>
        <v>0.18340611353711789</v>
      </c>
      <c r="K99" s="11">
        <v>5.5350553505535055E-2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0.10133093617650123</v>
      </c>
      <c r="Q99" s="12">
        <v>5.643429507724386E-2</v>
      </c>
      <c r="R99" s="14">
        <v>74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51.6</v>
      </c>
      <c r="F100" s="9" t="s">
        <v>68</v>
      </c>
      <c r="G100" s="7">
        <v>197630279680</v>
      </c>
      <c r="H100" s="6">
        <v>54.6</v>
      </c>
      <c r="I100" s="6">
        <v>37.450000000000003</v>
      </c>
      <c r="J100" s="12">
        <f t="shared" si="3"/>
        <v>0.37783711615487303</v>
      </c>
      <c r="K100" s="11">
        <v>4.310077519379845E-2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0.10406716957271521</v>
      </c>
      <c r="Q100" s="12">
        <v>5.2504192208844336E-2</v>
      </c>
      <c r="R100" s="14">
        <v>75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37.9</v>
      </c>
      <c r="F101" s="9" t="s">
        <v>68</v>
      </c>
      <c r="G101" s="7">
        <v>132641603584</v>
      </c>
      <c r="H101" s="6">
        <v>38.619999999999997</v>
      </c>
      <c r="I101" s="6">
        <v>28.1</v>
      </c>
      <c r="J101" s="12">
        <f t="shared" si="3"/>
        <v>0.3487544483985765</v>
      </c>
      <c r="K101" s="11">
        <v>4.5910290237467018E-2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0.10935471190919539</v>
      </c>
      <c r="Q101" s="12">
        <v>3.7613758029978586E-2</v>
      </c>
      <c r="R101" s="14">
        <v>73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5.38</v>
      </c>
      <c r="F102" s="9" t="s">
        <v>68</v>
      </c>
      <c r="G102" s="7">
        <v>41646919680</v>
      </c>
      <c r="H102" s="6">
        <v>5.83</v>
      </c>
      <c r="I102" s="6">
        <v>4.2</v>
      </c>
      <c r="J102" s="12">
        <f t="shared" si="3"/>
        <v>0.28095238095238084</v>
      </c>
      <c r="K102" s="11">
        <v>7.1189591078066911E-2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5.8671004420740351E-2</v>
      </c>
      <c r="Q102" s="12">
        <v>9.2144023431582137E-2</v>
      </c>
      <c r="R102" s="14">
        <v>78</v>
      </c>
    </row>
    <row r="103" spans="2:18" x14ac:dyDescent="0.5">
      <c r="B103" s="1" t="s">
        <v>30</v>
      </c>
      <c r="C103" t="s">
        <v>92</v>
      </c>
      <c r="D103" t="s">
        <v>93</v>
      </c>
      <c r="E103">
        <v>3.3</v>
      </c>
      <c r="F103" s="9" t="s">
        <v>68</v>
      </c>
      <c r="G103" s="7">
        <v>18026356736</v>
      </c>
      <c r="H103" s="6">
        <v>3.33</v>
      </c>
      <c r="I103" s="6">
        <v>1.07</v>
      </c>
      <c r="J103" s="12">
        <f t="shared" si="3"/>
        <v>2.08411214953271</v>
      </c>
      <c r="K103" s="11">
        <v>1.0303030303030305E-2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5.0774448321398206E-2</v>
      </c>
      <c r="Q103" s="12">
        <v>5.8120488088461209E-2</v>
      </c>
      <c r="R103" s="14">
        <v>81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27.86</v>
      </c>
      <c r="F104" s="9" t="s">
        <v>68</v>
      </c>
      <c r="G104" s="7">
        <v>30877564928</v>
      </c>
      <c r="H104" s="6">
        <v>32.4</v>
      </c>
      <c r="I104" s="6">
        <v>17.600000000000001</v>
      </c>
      <c r="J104" s="12">
        <f t="shared" si="3"/>
        <v>0.58295454545454528</v>
      </c>
      <c r="K104" s="11">
        <v>4.414931801866475E-2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7.8823349779923932E-2</v>
      </c>
      <c r="Q104" s="12">
        <v>4.7084186647510511E-2</v>
      </c>
      <c r="R104" s="14">
        <v>79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11.75</v>
      </c>
      <c r="F105" s="9" t="s">
        <v>68</v>
      </c>
      <c r="G105" s="7">
        <v>205404094464</v>
      </c>
      <c r="H105" s="6">
        <v>12.46</v>
      </c>
      <c r="I105" s="6">
        <v>9.89</v>
      </c>
      <c r="J105" s="12">
        <f t="shared" si="3"/>
        <v>0.1880687563195147</v>
      </c>
      <c r="K105" s="11">
        <v>3.7446808510638301E-2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5.9382314978342211E-2</v>
      </c>
      <c r="Q105" s="12">
        <v>6.2161059386475759E-2</v>
      </c>
      <c r="R105" s="14">
        <v>79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6.94</v>
      </c>
      <c r="F106" s="9" t="s">
        <v>68</v>
      </c>
      <c r="G106" s="7">
        <v>7243170816</v>
      </c>
      <c r="H106" s="6">
        <v>7</v>
      </c>
      <c r="I106" s="6">
        <v>4.09</v>
      </c>
      <c r="J106" s="12">
        <f t="shared" si="3"/>
        <v>0.6968215158924207</v>
      </c>
      <c r="K106" s="11">
        <v>1.3832853025936599E-2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4.9329070199304971E-2</v>
      </c>
      <c r="Q106" s="12">
        <v>8.3790449156695201E-2</v>
      </c>
      <c r="R106" s="14">
        <v>80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2.89</v>
      </c>
      <c r="F107" s="9" t="s">
        <v>68</v>
      </c>
      <c r="G107" s="7">
        <v>12412550144</v>
      </c>
      <c r="H107" s="6">
        <v>3.16</v>
      </c>
      <c r="I107" s="6">
        <v>1.93</v>
      </c>
      <c r="J107" s="12">
        <f t="shared" si="3"/>
        <v>0.49740932642487068</v>
      </c>
      <c r="K107" s="11">
        <v>3.8408304498269895E-2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5.8848468514777222E-2</v>
      </c>
      <c r="Q107" s="12">
        <v>3.8781191586606881E-2</v>
      </c>
      <c r="R107" s="14">
        <v>82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8.65</v>
      </c>
      <c r="F108" s="9" t="s">
        <v>68</v>
      </c>
      <c r="G108" s="7">
        <v>9068028928</v>
      </c>
      <c r="H108" s="6">
        <v>12.88</v>
      </c>
      <c r="I108" s="6">
        <v>5.42</v>
      </c>
      <c r="J108" s="12">
        <f t="shared" si="3"/>
        <v>0.59594095940959413</v>
      </c>
      <c r="K108" s="11">
        <v>1.6416184971098265E-2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4.1862674489282041E-2</v>
      </c>
      <c r="Q108" s="12">
        <v>0.10455432132537129</v>
      </c>
      <c r="R108" s="14">
        <v>77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1.66</v>
      </c>
      <c r="F109" s="9" t="s">
        <v>68</v>
      </c>
      <c r="G109" s="7">
        <v>9190811648</v>
      </c>
      <c r="H109" s="6">
        <v>2.99</v>
      </c>
      <c r="I109" s="6">
        <v>0.91</v>
      </c>
      <c r="J109" s="12">
        <f t="shared" si="3"/>
        <v>0.82417582417582413</v>
      </c>
      <c r="K109" s="11">
        <v>0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4.6131524710182274E-2</v>
      </c>
      <c r="Q109" s="12">
        <v>2.3421020321148112E-2</v>
      </c>
      <c r="R109" s="14">
        <v>84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89.65</v>
      </c>
      <c r="F110" s="9" t="s">
        <v>68</v>
      </c>
      <c r="G110" s="7">
        <v>892375203840</v>
      </c>
      <c r="H110" s="6">
        <v>90.35</v>
      </c>
      <c r="I110" s="6">
        <v>20.25</v>
      </c>
      <c r="J110" s="12">
        <f t="shared" si="3"/>
        <v>3.4271604938271611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8.1163168592814968E-3</v>
      </c>
      <c r="Q110" s="12">
        <v>3.0575487595734537E-2</v>
      </c>
      <c r="R110" s="14">
        <v>85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15.97</v>
      </c>
      <c r="F111" s="9" t="s">
        <v>68</v>
      </c>
      <c r="G111" s="7">
        <v>16401320960</v>
      </c>
      <c r="H111" s="6">
        <v>16.690000000000001</v>
      </c>
      <c r="I111" s="6">
        <v>10.94</v>
      </c>
      <c r="J111" s="12">
        <f t="shared" si="3"/>
        <v>0.45978062157221222</v>
      </c>
      <c r="K111" s="11">
        <v>6.7626800250469632E-2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2.3796095920414342E-2</v>
      </c>
      <c r="Q111" s="12">
        <v>9.6523581574197593E-3</v>
      </c>
      <c r="R111" s="14">
        <v>85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39.5</v>
      </c>
      <c r="F112" s="9" t="s">
        <v>68</v>
      </c>
      <c r="G112" s="7">
        <v>40348127232</v>
      </c>
      <c r="H112" s="6">
        <v>46.88</v>
      </c>
      <c r="I112" s="6">
        <v>22.4</v>
      </c>
      <c r="J112" s="12">
        <f t="shared" si="3"/>
        <v>0.76339285714285721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-2.6051209537103479E-3</v>
      </c>
      <c r="Q112" s="12">
        <v>-4.9151971480384084E-3</v>
      </c>
      <c r="R112" s="14">
        <v>86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3.49</v>
      </c>
      <c r="F113" s="9" t="s">
        <v>68</v>
      </c>
      <c r="G113" s="7">
        <v>7337267712</v>
      </c>
      <c r="H113" s="6">
        <v>3.53</v>
      </c>
      <c r="I113" s="6">
        <v>0.99</v>
      </c>
      <c r="J113" s="12">
        <f t="shared" si="3"/>
        <v>2.5252525252525255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-0.3510677578043972</v>
      </c>
      <c r="Q113" s="12">
        <v>-9.3085164890011229E-2</v>
      </c>
      <c r="R113" s="14">
        <v>88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36.76</v>
      </c>
      <c r="F114" s="9" t="s">
        <v>68</v>
      </c>
      <c r="G114" s="7">
        <v>388655382528</v>
      </c>
      <c r="H114" s="6">
        <v>39.24</v>
      </c>
      <c r="I114" s="6">
        <v>23.75</v>
      </c>
      <c r="J114" s="12">
        <f t="shared" si="3"/>
        <v>0.54778947368421038</v>
      </c>
      <c r="K114" s="11">
        <v>5.4379760609358001E-2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5.44</v>
      </c>
      <c r="F115" s="9" t="s">
        <v>68</v>
      </c>
      <c r="G115" s="7">
        <v>761140412416</v>
      </c>
      <c r="H115" s="6">
        <v>5.95</v>
      </c>
      <c r="I115" s="6">
        <v>4.34</v>
      </c>
      <c r="J115" s="12">
        <f t="shared" si="3"/>
        <v>0.25345622119815681</v>
      </c>
      <c r="K115" s="11">
        <v>4.3566176470588233E-2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6.69</v>
      </c>
      <c r="F116" s="9" t="s">
        <v>68</v>
      </c>
      <c r="G116" s="7">
        <v>426606788608</v>
      </c>
      <c r="H116" s="6">
        <v>8.1199999999999992</v>
      </c>
      <c r="I116" s="6">
        <v>4.83</v>
      </c>
      <c r="J116" s="12">
        <f t="shared" si="3"/>
        <v>0.38509316770186341</v>
      </c>
      <c r="K116" s="11">
        <v>5.3512705530642746E-2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6.54</v>
      </c>
      <c r="F117" s="9" t="s">
        <v>68</v>
      </c>
      <c r="G117" s="7">
        <v>622822817792</v>
      </c>
      <c r="H117" s="6">
        <v>7.62</v>
      </c>
      <c r="I117" s="6">
        <v>5.57</v>
      </c>
      <c r="J117" s="12">
        <f t="shared" si="3"/>
        <v>0.17414721723518856</v>
      </c>
      <c r="K117" s="11">
        <v>5.3975535168195712E-2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5.73</v>
      </c>
      <c r="F118" s="9" t="s">
        <v>68</v>
      </c>
      <c r="G118" s="7">
        <v>2687794937856</v>
      </c>
      <c r="H118" s="6">
        <v>6.48</v>
      </c>
      <c r="I118" s="6">
        <v>4.49</v>
      </c>
      <c r="J118" s="12">
        <f t="shared" si="3"/>
        <v>0.27616926503340755</v>
      </c>
      <c r="K118" s="11">
        <v>5.340314136125654E-2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7.4</v>
      </c>
      <c r="F119" s="9" t="s">
        <v>68</v>
      </c>
      <c r="G119" s="7">
        <v>1979711225856</v>
      </c>
      <c r="H119" s="6">
        <v>8.56</v>
      </c>
      <c r="I119" s="6">
        <v>5.68</v>
      </c>
      <c r="J119" s="12">
        <f t="shared" si="3"/>
        <v>0.30281690140845074</v>
      </c>
      <c r="K119" s="11">
        <v>5.2972972972972973E-2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9.9600000000000009</v>
      </c>
      <c r="F120" s="9" t="s">
        <v>68</v>
      </c>
      <c r="G120" s="7">
        <v>91135033344</v>
      </c>
      <c r="H120" s="6">
        <v>10.25</v>
      </c>
      <c r="I120" s="6">
        <v>7.31</v>
      </c>
      <c r="J120" s="12">
        <f t="shared" si="3"/>
        <v>0.36251709986320124</v>
      </c>
      <c r="K120" s="11">
        <v>5.8232931726907619E-2</v>
      </c>
      <c r="L120" s="13">
        <v>4532000000</v>
      </c>
      <c r="M120" s="13">
        <v>172303000000</v>
      </c>
      <c r="N120" s="9" t="s">
        <v>68</v>
      </c>
      <c r="O120" s="6">
        <v>1</v>
      </c>
      <c r="P120" s="12">
        <v>4.938269810710464E-2</v>
      </c>
      <c r="Q120" s="12">
        <v>2.6302501987777345E-2</v>
      </c>
      <c r="R120" s="14">
        <v>83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17.54</v>
      </c>
      <c r="F121" s="9" t="s">
        <v>68</v>
      </c>
      <c r="G121" s="7">
        <v>45165875200</v>
      </c>
      <c r="H121" s="6">
        <v>21</v>
      </c>
      <c r="I121" s="6">
        <v>13.5</v>
      </c>
      <c r="J121" s="12">
        <f t="shared" si="3"/>
        <v>0.29925925925925911</v>
      </c>
      <c r="K121" s="11">
        <v>3.0957810718358042E-2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0.11616599600830568</v>
      </c>
      <c r="Q121" s="12">
        <v>0.16337840218675606</v>
      </c>
      <c r="R121" s="14">
        <v>34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40.26</v>
      </c>
      <c r="F122" s="9" t="s">
        <v>68</v>
      </c>
      <c r="G122" s="7">
        <v>104166694912</v>
      </c>
      <c r="H122" s="6">
        <v>45.05</v>
      </c>
      <c r="I122" s="6">
        <v>31.1</v>
      </c>
      <c r="J122" s="12">
        <f t="shared" si="3"/>
        <v>0.29453376205787762</v>
      </c>
      <c r="K122" s="11">
        <v>6.7635370094386485E-2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-4.3787268847389642E-2</v>
      </c>
      <c r="Q122" s="12">
        <v>-3.1158435700487111E-2</v>
      </c>
      <c r="R122" s="14">
        <v>87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55.8</v>
      </c>
      <c r="F123" s="9" t="s">
        <v>68</v>
      </c>
      <c r="G123" s="7">
        <v>1452168839168</v>
      </c>
      <c r="H123" s="6">
        <v>61.45</v>
      </c>
      <c r="I123" s="6">
        <v>22.5</v>
      </c>
      <c r="J123" s="12">
        <f t="shared" si="3"/>
        <v>1.48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2.1635745785977805E-2</v>
      </c>
      <c r="Q123" s="12">
        <v>0.13430606011982404</v>
      </c>
      <c r="R123" s="14">
        <v>67</v>
      </c>
    </row>
    <row r="124" spans="2:18" x14ac:dyDescent="0.5">
      <c r="B124" s="1" t="s">
        <v>444</v>
      </c>
      <c r="C124" t="s">
        <v>451</v>
      </c>
      <c r="D124" t="s">
        <v>452</v>
      </c>
      <c r="E124">
        <v>105.8</v>
      </c>
      <c r="F124" s="9" t="s">
        <v>68</v>
      </c>
      <c r="G124" s="7">
        <v>646106644480</v>
      </c>
      <c r="H124" s="6">
        <v>217</v>
      </c>
      <c r="I124" s="6">
        <v>95.35</v>
      </c>
      <c r="J124" s="12">
        <f t="shared" si="3"/>
        <v>0.10959622443628736</v>
      </c>
      <c r="K124" s="11">
        <v>0</v>
      </c>
      <c r="L124" s="13">
        <v>39322363000</v>
      </c>
      <c r="M124" s="13">
        <v>228415685000</v>
      </c>
      <c r="N124" s="9" t="s">
        <v>51</v>
      </c>
      <c r="O124" s="6">
        <v>1.0683760683760684</v>
      </c>
      <c r="P124" s="12">
        <v>6.6040135463210692E-2</v>
      </c>
      <c r="Q124" s="12">
        <v>0.17215263916748974</v>
      </c>
      <c r="R124" s="14">
        <v>54</v>
      </c>
    </row>
    <row r="125" spans="2:18" x14ac:dyDescent="0.5">
      <c r="B125" s="1" t="s">
        <v>445</v>
      </c>
      <c r="C125" t="s">
        <v>453</v>
      </c>
      <c r="D125" t="s">
        <v>185</v>
      </c>
      <c r="E125">
        <v>13.23</v>
      </c>
      <c r="F125" s="9" t="s">
        <v>68</v>
      </c>
      <c r="G125" s="7">
        <v>71640449024</v>
      </c>
      <c r="H125" s="6">
        <v>19.96</v>
      </c>
      <c r="I125" s="6">
        <v>12.44</v>
      </c>
      <c r="J125" s="12">
        <f t="shared" si="3"/>
        <v>6.3504823151125489E-2</v>
      </c>
      <c r="K125" s="11">
        <v>5.873015873015873E-2</v>
      </c>
      <c r="L125" s="13">
        <v>6898733000</v>
      </c>
      <c r="M125" s="13">
        <v>12604518000</v>
      </c>
      <c r="N125" s="9" t="s">
        <v>51</v>
      </c>
      <c r="O125" s="6">
        <v>1.0683760683760684</v>
      </c>
      <c r="P125" s="12">
        <v>0.10492547310904446</v>
      </c>
      <c r="Q125" s="12">
        <v>0.54732223794674262</v>
      </c>
      <c r="R125" s="14">
        <v>21</v>
      </c>
    </row>
    <row r="126" spans="2:18" x14ac:dyDescent="0.5">
      <c r="B126" s="1" t="s">
        <v>454</v>
      </c>
    </row>
    <row r="127" spans="2:18" x14ac:dyDescent="0.5">
      <c r="B127" s="1" t="s">
        <v>455</v>
      </c>
    </row>
    <row r="128" spans="2:18" x14ac:dyDescent="0.5">
      <c r="B128" s="1" t="s">
        <v>456</v>
      </c>
    </row>
    <row r="129" spans="2:2" x14ac:dyDescent="0.5">
      <c r="B129" s="1" t="s">
        <v>457</v>
      </c>
    </row>
    <row r="130" spans="2:2" x14ac:dyDescent="0.5">
      <c r="B130" s="1" t="s">
        <v>115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opLeftCell="A9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E14" sqref="E14"/>
    </sheetView>
  </sheetViews>
  <sheetFormatPr defaultRowHeight="15.75" x14ac:dyDescent="0.5"/>
  <sheetData>
    <row r="1" spans="1:2" x14ac:dyDescent="0.5">
      <c r="A1" s="16" t="s">
        <v>446</v>
      </c>
      <c r="B1" s="16" t="s">
        <v>5</v>
      </c>
    </row>
    <row r="2" spans="1:2" x14ac:dyDescent="0.5">
      <c r="A2" t="s">
        <v>448</v>
      </c>
      <c r="B2" t="s">
        <v>447</v>
      </c>
    </row>
    <row r="3" spans="1:2" x14ac:dyDescent="0.5">
      <c r="A3" t="s">
        <v>450</v>
      </c>
      <c r="B3" t="s">
        <v>447</v>
      </c>
    </row>
    <row r="4" spans="1:2" x14ac:dyDescent="0.5">
      <c r="A4" t="s">
        <v>449</v>
      </c>
      <c r="B4" t="s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2025-10-03T07:56:43Z</dcterms:modified>
</cp:coreProperties>
</file>