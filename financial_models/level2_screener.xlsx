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1950B4B-8461-4CD8-B476-8341981BA16C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6" i="1"/>
  <c r="J5" i="1"/>
  <c r="J7" i="1"/>
  <c r="J9" i="1"/>
  <c r="J12" i="1"/>
  <c r="J11" i="1"/>
  <c r="J13" i="1"/>
  <c r="J8" i="1"/>
  <c r="J15" i="1"/>
  <c r="J14" i="1"/>
  <c r="J16" i="1"/>
  <c r="J17" i="1"/>
  <c r="J18" i="1"/>
  <c r="J19" i="1"/>
  <c r="J21" i="1"/>
  <c r="J20" i="1"/>
  <c r="J10" i="1"/>
  <c r="J22" i="1"/>
  <c r="J24" i="1"/>
  <c r="J27" i="1"/>
  <c r="J25" i="1"/>
  <c r="J137" i="1"/>
  <c r="J26" i="1"/>
  <c r="J23" i="1"/>
  <c r="J28" i="1"/>
  <c r="J32" i="1"/>
  <c r="J63" i="1"/>
  <c r="J30" i="1"/>
  <c r="J29" i="1"/>
  <c r="J31" i="1"/>
  <c r="J33" i="1"/>
  <c r="J34" i="1"/>
  <c r="J37" i="1"/>
  <c r="J36" i="1"/>
  <c r="J35" i="1"/>
  <c r="J40" i="1"/>
  <c r="J41" i="1"/>
  <c r="J38" i="1"/>
  <c r="J45" i="1"/>
  <c r="J46" i="1"/>
  <c r="J39" i="1"/>
  <c r="J43" i="1"/>
  <c r="J44" i="1"/>
  <c r="J48" i="1"/>
  <c r="J49" i="1"/>
  <c r="J50" i="1"/>
  <c r="J52" i="1"/>
  <c r="J53" i="1"/>
  <c r="J51" i="1"/>
  <c r="J60" i="1"/>
  <c r="J61" i="1"/>
  <c r="J42" i="1"/>
  <c r="J57" i="1"/>
  <c r="J55" i="1"/>
  <c r="J62" i="1"/>
  <c r="J67" i="1"/>
  <c r="J59" i="1"/>
  <c r="J47" i="1"/>
  <c r="J64" i="1"/>
  <c r="J65" i="1"/>
  <c r="J56" i="1"/>
  <c r="J54" i="1"/>
  <c r="J58" i="1"/>
  <c r="J66" i="1"/>
  <c r="J76" i="1"/>
  <c r="J71" i="1"/>
  <c r="J73" i="1"/>
  <c r="J68" i="1"/>
  <c r="J78" i="1"/>
  <c r="J74" i="1"/>
  <c r="J72" i="1"/>
  <c r="J81" i="1"/>
  <c r="J77" i="1"/>
  <c r="J75" i="1"/>
  <c r="J79" i="1"/>
  <c r="J82" i="1"/>
  <c r="J83" i="1"/>
  <c r="J70" i="1"/>
  <c r="J69" i="1"/>
  <c r="J80" i="1"/>
  <c r="J85" i="1"/>
  <c r="J89" i="1"/>
  <c r="J84" i="1"/>
  <c r="J94" i="1"/>
  <c r="J86" i="1"/>
  <c r="J93" i="1"/>
  <c r="J87" i="1"/>
  <c r="J90" i="1"/>
  <c r="J88" i="1"/>
  <c r="J92" i="1"/>
  <c r="J138" i="1"/>
  <c r="J91" i="1"/>
  <c r="J96" i="1"/>
  <c r="J120" i="1"/>
  <c r="J100" i="1"/>
  <c r="J98" i="1"/>
  <c r="J95" i="1"/>
  <c r="J101" i="1"/>
  <c r="J102" i="1"/>
  <c r="J99" i="1"/>
  <c r="J103" i="1"/>
  <c r="J105" i="1"/>
  <c r="J106" i="1"/>
  <c r="J107" i="1"/>
  <c r="J108" i="1"/>
  <c r="J104" i="1"/>
  <c r="J111" i="1"/>
  <c r="J112" i="1"/>
  <c r="J110" i="1"/>
  <c r="J109" i="1"/>
  <c r="J113" i="1"/>
  <c r="J116" i="1"/>
  <c r="J115" i="1"/>
  <c r="J114" i="1"/>
  <c r="J118" i="1"/>
  <c r="J122" i="1"/>
  <c r="J117" i="1"/>
  <c r="J119" i="1"/>
  <c r="J123" i="1"/>
  <c r="J124" i="1"/>
  <c r="J125" i="1"/>
  <c r="J127" i="1"/>
  <c r="J126" i="1"/>
  <c r="J128" i="1"/>
  <c r="J129" i="1"/>
  <c r="J130" i="1"/>
  <c r="J131" i="1"/>
  <c r="J132" i="1"/>
  <c r="J133" i="1"/>
  <c r="J134" i="1"/>
  <c r="J135" i="1"/>
  <c r="J136" i="1"/>
  <c r="J139" i="1"/>
  <c r="J140" i="1"/>
  <c r="J141" i="1"/>
  <c r="J142" i="1"/>
  <c r="J143" i="1"/>
  <c r="J144" i="1"/>
  <c r="J145" i="1"/>
  <c r="J146" i="1"/>
  <c r="J147" i="1"/>
  <c r="J148" i="1"/>
  <c r="J121" i="1"/>
  <c r="J97" i="1"/>
  <c r="J3" i="3"/>
  <c r="J2" i="3"/>
  <c r="J4" i="3"/>
  <c r="J5" i="3"/>
  <c r="J6" i="3"/>
  <c r="J7" i="3"/>
  <c r="J8" i="3"/>
  <c r="J9" i="3"/>
  <c r="J10" i="3"/>
  <c r="J12" i="3"/>
  <c r="J11" i="3"/>
  <c r="J13" i="3"/>
  <c r="J19" i="3"/>
  <c r="J18" i="3"/>
  <c r="J14" i="3"/>
  <c r="J22" i="3"/>
  <c r="J29" i="3"/>
  <c r="J17" i="3"/>
  <c r="J26" i="3"/>
  <c r="J23" i="3"/>
  <c r="J27" i="3"/>
  <c r="J30" i="3"/>
  <c r="J16" i="3"/>
  <c r="J15" i="3"/>
  <c r="J25" i="3"/>
  <c r="J20" i="3"/>
  <c r="J21" i="3"/>
  <c r="J28" i="3"/>
  <c r="J37" i="3"/>
  <c r="J31" i="3"/>
  <c r="J24" i="3"/>
  <c r="J32" i="3"/>
  <c r="J33" i="3"/>
  <c r="J34" i="3"/>
  <c r="J38" i="3"/>
  <c r="J35" i="3"/>
  <c r="J36" i="3"/>
  <c r="J53" i="3"/>
  <c r="J45" i="3"/>
  <c r="J42" i="3"/>
  <c r="J43" i="3"/>
  <c r="J48" i="3"/>
  <c r="J39" i="3"/>
  <c r="J58" i="3"/>
  <c r="J41" i="3"/>
  <c r="J49" i="3"/>
  <c r="J55" i="3"/>
  <c r="J57" i="3"/>
  <c r="J46" i="3"/>
  <c r="J50" i="3"/>
  <c r="J51" i="3"/>
  <c r="J52" i="3"/>
  <c r="J56" i="3"/>
  <c r="J47" i="3"/>
  <c r="J54" i="3"/>
  <c r="J61" i="3"/>
  <c r="J44" i="3"/>
  <c r="J60" i="3"/>
  <c r="J59" i="3"/>
  <c r="J63" i="3"/>
  <c r="J40" i="3"/>
  <c r="J62" i="3"/>
  <c r="J95" i="3"/>
  <c r="J64" i="3"/>
  <c r="J65" i="3"/>
  <c r="J66" i="3"/>
  <c r="J67" i="3"/>
  <c r="J68" i="3"/>
  <c r="J71" i="3"/>
  <c r="J69" i="3"/>
  <c r="J72" i="3"/>
  <c r="J73" i="3"/>
  <c r="J70" i="3"/>
  <c r="J75" i="3"/>
  <c r="J87" i="3"/>
  <c r="J76" i="3"/>
  <c r="J77" i="3"/>
  <c r="J78" i="3"/>
  <c r="J74" i="3"/>
  <c r="J79" i="3"/>
  <c r="J85" i="3"/>
  <c r="J81" i="3"/>
  <c r="J82" i="3"/>
  <c r="J90" i="3"/>
  <c r="J86" i="3"/>
  <c r="J80" i="3"/>
  <c r="J83" i="3"/>
  <c r="J84" i="3"/>
  <c r="J88" i="3"/>
  <c r="J98" i="3"/>
  <c r="J89" i="3"/>
  <c r="J91" i="3"/>
  <c r="J93" i="3"/>
  <c r="J94" i="3"/>
  <c r="J92" i="3"/>
  <c r="J96" i="3"/>
  <c r="J97" i="3"/>
  <c r="J99" i="3"/>
  <c r="J101" i="3"/>
  <c r="J100" i="3"/>
  <c r="J103" i="3"/>
  <c r="J102" i="3"/>
  <c r="J104" i="3"/>
  <c r="J106" i="3"/>
  <c r="J107" i="3"/>
  <c r="J108" i="3"/>
  <c r="J110" i="3"/>
  <c r="J111" i="3"/>
  <c r="J109" i="3"/>
  <c r="J112" i="3"/>
  <c r="J114" i="3"/>
  <c r="J115" i="3"/>
  <c r="J116" i="3"/>
  <c r="J117" i="3"/>
  <c r="J113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05" i="3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<sst xmlns="http://schemas.openxmlformats.org/spreadsheetml/2006/main" count="2095" uniqueCount="949">
  <si>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</si>
  <si>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</si>
  <si>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</si>
  <si>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</si>
  <si>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</si>
  <si>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</si>
  <si>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</si>
  <si>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</si>
  <si>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</si>
  <si>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</si>
  <si>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</si>
  <si>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</si>
  <si>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</si>
  <si>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</si>
  <si>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</si>
  <si>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</si>
  <si>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</si>
  <si>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</si>
  <si>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</si>
  <si>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</si>
  <si>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</si>
  <si>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</si>
  <si>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</si>
  <si>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</si>
  <si>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</si>
  <si>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</si>
  <si>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</si>
  <si>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</si>
  <si>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</si>
  <si>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</si>
  <si>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</si>
  <si>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</si>
  <si>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</si>
  <si>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</si>
  <si>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</si>
  <si>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</si>
  <si>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</si>
  <si>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</si>
  <si>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</si>
  <si>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</si>
  <si>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</si>
  <si>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</si>
  <si>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</si>
  <si>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</si>
  <si>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</si>
  <si>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</si>
  <si>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</si>
  <si>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</si>
  <si>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</si>
  <si>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</si>
  <si>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</si>
  <si>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</si>
  <si>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</si>
  <si>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</si>
  <si>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</si>
  <si>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</si>
  <si>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</si>
  <si>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</si>
  <si>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</si>
  <si>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</si>
  <si>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</si>
  <si>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</si>
  <si>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</si>
  <si>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</si>
  <si>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</si>
  <si>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</si>
  <si>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</si>
  <si>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</si>
  <si>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</si>
  <si>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</si>
  <si>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</si>
  <si>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</si>
  <si>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</si>
  <si>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</si>
  <si>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</si>
  <si>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</si>
  <si>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</si>
  <si>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</si>
  <si>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</si>
  <si>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</si>
  <si>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</si>
  <si>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</si>
  <si>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</si>
  <si>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</si>
  <si>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</si>
  <si>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</si>
  <si>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</si>
  <si>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</si>
  <si>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</si>
  <si>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</si>
  <si>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</si>
  <si>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</si>
  <si>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</si>
  <si>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</si>
  <si>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</si>
  <si>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</si>
  <si>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</si>
  <si>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</si>
  <si>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</si>
  <si>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</si>
  <si>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</si>
  <si>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</si>
  <si>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</si>
  <si>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</si>
  <si>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</si>
  <si>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</si>
  <si>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</si>
  <si>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</si>
  <si>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</si>
  <si>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</si>
  <si>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</si>
  <si>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</si>
  <si>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</si>
  <si>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</si>
  <si>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</si>
  <si>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</si>
  <si>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</si>
  <si>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</si>
  <si>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</si>
  <si>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</si>
  <si>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</si>
  <si>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</si>
  <si>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</si>
  <si>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</si>
  <si>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</si>
  <si>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</si>
  <si>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</si>
  <si>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</si>
  <si>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</si>
  <si>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</si>
  <si>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</si>
  <si>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</si>
  <si>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</si>
  <si>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</si>
  <si>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</si>
  <si>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</si>
  <si>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</si>
  <si>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</si>
  <si>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</si>
  <si>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</si>
  <si>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</si>
  <si>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</si>
  <si>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</si>
  <si>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</si>
  <si>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</si>
  <si>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</si>
  <si>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</si>
  <si>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</si>
  <si>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</si>
  <si>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</si>
  <si>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</si>
  <si>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</si>
  <si>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</si>
  <si>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</si>
  <si>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</si>
  <si>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</si>
  <si>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</si>
  <si>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</si>
  <si>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</si>
  <si>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</si>
  <si>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</si>
  <si>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</si>
  <si>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</si>
  <si>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</si>
  <si>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</si>
  <si>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</si>
  <si>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</si>
  <si>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</si>
  <si>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</si>
  <si>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</si>
  <si>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</si>
  <si>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</si>
  <si>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</si>
  <si>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</si>
  <si>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</si>
  <si>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</si>
  <si>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</si>
  <si>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</si>
  <si>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</si>
  <si>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</si>
  <si>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</si>
  <si>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</si>
  <si>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</si>
  <si>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</si>
  <si>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</si>
  <si>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</si>
  <si>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</si>
  <si>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</si>
  <si>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</si>
  <si>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</si>
  <si>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</si>
  <si>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</si>
  <si>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</si>
  <si>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</si>
  <si>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</si>
  <si>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</si>
  <si>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</si>
  <si>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</si>
  <si>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</si>
  <si>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</si>
  <si>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</si>
  <si>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</si>
  <si>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</si>
  <si>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</si>
  <si>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</si>
  <si>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</si>
  <si>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</si>
  <si>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</si>
  <si>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</si>
  <si>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</si>
  <si>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</si>
  <si>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</si>
  <si>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</si>
  <si>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</si>
  <si>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</si>
  <si>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</si>
  <si>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</si>
  <si>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</si>
  <si>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</si>
  <si>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</si>
  <si>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</si>
  <si>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</si>
  <si>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</si>
  <si>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</si>
  <si>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</si>
  <si>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</si>
  <si>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</si>
  <si>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</si>
  <si>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</si>
  <si>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</si>
  <si>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</si>
  <si>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</si>
  <si>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</si>
  <si>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</si>
  <si>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</si>
  <si>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</si>
  <si>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</si>
  <si>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</si>
  <si>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</si>
  <si>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</si>
  <si>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</si>
  <si>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</si>
  <si>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</si>
  <si>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</si>
  <si>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</si>
  <si>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</si>
  <si>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</si>
  <si>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</si>
  <si>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</si>
  <si>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</si>
  <si>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</si>
  <si>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</si>
  <si>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</si>
  <si>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</si>
  <si>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</si>
  <si>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</si>
  <si>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</si>
  <si>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</si>
  <si>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</si>
  <si>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</si>
  <si>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</si>
  <si>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</si>
  <si>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</si>
  <si>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</si>
  <si>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</si>
  <si>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</si>
  <si>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</si>
  <si>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</si>
  <si>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</si>
  <si>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</si>
  <si>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</si>
  <si>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</si>
  <si>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</si>
  <si>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</si>
  <si>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</si>
  <si>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</si>
  <si>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</si>
  <si>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</si>
  <si>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</si>
  <si>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</si>
  <si>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</si>
  <si>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</si>
  <si>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</si>
  <si>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</si>
  <si>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</si>
  <si>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</si>
  <si>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</si>
  <si>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</si>
  <si>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</si>
  <si>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</si>
  <si>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</si>
  <si>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</si>
  <si>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</si>
  <si>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</si>
  <si>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</si>
  <si>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</si>
  <si>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</si>
  <si>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</si>
  <si>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</si>
  <si>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</si>
  <si>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</si>
  <si>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</si>
  <si>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</si>
  <si>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</si>
  <si>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</si>
  <si>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</si>
  <si>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</si>
  <si>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</si>
  <si>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</si>
  <si>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</si>
  <si>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</si>
  <si>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</si>
  <si>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</si>
  <si>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</si>
  <si>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</si>
  <si>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</si>
  <si>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</si>
  <si>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</si>
  <si>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</si>
  <si>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</si>
  <si>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</si>
  <si>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</si>
  <si>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</si>
  <si>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</si>
  <si>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</si>
  <si>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</si>
  <si>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</si>
  <si>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</si>
  <si>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</si>
  <si>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</si>
  <si>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</si>
  <si>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</si>
  <si>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</si>
  <si>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</si>
  <si>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</si>
  <si>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</si>
  <si>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</si>
  <si>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</si>
  <si>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</si>
  <si>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</si>
  <si>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</si>
  <si>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</si>
  <si>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</si>
  <si>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</si>
  <si>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</si>
  <si>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</si>
  <si>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</si>
  <si>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</si>
  <si>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</si>
  <si>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</si>
  <si>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</si>
  <si>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</si>
  <si>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</si>
  <si>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</si>
  <si>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</si>
  <si>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</si>
  <si>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</si>
  <si>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</si>
  <si>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</si>
  <si>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</si>
  <si>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</si>
  <si>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</si>
  <si>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</si>
  <si>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</si>
  <si>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</si>
  <si>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</si>
  <si>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</si>
  <si>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</si>
  <si>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</si>
  <si>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</si>
  <si>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</si>
  <si>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</si>
  <si>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</si>
  <si>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</si>
  <si>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</si>
  <si>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</si>
  <si>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</si>
  <si>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</si>
  <si>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</si>
  <si>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</si>
  <si>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</si>
  <si>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</si>
  <si>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</si>
  <si>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</si>
  <si>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</si>
  <si>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</si>
  <si>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</si>
  <si>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</si>
  <si>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</si>
  <si>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</si>
  <si>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</si>
  <si>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</si>
  <si>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</si>
  <si>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</si>
  <si>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</si>
  <si>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</si>
  <si>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</si>
  <si>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</si>
  <si>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</si>
  <si>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</si>
  <si>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</si>
  <si>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</si>
  <si>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</si>
  <si>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</si>
  <si>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</si>
  <si>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</si>
  <si>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</si>
  <si>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</si>
  <si>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</si>
  <si>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</si>
  <si>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</si>
  <si>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</si>
  <si>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</si>
  <si>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</si>
  <si>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</si>
  <si>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</si>
  <si>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</si>
  <si>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</si>
  <si>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</si>
  <si>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</si>
  <si>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</si>
  <si>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</si>
  <si>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</si>
  <si>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</si>
  <si>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</si>
  <si>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</si>
  <si>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</si>
  <si>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</si>
  <si>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</si>
  <si>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</si>
  <si>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</si>
  <si>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</si>
  <si>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</si>
  <si>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</si>
  <si>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</si>
  <si>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</si>
  <si>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</si>
  <si>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</si>
  <si>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</si>
  <si>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</si>
  <si>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</si>
  <si>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</si>
  <si>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</si>
  <si>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</si>
  <si>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</si>
  <si>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</si>
  <si>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</si>
  <si>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</si>
  <si>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</si>
  <si>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</si>
  <si>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</si>
  <si>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</si>
  <si>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</si>
  <si>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</si>
  <si>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</si>
  <si>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</si>
  <si>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</si>
  <si>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</si>
  <si>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</si>
  <si>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</si>
  <si>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</si>
  <si>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</si>
  <si>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</si>
  <si>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</si>
  <si>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</si>
  <si>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</si>
  <si>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</si>
  <si>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</si>
  <si>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</si>
  <si>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</si>
  <si>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</si>
  <si>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</si>
  <si>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</si>
  <si>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</si>
  <si>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</si>
  <si>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</si>
  <si>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</si>
  <si>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</si>
  <si>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</si>
  <si>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</si>
  <si>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</si>
  <si>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</si>
  <si>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</si>
  <si>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</si>
  <si>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</si>
  <si>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</si>
  <si>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</si>
  <si>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</si>
  <si>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</si>
  <si>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</si>
  <si>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</si>
  <si>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</si>
  <si>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</si>
  <si>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</si>
  <si>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</si>
  <si>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</si>
  <si>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</si>
  <si>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</si>
  <si>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</si>
  <si>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</si>
  <si>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</si>
  <si>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</si>
  <si>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</si>
  <si>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</si>
  <si>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</si>
  <si>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</si>
  <si>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</si>
  <si>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</si>
  <si>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</si>
  <si>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</si>
  <si>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</si>
  <si>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</si>
  <si>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</si>
  <si>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</si>
  <si>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</si>
  <si>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</si>
  <si>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</si>
  <si>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</si>
  <si>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</si>
  <si>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</si>
  <si>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</si>
  <si>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</si>
  <si>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</si>
  <si>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</si>
  <si>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</si>
  <si>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</si>
  <si>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</si>
  <si>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</si>
  <si>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</si>
  <si>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</si>
  <si>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</si>
  <si>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</si>
  <si>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</si>
  <si>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</si>
  <si>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</si>
  <si>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</si>
  <si>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</si>
  <si>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</si>
  <si>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</si>
  <si>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</si>
  <si>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</si>
  <si>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</si>
  <si>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</si>
  <si>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</si>
  <si>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</si>
  <si>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</si>
  <si>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</si>
  <si>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</si>
  <si>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</si>
  <si>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</si>
  <si>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</si>
  <si>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</si>
  <si>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</si>
  <si>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</si>
  <si>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</si>
  <si>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</si>
  <si>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</si>
  <si>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</si>
  <si>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</si>
  <si>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</si>
  <si>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</si>
  <si>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</si>
  <si>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</si>
  <si>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</si>
  <si>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</si>
  <si>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</si>
  <si>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</si>
  <si>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</si>
  <si>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</si>
  <si>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</si>
  <si>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</si>
  <si>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</si>
  <si>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</si>
  <si>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</si>
  <si>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</si>
  <si>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</si>
  <si>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</si>
  <si>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</si>
  <si>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</si>
  <si>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</si>
  <si>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</si>
  <si>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</si>
  <si>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</si>
  <si>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</si>
  <si>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</si>
  <si>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</si>
  <si>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</si>
  <si>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</si>
  <si>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</si>
  <si>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</si>
  <si>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</si>
  <si>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</si>
  <si>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</si>
  <si>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</si>
  <si>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</si>
  <si>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</si>
  <si>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</si>
  <si>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</si>
  <si>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</si>
  <si>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</si>
  <si>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</si>
  <si>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</si>
  <si>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</si>
  <si>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</si>
  <si>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</si>
  <si>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</si>
  <si>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</si>
  <si>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</si>
  <si>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</si>
  <si>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</si>
  <si>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</si>
  <si>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</si>
  <si>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</si>
  <si>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</si>
  <si>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</si>
  <si>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</si>
  <si>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</si>
  <si>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</si>
  <si>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</si>
  <si>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</si>
  <si>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</si>
  <si>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</si>
  <si>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</si>
  <si>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</si>
  <si>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</si>
  <si>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</si>
  <si>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</si>
  <si>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</si>
  <si>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</si>
  <si>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</si>
  <si>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</si>
  <si>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</si>
  <si>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</si>
  <si>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</si>
  <si>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</si>
  <si>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</si>
  <si>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</si>
  <si>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</si>
  <si>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</si>
  <si>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</si>
  <si>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</si>
  <si>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</si>
  <si>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</si>
  <si>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</si>
  <si>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</si>
  <si>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</si>
  <si>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</si>
  <si>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</si>
  <si>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</si>
  <si>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</si>
  <si>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</si>
  <si>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</si>
  <si>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</si>
  <si>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</si>
  <si>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</si>
  <si>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</si>
  <si>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</si>
  <si>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</si>
  <si>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</si>
  <si>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</si>
  <si>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</si>
  <si>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</si>
  <si>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</si>
  <si>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</si>
  <si>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</si>
  <si>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</si>
  <si>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</si>
  <si>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</si>
  <si>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</si>
  <si>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</si>
  <si>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</si>
  <si>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</si>
  <si>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</si>
  <si>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</si>
  <si>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</si>
  <si>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</si>
  <si>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</si>
  <si>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</si>
  <si>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</si>
  <si>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</si>
  <si>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</si>
  <si>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</si>
  <si>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</si>
  <si>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</si>
  <si>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</si>
  <si>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</si>
  <si>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</si>
  <si>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</si>
  <si>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</si>
  <si>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</si>
  <si>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</si>
  <si>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</si>
  <si>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</si>
  <si>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</si>
  <si>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</si>
  <si>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</si>
  <si>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</si>
  <si>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</si>
  <si>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</si>
  <si>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</si>
  <si>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</si>
  <si>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</si>
  <si>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</si>
  <si>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</si>
  <si>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</si>
  <si>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</si>
  <si>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</si>
  <si>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</si>
  <si>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</si>
  <si>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</si>
  <si>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</si>
  <si>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</si>
  <si>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</si>
  <si>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</si>
  <si>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</si>
  <si>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</si>
  <si>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</si>
  <si>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</si>
  <si>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</si>
  <si>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</si>
  <si>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</si>
  <si>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</si>
  <si>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</si>
  <si>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</si>
  <si>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</si>
  <si>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</si>
  <si>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</si>
  <si>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</si>
  <si>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</si>
  <si>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</si>
  <si>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</si>
  <si>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</si>
  <si>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</si>
  <si>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</si>
  <si>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</si>
  <si>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</si>
  <si>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</si>
  <si>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</si>
  <si>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</si>
  <si>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</si>
  <si>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</si>
  <si>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</si>
  <si>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</si>
  <si>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</si>
  <si>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</si>
  <si>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</si>
  <si>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</si>
  <si>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</si>
  <si>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</si>
  <si>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</si>
  <si>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</si>
  <si>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</si>
  <si>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</si>
  <si>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</si>
  <si>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</si>
  <si>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</si>
  <si>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</si>
  <si>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</si>
  <si>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</si>
  <si>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</si>
  <si>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</si>
  <si>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</si>
  <si>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</si>
  <si>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</si>
  <si>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</si>
  <si>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</si>
  <si>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</si>
  <si>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</si>
  <si>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</si>
  <si>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</si>
  <si>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</si>
  <si>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</si>
  <si>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</si>
  <si>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</si>
  <si>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</si>
  <si>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</si>
  <si>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</si>
  <si>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</si>
  <si>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</si>
  <si>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</si>
  <si>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</si>
  <si>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</si>
  <si>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</si>
  <si>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</si>
  <si>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</si>
  <si>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</si>
  <si>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</si>
  <si>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</si>
  <si>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</si>
  <si>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</si>
  <si>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</si>
  <si>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</si>
  <si>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</si>
  <si>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</si>
  <si>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</si>
  <si>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</si>
  <si>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</si>
  <si>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</si>
  <si>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</si>
  <si>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</si>
  <si>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</si>
  <si>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</si>
  <si>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</si>
  <si>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</si>
  <si>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</si>
  <si>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</si>
  <si>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</si>
  <si>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</si>
  <si>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</si>
  <si>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</si>
  <si>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</si>
  <si>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</si>
  <si>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</si>
  <si>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</si>
  <si>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</si>
  <si>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</si>
  <si>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</si>
  <si>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</si>
  <si>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</si>
  <si>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</si>
  <si>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</si>
  <si>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</si>
  <si>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</si>
  <si>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</si>
  <si>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</si>
  <si>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</si>
  <si>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</si>
  <si>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</si>
  <si>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</si>
  <si>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</si>
  <si>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</si>
  <si>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</si>
  <si>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</si>
  <si>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</si>
  <si>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</si>
  <si>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</si>
  <si>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</si>
  <si>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</si>
  <si>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</si>
  <si>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</si>
  <si>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</si>
  <si>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</si>
  <si>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</si>
  <si>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</si>
  <si>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</si>
  <si>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</si>
  <si>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</si>
  <si>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</si>
  <si>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</si>
  <si>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</si>
  <si>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</si>
  <si>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</si>
  <si>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</si>
  <si>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</si>
  <si>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</si>
  <si>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</si>
  <si>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</si>
  <si>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</si>
  <si>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</si>
  <si>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</si>
  <si>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</si>
  <si>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</si>
  <si>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</si>
  <si>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</si>
  <si>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</si>
  <si>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</si>
  <si>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</si>
  <si>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</si>
  <si>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</si>
  <si>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</si>
  <si>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</si>
  <si>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</si>
  <si>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</si>
  <si>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</si>
  <si>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</si>
  <si>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</si>
  <si>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</si>
  <si>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</si>
  <si>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</si>
  <si>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</si>
  <si>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</si>
  <si>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</si>
  <si>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</si>
  <si>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</si>
  <si>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</si>
  <si>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</si>
  <si>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</si>
  <si>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</si>
  <si>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</si>
  <si>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</si>
  <si>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</si>
  <si>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</si>
  <si>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</si>
  <si>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</si>
  <si>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</si>
  <si>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</si>
  <si>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</si>
  <si>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</si>
  <si>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</si>
  <si>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</si>
  <si>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</si>
  <si>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</si>
  <si>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</si>
  <si>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</si>
  <si>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</si>
  <si>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</si>
  <si>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</si>
  <si>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</si>
  <si>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</si>
  <si>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</si>
  <si>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</si>
  <si>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</si>
  <si>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</si>
  <si>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</si>
  <si>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</si>
  <si>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</si>
  <si>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</si>
  <si>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</si>
  <si>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</si>
  <si>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</si>
  <si>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</si>
  <si>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</si>
  <si>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</si>
  <si>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</si>
  <si>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</si>
  <si>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</si>
  <si>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</si>
  <si>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</si>
  <si>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</si>
  <si>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</si>
  <si>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</si>
  <si>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</si>
  <si>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</si>
  <si>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</si>
  <si>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</si>
  <si>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</si>
  <si>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</si>
  <si>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</si>
  <si>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</si>
  <si>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</si>
  <si>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</si>
  <si>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</si>
  <si>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</si>
  <si>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</si>
  <si>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</si>
  <si>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</si>
  <si>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601012.SH</t>
  </si>
  <si>
    <t>1698.HK</t>
  </si>
  <si>
    <t>TME-SW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</si>
</sst>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8"/>
  <sheetViews>
    <sheetView tabSelected="1" zoomScale="86" zoomScaleNormal="11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6" sqref="G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15.35</v>
      </c>
      <c r="F2" s="9" t="s">
        <v>67</v>
      </c>
      <c r="G2" s="7">
        <v>275901644800</v>
      </c>
      <c r="H2" s="6">
        <v>16.600000000000001</v>
      </c>
      <c r="I2" s="6">
        <v>9.8000000000000007</v>
      </c>
      <c r="J2" s="12">
        <f>E2/I2-1</f>
        <v>0.56632653061224469</v>
      </c>
      <c r="K2" s="11">
        <v>0.10358306188925082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0.46677087070908746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3.98</v>
      </c>
      <c r="F3" s="9" t="s">
        <v>67</v>
      </c>
      <c r="G3" s="7">
        <v>11132949504</v>
      </c>
      <c r="H3" s="6">
        <v>5.2</v>
      </c>
      <c r="I3" s="6">
        <v>2.67</v>
      </c>
      <c r="J3" s="12">
        <f>E3/I3-1</f>
        <v>0.49063670411985028</v>
      </c>
      <c r="K3" s="11">
        <v>3.8442211055276385E-2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0.2882409167030045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142.69999999999999</v>
      </c>
      <c r="F4" s="9" t="s">
        <v>67</v>
      </c>
      <c r="G4" s="7">
        <v>94235271168</v>
      </c>
      <c r="H4" s="6">
        <v>159.30000000000001</v>
      </c>
      <c r="I4" s="6">
        <v>93</v>
      </c>
      <c r="J4" s="12">
        <f>E4/I4-1</f>
        <v>0.53440860215053743</v>
      </c>
      <c r="K4" s="11">
        <v>7.9887876664330761E-3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0.46065481899026722</v>
      </c>
      <c r="Q4" s="12">
        <v>0.19894228627727803</v>
      </c>
      <c r="R4" s="14">
        <v>3</v>
      </c>
    </row>
    <row r="5" spans="2:22" x14ac:dyDescent="0.5">
      <c r="B5" s="1" t="s">
        <v>249</v>
      </c>
      <c r="C5" t="s">
        <v>295</v>
      </c>
      <c r="D5" t="s">
        <v>296</v>
      </c>
      <c r="E5">
        <v>6.09</v>
      </c>
      <c r="F5" s="9" t="s">
        <v>67</v>
      </c>
      <c r="G5" s="7">
        <v>323483631616</v>
      </c>
      <c r="H5" s="6">
        <v>7.63</v>
      </c>
      <c r="I5" s="6">
        <v>3.66</v>
      </c>
      <c r="J5" s="12">
        <f>E5/I5-1</f>
        <v>0.66393442622950816</v>
      </c>
      <c r="K5" s="11">
        <v>3.1527093596059118E-2</v>
      </c>
      <c r="L5" s="13">
        <v>72477000000</v>
      </c>
      <c r="M5" s="13">
        <v>319355000000</v>
      </c>
      <c r="N5" s="9" t="s">
        <v>50</v>
      </c>
      <c r="O5" s="6">
        <v>1.0683760683760684</v>
      </c>
      <c r="P5" s="12">
        <v>0.21930782815223693</v>
      </c>
      <c r="Q5" s="12">
        <v>0.22694806719794586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3.86</v>
      </c>
      <c r="F6" s="9" t="s">
        <v>67</v>
      </c>
      <c r="G6" s="7">
        <v>33997584384</v>
      </c>
      <c r="H6" s="6">
        <v>7.38</v>
      </c>
      <c r="I6" s="6">
        <v>3.64</v>
      </c>
      <c r="J6" s="12">
        <f>E6/I6-1</f>
        <v>6.0439560439560447E-2</v>
      </c>
      <c r="K6" s="11">
        <v>6.865284974093265E-2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0.2372343521476443</v>
      </c>
      <c r="Q6" s="12">
        <v>0.20771406306691512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>E7/I7-1</f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12.8</v>
      </c>
      <c r="F8" s="9" t="s">
        <v>67</v>
      </c>
      <c r="G8" s="7">
        <v>49946062848</v>
      </c>
      <c r="H8" s="6">
        <v>19.05</v>
      </c>
      <c r="I8" s="6">
        <v>4.22</v>
      </c>
      <c r="J8" s="12">
        <f>E8/I8-1</f>
        <v>2.0331753554502372</v>
      </c>
      <c r="K8" s="11">
        <v>3.3593749999999995E-3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0.14247516673370536</v>
      </c>
      <c r="Q8" s="12">
        <v>0.34518550887925997</v>
      </c>
      <c r="R8" s="14">
        <v>7</v>
      </c>
    </row>
    <row r="9" spans="2:22" x14ac:dyDescent="0.5">
      <c r="B9" s="1" t="s">
        <v>936</v>
      </c>
      <c r="C9" t="s">
        <v>940</v>
      </c>
      <c r="D9" t="s">
        <v>152</v>
      </c>
      <c r="E9">
        <v>7.54</v>
      </c>
      <c r="F9" s="9" t="s">
        <v>67</v>
      </c>
      <c r="G9" s="7">
        <v>4815383040</v>
      </c>
      <c r="H9" s="6">
        <v>8.67</v>
      </c>
      <c r="I9" s="6">
        <v>6.63</v>
      </c>
      <c r="J9" s="12">
        <f>E9/I9-1</f>
        <v>0.13725490196078427</v>
      </c>
      <c r="K9" s="11">
        <v>6.2466843501326259E-2</v>
      </c>
      <c r="L9" s="13">
        <v>1447565000</v>
      </c>
      <c r="M9" s="13">
        <v>8169694000</v>
      </c>
      <c r="N9" s="9" t="s">
        <v>50</v>
      </c>
      <c r="O9" s="6">
        <v>1.0683760683760684</v>
      </c>
      <c r="P9" s="12">
        <v>0.25697089799222173</v>
      </c>
      <c r="Q9" s="12">
        <v>0.1771871749419256</v>
      </c>
      <c r="R9" s="14">
        <v>8</v>
      </c>
    </row>
    <row r="10" spans="2:22" x14ac:dyDescent="0.5">
      <c r="B10" s="1" t="s">
        <v>34</v>
      </c>
      <c r="C10" t="s">
        <v>97</v>
      </c>
      <c r="D10" t="s">
        <v>70</v>
      </c>
      <c r="E10">
        <v>4.05</v>
      </c>
      <c r="F10" s="9" t="s">
        <v>67</v>
      </c>
      <c r="G10" s="7">
        <v>47068745728</v>
      </c>
      <c r="H10" s="6">
        <v>5.37</v>
      </c>
      <c r="I10" s="6">
        <v>3.5</v>
      </c>
      <c r="J10" s="12">
        <f>E10/I10-1</f>
        <v>0.15714285714285703</v>
      </c>
      <c r="K10" s="11">
        <v>6.5185185185185193E-2</v>
      </c>
      <c r="L10" s="13">
        <v>5294586000</v>
      </c>
      <c r="M10" s="13">
        <v>17815083000</v>
      </c>
      <c r="N10" s="9" t="s">
        <v>50</v>
      </c>
      <c r="O10" s="6">
        <v>1.0683760683760684</v>
      </c>
      <c r="P10" s="12">
        <v>0.12687729576768844</v>
      </c>
      <c r="Q10" s="12">
        <v>0.29719681912231338</v>
      </c>
      <c r="R10" s="14">
        <v>9</v>
      </c>
    </row>
    <row r="11" spans="2:22" x14ac:dyDescent="0.5">
      <c r="B11" s="1" t="s">
        <v>290</v>
      </c>
      <c r="C11" t="s">
        <v>343</v>
      </c>
      <c r="D11" t="s">
        <v>94</v>
      </c>
      <c r="E11">
        <v>5.25</v>
      </c>
      <c r="F11" s="9" t="s">
        <v>67</v>
      </c>
      <c r="G11" s="7">
        <v>10855330816</v>
      </c>
      <c r="H11" s="6">
        <v>6.7</v>
      </c>
      <c r="I11" s="6">
        <v>3.92</v>
      </c>
      <c r="J11" s="12">
        <f>E11/I11-1</f>
        <v>0.33928571428571441</v>
      </c>
      <c r="K11" s="11">
        <v>5.39047619047619E-2</v>
      </c>
      <c r="L11" s="13">
        <v>1576240000</v>
      </c>
      <c r="M11" s="13">
        <v>9636462000</v>
      </c>
      <c r="N11" s="9" t="s">
        <v>50</v>
      </c>
      <c r="O11" s="6">
        <v>1.0683760683760684</v>
      </c>
      <c r="P11" s="12">
        <v>0.25543272414636181</v>
      </c>
      <c r="Q11" s="12">
        <v>0.16357040581906512</v>
      </c>
      <c r="R11" s="14">
        <v>10</v>
      </c>
    </row>
    <row r="12" spans="2:22" x14ac:dyDescent="0.5">
      <c r="B12" s="1" t="s">
        <v>775</v>
      </c>
      <c r="C12" t="s">
        <v>777</v>
      </c>
      <c r="D12" t="s">
        <v>435</v>
      </c>
      <c r="E12">
        <v>109.6</v>
      </c>
      <c r="F12" s="9" t="s">
        <v>67</v>
      </c>
      <c r="G12" s="7">
        <v>338259968000</v>
      </c>
      <c r="H12" s="6">
        <v>178</v>
      </c>
      <c r="I12" s="6">
        <v>95.9</v>
      </c>
      <c r="J12" s="12">
        <f>E12/I12-1</f>
        <v>0.14285714285714279</v>
      </c>
      <c r="K12" s="11">
        <v>6.3813868613138688E-2</v>
      </c>
      <c r="L12" s="13">
        <v>54434000000</v>
      </c>
      <c r="M12" s="13">
        <v>303403000000</v>
      </c>
      <c r="N12" s="9" t="s">
        <v>50</v>
      </c>
      <c r="O12" s="6">
        <v>1.0683760683760684</v>
      </c>
      <c r="P12" s="12">
        <v>0.18264645292204282</v>
      </c>
      <c r="Q12" s="12">
        <v>0.17941154174480806</v>
      </c>
      <c r="R12" s="14">
        <v>11</v>
      </c>
    </row>
    <row r="13" spans="2:22" x14ac:dyDescent="0.5">
      <c r="B13" s="1" t="s">
        <v>107</v>
      </c>
      <c r="C13" t="s">
        <v>142</v>
      </c>
      <c r="D13" t="s">
        <v>143</v>
      </c>
      <c r="E13">
        <v>3.26</v>
      </c>
      <c r="F13" s="9" t="s">
        <v>67</v>
      </c>
      <c r="G13" s="7">
        <v>16596874240</v>
      </c>
      <c r="H13" s="6">
        <v>3.5</v>
      </c>
      <c r="I13" s="6">
        <v>2.23</v>
      </c>
      <c r="J13" s="12">
        <f>E13/I13-1</f>
        <v>0.46188340807174888</v>
      </c>
      <c r="K13" s="11">
        <v>8.282208588957056E-2</v>
      </c>
      <c r="L13" s="13">
        <v>2527643000</v>
      </c>
      <c r="M13" s="13">
        <v>16480074000</v>
      </c>
      <c r="N13" s="9" t="s">
        <v>67</v>
      </c>
      <c r="O13" s="6">
        <v>1</v>
      </c>
      <c r="P13" s="12">
        <v>0.28195598593351362</v>
      </c>
      <c r="Q13" s="12">
        <v>0.15337570692947131</v>
      </c>
      <c r="R13" s="14">
        <v>11</v>
      </c>
    </row>
    <row r="14" spans="2:22" x14ac:dyDescent="0.5">
      <c r="B14" s="1" t="s">
        <v>32</v>
      </c>
      <c r="C14" t="s">
        <v>93</v>
      </c>
      <c r="D14" t="s">
        <v>94</v>
      </c>
      <c r="E14">
        <v>14.31</v>
      </c>
      <c r="F14" s="9" t="s">
        <v>67</v>
      </c>
      <c r="G14" s="7">
        <v>11979009024</v>
      </c>
      <c r="H14" s="6">
        <v>19.440000000000001</v>
      </c>
      <c r="I14" s="6">
        <v>12.5</v>
      </c>
      <c r="J14" s="12">
        <f>E14/I14-1</f>
        <v>0.14480000000000004</v>
      </c>
      <c r="K14" s="11">
        <v>9.1544374563242489E-3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0.17417573359566887</v>
      </c>
      <c r="Q14" s="12">
        <v>0.18009145491283626</v>
      </c>
      <c r="R14" s="14">
        <v>12</v>
      </c>
    </row>
    <row r="15" spans="2:22" x14ac:dyDescent="0.5">
      <c r="B15" s="1" t="s">
        <v>766</v>
      </c>
      <c r="C15" t="s">
        <v>771</v>
      </c>
      <c r="D15" t="s">
        <v>164</v>
      </c>
      <c r="E15">
        <v>0.93</v>
      </c>
      <c r="F15" s="9" t="s">
        <v>67</v>
      </c>
      <c r="G15" s="7">
        <v>682864320</v>
      </c>
      <c r="H15" s="6">
        <v>1.06</v>
      </c>
      <c r="I15" s="6">
        <v>0.74</v>
      </c>
      <c r="J15" s="12">
        <f>E15/I15-1</f>
        <v>0.2567567567567568</v>
      </c>
      <c r="K15" s="11">
        <v>0.10752688172043011</v>
      </c>
      <c r="L15" s="13">
        <v>180447000</v>
      </c>
      <c r="M15" s="13">
        <v>1366457000</v>
      </c>
      <c r="N15" s="9" t="s">
        <v>67</v>
      </c>
      <c r="O15" s="6">
        <v>1</v>
      </c>
      <c r="P15" s="12">
        <v>0.4507734246449685</v>
      </c>
      <c r="Q15" s="12">
        <v>0.13205464935962127</v>
      </c>
      <c r="R15" s="14">
        <v>13</v>
      </c>
    </row>
    <row r="16" spans="2:22" x14ac:dyDescent="0.5">
      <c r="B16" s="1" t="s">
        <v>29</v>
      </c>
      <c r="C16" t="s">
        <v>89</v>
      </c>
      <c r="D16" t="s">
        <v>85</v>
      </c>
      <c r="E16">
        <v>4.7</v>
      </c>
      <c r="F16" s="9" t="s">
        <v>67</v>
      </c>
      <c r="G16" s="7">
        <v>55474434048</v>
      </c>
      <c r="H16" s="6">
        <v>5.97</v>
      </c>
      <c r="I16" s="6">
        <v>4.5199999999999996</v>
      </c>
      <c r="J16" s="12">
        <f>E16/I16-1</f>
        <v>3.9823008849557695E-2</v>
      </c>
      <c r="K16" s="11">
        <v>3.1489361702127655E-2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0.12332996498194691</v>
      </c>
      <c r="Q16" s="12">
        <v>0.27010748742934609</v>
      </c>
      <c r="R16" s="14">
        <v>14</v>
      </c>
    </row>
    <row r="17" spans="2:18" x14ac:dyDescent="0.5">
      <c r="B17" s="1" t="s">
        <v>140</v>
      </c>
      <c r="C17" t="s">
        <v>189</v>
      </c>
      <c r="D17" t="s">
        <v>178</v>
      </c>
      <c r="E17">
        <v>9.3699999999999992</v>
      </c>
      <c r="F17" s="9" t="s">
        <v>67</v>
      </c>
      <c r="G17" s="7">
        <v>116231651328</v>
      </c>
      <c r="H17" s="6">
        <v>12.93</v>
      </c>
      <c r="I17" s="6">
        <v>6.57</v>
      </c>
      <c r="J17" s="12">
        <f>E17/I17-1</f>
        <v>0.4261796042617958</v>
      </c>
      <c r="K17" s="11">
        <v>5.336179295624334E-3</v>
      </c>
      <c r="L17" s="13">
        <v>2250990000</v>
      </c>
      <c r="M17" s="13">
        <v>11437145000</v>
      </c>
      <c r="N17" s="9" t="s">
        <v>71</v>
      </c>
      <c r="O17" s="6">
        <v>7.6923076923076916</v>
      </c>
      <c r="P17" s="12">
        <v>0.13968334902746146</v>
      </c>
      <c r="Q17" s="12">
        <v>0.19681397761416858</v>
      </c>
      <c r="R17" s="14">
        <v>15</v>
      </c>
    </row>
    <row r="18" spans="2:18" x14ac:dyDescent="0.5">
      <c r="B18" s="1" t="s">
        <v>250</v>
      </c>
      <c r="C18" t="s">
        <v>297</v>
      </c>
      <c r="D18" t="s">
        <v>298</v>
      </c>
      <c r="E18">
        <v>21.24</v>
      </c>
      <c r="F18" s="9" t="s">
        <v>67</v>
      </c>
      <c r="G18" s="7">
        <v>76336955392</v>
      </c>
      <c r="H18" s="6">
        <v>25.96</v>
      </c>
      <c r="I18" s="6">
        <v>9.56</v>
      </c>
      <c r="J18" s="12">
        <f>E18/I18-1</f>
        <v>1.2217573221757321</v>
      </c>
      <c r="K18" s="11">
        <v>1.6478342749529189E-2</v>
      </c>
      <c r="L18" s="13">
        <v>25585077000</v>
      </c>
      <c r="M18" s="13">
        <v>167756547000</v>
      </c>
      <c r="N18" s="9" t="s">
        <v>67</v>
      </c>
      <c r="O18" s="6">
        <v>1</v>
      </c>
      <c r="P18" s="12">
        <v>0.22428899058272853</v>
      </c>
      <c r="Q18" s="12">
        <v>0.15251313559762292</v>
      </c>
      <c r="R18" s="14">
        <v>15</v>
      </c>
    </row>
    <row r="19" spans="2:18" x14ac:dyDescent="0.5">
      <c r="B19" s="1" t="s">
        <v>281</v>
      </c>
      <c r="C19" t="s">
        <v>334</v>
      </c>
      <c r="D19" t="s">
        <v>74</v>
      </c>
      <c r="E19">
        <v>4.97</v>
      </c>
      <c r="F19" s="9" t="s">
        <v>67</v>
      </c>
      <c r="G19" s="7">
        <v>13417600000</v>
      </c>
      <c r="H19" s="6">
        <v>6.83</v>
      </c>
      <c r="I19" s="6">
        <v>4.46</v>
      </c>
      <c r="J19" s="12">
        <f>E19/I19-1</f>
        <v>0.11434977578475336</v>
      </c>
      <c r="K19" s="11">
        <v>5.0100603621730383E-2</v>
      </c>
      <c r="L19" s="13">
        <v>2030839000</v>
      </c>
      <c r="M19" s="13">
        <v>11587361000</v>
      </c>
      <c r="N19" s="9" t="s">
        <v>50</v>
      </c>
      <c r="O19" s="6">
        <v>1.0683760683760684</v>
      </c>
      <c r="P19" s="12">
        <v>0.16108831229807435</v>
      </c>
      <c r="Q19" s="12">
        <v>0.17526328902672489</v>
      </c>
      <c r="R19" s="14">
        <v>16</v>
      </c>
    </row>
    <row r="20" spans="2:18" x14ac:dyDescent="0.5">
      <c r="B20" s="1" t="s">
        <v>285</v>
      </c>
      <c r="C20" t="s">
        <v>338</v>
      </c>
      <c r="D20" t="s">
        <v>85</v>
      </c>
      <c r="E20">
        <v>9.5</v>
      </c>
      <c r="F20" s="9" t="s">
        <v>67</v>
      </c>
      <c r="G20" s="7">
        <v>121887080448</v>
      </c>
      <c r="H20" s="6">
        <v>10.39</v>
      </c>
      <c r="I20" s="6">
        <v>6.06</v>
      </c>
      <c r="J20" s="12">
        <f>E20/I20-1</f>
        <v>0.56765676567656786</v>
      </c>
      <c r="K20" s="11">
        <v>8.1052631578947369E-3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0.14576643187996965</v>
      </c>
      <c r="Q20" s="12">
        <v>0.18273566673824351</v>
      </c>
      <c r="R20" s="14">
        <v>17</v>
      </c>
    </row>
    <row r="21" spans="2:18" x14ac:dyDescent="0.5">
      <c r="B21" s="1" t="s">
        <v>23</v>
      </c>
      <c r="C21" t="s">
        <v>79</v>
      </c>
      <c r="D21" t="s">
        <v>80</v>
      </c>
      <c r="E21">
        <v>8.48</v>
      </c>
      <c r="F21" s="9" t="s">
        <v>67</v>
      </c>
      <c r="G21" s="7">
        <v>73428320256</v>
      </c>
      <c r="H21" s="6">
        <v>8.83</v>
      </c>
      <c r="I21" s="6">
        <v>6.8</v>
      </c>
      <c r="J21" s="12">
        <f>E21/I21-1</f>
        <v>0.24705882352941178</v>
      </c>
      <c r="K21" s="11">
        <v>3.7499999999999999E-2</v>
      </c>
      <c r="L21" s="13">
        <v>13438000000</v>
      </c>
      <c r="M21" s="13">
        <v>88611000000</v>
      </c>
      <c r="N21" s="9" t="s">
        <v>50</v>
      </c>
      <c r="O21" s="6">
        <v>1.0683760683760684</v>
      </c>
      <c r="P21" s="12">
        <v>0.2061646648058153</v>
      </c>
      <c r="Q21" s="12">
        <v>0.15165160081705431</v>
      </c>
      <c r="R21" s="14">
        <v>18</v>
      </c>
    </row>
    <row r="22" spans="2:18" x14ac:dyDescent="0.5">
      <c r="B22" s="1" t="s">
        <v>20</v>
      </c>
      <c r="C22" t="s">
        <v>72</v>
      </c>
      <c r="D22" t="s">
        <v>73</v>
      </c>
      <c r="E22">
        <v>3.1</v>
      </c>
      <c r="F22" s="9" t="s">
        <v>67</v>
      </c>
      <c r="G22" s="7">
        <v>3223404800</v>
      </c>
      <c r="H22" s="6">
        <v>3.74</v>
      </c>
      <c r="I22" s="6">
        <v>1.92</v>
      </c>
      <c r="J22" s="12">
        <f>E22/I22-1</f>
        <v>0.61458333333333348</v>
      </c>
      <c r="K22" s="11">
        <v>9.1612903225806439E-2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0.19206092826613796</v>
      </c>
      <c r="Q22" s="12">
        <v>0.15218339726363278</v>
      </c>
      <c r="R22" s="14">
        <v>18</v>
      </c>
    </row>
    <row r="23" spans="2:18" x14ac:dyDescent="0.5">
      <c r="B23" s="1" t="s">
        <v>24</v>
      </c>
      <c r="C23" t="s">
        <v>755</v>
      </c>
      <c r="D23" t="s">
        <v>81</v>
      </c>
      <c r="E23">
        <v>20.46</v>
      </c>
      <c r="F23" s="9" t="s">
        <v>67</v>
      </c>
      <c r="G23" s="7">
        <v>43595624448</v>
      </c>
      <c r="H23" s="6">
        <v>26</v>
      </c>
      <c r="I23" s="6">
        <v>10.98</v>
      </c>
      <c r="J23" s="12">
        <f>E23/I23-1</f>
        <v>0.86338797814207657</v>
      </c>
      <c r="K23" s="11">
        <v>5.4740957966764418E-2</v>
      </c>
      <c r="L23" s="13">
        <v>5451928473.2399998</v>
      </c>
      <c r="M23" s="13">
        <v>25994816572.18</v>
      </c>
      <c r="N23" s="9" t="s">
        <v>50</v>
      </c>
      <c r="O23" s="6">
        <v>1.0683760683760684</v>
      </c>
      <c r="P23" s="12">
        <v>0.12376862483982949</v>
      </c>
      <c r="Q23" s="12">
        <v>0.20973136925592797</v>
      </c>
      <c r="R23" s="14">
        <v>18</v>
      </c>
    </row>
    <row r="24" spans="2:18" x14ac:dyDescent="0.5">
      <c r="B24" s="1" t="s">
        <v>27</v>
      </c>
      <c r="C24" t="s">
        <v>86</v>
      </c>
      <c r="D24" t="s">
        <v>87</v>
      </c>
      <c r="E24">
        <v>4.5</v>
      </c>
      <c r="F24" s="9" t="s">
        <v>67</v>
      </c>
      <c r="G24" s="7">
        <v>4778468864</v>
      </c>
      <c r="H24" s="6">
        <v>7.12</v>
      </c>
      <c r="I24" s="6">
        <v>3.98</v>
      </c>
      <c r="J24" s="12">
        <f>E24/I24-1</f>
        <v>0.13065326633165819</v>
      </c>
      <c r="K24" s="11">
        <v>0.1111111111111111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0.48623044317558367</v>
      </c>
      <c r="Q24" s="12">
        <v>0.11511220438953086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4.51</v>
      </c>
      <c r="F25" s="9" t="s">
        <v>67</v>
      </c>
      <c r="G25" s="7">
        <v>17490155520</v>
      </c>
      <c r="H25" s="6">
        <v>5.29</v>
      </c>
      <c r="I25" s="6">
        <v>3.33</v>
      </c>
      <c r="J25" s="12">
        <f>E25/I25-1</f>
        <v>0.35435435435435436</v>
      </c>
      <c r="K25" s="11">
        <v>5.9866962305986704E-2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0.15798712100273837</v>
      </c>
      <c r="Q25" s="12">
        <v>0.16681818624944278</v>
      </c>
      <c r="R25" s="14">
        <v>19</v>
      </c>
    </row>
    <row r="26" spans="2:18" x14ac:dyDescent="0.5">
      <c r="B26" s="1" t="s">
        <v>764</v>
      </c>
      <c r="C26" t="s">
        <v>769</v>
      </c>
      <c r="D26" t="s">
        <v>660</v>
      </c>
      <c r="E26">
        <v>1.1399999999999999</v>
      </c>
      <c r="F26" s="9" t="s">
        <v>67</v>
      </c>
      <c r="G26" s="7">
        <v>473100000</v>
      </c>
      <c r="H26" s="6">
        <v>1.41</v>
      </c>
      <c r="I26" s="6">
        <v>0.59</v>
      </c>
      <c r="J26" s="12">
        <f>E26/I26-1</f>
        <v>0.93220338983050843</v>
      </c>
      <c r="K26" s="11">
        <v>3.3333333333333333E-2</v>
      </c>
      <c r="L26" s="13">
        <v>76397000</v>
      </c>
      <c r="M26" s="13">
        <v>492379000</v>
      </c>
      <c r="N26" s="9" t="s">
        <v>67</v>
      </c>
      <c r="O26" s="6">
        <v>1</v>
      </c>
      <c r="P26" s="12">
        <v>0.16382358680525028</v>
      </c>
      <c r="Q26" s="12">
        <v>0.15515893244837817</v>
      </c>
      <c r="R26" s="14">
        <v>20</v>
      </c>
    </row>
    <row r="27" spans="2:18" x14ac:dyDescent="0.5">
      <c r="B27" s="1" t="s">
        <v>247</v>
      </c>
      <c r="C27" t="s">
        <v>292</v>
      </c>
      <c r="D27" t="s">
        <v>291</v>
      </c>
      <c r="E27">
        <v>1.3</v>
      </c>
      <c r="F27" s="9" t="s">
        <v>67</v>
      </c>
      <c r="G27" s="7">
        <v>2618523136</v>
      </c>
      <c r="H27" s="6">
        <v>1.85</v>
      </c>
      <c r="I27" s="6">
        <v>1.1299999999999999</v>
      </c>
      <c r="J27" s="12">
        <f>E27/I27-1</f>
        <v>0.15044247787610643</v>
      </c>
      <c r="K27" s="11">
        <v>9.1538461538461527E-2</v>
      </c>
      <c r="L27" s="13">
        <v>809534000</v>
      </c>
      <c r="M27" s="13">
        <v>6812238000</v>
      </c>
      <c r="N27" s="9" t="s">
        <v>50</v>
      </c>
      <c r="O27" s="6">
        <v>1.0683760683760684</v>
      </c>
      <c r="P27" s="12">
        <v>0.33068461043085551</v>
      </c>
      <c r="Q27" s="12">
        <v>0.11883524915013245</v>
      </c>
      <c r="R27" s="14">
        <v>21</v>
      </c>
    </row>
    <row r="28" spans="2:18" x14ac:dyDescent="0.5">
      <c r="B28" s="1" t="s">
        <v>279</v>
      </c>
      <c r="C28" t="s">
        <v>332</v>
      </c>
      <c r="D28" t="s">
        <v>60</v>
      </c>
      <c r="E28">
        <v>10.24</v>
      </c>
      <c r="F28" s="9" t="s">
        <v>67</v>
      </c>
      <c r="G28" s="7">
        <v>16595957760</v>
      </c>
      <c r="H28" s="6">
        <v>12.4</v>
      </c>
      <c r="I28" s="6">
        <v>10.01</v>
      </c>
      <c r="J28" s="12">
        <f>E28/I28-1</f>
        <v>2.2977022977022976E-2</v>
      </c>
      <c r="K28" s="11">
        <v>5.859375E-2</v>
      </c>
      <c r="L28" s="13">
        <v>1721368005.75</v>
      </c>
      <c r="M28" s="13">
        <v>14620942286.52</v>
      </c>
      <c r="N28" s="9" t="s">
        <v>50</v>
      </c>
      <c r="O28" s="6">
        <v>1.0683760683760684</v>
      </c>
      <c r="P28" s="12">
        <v>0.25824550335559904</v>
      </c>
      <c r="Q28" s="12">
        <v>0.11773304155211949</v>
      </c>
      <c r="R28" s="14">
        <v>22</v>
      </c>
    </row>
    <row r="29" spans="2:18" x14ac:dyDescent="0.5">
      <c r="B29" s="1" t="s">
        <v>115</v>
      </c>
      <c r="C29" t="s">
        <v>155</v>
      </c>
      <c r="D29" t="s">
        <v>83</v>
      </c>
      <c r="E29">
        <v>77.7</v>
      </c>
      <c r="F29" s="9" t="s">
        <v>67</v>
      </c>
      <c r="G29" s="7">
        <v>215267803136</v>
      </c>
      <c r="H29" s="6">
        <v>106.3</v>
      </c>
      <c r="I29" s="6">
        <v>73.55</v>
      </c>
      <c r="J29" s="12">
        <f>E29/I29-1</f>
        <v>5.6424201223657544E-2</v>
      </c>
      <c r="K29" s="11">
        <v>3.0501930501930501E-2</v>
      </c>
      <c r="L29" s="13">
        <v>22510000000</v>
      </c>
      <c r="M29" s="13">
        <v>82545000000</v>
      </c>
      <c r="N29" s="9" t="s">
        <v>50</v>
      </c>
      <c r="O29" s="6">
        <v>1.0683760683760684</v>
      </c>
      <c r="P29" s="12">
        <v>0.1031524678492632</v>
      </c>
      <c r="Q29" s="12">
        <v>0.27269973953601068</v>
      </c>
      <c r="R29" s="14">
        <v>23</v>
      </c>
    </row>
    <row r="30" spans="2:18" x14ac:dyDescent="0.5">
      <c r="B30" s="1" t="s">
        <v>110</v>
      </c>
      <c r="C30" t="s">
        <v>147</v>
      </c>
      <c r="D30" t="s">
        <v>148</v>
      </c>
      <c r="E30">
        <v>4.09</v>
      </c>
      <c r="F30" s="9" t="s">
        <v>67</v>
      </c>
      <c r="G30" s="7">
        <v>5870833152</v>
      </c>
      <c r="H30" s="6">
        <v>6.5</v>
      </c>
      <c r="I30" s="6">
        <v>3.05</v>
      </c>
      <c r="J30" s="12">
        <f>E30/I30-1</f>
        <v>0.34098360655737703</v>
      </c>
      <c r="K30" s="11">
        <v>9.5599022004889983E-2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0.15333480257308313</v>
      </c>
      <c r="Q30" s="12">
        <v>0.14675695119790894</v>
      </c>
      <c r="R30" s="14">
        <v>24</v>
      </c>
    </row>
    <row r="31" spans="2:18" x14ac:dyDescent="0.5">
      <c r="B31" s="1" t="s">
        <v>282</v>
      </c>
      <c r="C31" t="s">
        <v>335</v>
      </c>
      <c r="D31" t="s">
        <v>96</v>
      </c>
      <c r="E31">
        <v>4.99</v>
      </c>
      <c r="F31" s="9" t="s">
        <v>67</v>
      </c>
      <c r="G31" s="7">
        <v>5493748224</v>
      </c>
      <c r="H31" s="6">
        <v>5.3</v>
      </c>
      <c r="I31" s="6">
        <v>4</v>
      </c>
      <c r="J31" s="12">
        <f>E31/I31-1</f>
        <v>0.24750000000000005</v>
      </c>
      <c r="K31" s="11">
        <v>6.4128256513026047E-2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0.15680790032867364</v>
      </c>
      <c r="Q31" s="12">
        <v>0.14577225152582682</v>
      </c>
      <c r="R31" s="14">
        <v>24</v>
      </c>
    </row>
    <row r="32" spans="2:18" x14ac:dyDescent="0.5">
      <c r="B32" s="1" t="s">
        <v>22</v>
      </c>
      <c r="C32" t="s">
        <v>77</v>
      </c>
      <c r="D32" t="s">
        <v>78</v>
      </c>
      <c r="E32">
        <v>14.48</v>
      </c>
      <c r="F32" s="9" t="s">
        <v>67</v>
      </c>
      <c r="G32" s="7">
        <v>234195009536</v>
      </c>
      <c r="H32" s="6">
        <v>15.24</v>
      </c>
      <c r="I32" s="6">
        <v>7.16</v>
      </c>
      <c r="J32" s="12">
        <f>E32/I32-1</f>
        <v>1.022346368715084</v>
      </c>
      <c r="K32" s="11">
        <v>2.9281767955801102E-2</v>
      </c>
      <c r="L32" s="13">
        <v>32866046000</v>
      </c>
      <c r="M32" s="13">
        <v>215280386000</v>
      </c>
      <c r="N32" s="9" t="s">
        <v>50</v>
      </c>
      <c r="O32" s="6">
        <v>1.0683760683760684</v>
      </c>
      <c r="P32" s="12">
        <v>0.12950816421469968</v>
      </c>
      <c r="Q32" s="12">
        <v>0.15266623500015464</v>
      </c>
      <c r="R32" s="14">
        <v>25</v>
      </c>
    </row>
    <row r="33" spans="2:18" x14ac:dyDescent="0.5">
      <c r="B33" s="1" t="s">
        <v>433</v>
      </c>
      <c r="C33" t="s">
        <v>436</v>
      </c>
      <c r="D33" t="s">
        <v>182</v>
      </c>
      <c r="E33">
        <v>16.010000000000002</v>
      </c>
      <c r="F33" s="9" t="s">
        <v>67</v>
      </c>
      <c r="G33" s="7">
        <v>86694150144</v>
      </c>
      <c r="H33" s="6">
        <v>18.88</v>
      </c>
      <c r="I33" s="6">
        <v>12.43</v>
      </c>
      <c r="J33" s="12">
        <f>E33/I33-1</f>
        <v>0.28801287208366877</v>
      </c>
      <c r="K33" s="11">
        <v>4.8532167395377884E-2</v>
      </c>
      <c r="L33" s="13">
        <v>6898733000</v>
      </c>
      <c r="M33" s="13">
        <v>12604518000</v>
      </c>
      <c r="N33" s="9" t="s">
        <v>50</v>
      </c>
      <c r="O33" s="6">
        <v>1.0683760683760684</v>
      </c>
      <c r="P33" s="12">
        <v>8.6407895797869089E-2</v>
      </c>
      <c r="Q33" s="12">
        <v>0.54732223794674262</v>
      </c>
      <c r="R33" s="14">
        <v>25</v>
      </c>
    </row>
    <row r="34" spans="2:18" x14ac:dyDescent="0.5">
      <c r="B34" s="1" t="s">
        <v>198</v>
      </c>
      <c r="C34" t="s">
        <v>222</v>
      </c>
      <c r="D34" t="s">
        <v>223</v>
      </c>
      <c r="E34">
        <v>0.68</v>
      </c>
      <c r="F34" s="9" t="s">
        <v>67</v>
      </c>
      <c r="G34" s="7">
        <v>1619900032</v>
      </c>
      <c r="H34" s="6">
        <v>0.74</v>
      </c>
      <c r="I34" s="6">
        <v>0.55000000000000004</v>
      </c>
      <c r="J34" s="12">
        <f>E34/I34-1</f>
        <v>0.23636363636363633</v>
      </c>
      <c r="K34" s="11">
        <v>1.4705882352941176E-2</v>
      </c>
      <c r="L34" s="13">
        <v>54195000</v>
      </c>
      <c r="M34" s="13">
        <v>586711000</v>
      </c>
      <c r="N34" s="9" t="s">
        <v>71</v>
      </c>
      <c r="O34" s="6">
        <v>7.6923076923076916</v>
      </c>
      <c r="P34" s="12">
        <v>1.2993597207955965</v>
      </c>
      <c r="Q34" s="12">
        <v>9.2370860611101543E-2</v>
      </c>
      <c r="R34" s="14">
        <v>25</v>
      </c>
    </row>
    <row r="35" spans="2:18" x14ac:dyDescent="0.5">
      <c r="B35" s="1" t="s">
        <v>270</v>
      </c>
      <c r="C35" t="s">
        <v>322</v>
      </c>
      <c r="D35" t="s">
        <v>94</v>
      </c>
      <c r="E35">
        <v>16.38</v>
      </c>
      <c r="F35" s="9" t="s">
        <v>67</v>
      </c>
      <c r="G35" s="7">
        <v>26282502144</v>
      </c>
      <c r="H35" s="6">
        <v>19.100000000000001</v>
      </c>
      <c r="I35" s="6">
        <v>9.6300000000000008</v>
      </c>
      <c r="J35" s="12">
        <f>E35/I35-1</f>
        <v>0.70093457943925208</v>
      </c>
      <c r="K35" s="11">
        <v>1.0195360195360197E-2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0.17486933565074467</v>
      </c>
      <c r="Q35" s="12">
        <v>0.12218132992627646</v>
      </c>
      <c r="R35" s="14">
        <v>26</v>
      </c>
    </row>
    <row r="36" spans="2:18" x14ac:dyDescent="0.5">
      <c r="B36" s="1" t="s">
        <v>139</v>
      </c>
      <c r="C36" t="s">
        <v>187</v>
      </c>
      <c r="D36" t="s">
        <v>106</v>
      </c>
      <c r="E36">
        <v>39.08</v>
      </c>
      <c r="F36" s="9" t="s">
        <v>67</v>
      </c>
      <c r="G36" s="7">
        <v>99998842880</v>
      </c>
      <c r="H36" s="6">
        <v>59.35</v>
      </c>
      <c r="I36" s="6">
        <v>37.619999999999997</v>
      </c>
      <c r="J36" s="12">
        <f>E36/I36-1</f>
        <v>3.880914407230196E-2</v>
      </c>
      <c r="K36" s="11">
        <v>4.2476970317297854E-3</v>
      </c>
      <c r="L36" s="13">
        <v>1279098000</v>
      </c>
      <c r="M36" s="13">
        <v>4811702000</v>
      </c>
      <c r="N36" s="9" t="s">
        <v>188</v>
      </c>
      <c r="O36" s="6">
        <v>8.7546153846153842</v>
      </c>
      <c r="P36" s="12">
        <v>9.6913836325147731E-2</v>
      </c>
      <c r="Q36" s="12">
        <v>0.26583067696212276</v>
      </c>
      <c r="R36" s="14">
        <v>27</v>
      </c>
    </row>
    <row r="37" spans="2:18" x14ac:dyDescent="0.5">
      <c r="B37" s="1" t="s">
        <v>276</v>
      </c>
      <c r="C37" t="s">
        <v>329</v>
      </c>
      <c r="D37" t="s">
        <v>53</v>
      </c>
      <c r="E37">
        <v>25.06</v>
      </c>
      <c r="F37" s="9" t="s">
        <v>67</v>
      </c>
      <c r="G37" s="7">
        <v>256028573696</v>
      </c>
      <c r="H37" s="6">
        <v>28.2</v>
      </c>
      <c r="I37" s="6">
        <v>19.239999999999998</v>
      </c>
      <c r="J37" s="12">
        <f>E37/I37-1</f>
        <v>0.30249480249480243</v>
      </c>
      <c r="K37" s="11">
        <v>4.9241819632881087E-2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0.1114124124540784</v>
      </c>
      <c r="Q37" s="12">
        <v>0.18884873513587705</v>
      </c>
      <c r="R37" s="14">
        <v>28</v>
      </c>
    </row>
    <row r="38" spans="2:18" x14ac:dyDescent="0.5">
      <c r="B38" s="1" t="s">
        <v>277</v>
      </c>
      <c r="C38" t="s">
        <v>330</v>
      </c>
      <c r="D38" t="s">
        <v>55</v>
      </c>
      <c r="E38">
        <v>11.72</v>
      </c>
      <c r="F38" s="9" t="s">
        <v>67</v>
      </c>
      <c r="G38" s="7">
        <v>29544218624</v>
      </c>
      <c r="H38" s="6">
        <v>13.3</v>
      </c>
      <c r="I38" s="6">
        <v>6.09</v>
      </c>
      <c r="J38" s="12">
        <f>E38/I38-1</f>
        <v>0.9244663382594418</v>
      </c>
      <c r="K38" s="11">
        <v>2.713310580204778E-2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0.12826096256748579</v>
      </c>
      <c r="Q38" s="12">
        <v>0.15134190781174311</v>
      </c>
      <c r="R38" s="14">
        <v>28</v>
      </c>
    </row>
    <row r="39" spans="2:18" x14ac:dyDescent="0.5">
      <c r="B39" s="1" t="s">
        <v>197</v>
      </c>
      <c r="C39" t="s">
        <v>220</v>
      </c>
      <c r="D39" t="s">
        <v>221</v>
      </c>
      <c r="E39">
        <v>28.26</v>
      </c>
      <c r="F39" s="9" t="s">
        <v>67</v>
      </c>
      <c r="G39" s="7">
        <v>246245818368</v>
      </c>
      <c r="H39" s="6">
        <v>35.54</v>
      </c>
      <c r="I39" s="6">
        <v>13.4</v>
      </c>
      <c r="J39" s="12">
        <f>E39/I39-1</f>
        <v>1.1089552238805971</v>
      </c>
      <c r="K39" s="11">
        <v>2.4946921443736728E-2</v>
      </c>
      <c r="L39" s="13">
        <v>21175963859.630001</v>
      </c>
      <c r="M39" s="13">
        <v>104071284594.97</v>
      </c>
      <c r="N39" s="9" t="s">
        <v>50</v>
      </c>
      <c r="O39" s="6">
        <v>1.0683760683760684</v>
      </c>
      <c r="P39" s="12">
        <v>0.10501016535517473</v>
      </c>
      <c r="Q39" s="12">
        <v>0.20347556909712136</v>
      </c>
      <c r="R39" s="14">
        <v>28</v>
      </c>
    </row>
    <row r="40" spans="2:18" x14ac:dyDescent="0.5">
      <c r="B40" s="1" t="s">
        <v>272</v>
      </c>
      <c r="C40" t="s">
        <v>324</v>
      </c>
      <c r="D40" t="s">
        <v>296</v>
      </c>
      <c r="E40">
        <v>3.69</v>
      </c>
      <c r="F40" s="9" t="s">
        <v>67</v>
      </c>
      <c r="G40" s="7">
        <v>42440622080</v>
      </c>
      <c r="H40" s="6">
        <v>4.54</v>
      </c>
      <c r="I40" s="6">
        <v>3.01</v>
      </c>
      <c r="J40" s="12">
        <f>E40/I40-1</f>
        <v>0.22591362126245862</v>
      </c>
      <c r="K40" s="11">
        <v>5.1490514905149054E-2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0.17722331302292113</v>
      </c>
      <c r="Q40" s="12">
        <v>0.11538320116682396</v>
      </c>
      <c r="R40" s="14">
        <v>29</v>
      </c>
    </row>
    <row r="41" spans="2:18" x14ac:dyDescent="0.5">
      <c r="B41" s="1" t="s">
        <v>275</v>
      </c>
      <c r="C41" t="s">
        <v>328</v>
      </c>
      <c r="D41" t="s">
        <v>148</v>
      </c>
      <c r="E41">
        <v>30.08</v>
      </c>
      <c r="F41" s="9" t="s">
        <v>67</v>
      </c>
      <c r="G41" s="7">
        <v>214498656256</v>
      </c>
      <c r="H41" s="6">
        <v>34.119999999999997</v>
      </c>
      <c r="I41" s="6">
        <v>22.75</v>
      </c>
      <c r="J41" s="12">
        <f>E41/I41-1</f>
        <v>0.32219780219780203</v>
      </c>
      <c r="K41" s="11">
        <v>4.3849734042553191E-2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0.18221071369341763</v>
      </c>
      <c r="Q41" s="12">
        <v>0.11493949471384535</v>
      </c>
      <c r="R41" s="14">
        <v>30</v>
      </c>
    </row>
    <row r="42" spans="2:18" x14ac:dyDescent="0.5">
      <c r="B42" s="1" t="s">
        <v>25</v>
      </c>
      <c r="C42" t="s">
        <v>82</v>
      </c>
      <c r="D42" t="s">
        <v>49</v>
      </c>
      <c r="E42">
        <v>8.7799999999999994</v>
      </c>
      <c r="F42" s="9" t="s">
        <v>67</v>
      </c>
      <c r="G42" s="7">
        <v>10934778880</v>
      </c>
      <c r="H42" s="6">
        <v>12.08</v>
      </c>
      <c r="I42" s="6">
        <v>4.3499999999999996</v>
      </c>
      <c r="J42" s="12">
        <f>E42/I42-1</f>
        <v>1.018390804597701</v>
      </c>
      <c r="K42" s="11">
        <v>1.6059225512528474E-2</v>
      </c>
      <c r="L42" s="13">
        <v>921702000</v>
      </c>
      <c r="M42" s="13">
        <v>5262544000</v>
      </c>
      <c r="N42" s="9" t="s">
        <v>50</v>
      </c>
      <c r="O42" s="6">
        <v>1.0683760683760684</v>
      </c>
      <c r="P42" s="12">
        <v>0.11615214452792517</v>
      </c>
      <c r="Q42" s="12">
        <v>0.17514380877385538</v>
      </c>
      <c r="R42" s="14">
        <v>31</v>
      </c>
    </row>
    <row r="43" spans="2:18" x14ac:dyDescent="0.5">
      <c r="B43" s="1" t="s">
        <v>280</v>
      </c>
      <c r="C43" t="s">
        <v>333</v>
      </c>
      <c r="D43" t="s">
        <v>96</v>
      </c>
      <c r="E43">
        <v>4.43</v>
      </c>
      <c r="F43" s="9" t="s">
        <v>67</v>
      </c>
      <c r="G43" s="7">
        <v>30682261504</v>
      </c>
      <c r="H43" s="6">
        <v>5.09</v>
      </c>
      <c r="I43" s="6">
        <v>3.78</v>
      </c>
      <c r="J43" s="12">
        <f>E43/I43-1</f>
        <v>0.17195767195767186</v>
      </c>
      <c r="K43" s="11">
        <v>4.9435665914221223E-2</v>
      </c>
      <c r="L43" s="13">
        <v>4216348000</v>
      </c>
      <c r="M43" s="13">
        <v>46142120000</v>
      </c>
      <c r="N43" s="9" t="s">
        <v>50</v>
      </c>
      <c r="O43" s="6">
        <v>1.0683760683760684</v>
      </c>
      <c r="P43" s="12">
        <v>0.37950712684012755</v>
      </c>
      <c r="Q43" s="12">
        <v>9.1377422623841298E-2</v>
      </c>
      <c r="R43" s="14">
        <v>32</v>
      </c>
    </row>
    <row r="44" spans="2:18" x14ac:dyDescent="0.5">
      <c r="B44" s="1" t="s">
        <v>37</v>
      </c>
      <c r="C44" t="s">
        <v>101</v>
      </c>
      <c r="D44" t="s">
        <v>102</v>
      </c>
      <c r="E44">
        <v>4.42</v>
      </c>
      <c r="F44" s="9" t="s">
        <v>67</v>
      </c>
      <c r="G44" s="7">
        <v>3444073728</v>
      </c>
      <c r="H44" s="6">
        <v>8.83</v>
      </c>
      <c r="I44" s="6">
        <v>4.08</v>
      </c>
      <c r="J44" s="12">
        <f>E44/I44-1</f>
        <v>8.3333333333333259E-2</v>
      </c>
      <c r="K44" s="11">
        <v>3.8461538461538464E-2</v>
      </c>
      <c r="L44" s="13">
        <v>437453000</v>
      </c>
      <c r="M44" s="13">
        <v>4911072000</v>
      </c>
      <c r="N44" s="9" t="s">
        <v>67</v>
      </c>
      <c r="O44" s="6">
        <v>1</v>
      </c>
      <c r="P44" s="12">
        <v>0.37887028520317639</v>
      </c>
      <c r="Q44" s="12">
        <v>8.9074849645861431E-2</v>
      </c>
      <c r="R44" s="14">
        <v>33</v>
      </c>
    </row>
    <row r="45" spans="2:18" x14ac:dyDescent="0.5">
      <c r="B45" s="1" t="s">
        <v>136</v>
      </c>
      <c r="C45" t="s">
        <v>183</v>
      </c>
      <c r="D45" t="s">
        <v>85</v>
      </c>
      <c r="E45">
        <v>12.71</v>
      </c>
      <c r="F45" s="9" t="s">
        <v>67</v>
      </c>
      <c r="G45" s="7">
        <v>71640121344</v>
      </c>
      <c r="H45" s="6">
        <v>14.24</v>
      </c>
      <c r="I45" s="6">
        <v>10.16</v>
      </c>
      <c r="J45" s="12">
        <f>E45/I45-1</f>
        <v>0.25098425196850394</v>
      </c>
      <c r="K45" s="11">
        <v>2.6042486231313926E-2</v>
      </c>
      <c r="L45" s="13">
        <v>6482967000</v>
      </c>
      <c r="M45" s="13">
        <v>27483863000</v>
      </c>
      <c r="N45" s="9" t="s">
        <v>50</v>
      </c>
      <c r="O45" s="6">
        <v>1.0683760683760684</v>
      </c>
      <c r="P45" s="12">
        <v>8.8741502047017112E-2</v>
      </c>
      <c r="Q45" s="12">
        <v>0.23588267049650188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6.83</v>
      </c>
      <c r="F46" s="9" t="s">
        <v>67</v>
      </c>
      <c r="G46" s="7">
        <v>12344742912</v>
      </c>
      <c r="H46" s="6">
        <v>9.7899999999999991</v>
      </c>
      <c r="I46" s="6">
        <v>5.49</v>
      </c>
      <c r="J46" s="12">
        <f>E46/I46-1</f>
        <v>0.24408014571948988</v>
      </c>
      <c r="K46" s="11">
        <v>3.8067349926793559E-2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0.16787777376161031</v>
      </c>
      <c r="Q46" s="12">
        <v>0.11156568921912897</v>
      </c>
      <c r="R46" s="14">
        <v>34</v>
      </c>
    </row>
    <row r="47" spans="2:18" x14ac:dyDescent="0.5">
      <c r="B47" s="1" t="s">
        <v>248</v>
      </c>
      <c r="C47" t="s">
        <v>293</v>
      </c>
      <c r="D47" t="s">
        <v>294</v>
      </c>
      <c r="E47">
        <v>18.829999999999998</v>
      </c>
      <c r="F47" s="9" t="s">
        <v>67</v>
      </c>
      <c r="G47" s="7">
        <v>458167713792</v>
      </c>
      <c r="H47" s="6">
        <v>25.24</v>
      </c>
      <c r="I47" s="6">
        <v>4.58</v>
      </c>
      <c r="J47" s="12">
        <f>E47/I47-1</f>
        <v>3.1113537117903922</v>
      </c>
      <c r="K47" s="11">
        <v>1.3542219861922465E-2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6.8044695212307202E-2</v>
      </c>
      <c r="Q47" s="12">
        <v>0.2888078161719172</v>
      </c>
      <c r="R47" s="14">
        <v>34</v>
      </c>
    </row>
    <row r="48" spans="2:18" x14ac:dyDescent="0.5">
      <c r="B48" s="1" t="s">
        <v>267</v>
      </c>
      <c r="C48" t="s">
        <v>318</v>
      </c>
      <c r="D48" t="s">
        <v>171</v>
      </c>
      <c r="E48">
        <v>76.849999999999994</v>
      </c>
      <c r="F48" s="9" t="s">
        <v>67</v>
      </c>
      <c r="G48" s="7">
        <v>18814822400</v>
      </c>
      <c r="H48" s="6">
        <v>103.1</v>
      </c>
      <c r="I48" s="6">
        <v>58.2</v>
      </c>
      <c r="J48" s="12">
        <f>E48/I48-1</f>
        <v>0.32044673539518875</v>
      </c>
      <c r="K48" s="11">
        <v>1.0670136629798309E-2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0.21377163515143321</v>
      </c>
      <c r="Q48" s="12">
        <v>9.8446219337080781E-2</v>
      </c>
      <c r="R48" s="14">
        <v>35</v>
      </c>
    </row>
    <row r="49" spans="2:18" x14ac:dyDescent="0.5">
      <c r="B49" s="1" t="s">
        <v>283</v>
      </c>
      <c r="C49" t="s">
        <v>336</v>
      </c>
      <c r="D49" t="s">
        <v>70</v>
      </c>
      <c r="E49">
        <v>3.26</v>
      </c>
      <c r="F49" s="9" t="s">
        <v>67</v>
      </c>
      <c r="G49" s="7">
        <v>1871826688</v>
      </c>
      <c r="H49" s="6">
        <v>4.84</v>
      </c>
      <c r="I49" s="6">
        <v>2.8</v>
      </c>
      <c r="J49" s="12">
        <f>E49/I49-1</f>
        <v>0.16428571428571437</v>
      </c>
      <c r="K49" s="11">
        <v>8.5889570552147257E-2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0.13317613624992863</v>
      </c>
      <c r="Q49" s="12">
        <v>0.12269104771613493</v>
      </c>
      <c r="R49" s="14">
        <v>36</v>
      </c>
    </row>
    <row r="50" spans="2:18" x14ac:dyDescent="0.5">
      <c r="B50" s="1" t="s">
        <v>278</v>
      </c>
      <c r="C50" t="s">
        <v>331</v>
      </c>
      <c r="D50" t="s">
        <v>49</v>
      </c>
      <c r="E50">
        <v>23.04</v>
      </c>
      <c r="F50" s="9" t="s">
        <v>67</v>
      </c>
      <c r="G50" s="7">
        <v>36771840000</v>
      </c>
      <c r="H50" s="6">
        <v>26.2</v>
      </c>
      <c r="I50" s="6">
        <v>16.18</v>
      </c>
      <c r="J50" s="12">
        <f>E50/I50-1</f>
        <v>0.42398022249690981</v>
      </c>
      <c r="K50" s="11">
        <v>2.9774305555555557E-2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0.11288798948656266</v>
      </c>
      <c r="Q50" s="12">
        <v>0.1667375806872122</v>
      </c>
      <c r="R50" s="14">
        <v>36</v>
      </c>
    </row>
    <row r="51" spans="2:18" x14ac:dyDescent="0.5">
      <c r="B51" s="1" t="s">
        <v>19</v>
      </c>
      <c r="C51" t="s">
        <v>69</v>
      </c>
      <c r="D51" t="s">
        <v>70</v>
      </c>
      <c r="E51">
        <v>6.7</v>
      </c>
      <c r="F51" s="9" t="s">
        <v>67</v>
      </c>
      <c r="G51" s="7">
        <v>19113906176</v>
      </c>
      <c r="H51" s="6">
        <v>7.85</v>
      </c>
      <c r="I51" s="6">
        <v>3.6</v>
      </c>
      <c r="J51" s="12">
        <f>E51/I51-1</f>
        <v>0.86111111111111116</v>
      </c>
      <c r="K51" s="11">
        <v>6.7164179104477612E-3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0.11615413477668454</v>
      </c>
      <c r="Q51" s="12">
        <v>0.15459217096529801</v>
      </c>
      <c r="R51" s="14">
        <v>37</v>
      </c>
    </row>
    <row r="52" spans="2:18" x14ac:dyDescent="0.5">
      <c r="B52" s="1" t="s">
        <v>271</v>
      </c>
      <c r="C52" t="s">
        <v>323</v>
      </c>
      <c r="D52" t="s">
        <v>94</v>
      </c>
      <c r="E52">
        <v>0.45</v>
      </c>
      <c r="F52" s="9" t="s">
        <v>67</v>
      </c>
      <c r="G52" s="7">
        <v>2330445568</v>
      </c>
      <c r="H52" s="6">
        <v>0.62</v>
      </c>
      <c r="I52" s="6">
        <v>0.42499999999999999</v>
      </c>
      <c r="J52" s="12">
        <f>E52/I52-1</f>
        <v>5.8823529411764719E-2</v>
      </c>
      <c r="K52" s="11">
        <v>0</v>
      </c>
      <c r="L52" s="13">
        <v>756004000</v>
      </c>
      <c r="M52" s="13">
        <v>8813758000</v>
      </c>
      <c r="N52" s="9" t="s">
        <v>50</v>
      </c>
      <c r="O52" s="6">
        <v>1.0683760683760684</v>
      </c>
      <c r="P52" s="12">
        <v>0.33307397586785809</v>
      </c>
      <c r="Q52" s="12">
        <v>8.5775443346640556E-2</v>
      </c>
      <c r="R52" s="14">
        <v>38</v>
      </c>
    </row>
    <row r="53" spans="2:18" x14ac:dyDescent="0.5">
      <c r="B53" s="1" t="s">
        <v>780</v>
      </c>
      <c r="C53" t="s">
        <v>783</v>
      </c>
      <c r="D53" t="s">
        <v>221</v>
      </c>
      <c r="E53">
        <v>96.75</v>
      </c>
      <c r="F53" s="9" t="s">
        <v>67</v>
      </c>
      <c r="G53" s="7">
        <v>882088869888</v>
      </c>
      <c r="H53" s="6">
        <v>158.86667</v>
      </c>
      <c r="I53" s="6">
        <v>88.5</v>
      </c>
      <c r="J53" s="12">
        <f>E53/I53-1</f>
        <v>9.3220338983050821E-2</v>
      </c>
      <c r="K53" s="11">
        <v>1.3695090439276485E-2</v>
      </c>
      <c r="L53" s="13">
        <v>51774458000</v>
      </c>
      <c r="M53" s="13">
        <v>205612162000</v>
      </c>
      <c r="N53" s="9" t="s">
        <v>50</v>
      </c>
      <c r="O53" s="6">
        <v>1.0683760683760684</v>
      </c>
      <c r="P53" s="12">
        <v>6.7824782578268489E-2</v>
      </c>
      <c r="Q53" s="12">
        <v>0.25180639849504621</v>
      </c>
      <c r="R53" s="14">
        <v>39</v>
      </c>
    </row>
    <row r="54" spans="2:18" x14ac:dyDescent="0.5">
      <c r="B54" s="1" t="s">
        <v>121</v>
      </c>
      <c r="C54" t="s">
        <v>162</v>
      </c>
      <c r="D54" t="s">
        <v>76</v>
      </c>
      <c r="E54">
        <v>7.14</v>
      </c>
      <c r="F54" s="9" t="s">
        <v>67</v>
      </c>
      <c r="G54" s="7">
        <v>10467036160</v>
      </c>
      <c r="H54" s="6">
        <v>7.92</v>
      </c>
      <c r="I54" s="6">
        <v>4.08</v>
      </c>
      <c r="J54" s="12">
        <f>E54/I54-1</f>
        <v>0.75</v>
      </c>
      <c r="K54" s="11">
        <v>7.633053221288516E-2</v>
      </c>
      <c r="L54" s="13">
        <v>784607000</v>
      </c>
      <c r="M54" s="13">
        <v>7872586000</v>
      </c>
      <c r="N54" s="9" t="s">
        <v>67</v>
      </c>
      <c r="O54" s="6">
        <v>1</v>
      </c>
      <c r="P54" s="12">
        <v>0.16530103303838858</v>
      </c>
      <c r="Q54" s="12">
        <v>9.9663185641922489E-2</v>
      </c>
      <c r="R54" s="14">
        <v>40</v>
      </c>
    </row>
    <row r="55" spans="2:18" x14ac:dyDescent="0.5">
      <c r="B55" s="1" t="s">
        <v>35</v>
      </c>
      <c r="C55" t="s">
        <v>98</v>
      </c>
      <c r="D55" t="s">
        <v>99</v>
      </c>
      <c r="E55">
        <v>401.4</v>
      </c>
      <c r="F55" s="9" t="s">
        <v>67</v>
      </c>
      <c r="G55" s="7">
        <v>507332395008</v>
      </c>
      <c r="H55" s="6">
        <v>466</v>
      </c>
      <c r="I55" s="6">
        <v>283.2</v>
      </c>
      <c r="J55" s="12">
        <f>E55/I55-1</f>
        <v>0.41737288135593209</v>
      </c>
      <c r="K55" s="11">
        <v>3.1190832087693073E-2</v>
      </c>
      <c r="L55" s="13">
        <v>20744000000</v>
      </c>
      <c r="M55" s="13">
        <v>53852000000</v>
      </c>
      <c r="N55" s="9" t="s">
        <v>67</v>
      </c>
      <c r="O55" s="6">
        <v>1</v>
      </c>
      <c r="P55" s="12">
        <v>5.5426502109726244E-2</v>
      </c>
      <c r="Q55" s="12">
        <v>0.38520389214885242</v>
      </c>
      <c r="R55" s="14">
        <v>41</v>
      </c>
    </row>
    <row r="56" spans="2:18" x14ac:dyDescent="0.5">
      <c r="B56" s="1" t="s">
        <v>380</v>
      </c>
      <c r="C56" t="s">
        <v>383</v>
      </c>
      <c r="D56" t="s">
        <v>83</v>
      </c>
      <c r="E56">
        <v>19.239999999999998</v>
      </c>
      <c r="F56" s="9" t="s">
        <v>67</v>
      </c>
      <c r="G56" s="7">
        <v>49543462912</v>
      </c>
      <c r="H56" s="6">
        <v>23.42</v>
      </c>
      <c r="I56" s="6">
        <v>13.5</v>
      </c>
      <c r="J56" s="12">
        <f>E56/I56-1</f>
        <v>0.42518518518518511</v>
      </c>
      <c r="K56" s="11">
        <v>2.8222453222453227E-2</v>
      </c>
      <c r="L56" s="13">
        <v>4264779000</v>
      </c>
      <c r="M56" s="13">
        <v>26103689000</v>
      </c>
      <c r="N56" s="9" t="s">
        <v>50</v>
      </c>
      <c r="O56" s="6">
        <v>1.0683760683760684</v>
      </c>
      <c r="P56" s="12">
        <v>0.10450271429914496</v>
      </c>
      <c r="Q56" s="12">
        <v>0.16337840218675606</v>
      </c>
      <c r="R56" s="14">
        <v>42</v>
      </c>
    </row>
    <row r="57" spans="2:18" x14ac:dyDescent="0.5">
      <c r="B57" s="1" t="s">
        <v>265</v>
      </c>
      <c r="C57" t="s">
        <v>316</v>
      </c>
      <c r="D57" t="s">
        <v>298</v>
      </c>
      <c r="E57">
        <v>4.5</v>
      </c>
      <c r="F57" s="9" t="s">
        <v>67</v>
      </c>
      <c r="G57" s="7">
        <v>4158639104</v>
      </c>
      <c r="H57" s="6">
        <v>5.59</v>
      </c>
      <c r="I57" s="6">
        <v>3.78</v>
      </c>
      <c r="J57" s="12">
        <f>E57/I57-1</f>
        <v>0.19047619047619047</v>
      </c>
      <c r="K57" s="11">
        <v>3.4444444444444444E-2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0.46031918398492089</v>
      </c>
      <c r="Q57" s="12">
        <v>6.460670188445812E-2</v>
      </c>
      <c r="R57" s="14">
        <v>43</v>
      </c>
    </row>
    <row r="58" spans="2:18" x14ac:dyDescent="0.5">
      <c r="B58" s="1" t="s">
        <v>135</v>
      </c>
      <c r="C58" t="s">
        <v>181</v>
      </c>
      <c r="D58" t="s">
        <v>182</v>
      </c>
      <c r="E58">
        <v>409.4</v>
      </c>
      <c r="F58" s="9" t="s">
        <v>67</v>
      </c>
      <c r="G58" s="7">
        <v>144340074496</v>
      </c>
      <c r="H58" s="6">
        <v>451.2</v>
      </c>
      <c r="I58" s="6">
        <v>324</v>
      </c>
      <c r="J58" s="12">
        <f>E58/I58-1</f>
        <v>0.26358024691358017</v>
      </c>
      <c r="K58" s="11">
        <v>2.3448949682462138E-3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6.4368276843269012E-2</v>
      </c>
      <c r="Q58" s="12">
        <v>0.24514697726012202</v>
      </c>
      <c r="R58" s="14">
        <v>43</v>
      </c>
    </row>
    <row r="59" spans="2:18" x14ac:dyDescent="0.5">
      <c r="B59" s="1" t="s">
        <v>432</v>
      </c>
      <c r="C59" t="s">
        <v>434</v>
      </c>
      <c r="D59" t="s">
        <v>435</v>
      </c>
      <c r="E59">
        <v>75.95</v>
      </c>
      <c r="F59" s="9" t="s">
        <v>67</v>
      </c>
      <c r="G59" s="7">
        <v>463816589312</v>
      </c>
      <c r="H59" s="6">
        <v>181.8</v>
      </c>
      <c r="I59" s="6">
        <v>73.599999999999994</v>
      </c>
      <c r="J59" s="12">
        <f>E59/I59-1</f>
        <v>3.192934782608714E-2</v>
      </c>
      <c r="K59" s="11">
        <v>0</v>
      </c>
      <c r="L59" s="13">
        <v>39322363000</v>
      </c>
      <c r="M59" s="13">
        <v>228415685000</v>
      </c>
      <c r="N59" s="9" t="s">
        <v>50</v>
      </c>
      <c r="O59" s="6">
        <v>1.0683760683760684</v>
      </c>
      <c r="P59" s="12">
        <v>9.2565068773509951E-2</v>
      </c>
      <c r="Q59" s="12">
        <v>0.17215263916748974</v>
      </c>
      <c r="R59" s="14">
        <v>44</v>
      </c>
    </row>
    <row r="60" spans="2:18" x14ac:dyDescent="0.5">
      <c r="B60" s="1" t="s">
        <v>779</v>
      </c>
      <c r="C60" t="s">
        <v>782</v>
      </c>
      <c r="D60" t="s">
        <v>96</v>
      </c>
      <c r="E60">
        <v>79.95</v>
      </c>
      <c r="F60" s="9" t="s">
        <v>67</v>
      </c>
      <c r="G60" s="7">
        <v>1750197731328</v>
      </c>
      <c r="H60" s="6">
        <v>90.6</v>
      </c>
      <c r="I60" s="6">
        <v>75.849999999999994</v>
      </c>
      <c r="J60" s="12">
        <f>E60/I60-1</f>
        <v>5.4054054054054168E-2</v>
      </c>
      <c r="K60" s="11">
        <v>6.1938711694809252E-2</v>
      </c>
      <c r="L60" s="13">
        <v>181466000000</v>
      </c>
      <c r="M60" s="13">
        <v>1392032000000</v>
      </c>
      <c r="N60" s="9" t="s">
        <v>50</v>
      </c>
      <c r="O60" s="6">
        <v>1.0683760683760684</v>
      </c>
      <c r="P60" s="12">
        <v>0.11637523012920863</v>
      </c>
      <c r="Q60" s="12">
        <v>0.13036050895381715</v>
      </c>
      <c r="R60" s="14">
        <v>45</v>
      </c>
    </row>
    <row r="61" spans="2:18" x14ac:dyDescent="0.5">
      <c r="B61" s="1" t="s">
        <v>263</v>
      </c>
      <c r="C61" t="s">
        <v>313</v>
      </c>
      <c r="D61" t="s">
        <v>314</v>
      </c>
      <c r="E61">
        <v>9.0299999999999994</v>
      </c>
      <c r="F61" s="9" t="s">
        <v>67</v>
      </c>
      <c r="G61" s="7">
        <v>22639077376</v>
      </c>
      <c r="H61" s="6">
        <v>10.14</v>
      </c>
      <c r="I61" s="6">
        <v>5.64</v>
      </c>
      <c r="J61" s="12">
        <f>E61/I61-1</f>
        <v>0.60106382978723394</v>
      </c>
      <c r="K61" s="11">
        <v>4.4075304540420822E-2</v>
      </c>
      <c r="L61" s="13">
        <v>3040816000</v>
      </c>
      <c r="M61" s="13">
        <v>29707522000</v>
      </c>
      <c r="N61" s="9" t="s">
        <v>50</v>
      </c>
      <c r="O61" s="6">
        <v>1.0683760683760684</v>
      </c>
      <c r="P61" s="12">
        <v>0.13422514114895512</v>
      </c>
      <c r="Q61" s="12">
        <v>0.102358453189061</v>
      </c>
      <c r="R61" s="14">
        <v>46</v>
      </c>
    </row>
    <row r="62" spans="2:18" x14ac:dyDescent="0.5">
      <c r="B62" s="1" t="s">
        <v>260</v>
      </c>
      <c r="C62" t="s">
        <v>309</v>
      </c>
      <c r="D62" t="s">
        <v>74</v>
      </c>
      <c r="E62">
        <v>6.72</v>
      </c>
      <c r="F62" s="9" t="s">
        <v>67</v>
      </c>
      <c r="G62" s="7">
        <v>4582127104</v>
      </c>
      <c r="H62" s="6">
        <v>10.98</v>
      </c>
      <c r="I62" s="6">
        <v>6.56</v>
      </c>
      <c r="J62" s="12">
        <f>E62/I62-1</f>
        <v>2.4390243902439046E-2</v>
      </c>
      <c r="K62" s="11">
        <v>5.3124999999999999E-2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0.11790762976435878</v>
      </c>
      <c r="Q62" s="12">
        <v>0.12279555988606453</v>
      </c>
      <c r="R62" s="14">
        <v>46</v>
      </c>
    </row>
    <row r="63" spans="2:18" x14ac:dyDescent="0.5">
      <c r="B63" s="1" t="s">
        <v>289</v>
      </c>
      <c r="C63" t="s">
        <v>342</v>
      </c>
      <c r="D63" t="s">
        <v>85</v>
      </c>
      <c r="E63">
        <v>1.38</v>
      </c>
      <c r="F63" s="9" t="s">
        <v>67</v>
      </c>
      <c r="G63" s="7">
        <v>3020149248</v>
      </c>
      <c r="H63" s="6">
        <v>1.44</v>
      </c>
      <c r="I63" s="6">
        <v>0.53</v>
      </c>
      <c r="J63" s="12">
        <f>E63/I63-1</f>
        <v>1.6037735849056602</v>
      </c>
      <c r="K63" s="11">
        <v>2.681159420289855E-2</v>
      </c>
      <c r="L63" s="13">
        <v>219938000</v>
      </c>
      <c r="M63" s="13">
        <v>1520292000</v>
      </c>
      <c r="N63" s="9" t="s">
        <v>50</v>
      </c>
      <c r="O63" s="6">
        <v>1.0683760683760684</v>
      </c>
      <c r="P63" s="12">
        <v>0.10977663312946313</v>
      </c>
      <c r="Q63" s="12">
        <v>0.14466826109721026</v>
      </c>
      <c r="R63" s="14">
        <v>47</v>
      </c>
    </row>
    <row r="64" spans="2:18" x14ac:dyDescent="0.5">
      <c r="B64" s="1" t="s">
        <v>767</v>
      </c>
      <c r="C64" t="s">
        <v>772</v>
      </c>
      <c r="D64" t="s">
        <v>49</v>
      </c>
      <c r="E64">
        <v>1.69</v>
      </c>
      <c r="F64" s="9" t="s">
        <v>67</v>
      </c>
      <c r="G64" s="7">
        <v>1065598400</v>
      </c>
      <c r="H64" s="6">
        <v>1.94</v>
      </c>
      <c r="I64" s="6">
        <v>1.28</v>
      </c>
      <c r="J64" s="12">
        <f>E64/I64-1</f>
        <v>0.3203125</v>
      </c>
      <c r="K64" s="11">
        <v>6.8639053254437879E-2</v>
      </c>
      <c r="L64" s="13">
        <v>191186000</v>
      </c>
      <c r="M64" s="13">
        <v>3081570000</v>
      </c>
      <c r="N64" s="9" t="s">
        <v>67</v>
      </c>
      <c r="O64" s="6">
        <v>1</v>
      </c>
      <c r="P64" s="12">
        <v>0.34450696398305158</v>
      </c>
      <c r="Q64" s="12">
        <v>6.2041751444880368E-2</v>
      </c>
      <c r="R64" s="14">
        <v>47</v>
      </c>
    </row>
    <row r="65" spans="2:18" x14ac:dyDescent="0.5">
      <c r="B65" s="1" t="s">
        <v>269</v>
      </c>
      <c r="C65" t="s">
        <v>321</v>
      </c>
      <c r="D65" t="s">
        <v>85</v>
      </c>
      <c r="E65">
        <v>12.77</v>
      </c>
      <c r="F65" s="9" t="s">
        <v>67</v>
      </c>
      <c r="G65" s="7">
        <v>2997400064</v>
      </c>
      <c r="H65" s="6">
        <v>17</v>
      </c>
      <c r="I65" s="6">
        <v>8.9</v>
      </c>
      <c r="J65" s="12">
        <f>E65/I65-1</f>
        <v>0.43483146067415723</v>
      </c>
      <c r="K65" s="11">
        <v>3.7588097102584178E-2</v>
      </c>
      <c r="L65" s="13">
        <v>244811000</v>
      </c>
      <c r="M65" s="13">
        <v>2904223000</v>
      </c>
      <c r="N65" s="9" t="s">
        <v>67</v>
      </c>
      <c r="O65" s="6">
        <v>1</v>
      </c>
      <c r="P65" s="12">
        <v>0.18905724895462217</v>
      </c>
      <c r="Q65" s="12">
        <v>8.4294835486117978E-2</v>
      </c>
      <c r="R65" s="14">
        <v>48</v>
      </c>
    </row>
    <row r="66" spans="2:18" x14ac:dyDescent="0.5">
      <c r="B66" s="1" t="s">
        <v>123</v>
      </c>
      <c r="C66" t="s">
        <v>165</v>
      </c>
      <c r="D66" t="s">
        <v>106</v>
      </c>
      <c r="E66">
        <v>11.52</v>
      </c>
      <c r="F66" s="9" t="s">
        <v>67</v>
      </c>
      <c r="G66" s="7">
        <v>113644167168</v>
      </c>
      <c r="H66" s="6">
        <v>16.95</v>
      </c>
      <c r="I66" s="6">
        <v>7.82</v>
      </c>
      <c r="J66" s="12">
        <f>E66/I66-1</f>
        <v>0.47314578005115071</v>
      </c>
      <c r="K66" s="11">
        <v>4.6875000000000007E-2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6.7087440472356485E-2</v>
      </c>
      <c r="Q66" s="12">
        <v>0.18453201842262756</v>
      </c>
      <c r="R66" s="14">
        <v>49</v>
      </c>
    </row>
    <row r="67" spans="2:18" x14ac:dyDescent="0.5">
      <c r="B67" s="1" t="s">
        <v>274</v>
      </c>
      <c r="C67" t="s">
        <v>326</v>
      </c>
      <c r="D67" t="s">
        <v>327</v>
      </c>
      <c r="E67">
        <v>12.06</v>
      </c>
      <c r="F67" s="9" t="s">
        <v>67</v>
      </c>
      <c r="G67" s="7">
        <v>15372642304</v>
      </c>
      <c r="H67" s="6">
        <v>12.98</v>
      </c>
      <c r="I67" s="6">
        <v>3.85</v>
      </c>
      <c r="J67" s="12">
        <f>E67/I67-1</f>
        <v>2.1324675324675324</v>
      </c>
      <c r="K67" s="11">
        <v>2.1558872305140961E-2</v>
      </c>
      <c r="L67" s="13">
        <v>2871477000</v>
      </c>
      <c r="M67" s="13">
        <v>21784665000</v>
      </c>
      <c r="N67" s="9" t="s">
        <v>50</v>
      </c>
      <c r="O67" s="6">
        <v>1.0683760683760684</v>
      </c>
      <c r="P67" s="12">
        <v>0.10806924822678404</v>
      </c>
      <c r="Q67" s="12">
        <v>0.1318118502166547</v>
      </c>
      <c r="R67" s="14">
        <v>50</v>
      </c>
    </row>
    <row r="68" spans="2:18" x14ac:dyDescent="0.5">
      <c r="B68" s="1" t="s">
        <v>266</v>
      </c>
      <c r="C68" t="s">
        <v>317</v>
      </c>
      <c r="D68" t="s">
        <v>300</v>
      </c>
      <c r="E68">
        <v>7.34</v>
      </c>
      <c r="F68" s="9" t="s">
        <v>67</v>
      </c>
      <c r="G68" s="7">
        <v>32252135424</v>
      </c>
      <c r="H68" s="6">
        <v>8.25</v>
      </c>
      <c r="I68" s="6">
        <v>4.8</v>
      </c>
      <c r="J68" s="12">
        <f>E68/I68-1</f>
        <v>0.52916666666666679</v>
      </c>
      <c r="K68" s="11">
        <v>5.0136239782016347E-2</v>
      </c>
      <c r="L68" s="13">
        <v>2919921000</v>
      </c>
      <c r="M68" s="13">
        <v>31662140000</v>
      </c>
      <c r="N68" s="9" t="s">
        <v>50</v>
      </c>
      <c r="O68" s="6">
        <v>1.0683760683760684</v>
      </c>
      <c r="P68" s="12">
        <v>0.15113144545792928</v>
      </c>
      <c r="Q68" s="12">
        <v>9.2221214358852555E-2</v>
      </c>
      <c r="R68" s="14">
        <v>51</v>
      </c>
    </row>
    <row r="69" spans="2:18" x14ac:dyDescent="0.5">
      <c r="B69" s="1" t="s">
        <v>258</v>
      </c>
      <c r="C69" t="s">
        <v>307</v>
      </c>
      <c r="D69" t="s">
        <v>152</v>
      </c>
      <c r="E69">
        <v>26.02</v>
      </c>
      <c r="F69" s="9" t="s">
        <v>67</v>
      </c>
      <c r="G69" s="7">
        <v>24136386560</v>
      </c>
      <c r="H69" s="6">
        <v>45.78</v>
      </c>
      <c r="I69" s="6">
        <v>11.22</v>
      </c>
      <c r="J69" s="12">
        <f>E69/I69-1</f>
        <v>1.3190730837789659</v>
      </c>
      <c r="K69" s="11">
        <v>2.9976940814757879E-3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0.12088911270228454</v>
      </c>
      <c r="Q69" s="12">
        <v>0.11071024253191752</v>
      </c>
      <c r="R69" s="14">
        <v>51</v>
      </c>
    </row>
    <row r="70" spans="2:18" x14ac:dyDescent="0.5">
      <c r="B70" s="1" t="s">
        <v>273</v>
      </c>
      <c r="C70" t="s">
        <v>325</v>
      </c>
      <c r="D70" t="s">
        <v>81</v>
      </c>
      <c r="E70">
        <v>2.89</v>
      </c>
      <c r="F70" s="9" t="s">
        <v>67</v>
      </c>
      <c r="G70" s="7">
        <v>12369489920</v>
      </c>
      <c r="H70" s="6">
        <v>3.55</v>
      </c>
      <c r="I70" s="6">
        <v>1.75</v>
      </c>
      <c r="J70" s="12">
        <f>E70/I70-1</f>
        <v>0.65142857142857147</v>
      </c>
      <c r="K70" s="11">
        <v>4.2214532871972313E-2</v>
      </c>
      <c r="L70" s="13">
        <v>1230913000</v>
      </c>
      <c r="M70" s="13">
        <v>10701340000</v>
      </c>
      <c r="N70" s="9" t="s">
        <v>50</v>
      </c>
      <c r="O70" s="6">
        <v>1.0683760683760684</v>
      </c>
      <c r="P70" s="12">
        <v>0.11874977766772501</v>
      </c>
      <c r="Q70" s="12">
        <v>0.11502419323187564</v>
      </c>
      <c r="R70" s="14">
        <v>52</v>
      </c>
    </row>
    <row r="71" spans="2:18" x14ac:dyDescent="0.5">
      <c r="B71" s="1" t="s">
        <v>786</v>
      </c>
      <c r="C71" t="s">
        <v>789</v>
      </c>
      <c r="D71" t="s">
        <v>790</v>
      </c>
      <c r="E71">
        <v>10.49</v>
      </c>
      <c r="F71" s="9" t="s">
        <v>67</v>
      </c>
      <c r="G71" s="7">
        <v>30695938048</v>
      </c>
      <c r="H71" s="6">
        <v>13.32</v>
      </c>
      <c r="I71" s="6">
        <v>9.8699999999999992</v>
      </c>
      <c r="J71" s="12">
        <f>E71/I71-1</f>
        <v>6.2816616008105397E-2</v>
      </c>
      <c r="K71" s="11">
        <v>2.2783603431839845E-2</v>
      </c>
      <c r="L71" s="13">
        <v>2406008862.77</v>
      </c>
      <c r="M71" s="13">
        <v>23708343703.5</v>
      </c>
      <c r="N71" s="9" t="s">
        <v>50</v>
      </c>
      <c r="O71" s="6">
        <v>1.0683760683760684</v>
      </c>
      <c r="P71" s="12">
        <v>0.12253334578721135</v>
      </c>
      <c r="Q71" s="12">
        <v>0.10148363347772824</v>
      </c>
      <c r="R71" s="14">
        <v>53</v>
      </c>
    </row>
    <row r="72" spans="2:18" x14ac:dyDescent="0.5">
      <c r="B72" s="1" t="s">
        <v>112</v>
      </c>
      <c r="C72" t="s">
        <v>151</v>
      </c>
      <c r="D72" t="s">
        <v>152</v>
      </c>
      <c r="E72">
        <v>60.9</v>
      </c>
      <c r="F72" s="9" t="s">
        <v>67</v>
      </c>
      <c r="G72" s="7">
        <v>172727648256</v>
      </c>
      <c r="H72" s="6">
        <v>86</v>
      </c>
      <c r="I72" s="6">
        <v>44.25</v>
      </c>
      <c r="J72" s="12">
        <f>E72/I72-1</f>
        <v>0.37627118644067803</v>
      </c>
      <c r="K72" s="11">
        <v>4.4334975369458129E-2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5.6723503294471601E-2</v>
      </c>
      <c r="Q72" s="12">
        <v>0.18855793075067021</v>
      </c>
      <c r="R72" s="14">
        <v>54</v>
      </c>
    </row>
    <row r="73" spans="2:18" x14ac:dyDescent="0.5">
      <c r="B73" s="1" t="s">
        <v>116</v>
      </c>
      <c r="C73" t="s">
        <v>156</v>
      </c>
      <c r="D73" t="s">
        <v>83</v>
      </c>
      <c r="E73">
        <v>204.8</v>
      </c>
      <c r="F73" s="9" t="s">
        <v>67</v>
      </c>
      <c r="G73" s="7">
        <v>272002613248</v>
      </c>
      <c r="H73" s="6">
        <v>339.8</v>
      </c>
      <c r="I73" s="6">
        <v>118.8</v>
      </c>
      <c r="J73" s="12">
        <f>E73/I73-1</f>
        <v>0.72390572390572405</v>
      </c>
      <c r="K73" s="11">
        <v>3.9794921874999993E-3</v>
      </c>
      <c r="L73" s="13">
        <v>4408440000</v>
      </c>
      <c r="M73" s="13">
        <v>10683505000</v>
      </c>
      <c r="N73" s="9" t="s">
        <v>50</v>
      </c>
      <c r="O73" s="6">
        <v>1.0683760683760684</v>
      </c>
      <c r="P73" s="12">
        <v>1.7672640516031842E-2</v>
      </c>
      <c r="Q73" s="12">
        <v>0.41263985929711272</v>
      </c>
      <c r="R73" s="14">
        <v>55</v>
      </c>
    </row>
    <row r="74" spans="2:18" x14ac:dyDescent="0.5">
      <c r="B74" s="1" t="s">
        <v>31</v>
      </c>
      <c r="C74" t="s">
        <v>92</v>
      </c>
      <c r="D74" t="s">
        <v>74</v>
      </c>
      <c r="E74">
        <v>2.92</v>
      </c>
      <c r="F74" s="9" t="s">
        <v>67</v>
      </c>
      <c r="G74" s="7">
        <v>18107568128</v>
      </c>
      <c r="H74" s="6">
        <v>4.04</v>
      </c>
      <c r="I74" s="6">
        <v>2.6</v>
      </c>
      <c r="J74" s="12">
        <f>E74/I74-1</f>
        <v>0.12307692307692308</v>
      </c>
      <c r="K74" s="11">
        <v>5.1369863013698627E-2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9.1028072938813057E-2</v>
      </c>
      <c r="Q74" s="12">
        <v>0.1499088374088374</v>
      </c>
      <c r="R74" s="14">
        <v>55</v>
      </c>
    </row>
    <row r="75" spans="2:18" x14ac:dyDescent="0.5">
      <c r="B75" s="1" t="s">
        <v>134</v>
      </c>
      <c r="C75" t="s">
        <v>179</v>
      </c>
      <c r="D75" t="s">
        <v>180</v>
      </c>
      <c r="E75">
        <v>36.82</v>
      </c>
      <c r="F75" s="9" t="s">
        <v>67</v>
      </c>
      <c r="G75" s="7">
        <v>25467658240</v>
      </c>
      <c r="H75" s="6">
        <v>48.1</v>
      </c>
      <c r="I75" s="6">
        <v>19.82</v>
      </c>
      <c r="J75" s="12">
        <f>E75/I75-1</f>
        <v>0.85771947527749748</v>
      </c>
      <c r="K75" s="11">
        <v>1.4122759369907659E-2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4.7370668894351396E-2</v>
      </c>
      <c r="Q75" s="12">
        <v>0.222258562943417</v>
      </c>
      <c r="R75" s="14">
        <v>56</v>
      </c>
    </row>
    <row r="76" spans="2:18" x14ac:dyDescent="0.5">
      <c r="B76" s="1" t="s">
        <v>127</v>
      </c>
      <c r="C76" t="s">
        <v>170</v>
      </c>
      <c r="D76" t="s">
        <v>171</v>
      </c>
      <c r="E76">
        <v>547.5</v>
      </c>
      <c r="F76" s="9" t="s">
        <v>67</v>
      </c>
      <c r="G76" s="7">
        <v>4939101765632</v>
      </c>
      <c r="H76" s="6">
        <v>683</v>
      </c>
      <c r="I76" s="6">
        <v>419</v>
      </c>
      <c r="J76" s="12">
        <f>E76/I76-1</f>
        <v>0.30668257756563255</v>
      </c>
      <c r="K76" s="11">
        <v>7.7242009132420094E-3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5.237231484296901E-2</v>
      </c>
      <c r="Q76" s="12">
        <v>0.19352168899747973</v>
      </c>
      <c r="R76" s="14">
        <v>57</v>
      </c>
    </row>
    <row r="77" spans="2:18" x14ac:dyDescent="0.5">
      <c r="B77" s="1" t="s">
        <v>360</v>
      </c>
      <c r="C77" t="s">
        <v>362</v>
      </c>
      <c r="D77" t="s">
        <v>363</v>
      </c>
      <c r="E77">
        <v>2.0299999999999998</v>
      </c>
      <c r="F77" s="9" t="s">
        <v>67</v>
      </c>
      <c r="G77" s="7">
        <v>4091077120</v>
      </c>
      <c r="H77" s="6">
        <v>3.64</v>
      </c>
      <c r="I77" s="6">
        <v>0.99</v>
      </c>
      <c r="J77" s="12">
        <f>E77/I77-1</f>
        <v>1.0505050505050502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0.76791553053762229</v>
      </c>
      <c r="Q77" s="12">
        <v>-9.3085164890011229E-2</v>
      </c>
      <c r="R77" s="14">
        <v>58</v>
      </c>
    </row>
    <row r="78" spans="2:18" x14ac:dyDescent="0.5">
      <c r="B78" s="1" t="s">
        <v>377</v>
      </c>
      <c r="C78" t="s">
        <v>378</v>
      </c>
      <c r="D78" t="s">
        <v>182</v>
      </c>
      <c r="E78">
        <v>4.42</v>
      </c>
      <c r="F78" s="9" t="s">
        <v>67</v>
      </c>
      <c r="G78" s="7">
        <v>2535948544</v>
      </c>
      <c r="H78" s="6">
        <v>8.6199999999999992</v>
      </c>
      <c r="I78" s="6">
        <v>4.41</v>
      </c>
      <c r="J78" s="12">
        <f>E78/I78-1</f>
        <v>2.2675736961450532E-3</v>
      </c>
      <c r="K78" s="11">
        <v>7.9185520361990946E-2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0.10273056900136743</v>
      </c>
      <c r="Q78" s="12">
        <v>0.12232565520665489</v>
      </c>
      <c r="R78" s="14">
        <v>59</v>
      </c>
    </row>
    <row r="79" spans="2:18" x14ac:dyDescent="0.5">
      <c r="B79" s="1" t="s">
        <v>122</v>
      </c>
      <c r="C79" t="s">
        <v>163</v>
      </c>
      <c r="D79" t="s">
        <v>164</v>
      </c>
      <c r="E79">
        <v>28.1</v>
      </c>
      <c r="F79" s="9" t="s">
        <v>67</v>
      </c>
      <c r="G79" s="7">
        <v>31967145984</v>
      </c>
      <c r="H79" s="6">
        <v>29.96</v>
      </c>
      <c r="I79" s="6">
        <v>19.52</v>
      </c>
      <c r="J79" s="12">
        <f>E79/I79-1</f>
        <v>0.43954918032786905</v>
      </c>
      <c r="K79" s="11">
        <v>4.9822064056939494E-2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0.1197888189369926</v>
      </c>
      <c r="Q79" s="12">
        <v>0.10133893359397213</v>
      </c>
      <c r="R79" s="14">
        <v>59</v>
      </c>
    </row>
    <row r="80" spans="2:18" x14ac:dyDescent="0.5">
      <c r="B80" s="1" t="s">
        <v>130</v>
      </c>
      <c r="C80" t="s">
        <v>173</v>
      </c>
      <c r="D80" t="s">
        <v>174</v>
      </c>
      <c r="E80">
        <v>38.26</v>
      </c>
      <c r="F80" s="9" t="s">
        <v>67</v>
      </c>
      <c r="G80" s="7">
        <v>1017323126784</v>
      </c>
      <c r="H80" s="6">
        <v>46.98</v>
      </c>
      <c r="I80" s="6">
        <v>14.02</v>
      </c>
      <c r="J80" s="12">
        <f>E80/I80-1</f>
        <v>1.7289586305278175</v>
      </c>
      <c r="K80" s="11">
        <v>1.3068478829064298E-2</v>
      </c>
      <c r="L80" s="13">
        <v>52374992116</v>
      </c>
      <c r="M80" s="13">
        <v>269573093476</v>
      </c>
      <c r="N80" s="9" t="s">
        <v>50</v>
      </c>
      <c r="O80" s="6">
        <v>1.0683760683760684</v>
      </c>
      <c r="P80" s="12">
        <v>4.9015200862233932E-2</v>
      </c>
      <c r="Q80" s="12">
        <v>0.19428864891763736</v>
      </c>
      <c r="R80" s="14">
        <v>60</v>
      </c>
    </row>
    <row r="81" spans="2:18" x14ac:dyDescent="0.5">
      <c r="B81" s="1" t="s">
        <v>117</v>
      </c>
      <c r="C81" t="s">
        <v>157</v>
      </c>
      <c r="D81" t="s">
        <v>68</v>
      </c>
      <c r="E81">
        <v>5.47</v>
      </c>
      <c r="F81" s="9" t="s">
        <v>67</v>
      </c>
      <c r="G81" s="7">
        <v>8898115584</v>
      </c>
      <c r="H81" s="6">
        <v>7.05</v>
      </c>
      <c r="I81" s="6">
        <v>5.16</v>
      </c>
      <c r="J81" s="12">
        <f>E81/I81-1</f>
        <v>6.0077519379844846E-2</v>
      </c>
      <c r="K81" s="11">
        <v>5.1188299817184653E-2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0.12084781406713251</v>
      </c>
      <c r="Q81" s="12">
        <v>9.3783286642795421E-2</v>
      </c>
      <c r="R81" s="14">
        <v>61</v>
      </c>
    </row>
    <row r="82" spans="2:18" x14ac:dyDescent="0.5">
      <c r="B82" s="1" t="s">
        <v>132</v>
      </c>
      <c r="C82" t="s">
        <v>176</v>
      </c>
      <c r="D82" t="s">
        <v>76</v>
      </c>
      <c r="E82">
        <v>17.02</v>
      </c>
      <c r="F82" s="9" t="s">
        <v>67</v>
      </c>
      <c r="G82" s="7">
        <v>71450116096</v>
      </c>
      <c r="H82" s="6">
        <v>17.850000000000001</v>
      </c>
      <c r="I82" s="6">
        <v>11.42</v>
      </c>
      <c r="J82" s="12">
        <f>E82/I82-1</f>
        <v>0.49036777583187385</v>
      </c>
      <c r="K82" s="11">
        <v>5.2056404230317273E-2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0.12682354290495584</v>
      </c>
      <c r="Q82" s="12">
        <v>8.6741482038526066E-2</v>
      </c>
      <c r="R82" s="14">
        <v>61</v>
      </c>
    </row>
    <row r="83" spans="2:18" x14ac:dyDescent="0.5">
      <c r="B83" s="1" t="s">
        <v>132</v>
      </c>
      <c r="C83" t="s">
        <v>176</v>
      </c>
      <c r="D83" t="s">
        <v>76</v>
      </c>
      <c r="E83">
        <v>17.02</v>
      </c>
      <c r="F83" s="9" t="s">
        <v>67</v>
      </c>
      <c r="G83" s="7">
        <v>71450116096</v>
      </c>
      <c r="H83" s="6">
        <v>17.850000000000001</v>
      </c>
      <c r="I83" s="6">
        <v>11.42</v>
      </c>
      <c r="J83" s="12">
        <f>E83/I83-1</f>
        <v>0.49036777583187385</v>
      </c>
      <c r="K83" s="11">
        <v>5.2056404230317273E-2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0.12682354290495584</v>
      </c>
      <c r="Q83" s="12">
        <v>8.6741482038526066E-2</v>
      </c>
      <c r="R83" s="14">
        <v>61</v>
      </c>
    </row>
    <row r="84" spans="2:18" x14ac:dyDescent="0.5">
      <c r="B84" s="1" t="s">
        <v>286</v>
      </c>
      <c r="C84" t="s">
        <v>339</v>
      </c>
      <c r="D84" t="s">
        <v>236</v>
      </c>
      <c r="E84">
        <v>27.96</v>
      </c>
      <c r="F84" s="9" t="s">
        <v>67</v>
      </c>
      <c r="G84" s="7">
        <v>27704268800</v>
      </c>
      <c r="H84" s="6">
        <v>30.3</v>
      </c>
      <c r="I84" s="6">
        <v>6.95</v>
      </c>
      <c r="J84" s="12">
        <f>E84/I84-1</f>
        <v>3.0230215827338132</v>
      </c>
      <c r="K84" s="11">
        <v>1.2660944206008582E-2</v>
      </c>
      <c r="L84" s="13">
        <v>1333116000</v>
      </c>
      <c r="M84" s="13">
        <v>8019803000</v>
      </c>
      <c r="N84" s="9" t="s">
        <v>50</v>
      </c>
      <c r="O84" s="6">
        <v>1.0683760683760684</v>
      </c>
      <c r="P84" s="12">
        <v>5.1744713294162477E-2</v>
      </c>
      <c r="Q84" s="12">
        <v>0.16622802330680692</v>
      </c>
      <c r="R84" s="14">
        <v>62</v>
      </c>
    </row>
    <row r="85" spans="2:18" x14ac:dyDescent="0.5">
      <c r="B85" s="1" t="s">
        <v>359</v>
      </c>
      <c r="C85" t="s">
        <v>361</v>
      </c>
      <c r="D85" t="s">
        <v>171</v>
      </c>
      <c r="E85">
        <v>8.1199999999999992</v>
      </c>
      <c r="F85" s="9" t="s">
        <v>67</v>
      </c>
      <c r="G85" s="7">
        <v>2163039488</v>
      </c>
      <c r="H85" s="6">
        <v>15</v>
      </c>
      <c r="I85" s="6">
        <v>8.02</v>
      </c>
      <c r="J85" s="12">
        <f>E85/I85-1</f>
        <v>1.2468827930174564E-2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0.24602489810289285</v>
      </c>
      <c r="Q85" s="12">
        <v>-0.11631254679805218</v>
      </c>
      <c r="R85" s="14">
        <v>63</v>
      </c>
    </row>
    <row r="86" spans="2:18" x14ac:dyDescent="0.5">
      <c r="B86" s="1" t="s">
        <v>138</v>
      </c>
      <c r="C86" t="s">
        <v>186</v>
      </c>
      <c r="D86" t="s">
        <v>102</v>
      </c>
      <c r="E86">
        <v>30.18</v>
      </c>
      <c r="F86" s="9" t="s">
        <v>67</v>
      </c>
      <c r="G86" s="7">
        <v>68001710080</v>
      </c>
      <c r="H86" s="6">
        <v>52.95</v>
      </c>
      <c r="I86" s="6">
        <v>26.65</v>
      </c>
      <c r="J86" s="12">
        <f>E86/I86-1</f>
        <v>0.13245778611632275</v>
      </c>
      <c r="K86" s="11">
        <v>1.8820410868124585E-2</v>
      </c>
      <c r="L86" s="13">
        <v>5261270000</v>
      </c>
      <c r="M86" s="13">
        <v>43208997000</v>
      </c>
      <c r="N86" s="9" t="s">
        <v>50</v>
      </c>
      <c r="O86" s="6">
        <v>1.0683760683760684</v>
      </c>
      <c r="P86" s="12">
        <v>7.6187262413107651E-2</v>
      </c>
      <c r="Q86" s="12">
        <v>0.12176329850933591</v>
      </c>
      <c r="R86" s="14">
        <v>63</v>
      </c>
    </row>
    <row r="87" spans="2:18" x14ac:dyDescent="0.5">
      <c r="B87" s="1" t="s">
        <v>437</v>
      </c>
      <c r="C87" t="s">
        <v>441</v>
      </c>
      <c r="D87" t="s">
        <v>164</v>
      </c>
      <c r="E87">
        <v>2.2799999999999998</v>
      </c>
      <c r="F87" s="9" t="s">
        <v>67</v>
      </c>
      <c r="G87" s="7">
        <v>3040000256</v>
      </c>
      <c r="H87" s="6">
        <v>3.21</v>
      </c>
      <c r="I87" s="6">
        <v>1.94</v>
      </c>
      <c r="J87" s="12">
        <f>E87/I87-1</f>
        <v>0.17525773195876271</v>
      </c>
      <c r="K87" s="11">
        <v>5.2631578947368425E-2</v>
      </c>
      <c r="L87" s="13">
        <v>244399000</v>
      </c>
      <c r="M87" s="13">
        <v>2990882000</v>
      </c>
      <c r="N87" s="9" t="s">
        <v>50</v>
      </c>
      <c r="O87" s="6">
        <v>1.0683760683760684</v>
      </c>
      <c r="P87" s="12">
        <v>0.12198607075430817</v>
      </c>
      <c r="Q87" s="12">
        <v>8.171469151909036E-2</v>
      </c>
      <c r="R87" s="14">
        <v>64</v>
      </c>
    </row>
    <row r="88" spans="2:18" x14ac:dyDescent="0.5">
      <c r="B88" s="1" t="s">
        <v>257</v>
      </c>
      <c r="C88" t="s">
        <v>306</v>
      </c>
      <c r="D88" t="s">
        <v>298</v>
      </c>
      <c r="E88">
        <v>62.25</v>
      </c>
      <c r="F88" s="9" t="s">
        <v>67</v>
      </c>
      <c r="G88" s="7">
        <v>1205686370304</v>
      </c>
      <c r="H88" s="6">
        <v>74.7</v>
      </c>
      <c r="I88" s="6">
        <v>39.6</v>
      </c>
      <c r="J88" s="12">
        <f>E88/I88-1</f>
        <v>0.57196969696969702</v>
      </c>
      <c r="K88" s="11">
        <v>4.1285140562248995E-2</v>
      </c>
      <c r="L88" s="13">
        <v>189900000000</v>
      </c>
      <c r="M88" s="13">
        <v>2315380000000</v>
      </c>
      <c r="N88" s="9" t="s">
        <v>50</v>
      </c>
      <c r="O88" s="6">
        <v>1.0683760683760684</v>
      </c>
      <c r="P88" s="12">
        <v>0.120668542414817</v>
      </c>
      <c r="Q88" s="12">
        <v>8.2016774784268678E-2</v>
      </c>
      <c r="R88" s="14">
        <v>65</v>
      </c>
    </row>
    <row r="89" spans="2:18" x14ac:dyDescent="0.5">
      <c r="B89" s="1" t="s">
        <v>787</v>
      </c>
      <c r="C89" t="s">
        <v>791</v>
      </c>
      <c r="D89" t="s">
        <v>790</v>
      </c>
      <c r="E89">
        <v>8.07</v>
      </c>
      <c r="F89" s="9" t="s">
        <v>67</v>
      </c>
      <c r="G89" s="7">
        <v>11538388992</v>
      </c>
      <c r="H89" s="6">
        <v>12.22</v>
      </c>
      <c r="I89" s="6">
        <v>4.57</v>
      </c>
      <c r="J89" s="12">
        <f>E89/I89-1</f>
        <v>0.76586433260393871</v>
      </c>
      <c r="K89" s="11">
        <v>3.1846344485749689E-2</v>
      </c>
      <c r="L89" s="13">
        <v>1759966000</v>
      </c>
      <c r="M89" s="13">
        <v>17883609000</v>
      </c>
      <c r="N89" s="9" t="s">
        <v>67</v>
      </c>
      <c r="O89" s="6">
        <v>1</v>
      </c>
      <c r="P89" s="12">
        <v>0.10191057063582912</v>
      </c>
      <c r="Q89" s="12">
        <v>9.8412238827185278E-2</v>
      </c>
      <c r="R89" s="14">
        <v>66</v>
      </c>
    </row>
    <row r="90" spans="2:18" x14ac:dyDescent="0.5">
      <c r="B90" s="1" t="s">
        <v>756</v>
      </c>
      <c r="C90" t="s">
        <v>757</v>
      </c>
      <c r="D90" t="s">
        <v>182</v>
      </c>
      <c r="E90">
        <v>1.18</v>
      </c>
      <c r="F90" s="9" t="s">
        <v>67</v>
      </c>
      <c r="G90" s="7">
        <v>1146274432</v>
      </c>
      <c r="H90" s="6">
        <v>1.24</v>
      </c>
      <c r="I90" s="6">
        <v>0.84</v>
      </c>
      <c r="J90" s="12">
        <f>E90/I90-1</f>
        <v>0.40476190476190466</v>
      </c>
      <c r="K90" s="11">
        <v>5.0847457627118647E-2</v>
      </c>
      <c r="L90" s="13">
        <v>115617000</v>
      </c>
      <c r="M90" s="13">
        <v>935619000</v>
      </c>
      <c r="N90" s="9" t="s">
        <v>67</v>
      </c>
      <c r="O90" s="6">
        <v>1</v>
      </c>
      <c r="P90" s="12">
        <v>6.0238382877001798E-2</v>
      </c>
      <c r="Q90" s="12">
        <v>0.12357273633818894</v>
      </c>
      <c r="R90" s="14">
        <v>67</v>
      </c>
    </row>
    <row r="91" spans="2:18" x14ac:dyDescent="0.5">
      <c r="B91" s="1" t="s">
        <v>264</v>
      </c>
      <c r="C91" t="s">
        <v>315</v>
      </c>
      <c r="D91" t="s">
        <v>49</v>
      </c>
      <c r="E91">
        <v>7.7</v>
      </c>
      <c r="F91" s="9" t="s">
        <v>67</v>
      </c>
      <c r="G91" s="7">
        <v>14532099072</v>
      </c>
      <c r="H91" s="6">
        <v>9.01</v>
      </c>
      <c r="I91" s="6">
        <v>1.92</v>
      </c>
      <c r="J91" s="12">
        <f>E91/I91-1</f>
        <v>3.010416666666667</v>
      </c>
      <c r="K91" s="11">
        <v>2.0779220779220779E-2</v>
      </c>
      <c r="L91" s="13">
        <v>896597000</v>
      </c>
      <c r="M91" s="13">
        <v>6906279000</v>
      </c>
      <c r="N91" s="9" t="s">
        <v>67</v>
      </c>
      <c r="O91" s="6">
        <v>1</v>
      </c>
      <c r="P91" s="12">
        <v>5.5597849473245184E-2</v>
      </c>
      <c r="Q91" s="12">
        <v>0.12982345485897689</v>
      </c>
      <c r="R91" s="14">
        <v>68</v>
      </c>
    </row>
    <row r="92" spans="2:18" x14ac:dyDescent="0.5">
      <c r="B92" s="1" t="s">
        <v>268</v>
      </c>
      <c r="C92" t="s">
        <v>319</v>
      </c>
      <c r="D92" t="s">
        <v>320</v>
      </c>
      <c r="E92">
        <v>12.01</v>
      </c>
      <c r="F92" s="9" t="s">
        <v>67</v>
      </c>
      <c r="G92" s="7">
        <v>25360988160</v>
      </c>
      <c r="H92" s="6">
        <v>13.88</v>
      </c>
      <c r="I92" s="6">
        <v>5.31</v>
      </c>
      <c r="J92" s="12">
        <f>E92/I92-1</f>
        <v>1.2617702448210926</v>
      </c>
      <c r="K92" s="11">
        <v>2.2481265611990011E-2</v>
      </c>
      <c r="L92" s="13">
        <v>1537565000</v>
      </c>
      <c r="M92" s="13">
        <v>14484935000</v>
      </c>
      <c r="N92" s="9" t="s">
        <v>50</v>
      </c>
      <c r="O92" s="6">
        <v>1.0683760683760684</v>
      </c>
      <c r="P92" s="12">
        <v>7.8316210344358497E-2</v>
      </c>
      <c r="Q92" s="12">
        <v>0.10614925092863724</v>
      </c>
      <c r="R92" s="14">
        <v>69</v>
      </c>
    </row>
    <row r="93" spans="2:18" x14ac:dyDescent="0.5">
      <c r="B93" s="1" t="s">
        <v>133</v>
      </c>
      <c r="C93" t="s">
        <v>177</v>
      </c>
      <c r="D93" t="s">
        <v>178</v>
      </c>
      <c r="E93">
        <v>8.86</v>
      </c>
      <c r="F93" s="9" t="s">
        <v>67</v>
      </c>
      <c r="G93" s="7">
        <v>20876206080</v>
      </c>
      <c r="H93" s="6">
        <v>12.7</v>
      </c>
      <c r="I93" s="6">
        <v>6.33</v>
      </c>
      <c r="J93" s="12">
        <f>E93/I93-1</f>
        <v>0.39968404423380721</v>
      </c>
      <c r="K93" s="11">
        <v>0</v>
      </c>
      <c r="L93" s="13">
        <v>13493113000</v>
      </c>
      <c r="M93" s="13">
        <v>208027754000</v>
      </c>
      <c r="N93" s="9" t="s">
        <v>50</v>
      </c>
      <c r="O93" s="6">
        <v>1.0683760683760684</v>
      </c>
      <c r="P93" s="12">
        <v>0.1200946919365517</v>
      </c>
      <c r="Q93" s="12">
        <v>6.4862080854845933E-2</v>
      </c>
      <c r="R93" s="14">
        <v>70</v>
      </c>
    </row>
    <row r="94" spans="2:18" x14ac:dyDescent="0.5">
      <c r="B94" s="1" t="s">
        <v>118</v>
      </c>
      <c r="C94" t="s">
        <v>158</v>
      </c>
      <c r="D94" t="s">
        <v>96</v>
      </c>
      <c r="E94">
        <v>7.79</v>
      </c>
      <c r="F94" s="9" t="s">
        <v>67</v>
      </c>
      <c r="G94" s="7">
        <v>238358429696</v>
      </c>
      <c r="H94" s="6">
        <v>10.68</v>
      </c>
      <c r="I94" s="6">
        <v>7.07</v>
      </c>
      <c r="J94" s="12">
        <f>E94/I94-1</f>
        <v>0.1018387553041018</v>
      </c>
      <c r="K94" s="11">
        <v>5.6482670089858793E-2</v>
      </c>
      <c r="L94" s="13">
        <v>26994000000</v>
      </c>
      <c r="M94" s="13">
        <v>363169000000</v>
      </c>
      <c r="N94" s="9" t="s">
        <v>50</v>
      </c>
      <c r="O94" s="6">
        <v>1.0683760683760684</v>
      </c>
      <c r="P94" s="12">
        <v>0.11516777115416275</v>
      </c>
      <c r="Q94" s="12">
        <v>7.4329031387590908E-2</v>
      </c>
      <c r="R94" s="14">
        <v>71</v>
      </c>
    </row>
    <row r="95" spans="2:18" x14ac:dyDescent="0.5">
      <c r="B95" s="1" t="s">
        <v>113</v>
      </c>
      <c r="C95" t="s">
        <v>153</v>
      </c>
      <c r="D95" t="s">
        <v>91</v>
      </c>
      <c r="E95">
        <v>22.74</v>
      </c>
      <c r="F95" s="9" t="s">
        <v>67</v>
      </c>
      <c r="G95" s="7">
        <v>136616640512</v>
      </c>
      <c r="H95" s="6">
        <v>27.14</v>
      </c>
      <c r="I95" s="6">
        <v>18.7</v>
      </c>
      <c r="J95" s="12">
        <f>E95/I95-1</f>
        <v>0.21604278074866312</v>
      </c>
      <c r="K95" s="11">
        <v>4.1776605101143359E-2</v>
      </c>
      <c r="L95" s="13">
        <v>10795274825</v>
      </c>
      <c r="M95" s="13">
        <v>215275428010</v>
      </c>
      <c r="N95" s="9" t="s">
        <v>50</v>
      </c>
      <c r="O95" s="6">
        <v>1.0683760683760684</v>
      </c>
      <c r="P95" s="12">
        <v>0.12381007829077074</v>
      </c>
      <c r="Q95" s="12">
        <v>5.0146340085309396E-2</v>
      </c>
      <c r="R95" s="14">
        <v>71</v>
      </c>
    </row>
    <row r="96" spans="2:18" x14ac:dyDescent="0.5">
      <c r="B96" s="1" t="s">
        <v>109</v>
      </c>
      <c r="C96" t="s">
        <v>146</v>
      </c>
      <c r="D96" t="s">
        <v>96</v>
      </c>
      <c r="E96">
        <v>5.09</v>
      </c>
      <c r="F96" s="9" t="s">
        <v>67</v>
      </c>
      <c r="G96" s="7">
        <v>612423172096</v>
      </c>
      <c r="H96" s="6">
        <v>6.49</v>
      </c>
      <c r="I96" s="6">
        <v>4.8600000000000003</v>
      </c>
      <c r="J96" s="12">
        <f>E96/I96-1</f>
        <v>4.7325102880658276E-2</v>
      </c>
      <c r="K96" s="11">
        <v>8.6640471512770142E-2</v>
      </c>
      <c r="L96" s="13">
        <v>44563000000</v>
      </c>
      <c r="M96" s="13">
        <v>463922000000</v>
      </c>
      <c r="N96" s="9" t="s">
        <v>50</v>
      </c>
      <c r="O96" s="6">
        <v>1.0683760683760684</v>
      </c>
      <c r="P96" s="12">
        <v>8.0764589218108626E-2</v>
      </c>
      <c r="Q96" s="12">
        <v>9.605709580489824E-2</v>
      </c>
      <c r="R96" s="14">
        <v>72</v>
      </c>
    </row>
    <row r="97" spans="2:18" x14ac:dyDescent="0.5">
      <c r="B97" s="1" t="s">
        <v>947</v>
      </c>
      <c r="C97" t="s">
        <v>948</v>
      </c>
      <c r="D97" t="s">
        <v>171</v>
      </c>
      <c r="E97">
        <v>54.1</v>
      </c>
      <c r="F97" s="9" t="s">
        <v>67</v>
      </c>
      <c r="G97" s="7">
        <v>182817308672</v>
      </c>
      <c r="H97" s="6">
        <v>104</v>
      </c>
      <c r="I97" s="6">
        <v>46.05</v>
      </c>
      <c r="J97" s="12">
        <f>E97/I97-1</f>
        <v>0.17480998914223678</v>
      </c>
      <c r="K97" s="11">
        <v>2.4288354898336414E-2</v>
      </c>
      <c r="L97" s="13">
        <v>8836000000</v>
      </c>
      <c r="M97" s="13">
        <v>73589000000</v>
      </c>
      <c r="N97" s="9" t="s">
        <v>50</v>
      </c>
      <c r="O97" s="6">
        <v>1.0683760683760684</v>
      </c>
      <c r="P97" s="12">
        <v>5.3876734412547658E-2</v>
      </c>
      <c r="Q97" s="12">
        <v>0.12007229341341777</v>
      </c>
      <c r="R97" s="14">
        <v>72</v>
      </c>
    </row>
    <row r="98" spans="2:18" x14ac:dyDescent="0.5">
      <c r="B98" s="1" t="s">
        <v>386</v>
      </c>
      <c r="C98" t="s">
        <v>387</v>
      </c>
      <c r="D98" t="s">
        <v>55</v>
      </c>
      <c r="E98">
        <v>33.32</v>
      </c>
      <c r="F98" s="9" t="s">
        <v>67</v>
      </c>
      <c r="G98" s="7">
        <v>863413141504</v>
      </c>
      <c r="H98" s="6">
        <v>61.45</v>
      </c>
      <c r="I98" s="6">
        <v>31.2</v>
      </c>
      <c r="J98" s="12">
        <f>E98/I98-1</f>
        <v>6.7948717948717929E-2</v>
      </c>
      <c r="K98" s="11">
        <v>0</v>
      </c>
      <c r="L98" s="13">
        <v>29458798000</v>
      </c>
      <c r="M98" s="13">
        <v>219340795000</v>
      </c>
      <c r="N98" s="9" t="s">
        <v>50</v>
      </c>
      <c r="O98" s="6">
        <v>1.0683760683760684</v>
      </c>
      <c r="P98" s="12">
        <v>3.6346242600777866E-2</v>
      </c>
      <c r="Q98" s="12">
        <v>0.13430606011982404</v>
      </c>
      <c r="R98" s="14">
        <v>73</v>
      </c>
    </row>
    <row r="99" spans="2:18" x14ac:dyDescent="0.5">
      <c r="B99" s="1" t="s">
        <v>262</v>
      </c>
      <c r="C99" t="s">
        <v>312</v>
      </c>
      <c r="D99" t="s">
        <v>85</v>
      </c>
      <c r="E99">
        <v>6.42</v>
      </c>
      <c r="F99" s="9" t="s">
        <v>67</v>
      </c>
      <c r="G99" s="7">
        <v>6528890368</v>
      </c>
      <c r="H99" s="6">
        <v>10.76</v>
      </c>
      <c r="I99" s="6">
        <v>6.25</v>
      </c>
      <c r="J99" s="12">
        <f>E99/I99-1</f>
        <v>2.7199999999999891E-2</v>
      </c>
      <c r="K99" s="11">
        <v>2.2118380062305293E-2</v>
      </c>
      <c r="L99" s="13">
        <v>350106000</v>
      </c>
      <c r="M99" s="13">
        <v>3348556000</v>
      </c>
      <c r="N99" s="9" t="s">
        <v>67</v>
      </c>
      <c r="O99" s="6">
        <v>1</v>
      </c>
      <c r="P99" s="12">
        <v>6.0113700328818263E-2</v>
      </c>
      <c r="Q99" s="12">
        <v>0.10455432132537129</v>
      </c>
      <c r="R99" s="14">
        <v>74</v>
      </c>
    </row>
    <row r="100" spans="2:18" x14ac:dyDescent="0.5">
      <c r="B100" s="1" t="s">
        <v>255</v>
      </c>
      <c r="C100" t="s">
        <v>304</v>
      </c>
      <c r="D100" t="s">
        <v>300</v>
      </c>
      <c r="E100">
        <v>1.86</v>
      </c>
      <c r="F100" s="9" t="s">
        <v>67</v>
      </c>
      <c r="G100" s="7">
        <v>72185053184</v>
      </c>
      <c r="H100" s="6">
        <v>3.17</v>
      </c>
      <c r="I100" s="6">
        <v>1.35</v>
      </c>
      <c r="J100" s="12">
        <f>E100/I100-1</f>
        <v>0.37777777777777777</v>
      </c>
      <c r="K100" s="11">
        <v>3.0107526881720428E-2</v>
      </c>
      <c r="L100" s="13">
        <v>12616717000</v>
      </c>
      <c r="M100" s="13">
        <v>231208465000</v>
      </c>
      <c r="N100" s="9" t="s">
        <v>50</v>
      </c>
      <c r="O100" s="6">
        <v>1.0683760683760684</v>
      </c>
      <c r="P100" s="12">
        <v>0.11600751620420693</v>
      </c>
      <c r="Q100" s="12">
        <v>5.4568577322633927E-2</v>
      </c>
      <c r="R100" s="14">
        <v>75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1.26</v>
      </c>
      <c r="F101" s="9" t="s">
        <v>67</v>
      </c>
      <c r="G101" s="7">
        <v>1746824960</v>
      </c>
      <c r="H101" s="6">
        <v>1.6</v>
      </c>
      <c r="I101" s="6">
        <v>1.08</v>
      </c>
      <c r="J101" s="12">
        <f>E101/I101-1</f>
        <v>0.16666666666666652</v>
      </c>
      <c r="K101" s="11">
        <v>7.9365079365079375E-2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0.10512069537023459</v>
      </c>
      <c r="Q101" s="12">
        <v>6.0507370261966002E-2</v>
      </c>
      <c r="R101" s="14">
        <v>76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10.34</v>
      </c>
      <c r="F102" s="9" t="s">
        <v>67</v>
      </c>
      <c r="G102" s="7">
        <v>26259449856</v>
      </c>
      <c r="H102" s="6">
        <v>13.78</v>
      </c>
      <c r="I102" s="6">
        <v>8.1</v>
      </c>
      <c r="J102" s="12">
        <f>E102/I102-1</f>
        <v>0.27654320987654324</v>
      </c>
      <c r="K102" s="11">
        <v>2.9013539651837523E-2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0.10333139294738634</v>
      </c>
      <c r="Q102" s="12">
        <v>5.5629198178196171E-2</v>
      </c>
      <c r="R102" s="14">
        <v>77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5.53</v>
      </c>
      <c r="F103" s="9" t="s">
        <v>67</v>
      </c>
      <c r="G103" s="7">
        <v>114172583936</v>
      </c>
      <c r="H103" s="6">
        <v>6.07</v>
      </c>
      <c r="I103" s="6">
        <v>4.58</v>
      </c>
      <c r="J103" s="12">
        <f>E103/I103-1</f>
        <v>0.2074235807860263</v>
      </c>
      <c r="K103" s="11">
        <v>5.4249547920433995E-2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0.10031141644490382</v>
      </c>
      <c r="Q103" s="12">
        <v>5.643429507724386E-2</v>
      </c>
      <c r="R103" s="14">
        <v>78</v>
      </c>
    </row>
    <row r="104" spans="2:18" x14ac:dyDescent="0.5">
      <c r="B104" s="1" t="s">
        <v>18</v>
      </c>
      <c r="C104" t="s">
        <v>66</v>
      </c>
      <c r="D104" t="s">
        <v>65</v>
      </c>
      <c r="E104">
        <v>69</v>
      </c>
      <c r="F104" s="9" t="s">
        <v>67</v>
      </c>
      <c r="G104" s="7">
        <v>180560986112</v>
      </c>
      <c r="H104" s="6">
        <v>107</v>
      </c>
      <c r="I104" s="6">
        <v>43.15</v>
      </c>
      <c r="J104" s="12">
        <f>E104/I104-1</f>
        <v>0.59907300115874862</v>
      </c>
      <c r="K104" s="11">
        <v>1.8840579710144929E-2</v>
      </c>
      <c r="L104" s="13">
        <v>6350637223.7200003</v>
      </c>
      <c r="M104" s="13">
        <v>57896384836.860001</v>
      </c>
      <c r="N104" s="9" t="s">
        <v>50</v>
      </c>
      <c r="O104" s="6">
        <v>1.0683760683760684</v>
      </c>
      <c r="P104" s="12">
        <v>4.5574148548705187E-2</v>
      </c>
      <c r="Q104" s="12">
        <v>0.10968970241604512</v>
      </c>
      <c r="R104" s="14">
        <v>78</v>
      </c>
    </row>
    <row r="105" spans="2:18" x14ac:dyDescent="0.5">
      <c r="B105" s="1" t="s">
        <v>256</v>
      </c>
      <c r="C105" t="s">
        <v>305</v>
      </c>
      <c r="D105" t="s">
        <v>106</v>
      </c>
      <c r="E105">
        <v>12.78</v>
      </c>
      <c r="F105" s="9" t="s">
        <v>67</v>
      </c>
      <c r="G105" s="7">
        <v>8584479232</v>
      </c>
      <c r="H105" s="6">
        <v>15.74</v>
      </c>
      <c r="I105" s="6">
        <v>6.36</v>
      </c>
      <c r="J105" s="12">
        <f>E105/I105-1</f>
        <v>1.0094339622641506</v>
      </c>
      <c r="K105" s="11">
        <v>4.4600938967136149E-2</v>
      </c>
      <c r="L105" s="13">
        <v>1136392000</v>
      </c>
      <c r="M105" s="13">
        <v>17458813000</v>
      </c>
      <c r="N105" s="9" t="s">
        <v>67</v>
      </c>
      <c r="O105" s="6">
        <v>1</v>
      </c>
      <c r="P105" s="12">
        <v>8.6066118242431766E-2</v>
      </c>
      <c r="Q105" s="12">
        <v>6.5089877530620205E-2</v>
      </c>
      <c r="R105" s="14">
        <v>79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2.56</v>
      </c>
      <c r="F106" s="9" t="s">
        <v>67</v>
      </c>
      <c r="G106" s="7">
        <v>9111999488</v>
      </c>
      <c r="H106" s="6">
        <v>3.35</v>
      </c>
      <c r="I106" s="6">
        <v>1.6</v>
      </c>
      <c r="J106" s="12">
        <f>E106/I106-1</f>
        <v>0.59999999999999987</v>
      </c>
      <c r="K106" s="11">
        <v>2.9296875E-2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0.10590316486186258</v>
      </c>
      <c r="Q106" s="12">
        <v>3.1227495254580313E-2</v>
      </c>
      <c r="R106" s="14">
        <v>80</v>
      </c>
    </row>
    <row r="107" spans="2:18" x14ac:dyDescent="0.5">
      <c r="B107" s="1" t="s">
        <v>131</v>
      </c>
      <c r="C107" t="s">
        <v>175</v>
      </c>
      <c r="D107" t="s">
        <v>96</v>
      </c>
      <c r="E107">
        <v>6.02</v>
      </c>
      <c r="F107" s="9" t="s">
        <v>67</v>
      </c>
      <c r="G107" s="7">
        <v>46641532928</v>
      </c>
      <c r="H107" s="6">
        <v>6.2</v>
      </c>
      <c r="I107" s="6">
        <v>4.5</v>
      </c>
      <c r="J107" s="12">
        <f>E107/I107-1</f>
        <v>0.33777777777777773</v>
      </c>
      <c r="K107" s="11">
        <v>6.3621262458471772E-2</v>
      </c>
      <c r="L107" s="13">
        <v>5474000000</v>
      </c>
      <c r="M107" s="13">
        <v>59407000000</v>
      </c>
      <c r="N107" s="9" t="s">
        <v>67</v>
      </c>
      <c r="O107" s="6">
        <v>1</v>
      </c>
      <c r="P107" s="12">
        <v>5.5689770701791354E-2</v>
      </c>
      <c r="Q107" s="12">
        <v>9.2144023431582137E-2</v>
      </c>
      <c r="R107" s="14">
        <v>80</v>
      </c>
    </row>
    <row r="108" spans="2:18" x14ac:dyDescent="0.5">
      <c r="B108" s="1" t="s">
        <v>252</v>
      </c>
      <c r="C108" t="s">
        <v>301</v>
      </c>
      <c r="D108" t="s">
        <v>168</v>
      </c>
      <c r="E108">
        <v>58.25</v>
      </c>
      <c r="F108" s="9" t="s">
        <v>67</v>
      </c>
      <c r="G108" s="7">
        <v>223100092416</v>
      </c>
      <c r="H108" s="6">
        <v>66.5</v>
      </c>
      <c r="I108" s="6">
        <v>37.450000000000003</v>
      </c>
      <c r="J108" s="12">
        <f>E108/I108-1</f>
        <v>0.55540720961281687</v>
      </c>
      <c r="K108" s="11">
        <v>3.818025751072962E-2</v>
      </c>
      <c r="L108" s="13">
        <v>41737000000</v>
      </c>
      <c r="M108" s="13">
        <v>794927000000</v>
      </c>
      <c r="N108" s="9" t="s">
        <v>67</v>
      </c>
      <c r="O108" s="6">
        <v>1</v>
      </c>
      <c r="P108" s="12">
        <v>9.7852874739357623E-2</v>
      </c>
      <c r="Q108" s="12">
        <v>5.2504192208844336E-2</v>
      </c>
      <c r="R108" s="14">
        <v>81</v>
      </c>
    </row>
    <row r="109" spans="2:18" x14ac:dyDescent="0.5">
      <c r="B109" s="1" t="s">
        <v>284</v>
      </c>
      <c r="C109" t="s">
        <v>337</v>
      </c>
      <c r="D109" t="s">
        <v>49</v>
      </c>
      <c r="E109">
        <v>23.9</v>
      </c>
      <c r="F109" s="9" t="s">
        <v>67</v>
      </c>
      <c r="G109" s="7">
        <v>53446995968</v>
      </c>
      <c r="H109" s="6">
        <v>28.88</v>
      </c>
      <c r="I109" s="6">
        <v>3.53</v>
      </c>
      <c r="J109" s="12">
        <f>E109/I109-1</f>
        <v>5.7705382436260626</v>
      </c>
      <c r="K109" s="11">
        <v>9.6652719665271981E-3</v>
      </c>
      <c r="L109" s="13">
        <v>2184074765.02</v>
      </c>
      <c r="M109" s="13">
        <v>23493408528.349998</v>
      </c>
      <c r="N109" s="9" t="s">
        <v>50</v>
      </c>
      <c r="O109" s="6">
        <v>1.0683760683760684</v>
      </c>
      <c r="P109" s="12">
        <v>5.199916755219243E-2</v>
      </c>
      <c r="Q109" s="12">
        <v>9.29654274042198E-2</v>
      </c>
      <c r="R109" s="14">
        <v>82</v>
      </c>
    </row>
    <row r="110" spans="2:18" x14ac:dyDescent="0.5">
      <c r="B110" s="1" t="s">
        <v>752</v>
      </c>
      <c r="C110" t="s">
        <v>754</v>
      </c>
      <c r="D110" t="s">
        <v>85</v>
      </c>
      <c r="E110">
        <v>13.3</v>
      </c>
      <c r="F110" s="9" t="s">
        <v>67</v>
      </c>
      <c r="G110" s="7">
        <v>8585966080</v>
      </c>
      <c r="H110" s="6">
        <v>16.8</v>
      </c>
      <c r="I110" s="6">
        <v>8.0299999999999994</v>
      </c>
      <c r="J110" s="12">
        <f>E110/I110-1</f>
        <v>0.65628891656288935</v>
      </c>
      <c r="K110" s="11">
        <v>1.6766917293233083E-2</v>
      </c>
      <c r="L110" s="13">
        <v>1066661000</v>
      </c>
      <c r="M110" s="13">
        <v>15098330000</v>
      </c>
      <c r="N110" s="9" t="s">
        <v>50</v>
      </c>
      <c r="O110" s="6">
        <v>1.0683760683760684</v>
      </c>
      <c r="P110" s="12">
        <v>6.7542737560674998E-2</v>
      </c>
      <c r="Q110" s="12">
        <v>7.0647614669966816E-2</v>
      </c>
      <c r="R110" s="14">
        <v>83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21.76</v>
      </c>
      <c r="F111" s="9" t="s">
        <v>67</v>
      </c>
      <c r="G111" s="7">
        <v>68224671744</v>
      </c>
      <c r="H111" s="6">
        <v>25.68</v>
      </c>
      <c r="I111" s="6">
        <v>6.7</v>
      </c>
      <c r="J111" s="12">
        <f>E111/I111-1</f>
        <v>2.247761194029851</v>
      </c>
      <c r="K111" s="11">
        <v>1.608455882352941E-2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2.8044439826136285E-2</v>
      </c>
      <c r="Q111" s="12">
        <v>0.10689920561026972</v>
      </c>
      <c r="R111" s="14">
        <v>84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17.57</v>
      </c>
      <c r="F112" s="9" t="s">
        <v>67</v>
      </c>
      <c r="G112" s="7">
        <v>118474932224</v>
      </c>
      <c r="H112" s="6">
        <v>22.24</v>
      </c>
      <c r="I112" s="6">
        <v>5</v>
      </c>
      <c r="J112" s="12">
        <f>E112/I112-1</f>
        <v>2.5140000000000002</v>
      </c>
      <c r="K112" s="11">
        <v>1.1952191235059761E-2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4.7732083222461412E-2</v>
      </c>
      <c r="Q112" s="12">
        <v>9.5261833390841127E-2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46</v>
      </c>
      <c r="F113" s="9" t="s">
        <v>67</v>
      </c>
      <c r="G113" s="7">
        <v>160989806592</v>
      </c>
      <c r="H113" s="6">
        <v>49.94</v>
      </c>
      <c r="I113" s="6">
        <v>28.1</v>
      </c>
      <c r="J113" s="12">
        <f>E113/I113-1</f>
        <v>0.63701067615658347</v>
      </c>
      <c r="K113" s="11">
        <v>3.7826086956521739E-2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9.2373271684002611E-2</v>
      </c>
      <c r="Q113" s="12">
        <v>3.7613758029978586E-2</v>
      </c>
      <c r="R113" s="14">
        <v>85</v>
      </c>
    </row>
    <row r="114" spans="2:18" x14ac:dyDescent="0.5">
      <c r="B114" s="1" t="s">
        <v>254</v>
      </c>
      <c r="C114" t="s">
        <v>303</v>
      </c>
      <c r="D114" t="s">
        <v>96</v>
      </c>
      <c r="E114">
        <v>3.21</v>
      </c>
      <c r="F114" s="9" t="s">
        <v>67</v>
      </c>
      <c r="G114" s="7">
        <v>2980719360</v>
      </c>
      <c r="H114" s="6">
        <v>5.39</v>
      </c>
      <c r="I114" s="6">
        <v>1.72</v>
      </c>
      <c r="J114" s="12">
        <f>E114/I114-1</f>
        <v>0.86627906976744184</v>
      </c>
      <c r="K114" s="11">
        <v>2.8037383177570093E-2</v>
      </c>
      <c r="L114" s="13">
        <v>238321000</v>
      </c>
      <c r="M114" s="13">
        <v>6087917000</v>
      </c>
      <c r="N114" s="9" t="s">
        <v>67</v>
      </c>
      <c r="O114" s="6">
        <v>1</v>
      </c>
      <c r="P114" s="12">
        <v>9.0749390486667691E-2</v>
      </c>
      <c r="Q114" s="12">
        <v>3.9146558666946343E-2</v>
      </c>
      <c r="R114" s="14">
        <v>85</v>
      </c>
    </row>
    <row r="115" spans="2:18" x14ac:dyDescent="0.5">
      <c r="B115" s="1" t="s">
        <v>36</v>
      </c>
      <c r="C115" t="s">
        <v>100</v>
      </c>
      <c r="D115" t="s">
        <v>49</v>
      </c>
      <c r="E115">
        <v>39.299999999999997</v>
      </c>
      <c r="F115" s="9" t="s">
        <v>67</v>
      </c>
      <c r="G115" s="7">
        <v>167744765952</v>
      </c>
      <c r="H115" s="6">
        <v>119.9</v>
      </c>
      <c r="I115" s="6">
        <v>8.92</v>
      </c>
      <c r="J115" s="12">
        <f>E115/I115-1</f>
        <v>3.4058295964125556</v>
      </c>
      <c r="K115" s="11">
        <v>1.0254452926208652E-2</v>
      </c>
      <c r="L115" s="13">
        <v>3967214824.1399999</v>
      </c>
      <c r="M115" s="13">
        <v>41038539262.660004</v>
      </c>
      <c r="N115" s="9" t="s">
        <v>50</v>
      </c>
      <c r="O115" s="6">
        <v>1.0683760683760684</v>
      </c>
      <c r="P115" s="12">
        <v>2.9796696752661635E-2</v>
      </c>
      <c r="Q115" s="12">
        <v>9.6670468672106824E-2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11.48</v>
      </c>
      <c r="F116" s="9" t="s">
        <v>67</v>
      </c>
      <c r="G116" s="7">
        <v>200684158976</v>
      </c>
      <c r="H116" s="6">
        <v>12.85</v>
      </c>
      <c r="I116" s="6">
        <v>9.89</v>
      </c>
      <c r="J116" s="12">
        <f>E116/I116-1</f>
        <v>0.16076845298281084</v>
      </c>
      <c r="K116" s="11">
        <v>3.8327526132404179E-2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6.0326716189409664E-2</v>
      </c>
      <c r="Q116" s="12">
        <v>6.2161059386475759E-2</v>
      </c>
      <c r="R116" s="14">
        <v>87</v>
      </c>
    </row>
    <row r="117" spans="2:18" x14ac:dyDescent="0.5">
      <c r="B117" s="1" t="s">
        <v>788</v>
      </c>
      <c r="C117" t="s">
        <v>792</v>
      </c>
      <c r="D117" t="s">
        <v>790</v>
      </c>
      <c r="E117">
        <v>3.82</v>
      </c>
      <c r="F117" s="9" t="s">
        <v>67</v>
      </c>
      <c r="G117" s="7">
        <v>9555412992</v>
      </c>
      <c r="H117" s="6">
        <v>6.99</v>
      </c>
      <c r="I117" s="6">
        <v>3.73</v>
      </c>
      <c r="J117" s="12">
        <f>E117/I117-1</f>
        <v>2.4128686327077764E-2</v>
      </c>
      <c r="K117" s="11">
        <v>1.3089005235602096E-2</v>
      </c>
      <c r="L117" s="13">
        <v>744014000</v>
      </c>
      <c r="M117" s="13">
        <v>15832072000</v>
      </c>
      <c r="N117" s="9" t="s">
        <v>50</v>
      </c>
      <c r="O117" s="6">
        <v>1.0683760683760684</v>
      </c>
      <c r="P117" s="12">
        <v>7.1576335295033766E-2</v>
      </c>
      <c r="Q117" s="12">
        <v>4.6994101593272192E-2</v>
      </c>
      <c r="R117" s="14">
        <v>88</v>
      </c>
    </row>
    <row r="118" spans="2:18" x14ac:dyDescent="0.5">
      <c r="B118" s="1" t="s">
        <v>440</v>
      </c>
      <c r="C118" t="s">
        <v>445</v>
      </c>
      <c r="D118" t="s">
        <v>446</v>
      </c>
      <c r="E118">
        <v>2.17</v>
      </c>
      <c r="F118" s="9" t="s">
        <v>67</v>
      </c>
      <c r="G118" s="7">
        <v>23849758720</v>
      </c>
      <c r="H118" s="6">
        <v>2.64</v>
      </c>
      <c r="I118" s="6">
        <v>1.57</v>
      </c>
      <c r="J118" s="12">
        <f>E118/I118-1</f>
        <v>0.38216560509554132</v>
      </c>
      <c r="K118" s="11">
        <v>3.2258064516129038E-2</v>
      </c>
      <c r="L118" s="13">
        <v>1507922451</v>
      </c>
      <c r="M118" s="13">
        <v>27909411974</v>
      </c>
      <c r="N118" s="9" t="s">
        <v>50</v>
      </c>
      <c r="O118" s="6">
        <v>1.0683760683760684</v>
      </c>
      <c r="P118" s="12">
        <v>6.6769261372111477E-2</v>
      </c>
      <c r="Q118" s="12">
        <v>5.4029173112094174E-2</v>
      </c>
      <c r="R118" s="14">
        <v>89</v>
      </c>
    </row>
    <row r="119" spans="2:18" x14ac:dyDescent="0.5">
      <c r="B119" s="1" t="s">
        <v>30</v>
      </c>
      <c r="C119" t="s">
        <v>90</v>
      </c>
      <c r="D119" t="s">
        <v>91</v>
      </c>
      <c r="E119">
        <v>2.27</v>
      </c>
      <c r="F119" s="9" t="s">
        <v>67</v>
      </c>
      <c r="G119" s="7">
        <v>12399948800</v>
      </c>
      <c r="H119" s="6">
        <v>3.83</v>
      </c>
      <c r="I119" s="6">
        <v>1.24</v>
      </c>
      <c r="J119" s="12">
        <f>E119/I119-1</f>
        <v>0.83064516129032251</v>
      </c>
      <c r="K119" s="11">
        <v>1.4977973568281939E-2</v>
      </c>
      <c r="L119" s="13">
        <v>1384865000</v>
      </c>
      <c r="M119" s="13">
        <v>23827484000</v>
      </c>
      <c r="N119" s="9" t="s">
        <v>50</v>
      </c>
      <c r="O119" s="6">
        <v>1.0683760683760684</v>
      </c>
      <c r="P119" s="12">
        <v>6.292403152939588E-2</v>
      </c>
      <c r="Q119" s="12">
        <v>5.8120488088461209E-2</v>
      </c>
      <c r="R119" s="14">
        <v>89</v>
      </c>
    </row>
    <row r="120" spans="2:18" x14ac:dyDescent="0.5">
      <c r="B120" s="1" t="s">
        <v>857</v>
      </c>
      <c r="C120" t="s">
        <v>939</v>
      </c>
      <c r="D120" t="s">
        <v>423</v>
      </c>
      <c r="E120">
        <v>24.98</v>
      </c>
      <c r="F120" s="9" t="s">
        <v>67</v>
      </c>
      <c r="G120" s="7">
        <v>175127658496</v>
      </c>
      <c r="H120" s="6">
        <v>46.46</v>
      </c>
      <c r="I120" s="6">
        <v>18.7</v>
      </c>
      <c r="J120" s="12">
        <f>E120/I120-1</f>
        <v>0.33582887700534769</v>
      </c>
      <c r="K120" s="11">
        <v>1.6453162530024018E-2</v>
      </c>
      <c r="L120" s="13">
        <v>10046919000</v>
      </c>
      <c r="M120" s="13">
        <v>132576452000</v>
      </c>
      <c r="N120" s="9" t="s">
        <v>50</v>
      </c>
      <c r="O120" s="6">
        <v>1.0683760683760684</v>
      </c>
      <c r="P120" s="12">
        <v>5.1217979867150182E-2</v>
      </c>
      <c r="Q120" s="12">
        <v>7.5782077800664024E-2</v>
      </c>
      <c r="R120" s="14">
        <v>90</v>
      </c>
    </row>
    <row r="121" spans="2:18" x14ac:dyDescent="0.5">
      <c r="B121" s="1" t="s">
        <v>941</v>
      </c>
      <c r="C121" t="s">
        <v>942</v>
      </c>
      <c r="D121" t="s">
        <v>943</v>
      </c>
      <c r="E121">
        <v>49</v>
      </c>
      <c r="F121" s="9" t="s">
        <v>67</v>
      </c>
      <c r="G121" s="7">
        <v>156872278016</v>
      </c>
      <c r="H121" s="6">
        <v>71.7</v>
      </c>
      <c r="I121" s="6">
        <v>27.15</v>
      </c>
      <c r="J121" s="12">
        <f>E121/I121-1</f>
        <v>0.80478821362799269</v>
      </c>
      <c r="K121" s="11">
        <v>0</v>
      </c>
      <c r="L121" s="13">
        <v>4804870000</v>
      </c>
      <c r="M121" s="13">
        <v>55231156000</v>
      </c>
      <c r="N121" s="9" t="s">
        <v>50</v>
      </c>
      <c r="O121" s="6">
        <v>1.0683760683760684</v>
      </c>
      <c r="P121" s="12">
        <v>3.8605124726666384E-2</v>
      </c>
      <c r="Q121" s="12">
        <v>8.6995644270056557E-2</v>
      </c>
      <c r="R121" s="14">
        <v>90</v>
      </c>
    </row>
    <row r="122" spans="2:18" x14ac:dyDescent="0.5">
      <c r="B122" s="1" t="s">
        <v>26</v>
      </c>
      <c r="C122" t="s">
        <v>84</v>
      </c>
      <c r="D122" t="s">
        <v>85</v>
      </c>
      <c r="E122">
        <v>7.36</v>
      </c>
      <c r="F122" s="9" t="s">
        <v>67</v>
      </c>
      <c r="G122" s="7">
        <v>7681518592</v>
      </c>
      <c r="H122" s="6">
        <v>9.6</v>
      </c>
      <c r="I122" s="6">
        <v>5.5</v>
      </c>
      <c r="J122" s="12">
        <f>E122/I122-1</f>
        <v>0.33818181818181814</v>
      </c>
      <c r="K122" s="11">
        <v>1.3043478260869565E-2</v>
      </c>
      <c r="L122" s="13">
        <v>303335000</v>
      </c>
      <c r="M122" s="13">
        <v>3620162000</v>
      </c>
      <c r="N122" s="9" t="s">
        <v>67</v>
      </c>
      <c r="O122" s="6">
        <v>1</v>
      </c>
      <c r="P122" s="12">
        <v>4.6046628295418598E-2</v>
      </c>
      <c r="Q122" s="12">
        <v>8.3790449156695201E-2</v>
      </c>
      <c r="R122" s="14">
        <v>91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37</v>
      </c>
      <c r="F123" s="9" t="s">
        <v>67</v>
      </c>
      <c r="G123" s="7">
        <v>41007534080</v>
      </c>
      <c r="H123" s="6">
        <v>42.62</v>
      </c>
      <c r="I123" s="6">
        <v>17.8</v>
      </c>
      <c r="J123" s="12">
        <f>E123/I123-1</f>
        <v>1.0786516853932584</v>
      </c>
      <c r="K123" s="11">
        <v>3.3243243243243244E-2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6.5249674248862188E-2</v>
      </c>
      <c r="Q123" s="12">
        <v>4.7084186647510511E-2</v>
      </c>
      <c r="R123" s="14">
        <v>92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10.18</v>
      </c>
      <c r="F124" s="9" t="s">
        <v>67</v>
      </c>
      <c r="G124" s="7">
        <v>10839712768</v>
      </c>
      <c r="H124" s="6">
        <v>15.24</v>
      </c>
      <c r="I124" s="6">
        <v>9.11</v>
      </c>
      <c r="J124" s="12">
        <f>E124/I124-1</f>
        <v>0.11745334796926454</v>
      </c>
      <c r="K124" s="11">
        <v>3.4086444007858548E-2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4.6323698670392259E-2</v>
      </c>
      <c r="Q124" s="12">
        <v>7.3543833799631836E-2</v>
      </c>
      <c r="R124" s="14">
        <v>93</v>
      </c>
    </row>
    <row r="125" spans="2:18" x14ac:dyDescent="0.5">
      <c r="B125" s="1" t="s">
        <v>851</v>
      </c>
      <c r="C125" t="s">
        <v>938</v>
      </c>
      <c r="D125" t="s">
        <v>81</v>
      </c>
      <c r="E125">
        <v>23.18</v>
      </c>
      <c r="F125" s="9" t="s">
        <v>67</v>
      </c>
      <c r="G125" s="7">
        <v>224534577152</v>
      </c>
      <c r="H125" s="6">
        <v>27.16</v>
      </c>
      <c r="I125" s="6">
        <v>20.5</v>
      </c>
      <c r="J125" s="12">
        <f>E125/I125-1</f>
        <v>0.13073170731707306</v>
      </c>
      <c r="K125" s="11">
        <v>2.8904227782571183E-2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3.6010067148737057E-2</v>
      </c>
      <c r="Q125" s="12">
        <v>8.3390204265530732E-2</v>
      </c>
      <c r="R125" s="14">
        <v>94</v>
      </c>
    </row>
    <row r="126" spans="2:18" x14ac:dyDescent="0.5">
      <c r="B126" s="1" t="s">
        <v>375</v>
      </c>
      <c r="C126" t="s">
        <v>376</v>
      </c>
      <c r="D126" t="s">
        <v>83</v>
      </c>
      <c r="E126">
        <v>1.1499999999999999</v>
      </c>
      <c r="F126" s="9" t="s">
        <v>67</v>
      </c>
      <c r="G126" s="7">
        <v>6367128576</v>
      </c>
      <c r="H126" s="6">
        <v>2.99</v>
      </c>
      <c r="I126" s="6">
        <v>0.91</v>
      </c>
      <c r="J126" s="12">
        <f>E126/I126-1</f>
        <v>0.26373626373626369</v>
      </c>
      <c r="K126" s="11">
        <v>0</v>
      </c>
      <c r="L126" s="13">
        <v>429393000</v>
      </c>
      <c r="M126" s="13">
        <v>18333659000</v>
      </c>
      <c r="N126" s="9" t="s">
        <v>67</v>
      </c>
      <c r="O126" s="6">
        <v>1</v>
      </c>
      <c r="P126" s="12">
        <v>6.6220066405787884E-2</v>
      </c>
      <c r="Q126" s="12">
        <v>2.3421020321148112E-2</v>
      </c>
      <c r="R126" s="14">
        <v>95</v>
      </c>
    </row>
    <row r="127" spans="2:18" x14ac:dyDescent="0.5">
      <c r="B127" s="1" t="s">
        <v>850</v>
      </c>
      <c r="C127" t="s">
        <v>937</v>
      </c>
      <c r="D127" t="s">
        <v>81</v>
      </c>
      <c r="E127">
        <v>9.2100000000000009</v>
      </c>
      <c r="F127" s="9" t="s">
        <v>67</v>
      </c>
      <c r="G127" s="7">
        <v>102993248256</v>
      </c>
      <c r="H127" s="6">
        <v>10.67</v>
      </c>
      <c r="I127" s="6">
        <v>4.9000000000000004</v>
      </c>
      <c r="J127" s="12">
        <f>E127/I127-1</f>
        <v>0.87959183673469399</v>
      </c>
      <c r="K127" s="11">
        <v>5.4288816503800214E-2</v>
      </c>
      <c r="L127" s="13">
        <v>4954035759.4899998</v>
      </c>
      <c r="M127" s="13">
        <v>73975744359.850006</v>
      </c>
      <c r="N127" s="9" t="s">
        <v>50</v>
      </c>
      <c r="O127" s="6">
        <v>1.0683760683760684</v>
      </c>
      <c r="P127" s="12">
        <v>4.5246267015347688E-2</v>
      </c>
      <c r="Q127" s="12">
        <v>6.696838000563303E-2</v>
      </c>
      <c r="R127" s="14">
        <v>96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3.77</v>
      </c>
      <c r="F128" s="9" t="s">
        <v>67</v>
      </c>
      <c r="G128" s="7">
        <v>16192150528</v>
      </c>
      <c r="H128" s="6">
        <v>4.16</v>
      </c>
      <c r="I128" s="6">
        <v>1.93</v>
      </c>
      <c r="J128" s="12">
        <f>E128/I128-1</f>
        <v>0.95336787564766845</v>
      </c>
      <c r="K128" s="11">
        <v>4.2175066312997347E-2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5.279129029497219E-2</v>
      </c>
      <c r="Q128" s="12">
        <v>3.8781191586606881E-2</v>
      </c>
      <c r="R128" s="14">
        <v>97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11.36</v>
      </c>
      <c r="F129" s="9" t="s">
        <v>67</v>
      </c>
      <c r="G129" s="7">
        <v>107743854592</v>
      </c>
      <c r="H129" s="6">
        <v>13.3</v>
      </c>
      <c r="I129" s="6">
        <v>7.31</v>
      </c>
      <c r="J129" s="12">
        <f>E129/I129-1</f>
        <v>0.55403556771545825</v>
      </c>
      <c r="K129" s="11">
        <v>5.1056338028169015E-2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4.1815117641791313E-2</v>
      </c>
      <c r="Q129" s="12">
        <v>2.6302501987777345E-2</v>
      </c>
      <c r="R129" s="14">
        <v>98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62.2</v>
      </c>
      <c r="F130" s="9" t="s">
        <v>67</v>
      </c>
      <c r="G130" s="7">
        <v>616277147648</v>
      </c>
      <c r="H130" s="6">
        <v>93.5</v>
      </c>
      <c r="I130" s="6">
        <v>37</v>
      </c>
      <c r="J130" s="12">
        <f>E130/I130-1</f>
        <v>0.68108108108108123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1.1529606752195595E-2</v>
      </c>
      <c r="Q130" s="12">
        <v>3.0575487595734537E-2</v>
      </c>
      <c r="R130" s="14">
        <v>99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18.45</v>
      </c>
      <c r="F131" s="9" t="s">
        <v>67</v>
      </c>
      <c r="G131" s="7">
        <v>18948302848</v>
      </c>
      <c r="H131" s="6">
        <v>23.3</v>
      </c>
      <c r="I131" s="6">
        <v>11.6</v>
      </c>
      <c r="J131" s="12">
        <f>E131/I131-1</f>
        <v>0.59051724137931028</v>
      </c>
      <c r="K131" s="11">
        <v>5.8536585365853662E-2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2.2415445157575854E-2</v>
      </c>
      <c r="Q131" s="12">
        <v>9.6523581574197593E-3</v>
      </c>
      <c r="R131" s="14">
        <v>100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29.76</v>
      </c>
      <c r="F132" s="9" t="s">
        <v>67</v>
      </c>
      <c r="G132" s="7">
        <v>30399105024</v>
      </c>
      <c r="H132" s="6">
        <v>46.88</v>
      </c>
      <c r="I132" s="6">
        <v>22.4</v>
      </c>
      <c r="J132" s="12">
        <f>E132/I132-1</f>
        <v>0.32857142857142874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-3.5618973807490344E-3</v>
      </c>
      <c r="Q132" s="12">
        <v>-4.9151971480384084E-3</v>
      </c>
      <c r="R132" s="14">
        <v>101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1.5</v>
      </c>
      <c r="F133" s="9" t="s">
        <v>67</v>
      </c>
      <c r="G133" s="7">
        <v>950830976</v>
      </c>
      <c r="H133" s="6">
        <v>1.98</v>
      </c>
      <c r="I133" s="6">
        <v>1.19</v>
      </c>
      <c r="J133" s="12">
        <f>E133/I133-1</f>
        <v>0.26050420168067223</v>
      </c>
      <c r="K133" s="11">
        <v>9.3333333333333338E-2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-4.6299400290246463E-2</v>
      </c>
      <c r="Q133" s="12">
        <v>-1.1398571772580687E-2</v>
      </c>
      <c r="R133" s="14">
        <v>102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197.2</v>
      </c>
      <c r="F134" s="9" t="s">
        <v>67</v>
      </c>
      <c r="G134" s="7">
        <v>80370245632</v>
      </c>
      <c r="H134" s="6">
        <v>285.60000000000002</v>
      </c>
      <c r="I134" s="6">
        <v>113.6</v>
      </c>
      <c r="J134" s="12">
        <f>E134/I134-1</f>
        <v>0.7359154929577465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-1.8721170126122517E-2</v>
      </c>
      <c r="Q134" s="12">
        <v>-6.9202665106169181E-2</v>
      </c>
      <c r="R134" s="14">
        <v>102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36.979999999999997</v>
      </c>
      <c r="F135" s="9" t="s">
        <v>67</v>
      </c>
      <c r="G135" s="7">
        <v>96108765184</v>
      </c>
      <c r="H135" s="6">
        <v>45.05</v>
      </c>
      <c r="I135" s="6">
        <v>32.65</v>
      </c>
      <c r="J135" s="12">
        <f>E135/I135-1</f>
        <v>0.13261868300153146</v>
      </c>
      <c r="K135" s="11">
        <v>7.1471065440778803E-2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-4.6205373368977294E-2</v>
      </c>
      <c r="Q135" s="12">
        <v>-3.1158435700487111E-2</v>
      </c>
      <c r="R135" s="14">
        <v>102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2.65</v>
      </c>
      <c r="F136" s="9" t="s">
        <v>67</v>
      </c>
      <c r="G136" s="7">
        <v>15537579008</v>
      </c>
      <c r="H136" s="6">
        <v>4.34</v>
      </c>
      <c r="I136" s="6">
        <v>2.5</v>
      </c>
      <c r="J136" s="12">
        <f>E136/I136-1</f>
        <v>6.0000000000000053E-2</v>
      </c>
      <c r="K136" s="11">
        <v>5.2830188679245292E-2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-7.4884001883234255E-2</v>
      </c>
      <c r="Q136" s="12">
        <v>-9.0062563772426163E-2</v>
      </c>
      <c r="R136" s="14">
        <v>103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33.700000000000003</v>
      </c>
      <c r="F137" s="9" t="s">
        <v>67</v>
      </c>
      <c r="G137" s="7">
        <v>90283376640</v>
      </c>
      <c r="H137" s="6">
        <v>35.6</v>
      </c>
      <c r="I137" s="6">
        <v>15.7</v>
      </c>
      <c r="J137" s="12">
        <f>E137/I137-1</f>
        <v>1.1464968152866244</v>
      </c>
      <c r="K137" s="11">
        <v>8.9020771513353102E-3</v>
      </c>
      <c r="M137" s="13">
        <v>2571093000</v>
      </c>
      <c r="N137" s="9" t="s">
        <v>71</v>
      </c>
      <c r="O137" s="6">
        <v>7.6923076923076916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401.6</v>
      </c>
      <c r="F138" s="9" t="s">
        <v>67</v>
      </c>
      <c r="G138" s="7">
        <v>262487146496</v>
      </c>
      <c r="H138" s="6">
        <v>613</v>
      </c>
      <c r="I138" s="6">
        <v>388.2</v>
      </c>
      <c r="J138" s="12">
        <f>E138/I138-1</f>
        <v>3.4518289541473512E-2</v>
      </c>
      <c r="K138" s="11">
        <v>0</v>
      </c>
      <c r="M138" s="13">
        <v>182117000000</v>
      </c>
      <c r="N138" s="9" t="s">
        <v>50</v>
      </c>
      <c r="O138" s="6">
        <v>1.0683760683760684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7.49</v>
      </c>
      <c r="F139" s="9" t="s">
        <v>67</v>
      </c>
      <c r="G139" s="7">
        <v>99001565184</v>
      </c>
      <c r="H139" s="6">
        <v>9.83</v>
      </c>
      <c r="I139" s="6">
        <v>7.41</v>
      </c>
      <c r="J139" s="12">
        <f>E139/I139-1</f>
        <v>1.0796221322537214E-2</v>
      </c>
      <c r="K139" s="11">
        <v>7.6101468624833113E-3</v>
      </c>
      <c r="M139" s="13">
        <v>10278000000</v>
      </c>
      <c r="N139" s="9" t="s">
        <v>71</v>
      </c>
      <c r="O139" s="6">
        <v>7.6923076923076916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182.4</v>
      </c>
      <c r="F140" s="9" t="s">
        <v>67</v>
      </c>
      <c r="G140" s="7">
        <v>587778228224</v>
      </c>
      <c r="H140" s="6">
        <v>248</v>
      </c>
      <c r="I140" s="6">
        <v>131.9</v>
      </c>
      <c r="J140" s="12">
        <f>E140/I140-1</f>
        <v>0.3828658074298712</v>
      </c>
      <c r="K140" s="11">
        <v>2.2817982456140348E-2</v>
      </c>
      <c r="M140" s="13">
        <v>150918654000</v>
      </c>
      <c r="N140" s="9" t="s">
        <v>50</v>
      </c>
      <c r="O140" s="6">
        <v>1.0683760683760684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12.36</v>
      </c>
      <c r="F141" s="9" t="s">
        <v>67</v>
      </c>
      <c r="G141" s="7">
        <v>93692018688</v>
      </c>
      <c r="H141" s="6">
        <v>12.95</v>
      </c>
      <c r="I141" s="6">
        <v>10</v>
      </c>
      <c r="J141" s="12">
        <f>E141/I141-1</f>
        <v>0.23599999999999999</v>
      </c>
      <c r="K141" s="11">
        <v>6.6181229773462788E-2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6.79</v>
      </c>
      <c r="F142" s="9" t="s">
        <v>67</v>
      </c>
      <c r="G142" s="7">
        <v>672180469760</v>
      </c>
      <c r="H142" s="6">
        <v>7.62</v>
      </c>
      <c r="I142" s="6">
        <v>6.28</v>
      </c>
      <c r="J142" s="12">
        <f>E142/I142-1</f>
        <v>8.1210191082802474E-2</v>
      </c>
      <c r="K142" s="11">
        <v>7.8792341678939615E-2</v>
      </c>
      <c r="M142" s="13">
        <v>2314289000000</v>
      </c>
      <c r="N142" s="9" t="s">
        <v>50</v>
      </c>
      <c r="O142" s="6">
        <v>1.0683760683760684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4.97</v>
      </c>
      <c r="F143" s="9" t="s">
        <v>67</v>
      </c>
      <c r="G143" s="7">
        <v>672234668032</v>
      </c>
      <c r="H143" s="6">
        <v>5.95</v>
      </c>
      <c r="I143" s="6">
        <v>4.3600000000000003</v>
      </c>
      <c r="J143" s="12">
        <f>E143/I143-1</f>
        <v>0.13990825688073372</v>
      </c>
      <c r="K143" s="11">
        <v>4.768611670020121E-2</v>
      </c>
      <c r="M143" s="13">
        <v>1271649000000</v>
      </c>
      <c r="N143" s="9" t="s">
        <v>50</v>
      </c>
      <c r="O143" s="6">
        <v>1.0683760683760684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6.33</v>
      </c>
      <c r="F144" s="9" t="s">
        <v>67</v>
      </c>
      <c r="G144" s="7">
        <v>2828422348800</v>
      </c>
      <c r="H144" s="6">
        <v>6.66</v>
      </c>
      <c r="I144" s="6">
        <v>4.8600000000000003</v>
      </c>
      <c r="J144" s="12">
        <f>E144/I144-1</f>
        <v>0.30246913580246915</v>
      </c>
      <c r="K144" s="11">
        <v>4.8341232227488151E-2</v>
      </c>
      <c r="M144" s="13">
        <v>6434377000000</v>
      </c>
      <c r="N144" s="9" t="s">
        <v>50</v>
      </c>
      <c r="O144" s="6">
        <v>1.0683760683760684</v>
      </c>
    </row>
    <row r="145" spans="2:15" x14ac:dyDescent="0.5">
      <c r="B145" s="1" t="s">
        <v>203</v>
      </c>
      <c r="C145" t="s">
        <v>230</v>
      </c>
      <c r="D145" t="s">
        <v>227</v>
      </c>
      <c r="E145">
        <v>7.91</v>
      </c>
      <c r="F145" s="9" t="s">
        <v>67</v>
      </c>
      <c r="G145" s="7">
        <v>2120258027520</v>
      </c>
      <c r="H145" s="6">
        <v>8.56</v>
      </c>
      <c r="I145" s="6">
        <v>6.02</v>
      </c>
      <c r="J145" s="12">
        <f>E145/I145-1</f>
        <v>0.31395348837209314</v>
      </c>
      <c r="K145" s="11">
        <v>4.9557522123893805E-2</v>
      </c>
      <c r="M145" s="13">
        <v>6128626000000</v>
      </c>
      <c r="N145" s="9" t="s">
        <v>50</v>
      </c>
      <c r="O145" s="6">
        <v>1.0683760683760684</v>
      </c>
    </row>
    <row r="146" spans="2:15" x14ac:dyDescent="0.5">
      <c r="B146" s="1" t="s">
        <v>204</v>
      </c>
      <c r="C146" t="s">
        <v>231</v>
      </c>
      <c r="D146" t="s">
        <v>225</v>
      </c>
      <c r="E146">
        <v>7.13</v>
      </c>
      <c r="F146" s="9" t="s">
        <v>67</v>
      </c>
      <c r="G146" s="7">
        <v>467541098496</v>
      </c>
      <c r="H146" s="6">
        <v>8.1199999999999992</v>
      </c>
      <c r="I146" s="6">
        <v>5.44</v>
      </c>
      <c r="J146" s="12">
        <f>E146/I146-1</f>
        <v>0.31066176470588225</v>
      </c>
      <c r="K146" s="11">
        <v>5.0210378681626928E-2</v>
      </c>
      <c r="M146" s="13">
        <v>2066897000000</v>
      </c>
      <c r="N146" s="9" t="s">
        <v>50</v>
      </c>
      <c r="O146" s="6">
        <v>1.0683760683760684</v>
      </c>
    </row>
    <row r="147" spans="2:15" x14ac:dyDescent="0.5">
      <c r="B147" s="1" t="s">
        <v>199</v>
      </c>
      <c r="C147" t="s">
        <v>224</v>
      </c>
      <c r="D147" t="s">
        <v>225</v>
      </c>
      <c r="E147">
        <v>40.64</v>
      </c>
      <c r="F147" s="9" t="s">
        <v>67</v>
      </c>
      <c r="G147" s="7">
        <v>429677805568</v>
      </c>
      <c r="H147" s="6">
        <v>44.9</v>
      </c>
      <c r="I147" s="6">
        <v>27.75</v>
      </c>
      <c r="J147" s="12">
        <f>E147/I147-1</f>
        <v>0.46450450450450442</v>
      </c>
      <c r="K147" s="11">
        <v>4.9187992125984251E-2</v>
      </c>
      <c r="M147" s="13">
        <v>415994000000</v>
      </c>
      <c r="N147" s="9" t="s">
        <v>67</v>
      </c>
      <c r="O147" s="6">
        <v>1</v>
      </c>
    </row>
    <row r="148" spans="2:15" x14ac:dyDescent="0.5">
      <c r="B148" s="1" t="s">
        <v>795</v>
      </c>
      <c r="C148" t="s">
        <v>798</v>
      </c>
      <c r="D148" t="s">
        <v>65</v>
      </c>
      <c r="E148">
        <v>13.38</v>
      </c>
      <c r="F148" s="9" t="s">
        <v>67</v>
      </c>
      <c r="G148" s="7">
        <v>36012642304</v>
      </c>
      <c r="H148" s="6">
        <v>14.8</v>
      </c>
      <c r="I148" s="6">
        <v>10.6</v>
      </c>
      <c r="J148" s="12">
        <f>E148/I148-1</f>
        <v>0.26226415094339628</v>
      </c>
      <c r="K148" s="11">
        <v>0</v>
      </c>
      <c r="N148" s="9" t="s">
        <v>50</v>
      </c>
      <c r="O148" s="6">
        <v>1.0683760683760684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opLeftCell="A137" zoomScaleNormal="100" workbookViewId="0">
      <selection activeCell="B149" sqref="B14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102.08</v>
      </c>
      <c r="F2" s="9" t="s">
        <v>50</v>
      </c>
      <c r="G2" s="7">
        <v>396234555392</v>
      </c>
      <c r="H2" s="6">
        <v>142.96</v>
      </c>
      <c r="I2" s="6">
        <v>100.5</v>
      </c>
      <c r="J2" s="12">
        <f t="shared" ref="J2:J33" si="0">E2/I2-1</f>
        <v>1.5721393034825892E-2</v>
      </c>
      <c r="K2" s="11">
        <v>5.629898119122257E-2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0.16393729061637816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15.94</v>
      </c>
      <c r="F3" s="9" t="s">
        <v>50</v>
      </c>
      <c r="G3" s="7">
        <v>244520730624</v>
      </c>
      <c r="H3" s="6">
        <v>16.98</v>
      </c>
      <c r="I3" s="6">
        <v>12.74</v>
      </c>
      <c r="J3" s="12">
        <f t="shared" si="0"/>
        <v>0.25117739403453676</v>
      </c>
      <c r="K3" s="11">
        <v>9.9749058971141794E-2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0.51367976941580673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104.7</v>
      </c>
      <c r="F4" s="9" t="s">
        <v>50</v>
      </c>
      <c r="G4" s="7">
        <v>154038730752</v>
      </c>
      <c r="H4" s="6">
        <v>146.72</v>
      </c>
      <c r="I4" s="6">
        <v>103</v>
      </c>
      <c r="J4" s="12">
        <f t="shared" si="0"/>
        <v>1.650485436893212E-2</v>
      </c>
      <c r="K4" s="11">
        <v>5.6829035339063992E-2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0.14233630604691322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56.71</v>
      </c>
      <c r="F5" s="9" t="s">
        <v>50</v>
      </c>
      <c r="G5" s="7">
        <v>27446005760</v>
      </c>
      <c r="H5" s="6">
        <v>60.5</v>
      </c>
      <c r="I5" s="6">
        <v>51.7</v>
      </c>
      <c r="J5" s="12">
        <f t="shared" si="0"/>
        <v>9.6905222437137395E-2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0.11032306174041503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19.309999999999999</v>
      </c>
      <c r="F6" s="9" t="s">
        <v>50</v>
      </c>
      <c r="G6" s="7">
        <v>11129761792</v>
      </c>
      <c r="H6" s="6">
        <v>21.73</v>
      </c>
      <c r="I6" s="6">
        <v>14.43</v>
      </c>
      <c r="J6" s="12">
        <f t="shared" si="0"/>
        <v>0.33818433818433813</v>
      </c>
      <c r="K6" s="11">
        <v>4.6607975142413265E-2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0.11500072050202235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157.09</v>
      </c>
      <c r="F7" s="9" t="s">
        <v>50</v>
      </c>
      <c r="G7" s="7">
        <v>191644172288</v>
      </c>
      <c r="H7" s="6">
        <v>228.93</v>
      </c>
      <c r="I7" s="6">
        <v>155.11000000000001</v>
      </c>
      <c r="J7" s="12">
        <f t="shared" si="0"/>
        <v>1.276513442073357E-2</v>
      </c>
      <c r="K7" s="11">
        <v>2.2916799287032909E-2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8.9091167851470476E-2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47.77</v>
      </c>
      <c r="F8" s="9" t="s">
        <v>50</v>
      </c>
      <c r="G8" s="7">
        <v>55747592192</v>
      </c>
      <c r="H8" s="6">
        <v>66.5</v>
      </c>
      <c r="I8" s="6">
        <v>46.16</v>
      </c>
      <c r="J8" s="12">
        <f t="shared" si="0"/>
        <v>3.4878682842287789E-2</v>
      </c>
      <c r="K8" s="11">
        <v>6.9081013188193416E-2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9.8462503064408416E-2</v>
      </c>
      <c r="Q8" s="12">
        <v>0.28161238133025857</v>
      </c>
      <c r="R8" s="14">
        <v>6</v>
      </c>
    </row>
    <row r="9" spans="2:22" x14ac:dyDescent="0.5">
      <c r="B9" s="1" t="s">
        <v>827</v>
      </c>
      <c r="C9" t="s">
        <v>898</v>
      </c>
      <c r="D9" t="s">
        <v>53</v>
      </c>
      <c r="E9">
        <v>44.17</v>
      </c>
      <c r="F9" s="9" t="s">
        <v>50</v>
      </c>
      <c r="G9" s="7">
        <v>35410624512</v>
      </c>
      <c r="H9" s="6">
        <v>60.18</v>
      </c>
      <c r="I9" s="6">
        <v>42.55</v>
      </c>
      <c r="J9" s="12">
        <f t="shared" si="0"/>
        <v>3.8072855464159838E-2</v>
      </c>
      <c r="K9" s="11">
        <v>0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8.2467999643461617E-2</v>
      </c>
      <c r="Q9" s="12">
        <v>0.42567679486395837</v>
      </c>
      <c r="R9" s="14">
        <v>7</v>
      </c>
    </row>
    <row r="10" spans="2:22" x14ac:dyDescent="0.5">
      <c r="B10" s="1" t="s">
        <v>348</v>
      </c>
      <c r="C10" t="s">
        <v>369</v>
      </c>
      <c r="D10" t="s">
        <v>58</v>
      </c>
      <c r="E10">
        <v>51.14</v>
      </c>
      <c r="F10" s="9" t="s">
        <v>50</v>
      </c>
      <c r="G10" s="7">
        <v>77039599616</v>
      </c>
      <c r="H10" s="6">
        <v>79.849999999999994</v>
      </c>
      <c r="I10" s="6">
        <v>50.14</v>
      </c>
      <c r="J10" s="12">
        <f t="shared" si="0"/>
        <v>1.9944156362185828E-2</v>
      </c>
      <c r="K10" s="11">
        <v>4.5307000391083305E-2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0.16526016350097716</v>
      </c>
      <c r="Q10" s="12">
        <v>0.177326845853752</v>
      </c>
      <c r="R10" s="14">
        <v>8</v>
      </c>
    </row>
    <row r="11" spans="2:22" x14ac:dyDescent="0.5">
      <c r="B11" s="1" t="s">
        <v>510</v>
      </c>
      <c r="C11" t="s">
        <v>549</v>
      </c>
      <c r="D11" t="s">
        <v>96</v>
      </c>
      <c r="E11">
        <v>5.03</v>
      </c>
      <c r="F11" s="9" t="s">
        <v>50</v>
      </c>
      <c r="G11" s="7">
        <v>157260070912</v>
      </c>
      <c r="H11" s="6">
        <v>6.37</v>
      </c>
      <c r="I11" s="6">
        <v>4.78</v>
      </c>
      <c r="J11" s="12">
        <f t="shared" si="0"/>
        <v>5.230125523012541E-2</v>
      </c>
      <c r="K11" s="11">
        <v>3.4592445328031803E-2</v>
      </c>
      <c r="L11" s="13">
        <v>25203382526</v>
      </c>
      <c r="M11" s="13">
        <v>167684980370</v>
      </c>
      <c r="N11" s="9" t="s">
        <v>50</v>
      </c>
      <c r="O11" s="6">
        <v>1</v>
      </c>
      <c r="P11" s="12">
        <v>0.17532109007743032</v>
      </c>
      <c r="Q11" s="12">
        <v>0.15030196783509336</v>
      </c>
      <c r="R11" s="14">
        <v>9</v>
      </c>
    </row>
    <row r="12" spans="2:22" x14ac:dyDescent="0.5">
      <c r="B12" s="1" t="s">
        <v>487</v>
      </c>
      <c r="C12" t="s">
        <v>521</v>
      </c>
      <c r="D12" t="s">
        <v>78</v>
      </c>
      <c r="E12">
        <v>49.1</v>
      </c>
      <c r="F12" s="9" t="s">
        <v>50</v>
      </c>
      <c r="G12" s="7">
        <v>975544320000</v>
      </c>
      <c r="H12" s="6">
        <v>49.59</v>
      </c>
      <c r="I12" s="6">
        <v>35.93</v>
      </c>
      <c r="J12" s="12">
        <f t="shared" si="0"/>
        <v>0.36654606178680771</v>
      </c>
      <c r="K12" s="11">
        <v>6.5987780040733204E-2</v>
      </c>
      <c r="L12" s="13">
        <v>88468000000</v>
      </c>
      <c r="M12" s="13">
        <v>456835000000</v>
      </c>
      <c r="N12" s="9" t="s">
        <v>50</v>
      </c>
      <c r="O12" s="6">
        <v>1</v>
      </c>
      <c r="P12" s="12">
        <v>0.10093356588928304</v>
      </c>
      <c r="Q12" s="12">
        <v>0.19365416397605262</v>
      </c>
      <c r="R12" s="14">
        <v>10</v>
      </c>
    </row>
    <row r="13" spans="2:22" x14ac:dyDescent="0.5">
      <c r="B13" s="1" t="s">
        <v>832</v>
      </c>
      <c r="C13" t="s">
        <v>903</v>
      </c>
      <c r="D13" t="s">
        <v>87</v>
      </c>
      <c r="E13">
        <v>25.9</v>
      </c>
      <c r="F13" s="9" t="s">
        <v>50</v>
      </c>
      <c r="G13" s="7">
        <v>23853131776</v>
      </c>
      <c r="H13" s="6">
        <v>36</v>
      </c>
      <c r="I13" s="6">
        <v>25.62</v>
      </c>
      <c r="J13" s="12">
        <f t="shared" si="0"/>
        <v>1.0928961748633892E-2</v>
      </c>
      <c r="K13" s="11">
        <v>3.8610038610038609E-2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9.4115613499551803E-2</v>
      </c>
      <c r="Q13" s="12">
        <v>0.1996980566097098</v>
      </c>
      <c r="R13" s="14">
        <v>11</v>
      </c>
    </row>
    <row r="14" spans="2:22" x14ac:dyDescent="0.5">
      <c r="B14" s="1" t="s">
        <v>831</v>
      </c>
      <c r="C14" t="s">
        <v>902</v>
      </c>
      <c r="D14" t="s">
        <v>236</v>
      </c>
      <c r="E14">
        <v>43.64</v>
      </c>
      <c r="F14" s="9" t="s">
        <v>50</v>
      </c>
      <c r="G14" s="7">
        <v>78897168384</v>
      </c>
      <c r="H14" s="6">
        <v>54.364285000000002</v>
      </c>
      <c r="I14" s="6">
        <v>40.799999999999997</v>
      </c>
      <c r="J14" s="12">
        <f t="shared" si="0"/>
        <v>6.9607843137255099E-2</v>
      </c>
      <c r="K14" s="11">
        <v>3.9275893675527036E-2</v>
      </c>
      <c r="L14" s="13">
        <v>5098098840.4899998</v>
      </c>
      <c r="M14" s="13">
        <v>16148779445.83</v>
      </c>
      <c r="N14" s="9" t="s">
        <v>50</v>
      </c>
      <c r="O14" s="6">
        <v>1</v>
      </c>
      <c r="P14" s="12">
        <v>6.871548750277845E-2</v>
      </c>
      <c r="Q14" s="12">
        <v>0.31569561387541584</v>
      </c>
      <c r="R14" s="14">
        <v>11</v>
      </c>
    </row>
    <row r="15" spans="2:22" x14ac:dyDescent="0.5">
      <c r="B15" s="1" t="s">
        <v>848</v>
      </c>
      <c r="C15" t="s">
        <v>920</v>
      </c>
      <c r="D15" t="s">
        <v>81</v>
      </c>
      <c r="E15">
        <v>26.59</v>
      </c>
      <c r="F15" s="9" t="s">
        <v>50</v>
      </c>
      <c r="G15" s="7">
        <v>34827902976</v>
      </c>
      <c r="H15" s="6">
        <v>31.43</v>
      </c>
      <c r="I15" s="6">
        <v>15.91</v>
      </c>
      <c r="J15" s="12">
        <f t="shared" si="0"/>
        <v>0.67127592708988049</v>
      </c>
      <c r="K15" s="11">
        <v>2.632568634825122E-2</v>
      </c>
      <c r="L15" s="13">
        <v>2479639074.9099998</v>
      </c>
      <c r="M15" s="13">
        <v>10550354517.950001</v>
      </c>
      <c r="N15" s="9" t="s">
        <v>50</v>
      </c>
      <c r="O15" s="6">
        <v>1</v>
      </c>
      <c r="P15" s="12">
        <v>7.7780050590034802E-2</v>
      </c>
      <c r="Q15" s="12">
        <v>0.23502898131918026</v>
      </c>
      <c r="R15" s="14">
        <v>12</v>
      </c>
    </row>
    <row r="16" spans="2:22" x14ac:dyDescent="0.5">
      <c r="B16" s="1" t="s">
        <v>856</v>
      </c>
      <c r="C16" t="s">
        <v>926</v>
      </c>
      <c r="D16" t="s">
        <v>927</v>
      </c>
      <c r="E16">
        <v>6.79</v>
      </c>
      <c r="F16" s="9" t="s">
        <v>50</v>
      </c>
      <c r="G16" s="7">
        <v>98062540800</v>
      </c>
      <c r="H16" s="6">
        <v>8.76</v>
      </c>
      <c r="I16" s="6">
        <v>6.36</v>
      </c>
      <c r="J16" s="12">
        <f t="shared" si="0"/>
        <v>6.7610062893081802E-2</v>
      </c>
      <c r="K16" s="11">
        <v>5.5964653902798235E-2</v>
      </c>
      <c r="L16" s="13">
        <v>6174054517.6599998</v>
      </c>
      <c r="M16" s="13">
        <v>17128919583.290001</v>
      </c>
      <c r="N16" s="9" t="s">
        <v>50</v>
      </c>
      <c r="O16" s="6">
        <v>1</v>
      </c>
      <c r="P16" s="12">
        <v>6.3335920643562416E-2</v>
      </c>
      <c r="Q16" s="12">
        <v>0.36044623174499901</v>
      </c>
      <c r="R16" s="14">
        <v>13</v>
      </c>
    </row>
    <row r="17" spans="2:18" x14ac:dyDescent="0.5">
      <c r="B17" s="1" t="s">
        <v>829</v>
      </c>
      <c r="C17" t="s">
        <v>900</v>
      </c>
      <c r="D17" t="s">
        <v>85</v>
      </c>
      <c r="E17">
        <v>27.78</v>
      </c>
      <c r="F17" s="9" t="s">
        <v>50</v>
      </c>
      <c r="G17" s="7">
        <v>96248291328</v>
      </c>
      <c r="H17" s="6">
        <v>28</v>
      </c>
      <c r="I17" s="6">
        <v>24.06</v>
      </c>
      <c r="J17" s="12">
        <f t="shared" si="0"/>
        <v>0.15461346633416473</v>
      </c>
      <c r="K17" s="11">
        <v>5.0395968322534193E-2</v>
      </c>
      <c r="L17" s="13">
        <v>6845547752.3999996</v>
      </c>
      <c r="M17" s="13">
        <v>29027023862.98</v>
      </c>
      <c r="N17" s="9" t="s">
        <v>50</v>
      </c>
      <c r="O17" s="6">
        <v>1</v>
      </c>
      <c r="P17" s="12">
        <v>6.9411016696352357E-2</v>
      </c>
      <c r="Q17" s="12">
        <v>0.23583360749327664</v>
      </c>
      <c r="R17" s="14">
        <v>14</v>
      </c>
    </row>
    <row r="18" spans="2:18" x14ac:dyDescent="0.5">
      <c r="B18" s="1" t="s">
        <v>485</v>
      </c>
      <c r="C18" t="s">
        <v>519</v>
      </c>
      <c r="D18" t="s">
        <v>233</v>
      </c>
      <c r="E18">
        <v>12.3</v>
      </c>
      <c r="F18" s="9" t="s">
        <v>50</v>
      </c>
      <c r="G18" s="7">
        <v>2251158192128</v>
      </c>
      <c r="H18" s="6">
        <v>13.69</v>
      </c>
      <c r="I18" s="6">
        <v>7.33</v>
      </c>
      <c r="J18" s="12">
        <f t="shared" si="0"/>
        <v>0.67803547066848568</v>
      </c>
      <c r="K18" s="11">
        <v>3.8211382113821135E-2</v>
      </c>
      <c r="L18" s="13">
        <v>262233000000</v>
      </c>
      <c r="M18" s="13">
        <v>1659398000000</v>
      </c>
      <c r="N18" s="9" t="s">
        <v>50</v>
      </c>
      <c r="O18" s="6">
        <v>1</v>
      </c>
      <c r="P18" s="12">
        <v>0.10969043701891848</v>
      </c>
      <c r="Q18" s="12">
        <v>0.15802899605760642</v>
      </c>
      <c r="R18" s="14">
        <v>15</v>
      </c>
    </row>
    <row r="19" spans="2:18" x14ac:dyDescent="0.5">
      <c r="B19" s="1" t="s">
        <v>488</v>
      </c>
      <c r="C19" t="s">
        <v>522</v>
      </c>
      <c r="D19" t="s">
        <v>78</v>
      </c>
      <c r="E19">
        <v>19.13</v>
      </c>
      <c r="F19" s="9" t="s">
        <v>50</v>
      </c>
      <c r="G19" s="7">
        <v>253638213632</v>
      </c>
      <c r="H19" s="6">
        <v>19.190000000000001</v>
      </c>
      <c r="I19" s="6">
        <v>9.42</v>
      </c>
      <c r="J19" s="12">
        <f t="shared" si="0"/>
        <v>1.0307855626326963</v>
      </c>
      <c r="K19" s="11">
        <v>2.2164140094093048E-2</v>
      </c>
      <c r="L19" s="13">
        <v>32866046000</v>
      </c>
      <c r="M19" s="13">
        <v>215280386000</v>
      </c>
      <c r="N19" s="9" t="s">
        <v>50</v>
      </c>
      <c r="O19" s="6">
        <v>1</v>
      </c>
      <c r="P19" s="12">
        <v>0.11403603543374685</v>
      </c>
      <c r="Q19" s="12">
        <v>0.15266623500015464</v>
      </c>
      <c r="R19" s="14">
        <v>16</v>
      </c>
    </row>
    <row r="20" spans="2:18" x14ac:dyDescent="0.5">
      <c r="B20" s="1" t="s">
        <v>350</v>
      </c>
      <c r="C20" t="s">
        <v>371</v>
      </c>
      <c r="D20" t="s">
        <v>85</v>
      </c>
      <c r="E20">
        <v>22.43</v>
      </c>
      <c r="F20" s="9" t="s">
        <v>50</v>
      </c>
      <c r="G20" s="7">
        <v>11346332672</v>
      </c>
      <c r="H20" s="6">
        <v>28.1</v>
      </c>
      <c r="I20" s="6">
        <v>20.87</v>
      </c>
      <c r="J20" s="12">
        <f t="shared" si="0"/>
        <v>7.4748442740776078E-2</v>
      </c>
      <c r="K20" s="11">
        <v>4.4583147570218459E-2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0.12553327633720693</v>
      </c>
      <c r="Q20" s="12">
        <v>0.14359699139283291</v>
      </c>
      <c r="R20" s="14">
        <v>17</v>
      </c>
    </row>
    <row r="21" spans="2:18" x14ac:dyDescent="0.5">
      <c r="B21" s="1" t="s">
        <v>817</v>
      </c>
      <c r="C21" t="s">
        <v>887</v>
      </c>
      <c r="D21" t="s">
        <v>294</v>
      </c>
      <c r="E21">
        <v>21.05</v>
      </c>
      <c r="F21" s="9" t="s">
        <v>50</v>
      </c>
      <c r="G21" s="7">
        <v>452558979072</v>
      </c>
      <c r="H21" s="6">
        <v>28.78</v>
      </c>
      <c r="I21" s="6">
        <v>5.91</v>
      </c>
      <c r="J21" s="12">
        <f t="shared" si="0"/>
        <v>2.5617597292724197</v>
      </c>
      <c r="K21" s="11">
        <v>1.2114014251781472E-2</v>
      </c>
      <c r="L21" s="13">
        <v>29168443138.220001</v>
      </c>
      <c r="M21" s="13">
        <v>100996030941.41</v>
      </c>
      <c r="N21" s="9" t="s">
        <v>50</v>
      </c>
      <c r="O21" s="6">
        <v>1</v>
      </c>
      <c r="P21" s="12">
        <v>6.4477755793055549E-2</v>
      </c>
      <c r="Q21" s="12">
        <v>0.2888078161719172</v>
      </c>
      <c r="R21" s="14">
        <v>17</v>
      </c>
    </row>
    <row r="22" spans="2:18" x14ac:dyDescent="0.5">
      <c r="B22" s="1" t="s">
        <v>507</v>
      </c>
      <c r="C22" t="s">
        <v>545</v>
      </c>
      <c r="D22" t="s">
        <v>546</v>
      </c>
      <c r="E22">
        <v>14.72</v>
      </c>
      <c r="F22" s="9" t="s">
        <v>50</v>
      </c>
      <c r="G22" s="7">
        <v>252521185280</v>
      </c>
      <c r="H22" s="6">
        <v>15.85</v>
      </c>
      <c r="I22" s="6">
        <v>5.96</v>
      </c>
      <c r="J22" s="12">
        <f t="shared" si="0"/>
        <v>1.4697986577181208</v>
      </c>
      <c r="K22" s="11">
        <v>9.1711956521739139E-3</v>
      </c>
      <c r="L22" s="13">
        <v>22993550000</v>
      </c>
      <c r="M22" s="13">
        <v>116111506000</v>
      </c>
      <c r="N22" s="9" t="s">
        <v>50</v>
      </c>
      <c r="O22" s="6">
        <v>1</v>
      </c>
      <c r="P22" s="12">
        <v>7.82342616996336E-2</v>
      </c>
      <c r="Q22" s="12">
        <v>0.19802990067151485</v>
      </c>
      <c r="R22" s="14">
        <v>18</v>
      </c>
    </row>
    <row r="23" spans="2:18" x14ac:dyDescent="0.5">
      <c r="B23" s="1" t="s">
        <v>13</v>
      </c>
      <c r="C23" t="s">
        <v>59</v>
      </c>
      <c r="D23" t="s">
        <v>60</v>
      </c>
      <c r="E23">
        <v>11.14</v>
      </c>
      <c r="F23" s="9" t="s">
        <v>50</v>
      </c>
      <c r="G23" s="7">
        <v>20007440384</v>
      </c>
      <c r="H23" s="6">
        <v>15.58</v>
      </c>
      <c r="I23" s="6">
        <v>10.44</v>
      </c>
      <c r="J23" s="12">
        <f t="shared" si="0"/>
        <v>6.7049808429118896E-2</v>
      </c>
      <c r="K23" s="11">
        <v>4.9371633752244168E-2</v>
      </c>
      <c r="L23" s="13">
        <v>1789808265.4000001</v>
      </c>
      <c r="M23" s="13">
        <v>15580673812.24</v>
      </c>
      <c r="N23" s="9" t="s">
        <v>50</v>
      </c>
      <c r="O23" s="6">
        <v>1</v>
      </c>
      <c r="P23" s="12">
        <v>0.23540473416138202</v>
      </c>
      <c r="Q23" s="12">
        <v>0.11487361117809598</v>
      </c>
      <c r="R23" s="14">
        <v>18</v>
      </c>
    </row>
    <row r="24" spans="2:18" x14ac:dyDescent="0.5">
      <c r="B24" s="1" t="s">
        <v>346</v>
      </c>
      <c r="C24" t="s">
        <v>367</v>
      </c>
      <c r="D24" t="s">
        <v>81</v>
      </c>
      <c r="E24">
        <v>53.73</v>
      </c>
      <c r="F24" s="9" t="s">
        <v>50</v>
      </c>
      <c r="G24" s="7">
        <v>27206070272</v>
      </c>
      <c r="H24" s="6">
        <v>64.599999999999994</v>
      </c>
      <c r="I24" s="6">
        <v>39.03</v>
      </c>
      <c r="J24" s="12">
        <f t="shared" si="0"/>
        <v>0.37663335895465022</v>
      </c>
      <c r="K24" s="11">
        <v>1.8611576400521124E-2</v>
      </c>
      <c r="L24" s="13">
        <v>1949016683.5799999</v>
      </c>
      <c r="M24" s="13">
        <v>10523421872.709999</v>
      </c>
      <c r="N24" s="9" t="s">
        <v>50</v>
      </c>
      <c r="O24" s="6">
        <v>1</v>
      </c>
      <c r="P24" s="12">
        <v>8.3920618674304864E-2</v>
      </c>
      <c r="Q24" s="12">
        <v>0.18520750257426369</v>
      </c>
      <c r="R24" s="14">
        <v>19</v>
      </c>
    </row>
    <row r="25" spans="2:18" x14ac:dyDescent="0.5">
      <c r="B25" s="1" t="s">
        <v>504</v>
      </c>
      <c r="C25" t="s">
        <v>542</v>
      </c>
      <c r="D25" t="s">
        <v>300</v>
      </c>
      <c r="E25">
        <v>10.07</v>
      </c>
      <c r="F25" s="9" t="s">
        <v>50</v>
      </c>
      <c r="G25" s="7">
        <v>61494124544</v>
      </c>
      <c r="H25" s="6">
        <v>10.25</v>
      </c>
      <c r="I25" s="6">
        <v>6.57</v>
      </c>
      <c r="J25" s="12">
        <f t="shared" si="0"/>
        <v>0.53272450532724513</v>
      </c>
      <c r="K25" s="11">
        <v>2.8401191658391257E-2</v>
      </c>
      <c r="L25" s="13">
        <v>7711333496.6800003</v>
      </c>
      <c r="M25" s="13">
        <v>72343923041.960007</v>
      </c>
      <c r="N25" s="9" t="s">
        <v>50</v>
      </c>
      <c r="O25" s="6">
        <v>1</v>
      </c>
      <c r="P25" s="12">
        <v>0.31455492900552873</v>
      </c>
      <c r="Q25" s="12">
        <v>0.10659269185896057</v>
      </c>
      <c r="R25" s="14">
        <v>20</v>
      </c>
    </row>
    <row r="26" spans="2:18" x14ac:dyDescent="0.5">
      <c r="B26" s="1" t="s">
        <v>802</v>
      </c>
      <c r="C26" t="s">
        <v>870</v>
      </c>
      <c r="D26" t="s">
        <v>869</v>
      </c>
      <c r="E26">
        <v>17.2</v>
      </c>
      <c r="F26" s="9" t="s">
        <v>50</v>
      </c>
      <c r="G26" s="7">
        <v>114447556608</v>
      </c>
      <c r="H26" s="6">
        <v>20.21</v>
      </c>
      <c r="I26" s="6">
        <v>15.14</v>
      </c>
      <c r="J26" s="12">
        <f t="shared" si="0"/>
        <v>0.13606340819022456</v>
      </c>
      <c r="K26" s="11">
        <v>0</v>
      </c>
      <c r="L26" s="13">
        <v>10688402137</v>
      </c>
      <c r="M26" s="13">
        <v>55546388453.199997</v>
      </c>
      <c r="N26" s="9" t="s">
        <v>50</v>
      </c>
      <c r="O26" s="6">
        <v>1</v>
      </c>
      <c r="P26" s="12">
        <v>7.871463882644586E-2</v>
      </c>
      <c r="Q26" s="12">
        <v>0.19242298976836986</v>
      </c>
      <c r="R26" s="14">
        <v>21</v>
      </c>
    </row>
    <row r="27" spans="2:18" x14ac:dyDescent="0.5">
      <c r="B27" s="1" t="s">
        <v>14</v>
      </c>
      <c r="C27" t="s">
        <v>61</v>
      </c>
      <c r="D27" t="s">
        <v>60</v>
      </c>
      <c r="E27">
        <v>13.36</v>
      </c>
      <c r="F27" s="9" t="s">
        <v>50</v>
      </c>
      <c r="G27" s="7">
        <v>13670001664</v>
      </c>
      <c r="H27" s="6">
        <v>14.08</v>
      </c>
      <c r="I27" s="6">
        <v>10.71</v>
      </c>
      <c r="J27" s="12">
        <f t="shared" si="0"/>
        <v>0.24743230625583545</v>
      </c>
      <c r="K27" s="11">
        <v>0</v>
      </c>
      <c r="L27" s="13">
        <v>1324661161.8800001</v>
      </c>
      <c r="M27" s="13">
        <v>11491269147.950001</v>
      </c>
      <c r="N27" s="9" t="s">
        <v>50</v>
      </c>
      <c r="O27" s="6">
        <v>1</v>
      </c>
      <c r="P27" s="12">
        <v>0.15532566077659549</v>
      </c>
      <c r="Q27" s="12">
        <v>0.11527544475940803</v>
      </c>
      <c r="R27" s="14">
        <v>21</v>
      </c>
    </row>
    <row r="28" spans="2:18" x14ac:dyDescent="0.5">
      <c r="B28" s="1" t="s">
        <v>352</v>
      </c>
      <c r="C28" t="s">
        <v>373</v>
      </c>
      <c r="D28" t="s">
        <v>150</v>
      </c>
      <c r="E28">
        <v>19.98</v>
      </c>
      <c r="F28" s="9" t="s">
        <v>50</v>
      </c>
      <c r="G28" s="7">
        <v>20125505536</v>
      </c>
      <c r="H28" s="6">
        <v>23.6</v>
      </c>
      <c r="I28" s="6">
        <v>18.559999999999999</v>
      </c>
      <c r="J28" s="12">
        <f t="shared" si="0"/>
        <v>7.6508620689655249E-2</v>
      </c>
      <c r="K28" s="11">
        <v>5.5055055055055056E-2</v>
      </c>
      <c r="L28" s="13">
        <v>1686709166</v>
      </c>
      <c r="M28" s="13">
        <v>10738080107</v>
      </c>
      <c r="N28" s="9" t="s">
        <v>50</v>
      </c>
      <c r="O28" s="6">
        <v>1</v>
      </c>
      <c r="P28" s="12">
        <v>9.7704505494482438E-2</v>
      </c>
      <c r="Q28" s="12">
        <v>0.15707734987937541</v>
      </c>
      <c r="R28" s="14">
        <v>22</v>
      </c>
    </row>
    <row r="29" spans="2:18" x14ac:dyDescent="0.5">
      <c r="B29" s="1" t="s">
        <v>804</v>
      </c>
      <c r="C29" t="s">
        <v>872</v>
      </c>
      <c r="D29" t="s">
        <v>314</v>
      </c>
      <c r="E29">
        <v>29.57</v>
      </c>
      <c r="F29" s="9" t="s">
        <v>50</v>
      </c>
      <c r="G29" s="7">
        <v>99610853376</v>
      </c>
      <c r="H29" s="6">
        <v>29.9</v>
      </c>
      <c r="I29" s="6">
        <v>15.54</v>
      </c>
      <c r="J29" s="12">
        <f t="shared" si="0"/>
        <v>0.90283140283140306</v>
      </c>
      <c r="K29" s="11">
        <v>1.6909029421711193E-2</v>
      </c>
      <c r="L29" s="13">
        <v>8100049523.46</v>
      </c>
      <c r="M29" s="13">
        <v>38942324166.589996</v>
      </c>
      <c r="N29" s="9" t="s">
        <v>50</v>
      </c>
      <c r="O29" s="6">
        <v>1</v>
      </c>
      <c r="P29" s="12">
        <v>6.8235256499366875E-2</v>
      </c>
      <c r="Q29" s="12">
        <v>0.20800118372003384</v>
      </c>
      <c r="R29" s="14">
        <v>23</v>
      </c>
    </row>
    <row r="30" spans="2:18" x14ac:dyDescent="0.5">
      <c r="B30" s="1" t="s">
        <v>11</v>
      </c>
      <c r="C30" t="s">
        <v>56</v>
      </c>
      <c r="D30" t="s">
        <v>49</v>
      </c>
      <c r="E30">
        <v>12.34</v>
      </c>
      <c r="F30" s="9" t="s">
        <v>50</v>
      </c>
      <c r="G30" s="7">
        <v>21267675136</v>
      </c>
      <c r="H30" s="6">
        <v>12.55</v>
      </c>
      <c r="I30" s="6">
        <v>8.02</v>
      </c>
      <c r="J30" s="12">
        <f t="shared" si="0"/>
        <v>0.53865336658354113</v>
      </c>
      <c r="K30" s="11">
        <v>3.4846029173419772E-2</v>
      </c>
      <c r="L30" s="13">
        <v>1541495041.8099999</v>
      </c>
      <c r="M30" s="13">
        <v>11970268017.99</v>
      </c>
      <c r="N30" s="9" t="s">
        <v>50</v>
      </c>
      <c r="O30" s="6">
        <v>1</v>
      </c>
      <c r="P30" s="12">
        <v>0.10753750273656618</v>
      </c>
      <c r="Q30" s="12">
        <v>0.1287769864044232</v>
      </c>
      <c r="R30" s="14">
        <v>24</v>
      </c>
    </row>
    <row r="31" spans="2:18" x14ac:dyDescent="0.5">
      <c r="B31" s="1" t="s">
        <v>494</v>
      </c>
      <c r="C31" t="s">
        <v>531</v>
      </c>
      <c r="D31" t="s">
        <v>311</v>
      </c>
      <c r="E31">
        <v>6</v>
      </c>
      <c r="F31" s="9" t="s">
        <v>50</v>
      </c>
      <c r="G31" s="7">
        <v>43039047680</v>
      </c>
      <c r="H31" s="6">
        <v>7.95</v>
      </c>
      <c r="I31" s="6">
        <v>4.62</v>
      </c>
      <c r="J31" s="12">
        <f t="shared" si="0"/>
        <v>0.29870129870129869</v>
      </c>
      <c r="K31" s="11">
        <v>4.8333333333333332E-2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0.13109072361630003</v>
      </c>
      <c r="Q31" s="12">
        <v>0.11149337666251874</v>
      </c>
      <c r="R31" s="14">
        <v>24</v>
      </c>
    </row>
    <row r="32" spans="2:18" x14ac:dyDescent="0.5">
      <c r="B32" s="1" t="s">
        <v>838</v>
      </c>
      <c r="C32" t="s">
        <v>910</v>
      </c>
      <c r="D32" t="s">
        <v>694</v>
      </c>
      <c r="E32">
        <v>26.71</v>
      </c>
      <c r="F32" s="9" t="s">
        <v>50</v>
      </c>
      <c r="G32" s="7">
        <v>45466722304</v>
      </c>
      <c r="H32" s="6">
        <v>31.2</v>
      </c>
      <c r="I32" s="6">
        <v>23.09</v>
      </c>
      <c r="J32" s="12">
        <f t="shared" si="0"/>
        <v>0.15677782589865741</v>
      </c>
      <c r="K32" s="11">
        <v>3.2384874578809432E-2</v>
      </c>
      <c r="L32" s="13">
        <v>4042488472.6399999</v>
      </c>
      <c r="M32" s="13">
        <v>26005829053.630001</v>
      </c>
      <c r="N32" s="9" t="s">
        <v>50</v>
      </c>
      <c r="O32" s="6">
        <v>1</v>
      </c>
      <c r="P32" s="12">
        <v>8.719027030873211E-2</v>
      </c>
      <c r="Q32" s="12">
        <v>0.15544547587017737</v>
      </c>
      <c r="R32" s="14">
        <v>25</v>
      </c>
    </row>
    <row r="33" spans="2:18" x14ac:dyDescent="0.5">
      <c r="B33" s="1" t="s">
        <v>17</v>
      </c>
      <c r="C33" t="s">
        <v>64</v>
      </c>
      <c r="D33" t="s">
        <v>65</v>
      </c>
      <c r="E33">
        <v>11.74</v>
      </c>
      <c r="F33" s="9" t="s">
        <v>50</v>
      </c>
      <c r="G33" s="7">
        <v>4150360064</v>
      </c>
      <c r="H33" s="6">
        <v>15.53</v>
      </c>
      <c r="I33" s="6">
        <v>10.66</v>
      </c>
      <c r="J33" s="12">
        <f t="shared" si="0"/>
        <v>0.10131332082551592</v>
      </c>
      <c r="K33" s="11">
        <v>4.0885860306643949E-2</v>
      </c>
      <c r="L33" s="13">
        <v>339663210.94999999</v>
      </c>
      <c r="M33" s="13">
        <v>2751572515.0799999</v>
      </c>
      <c r="N33" s="9" t="s">
        <v>50</v>
      </c>
      <c r="O33" s="6">
        <v>1</v>
      </c>
      <c r="P33" s="12">
        <v>0.10523341253699668</v>
      </c>
      <c r="Q33" s="12">
        <v>0.12344330708657501</v>
      </c>
      <c r="R33" s="14">
        <v>25</v>
      </c>
    </row>
    <row r="34" spans="2:18" x14ac:dyDescent="0.5">
      <c r="B34" s="1" t="s">
        <v>865</v>
      </c>
      <c r="C34" t="s">
        <v>935</v>
      </c>
      <c r="D34" t="s">
        <v>427</v>
      </c>
      <c r="E34">
        <v>142.69</v>
      </c>
      <c r="F34" s="9" t="s">
        <v>50</v>
      </c>
      <c r="G34" s="7">
        <v>43176861696</v>
      </c>
      <c r="H34" s="6">
        <v>208.2</v>
      </c>
      <c r="I34" s="6">
        <v>137.36000000000001</v>
      </c>
      <c r="J34" s="12">
        <f t="shared" ref="J34:J65" si="1">E34/I34-1</f>
        <v>3.8803145020384289E-2</v>
      </c>
      <c r="K34" s="11">
        <v>3.5040997967622119E-2</v>
      </c>
      <c r="L34" s="13">
        <v>2283585891.1399999</v>
      </c>
      <c r="M34" s="13">
        <v>7797060228.1499996</v>
      </c>
      <c r="N34" s="9" t="s">
        <v>50</v>
      </c>
      <c r="O34" s="6">
        <v>1</v>
      </c>
      <c r="P34" s="12">
        <v>5.475285665678338E-2</v>
      </c>
      <c r="Q34" s="12">
        <v>0.29287780577806616</v>
      </c>
      <c r="R34" s="14">
        <v>26</v>
      </c>
    </row>
    <row r="35" spans="2:18" x14ac:dyDescent="0.5">
      <c r="B35" s="1" t="s">
        <v>15</v>
      </c>
      <c r="C35" t="s">
        <v>62</v>
      </c>
      <c r="D35" t="s">
        <v>60</v>
      </c>
      <c r="E35">
        <v>9.1999999999999993</v>
      </c>
      <c r="F35" s="9" t="s">
        <v>50</v>
      </c>
      <c r="G35" s="7">
        <v>11165582336</v>
      </c>
      <c r="H35" s="6">
        <v>10.07</v>
      </c>
      <c r="I35" s="6">
        <v>8.24</v>
      </c>
      <c r="J35" s="12">
        <f t="shared" si="1"/>
        <v>0.11650485436893199</v>
      </c>
      <c r="K35" s="11">
        <v>4.4565217391304347E-2</v>
      </c>
      <c r="L35" s="13">
        <v>1074859531.29</v>
      </c>
      <c r="M35" s="13">
        <v>9527311896.5100002</v>
      </c>
      <c r="N35" s="9" t="s">
        <v>50</v>
      </c>
      <c r="O35" s="6">
        <v>1</v>
      </c>
      <c r="P35" s="12">
        <v>0.11308386409899411</v>
      </c>
      <c r="Q35" s="12">
        <v>0.1128187617835559</v>
      </c>
      <c r="R35" s="14">
        <v>27</v>
      </c>
    </row>
    <row r="36" spans="2:18" x14ac:dyDescent="0.5">
      <c r="B36" s="1" t="s">
        <v>492</v>
      </c>
      <c r="C36" t="s">
        <v>528</v>
      </c>
      <c r="D36" t="s">
        <v>446</v>
      </c>
      <c r="E36">
        <v>6.44</v>
      </c>
      <c r="F36" s="9" t="s">
        <v>50</v>
      </c>
      <c r="G36" s="7">
        <v>184820678656</v>
      </c>
      <c r="H36" s="6">
        <v>8.23</v>
      </c>
      <c r="I36" s="6">
        <v>6.11</v>
      </c>
      <c r="J36" s="12">
        <f t="shared" si="1"/>
        <v>5.4009819967266726E-2</v>
      </c>
      <c r="K36" s="11">
        <v>4.9689440993788817E-2</v>
      </c>
      <c r="L36" s="13">
        <v>17484674000</v>
      </c>
      <c r="M36" s="13">
        <v>181488019000</v>
      </c>
      <c r="N36" s="9" t="s">
        <v>50</v>
      </c>
      <c r="O36" s="6">
        <v>1</v>
      </c>
      <c r="P36" s="12">
        <v>0.12754147200333185</v>
      </c>
      <c r="Q36" s="12">
        <v>9.6340651555626933E-2</v>
      </c>
      <c r="R36" s="14">
        <v>28</v>
      </c>
    </row>
    <row r="37" spans="2:18" x14ac:dyDescent="0.5">
      <c r="B37" s="1" t="s">
        <v>818</v>
      </c>
      <c r="C37" t="s">
        <v>888</v>
      </c>
      <c r="D37" t="s">
        <v>294</v>
      </c>
      <c r="E37">
        <v>23.14</v>
      </c>
      <c r="F37" s="9" t="s">
        <v>50</v>
      </c>
      <c r="G37" s="7">
        <v>74663624704</v>
      </c>
      <c r="H37" s="6">
        <v>27.65</v>
      </c>
      <c r="I37" s="6">
        <v>9.16</v>
      </c>
      <c r="J37" s="12">
        <f t="shared" si="1"/>
        <v>1.5262008733624453</v>
      </c>
      <c r="K37" s="11">
        <v>0</v>
      </c>
      <c r="L37" s="13">
        <v>3907802676.0300002</v>
      </c>
      <c r="M37" s="13">
        <v>17012676098.01</v>
      </c>
      <c r="N37" s="9" t="s">
        <v>50</v>
      </c>
      <c r="O37" s="6">
        <v>1</v>
      </c>
      <c r="P37" s="12">
        <v>5.660993432423464E-2</v>
      </c>
      <c r="Q37" s="12">
        <v>0.22969946959062496</v>
      </c>
      <c r="R37" s="14">
        <v>29</v>
      </c>
    </row>
    <row r="38" spans="2:18" x14ac:dyDescent="0.5">
      <c r="B38" s="1" t="s">
        <v>508</v>
      </c>
      <c r="C38" t="s">
        <v>547</v>
      </c>
      <c r="D38" t="s">
        <v>96</v>
      </c>
      <c r="E38">
        <v>96.61</v>
      </c>
      <c r="F38" s="9" t="s">
        <v>50</v>
      </c>
      <c r="G38" s="7">
        <v>2087892287488</v>
      </c>
      <c r="H38" s="6">
        <v>118.68</v>
      </c>
      <c r="I38" s="6">
        <v>91.51</v>
      </c>
      <c r="J38" s="12">
        <f t="shared" si="1"/>
        <v>5.5731614031253374E-2</v>
      </c>
      <c r="K38" s="11">
        <v>5.1257633785322429E-2</v>
      </c>
      <c r="L38" s="13">
        <v>181466000000</v>
      </c>
      <c r="M38" s="13">
        <v>1392032000000</v>
      </c>
      <c r="N38" s="9" t="s">
        <v>50</v>
      </c>
      <c r="O38" s="6">
        <v>1</v>
      </c>
      <c r="P38" s="12">
        <v>9.0325393677297805E-2</v>
      </c>
      <c r="Q38" s="12">
        <v>0.13036050895381715</v>
      </c>
      <c r="R38" s="14">
        <v>29</v>
      </c>
    </row>
    <row r="39" spans="2:18" x14ac:dyDescent="0.5">
      <c r="B39" s="1" t="s">
        <v>16</v>
      </c>
      <c r="C39" t="s">
        <v>63</v>
      </c>
      <c r="D39" t="s">
        <v>60</v>
      </c>
      <c r="E39">
        <v>7.94</v>
      </c>
      <c r="F39" s="9" t="s">
        <v>50</v>
      </c>
      <c r="G39" s="7">
        <v>17644445696</v>
      </c>
      <c r="H39" s="6">
        <v>9.3699999999999992</v>
      </c>
      <c r="I39" s="6">
        <v>7.24</v>
      </c>
      <c r="J39" s="12">
        <f t="shared" si="1"/>
        <v>9.6685082872928207E-2</v>
      </c>
      <c r="K39" s="11">
        <v>5.0377833753148617E-2</v>
      </c>
      <c r="L39" s="13">
        <v>1357643494.6700001</v>
      </c>
      <c r="M39" s="13">
        <v>13696300546.360001</v>
      </c>
      <c r="N39" s="9" t="s">
        <v>50</v>
      </c>
      <c r="O39" s="6">
        <v>1</v>
      </c>
      <c r="P39" s="12">
        <v>0.11648947453568025</v>
      </c>
      <c r="Q39" s="12">
        <v>9.9124832291360196E-2</v>
      </c>
      <c r="R39" s="14">
        <v>29</v>
      </c>
    </row>
    <row r="40" spans="2:18" x14ac:dyDescent="0.5">
      <c r="B40" s="1" t="s">
        <v>843</v>
      </c>
      <c r="C40" t="s">
        <v>915</v>
      </c>
      <c r="D40" t="s">
        <v>236</v>
      </c>
      <c r="E40">
        <v>395.42</v>
      </c>
      <c r="F40" s="9" t="s">
        <v>50</v>
      </c>
      <c r="G40" s="7">
        <v>1804645171200</v>
      </c>
      <c r="H40" s="6">
        <v>424.36</v>
      </c>
      <c r="I40" s="6">
        <v>209.11</v>
      </c>
      <c r="J40" s="12">
        <f t="shared" si="1"/>
        <v>0.89096647697384146</v>
      </c>
      <c r="K40" s="11">
        <v>0</v>
      </c>
      <c r="L40" s="13">
        <v>92260563000</v>
      </c>
      <c r="M40" s="13">
        <v>431721614000</v>
      </c>
      <c r="N40" s="9" t="s">
        <v>50</v>
      </c>
      <c r="O40" s="6">
        <v>1</v>
      </c>
      <c r="P40" s="12">
        <v>5.7996741573852595E-2</v>
      </c>
      <c r="Q40" s="12">
        <v>0.21370383137685572</v>
      </c>
      <c r="R40" s="14">
        <v>30</v>
      </c>
    </row>
    <row r="41" spans="2:18" x14ac:dyDescent="0.5">
      <c r="B41" s="1" t="s">
        <v>859</v>
      </c>
      <c r="C41" t="s">
        <v>929</v>
      </c>
      <c r="D41" t="s">
        <v>660</v>
      </c>
      <c r="E41">
        <v>27.52</v>
      </c>
      <c r="F41" s="9" t="s">
        <v>50</v>
      </c>
      <c r="G41" s="7">
        <v>47062724608</v>
      </c>
      <c r="H41" s="6">
        <v>29.37</v>
      </c>
      <c r="I41" s="6">
        <v>18.2</v>
      </c>
      <c r="J41" s="12">
        <f t="shared" si="1"/>
        <v>0.51208791208791204</v>
      </c>
      <c r="K41" s="11">
        <v>1.7441860465116279E-2</v>
      </c>
      <c r="L41" s="13">
        <v>3300119760.9899998</v>
      </c>
      <c r="M41" s="13">
        <v>19847487091.860001</v>
      </c>
      <c r="N41" s="9" t="s">
        <v>50</v>
      </c>
      <c r="O41" s="6">
        <v>1</v>
      </c>
      <c r="P41" s="12">
        <v>6.3751752708464809E-2</v>
      </c>
      <c r="Q41" s="12">
        <v>0.16627393411146085</v>
      </c>
      <c r="R41" s="14">
        <v>31</v>
      </c>
    </row>
    <row r="42" spans="2:18" x14ac:dyDescent="0.5">
      <c r="B42" s="1" t="s">
        <v>479</v>
      </c>
      <c r="C42" t="s">
        <v>513</v>
      </c>
      <c r="D42" t="s">
        <v>300</v>
      </c>
      <c r="E42">
        <v>5.13</v>
      </c>
      <c r="F42" s="9" t="s">
        <v>50</v>
      </c>
      <c r="G42" s="7">
        <v>211973603328</v>
      </c>
      <c r="H42" s="6">
        <v>6.2</v>
      </c>
      <c r="I42" s="6">
        <v>4.9000000000000004</v>
      </c>
      <c r="J42" s="12">
        <f t="shared" si="1"/>
        <v>4.6938775510203978E-2</v>
      </c>
      <c r="K42" s="11">
        <v>5.3021442495126712E-2</v>
      </c>
      <c r="L42" s="13">
        <v>101828438000</v>
      </c>
      <c r="M42" s="13">
        <v>1200367605000</v>
      </c>
      <c r="N42" s="9" t="s">
        <v>50</v>
      </c>
      <c r="O42" s="6">
        <v>1</v>
      </c>
      <c r="P42" s="12">
        <v>0.15642831690102857</v>
      </c>
      <c r="Q42" s="12">
        <v>8.4831044736499703E-2</v>
      </c>
      <c r="R42" s="14">
        <v>32</v>
      </c>
    </row>
    <row r="43" spans="2:18" x14ac:dyDescent="0.5">
      <c r="B43" s="1" t="s">
        <v>347</v>
      </c>
      <c r="C43" t="s">
        <v>368</v>
      </c>
      <c r="D43" t="s">
        <v>320</v>
      </c>
      <c r="E43">
        <v>7.19</v>
      </c>
      <c r="F43" s="9" t="s">
        <v>50</v>
      </c>
      <c r="G43" s="7">
        <v>31789543424</v>
      </c>
      <c r="H43" s="6">
        <v>8.7200000000000006</v>
      </c>
      <c r="I43" s="6">
        <v>5.0199999999999996</v>
      </c>
      <c r="J43" s="12">
        <f t="shared" si="1"/>
        <v>0.43227091633466164</v>
      </c>
      <c r="K43" s="11">
        <v>2.7955493741307371E-2</v>
      </c>
      <c r="L43" s="13">
        <v>2697498300</v>
      </c>
      <c r="M43" s="13">
        <v>26396524300</v>
      </c>
      <c r="N43" s="9" t="s">
        <v>50</v>
      </c>
      <c r="O43" s="6">
        <v>1</v>
      </c>
      <c r="P43" s="12">
        <v>0.10007663510339095</v>
      </c>
      <c r="Q43" s="12">
        <v>0.10219141995145171</v>
      </c>
      <c r="R43" s="14">
        <v>33</v>
      </c>
    </row>
    <row r="44" spans="2:18" x14ac:dyDescent="0.5">
      <c r="B44" s="1" t="s">
        <v>816</v>
      </c>
      <c r="C44" t="s">
        <v>885</v>
      </c>
      <c r="D44" t="s">
        <v>886</v>
      </c>
      <c r="E44">
        <v>33.4</v>
      </c>
      <c r="F44" s="9" t="s">
        <v>50</v>
      </c>
      <c r="G44" s="7">
        <v>92742524928</v>
      </c>
      <c r="H44" s="6">
        <v>42.29</v>
      </c>
      <c r="I44" s="6">
        <v>16.600000000000001</v>
      </c>
      <c r="J44" s="12">
        <f t="shared" si="1"/>
        <v>1.012048192771084</v>
      </c>
      <c r="K44" s="11">
        <v>1.437125748502994E-2</v>
      </c>
      <c r="L44" s="13">
        <v>4328860367.5299997</v>
      </c>
      <c r="M44" s="13">
        <v>16110954494.49</v>
      </c>
      <c r="N44" s="9" t="s">
        <v>50</v>
      </c>
      <c r="O44" s="6">
        <v>1</v>
      </c>
      <c r="P44" s="12">
        <v>4.8786477720183047E-2</v>
      </c>
      <c r="Q44" s="12">
        <v>0.26869049682999752</v>
      </c>
      <c r="R44" s="14">
        <v>33</v>
      </c>
    </row>
    <row r="45" spans="2:18" x14ac:dyDescent="0.5">
      <c r="B45" s="1" t="s">
        <v>841</v>
      </c>
      <c r="C45" t="s">
        <v>913</v>
      </c>
      <c r="D45" t="s">
        <v>236</v>
      </c>
      <c r="E45">
        <v>170.03</v>
      </c>
      <c r="F45" s="9" t="s">
        <v>50</v>
      </c>
      <c r="G45" s="7">
        <v>352508116992</v>
      </c>
      <c r="H45" s="6">
        <v>209.88</v>
      </c>
      <c r="I45" s="6">
        <v>52.98</v>
      </c>
      <c r="J45" s="12">
        <f t="shared" si="1"/>
        <v>2.2093242733106835</v>
      </c>
      <c r="K45" s="11">
        <v>1.1939069575957183E-2</v>
      </c>
      <c r="L45" s="13">
        <v>13936157274.17</v>
      </c>
      <c r="M45" s="13">
        <v>45982208020.440002</v>
      </c>
      <c r="N45" s="9" t="s">
        <v>50</v>
      </c>
      <c r="O45" s="6">
        <v>1</v>
      </c>
      <c r="P45" s="12">
        <v>4.0509024644547309E-2</v>
      </c>
      <c r="Q45" s="12">
        <v>0.30307716558489539</v>
      </c>
      <c r="R45" s="14">
        <v>34</v>
      </c>
    </row>
    <row r="46" spans="2:18" x14ac:dyDescent="0.5">
      <c r="B46" s="1" t="s">
        <v>836</v>
      </c>
      <c r="C46" t="s">
        <v>908</v>
      </c>
      <c r="D46" t="s">
        <v>94</v>
      </c>
      <c r="E46">
        <v>14.1</v>
      </c>
      <c r="F46" s="9" t="s">
        <v>50</v>
      </c>
      <c r="G46" s="7">
        <v>77318193152</v>
      </c>
      <c r="H46" s="6">
        <v>23.4</v>
      </c>
      <c r="I46" s="6">
        <v>11.71</v>
      </c>
      <c r="J46" s="12">
        <f t="shared" si="1"/>
        <v>0.20409906063193839</v>
      </c>
      <c r="K46" s="11">
        <v>2.3404255319148939E-2</v>
      </c>
      <c r="L46" s="13">
        <v>4166824505.1599998</v>
      </c>
      <c r="M46" s="13">
        <v>21221400024.509998</v>
      </c>
      <c r="N46" s="9" t="s">
        <v>50</v>
      </c>
      <c r="O46" s="6">
        <v>1</v>
      </c>
      <c r="P46" s="12">
        <v>5.4531466892215316E-2</v>
      </c>
      <c r="Q46" s="12">
        <v>0.19635012300543125</v>
      </c>
      <c r="R46" s="14">
        <v>34</v>
      </c>
    </row>
    <row r="47" spans="2:18" x14ac:dyDescent="0.5">
      <c r="B47" s="1" t="s">
        <v>8</v>
      </c>
      <c r="C47" t="s">
        <v>48</v>
      </c>
      <c r="D47" t="s">
        <v>49</v>
      </c>
      <c r="E47">
        <v>133.88999999999999</v>
      </c>
      <c r="F47" s="9" t="s">
        <v>50</v>
      </c>
      <c r="G47" s="7">
        <v>34691751936</v>
      </c>
      <c r="H47" s="6">
        <v>222.1</v>
      </c>
      <c r="I47" s="6">
        <v>123.57143000000001</v>
      </c>
      <c r="J47" s="12">
        <f t="shared" si="1"/>
        <v>8.3502877647365414E-2</v>
      </c>
      <c r="K47" s="11">
        <v>0</v>
      </c>
      <c r="L47" s="13">
        <v>2107869808</v>
      </c>
      <c r="M47" s="13">
        <v>12869225664</v>
      </c>
      <c r="N47" s="9" t="s">
        <v>50</v>
      </c>
      <c r="O47" s="6">
        <v>1</v>
      </c>
      <c r="P47" s="12">
        <v>6.306220932037826E-2</v>
      </c>
      <c r="Q47" s="12">
        <v>0.16379150253744434</v>
      </c>
      <c r="R47" s="14">
        <v>34</v>
      </c>
    </row>
    <row r="48" spans="2:18" x14ac:dyDescent="0.5">
      <c r="B48" s="1" t="s">
        <v>801</v>
      </c>
      <c r="C48" t="s">
        <v>868</v>
      </c>
      <c r="D48" t="s">
        <v>869</v>
      </c>
      <c r="E48">
        <v>49.98</v>
      </c>
      <c r="F48" s="9" t="s">
        <v>50</v>
      </c>
      <c r="G48" s="7">
        <v>288534265856</v>
      </c>
      <c r="H48" s="6">
        <v>59.68</v>
      </c>
      <c r="I48" s="6">
        <v>37.53</v>
      </c>
      <c r="J48" s="12">
        <f t="shared" si="1"/>
        <v>0.33173461231015167</v>
      </c>
      <c r="K48" s="11">
        <v>3.0012004801920771E-2</v>
      </c>
      <c r="L48" s="13">
        <v>21623812490.549999</v>
      </c>
      <c r="M48" s="13">
        <v>135552444430.25999</v>
      </c>
      <c r="N48" s="9" t="s">
        <v>50</v>
      </c>
      <c r="O48" s="6">
        <v>1</v>
      </c>
      <c r="P48" s="12">
        <v>6.2197700868290851E-2</v>
      </c>
      <c r="Q48" s="12">
        <v>0.15952358942280215</v>
      </c>
      <c r="R48" s="14">
        <v>35</v>
      </c>
    </row>
    <row r="49" spans="2:18" x14ac:dyDescent="0.5">
      <c r="B49" s="1" t="s">
        <v>349</v>
      </c>
      <c r="C49" t="s">
        <v>370</v>
      </c>
      <c r="D49" t="s">
        <v>60</v>
      </c>
      <c r="E49">
        <v>9.1</v>
      </c>
      <c r="F49" s="9" t="s">
        <v>50</v>
      </c>
      <c r="G49" s="7">
        <v>12260965376</v>
      </c>
      <c r="H49" s="6">
        <v>12.09</v>
      </c>
      <c r="I49" s="6">
        <v>8.92</v>
      </c>
      <c r="J49" s="12">
        <f t="shared" si="1"/>
        <v>2.0179372197309364E-2</v>
      </c>
      <c r="K49" s="11">
        <v>4.3956043956043959E-2</v>
      </c>
      <c r="L49" s="13">
        <v>1310024443.6900001</v>
      </c>
      <c r="M49" s="13">
        <v>19473263524.830002</v>
      </c>
      <c r="N49" s="9" t="s">
        <v>50</v>
      </c>
      <c r="O49" s="6">
        <v>1</v>
      </c>
      <c r="P49" s="12">
        <v>0.2945353021727487</v>
      </c>
      <c r="Q49" s="12">
        <v>6.7272978770076819E-2</v>
      </c>
      <c r="R49" s="14">
        <v>35</v>
      </c>
    </row>
    <row r="50" spans="2:18" x14ac:dyDescent="0.5">
      <c r="B50" s="1" t="s">
        <v>834</v>
      </c>
      <c r="C50" t="s">
        <v>906</v>
      </c>
      <c r="D50" t="s">
        <v>311</v>
      </c>
      <c r="E50">
        <v>37.200000000000003</v>
      </c>
      <c r="F50" s="9" t="s">
        <v>50</v>
      </c>
      <c r="G50" s="7">
        <v>187431927808</v>
      </c>
      <c r="H50" s="6">
        <v>51.13</v>
      </c>
      <c r="I50" s="6">
        <v>36.03</v>
      </c>
      <c r="J50" s="12">
        <f t="shared" si="1"/>
        <v>3.2472939217318864E-2</v>
      </c>
      <c r="K50" s="11">
        <v>2.4193548387096774E-2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7.6261196852096674E-2</v>
      </c>
      <c r="Q50" s="12">
        <v>0.12004196689120836</v>
      </c>
      <c r="R50" s="14">
        <v>35</v>
      </c>
    </row>
    <row r="51" spans="2:18" x14ac:dyDescent="0.5">
      <c r="B51" s="1" t="s">
        <v>10</v>
      </c>
      <c r="C51" t="s">
        <v>54</v>
      </c>
      <c r="D51" t="s">
        <v>55</v>
      </c>
      <c r="E51">
        <v>96.35</v>
      </c>
      <c r="F51" s="9" t="s">
        <v>50</v>
      </c>
      <c r="G51" s="7">
        <v>51658907648</v>
      </c>
      <c r="H51" s="6">
        <v>149.5</v>
      </c>
      <c r="I51" s="6">
        <v>69.98</v>
      </c>
      <c r="J51" s="12">
        <f t="shared" si="1"/>
        <v>0.37682194912832223</v>
      </c>
      <c r="K51" s="11">
        <v>2.1795537104307216E-2</v>
      </c>
      <c r="L51" s="13">
        <v>2351242906.4000001</v>
      </c>
      <c r="M51" s="13">
        <v>10336332783.18</v>
      </c>
      <c r="N51" s="9" t="s">
        <v>50</v>
      </c>
      <c r="O51" s="6">
        <v>1</v>
      </c>
      <c r="P51" s="12">
        <v>4.6317935759823667E-2</v>
      </c>
      <c r="Q51" s="12">
        <v>0.22747360748931247</v>
      </c>
      <c r="R51" s="14">
        <v>36</v>
      </c>
    </row>
    <row r="52" spans="2:18" x14ac:dyDescent="0.5">
      <c r="B52" s="1" t="s">
        <v>852</v>
      </c>
      <c r="C52" t="s">
        <v>922</v>
      </c>
      <c r="D52" t="s">
        <v>178</v>
      </c>
      <c r="E52">
        <v>31.67</v>
      </c>
      <c r="F52" s="9" t="s">
        <v>50</v>
      </c>
      <c r="G52" s="7">
        <v>290343124992</v>
      </c>
      <c r="H52" s="6">
        <v>34.78</v>
      </c>
      <c r="I52" s="6">
        <v>27.02</v>
      </c>
      <c r="J52" s="12">
        <f t="shared" si="1"/>
        <v>0.17209474463360475</v>
      </c>
      <c r="K52" s="11">
        <v>0</v>
      </c>
      <c r="L52" s="13">
        <v>14699110042.34</v>
      </c>
      <c r="M52" s="13">
        <v>86819741875.5</v>
      </c>
      <c r="N52" s="9" t="s">
        <v>50</v>
      </c>
      <c r="O52" s="6">
        <v>1</v>
      </c>
      <c r="P52" s="12">
        <v>5.6239740853684758E-2</v>
      </c>
      <c r="Q52" s="12">
        <v>0.16930607860385724</v>
      </c>
      <c r="R52" s="14">
        <v>36</v>
      </c>
    </row>
    <row r="53" spans="2:18" x14ac:dyDescent="0.5">
      <c r="B53" s="1" t="s">
        <v>814</v>
      </c>
      <c r="C53" t="s">
        <v>883</v>
      </c>
      <c r="D53" t="s">
        <v>546</v>
      </c>
      <c r="E53">
        <v>35.58</v>
      </c>
      <c r="F53" s="9" t="s">
        <v>50</v>
      </c>
      <c r="G53" s="7">
        <v>123389935616</v>
      </c>
      <c r="H53" s="6">
        <v>38.229999999999997</v>
      </c>
      <c r="I53" s="6">
        <v>13.47</v>
      </c>
      <c r="J53" s="12">
        <f t="shared" si="1"/>
        <v>1.6414253897550108</v>
      </c>
      <c r="K53" s="11">
        <v>1.4052838673412029E-2</v>
      </c>
      <c r="L53" s="13">
        <v>5972974029</v>
      </c>
      <c r="M53" s="13">
        <v>30685473093.189999</v>
      </c>
      <c r="N53" s="9" t="s">
        <v>50</v>
      </c>
      <c r="O53" s="6">
        <v>1</v>
      </c>
      <c r="P53" s="12">
        <v>4.9751842733566899E-2</v>
      </c>
      <c r="Q53" s="12">
        <v>0.19465152161286303</v>
      </c>
      <c r="R53" s="14">
        <v>37</v>
      </c>
    </row>
    <row r="54" spans="2:18" x14ac:dyDescent="0.5">
      <c r="B54" s="1" t="s">
        <v>833</v>
      </c>
      <c r="C54" t="s">
        <v>904</v>
      </c>
      <c r="D54" t="s">
        <v>905</v>
      </c>
      <c r="E54">
        <v>56.52</v>
      </c>
      <c r="F54" s="9" t="s">
        <v>50</v>
      </c>
      <c r="G54" s="7">
        <v>100864368640</v>
      </c>
      <c r="H54" s="6">
        <v>60.69</v>
      </c>
      <c r="I54" s="6">
        <v>53.56</v>
      </c>
      <c r="J54" s="12">
        <f t="shared" si="1"/>
        <v>5.5265123226288182E-2</v>
      </c>
      <c r="K54" s="11">
        <v>2.0966029723991506E-2</v>
      </c>
      <c r="L54" s="13">
        <v>5747896665.0600004</v>
      </c>
      <c r="M54" s="13">
        <v>39257426697.150002</v>
      </c>
      <c r="N54" s="9" t="s">
        <v>50</v>
      </c>
      <c r="O54" s="6">
        <v>1</v>
      </c>
      <c r="P54" s="12">
        <v>6.338592732174321E-2</v>
      </c>
      <c r="Q54" s="12">
        <v>0.14641552309075023</v>
      </c>
      <c r="R54" s="14">
        <v>37</v>
      </c>
    </row>
    <row r="55" spans="2:18" x14ac:dyDescent="0.5">
      <c r="B55" s="1" t="s">
        <v>553</v>
      </c>
      <c r="C55" t="s">
        <v>562</v>
      </c>
      <c r="D55" t="s">
        <v>446</v>
      </c>
      <c r="E55">
        <v>6.29</v>
      </c>
      <c r="F55" s="9" t="s">
        <v>50</v>
      </c>
      <c r="G55" s="7">
        <v>66609958912</v>
      </c>
      <c r="H55" s="6">
        <v>6.37</v>
      </c>
      <c r="I55" s="6">
        <v>4.8499999999999996</v>
      </c>
      <c r="J55" s="12">
        <f t="shared" si="1"/>
        <v>0.29690721649484542</v>
      </c>
      <c r="K55" s="11">
        <v>0</v>
      </c>
      <c r="L55" s="13">
        <v>4783630821.25</v>
      </c>
      <c r="M55" s="13">
        <v>53393138493.459999</v>
      </c>
      <c r="N55" s="9" t="s">
        <v>50</v>
      </c>
      <c r="O55" s="6">
        <v>1</v>
      </c>
      <c r="P55" s="12">
        <v>9.6609390536344306E-2</v>
      </c>
      <c r="Q55" s="12">
        <v>8.9592613512238767E-2</v>
      </c>
      <c r="R55" s="14">
        <v>38</v>
      </c>
    </row>
    <row r="56" spans="2:18" x14ac:dyDescent="0.5">
      <c r="B56" s="1" t="s">
        <v>509</v>
      </c>
      <c r="C56" t="s">
        <v>548</v>
      </c>
      <c r="D56" t="s">
        <v>96</v>
      </c>
      <c r="E56">
        <v>5.98</v>
      </c>
      <c r="F56" s="9" t="s">
        <v>50</v>
      </c>
      <c r="G56" s="7">
        <v>547212689408</v>
      </c>
      <c r="H56" s="6">
        <v>8.31</v>
      </c>
      <c r="I56" s="6">
        <v>5.62</v>
      </c>
      <c r="J56" s="12">
        <f t="shared" si="1"/>
        <v>6.4056939501779375E-2</v>
      </c>
      <c r="K56" s="11">
        <v>7.3745819397993309E-2</v>
      </c>
      <c r="L56" s="13">
        <v>44563000000</v>
      </c>
      <c r="M56" s="13">
        <v>463922000000</v>
      </c>
      <c r="N56" s="9" t="s">
        <v>50</v>
      </c>
      <c r="O56" s="6">
        <v>1</v>
      </c>
      <c r="P56" s="12">
        <v>8.4761029171900606E-2</v>
      </c>
      <c r="Q56" s="12">
        <v>9.605709580489824E-2</v>
      </c>
      <c r="R56" s="14">
        <v>38</v>
      </c>
    </row>
    <row r="57" spans="2:18" x14ac:dyDescent="0.5">
      <c r="B57" s="1" t="s">
        <v>846</v>
      </c>
      <c r="C57" t="s">
        <v>918</v>
      </c>
      <c r="D57" t="s">
        <v>236</v>
      </c>
      <c r="E57">
        <v>40.79</v>
      </c>
      <c r="F57" s="9" t="s">
        <v>50</v>
      </c>
      <c r="G57" s="7">
        <v>87656448000</v>
      </c>
      <c r="H57" s="6">
        <v>42.13</v>
      </c>
      <c r="I57" s="6">
        <v>20.66</v>
      </c>
      <c r="J57" s="12">
        <f t="shared" si="1"/>
        <v>0.97434656340755077</v>
      </c>
      <c r="K57" s="11">
        <v>1.4709487619514587E-2</v>
      </c>
      <c r="L57" s="13">
        <v>7707652582.9700003</v>
      </c>
      <c r="M57" s="13">
        <v>66359162884.480003</v>
      </c>
      <c r="N57" s="9" t="s">
        <v>50</v>
      </c>
      <c r="O57" s="6">
        <v>1</v>
      </c>
      <c r="P57" s="12">
        <v>6.589113333530941E-2</v>
      </c>
      <c r="Q57" s="12">
        <v>0.11615053969845446</v>
      </c>
      <c r="R57" s="14">
        <v>39</v>
      </c>
    </row>
    <row r="58" spans="2:18" x14ac:dyDescent="0.5">
      <c r="B58" s="1" t="s">
        <v>842</v>
      </c>
      <c r="C58" t="s">
        <v>914</v>
      </c>
      <c r="D58" t="s">
        <v>53</v>
      </c>
      <c r="E58">
        <v>135.35</v>
      </c>
      <c r="F58" s="9" t="s">
        <v>50</v>
      </c>
      <c r="G58" s="7">
        <v>123016830976</v>
      </c>
      <c r="H58" s="6">
        <v>137.88</v>
      </c>
      <c r="I58" s="6">
        <v>49.88</v>
      </c>
      <c r="J58" s="12">
        <f t="shared" si="1"/>
        <v>1.7135124298315958</v>
      </c>
      <c r="K58" s="11">
        <v>2.1906169190986331E-2</v>
      </c>
      <c r="L58" s="13">
        <v>3444148618.0300002</v>
      </c>
      <c r="M58" s="13">
        <v>10464628625.32</v>
      </c>
      <c r="N58" s="9" t="s">
        <v>50</v>
      </c>
      <c r="O58" s="6">
        <v>1</v>
      </c>
      <c r="P58" s="12">
        <v>2.8586127497627269E-2</v>
      </c>
      <c r="Q58" s="12">
        <v>0.32912287108752331</v>
      </c>
      <c r="R58" s="14">
        <v>40</v>
      </c>
    </row>
    <row r="59" spans="2:18" x14ac:dyDescent="0.5">
      <c r="B59" s="1" t="s">
        <v>855</v>
      </c>
      <c r="C59" t="s">
        <v>925</v>
      </c>
      <c r="D59" t="s">
        <v>401</v>
      </c>
      <c r="E59">
        <v>23.96</v>
      </c>
      <c r="F59" s="9" t="s">
        <v>50</v>
      </c>
      <c r="G59" s="7">
        <v>68783857664</v>
      </c>
      <c r="H59" s="6">
        <v>33.380000000000003</v>
      </c>
      <c r="I59" s="6">
        <v>19.61</v>
      </c>
      <c r="J59" s="12">
        <f t="shared" si="1"/>
        <v>0.22182559918408984</v>
      </c>
      <c r="K59" s="11">
        <v>2.5041736227045072E-2</v>
      </c>
      <c r="L59" s="13">
        <v>2536723495.8299999</v>
      </c>
      <c r="M59" s="13">
        <v>11454572400.040001</v>
      </c>
      <c r="N59" s="9" t="s">
        <v>50</v>
      </c>
      <c r="O59" s="6">
        <v>1</v>
      </c>
      <c r="P59" s="12">
        <v>3.8924222647252531E-2</v>
      </c>
      <c r="Q59" s="12">
        <v>0.22145946677338574</v>
      </c>
      <c r="R59" s="14">
        <v>40</v>
      </c>
    </row>
    <row r="60" spans="2:18" x14ac:dyDescent="0.5">
      <c r="B60" s="1" t="s">
        <v>800</v>
      </c>
      <c r="C60" t="s">
        <v>867</v>
      </c>
      <c r="D60" t="s">
        <v>85</v>
      </c>
      <c r="E60">
        <v>15.82</v>
      </c>
      <c r="F60" s="9" t="s">
        <v>50</v>
      </c>
      <c r="G60" s="7">
        <v>33836578816</v>
      </c>
      <c r="H60" s="6">
        <v>20.309999999999999</v>
      </c>
      <c r="I60" s="6">
        <v>8.99</v>
      </c>
      <c r="J60" s="12">
        <f t="shared" si="1"/>
        <v>0.75973303670745262</v>
      </c>
      <c r="K60" s="11">
        <v>2.5916561314791402E-2</v>
      </c>
      <c r="L60" s="13">
        <v>2201052616.79</v>
      </c>
      <c r="M60" s="13">
        <v>15006800240.440001</v>
      </c>
      <c r="N60" s="9" t="s">
        <v>50</v>
      </c>
      <c r="O60" s="6">
        <v>1</v>
      </c>
      <c r="P60" s="12">
        <v>6.0194060502928713E-2</v>
      </c>
      <c r="Q60" s="12">
        <v>0.14667034821045002</v>
      </c>
      <c r="R60" s="14">
        <v>41</v>
      </c>
    </row>
    <row r="61" spans="2:18" x14ac:dyDescent="0.5">
      <c r="B61" s="1" t="s">
        <v>503</v>
      </c>
      <c r="C61" t="s">
        <v>541</v>
      </c>
      <c r="D61" t="s">
        <v>102</v>
      </c>
      <c r="E61">
        <v>37.69</v>
      </c>
      <c r="F61" s="9" t="s">
        <v>50</v>
      </c>
      <c r="G61" s="7">
        <v>79805841408</v>
      </c>
      <c r="H61" s="6">
        <v>44</v>
      </c>
      <c r="I61" s="6">
        <v>32.17</v>
      </c>
      <c r="J61" s="12">
        <f t="shared" si="1"/>
        <v>0.17158843643145771</v>
      </c>
      <c r="K61" s="11">
        <v>2.1225789334040863E-2</v>
      </c>
      <c r="L61" s="13">
        <v>3792362642.79</v>
      </c>
      <c r="M61" s="13">
        <v>24727711046.299999</v>
      </c>
      <c r="N61" s="9" t="s">
        <v>50</v>
      </c>
      <c r="O61" s="6">
        <v>1</v>
      </c>
      <c r="P61" s="12">
        <v>5.2682711996106239E-2</v>
      </c>
      <c r="Q61" s="12">
        <v>0.1533648883104953</v>
      </c>
      <c r="R61" s="14">
        <v>42</v>
      </c>
    </row>
    <row r="62" spans="2:18" x14ac:dyDescent="0.5">
      <c r="B62" s="1" t="s">
        <v>860</v>
      </c>
      <c r="C62" t="s">
        <v>930</v>
      </c>
      <c r="D62" t="s">
        <v>68</v>
      </c>
      <c r="E62">
        <v>29.98</v>
      </c>
      <c r="F62" s="9" t="s">
        <v>50</v>
      </c>
      <c r="G62" s="7">
        <v>24435953664</v>
      </c>
      <c r="H62" s="6">
        <v>30.98</v>
      </c>
      <c r="I62" s="6">
        <v>21.08</v>
      </c>
      <c r="J62" s="12">
        <f t="shared" si="1"/>
        <v>0.42220113851992425</v>
      </c>
      <c r="K62" s="11">
        <v>3.5023348899266178E-2</v>
      </c>
      <c r="L62" s="13">
        <v>2620973196.5</v>
      </c>
      <c r="M62" s="13">
        <v>27412437121.950001</v>
      </c>
      <c r="N62" s="9" t="s">
        <v>50</v>
      </c>
      <c r="O62" s="6">
        <v>1</v>
      </c>
      <c r="P62" s="12">
        <v>7.1775213965206405E-2</v>
      </c>
      <c r="Q62" s="12">
        <v>9.5612556623114117E-2</v>
      </c>
      <c r="R62" s="14">
        <v>43</v>
      </c>
    </row>
    <row r="63" spans="2:18" x14ac:dyDescent="0.5">
      <c r="B63" s="1" t="s">
        <v>845</v>
      </c>
      <c r="C63" t="s">
        <v>917</v>
      </c>
      <c r="D63" t="s">
        <v>49</v>
      </c>
      <c r="E63">
        <v>30.12</v>
      </c>
      <c r="F63" s="9" t="s">
        <v>50</v>
      </c>
      <c r="G63" s="7">
        <v>241916510208</v>
      </c>
      <c r="H63" s="6">
        <v>32.06</v>
      </c>
      <c r="I63" s="6">
        <v>21.08</v>
      </c>
      <c r="J63" s="12">
        <f t="shared" si="1"/>
        <v>0.42884250474383312</v>
      </c>
      <c r="K63" s="11">
        <v>1.9322709163346611E-2</v>
      </c>
      <c r="L63" s="13">
        <v>9156819813.7000008</v>
      </c>
      <c r="M63" s="13">
        <v>49730750383.199997</v>
      </c>
      <c r="N63" s="9" t="s">
        <v>50</v>
      </c>
      <c r="O63" s="6">
        <v>1</v>
      </c>
      <c r="P63" s="12">
        <v>3.9198966033918495E-2</v>
      </c>
      <c r="Q63" s="12">
        <v>0.18412792373214121</v>
      </c>
      <c r="R63" s="14">
        <v>44</v>
      </c>
    </row>
    <row r="64" spans="2:18" x14ac:dyDescent="0.5">
      <c r="B64" s="1" t="s">
        <v>840</v>
      </c>
      <c r="C64" t="s">
        <v>912</v>
      </c>
      <c r="D64" t="s">
        <v>300</v>
      </c>
      <c r="E64">
        <v>3.27</v>
      </c>
      <c r="F64" s="9" t="s">
        <v>50</v>
      </c>
      <c r="G64" s="7">
        <v>67766235136</v>
      </c>
      <c r="H64" s="6">
        <v>4.3</v>
      </c>
      <c r="I64" s="6">
        <v>2.75</v>
      </c>
      <c r="J64" s="12">
        <f t="shared" si="1"/>
        <v>0.1890909090909092</v>
      </c>
      <c r="K64" s="11">
        <v>1.7125382262996942E-2</v>
      </c>
      <c r="L64" s="13">
        <v>12616717000</v>
      </c>
      <c r="M64" s="13">
        <v>231208465000</v>
      </c>
      <c r="N64" s="9" t="s">
        <v>50</v>
      </c>
      <c r="O64" s="6">
        <v>1</v>
      </c>
      <c r="P64" s="12">
        <v>0.11579348616285981</v>
      </c>
      <c r="Q64" s="12">
        <v>5.4568577322633927E-2</v>
      </c>
      <c r="R64" s="14">
        <v>45</v>
      </c>
    </row>
    <row r="65" spans="2:18" x14ac:dyDescent="0.5">
      <c r="B65" s="1" t="s">
        <v>500</v>
      </c>
      <c r="C65" t="s">
        <v>538</v>
      </c>
      <c r="D65" t="s">
        <v>534</v>
      </c>
      <c r="E65">
        <v>53.51</v>
      </c>
      <c r="F65" s="9" t="s">
        <v>50</v>
      </c>
      <c r="G65" s="7">
        <v>151734272000</v>
      </c>
      <c r="H65" s="6">
        <v>73.66</v>
      </c>
      <c r="I65" s="6">
        <v>39.06</v>
      </c>
      <c r="J65" s="12">
        <f t="shared" si="1"/>
        <v>0.36994367639528924</v>
      </c>
      <c r="K65" s="11">
        <v>4.8589048775929738E-3</v>
      </c>
      <c r="L65" s="13">
        <v>3918841276.4000001</v>
      </c>
      <c r="M65" s="13">
        <v>17076522943.65</v>
      </c>
      <c r="N65" s="9" t="s">
        <v>50</v>
      </c>
      <c r="O65" s="6">
        <v>1</v>
      </c>
      <c r="P65" s="12">
        <v>2.7619657081172238E-2</v>
      </c>
      <c r="Q65" s="12">
        <v>0.22948707352964048</v>
      </c>
      <c r="R65" s="14">
        <v>46</v>
      </c>
    </row>
    <row r="66" spans="2:18" x14ac:dyDescent="0.5">
      <c r="B66" s="1" t="s">
        <v>482</v>
      </c>
      <c r="C66" t="s">
        <v>516</v>
      </c>
      <c r="D66" t="s">
        <v>300</v>
      </c>
      <c r="E66">
        <v>8.25</v>
      </c>
      <c r="F66" s="9" t="s">
        <v>50</v>
      </c>
      <c r="G66" s="7">
        <v>133872361472</v>
      </c>
      <c r="H66" s="6">
        <v>10.6</v>
      </c>
      <c r="I66" s="6">
        <v>7.84</v>
      </c>
      <c r="J66" s="12">
        <f t="shared" ref="J66:J97" si="2">E66/I66-1</f>
        <v>5.2295918367347038E-2</v>
      </c>
      <c r="K66" s="11">
        <v>3.3939393939393943E-2</v>
      </c>
      <c r="L66" s="13">
        <v>59165000000</v>
      </c>
      <c r="M66" s="13">
        <v>924142000000</v>
      </c>
      <c r="N66" s="9" t="s">
        <v>50</v>
      </c>
      <c r="O66" s="6">
        <v>1</v>
      </c>
      <c r="P66" s="12">
        <v>9.647017457864375E-2</v>
      </c>
      <c r="Q66" s="12">
        <v>6.4021546472295382E-2</v>
      </c>
      <c r="R66" s="14">
        <v>47</v>
      </c>
    </row>
    <row r="67" spans="2:18" x14ac:dyDescent="0.5">
      <c r="B67" s="1" t="s">
        <v>481</v>
      </c>
      <c r="C67" t="s">
        <v>515</v>
      </c>
      <c r="D67" t="s">
        <v>300</v>
      </c>
      <c r="E67">
        <v>7.38</v>
      </c>
      <c r="F67" s="9" t="s">
        <v>50</v>
      </c>
      <c r="G67" s="7">
        <v>100217020416</v>
      </c>
      <c r="H67" s="6">
        <v>8.93</v>
      </c>
      <c r="I67" s="6">
        <v>7.12</v>
      </c>
      <c r="J67" s="12">
        <f t="shared" si="2"/>
        <v>3.6516853932584192E-2</v>
      </c>
      <c r="K67" s="11">
        <v>4.065040650406504E-2</v>
      </c>
      <c r="L67" s="13">
        <v>42109966000</v>
      </c>
      <c r="M67" s="13">
        <v>746176876000</v>
      </c>
      <c r="N67" s="9" t="s">
        <v>50</v>
      </c>
      <c r="O67" s="6">
        <v>1</v>
      </c>
      <c r="P67" s="12">
        <v>0.10192567813554862</v>
      </c>
      <c r="Q67" s="12">
        <v>5.643429507724386E-2</v>
      </c>
      <c r="R67" s="14">
        <v>47</v>
      </c>
    </row>
    <row r="68" spans="2:18" x14ac:dyDescent="0.5">
      <c r="B68" s="1" t="s">
        <v>486</v>
      </c>
      <c r="C68" t="s">
        <v>520</v>
      </c>
      <c r="D68" t="s">
        <v>233</v>
      </c>
      <c r="E68">
        <v>6.54</v>
      </c>
      <c r="F68" s="9" t="s">
        <v>50</v>
      </c>
      <c r="G68" s="7">
        <v>791174053888</v>
      </c>
      <c r="H68" s="6">
        <v>8.11</v>
      </c>
      <c r="I68" s="6">
        <v>5.25</v>
      </c>
      <c r="J68" s="12">
        <f t="shared" si="2"/>
        <v>0.24571428571428577</v>
      </c>
      <c r="K68" s="11">
        <v>3.4862385321100919E-2</v>
      </c>
      <c r="L68" s="13">
        <v>86964000000</v>
      </c>
      <c r="M68" s="13">
        <v>1118775000000</v>
      </c>
      <c r="N68" s="9" t="s">
        <v>50</v>
      </c>
      <c r="O68" s="6">
        <v>1</v>
      </c>
      <c r="P68" s="12">
        <v>7.397577354857586E-2</v>
      </c>
      <c r="Q68" s="12">
        <v>7.7731447341958845E-2</v>
      </c>
      <c r="R68" s="14">
        <v>48</v>
      </c>
    </row>
    <row r="69" spans="2:18" x14ac:dyDescent="0.5">
      <c r="B69" s="1" t="s">
        <v>811</v>
      </c>
      <c r="C69" t="s">
        <v>879</v>
      </c>
      <c r="D69" t="s">
        <v>327</v>
      </c>
      <c r="E69">
        <v>38.68</v>
      </c>
      <c r="F69" s="9" t="s">
        <v>50</v>
      </c>
      <c r="G69" s="7">
        <v>204678037504</v>
      </c>
      <c r="H69" s="6">
        <v>39.69</v>
      </c>
      <c r="I69" s="6">
        <v>14.84</v>
      </c>
      <c r="J69" s="12">
        <f t="shared" si="2"/>
        <v>1.6064690026954178</v>
      </c>
      <c r="K69" s="11">
        <v>0</v>
      </c>
      <c r="L69" s="13">
        <v>5892077586.3199997</v>
      </c>
      <c r="M69" s="13">
        <v>36795091235.339996</v>
      </c>
      <c r="N69" s="9" t="s">
        <v>50</v>
      </c>
      <c r="O69" s="6">
        <v>1</v>
      </c>
      <c r="P69" s="12">
        <v>3.1081199793906979E-2</v>
      </c>
      <c r="Q69" s="12">
        <v>0.16013216406053996</v>
      </c>
      <c r="R69" s="14">
        <v>49</v>
      </c>
    </row>
    <row r="70" spans="2:18" x14ac:dyDescent="0.5">
      <c r="B70" s="1" t="s">
        <v>805</v>
      </c>
      <c r="C70" t="s">
        <v>873</v>
      </c>
      <c r="D70" t="s">
        <v>314</v>
      </c>
      <c r="E70">
        <v>19.940000000000001</v>
      </c>
      <c r="F70" s="9" t="s">
        <v>50</v>
      </c>
      <c r="G70" s="7">
        <v>47541907456</v>
      </c>
      <c r="H70" s="6">
        <v>23.79</v>
      </c>
      <c r="I70" s="6">
        <v>15.82</v>
      </c>
      <c r="J70" s="12">
        <f t="shared" si="2"/>
        <v>0.26042983565107458</v>
      </c>
      <c r="K70" s="11">
        <v>5.0150451354062184E-3</v>
      </c>
      <c r="L70" s="13">
        <v>3796320674.1900001</v>
      </c>
      <c r="M70" s="13">
        <v>41584895077.169998</v>
      </c>
      <c r="N70" s="9" t="s">
        <v>50</v>
      </c>
      <c r="O70" s="6">
        <v>1</v>
      </c>
      <c r="P70" s="12">
        <v>6.1735202102813837E-2</v>
      </c>
      <c r="Q70" s="12">
        <v>9.1290856142478768E-2</v>
      </c>
      <c r="R70" s="14">
        <v>49</v>
      </c>
    </row>
    <row r="71" spans="2:18" x14ac:dyDescent="0.5">
      <c r="B71" s="1" t="s">
        <v>491</v>
      </c>
      <c r="C71" t="s">
        <v>526</v>
      </c>
      <c r="D71" t="s">
        <v>527</v>
      </c>
      <c r="E71">
        <v>27.27</v>
      </c>
      <c r="F71" s="9" t="s">
        <v>50</v>
      </c>
      <c r="G71" s="7">
        <v>667248295936</v>
      </c>
      <c r="H71" s="6">
        <v>31.19</v>
      </c>
      <c r="I71" s="6">
        <v>25.38</v>
      </c>
      <c r="J71" s="12">
        <f t="shared" si="2"/>
        <v>7.4468085106383031E-2</v>
      </c>
      <c r="K71" s="11">
        <v>0</v>
      </c>
      <c r="L71" s="13">
        <v>50189673691.849998</v>
      </c>
      <c r="M71" s="13">
        <v>460310037215.31</v>
      </c>
      <c r="N71" s="9" t="s">
        <v>50</v>
      </c>
      <c r="O71" s="6">
        <v>1</v>
      </c>
      <c r="P71" s="12">
        <v>5.2381533987751652E-2</v>
      </c>
      <c r="Q71" s="12">
        <v>0.10903449769524313</v>
      </c>
      <c r="R71" s="14">
        <v>50</v>
      </c>
    </row>
    <row r="72" spans="2:18" x14ac:dyDescent="0.5">
      <c r="B72" s="1" t="s">
        <v>552</v>
      </c>
      <c r="C72" t="s">
        <v>561</v>
      </c>
      <c r="D72" t="s">
        <v>524</v>
      </c>
      <c r="E72">
        <v>4.3600000000000003</v>
      </c>
      <c r="F72" s="9" t="s">
        <v>50</v>
      </c>
      <c r="G72" s="7">
        <v>220173942784</v>
      </c>
      <c r="H72" s="6">
        <v>4.4000000000000004</v>
      </c>
      <c r="I72" s="6">
        <v>3.33</v>
      </c>
      <c r="J72" s="12">
        <f t="shared" si="2"/>
        <v>0.30930930930930933</v>
      </c>
      <c r="K72" s="11">
        <v>2.1788990825688071E-2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6.524007029185859E-2</v>
      </c>
      <c r="Q72" s="12">
        <v>8.2400077232001614E-2</v>
      </c>
      <c r="R72" s="14">
        <v>50</v>
      </c>
    </row>
    <row r="73" spans="2:18" x14ac:dyDescent="0.5">
      <c r="B73" s="1" t="s">
        <v>820</v>
      </c>
      <c r="C73" t="s">
        <v>890</v>
      </c>
      <c r="D73" t="s">
        <v>246</v>
      </c>
      <c r="E73">
        <v>82.44</v>
      </c>
      <c r="F73" s="9" t="s">
        <v>50</v>
      </c>
      <c r="G73" s="7">
        <v>129449418752</v>
      </c>
      <c r="H73" s="6">
        <v>97.28</v>
      </c>
      <c r="I73" s="6">
        <v>31</v>
      </c>
      <c r="J73" s="12">
        <f t="shared" si="2"/>
        <v>1.6593548387096773</v>
      </c>
      <c r="K73" s="11">
        <v>1.2130033964095099E-2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2.1093927377562421E-2</v>
      </c>
      <c r="Q73" s="12">
        <v>0.19536137480955779</v>
      </c>
      <c r="R73" s="14">
        <v>51</v>
      </c>
    </row>
    <row r="74" spans="2:18" x14ac:dyDescent="0.5">
      <c r="B74" s="1" t="s">
        <v>808</v>
      </c>
      <c r="C74" t="s">
        <v>876</v>
      </c>
      <c r="D74" t="s">
        <v>314</v>
      </c>
      <c r="E74">
        <v>15.64</v>
      </c>
      <c r="F74" s="9" t="s">
        <v>50</v>
      </c>
      <c r="G74" s="7">
        <v>50882113536</v>
      </c>
      <c r="H74" s="6">
        <v>17.11</v>
      </c>
      <c r="I74" s="6">
        <v>8.7200000000000006</v>
      </c>
      <c r="J74" s="12">
        <f t="shared" si="2"/>
        <v>0.79357798165137616</v>
      </c>
      <c r="K74" s="11">
        <v>2.877237851662404E-2</v>
      </c>
      <c r="L74" s="13">
        <v>3215394657.6799998</v>
      </c>
      <c r="M74" s="13">
        <v>45581485581.43</v>
      </c>
      <c r="N74" s="9" t="s">
        <v>50</v>
      </c>
      <c r="O74" s="6">
        <v>1</v>
      </c>
      <c r="P74" s="12">
        <v>6.8207556171379288E-2</v>
      </c>
      <c r="Q74" s="12">
        <v>7.0541681927759697E-2</v>
      </c>
      <c r="R74" s="14">
        <v>52</v>
      </c>
    </row>
    <row r="75" spans="2:18" x14ac:dyDescent="0.5">
      <c r="B75" s="1" t="s">
        <v>483</v>
      </c>
      <c r="C75" t="s">
        <v>517</v>
      </c>
      <c r="D75" t="s">
        <v>300</v>
      </c>
      <c r="E75">
        <v>6.36</v>
      </c>
      <c r="F75" s="9" t="s">
        <v>50</v>
      </c>
      <c r="G75" s="7">
        <v>109558382592</v>
      </c>
      <c r="H75" s="6">
        <v>7.84</v>
      </c>
      <c r="I75" s="6">
        <v>4.38</v>
      </c>
      <c r="J75" s="12">
        <f t="shared" si="2"/>
        <v>0.45205479452054798</v>
      </c>
      <c r="K75" s="11">
        <v>1.9968553459119496E-2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7.382329730522609E-2</v>
      </c>
      <c r="Q75" s="12">
        <v>5.8266799805430196E-2</v>
      </c>
      <c r="R75" s="14">
        <v>53</v>
      </c>
    </row>
    <row r="76" spans="2:18" x14ac:dyDescent="0.5">
      <c r="B76" s="1" t="s">
        <v>815</v>
      </c>
      <c r="C76" t="s">
        <v>884</v>
      </c>
      <c r="D76" t="s">
        <v>174</v>
      </c>
      <c r="E76">
        <v>31.83</v>
      </c>
      <c r="F76" s="9" t="s">
        <v>50</v>
      </c>
      <c r="G76" s="7">
        <v>154289946624</v>
      </c>
      <c r="H76" s="6">
        <v>41.48</v>
      </c>
      <c r="I76" s="6">
        <v>12.19</v>
      </c>
      <c r="J76" s="12">
        <f t="shared" si="2"/>
        <v>1.6111566858080395</v>
      </c>
      <c r="K76" s="11">
        <v>1.2189758089852341E-2</v>
      </c>
      <c r="L76" s="13">
        <v>5569700493.2700005</v>
      </c>
      <c r="M76" s="13">
        <v>42130597516.150002</v>
      </c>
      <c r="N76" s="9" t="s">
        <v>50</v>
      </c>
      <c r="O76" s="6">
        <v>1</v>
      </c>
      <c r="P76" s="12">
        <v>3.503253590322962E-2</v>
      </c>
      <c r="Q76" s="12">
        <v>0.13220084265681151</v>
      </c>
      <c r="R76" s="14">
        <v>54</v>
      </c>
    </row>
    <row r="77" spans="2:18" x14ac:dyDescent="0.5">
      <c r="B77" s="1" t="s">
        <v>847</v>
      </c>
      <c r="C77" t="s">
        <v>919</v>
      </c>
      <c r="D77" t="s">
        <v>49</v>
      </c>
      <c r="E77">
        <v>112.25</v>
      </c>
      <c r="F77" s="9" t="s">
        <v>50</v>
      </c>
      <c r="G77" s="7">
        <v>150507159552</v>
      </c>
      <c r="H77" s="6">
        <v>125.98</v>
      </c>
      <c r="I77" s="6">
        <v>65.819999999999993</v>
      </c>
      <c r="J77" s="12">
        <f t="shared" si="2"/>
        <v>0.70540869036766951</v>
      </c>
      <c r="K77" s="11">
        <v>8.9086859688195987E-3</v>
      </c>
      <c r="L77" s="13">
        <v>2812187511.7399998</v>
      </c>
      <c r="M77" s="13">
        <v>15790160180.469999</v>
      </c>
      <c r="N77" s="9" t="s">
        <v>50</v>
      </c>
      <c r="O77" s="6">
        <v>1</v>
      </c>
      <c r="P77" s="12">
        <v>1.9714623842762652E-2</v>
      </c>
      <c r="Q77" s="12">
        <v>0.17809746573807678</v>
      </c>
      <c r="R77" s="14">
        <v>54</v>
      </c>
    </row>
    <row r="78" spans="2:18" x14ac:dyDescent="0.5">
      <c r="B78" s="1" t="s">
        <v>489</v>
      </c>
      <c r="C78" t="s">
        <v>523</v>
      </c>
      <c r="D78" t="s">
        <v>524</v>
      </c>
      <c r="E78">
        <v>7.79</v>
      </c>
      <c r="F78" s="9" t="s">
        <v>50</v>
      </c>
      <c r="G78" s="7">
        <v>122288144384</v>
      </c>
      <c r="H78" s="6">
        <v>8.49</v>
      </c>
      <c r="I78" s="6">
        <v>6.55</v>
      </c>
      <c r="J78" s="12">
        <f t="shared" si="2"/>
        <v>0.18931297709923678</v>
      </c>
      <c r="K78" s="11">
        <v>3.4659820282413351E-2</v>
      </c>
      <c r="L78" s="13">
        <v>25872572232</v>
      </c>
      <c r="M78" s="13">
        <v>387656475215</v>
      </c>
      <c r="N78" s="9" t="s">
        <v>50</v>
      </c>
      <c r="O78" s="6">
        <v>1</v>
      </c>
      <c r="P78" s="12">
        <v>6.4611300613691372E-2</v>
      </c>
      <c r="Q78" s="12">
        <v>6.6740977866165369E-2</v>
      </c>
      <c r="R78" s="14">
        <v>55</v>
      </c>
    </row>
    <row r="79" spans="2:18" x14ac:dyDescent="0.5">
      <c r="B79" s="1" t="s">
        <v>480</v>
      </c>
      <c r="C79" t="s">
        <v>514</v>
      </c>
      <c r="D79" t="s">
        <v>300</v>
      </c>
      <c r="E79">
        <v>5.93</v>
      </c>
      <c r="F79" s="9" t="s">
        <v>50</v>
      </c>
      <c r="G79" s="7">
        <v>146389286912</v>
      </c>
      <c r="H79" s="6">
        <v>6.47</v>
      </c>
      <c r="I79" s="6">
        <v>5.16</v>
      </c>
      <c r="J79" s="12">
        <f t="shared" si="2"/>
        <v>0.14922480620155021</v>
      </c>
      <c r="K79" s="11">
        <v>4.3844856661045532E-2</v>
      </c>
      <c r="L79" s="13">
        <v>33501619000</v>
      </c>
      <c r="M79" s="13">
        <v>818795014000</v>
      </c>
      <c r="N79" s="9" t="s">
        <v>50</v>
      </c>
      <c r="O79" s="6">
        <v>1</v>
      </c>
      <c r="P79" s="12">
        <v>8.1267834079089954E-2</v>
      </c>
      <c r="Q79" s="12">
        <v>4.0915758434259347E-2</v>
      </c>
      <c r="R79" s="14">
        <v>56</v>
      </c>
    </row>
    <row r="80" spans="2:18" x14ac:dyDescent="0.5">
      <c r="B80" s="1" t="s">
        <v>853</v>
      </c>
      <c r="C80" t="s">
        <v>923</v>
      </c>
      <c r="D80" t="s">
        <v>569</v>
      </c>
      <c r="E80">
        <v>18.260000000000002</v>
      </c>
      <c r="F80" s="9" t="s">
        <v>50</v>
      </c>
      <c r="G80" s="7">
        <v>60016156672</v>
      </c>
      <c r="H80" s="6">
        <v>21.96</v>
      </c>
      <c r="I80" s="6">
        <v>14.37</v>
      </c>
      <c r="J80" s="12">
        <f t="shared" si="2"/>
        <v>0.27070285316631892</v>
      </c>
      <c r="K80" s="11">
        <v>0</v>
      </c>
      <c r="L80" s="13">
        <v>3035043640.8400002</v>
      </c>
      <c r="M80" s="13">
        <v>37023046171.080002</v>
      </c>
      <c r="N80" s="9" t="s">
        <v>50</v>
      </c>
      <c r="O80" s="6">
        <v>1</v>
      </c>
      <c r="P80" s="12">
        <v>6.0627035310962425E-2</v>
      </c>
      <c r="Q80" s="12">
        <v>8.1977145446524041E-2</v>
      </c>
      <c r="R80" s="14">
        <v>56</v>
      </c>
    </row>
    <row r="81" spans="2:18" x14ac:dyDescent="0.5">
      <c r="B81" s="1" t="s">
        <v>819</v>
      </c>
      <c r="C81" t="s">
        <v>889</v>
      </c>
      <c r="D81" t="s">
        <v>294</v>
      </c>
      <c r="E81">
        <v>68.040000000000006</v>
      </c>
      <c r="F81" s="9" t="s">
        <v>50</v>
      </c>
      <c r="G81" s="7">
        <v>129072316416</v>
      </c>
      <c r="H81" s="6">
        <v>82.17</v>
      </c>
      <c r="I81" s="6">
        <v>27.37</v>
      </c>
      <c r="J81" s="12">
        <f t="shared" si="2"/>
        <v>1.4859335038363173</v>
      </c>
      <c r="K81" s="11">
        <v>7.3486184597295699E-3</v>
      </c>
      <c r="L81" s="13">
        <v>8097181418.6999998</v>
      </c>
      <c r="M81" s="13">
        <v>84141826619.429993</v>
      </c>
      <c r="N81" s="9" t="s">
        <v>50</v>
      </c>
      <c r="O81" s="6">
        <v>1</v>
      </c>
      <c r="P81" s="12">
        <v>4.8824463292260409E-2</v>
      </c>
      <c r="Q81" s="12">
        <v>9.6232536706425648E-2</v>
      </c>
      <c r="R81" s="14">
        <v>57</v>
      </c>
    </row>
    <row r="82" spans="2:18" x14ac:dyDescent="0.5">
      <c r="B82" s="1" t="s">
        <v>828</v>
      </c>
      <c r="C82" t="s">
        <v>899</v>
      </c>
      <c r="D82" t="s">
        <v>49</v>
      </c>
      <c r="E82">
        <v>48.26</v>
      </c>
      <c r="F82" s="9" t="s">
        <v>50</v>
      </c>
      <c r="G82" s="7">
        <v>203078746112</v>
      </c>
      <c r="H82" s="6">
        <v>60.77</v>
      </c>
      <c r="I82" s="6">
        <v>21.26</v>
      </c>
      <c r="J82" s="12">
        <f t="shared" si="2"/>
        <v>1.2699905926622761</v>
      </c>
      <c r="K82" s="11">
        <v>7.6668048072938257E-3</v>
      </c>
      <c r="L82" s="13">
        <v>3843953849.75</v>
      </c>
      <c r="M82" s="13">
        <v>22896887352.369999</v>
      </c>
      <c r="N82" s="9" t="s">
        <v>50</v>
      </c>
      <c r="O82" s="6">
        <v>1</v>
      </c>
      <c r="P82" s="12">
        <v>1.9005181396542031E-2</v>
      </c>
      <c r="Q82" s="12">
        <v>0.16788106569219427</v>
      </c>
      <c r="R82" s="14">
        <v>58</v>
      </c>
    </row>
    <row r="83" spans="2:18" x14ac:dyDescent="0.5">
      <c r="B83" s="1" t="s">
        <v>854</v>
      </c>
      <c r="C83" t="s">
        <v>924</v>
      </c>
      <c r="D83" t="s">
        <v>87</v>
      </c>
      <c r="E83">
        <v>13.41</v>
      </c>
      <c r="F83" s="9" t="s">
        <v>50</v>
      </c>
      <c r="G83" s="7">
        <v>33302163456</v>
      </c>
      <c r="H83" s="6">
        <v>15.08</v>
      </c>
      <c r="I83" s="6">
        <v>10.62</v>
      </c>
      <c r="J83" s="12">
        <f t="shared" si="2"/>
        <v>0.26271186440677985</v>
      </c>
      <c r="K83" s="11">
        <v>0</v>
      </c>
      <c r="L83" s="13">
        <v>1353971668.8699999</v>
      </c>
      <c r="M83" s="13">
        <v>15279593139.1</v>
      </c>
      <c r="N83" s="9" t="s">
        <v>50</v>
      </c>
      <c r="O83" s="6">
        <v>1</v>
      </c>
      <c r="P83" s="12">
        <v>5.2721736219069414E-2</v>
      </c>
      <c r="Q83" s="12">
        <v>8.8613070815690032E-2</v>
      </c>
      <c r="R83" s="14">
        <v>58</v>
      </c>
    </row>
    <row r="84" spans="2:18" x14ac:dyDescent="0.5">
      <c r="B84" s="1" t="s">
        <v>810</v>
      </c>
      <c r="C84" t="s">
        <v>878</v>
      </c>
      <c r="D84" t="s">
        <v>314</v>
      </c>
      <c r="E84">
        <v>11.26</v>
      </c>
      <c r="F84" s="9" t="s">
        <v>50</v>
      </c>
      <c r="G84" s="7">
        <v>55878246400</v>
      </c>
      <c r="H84" s="6">
        <v>13.98</v>
      </c>
      <c r="I84" s="6">
        <v>6.41</v>
      </c>
      <c r="J84" s="12">
        <f t="shared" si="2"/>
        <v>0.75663026521060828</v>
      </c>
      <c r="K84" s="11">
        <v>1.7761989342806397E-2</v>
      </c>
      <c r="L84" s="13">
        <v>2631965508.3000002</v>
      </c>
      <c r="M84" s="13">
        <v>29251947273.349998</v>
      </c>
      <c r="N84" s="9" t="s">
        <v>50</v>
      </c>
      <c r="O84" s="6">
        <v>1</v>
      </c>
      <c r="P84" s="12">
        <v>5.0927942995697452E-2</v>
      </c>
      <c r="Q84" s="12">
        <v>8.997573678446541E-2</v>
      </c>
      <c r="R84" s="14">
        <v>58</v>
      </c>
    </row>
    <row r="85" spans="2:18" x14ac:dyDescent="0.5">
      <c r="B85" s="1" t="s">
        <v>353</v>
      </c>
      <c r="C85" t="s">
        <v>374</v>
      </c>
      <c r="D85" t="s">
        <v>246</v>
      </c>
      <c r="E85">
        <v>18.03</v>
      </c>
      <c r="F85" s="9" t="s">
        <v>50</v>
      </c>
      <c r="G85" s="7">
        <v>5262153728</v>
      </c>
      <c r="H85" s="6">
        <v>19.649999999999999</v>
      </c>
      <c r="I85" s="6">
        <v>11.95</v>
      </c>
      <c r="J85" s="12">
        <f t="shared" si="2"/>
        <v>0.50878661087866117</v>
      </c>
      <c r="K85" s="11">
        <v>2.2185246810870772E-2</v>
      </c>
      <c r="L85" s="13">
        <v>225008130.19999999</v>
      </c>
      <c r="M85" s="13">
        <v>2512019918.8400002</v>
      </c>
      <c r="N85" s="9" t="s">
        <v>50</v>
      </c>
      <c r="O85" s="6">
        <v>1</v>
      </c>
      <c r="P85" s="12">
        <v>5.0555222626576558E-2</v>
      </c>
      <c r="Q85" s="12">
        <v>8.957258997528339E-2</v>
      </c>
      <c r="R85" s="14">
        <v>59</v>
      </c>
    </row>
    <row r="86" spans="2:18" x14ac:dyDescent="0.5">
      <c r="B86" s="1" t="s">
        <v>823</v>
      </c>
      <c r="C86" t="s">
        <v>894</v>
      </c>
      <c r="D86" t="s">
        <v>423</v>
      </c>
      <c r="E86">
        <v>53.55</v>
      </c>
      <c r="F86" s="9" t="s">
        <v>50</v>
      </c>
      <c r="G86" s="7">
        <v>1063406403584</v>
      </c>
      <c r="H86" s="6">
        <v>83.88</v>
      </c>
      <c r="I86" s="6">
        <v>14.58</v>
      </c>
      <c r="J86" s="12">
        <f t="shared" si="2"/>
        <v>2.6728395061728394</v>
      </c>
      <c r="K86" s="11">
        <v>1.8113912231559292E-2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2.7320443478666131E-2</v>
      </c>
      <c r="Q86" s="12">
        <v>0.14999278207616151</v>
      </c>
      <c r="R86" s="14">
        <v>60</v>
      </c>
    </row>
    <row r="87" spans="2:18" x14ac:dyDescent="0.5">
      <c r="B87" s="1" t="s">
        <v>803</v>
      </c>
      <c r="C87" t="s">
        <v>871</v>
      </c>
      <c r="D87" t="s">
        <v>246</v>
      </c>
      <c r="E87">
        <v>33.83</v>
      </c>
      <c r="F87" s="9" t="s">
        <v>50</v>
      </c>
      <c r="G87" s="7">
        <v>248087592960</v>
      </c>
      <c r="H87" s="6">
        <v>33.92</v>
      </c>
      <c r="I87" s="6">
        <v>13.85</v>
      </c>
      <c r="J87" s="12">
        <f t="shared" si="2"/>
        <v>1.4425992779783394</v>
      </c>
      <c r="K87" s="11">
        <v>2.1874076263671299E-2</v>
      </c>
      <c r="L87" s="13">
        <v>7999013460.4300003</v>
      </c>
      <c r="M87" s="13">
        <v>65278868258.809998</v>
      </c>
      <c r="N87" s="9" t="s">
        <v>50</v>
      </c>
      <c r="O87" s="6">
        <v>1</v>
      </c>
      <c r="P87" s="12">
        <v>2.8912386839138715E-2</v>
      </c>
      <c r="Q87" s="12">
        <v>0.12253603154877701</v>
      </c>
      <c r="R87" s="14">
        <v>61</v>
      </c>
    </row>
    <row r="88" spans="2:18" x14ac:dyDescent="0.5">
      <c r="B88" s="1" t="s">
        <v>849</v>
      </c>
      <c r="C88" t="s">
        <v>921</v>
      </c>
      <c r="D88" t="s">
        <v>81</v>
      </c>
      <c r="E88">
        <v>11.81</v>
      </c>
      <c r="F88" s="9" t="s">
        <v>50</v>
      </c>
      <c r="G88" s="7">
        <v>138751164416</v>
      </c>
      <c r="H88" s="6">
        <v>12.9</v>
      </c>
      <c r="I88" s="6">
        <v>7.57</v>
      </c>
      <c r="J88" s="12">
        <f t="shared" si="2"/>
        <v>0.560105680317041</v>
      </c>
      <c r="K88" s="11">
        <v>1.5241320914479254E-2</v>
      </c>
      <c r="L88" s="13">
        <v>7951769756.5299997</v>
      </c>
      <c r="M88" s="13">
        <v>91267953536.220001</v>
      </c>
      <c r="N88" s="9" t="s">
        <v>50</v>
      </c>
      <c r="O88" s="6">
        <v>1</v>
      </c>
      <c r="P88" s="12">
        <v>4.8995955307422664E-2</v>
      </c>
      <c r="Q88" s="12">
        <v>8.7125540219046463E-2</v>
      </c>
      <c r="R88" s="14">
        <v>62</v>
      </c>
    </row>
    <row r="89" spans="2:18" x14ac:dyDescent="0.5">
      <c r="B89" s="1" t="s">
        <v>826</v>
      </c>
      <c r="C89" t="s">
        <v>897</v>
      </c>
      <c r="D89" t="s">
        <v>55</v>
      </c>
      <c r="E89">
        <v>89.5</v>
      </c>
      <c r="F89" s="9" t="s">
        <v>50</v>
      </c>
      <c r="G89" s="7">
        <v>90908049408</v>
      </c>
      <c r="H89" s="6">
        <v>111.03</v>
      </c>
      <c r="I89" s="6">
        <v>55.5</v>
      </c>
      <c r="J89" s="12">
        <f t="shared" si="2"/>
        <v>0.61261261261261257</v>
      </c>
      <c r="K89" s="11">
        <v>1.0055865921787709E-2</v>
      </c>
      <c r="L89" s="13">
        <v>3278438539.71</v>
      </c>
      <c r="M89" s="13">
        <v>32998524770.669998</v>
      </c>
      <c r="N89" s="9" t="s">
        <v>50</v>
      </c>
      <c r="O89" s="6">
        <v>1</v>
      </c>
      <c r="P89" s="12">
        <v>3.6629482777535763E-2</v>
      </c>
      <c r="Q89" s="12">
        <v>9.9351063797372144E-2</v>
      </c>
      <c r="R89" s="14">
        <v>63</v>
      </c>
    </row>
    <row r="90" spans="2:18" x14ac:dyDescent="0.5">
      <c r="B90" s="1" t="s">
        <v>484</v>
      </c>
      <c r="C90" t="s">
        <v>518</v>
      </c>
      <c r="D90" t="s">
        <v>300</v>
      </c>
      <c r="E90">
        <v>3.63</v>
      </c>
      <c r="F90" s="9" t="s">
        <v>50</v>
      </c>
      <c r="G90" s="7">
        <v>151338926080</v>
      </c>
      <c r="H90" s="6">
        <v>3.76</v>
      </c>
      <c r="I90" s="6">
        <v>2.13</v>
      </c>
      <c r="J90" s="12">
        <f t="shared" si="2"/>
        <v>0.70422535211267601</v>
      </c>
      <c r="K90" s="11">
        <v>7.1625344352617077E-3</v>
      </c>
      <c r="L90" s="13">
        <v>21889640000</v>
      </c>
      <c r="M90" s="13">
        <v>403626754000</v>
      </c>
      <c r="N90" s="9" t="s">
        <v>50</v>
      </c>
      <c r="O90" s="6">
        <v>1</v>
      </c>
      <c r="P90" s="12">
        <v>6.2450261663921439E-2</v>
      </c>
      <c r="Q90" s="12">
        <v>5.4232381236056518E-2</v>
      </c>
      <c r="R90" s="14">
        <v>64</v>
      </c>
    </row>
    <row r="91" spans="2:18" x14ac:dyDescent="0.5">
      <c r="B91" s="1" t="s">
        <v>806</v>
      </c>
      <c r="C91" t="s">
        <v>874</v>
      </c>
      <c r="D91" t="s">
        <v>246</v>
      </c>
      <c r="E91">
        <v>39.65</v>
      </c>
      <c r="F91" s="9" t="s">
        <v>50</v>
      </c>
      <c r="G91" s="7">
        <v>107044937728</v>
      </c>
      <c r="H91" s="6">
        <v>43.92</v>
      </c>
      <c r="I91" s="6">
        <v>21.96</v>
      </c>
      <c r="J91" s="12">
        <f t="shared" si="2"/>
        <v>0.80555555555555536</v>
      </c>
      <c r="K91" s="11">
        <v>1.0340479192938208E-2</v>
      </c>
      <c r="L91" s="13">
        <v>2605317217.75</v>
      </c>
      <c r="M91" s="13">
        <v>21330782043.41</v>
      </c>
      <c r="N91" s="9" t="s">
        <v>50</v>
      </c>
      <c r="O91" s="6">
        <v>1</v>
      </c>
      <c r="P91" s="12">
        <v>2.4027719737294909E-2</v>
      </c>
      <c r="Q91" s="12">
        <v>0.12213885137675461</v>
      </c>
      <c r="R91" s="14">
        <v>65</v>
      </c>
    </row>
    <row r="92" spans="2:18" x14ac:dyDescent="0.5">
      <c r="B92" s="1" t="s">
        <v>861</v>
      </c>
      <c r="C92" t="s">
        <v>931</v>
      </c>
      <c r="D92" t="s">
        <v>365</v>
      </c>
      <c r="E92">
        <v>20.16</v>
      </c>
      <c r="F92" s="9" t="s">
        <v>50</v>
      </c>
      <c r="G92" s="7">
        <v>25604134912</v>
      </c>
      <c r="H92" s="6">
        <v>21.11</v>
      </c>
      <c r="I92" s="6">
        <v>11.17</v>
      </c>
      <c r="J92" s="12">
        <f t="shared" si="2"/>
        <v>0.80483437779767231</v>
      </c>
      <c r="K92" s="11">
        <v>1.388888888888889E-2</v>
      </c>
      <c r="L92" s="13">
        <v>1118187772.05</v>
      </c>
      <c r="M92" s="13">
        <v>13380682396.17</v>
      </c>
      <c r="N92" s="9" t="s">
        <v>50</v>
      </c>
      <c r="O92" s="6">
        <v>1</v>
      </c>
      <c r="P92" s="12">
        <v>4.1144952547259681E-2</v>
      </c>
      <c r="Q92" s="12">
        <v>8.3567320331141171E-2</v>
      </c>
      <c r="R92" s="14">
        <v>66</v>
      </c>
    </row>
    <row r="93" spans="2:18" x14ac:dyDescent="0.5">
      <c r="B93" s="1" t="s">
        <v>490</v>
      </c>
      <c r="C93" t="s">
        <v>525</v>
      </c>
      <c r="D93" t="s">
        <v>524</v>
      </c>
      <c r="E93">
        <v>4.58</v>
      </c>
      <c r="F93" s="9" t="s">
        <v>50</v>
      </c>
      <c r="G93" s="7">
        <v>84760731648</v>
      </c>
      <c r="H93" s="6">
        <v>4.58</v>
      </c>
      <c r="I93" s="6">
        <v>2.69</v>
      </c>
      <c r="J93" s="12">
        <f t="shared" si="2"/>
        <v>0.70260223048327153</v>
      </c>
      <c r="K93" s="11">
        <v>2.5545851528384282E-2</v>
      </c>
      <c r="L93" s="13">
        <v>13880855000</v>
      </c>
      <c r="M93" s="13">
        <v>234487155000</v>
      </c>
      <c r="N93" s="9" t="s">
        <v>50</v>
      </c>
      <c r="O93" s="6">
        <v>1</v>
      </c>
      <c r="P93" s="12">
        <v>5.3211507157986386E-2</v>
      </c>
      <c r="Q93" s="12">
        <v>5.9196654076851249E-2</v>
      </c>
      <c r="R93" s="14">
        <v>67</v>
      </c>
    </row>
    <row r="94" spans="2:18" x14ac:dyDescent="0.5">
      <c r="B94" s="1" t="s">
        <v>812</v>
      </c>
      <c r="C94" t="s">
        <v>880</v>
      </c>
      <c r="D94" t="s">
        <v>881</v>
      </c>
      <c r="E94">
        <v>7.08</v>
      </c>
      <c r="F94" s="9" t="s">
        <v>50</v>
      </c>
      <c r="G94" s="7">
        <v>154217168896</v>
      </c>
      <c r="H94" s="6">
        <v>7.83</v>
      </c>
      <c r="I94" s="6">
        <v>6.46</v>
      </c>
      <c r="J94" s="12">
        <f t="shared" si="2"/>
        <v>9.5975232198142413E-2</v>
      </c>
      <c r="K94" s="11">
        <v>3.1073446327683614E-2</v>
      </c>
      <c r="L94" s="13">
        <v>10855664640.76</v>
      </c>
      <c r="M94" s="13">
        <v>228180280563.95001</v>
      </c>
      <c r="N94" s="9" t="s">
        <v>50</v>
      </c>
      <c r="O94" s="6">
        <v>1</v>
      </c>
      <c r="P94" s="12">
        <v>6.1237380423613555E-2</v>
      </c>
      <c r="Q94" s="12">
        <v>4.7574946502520324E-2</v>
      </c>
      <c r="R94" s="14">
        <v>67</v>
      </c>
    </row>
    <row r="95" spans="2:18" x14ac:dyDescent="0.5">
      <c r="B95" s="1" t="s">
        <v>559</v>
      </c>
      <c r="C95" t="s">
        <v>570</v>
      </c>
      <c r="D95" t="s">
        <v>423</v>
      </c>
      <c r="E95">
        <v>37.409999999999997</v>
      </c>
      <c r="F95" s="9" t="s">
        <v>50</v>
      </c>
      <c r="G95" s="7">
        <v>178952044544</v>
      </c>
      <c r="H95" s="6">
        <v>55.85</v>
      </c>
      <c r="I95" s="6">
        <v>28.67</v>
      </c>
      <c r="J95" s="12">
        <f t="shared" si="2"/>
        <v>0.30484827345657473</v>
      </c>
      <c r="K95" s="11">
        <v>1.0986367281475541E-2</v>
      </c>
      <c r="L95" s="13">
        <v>10046919000</v>
      </c>
      <c r="M95" s="13">
        <v>132576452000</v>
      </c>
      <c r="N95" s="9" t="s">
        <v>50</v>
      </c>
      <c r="O95" s="6">
        <v>1</v>
      </c>
      <c r="P95" s="12">
        <v>4.7572315600689752E-2</v>
      </c>
      <c r="Q95" s="12">
        <v>7.5782077800664024E-2</v>
      </c>
      <c r="R95" s="14">
        <v>68</v>
      </c>
    </row>
    <row r="96" spans="2:18" x14ac:dyDescent="0.5">
      <c r="B96" s="1" t="s">
        <v>9</v>
      </c>
      <c r="C96" t="s">
        <v>52</v>
      </c>
      <c r="D96" t="s">
        <v>53</v>
      </c>
      <c r="E96">
        <v>64.099999999999994</v>
      </c>
      <c r="F96" s="9" t="s">
        <v>50</v>
      </c>
      <c r="G96" s="7">
        <v>37108854784</v>
      </c>
      <c r="H96" s="6">
        <v>111.69</v>
      </c>
      <c r="I96" s="6">
        <v>42.3</v>
      </c>
      <c r="J96" s="12">
        <f t="shared" si="2"/>
        <v>0.51536643026004736</v>
      </c>
      <c r="K96" s="11">
        <v>7.0202808112324504E-3</v>
      </c>
      <c r="L96" s="13">
        <v>939613185.05999994</v>
      </c>
      <c r="M96" s="13">
        <v>9067794807.8099995</v>
      </c>
      <c r="N96" s="9" t="s">
        <v>50</v>
      </c>
      <c r="O96" s="6">
        <v>1</v>
      </c>
      <c r="P96" s="12">
        <v>2.7636753679484982E-2</v>
      </c>
      <c r="Q96" s="12">
        <v>0.10362091390188061</v>
      </c>
      <c r="R96" s="14">
        <v>68</v>
      </c>
    </row>
    <row r="97" spans="2:18" x14ac:dyDescent="0.5">
      <c r="B97" s="1" t="s">
        <v>844</v>
      </c>
      <c r="C97" t="s">
        <v>916</v>
      </c>
      <c r="D97" t="s">
        <v>236</v>
      </c>
      <c r="E97">
        <v>68.22</v>
      </c>
      <c r="F97" s="9" t="s">
        <v>50</v>
      </c>
      <c r="G97" s="7">
        <v>141496532992</v>
      </c>
      <c r="H97" s="6">
        <v>94.44</v>
      </c>
      <c r="I97" s="6">
        <v>37.31</v>
      </c>
      <c r="J97" s="12">
        <f t="shared" si="2"/>
        <v>0.82846421870812104</v>
      </c>
      <c r="K97" s="11">
        <v>1.0920551158018177E-2</v>
      </c>
      <c r="L97" s="13">
        <v>5273336756.1199999</v>
      </c>
      <c r="M97" s="13">
        <v>56885161743.849998</v>
      </c>
      <c r="N97" s="9" t="s">
        <v>50</v>
      </c>
      <c r="O97" s="6">
        <v>1</v>
      </c>
      <c r="P97" s="12">
        <v>3.338819399623591E-2</v>
      </c>
      <c r="Q97" s="12">
        <v>9.2701446114638389E-2</v>
      </c>
      <c r="R97" s="14">
        <v>68</v>
      </c>
    </row>
    <row r="98" spans="2:18" x14ac:dyDescent="0.5">
      <c r="B98" s="1" t="s">
        <v>858</v>
      </c>
      <c r="C98" t="s">
        <v>928</v>
      </c>
      <c r="D98" t="s">
        <v>236</v>
      </c>
      <c r="E98">
        <v>30.04</v>
      </c>
      <c r="F98" s="9" t="s">
        <v>50</v>
      </c>
      <c r="G98" s="7">
        <v>102525009920</v>
      </c>
      <c r="H98" s="6">
        <v>31.82</v>
      </c>
      <c r="I98" s="6">
        <v>12.1</v>
      </c>
      <c r="J98" s="12">
        <f t="shared" ref="J98:J129" si="3">E98/I98-1</f>
        <v>1.4826446280991736</v>
      </c>
      <c r="K98" s="11">
        <v>9.9866844207723033E-3</v>
      </c>
      <c r="L98" s="13">
        <v>3335749366.2600002</v>
      </c>
      <c r="M98" s="13">
        <v>39243802205.440002</v>
      </c>
      <c r="N98" s="9" t="s">
        <v>50</v>
      </c>
      <c r="O98" s="6">
        <v>1</v>
      </c>
      <c r="P98" s="12">
        <v>3.6965612378980238E-2</v>
      </c>
      <c r="Q98" s="12">
        <v>8.500066708107086E-2</v>
      </c>
      <c r="R98" s="14">
        <v>69</v>
      </c>
    </row>
    <row r="99" spans="2:18" x14ac:dyDescent="0.5">
      <c r="B99" s="1" t="s">
        <v>864</v>
      </c>
      <c r="C99" t="s">
        <v>934</v>
      </c>
      <c r="D99" t="s">
        <v>427</v>
      </c>
      <c r="E99">
        <v>34.14</v>
      </c>
      <c r="F99" s="9" t="s">
        <v>50</v>
      </c>
      <c r="G99" s="7">
        <v>19880738816</v>
      </c>
      <c r="H99" s="6">
        <v>54.8</v>
      </c>
      <c r="I99" s="6">
        <v>33.549999999999997</v>
      </c>
      <c r="J99" s="12">
        <f t="shared" si="3"/>
        <v>1.7585692995529145E-2</v>
      </c>
      <c r="K99" s="11">
        <v>2.0503807850029289E-2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4.5161126602153198E-2</v>
      </c>
      <c r="Q99" s="12">
        <v>7.3118358794655905E-2</v>
      </c>
      <c r="R99" s="14">
        <v>70</v>
      </c>
    </row>
    <row r="100" spans="2:18" x14ac:dyDescent="0.5">
      <c r="B100" s="1" t="s">
        <v>835</v>
      </c>
      <c r="C100" t="s">
        <v>907</v>
      </c>
      <c r="D100" t="s">
        <v>148</v>
      </c>
      <c r="E100">
        <v>9.5500000000000007</v>
      </c>
      <c r="F100" s="9" t="s">
        <v>50</v>
      </c>
      <c r="G100" s="7">
        <v>86103113728</v>
      </c>
      <c r="H100" s="6">
        <v>11.1</v>
      </c>
      <c r="I100" s="6">
        <v>8.43</v>
      </c>
      <c r="J100" s="12">
        <f t="shared" si="3"/>
        <v>0.13285883748517202</v>
      </c>
      <c r="K100" s="11">
        <v>2.0314136125654449E-2</v>
      </c>
      <c r="L100" s="13">
        <v>12685301253.35</v>
      </c>
      <c r="M100" s="13">
        <v>286434920781.45001</v>
      </c>
      <c r="N100" s="9" t="s">
        <v>50</v>
      </c>
      <c r="O100" s="6">
        <v>1</v>
      </c>
      <c r="P100" s="12">
        <v>5.9492341205963119E-2</v>
      </c>
      <c r="Q100" s="12">
        <v>4.4286853079024156E-2</v>
      </c>
      <c r="R100" s="14">
        <v>70</v>
      </c>
    </row>
    <row r="101" spans="2:18" x14ac:dyDescent="0.5">
      <c r="B101" s="1" t="s">
        <v>511</v>
      </c>
      <c r="C101" t="s">
        <v>550</v>
      </c>
      <c r="D101" t="s">
        <v>178</v>
      </c>
      <c r="E101">
        <v>90.83</v>
      </c>
      <c r="F101" s="9" t="s">
        <v>50</v>
      </c>
      <c r="G101" s="7">
        <v>132894810112</v>
      </c>
      <c r="H101" s="6">
        <v>128.12</v>
      </c>
      <c r="I101" s="6">
        <v>58.7</v>
      </c>
      <c r="J101" s="12">
        <f t="shared" si="3"/>
        <v>0.54735945485519588</v>
      </c>
      <c r="K101" s="11">
        <v>0</v>
      </c>
      <c r="L101" s="13">
        <v>2349708213.3800001</v>
      </c>
      <c r="M101" s="13">
        <v>20522336937.23</v>
      </c>
      <c r="N101" s="9" t="s">
        <v>50</v>
      </c>
      <c r="O101" s="6">
        <v>1</v>
      </c>
      <c r="P101" s="12">
        <v>1.8458552019228486E-2</v>
      </c>
      <c r="Q101" s="12">
        <v>0.11449515815702964</v>
      </c>
      <c r="R101" s="14">
        <v>71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25.38</v>
      </c>
      <c r="F102" s="9" t="s">
        <v>50</v>
      </c>
      <c r="G102" s="7">
        <v>89988464640</v>
      </c>
      <c r="H102" s="6">
        <v>40.68</v>
      </c>
      <c r="I102" s="6">
        <v>17.11</v>
      </c>
      <c r="J102" s="12">
        <f t="shared" si="3"/>
        <v>0.48334307422559908</v>
      </c>
      <c r="K102" s="11">
        <v>1.1820330969267139E-2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3.8385632363365146E-2</v>
      </c>
      <c r="Q102" s="12">
        <v>7.9213237643363771E-2</v>
      </c>
      <c r="R102" s="14">
        <v>72</v>
      </c>
    </row>
    <row r="103" spans="2:18" x14ac:dyDescent="0.5">
      <c r="B103" s="1" t="s">
        <v>496</v>
      </c>
      <c r="C103" t="s">
        <v>533</v>
      </c>
      <c r="D103" t="s">
        <v>534</v>
      </c>
      <c r="E103">
        <v>2.88</v>
      </c>
      <c r="F103" s="9" t="s">
        <v>50</v>
      </c>
      <c r="G103" s="7">
        <v>38009249792</v>
      </c>
      <c r="H103" s="6">
        <v>3.25</v>
      </c>
      <c r="I103" s="6">
        <v>2.11</v>
      </c>
      <c r="J103" s="12">
        <f t="shared" si="3"/>
        <v>0.36492890995260674</v>
      </c>
      <c r="K103" s="11">
        <v>1.4236111111111113E-2</v>
      </c>
      <c r="L103" s="13">
        <v>5814662389.1800003</v>
      </c>
      <c r="M103" s="13">
        <v>102256651904.24001</v>
      </c>
      <c r="N103" s="9" t="s">
        <v>50</v>
      </c>
      <c r="O103" s="6">
        <v>1</v>
      </c>
      <c r="P103" s="12">
        <v>4.9211067785090039E-2</v>
      </c>
      <c r="Q103" s="12">
        <v>5.686341456422063E-2</v>
      </c>
      <c r="R103" s="14">
        <v>73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52.23</v>
      </c>
      <c r="F104" s="9" t="s">
        <v>50</v>
      </c>
      <c r="G104" s="7">
        <v>180858355712</v>
      </c>
      <c r="H104" s="6">
        <v>70.7</v>
      </c>
      <c r="I104" s="6">
        <v>19.010000000000002</v>
      </c>
      <c r="J104" s="12">
        <f t="shared" si="3"/>
        <v>1.7475013150973169</v>
      </c>
      <c r="K104" s="11">
        <v>2.1060693088263454E-2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4.2152937331396065E-2</v>
      </c>
      <c r="Q104" s="12">
        <v>6.5790572374463924E-2</v>
      </c>
      <c r="R104" s="14">
        <v>74</v>
      </c>
    </row>
    <row r="105" spans="2:18" x14ac:dyDescent="0.5">
      <c r="B105" s="1" t="s">
        <v>944</v>
      </c>
      <c r="C105" t="s">
        <v>945</v>
      </c>
      <c r="D105" t="s">
        <v>178</v>
      </c>
      <c r="E105">
        <v>63.62</v>
      </c>
      <c r="F105" s="9" t="s">
        <v>50</v>
      </c>
      <c r="G105" s="7">
        <v>93424484352</v>
      </c>
      <c r="H105" s="6">
        <v>80.8</v>
      </c>
      <c r="I105" s="6">
        <v>41.57</v>
      </c>
      <c r="J105" s="12">
        <f t="shared" si="3"/>
        <v>0.53043059898965583</v>
      </c>
      <c r="K105" s="11">
        <v>1.8076076705438543E-3</v>
      </c>
      <c r="L105" s="13">
        <v>2565354264.6700001</v>
      </c>
      <c r="M105" s="13">
        <v>27210073130.389999</v>
      </c>
      <c r="N105" s="9" t="s">
        <v>50</v>
      </c>
      <c r="O105" s="6">
        <v>1</v>
      </c>
      <c r="P105" s="12">
        <v>2.7069804722612206E-2</v>
      </c>
      <c r="Q105" s="12">
        <v>9.4279579932655302E-2</v>
      </c>
      <c r="R105" s="14">
        <v>75</v>
      </c>
    </row>
    <row r="106" spans="2:18" x14ac:dyDescent="0.5">
      <c r="B106" s="1" t="s">
        <v>837</v>
      </c>
      <c r="C106" t="s">
        <v>909</v>
      </c>
      <c r="D106" t="s">
        <v>91</v>
      </c>
      <c r="E106">
        <v>26.33</v>
      </c>
      <c r="F106" s="9" t="s">
        <v>50</v>
      </c>
      <c r="G106" s="7">
        <v>105402589184</v>
      </c>
      <c r="H106" s="6">
        <v>28.89</v>
      </c>
      <c r="I106" s="6">
        <v>10.95</v>
      </c>
      <c r="J106" s="12">
        <f t="shared" si="3"/>
        <v>1.4045662100456622</v>
      </c>
      <c r="K106" s="11">
        <v>1.5571591340676035E-2</v>
      </c>
      <c r="L106" s="13">
        <v>3353410415.6799998</v>
      </c>
      <c r="M106" s="13">
        <v>40160728233.190002</v>
      </c>
      <c r="N106" s="9" t="s">
        <v>50</v>
      </c>
      <c r="O106" s="6">
        <v>1</v>
      </c>
      <c r="P106" s="12">
        <v>2.9236516961027206E-2</v>
      </c>
      <c r="Q106" s="12">
        <v>8.3499741244946926E-2</v>
      </c>
      <c r="R106" s="14">
        <v>76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48.6</v>
      </c>
      <c r="F107" s="9" t="s">
        <v>50</v>
      </c>
      <c r="G107" s="7">
        <v>57455255552</v>
      </c>
      <c r="H107" s="6">
        <v>67.459999999999994</v>
      </c>
      <c r="I107" s="6">
        <v>44.73</v>
      </c>
      <c r="J107" s="12">
        <f t="shared" si="3"/>
        <v>8.6519114688128784E-2</v>
      </c>
      <c r="K107" s="11">
        <v>9.2592592592592587E-3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3.5535465130487914E-2</v>
      </c>
      <c r="Q107" s="12">
        <v>5.6767887249761534E-2</v>
      </c>
      <c r="R107" s="14">
        <v>77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35.130000000000003</v>
      </c>
      <c r="F108" s="9" t="s">
        <v>50</v>
      </c>
      <c r="G108" s="7">
        <v>45317689344</v>
      </c>
      <c r="H108" s="6">
        <v>40.33</v>
      </c>
      <c r="I108" s="6">
        <v>23.57</v>
      </c>
      <c r="J108" s="12">
        <f t="shared" si="3"/>
        <v>0.49045396690708531</v>
      </c>
      <c r="K108" s="11">
        <v>8.1411898662112139E-3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2.9595676418095639E-2</v>
      </c>
      <c r="Q108" s="12">
        <v>6.4042765435599946E-2</v>
      </c>
      <c r="R108" s="14">
        <v>77</v>
      </c>
    </row>
    <row r="109" spans="2:18" x14ac:dyDescent="0.5">
      <c r="B109" s="1" t="s">
        <v>502</v>
      </c>
      <c r="C109" t="s">
        <v>540</v>
      </c>
      <c r="D109" t="s">
        <v>49</v>
      </c>
      <c r="E109">
        <v>18.73</v>
      </c>
      <c r="F109" s="9" t="s">
        <v>50</v>
      </c>
      <c r="G109" s="7">
        <v>29078216704</v>
      </c>
      <c r="H109" s="6">
        <v>22.04</v>
      </c>
      <c r="I109" s="6">
        <v>14.35</v>
      </c>
      <c r="J109" s="12">
        <f t="shared" si="3"/>
        <v>0.30522648083623705</v>
      </c>
      <c r="K109" s="11">
        <v>6.513614522156967E-3</v>
      </c>
      <c r="L109" s="13">
        <v>968110478.09000003</v>
      </c>
      <c r="M109" s="13">
        <v>17054713794</v>
      </c>
      <c r="N109" s="9" t="s">
        <v>50</v>
      </c>
      <c r="O109" s="6">
        <v>1</v>
      </c>
      <c r="P109" s="12">
        <v>3.5639247756791316E-2</v>
      </c>
      <c r="Q109" s="12">
        <v>5.6764979452812038E-2</v>
      </c>
      <c r="R109" s="14">
        <v>77</v>
      </c>
    </row>
    <row r="110" spans="2:18" x14ac:dyDescent="0.5">
      <c r="B110" s="1" t="s">
        <v>824</v>
      </c>
      <c r="C110" t="s">
        <v>895</v>
      </c>
      <c r="D110" t="s">
        <v>102</v>
      </c>
      <c r="E110">
        <v>32.299999999999997</v>
      </c>
      <c r="F110" s="9" t="s">
        <v>50</v>
      </c>
      <c r="G110" s="7">
        <v>170503323648</v>
      </c>
      <c r="H110" s="6">
        <v>43.44</v>
      </c>
      <c r="I110" s="6">
        <v>16.399999999999999</v>
      </c>
      <c r="J110" s="12">
        <f t="shared" si="3"/>
        <v>0.96951219512195119</v>
      </c>
      <c r="K110" s="11">
        <v>1.5479876160990714E-2</v>
      </c>
      <c r="L110" s="13">
        <v>4233332841.1799998</v>
      </c>
      <c r="M110" s="13">
        <v>58025955886.330002</v>
      </c>
      <c r="N110" s="9" t="s">
        <v>50</v>
      </c>
      <c r="O110" s="6">
        <v>1</v>
      </c>
      <c r="P110" s="12">
        <v>2.4323768114050782E-2</v>
      </c>
      <c r="Q110" s="12">
        <v>7.295584840468447E-2</v>
      </c>
      <c r="R110" s="14">
        <v>78</v>
      </c>
    </row>
    <row r="111" spans="2:18" x14ac:dyDescent="0.5">
      <c r="B111" s="1" t="s">
        <v>822</v>
      </c>
      <c r="C111" t="s">
        <v>893</v>
      </c>
      <c r="D111" t="s">
        <v>102</v>
      </c>
      <c r="E111">
        <v>4.43</v>
      </c>
      <c r="F111" s="9" t="s">
        <v>50</v>
      </c>
      <c r="G111" s="7">
        <v>164106354688</v>
      </c>
      <c r="H111" s="6">
        <v>4.7300000000000004</v>
      </c>
      <c r="I111" s="6">
        <v>3.64</v>
      </c>
      <c r="J111" s="12">
        <f t="shared" si="3"/>
        <v>0.21703296703296693</v>
      </c>
      <c r="K111" s="11">
        <v>1.1286681715575623E-2</v>
      </c>
      <c r="L111" s="13">
        <v>9118913513</v>
      </c>
      <c r="M111" s="13">
        <v>235433264214</v>
      </c>
      <c r="N111" s="9" t="s">
        <v>50</v>
      </c>
      <c r="O111" s="6">
        <v>1</v>
      </c>
      <c r="P111" s="12">
        <v>3.8559828682648303E-2</v>
      </c>
      <c r="Q111" s="12">
        <v>3.8732477092579619E-2</v>
      </c>
      <c r="R111" s="14">
        <v>78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36.4</v>
      </c>
      <c r="F112" s="9" t="s">
        <v>50</v>
      </c>
      <c r="G112" s="7">
        <v>273932632064</v>
      </c>
      <c r="H112" s="6">
        <v>40.98</v>
      </c>
      <c r="I112" s="6">
        <v>26.93</v>
      </c>
      <c r="J112" s="12">
        <f t="shared" si="3"/>
        <v>0.35165243223171183</v>
      </c>
      <c r="K112" s="11">
        <v>6.868131868131868E-3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1.9650014457405184E-2</v>
      </c>
      <c r="Q112" s="12">
        <v>7.0618222817004847E-2</v>
      </c>
      <c r="R112" s="14">
        <v>79</v>
      </c>
    </row>
    <row r="113" spans="2:18" x14ac:dyDescent="0.5">
      <c r="B113" s="1" t="s">
        <v>501</v>
      </c>
      <c r="C113" t="s">
        <v>539</v>
      </c>
      <c r="D113" t="s">
        <v>534</v>
      </c>
      <c r="E113">
        <v>36.54</v>
      </c>
      <c r="F113" s="9" t="s">
        <v>50</v>
      </c>
      <c r="G113" s="7">
        <v>29958897664</v>
      </c>
      <c r="H113" s="6">
        <v>41.5</v>
      </c>
      <c r="I113" s="6">
        <v>33.39</v>
      </c>
      <c r="J113" s="12">
        <f t="shared" si="3"/>
        <v>9.4339622641509413E-2</v>
      </c>
      <c r="K113" s="11">
        <v>5.5829228243021341E-3</v>
      </c>
      <c r="L113" s="13">
        <v>605951793.63999999</v>
      </c>
      <c r="M113" s="13">
        <v>19290166367.68</v>
      </c>
      <c r="N113" s="9" t="s">
        <v>50</v>
      </c>
      <c r="O113" s="6">
        <v>1</v>
      </c>
      <c r="P113" s="12">
        <v>3.0130746774567937E-2</v>
      </c>
      <c r="Q113" s="12">
        <v>3.141247110523894E-2</v>
      </c>
      <c r="R113" s="14">
        <v>80</v>
      </c>
    </row>
    <row r="114" spans="2:18" x14ac:dyDescent="0.5">
      <c r="B114" s="1" t="s">
        <v>862</v>
      </c>
      <c r="C114" t="s">
        <v>932</v>
      </c>
      <c r="D114" t="s">
        <v>49</v>
      </c>
      <c r="E114">
        <v>9.5299999999999994</v>
      </c>
      <c r="F114" s="9" t="s">
        <v>50</v>
      </c>
      <c r="G114" s="7">
        <v>30180974592</v>
      </c>
      <c r="H114" s="6">
        <v>9.6999999999999993</v>
      </c>
      <c r="I114" s="6">
        <v>4.99</v>
      </c>
      <c r="J114" s="12">
        <f t="shared" si="3"/>
        <v>0.90981963927855691</v>
      </c>
      <c r="K114" s="11">
        <v>1.9832109129066109E-2</v>
      </c>
      <c r="L114" s="13">
        <v>797036927.94000006</v>
      </c>
      <c r="M114" s="13">
        <v>21025079842.189999</v>
      </c>
      <c r="N114" s="9" t="s">
        <v>50</v>
      </c>
      <c r="O114" s="6">
        <v>1</v>
      </c>
      <c r="P114" s="12">
        <v>2.7686830451652728E-2</v>
      </c>
      <c r="Q114" s="12">
        <v>3.7908865693847452E-2</v>
      </c>
      <c r="R114" s="14">
        <v>81</v>
      </c>
    </row>
    <row r="115" spans="2:18" x14ac:dyDescent="0.5">
      <c r="B115" s="1" t="s">
        <v>506</v>
      </c>
      <c r="C115" t="s">
        <v>544</v>
      </c>
      <c r="D115" t="s">
        <v>300</v>
      </c>
      <c r="E115">
        <v>6.38</v>
      </c>
      <c r="F115" s="9" t="s">
        <v>50</v>
      </c>
      <c r="G115" s="7">
        <v>19062394880</v>
      </c>
      <c r="H115" s="6">
        <v>7.11</v>
      </c>
      <c r="I115" s="6">
        <v>3.95</v>
      </c>
      <c r="J115" s="12">
        <f t="shared" si="3"/>
        <v>0.61518987341772147</v>
      </c>
      <c r="K115" s="11">
        <v>0</v>
      </c>
      <c r="L115" s="13">
        <v>798742000</v>
      </c>
      <c r="M115" s="13">
        <v>19715428000</v>
      </c>
      <c r="N115" s="9" t="s">
        <v>50</v>
      </c>
      <c r="O115" s="6">
        <v>1</v>
      </c>
      <c r="P115" s="12">
        <v>2.7483582573002114E-2</v>
      </c>
      <c r="Q115" s="12">
        <v>4.0513551113371724E-2</v>
      </c>
      <c r="R115" s="14">
        <v>82</v>
      </c>
    </row>
    <row r="116" spans="2:18" x14ac:dyDescent="0.5">
      <c r="B116" s="1" t="s">
        <v>799</v>
      </c>
      <c r="C116" t="s">
        <v>866</v>
      </c>
      <c r="D116" t="s">
        <v>85</v>
      </c>
      <c r="E116">
        <v>30.58</v>
      </c>
      <c r="F116" s="9" t="s">
        <v>50</v>
      </c>
      <c r="G116" s="7">
        <v>165792268288</v>
      </c>
      <c r="H116" s="6">
        <v>34.340000000000003</v>
      </c>
      <c r="I116" s="6">
        <v>28.38</v>
      </c>
      <c r="J116" s="12">
        <f t="shared" si="3"/>
        <v>7.7519379844961156E-2</v>
      </c>
      <c r="K116" s="11">
        <v>0</v>
      </c>
      <c r="L116" s="13">
        <v>5843350000</v>
      </c>
      <c r="M116" s="13">
        <v>179409410000</v>
      </c>
      <c r="N116" s="9" t="s">
        <v>50</v>
      </c>
      <c r="O116" s="6">
        <v>1</v>
      </c>
      <c r="P116" s="12">
        <v>2.8201983509559731E-2</v>
      </c>
      <c r="Q116" s="12">
        <v>3.2569919270120783E-2</v>
      </c>
      <c r="R116" s="14">
        <v>83</v>
      </c>
    </row>
    <row r="117" spans="2:18" x14ac:dyDescent="0.5">
      <c r="B117" s="1" t="s">
        <v>505</v>
      </c>
      <c r="C117" t="s">
        <v>543</v>
      </c>
      <c r="D117" t="s">
        <v>246</v>
      </c>
      <c r="E117">
        <v>45.66</v>
      </c>
      <c r="F117" s="9" t="s">
        <v>50</v>
      </c>
      <c r="G117" s="7">
        <v>76623118336</v>
      </c>
      <c r="H117" s="6">
        <v>53.57</v>
      </c>
      <c r="I117" s="6">
        <v>12.65</v>
      </c>
      <c r="J117" s="12">
        <f t="shared" si="3"/>
        <v>2.6094861660079047</v>
      </c>
      <c r="K117" s="11">
        <v>4.9277266754270705E-3</v>
      </c>
      <c r="L117" s="13">
        <v>1617339292.8699999</v>
      </c>
      <c r="M117" s="13">
        <v>31007772337.259998</v>
      </c>
      <c r="N117" s="9" t="s">
        <v>50</v>
      </c>
      <c r="O117" s="6">
        <v>1</v>
      </c>
      <c r="P117" s="12">
        <v>1.8008671638929885E-2</v>
      </c>
      <c r="Q117" s="12">
        <v>5.2159157880766228E-2</v>
      </c>
      <c r="R117" s="14">
        <v>84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27.13</v>
      </c>
      <c r="F118" s="9" t="s">
        <v>50</v>
      </c>
      <c r="G118" s="7">
        <v>19279374336</v>
      </c>
      <c r="H118" s="6">
        <v>39</v>
      </c>
      <c r="I118" s="6">
        <v>24.9</v>
      </c>
      <c r="J118" s="12">
        <f t="shared" si="3"/>
        <v>8.9558232931726822E-2</v>
      </c>
      <c r="K118" s="11">
        <v>4.7548838923700707E-3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1.7007431311114544E-2</v>
      </c>
      <c r="Q118" s="12">
        <v>3.3874105137293234E-2</v>
      </c>
      <c r="R118" s="14">
        <v>85</v>
      </c>
    </row>
    <row r="119" spans="2:18" x14ac:dyDescent="0.5">
      <c r="B119" s="1" t="s">
        <v>556</v>
      </c>
      <c r="C119" t="s">
        <v>566</v>
      </c>
      <c r="D119" t="s">
        <v>534</v>
      </c>
      <c r="E119">
        <v>25.3</v>
      </c>
      <c r="F119" s="9" t="s">
        <v>50</v>
      </c>
      <c r="G119" s="7">
        <v>83472269312</v>
      </c>
      <c r="H119" s="6">
        <v>32.24</v>
      </c>
      <c r="I119" s="6">
        <v>8.02</v>
      </c>
      <c r="J119" s="12">
        <f t="shared" si="3"/>
        <v>2.154613466334165</v>
      </c>
      <c r="K119" s="11">
        <v>1.976284584980237E-3</v>
      </c>
      <c r="L119" s="13">
        <v>823353214.80999994</v>
      </c>
      <c r="M119" s="13">
        <v>24600134953.169998</v>
      </c>
      <c r="N119" s="9" t="s">
        <v>50</v>
      </c>
      <c r="O119" s="6">
        <v>1</v>
      </c>
      <c r="P119" s="12">
        <v>9.9374990497140755E-3</v>
      </c>
      <c r="Q119" s="12">
        <v>3.3469459268307869E-2</v>
      </c>
      <c r="R119" s="14">
        <v>86</v>
      </c>
    </row>
    <row r="120" spans="2:18" x14ac:dyDescent="0.5">
      <c r="B120" s="1" t="s">
        <v>493</v>
      </c>
      <c r="C120" t="s">
        <v>529</v>
      </c>
      <c r="D120" t="s">
        <v>530</v>
      </c>
      <c r="E120">
        <v>7.33</v>
      </c>
      <c r="F120" s="9" t="s">
        <v>50</v>
      </c>
      <c r="G120" s="7">
        <v>127896928256</v>
      </c>
      <c r="H120" s="6">
        <v>9.4499999999999993</v>
      </c>
      <c r="I120" s="6">
        <v>6.71</v>
      </c>
      <c r="J120" s="12">
        <f t="shared" si="3"/>
        <v>9.2399403874813713E-2</v>
      </c>
      <c r="K120" s="11">
        <v>0</v>
      </c>
      <c r="L120" s="13">
        <v>4793550000</v>
      </c>
      <c r="M120" s="13">
        <v>148871512000</v>
      </c>
      <c r="N120" s="9" t="s">
        <v>50</v>
      </c>
      <c r="O120" s="6">
        <v>1</v>
      </c>
      <c r="P120" s="12">
        <v>1.4140532435951663E-2</v>
      </c>
      <c r="Q120" s="12">
        <v>3.2199243062702283E-2</v>
      </c>
      <c r="R120" s="14">
        <v>86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16.93</v>
      </c>
      <c r="F121" s="9" t="s">
        <v>50</v>
      </c>
      <c r="G121" s="7">
        <v>40440688640</v>
      </c>
      <c r="H121" s="6">
        <v>19.25</v>
      </c>
      <c r="I121" s="6">
        <v>10.26</v>
      </c>
      <c r="J121" s="12">
        <f t="shared" si="3"/>
        <v>0.65009746588693962</v>
      </c>
      <c r="K121" s="11">
        <v>0.16391021854695806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1.7121308516558194E-2</v>
      </c>
      <c r="Q121" s="12">
        <v>2.2442736542375663E-2</v>
      </c>
      <c r="R121" s="14">
        <v>87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8.9499999999999993</v>
      </c>
      <c r="F122" s="9" t="s">
        <v>50</v>
      </c>
      <c r="G122" s="7">
        <v>11513081856</v>
      </c>
      <c r="H122" s="6">
        <v>9.25</v>
      </c>
      <c r="I122" s="6">
        <v>5.99</v>
      </c>
      <c r="J122" s="12">
        <f t="shared" si="3"/>
        <v>0.49415692821368928</v>
      </c>
      <c r="K122" s="11">
        <v>7.0391061452513976E-3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1.237370427031417E-2</v>
      </c>
      <c r="Q122" s="12">
        <v>2.0598203310172883E-2</v>
      </c>
      <c r="R122" s="14">
        <v>88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26.9</v>
      </c>
      <c r="F123" s="9" t="s">
        <v>50</v>
      </c>
      <c r="G123" s="7">
        <v>11806324736</v>
      </c>
      <c r="H123" s="6">
        <v>37.619999999999997</v>
      </c>
      <c r="I123" s="6">
        <v>15.18</v>
      </c>
      <c r="J123" s="12">
        <f t="shared" si="3"/>
        <v>0.77206851119894582</v>
      </c>
      <c r="K123" s="11">
        <v>3.7174721189591081E-3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7.8337868347529011E-3</v>
      </c>
      <c r="Q123" s="12">
        <v>2.9798999816131762E-2</v>
      </c>
      <c r="R123" s="14">
        <v>88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4.9000000000000004</v>
      </c>
      <c r="F124" s="9" t="s">
        <v>50</v>
      </c>
      <c r="G124" s="7">
        <v>101924225024</v>
      </c>
      <c r="H124" s="6">
        <v>5.23</v>
      </c>
      <c r="I124" s="6">
        <v>3.68</v>
      </c>
      <c r="J124" s="12">
        <f t="shared" si="3"/>
        <v>0.33152173913043481</v>
      </c>
      <c r="K124" s="11">
        <v>1.020408163265306E-2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4.331151385920262E-3</v>
      </c>
      <c r="Q124" s="12">
        <v>5.9280631901980664E-3</v>
      </c>
      <c r="R124" s="14">
        <v>89</v>
      </c>
    </row>
    <row r="125" spans="2:18" x14ac:dyDescent="0.5">
      <c r="B125" s="1" t="s">
        <v>554</v>
      </c>
      <c r="C125" t="s">
        <v>563</v>
      </c>
      <c r="D125" t="s">
        <v>534</v>
      </c>
      <c r="E125">
        <v>91.41</v>
      </c>
      <c r="F125" s="9" t="s">
        <v>50</v>
      </c>
      <c r="G125" s="7">
        <v>108091334656</v>
      </c>
      <c r="H125" s="6">
        <v>127.77</v>
      </c>
      <c r="I125" s="6">
        <v>23.87</v>
      </c>
      <c r="J125" s="12">
        <f t="shared" si="3"/>
        <v>2.8294930875576032</v>
      </c>
      <c r="K125" s="11">
        <v>1.0939722131057872E-4</v>
      </c>
      <c r="L125" s="13">
        <v>-41030373.009999998</v>
      </c>
      <c r="M125" s="13">
        <v>6579370456.6700001</v>
      </c>
      <c r="N125" s="9" t="s">
        <v>50</v>
      </c>
      <c r="O125" s="6">
        <v>1</v>
      </c>
      <c r="P125" s="12">
        <v>-3.8370826350603282E-4</v>
      </c>
      <c r="Q125" s="12">
        <v>-6.2362156501469587E-3</v>
      </c>
      <c r="R125" s="14">
        <v>90</v>
      </c>
    </row>
    <row r="126" spans="2:18" x14ac:dyDescent="0.5">
      <c r="B126" s="1" t="s">
        <v>762</v>
      </c>
      <c r="C126" t="s">
        <v>763</v>
      </c>
      <c r="D126" t="s">
        <v>49</v>
      </c>
      <c r="E126">
        <v>2.84</v>
      </c>
      <c r="F126" s="9" t="s">
        <v>50</v>
      </c>
      <c r="G126" s="7">
        <v>4412812800</v>
      </c>
      <c r="H126" s="6">
        <v>3.21</v>
      </c>
      <c r="I126" s="6">
        <v>1.81</v>
      </c>
      <c r="J126" s="12">
        <f t="shared" si="3"/>
        <v>0.56906077348066275</v>
      </c>
      <c r="K126" s="11">
        <v>0</v>
      </c>
      <c r="L126" s="13">
        <v>-11448340.02</v>
      </c>
      <c r="M126" s="13">
        <v>2419968780.5500002</v>
      </c>
      <c r="N126" s="9" t="s">
        <v>50</v>
      </c>
      <c r="O126" s="6">
        <v>1</v>
      </c>
      <c r="P126" s="12">
        <v>-1.7222502305935482E-3</v>
      </c>
      <c r="Q126" s="12">
        <v>-4.7307800464260821E-3</v>
      </c>
      <c r="R126" s="14">
        <v>90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12.55</v>
      </c>
      <c r="F127" s="9" t="s">
        <v>50</v>
      </c>
      <c r="G127" s="7">
        <v>87844446208</v>
      </c>
      <c r="H127" s="6">
        <v>14.68</v>
      </c>
      <c r="I127" s="6">
        <v>8.98</v>
      </c>
      <c r="J127" s="12">
        <f t="shared" si="3"/>
        <v>0.39755011135857465</v>
      </c>
      <c r="K127" s="11">
        <v>1.5936254980079681E-2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-1.4207440203220111E-2</v>
      </c>
      <c r="Q127" s="12">
        <v>-2.9941792412548292E-2</v>
      </c>
      <c r="R127" s="14">
        <v>91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41.89</v>
      </c>
      <c r="F128" s="9" t="s">
        <v>50</v>
      </c>
      <c r="G128" s="7">
        <v>39116316672</v>
      </c>
      <c r="H128" s="6">
        <v>56.74</v>
      </c>
      <c r="I128" s="6">
        <v>40.299999999999997</v>
      </c>
      <c r="J128" s="12">
        <f t="shared" si="3"/>
        <v>3.9454094292804109E-2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-6.408229490489659E-3</v>
      </c>
      <c r="Q128" s="12">
        <v>-7.8965828065376359E-2</v>
      </c>
      <c r="R128" s="14">
        <v>92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32.47</v>
      </c>
      <c r="F129" s="9" t="s">
        <v>50</v>
      </c>
      <c r="G129" s="7">
        <v>2658072576</v>
      </c>
      <c r="H129" s="6">
        <v>33.68</v>
      </c>
      <c r="I129" s="6">
        <v>16.600000000000001</v>
      </c>
      <c r="J129" s="12">
        <f t="shared" si="3"/>
        <v>0.95602409638554198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-1.6851608632795306E-2</v>
      </c>
      <c r="Q129" s="12">
        <v>-4.4819331081496862E-2</v>
      </c>
      <c r="R129" s="14">
        <v>92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17.239999999999998</v>
      </c>
      <c r="F130" s="9" t="s">
        <v>50</v>
      </c>
      <c r="G130" s="7">
        <v>55612776448</v>
      </c>
      <c r="H130" s="6">
        <v>19.75</v>
      </c>
      <c r="I130" s="6">
        <v>13.01</v>
      </c>
      <c r="J130" s="12">
        <f t="shared" ref="J130:J147" si="4">E130/I130-1</f>
        <v>0.32513451191391218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-1.9124231549472244E-2</v>
      </c>
      <c r="Q130" s="12">
        <v>-6.241645002013825E-2</v>
      </c>
      <c r="R130" s="14">
        <v>93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4.93</v>
      </c>
      <c r="F131" s="9" t="s">
        <v>50</v>
      </c>
      <c r="G131" s="7">
        <v>17690349568</v>
      </c>
      <c r="H131" s="6">
        <v>5.03</v>
      </c>
      <c r="I131" s="6">
        <v>3.46</v>
      </c>
      <c r="J131" s="12">
        <f t="shared" si="4"/>
        <v>0.42485549132947975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-6.430676391174088E-2</v>
      </c>
      <c r="Q131" s="12">
        <v>-8.182869756115578E-2</v>
      </c>
      <c r="R131" s="14">
        <v>94</v>
      </c>
    </row>
    <row r="132" spans="2:18" x14ac:dyDescent="0.5">
      <c r="B132" s="1" t="s">
        <v>351</v>
      </c>
      <c r="C132" t="s">
        <v>372</v>
      </c>
      <c r="D132" t="s">
        <v>225</v>
      </c>
      <c r="E132">
        <v>18.78</v>
      </c>
      <c r="F132" s="9" t="s">
        <v>50</v>
      </c>
      <c r="G132" s="7">
        <v>397438451712</v>
      </c>
      <c r="H132" s="6">
        <v>25.45</v>
      </c>
      <c r="I132" s="6">
        <v>18.02</v>
      </c>
      <c r="J132" s="12">
        <f t="shared" si="4"/>
        <v>4.2175360710321907E-2</v>
      </c>
      <c r="K132" s="11">
        <v>0</v>
      </c>
      <c r="M132" s="13">
        <v>2415915000000</v>
      </c>
      <c r="N132" s="9" t="s">
        <v>50</v>
      </c>
      <c r="O132" s="6">
        <v>1</v>
      </c>
    </row>
    <row r="133" spans="2:18" x14ac:dyDescent="0.5">
      <c r="B133" s="1" t="s">
        <v>451</v>
      </c>
      <c r="C133" t="s">
        <v>465</v>
      </c>
      <c r="D133" t="s">
        <v>227</v>
      </c>
      <c r="E133">
        <v>7.15</v>
      </c>
      <c r="F133" s="9" t="s">
        <v>50</v>
      </c>
      <c r="G133" s="7">
        <v>2548304707584</v>
      </c>
      <c r="H133" s="6">
        <v>8.4</v>
      </c>
      <c r="I133" s="6">
        <v>6.6</v>
      </c>
      <c r="J133" s="12">
        <f t="shared" si="4"/>
        <v>8.3333333333333481E-2</v>
      </c>
      <c r="K133" s="11">
        <v>4.2797202797202796E-2</v>
      </c>
      <c r="M133" s="13">
        <v>6434377000000</v>
      </c>
      <c r="N133" s="9" t="s">
        <v>50</v>
      </c>
      <c r="O133" s="6">
        <v>1</v>
      </c>
    </row>
    <row r="134" spans="2:18" x14ac:dyDescent="0.5">
      <c r="B134" s="1" t="s">
        <v>452</v>
      </c>
      <c r="C134" t="s">
        <v>466</v>
      </c>
      <c r="D134" t="s">
        <v>225</v>
      </c>
      <c r="E134">
        <v>39.49</v>
      </c>
      <c r="F134" s="9" t="s">
        <v>50</v>
      </c>
      <c r="G134" s="7">
        <v>1012390232064</v>
      </c>
      <c r="H134" s="6">
        <v>48.55</v>
      </c>
      <c r="I134" s="6">
        <v>37.31</v>
      </c>
      <c r="J134" s="12">
        <f t="shared" si="4"/>
        <v>5.8429375502546232E-2</v>
      </c>
      <c r="K134" s="11">
        <v>0</v>
      </c>
      <c r="M134" s="13">
        <v>1656843000000</v>
      </c>
      <c r="N134" s="9" t="s">
        <v>50</v>
      </c>
      <c r="O134" s="6">
        <v>1</v>
      </c>
    </row>
    <row r="135" spans="2:18" x14ac:dyDescent="0.5">
      <c r="B135" s="1" t="s">
        <v>453</v>
      </c>
      <c r="C135" t="s">
        <v>467</v>
      </c>
      <c r="D135" t="s">
        <v>225</v>
      </c>
      <c r="E135">
        <v>10.92</v>
      </c>
      <c r="F135" s="9" t="s">
        <v>50</v>
      </c>
      <c r="G135" s="7">
        <v>211912622080</v>
      </c>
      <c r="H135" s="6">
        <v>13.33</v>
      </c>
      <c r="I135" s="6">
        <v>10.48</v>
      </c>
      <c r="J135" s="12">
        <f t="shared" si="4"/>
        <v>4.1984732824427384E-2</v>
      </c>
      <c r="K135" s="11">
        <v>5.4761904761904762E-2</v>
      </c>
      <c r="M135" s="13">
        <v>1225730000000</v>
      </c>
      <c r="N135" s="9" t="s">
        <v>50</v>
      </c>
      <c r="O135" s="6">
        <v>1</v>
      </c>
    </row>
    <row r="136" spans="2:18" x14ac:dyDescent="0.5">
      <c r="B136" s="1" t="s">
        <v>454</v>
      </c>
      <c r="C136" t="s">
        <v>468</v>
      </c>
      <c r="D136" t="s">
        <v>227</v>
      </c>
      <c r="E136">
        <v>6.64</v>
      </c>
      <c r="F136" s="9" t="s">
        <v>50</v>
      </c>
      <c r="G136" s="7">
        <v>2323887423488</v>
      </c>
      <c r="H136" s="6">
        <v>8.68</v>
      </c>
      <c r="I136" s="6">
        <v>4.92</v>
      </c>
      <c r="J136" s="12">
        <f t="shared" si="4"/>
        <v>0.34959349593495936</v>
      </c>
      <c r="K136" s="11">
        <v>3.6897590361445784E-2</v>
      </c>
      <c r="M136" s="13">
        <v>6053339000000</v>
      </c>
      <c r="N136" s="9" t="s">
        <v>50</v>
      </c>
      <c r="O136" s="6">
        <v>1</v>
      </c>
    </row>
    <row r="137" spans="2:18" x14ac:dyDescent="0.5">
      <c r="B137" s="1" t="s">
        <v>455</v>
      </c>
      <c r="C137" t="s">
        <v>469</v>
      </c>
      <c r="D137" t="s">
        <v>227</v>
      </c>
      <c r="E137">
        <v>5.38</v>
      </c>
      <c r="F137" s="9" t="s">
        <v>50</v>
      </c>
      <c r="G137" s="7">
        <v>1733502697472</v>
      </c>
      <c r="H137" s="6">
        <v>6.39</v>
      </c>
      <c r="I137" s="6">
        <v>5.13</v>
      </c>
      <c r="J137" s="12">
        <f t="shared" si="4"/>
        <v>4.8732943469785628E-2</v>
      </c>
      <c r="K137" s="11">
        <v>4.29368029739777E-2</v>
      </c>
      <c r="M137" s="13">
        <v>5199928000000</v>
      </c>
      <c r="N137" s="9" t="s">
        <v>50</v>
      </c>
      <c r="O137" s="6">
        <v>1</v>
      </c>
    </row>
    <row r="138" spans="2:18" x14ac:dyDescent="0.5">
      <c r="B138" s="1" t="s">
        <v>456</v>
      </c>
      <c r="C138" t="s">
        <v>470</v>
      </c>
      <c r="D138" t="s">
        <v>227</v>
      </c>
      <c r="E138">
        <v>9.11</v>
      </c>
      <c r="F138" s="9" t="s">
        <v>50</v>
      </c>
      <c r="G138" s="7">
        <v>2383179415552</v>
      </c>
      <c r="H138" s="6">
        <v>10.029999999999999</v>
      </c>
      <c r="I138" s="6">
        <v>8.44</v>
      </c>
      <c r="J138" s="12">
        <f t="shared" si="4"/>
        <v>7.9383886255924185E-2</v>
      </c>
      <c r="K138" s="11">
        <v>4.3029637760702531E-2</v>
      </c>
      <c r="M138" s="13">
        <v>6128626000000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6.83</v>
      </c>
      <c r="F139" s="9" t="s">
        <v>50</v>
      </c>
      <c r="G139" s="7">
        <v>603524628480</v>
      </c>
      <c r="H139" s="6">
        <v>8.34</v>
      </c>
      <c r="I139" s="6">
        <v>6.48</v>
      </c>
      <c r="J139" s="12">
        <f t="shared" si="4"/>
        <v>5.4012345679012252E-2</v>
      </c>
      <c r="K139" s="11">
        <v>7.8330893118594438E-2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458</v>
      </c>
      <c r="C140" t="s">
        <v>472</v>
      </c>
      <c r="D140" t="s">
        <v>225</v>
      </c>
      <c r="E140">
        <v>5.0599999999999996</v>
      </c>
      <c r="F140" s="9" t="s">
        <v>50</v>
      </c>
      <c r="G140" s="7">
        <v>607680987136</v>
      </c>
      <c r="H140" s="6">
        <v>6.44</v>
      </c>
      <c r="I140" s="6">
        <v>4.91</v>
      </c>
      <c r="J140" s="12">
        <f t="shared" si="4"/>
        <v>3.054989816700604E-2</v>
      </c>
      <c r="K140" s="11">
        <v>4.6837944664031621E-2</v>
      </c>
      <c r="M140" s="13">
        <v>1271649000000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10.130000000000001</v>
      </c>
      <c r="F141" s="9" t="s">
        <v>50</v>
      </c>
      <c r="G141" s="7">
        <v>337388142592</v>
      </c>
      <c r="H141" s="6">
        <v>14.8</v>
      </c>
      <c r="I141" s="6">
        <v>9.43</v>
      </c>
      <c r="J141" s="12">
        <f t="shared" si="4"/>
        <v>7.4231177094379763E-2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460</v>
      </c>
      <c r="C142" t="s">
        <v>474</v>
      </c>
      <c r="D142" t="s">
        <v>225</v>
      </c>
      <c r="E142">
        <v>3.32</v>
      </c>
      <c r="F142" s="9" t="s">
        <v>50</v>
      </c>
      <c r="G142" s="7">
        <v>196164026368</v>
      </c>
      <c r="H142" s="6">
        <v>4.5</v>
      </c>
      <c r="I142" s="6">
        <v>3.18</v>
      </c>
      <c r="J142" s="12">
        <f t="shared" si="4"/>
        <v>4.4025157232704393E-2</v>
      </c>
      <c r="K142" s="11">
        <v>5.7228915662650606E-2</v>
      </c>
      <c r="M142" s="13">
        <v>1970468000000</v>
      </c>
      <c r="N142" s="9" t="s">
        <v>50</v>
      </c>
      <c r="O142" s="6">
        <v>1</v>
      </c>
    </row>
    <row r="143" spans="2:18" x14ac:dyDescent="0.5">
      <c r="B143" s="1" t="s">
        <v>461</v>
      </c>
      <c r="C143" t="s">
        <v>475</v>
      </c>
      <c r="D143" t="s">
        <v>225</v>
      </c>
      <c r="E143">
        <v>7.39</v>
      </c>
      <c r="F143" s="9" t="s">
        <v>50</v>
      </c>
      <c r="G143" s="7">
        <v>411217756160</v>
      </c>
      <c r="H143" s="6">
        <v>9.07</v>
      </c>
      <c r="I143" s="6">
        <v>6.62</v>
      </c>
      <c r="J143" s="12">
        <f t="shared" si="4"/>
        <v>0.11631419939577037</v>
      </c>
      <c r="K143" s="11">
        <v>4.8443843031123139E-2</v>
      </c>
      <c r="M143" s="13">
        <v>2066897000000</v>
      </c>
      <c r="N143" s="9" t="s">
        <v>50</v>
      </c>
      <c r="O143" s="6">
        <v>1</v>
      </c>
    </row>
    <row r="144" spans="2:18" x14ac:dyDescent="0.5">
      <c r="B144" s="1" t="s">
        <v>462</v>
      </c>
      <c r="C144" t="s">
        <v>476</v>
      </c>
      <c r="D144" t="s">
        <v>225</v>
      </c>
      <c r="E144">
        <v>3.99</v>
      </c>
      <c r="F144" s="9" t="s">
        <v>50</v>
      </c>
      <c r="G144" s="7">
        <v>174691844096</v>
      </c>
      <c r="H144" s="6">
        <v>5.68</v>
      </c>
      <c r="I144" s="6">
        <v>3.7</v>
      </c>
      <c r="J144" s="12">
        <f t="shared" si="4"/>
        <v>7.8378378378378466E-2</v>
      </c>
      <c r="K144" s="11">
        <v>4.9624060150375938E-2</v>
      </c>
      <c r="M144" s="13">
        <v>1646749000000</v>
      </c>
      <c r="N144" s="9" t="s">
        <v>50</v>
      </c>
      <c r="O144" s="6">
        <v>1</v>
      </c>
    </row>
    <row r="145" spans="2:15" x14ac:dyDescent="0.5">
      <c r="B145" s="1" t="s">
        <v>463</v>
      </c>
      <c r="C145" t="s">
        <v>477</v>
      </c>
      <c r="D145" t="s">
        <v>225</v>
      </c>
      <c r="E145">
        <v>7.01</v>
      </c>
      <c r="F145" s="9" t="s">
        <v>50</v>
      </c>
      <c r="G145" s="7">
        <v>111563653120</v>
      </c>
      <c r="H145" s="6">
        <v>8.7200000000000006</v>
      </c>
      <c r="I145" s="6">
        <v>6.31</v>
      </c>
      <c r="J145" s="12">
        <f t="shared" si="4"/>
        <v>0.11093502377179076</v>
      </c>
      <c r="K145" s="11">
        <v>0</v>
      </c>
      <c r="M145" s="13">
        <v>1231745000000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42.42</v>
      </c>
      <c r="F146" s="9" t="s">
        <v>50</v>
      </c>
      <c r="G146" s="7">
        <v>1198988722176</v>
      </c>
      <c r="H146" s="6">
        <v>51.92</v>
      </c>
      <c r="I146" s="6">
        <v>33.61</v>
      </c>
      <c r="J146" s="12">
        <f t="shared" si="4"/>
        <v>0.26212436774769432</v>
      </c>
      <c r="K146" s="11">
        <v>1.6218764733616216E-2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39.51</v>
      </c>
      <c r="F147" s="9" t="s">
        <v>50</v>
      </c>
      <c r="G147" s="7">
        <v>380099690496</v>
      </c>
      <c r="H147" s="6">
        <v>48.39</v>
      </c>
      <c r="I147" s="6">
        <v>28.7</v>
      </c>
      <c r="J147" s="12">
        <f t="shared" si="4"/>
        <v>0.37665505226480822</v>
      </c>
      <c r="K147" s="11">
        <v>2.7334851936218683E-2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946</v>
      </c>
    </row>
  </sheetData>
  <autoFilter ref="B1:R11" xr:uid="{7A9EDF16-08C4-B24B-A5E4-CFD78B458569}">
    <sortState xmlns:xlrd2="http://schemas.microsoft.com/office/spreadsheetml/2017/richdata2" ref="B2:R147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2026-03-15T03:02:04Z</dcterms:modified>
</cp:coreProperties>
</file>