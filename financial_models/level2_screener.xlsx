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kamanl/PycharmProjects/Invest_Proc/financial_models/"/>
    </mc:Choice>
  </mc:AlternateContent>
  <xr:revisionPtr revIDLastSave="0" documentId="13_ncr:1_{0CBF24DC-B1EA-BF4B-8206-5760B5DC86EB}" xr6:coauthVersionLast="47" xr6:coauthVersionMax="47" xr10:uidLastSave="{00000000-0000-0000-0000-000000000000}"/>
  <bookViews>
    <workbookView xWindow="0" yWindow="0" windowWidth="28800" windowHeight="1800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9" i="1"/>
  <c r="J10" i="1"/>
  <c r="J8" i="1"/>
  <c r="J12" i="1"/>
  <c r="J13" i="1"/>
  <c r="J11" i="1"/>
  <c r="J14" i="1"/>
  <c r="J17" i="1"/>
  <c r="J15" i="1"/>
  <c r="J18" i="1"/>
  <c r="J16" i="1"/>
  <c r="J25" i="1"/>
  <c r="J21" i="1"/>
  <c r="J19" i="1"/>
  <c r="J20" i="1"/>
  <c r="J22" i="1"/>
  <c r="J24" i="1"/>
  <c r="J23" i="1"/>
  <c r="J27" i="1"/>
  <c r="J28" i="1"/>
  <c r="J26" i="1"/>
  <c r="J29" i="1"/>
  <c r="J31" i="1"/>
  <c r="J30" i="1"/>
  <c r="J32" i="1"/>
  <c r="J34" i="1"/>
  <c r="J33" i="1"/>
  <c r="J36" i="1"/>
  <c r="J35" i="1"/>
  <c r="J37" i="1"/>
  <c r="J43" i="1"/>
  <c r="J40" i="1"/>
  <c r="J38" i="1"/>
  <c r="J39" i="1"/>
  <c r="J44" i="1"/>
  <c r="J42" i="1"/>
  <c r="J45" i="1"/>
  <c r="J47" i="1"/>
  <c r="J41" i="1"/>
  <c r="J46" i="1"/>
  <c r="J49" i="1"/>
  <c r="J48" i="1"/>
  <c r="J50" i="1"/>
  <c r="J51" i="1"/>
  <c r="J52" i="1"/>
  <c r="J55" i="1"/>
  <c r="J58" i="1"/>
  <c r="J53" i="1"/>
  <c r="J54" i="1"/>
  <c r="J57" i="1"/>
  <c r="J59" i="1"/>
  <c r="J60" i="1"/>
  <c r="J61" i="1"/>
  <c r="J62" i="1"/>
  <c r="J63" i="1"/>
  <c r="J56" i="1"/>
  <c r="J66" i="1"/>
  <c r="J64" i="1"/>
  <c r="J65" i="1"/>
  <c r="J69" i="1"/>
  <c r="J67" i="1"/>
  <c r="J71" i="1"/>
  <c r="J72" i="1"/>
  <c r="J70" i="1"/>
  <c r="J135" i="1"/>
  <c r="J77" i="1"/>
  <c r="J80" i="1"/>
  <c r="J68" i="1"/>
  <c r="J78" i="1"/>
  <c r="J73" i="1"/>
  <c r="J81" i="1"/>
  <c r="J74" i="1"/>
  <c r="J75" i="1"/>
  <c r="J79" i="1"/>
  <c r="J82" i="1"/>
  <c r="J83" i="1"/>
  <c r="J76" i="1"/>
  <c r="J87" i="1"/>
  <c r="J84" i="1"/>
  <c r="J85" i="1"/>
  <c r="J86" i="1"/>
  <c r="J88" i="1"/>
  <c r="J89" i="1"/>
  <c r="J90" i="1"/>
  <c r="J91" i="1"/>
  <c r="J92" i="1"/>
  <c r="J93" i="1"/>
  <c r="J94" i="1"/>
  <c r="J95" i="1"/>
  <c r="J96" i="1"/>
  <c r="J97" i="1"/>
  <c r="J98" i="1"/>
  <c r="J99" i="1"/>
  <c r="J101" i="1"/>
  <c r="J100" i="1"/>
  <c r="J102" i="1"/>
  <c r="J103" i="1"/>
  <c r="J104" i="1"/>
  <c r="J106" i="1"/>
  <c r="J112" i="1"/>
  <c r="J105" i="1"/>
  <c r="J107" i="1"/>
  <c r="J109" i="1"/>
  <c r="J108" i="1"/>
  <c r="J110" i="1"/>
  <c r="J111" i="1"/>
  <c r="J113" i="1"/>
  <c r="J115" i="1"/>
  <c r="J114" i="1"/>
  <c r="J116" i="1"/>
  <c r="J117" i="1"/>
  <c r="J119" i="1"/>
  <c r="J118" i="1"/>
  <c r="J120" i="1"/>
  <c r="J121" i="1"/>
  <c r="J123" i="1"/>
  <c r="J122" i="1"/>
  <c r="J124" i="1"/>
  <c r="J125" i="1"/>
  <c r="J126" i="1"/>
  <c r="J127" i="1"/>
  <c r="J128" i="1"/>
  <c r="J129" i="1"/>
  <c r="J130" i="1"/>
  <c r="J131" i="1"/>
  <c r="J132" i="1"/>
  <c r="J133" i="1"/>
  <c r="J134" i="1"/>
  <c r="J136" i="1"/>
  <c r="J137" i="1"/>
  <c r="J138" i="1"/>
  <c r="J139" i="1"/>
  <c r="J140" i="1"/>
  <c r="J141" i="1"/>
  <c r="J142" i="1"/>
  <c r="J143" i="1"/>
  <c r="J2" i="3"/>
  <c r="J3" i="3"/>
  <c r="J7" i="3"/>
  <c r="J5" i="3"/>
  <c r="J6" i="3"/>
  <c r="J8" i="3"/>
  <c r="J9" i="3"/>
  <c r="J10" i="3"/>
  <c r="J11" i="3"/>
  <c r="J12" i="3"/>
  <c r="J13" i="3"/>
  <c r="J14" i="3"/>
  <c r="J15" i="3"/>
  <c r="J17" i="3"/>
  <c r="J19" i="3"/>
  <c r="J18" i="3"/>
  <c r="J20" i="3"/>
  <c r="J23" i="3"/>
  <c r="J21" i="3"/>
  <c r="J22" i="3"/>
  <c r="J24" i="3"/>
  <c r="J27" i="3"/>
  <c r="J25" i="3"/>
  <c r="J26" i="3"/>
  <c r="J28" i="3"/>
  <c r="J30" i="3"/>
  <c r="J29" i="3"/>
  <c r="J31" i="3"/>
  <c r="J33" i="3"/>
  <c r="J32" i="3"/>
  <c r="J34" i="3"/>
  <c r="J35" i="3"/>
  <c r="J37" i="3"/>
  <c r="J36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16" i="3"/>
  <c r="J4" i="3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</calcChain>
</file>

<file path=xl/sharedStrings.xml><?xml version="1.0" encoding="utf-8"?>
<sst xmlns="http://schemas.openxmlformats.org/spreadsheetml/2006/main" count="1744" uniqueCount="799">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</sst>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3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J16" sqref="J16"/>
    </sheetView>
  </sheetViews>
  <sheetFormatPr baseColWidth="10" defaultColWidth="11" defaultRowHeight="16" x14ac:dyDescent="0.2"/>
  <cols>
    <col min="1" max="1" width="2.83203125" customWidth="1"/>
    <col min="2" max="2" width="14" style="1" customWidth="1"/>
    <col min="3" max="3" width="26.6640625" customWidth="1"/>
    <col min="4" max="4" width="32.5" customWidth="1"/>
    <col min="6" max="6" width="7.5" style="9" customWidth="1"/>
    <col min="7" max="7" width="21.164062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640625" style="6" customWidth="1"/>
    <col min="16" max="17" width="11" style="12"/>
    <col min="18" max="18" width="11" style="14"/>
  </cols>
  <sheetData>
    <row r="1" spans="2:22" ht="34" x14ac:dyDescent="0.2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2">
      <c r="B2" s="1" t="s">
        <v>21</v>
      </c>
      <c r="C2" t="s">
        <v>75</v>
      </c>
      <c r="D2" t="s">
        <v>76</v>
      </c>
      <c r="E2">
        <v>14.34</v>
      </c>
      <c r="F2" s="9" t="s">
        <v>67</v>
      </c>
      <c r="G2" s="7">
        <v>257747861504</v>
      </c>
      <c r="H2" s="6">
        <v>15.6</v>
      </c>
      <c r="I2" s="6">
        <v>9.8000000000000007</v>
      </c>
      <c r="J2" s="12">
        <f>E2/I2-1</f>
        <v>0.46326530612244876</v>
      </c>
      <c r="K2" s="11">
        <v>0.11087866108786612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0.52627743022452222</v>
      </c>
      <c r="Q2" s="12">
        <v>0.26042924055386191</v>
      </c>
      <c r="R2" s="14">
        <v>1</v>
      </c>
    </row>
    <row r="3" spans="2:22" x14ac:dyDescent="0.2">
      <c r="B3" s="1" t="s">
        <v>108</v>
      </c>
      <c r="C3" t="s">
        <v>144</v>
      </c>
      <c r="D3" t="s">
        <v>145</v>
      </c>
      <c r="E3">
        <v>4.05</v>
      </c>
      <c r="F3" s="9" t="s">
        <v>67</v>
      </c>
      <c r="G3" s="7">
        <v>11328755712</v>
      </c>
      <c r="H3" s="6">
        <v>5.2</v>
      </c>
      <c r="I3" s="6">
        <v>2.5299999999999998</v>
      </c>
      <c r="J3" s="12">
        <f>E3/I3-1</f>
        <v>0.60079051383399218</v>
      </c>
      <c r="K3" s="11">
        <v>3.7777777777777778E-2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0.28032660027750173</v>
      </c>
      <c r="Q3" s="12">
        <v>0.28956319566547578</v>
      </c>
      <c r="R3" s="14">
        <v>2</v>
      </c>
    </row>
    <row r="4" spans="2:22" x14ac:dyDescent="0.2">
      <c r="B4" s="1" t="s">
        <v>195</v>
      </c>
      <c r="C4" t="s">
        <v>217</v>
      </c>
      <c r="D4" t="s">
        <v>76</v>
      </c>
      <c r="E4">
        <v>140.9</v>
      </c>
      <c r="F4" s="9" t="s">
        <v>67</v>
      </c>
      <c r="G4" s="7">
        <v>93046595584</v>
      </c>
      <c r="H4" s="6">
        <v>149.5</v>
      </c>
      <c r="I4" s="6">
        <v>93</v>
      </c>
      <c r="J4" s="12">
        <f>E4/I4-1</f>
        <v>0.51505376344086029</v>
      </c>
      <c r="K4" s="11">
        <v>1.4478353442157558E-2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0.47344433580801282</v>
      </c>
      <c r="Q4" s="12">
        <v>0.19894228627727803</v>
      </c>
      <c r="R4" s="14">
        <v>3</v>
      </c>
    </row>
    <row r="5" spans="2:22" x14ac:dyDescent="0.2">
      <c r="B5" s="1" t="s">
        <v>28</v>
      </c>
      <c r="C5" t="s">
        <v>88</v>
      </c>
      <c r="D5" t="s">
        <v>85</v>
      </c>
      <c r="E5">
        <v>3.91</v>
      </c>
      <c r="F5" s="9" t="s">
        <v>67</v>
      </c>
      <c r="G5" s="7">
        <v>34437967872</v>
      </c>
      <c r="H5" s="6">
        <v>7.38</v>
      </c>
      <c r="I5" s="6">
        <v>3.77</v>
      </c>
      <c r="J5" s="12">
        <f>E5/I5-1</f>
        <v>3.7135278514588865E-2</v>
      </c>
      <c r="K5" s="11">
        <v>6.7774936061381075E-2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0.23315881413588097</v>
      </c>
      <c r="Q5" s="12">
        <v>0.20771406306691512</v>
      </c>
      <c r="R5" s="14">
        <v>4</v>
      </c>
    </row>
    <row r="6" spans="2:22" x14ac:dyDescent="0.2">
      <c r="B6" s="1" t="s">
        <v>249</v>
      </c>
      <c r="C6" t="s">
        <v>295</v>
      </c>
      <c r="D6" t="s">
        <v>296</v>
      </c>
      <c r="E6">
        <v>6.75</v>
      </c>
      <c r="F6" s="9" t="s">
        <v>67</v>
      </c>
      <c r="G6" s="7">
        <v>358540935168</v>
      </c>
      <c r="H6" s="6">
        <v>7.63</v>
      </c>
      <c r="I6" s="6">
        <v>3.66</v>
      </c>
      <c r="J6" s="12">
        <f>E6/I6-1</f>
        <v>0.84426229508196715</v>
      </c>
      <c r="K6" s="11">
        <v>2.8444444444444446E-2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0.19949940570005675</v>
      </c>
      <c r="Q6" s="12">
        <v>0.22694806719794586</v>
      </c>
      <c r="R6" s="14">
        <v>5</v>
      </c>
    </row>
    <row r="7" spans="2:22" x14ac:dyDescent="0.2">
      <c r="B7" s="1" t="s">
        <v>196</v>
      </c>
      <c r="C7" t="s">
        <v>218</v>
      </c>
      <c r="D7" t="s">
        <v>219</v>
      </c>
      <c r="E7">
        <v>1.99</v>
      </c>
      <c r="F7" s="9" t="s">
        <v>67</v>
      </c>
      <c r="G7" s="7">
        <v>1990000000</v>
      </c>
      <c r="H7" s="6">
        <v>2.42</v>
      </c>
      <c r="I7" s="6">
        <v>1.55</v>
      </c>
      <c r="J7" s="12">
        <f>E7/I7-1</f>
        <v>0.28387096774193554</v>
      </c>
      <c r="K7" s="11">
        <v>0.10552763819095477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0.1460130276289317</v>
      </c>
      <c r="Q7" s="12">
        <v>0.51857007005524791</v>
      </c>
      <c r="R7" s="14">
        <v>6</v>
      </c>
    </row>
    <row r="8" spans="2:22" x14ac:dyDescent="0.2">
      <c r="B8" s="1" t="s">
        <v>775</v>
      </c>
      <c r="C8" t="s">
        <v>777</v>
      </c>
      <c r="D8" t="s">
        <v>435</v>
      </c>
      <c r="E8">
        <v>103.8</v>
      </c>
      <c r="F8" s="9" t="s">
        <v>67</v>
      </c>
      <c r="G8" s="7">
        <v>320359366656</v>
      </c>
      <c r="H8" s="6">
        <v>180.8</v>
      </c>
      <c r="I8" s="6">
        <v>103.6</v>
      </c>
      <c r="J8" s="12">
        <f>E8/I8-1</f>
        <v>1.9305019305020377E-3</v>
      </c>
      <c r="K8" s="11">
        <v>7.0317919075144508E-2</v>
      </c>
      <c r="L8" s="13">
        <v>54434000000</v>
      </c>
      <c r="M8" s="13">
        <v>303403000000</v>
      </c>
      <c r="N8" s="9" t="s">
        <v>50</v>
      </c>
      <c r="O8" s="6">
        <v>1.0683760683760684</v>
      </c>
      <c r="P8" s="12">
        <v>0.19352634420194745</v>
      </c>
      <c r="Q8" s="12">
        <v>0.17941154174480806</v>
      </c>
      <c r="R8" s="14">
        <v>7</v>
      </c>
    </row>
    <row r="9" spans="2:22" x14ac:dyDescent="0.2">
      <c r="B9" s="1" t="s">
        <v>290</v>
      </c>
      <c r="C9" t="s">
        <v>343</v>
      </c>
      <c r="D9" t="s">
        <v>94</v>
      </c>
      <c r="E9">
        <v>5.55</v>
      </c>
      <c r="F9" s="9" t="s">
        <v>67</v>
      </c>
      <c r="G9" s="7">
        <v>11475636224</v>
      </c>
      <c r="H9" s="6">
        <v>6.7</v>
      </c>
      <c r="I9" s="6">
        <v>3.87</v>
      </c>
      <c r="J9" s="12">
        <f>E9/I9-1</f>
        <v>0.43410852713178283</v>
      </c>
      <c r="K9" s="11">
        <v>5.0990990990990991E-2</v>
      </c>
      <c r="L9" s="13">
        <v>1576240000</v>
      </c>
      <c r="M9" s="13">
        <v>9636462000</v>
      </c>
      <c r="N9" s="9" t="s">
        <v>50</v>
      </c>
      <c r="O9" s="6">
        <v>1.0683760683760684</v>
      </c>
      <c r="P9" s="12">
        <v>0.23346627954258048</v>
      </c>
      <c r="Q9" s="12">
        <v>0.16357040581906512</v>
      </c>
      <c r="R9" s="14">
        <v>8</v>
      </c>
    </row>
    <row r="10" spans="2:22" x14ac:dyDescent="0.2">
      <c r="B10" s="1" t="s">
        <v>107</v>
      </c>
      <c r="C10" t="s">
        <v>142</v>
      </c>
      <c r="D10" t="s">
        <v>143</v>
      </c>
      <c r="E10">
        <v>3.27</v>
      </c>
      <c r="F10" s="9" t="s">
        <v>67</v>
      </c>
      <c r="G10" s="7">
        <v>16647785472</v>
      </c>
      <c r="H10" s="6">
        <v>3.5</v>
      </c>
      <c r="I10" s="6">
        <v>2.23</v>
      </c>
      <c r="J10" s="12">
        <f>E10/I10-1</f>
        <v>0.46636771300448432</v>
      </c>
      <c r="K10" s="11">
        <v>8.2568807339449546E-2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0.28036377322113271</v>
      </c>
      <c r="Q10" s="12">
        <v>0.15337570692947131</v>
      </c>
      <c r="R10" s="14">
        <v>8</v>
      </c>
    </row>
    <row r="11" spans="2:22" x14ac:dyDescent="0.2">
      <c r="B11" s="1" t="s">
        <v>194</v>
      </c>
      <c r="C11" t="s">
        <v>215</v>
      </c>
      <c r="D11" t="s">
        <v>216</v>
      </c>
      <c r="E11">
        <v>14.99</v>
      </c>
      <c r="F11" s="9" t="s">
        <v>67</v>
      </c>
      <c r="G11" s="7">
        <v>58491518976</v>
      </c>
      <c r="H11" s="6">
        <v>19.05</v>
      </c>
      <c r="I11" s="6">
        <v>4.22</v>
      </c>
      <c r="J11" s="12">
        <f>E11/I11-1</f>
        <v>2.5521327014218014</v>
      </c>
      <c r="K11" s="11">
        <v>2.8685790527018008E-3</v>
      </c>
      <c r="L11" s="13">
        <v>786762000</v>
      </c>
      <c r="M11" s="13">
        <v>2279244000</v>
      </c>
      <c r="N11" s="9" t="s">
        <v>71</v>
      </c>
      <c r="O11" s="6">
        <v>7.6923076923076916</v>
      </c>
      <c r="P11" s="12">
        <v>0.11861314574351403</v>
      </c>
      <c r="Q11" s="12">
        <v>0.34518550887925997</v>
      </c>
      <c r="R11" s="14">
        <v>9</v>
      </c>
    </row>
    <row r="12" spans="2:22" x14ac:dyDescent="0.2">
      <c r="B12" s="1" t="s">
        <v>766</v>
      </c>
      <c r="C12" t="s">
        <v>771</v>
      </c>
      <c r="D12" t="s">
        <v>164</v>
      </c>
      <c r="E12">
        <v>0.99</v>
      </c>
      <c r="F12" s="9" t="s">
        <v>67</v>
      </c>
      <c r="G12" s="7">
        <v>726920128</v>
      </c>
      <c r="H12" s="6">
        <v>1.06</v>
      </c>
      <c r="I12" s="6">
        <v>0.74</v>
      </c>
      <c r="J12" s="12">
        <f>E12/I12-1</f>
        <v>0.33783783783783794</v>
      </c>
      <c r="K12" s="11">
        <v>0.10101010101010102</v>
      </c>
      <c r="L12" s="13">
        <v>180447000</v>
      </c>
      <c r="M12" s="13">
        <v>1366457000</v>
      </c>
      <c r="N12" s="9" t="s">
        <v>67</v>
      </c>
      <c r="O12" s="6">
        <v>1</v>
      </c>
      <c r="P12" s="12">
        <v>0.40608187492043635</v>
      </c>
      <c r="Q12" s="12">
        <v>0.13205464935962127</v>
      </c>
      <c r="R12" s="14">
        <v>10</v>
      </c>
    </row>
    <row r="13" spans="2:22" x14ac:dyDescent="0.2">
      <c r="B13" s="1" t="s">
        <v>32</v>
      </c>
      <c r="C13" t="s">
        <v>93</v>
      </c>
      <c r="D13" t="s">
        <v>94</v>
      </c>
      <c r="E13">
        <v>15.19</v>
      </c>
      <c r="F13" s="9" t="s">
        <v>67</v>
      </c>
      <c r="G13" s="7">
        <v>12715663360</v>
      </c>
      <c r="H13" s="6">
        <v>19.440000000000001</v>
      </c>
      <c r="I13" s="6">
        <v>12.5</v>
      </c>
      <c r="J13" s="12">
        <f>E13/I13-1</f>
        <v>0.21520000000000006</v>
      </c>
      <c r="K13" s="11">
        <v>8.6240947992100078E-3</v>
      </c>
      <c r="L13" s="13">
        <v>199557000</v>
      </c>
      <c r="M13" s="13">
        <v>1108087000</v>
      </c>
      <c r="N13" s="9" t="s">
        <v>71</v>
      </c>
      <c r="O13" s="6">
        <v>7.6923076923076916</v>
      </c>
      <c r="P13" s="12">
        <v>0.16074027511903288</v>
      </c>
      <c r="Q13" s="12">
        <v>0.18009145491283626</v>
      </c>
      <c r="R13" s="14">
        <v>10</v>
      </c>
    </row>
    <row r="14" spans="2:22" x14ac:dyDescent="0.2">
      <c r="B14" s="1" t="s">
        <v>140</v>
      </c>
      <c r="C14" t="s">
        <v>189</v>
      </c>
      <c r="D14" t="s">
        <v>178</v>
      </c>
      <c r="E14">
        <v>9.2200000000000006</v>
      </c>
      <c r="F14" s="9" t="s">
        <v>67</v>
      </c>
      <c r="G14" s="7">
        <v>114370961408</v>
      </c>
      <c r="H14" s="6">
        <v>13.6</v>
      </c>
      <c r="I14" s="6">
        <v>6.57</v>
      </c>
      <c r="J14" s="12">
        <f>E14/I14-1</f>
        <v>0.40334855403348557</v>
      </c>
      <c r="K14" s="11">
        <v>5.4229934924078091E-3</v>
      </c>
      <c r="L14" s="13">
        <v>2250990000</v>
      </c>
      <c r="M14" s="13">
        <v>11437145000</v>
      </c>
      <c r="N14" s="9" t="s">
        <v>71</v>
      </c>
      <c r="O14" s="6">
        <v>7.6923076923076916</v>
      </c>
      <c r="P14" s="12">
        <v>0.14181198484836044</v>
      </c>
      <c r="Q14" s="12">
        <v>0.19681397761416858</v>
      </c>
      <c r="R14" s="14">
        <v>11</v>
      </c>
    </row>
    <row r="15" spans="2:22" x14ac:dyDescent="0.2">
      <c r="B15" s="1" t="s">
        <v>250</v>
      </c>
      <c r="C15" t="s">
        <v>297</v>
      </c>
      <c r="D15" t="s">
        <v>298</v>
      </c>
      <c r="E15">
        <v>24.26</v>
      </c>
      <c r="F15" s="9" t="s">
        <v>67</v>
      </c>
      <c r="G15" s="7">
        <v>87190888448</v>
      </c>
      <c r="H15" s="6">
        <v>25.96</v>
      </c>
      <c r="I15" s="6">
        <v>9.56</v>
      </c>
      <c r="J15" s="12">
        <f>E15/I15-1</f>
        <v>1.5376569037656904</v>
      </c>
      <c r="K15" s="11">
        <v>1.4427040395713107E-2</v>
      </c>
      <c r="L15" s="13">
        <v>25585077000</v>
      </c>
      <c r="M15" s="13">
        <v>167756547000</v>
      </c>
      <c r="N15" s="9" t="s">
        <v>67</v>
      </c>
      <c r="O15" s="6">
        <v>1</v>
      </c>
      <c r="P15" s="12">
        <v>0.20480209075889366</v>
      </c>
      <c r="Q15" s="12">
        <v>0.15251313559762292</v>
      </c>
      <c r="R15" s="14">
        <v>12</v>
      </c>
    </row>
    <row r="16" spans="2:22" x14ac:dyDescent="0.2">
      <c r="B16" s="1" t="s">
        <v>29</v>
      </c>
      <c r="C16" t="s">
        <v>89</v>
      </c>
      <c r="D16" t="s">
        <v>85</v>
      </c>
      <c r="E16">
        <v>4.95</v>
      </c>
      <c r="F16" s="9" t="s">
        <v>67</v>
      </c>
      <c r="G16" s="7">
        <v>58425200640</v>
      </c>
      <c r="H16" s="6">
        <v>5.97</v>
      </c>
      <c r="I16" s="6">
        <v>4.5199999999999996</v>
      </c>
      <c r="J16" s="12">
        <f>E16/I16-1</f>
        <v>9.5132743362831951E-2</v>
      </c>
      <c r="K16" s="11">
        <v>2.9898989898989897E-2</v>
      </c>
      <c r="L16" s="13">
        <v>5915895000</v>
      </c>
      <c r="M16" s="13">
        <v>21902003000</v>
      </c>
      <c r="N16" s="9" t="s">
        <v>50</v>
      </c>
      <c r="O16" s="6">
        <v>1.0683760683760684</v>
      </c>
      <c r="P16" s="12">
        <v>0.11661544557263931</v>
      </c>
      <c r="Q16" s="12">
        <v>0.27010748742934609</v>
      </c>
      <c r="R16" s="14">
        <v>12</v>
      </c>
    </row>
    <row r="17" spans="2:18" x14ac:dyDescent="0.2">
      <c r="B17" s="1" t="s">
        <v>23</v>
      </c>
      <c r="C17" t="s">
        <v>79</v>
      </c>
      <c r="D17" t="s">
        <v>80</v>
      </c>
      <c r="E17">
        <v>8.26</v>
      </c>
      <c r="F17" s="9" t="s">
        <v>67</v>
      </c>
      <c r="G17" s="7">
        <v>71523344384</v>
      </c>
      <c r="H17" s="6">
        <v>8.48</v>
      </c>
      <c r="I17" s="6">
        <v>6.8</v>
      </c>
      <c r="J17" s="12">
        <f>E17/I17-1</f>
        <v>0.21470588235294108</v>
      </c>
      <c r="K17" s="11">
        <v>3.8498789346246974E-2</v>
      </c>
      <c r="L17" s="13">
        <v>13438000000</v>
      </c>
      <c r="M17" s="13">
        <v>88611000000</v>
      </c>
      <c r="N17" s="9" t="s">
        <v>50</v>
      </c>
      <c r="O17" s="6">
        <v>1.0683760683760684</v>
      </c>
      <c r="P17" s="12">
        <v>0.21196302283447796</v>
      </c>
      <c r="Q17" s="12">
        <v>0.15165160081705431</v>
      </c>
      <c r="R17" s="14">
        <v>13</v>
      </c>
    </row>
    <row r="18" spans="2:18" x14ac:dyDescent="0.2">
      <c r="B18" s="1" t="s">
        <v>281</v>
      </c>
      <c r="C18" t="s">
        <v>334</v>
      </c>
      <c r="D18" t="s">
        <v>74</v>
      </c>
      <c r="E18">
        <v>5.39</v>
      </c>
      <c r="F18" s="9" t="s">
        <v>67</v>
      </c>
      <c r="G18" s="7">
        <v>14551481344</v>
      </c>
      <c r="H18" s="6">
        <v>6.83</v>
      </c>
      <c r="I18" s="6">
        <v>4.46</v>
      </c>
      <c r="J18" s="12">
        <f>E18/I18-1</f>
        <v>0.20852017937219736</v>
      </c>
      <c r="K18" s="11">
        <v>4.6196660482374773E-2</v>
      </c>
      <c r="L18" s="13">
        <v>2030839000</v>
      </c>
      <c r="M18" s="13">
        <v>11587361000</v>
      </c>
      <c r="N18" s="9" t="s">
        <v>50</v>
      </c>
      <c r="O18" s="6">
        <v>1.0683760683760684</v>
      </c>
      <c r="P18" s="12">
        <v>0.1485801691319015</v>
      </c>
      <c r="Q18" s="12">
        <v>0.17526328902672489</v>
      </c>
      <c r="R18" s="14">
        <v>14</v>
      </c>
    </row>
    <row r="19" spans="2:18" x14ac:dyDescent="0.2">
      <c r="B19" s="1" t="s">
        <v>20</v>
      </c>
      <c r="C19" t="s">
        <v>72</v>
      </c>
      <c r="D19" t="s">
        <v>73</v>
      </c>
      <c r="E19">
        <v>3.34</v>
      </c>
      <c r="F19" s="9" t="s">
        <v>67</v>
      </c>
      <c r="G19" s="7">
        <v>3472958720</v>
      </c>
      <c r="H19" s="6">
        <v>3.74</v>
      </c>
      <c r="I19" s="6">
        <v>1.92</v>
      </c>
      <c r="J19" s="12">
        <f>E19/I19-1</f>
        <v>0.73958333333333326</v>
      </c>
      <c r="K19" s="11">
        <v>8.5029940119760478E-2</v>
      </c>
      <c r="L19" s="13">
        <v>762183000</v>
      </c>
      <c r="M19" s="13">
        <v>5008319000</v>
      </c>
      <c r="N19" s="9" t="s">
        <v>67</v>
      </c>
      <c r="O19" s="6">
        <v>1</v>
      </c>
      <c r="P19" s="12">
        <v>0.18069782171432752</v>
      </c>
      <c r="Q19" s="12">
        <v>0.15218339726363278</v>
      </c>
      <c r="R19" s="14">
        <v>14</v>
      </c>
    </row>
    <row r="20" spans="2:18" x14ac:dyDescent="0.2">
      <c r="B20" s="1" t="s">
        <v>34</v>
      </c>
      <c r="C20" t="s">
        <v>97</v>
      </c>
      <c r="D20" t="s">
        <v>70</v>
      </c>
      <c r="E20">
        <v>4.76</v>
      </c>
      <c r="F20" s="9" t="s">
        <v>67</v>
      </c>
      <c r="G20" s="7">
        <v>55307927552</v>
      </c>
      <c r="H20" s="6">
        <v>5.37</v>
      </c>
      <c r="I20" s="6">
        <v>3.5</v>
      </c>
      <c r="J20" s="12">
        <f>E20/I20-1</f>
        <v>0.35999999999999988</v>
      </c>
      <c r="K20" s="11">
        <v>5.5462184873949584E-2</v>
      </c>
      <c r="L20" s="13">
        <v>5294586000</v>
      </c>
      <c r="M20" s="13">
        <v>17815083000</v>
      </c>
      <c r="N20" s="9" t="s">
        <v>50</v>
      </c>
      <c r="O20" s="6">
        <v>1.0683760683760684</v>
      </c>
      <c r="P20" s="12">
        <v>0.10708714192822927</v>
      </c>
      <c r="Q20" s="12">
        <v>0.29719681912231338</v>
      </c>
      <c r="R20" s="14">
        <v>15</v>
      </c>
    </row>
    <row r="21" spans="2:18" x14ac:dyDescent="0.2">
      <c r="B21" s="1" t="s">
        <v>285</v>
      </c>
      <c r="C21" t="s">
        <v>338</v>
      </c>
      <c r="D21" t="s">
        <v>85</v>
      </c>
      <c r="E21">
        <v>9.89</v>
      </c>
      <c r="F21" s="9" t="s">
        <v>67</v>
      </c>
      <c r="G21" s="7">
        <v>126890876928</v>
      </c>
      <c r="H21" s="6">
        <v>10.16</v>
      </c>
      <c r="I21" s="6">
        <v>5.84</v>
      </c>
      <c r="J21" s="12">
        <f>E21/I21-1</f>
        <v>0.69349315068493156</v>
      </c>
      <c r="K21" s="11">
        <v>7.785642062689585E-3</v>
      </c>
      <c r="L21" s="13">
        <v>2553000000</v>
      </c>
      <c r="M21" s="13">
        <v>13971000000</v>
      </c>
      <c r="N21" s="9" t="s">
        <v>71</v>
      </c>
      <c r="O21" s="6">
        <v>7.6923076923076916</v>
      </c>
      <c r="P21" s="12">
        <v>0.14054644324516893</v>
      </c>
      <c r="Q21" s="12">
        <v>0.18273566673824351</v>
      </c>
      <c r="R21" s="14">
        <v>16</v>
      </c>
    </row>
    <row r="22" spans="2:18" x14ac:dyDescent="0.2">
      <c r="B22" s="1" t="s">
        <v>27</v>
      </c>
      <c r="C22" t="s">
        <v>86</v>
      </c>
      <c r="D22" t="s">
        <v>87</v>
      </c>
      <c r="E22">
        <v>4.71</v>
      </c>
      <c r="F22" s="9" t="s">
        <v>67</v>
      </c>
      <c r="G22" s="7">
        <v>5001464320</v>
      </c>
      <c r="H22" s="6">
        <v>7.12</v>
      </c>
      <c r="I22" s="6">
        <v>3.98</v>
      </c>
      <c r="J22" s="12">
        <f>E22/I22-1</f>
        <v>0.18341708542713575</v>
      </c>
      <c r="K22" s="11">
        <v>0.10615711252653928</v>
      </c>
      <c r="L22" s="13">
        <v>866801000</v>
      </c>
      <c r="M22" s="13">
        <v>7530053000</v>
      </c>
      <c r="N22" s="9" t="s">
        <v>67</v>
      </c>
      <c r="O22" s="6">
        <v>1</v>
      </c>
      <c r="P22" s="12">
        <v>0.43217068915669438</v>
      </c>
      <c r="Q22" s="12">
        <v>0.11511220438953086</v>
      </c>
      <c r="R22" s="14">
        <v>16</v>
      </c>
    </row>
    <row r="23" spans="2:18" x14ac:dyDescent="0.2">
      <c r="B23" s="1" t="s">
        <v>287</v>
      </c>
      <c r="C23" t="s">
        <v>340</v>
      </c>
      <c r="D23" t="s">
        <v>53</v>
      </c>
      <c r="E23">
        <v>4.78</v>
      </c>
      <c r="F23" s="9" t="s">
        <v>67</v>
      </c>
      <c r="G23" s="7">
        <v>18537238528</v>
      </c>
      <c r="H23" s="6">
        <v>5.29</v>
      </c>
      <c r="I23" s="6">
        <v>3.33</v>
      </c>
      <c r="J23" s="12">
        <f>E23/I23-1</f>
        <v>0.4354354354354355</v>
      </c>
      <c r="K23" s="11">
        <v>5.6485355648535567E-2</v>
      </c>
      <c r="L23" s="13">
        <v>2823432000</v>
      </c>
      <c r="M23" s="13">
        <v>16925205000</v>
      </c>
      <c r="N23" s="9" t="s">
        <v>67</v>
      </c>
      <c r="O23" s="6">
        <v>1</v>
      </c>
      <c r="P23" s="12">
        <v>0.14924293769194863</v>
      </c>
      <c r="Q23" s="12">
        <v>0.16681818624944278</v>
      </c>
      <c r="R23" s="14">
        <v>16</v>
      </c>
    </row>
    <row r="24" spans="2:18" x14ac:dyDescent="0.2">
      <c r="B24" s="1" t="s">
        <v>247</v>
      </c>
      <c r="C24" t="s">
        <v>292</v>
      </c>
      <c r="D24" t="s">
        <v>291</v>
      </c>
      <c r="E24">
        <v>1.3</v>
      </c>
      <c r="F24" s="9" t="s">
        <v>67</v>
      </c>
      <c r="G24" s="7">
        <v>2618523136</v>
      </c>
      <c r="H24" s="6">
        <v>1.85</v>
      </c>
      <c r="I24" s="6">
        <v>1.1299999999999999</v>
      </c>
      <c r="J24" s="12">
        <f>E24/I24-1</f>
        <v>0.15044247787610643</v>
      </c>
      <c r="K24" s="11">
        <v>9.1538461538461527E-2</v>
      </c>
      <c r="L24" s="13">
        <v>809534000</v>
      </c>
      <c r="M24" s="13">
        <v>6812238000</v>
      </c>
      <c r="N24" s="9" t="s">
        <v>50</v>
      </c>
      <c r="O24" s="6">
        <v>1.0683760683760684</v>
      </c>
      <c r="P24" s="12">
        <v>0.33068461043085551</v>
      </c>
      <c r="Q24" s="12">
        <v>0.11883524915013245</v>
      </c>
      <c r="R24" s="14">
        <v>17</v>
      </c>
    </row>
    <row r="25" spans="2:18" x14ac:dyDescent="0.2">
      <c r="B25" s="1" t="s">
        <v>288</v>
      </c>
      <c r="C25" t="s">
        <v>341</v>
      </c>
      <c r="D25" t="s">
        <v>76</v>
      </c>
      <c r="E25">
        <v>32.14</v>
      </c>
      <c r="F25" s="9" t="s">
        <v>67</v>
      </c>
      <c r="G25" s="7">
        <v>86104080384</v>
      </c>
      <c r="H25" s="6">
        <v>33</v>
      </c>
      <c r="I25" s="6">
        <v>15.7</v>
      </c>
      <c r="J25" s="12">
        <f>E25/I25-1</f>
        <v>1.0471337579617837</v>
      </c>
      <c r="K25" s="11">
        <v>1.0952084629744865E-2</v>
      </c>
      <c r="L25" s="13">
        <v>1069250000</v>
      </c>
      <c r="M25" s="13">
        <v>2571093000</v>
      </c>
      <c r="N25" s="9" t="s">
        <v>71</v>
      </c>
      <c r="O25" s="6">
        <v>7.6923076923076916</v>
      </c>
      <c r="P25" s="12">
        <v>9.8658799023776833E-2</v>
      </c>
      <c r="Q25" s="12">
        <v>0.41587371596437778</v>
      </c>
      <c r="R25" s="14">
        <v>18</v>
      </c>
    </row>
    <row r="26" spans="2:18" x14ac:dyDescent="0.2">
      <c r="B26" s="1" t="s">
        <v>22</v>
      </c>
      <c r="C26" t="s">
        <v>77</v>
      </c>
      <c r="D26" t="s">
        <v>78</v>
      </c>
      <c r="E26">
        <v>12.18</v>
      </c>
      <c r="F26" s="9" t="s">
        <v>67</v>
      </c>
      <c r="G26" s="7">
        <v>196995530752</v>
      </c>
      <c r="H26" s="6">
        <v>12.76</v>
      </c>
      <c r="I26" s="6">
        <v>7.16</v>
      </c>
      <c r="J26" s="12">
        <f>E26/I26-1</f>
        <v>0.7011173184357542</v>
      </c>
      <c r="K26" s="11">
        <v>3.4811165845648605E-2</v>
      </c>
      <c r="L26" s="13">
        <v>32866046000</v>
      </c>
      <c r="M26" s="13">
        <v>215280386000</v>
      </c>
      <c r="N26" s="9" t="s">
        <v>50</v>
      </c>
      <c r="O26" s="6">
        <v>1.0683760683760684</v>
      </c>
      <c r="P26" s="12">
        <v>0.15010263895214829</v>
      </c>
      <c r="Q26" s="12">
        <v>0.15266623500015464</v>
      </c>
      <c r="R26" s="14">
        <v>18</v>
      </c>
    </row>
    <row r="27" spans="2:18" x14ac:dyDescent="0.2">
      <c r="B27" s="1" t="s">
        <v>764</v>
      </c>
      <c r="C27" t="s">
        <v>769</v>
      </c>
      <c r="D27" t="s">
        <v>660</v>
      </c>
      <c r="E27">
        <v>1.29</v>
      </c>
      <c r="F27" s="9" t="s">
        <v>67</v>
      </c>
      <c r="G27" s="7">
        <v>535349984</v>
      </c>
      <c r="H27" s="6">
        <v>1.41</v>
      </c>
      <c r="I27" s="6">
        <v>0.59</v>
      </c>
      <c r="J27" s="12">
        <f>E27/I27-1</f>
        <v>1.1864406779661021</v>
      </c>
      <c r="K27" s="11">
        <v>2.9457364341085271E-2</v>
      </c>
      <c r="L27" s="13">
        <v>76397000</v>
      </c>
      <c r="M27" s="13">
        <v>492379000</v>
      </c>
      <c r="N27" s="9" t="s">
        <v>67</v>
      </c>
      <c r="O27" s="6">
        <v>1</v>
      </c>
      <c r="P27" s="12">
        <v>0.14453061144615698</v>
      </c>
      <c r="Q27" s="12">
        <v>0.15515893244837817</v>
      </c>
      <c r="R27" s="14">
        <v>19</v>
      </c>
    </row>
    <row r="28" spans="2:18" x14ac:dyDescent="0.2">
      <c r="B28" s="1" t="s">
        <v>24</v>
      </c>
      <c r="C28" t="s">
        <v>755</v>
      </c>
      <c r="D28" t="s">
        <v>81</v>
      </c>
      <c r="E28">
        <v>23.38</v>
      </c>
      <c r="F28" s="9" t="s">
        <v>67</v>
      </c>
      <c r="G28" s="7">
        <v>49817481216</v>
      </c>
      <c r="H28" s="6">
        <v>26</v>
      </c>
      <c r="I28" s="6">
        <v>9.76</v>
      </c>
      <c r="J28" s="12">
        <f>E28/I28-1</f>
        <v>1.3954918032786883</v>
      </c>
      <c r="K28" s="11">
        <v>4.7904191616766477E-2</v>
      </c>
      <c r="L28" s="13">
        <v>5451928473.2399998</v>
      </c>
      <c r="M28" s="13">
        <v>25994816572.18</v>
      </c>
      <c r="N28" s="9" t="s">
        <v>50</v>
      </c>
      <c r="O28" s="6">
        <v>1.0683760683760684</v>
      </c>
      <c r="P28" s="12">
        <v>0.10931619761781328</v>
      </c>
      <c r="Q28" s="12">
        <v>0.20973136925592797</v>
      </c>
      <c r="R28" s="14">
        <v>19</v>
      </c>
    </row>
    <row r="29" spans="2:18" x14ac:dyDescent="0.2">
      <c r="B29" s="1" t="s">
        <v>279</v>
      </c>
      <c r="C29" t="s">
        <v>332</v>
      </c>
      <c r="D29" t="s">
        <v>60</v>
      </c>
      <c r="E29">
        <v>10.62</v>
      </c>
      <c r="F29" s="9" t="s">
        <v>67</v>
      </c>
      <c r="G29" s="7">
        <v>17211824128</v>
      </c>
      <c r="H29" s="6">
        <v>12.4</v>
      </c>
      <c r="I29" s="6">
        <v>10.01</v>
      </c>
      <c r="J29" s="12">
        <f>E29/I29-1</f>
        <v>6.0939060939060985E-2</v>
      </c>
      <c r="K29" s="11">
        <v>5.6497175141242938E-2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0.23768981820671217</v>
      </c>
      <c r="Q29" s="12">
        <v>0.11773304155211949</v>
      </c>
      <c r="R29" s="14">
        <v>19</v>
      </c>
    </row>
    <row r="30" spans="2:18" x14ac:dyDescent="0.2">
      <c r="B30" s="1" t="s">
        <v>110</v>
      </c>
      <c r="C30" t="s">
        <v>147</v>
      </c>
      <c r="D30" t="s">
        <v>148</v>
      </c>
      <c r="E30">
        <v>3.98</v>
      </c>
      <c r="F30" s="9" t="s">
        <v>67</v>
      </c>
      <c r="G30" s="7">
        <v>5712937472</v>
      </c>
      <c r="H30" s="6">
        <v>6.5</v>
      </c>
      <c r="I30" s="6">
        <v>2.88</v>
      </c>
      <c r="J30" s="12">
        <f>E30/I30-1</f>
        <v>0.38194444444444442</v>
      </c>
      <c r="K30" s="11">
        <v>9.8241206030150754E-2</v>
      </c>
      <c r="L30" s="13">
        <v>811880000</v>
      </c>
      <c r="M30" s="13">
        <v>5532140000</v>
      </c>
      <c r="N30" s="9" t="s">
        <v>50</v>
      </c>
      <c r="O30" s="6">
        <v>1.0683760683760684</v>
      </c>
      <c r="P30" s="12">
        <v>0.15773761581735704</v>
      </c>
      <c r="Q30" s="12">
        <v>0.14675695119790894</v>
      </c>
      <c r="R30" s="14">
        <v>19</v>
      </c>
    </row>
    <row r="31" spans="2:18" x14ac:dyDescent="0.2">
      <c r="B31" s="1" t="s">
        <v>282</v>
      </c>
      <c r="C31" t="s">
        <v>335</v>
      </c>
      <c r="D31" t="s">
        <v>96</v>
      </c>
      <c r="E31">
        <v>5.0999999999999996</v>
      </c>
      <c r="F31" s="9" t="s">
        <v>67</v>
      </c>
      <c r="G31" s="7">
        <v>5614852608</v>
      </c>
      <c r="H31" s="6">
        <v>5.13</v>
      </c>
      <c r="I31" s="6">
        <v>4</v>
      </c>
      <c r="J31" s="12">
        <f>E31/I31-1</f>
        <v>0.27499999999999991</v>
      </c>
      <c r="K31" s="11">
        <v>6.2745098039215685E-2</v>
      </c>
      <c r="L31" s="13">
        <v>765224000</v>
      </c>
      <c r="M31" s="13">
        <v>5249449000</v>
      </c>
      <c r="N31" s="9" t="s">
        <v>67</v>
      </c>
      <c r="O31" s="6">
        <v>1</v>
      </c>
      <c r="P31" s="12">
        <v>0.15301072120735554</v>
      </c>
      <c r="Q31" s="12">
        <v>0.14577225152582682</v>
      </c>
      <c r="R31" s="14">
        <v>20</v>
      </c>
    </row>
    <row r="32" spans="2:18" x14ac:dyDescent="0.2">
      <c r="B32" s="1" t="s">
        <v>289</v>
      </c>
      <c r="C32" t="s">
        <v>342</v>
      </c>
      <c r="D32" t="s">
        <v>85</v>
      </c>
      <c r="E32">
        <v>1.1200000000000001</v>
      </c>
      <c r="F32" s="9" t="s">
        <v>67</v>
      </c>
      <c r="G32" s="7">
        <v>2451135744</v>
      </c>
      <c r="H32" s="6">
        <v>1.29</v>
      </c>
      <c r="I32" s="6">
        <v>0.53</v>
      </c>
      <c r="J32" s="12">
        <f>E32/I32-1</f>
        <v>1.1132075471698113</v>
      </c>
      <c r="K32" s="11">
        <v>3.3035714285714279E-2</v>
      </c>
      <c r="L32" s="13">
        <v>219938000</v>
      </c>
      <c r="M32" s="13">
        <v>1520292000</v>
      </c>
      <c r="N32" s="9" t="s">
        <v>50</v>
      </c>
      <c r="O32" s="6">
        <v>1.0683760683760684</v>
      </c>
      <c r="P32" s="12">
        <v>0.14952532148112882</v>
      </c>
      <c r="Q32" s="12">
        <v>0.14466826109721026</v>
      </c>
      <c r="R32" s="14">
        <v>21</v>
      </c>
    </row>
    <row r="33" spans="2:18" x14ac:dyDescent="0.2">
      <c r="B33" s="1" t="s">
        <v>115</v>
      </c>
      <c r="C33" t="s">
        <v>155</v>
      </c>
      <c r="D33" t="s">
        <v>83</v>
      </c>
      <c r="E33">
        <v>84</v>
      </c>
      <c r="F33" s="9" t="s">
        <v>67</v>
      </c>
      <c r="G33" s="7">
        <v>232721973248</v>
      </c>
      <c r="H33" s="6">
        <v>106.3</v>
      </c>
      <c r="I33" s="6">
        <v>73.55</v>
      </c>
      <c r="J33" s="12">
        <f>E33/I33-1</f>
        <v>0.14208021753908917</v>
      </c>
      <c r="K33" s="11">
        <v>2.8214285714285716E-2</v>
      </c>
      <c r="L33" s="13">
        <v>22510000000</v>
      </c>
      <c r="M33" s="13">
        <v>82545000000</v>
      </c>
      <c r="N33" s="9" t="s">
        <v>50</v>
      </c>
      <c r="O33" s="6">
        <v>1.0683760683760684</v>
      </c>
      <c r="P33" s="12">
        <v>9.5967830405831012E-2</v>
      </c>
      <c r="Q33" s="12">
        <v>0.27269973953601068</v>
      </c>
      <c r="R33" s="14">
        <v>21</v>
      </c>
    </row>
    <row r="34" spans="2:18" x14ac:dyDescent="0.2">
      <c r="B34" s="1" t="s">
        <v>433</v>
      </c>
      <c r="C34" t="s">
        <v>436</v>
      </c>
      <c r="D34" t="s">
        <v>182</v>
      </c>
      <c r="E34">
        <v>16.87</v>
      </c>
      <c r="F34" s="9" t="s">
        <v>67</v>
      </c>
      <c r="G34" s="7">
        <v>91351056384</v>
      </c>
      <c r="H34" s="6">
        <v>18.88</v>
      </c>
      <c r="I34" s="6">
        <v>12.43</v>
      </c>
      <c r="J34" s="12">
        <f>E34/I34-1</f>
        <v>0.35720032180209182</v>
      </c>
      <c r="K34" s="11">
        <v>4.605809128630705E-2</v>
      </c>
      <c r="L34" s="13">
        <v>6898733000</v>
      </c>
      <c r="M34" s="13">
        <v>12604518000</v>
      </c>
      <c r="N34" s="9" t="s">
        <v>50</v>
      </c>
      <c r="O34" s="6">
        <v>1.0683760683760684</v>
      </c>
      <c r="P34" s="12">
        <v>8.193462777478247E-2</v>
      </c>
      <c r="Q34" s="12">
        <v>0.54732223794674262</v>
      </c>
      <c r="R34" s="14">
        <v>22</v>
      </c>
    </row>
    <row r="35" spans="2:18" x14ac:dyDescent="0.2">
      <c r="B35" s="1" t="s">
        <v>198</v>
      </c>
      <c r="C35" t="s">
        <v>222</v>
      </c>
      <c r="D35" t="s">
        <v>223</v>
      </c>
      <c r="E35">
        <v>0.69</v>
      </c>
      <c r="F35" s="9" t="s">
        <v>67</v>
      </c>
      <c r="G35" s="7">
        <v>1643722112</v>
      </c>
      <c r="H35" s="6">
        <v>0.74</v>
      </c>
      <c r="I35" s="6">
        <v>0.55000000000000004</v>
      </c>
      <c r="J35" s="12">
        <f>E35/I35-1</f>
        <v>0.25454545454545441</v>
      </c>
      <c r="K35" s="11">
        <v>1.4492753623188408E-2</v>
      </c>
      <c r="L35" s="13">
        <v>54195000</v>
      </c>
      <c r="M35" s="13">
        <v>586711000</v>
      </c>
      <c r="N35" s="9" t="s">
        <v>71</v>
      </c>
      <c r="O35" s="6">
        <v>7.6923076923076916</v>
      </c>
      <c r="P35" s="12">
        <v>1.2095512147057168</v>
      </c>
      <c r="Q35" s="12">
        <v>9.2370860611101543E-2</v>
      </c>
      <c r="R35" s="14">
        <v>23</v>
      </c>
    </row>
    <row r="36" spans="2:18" x14ac:dyDescent="0.2">
      <c r="B36" s="1" t="s">
        <v>270</v>
      </c>
      <c r="C36" t="s">
        <v>322</v>
      </c>
      <c r="D36" t="s">
        <v>94</v>
      </c>
      <c r="E36">
        <v>18.82</v>
      </c>
      <c r="F36" s="9" t="s">
        <v>67</v>
      </c>
      <c r="G36" s="7">
        <v>30197602304</v>
      </c>
      <c r="H36" s="6">
        <v>19.100000000000001</v>
      </c>
      <c r="I36" s="6">
        <v>9.6300000000000008</v>
      </c>
      <c r="J36" s="12">
        <f>E36/I36-1</f>
        <v>0.95430944963655229</v>
      </c>
      <c r="K36" s="11">
        <v>8.873538788522848E-3</v>
      </c>
      <c r="L36" s="13">
        <v>634792000</v>
      </c>
      <c r="M36" s="13">
        <v>5195491000</v>
      </c>
      <c r="N36" s="9" t="s">
        <v>71</v>
      </c>
      <c r="O36" s="6">
        <v>7.6923076923076916</v>
      </c>
      <c r="P36" s="12">
        <v>0.15336636036422499</v>
      </c>
      <c r="Q36" s="12">
        <v>0.12218132992627646</v>
      </c>
      <c r="R36" s="14">
        <v>24</v>
      </c>
    </row>
    <row r="37" spans="2:18" x14ac:dyDescent="0.2">
      <c r="B37" s="1" t="s">
        <v>139</v>
      </c>
      <c r="C37" t="s">
        <v>187</v>
      </c>
      <c r="D37" t="s">
        <v>106</v>
      </c>
      <c r="E37">
        <v>42.2</v>
      </c>
      <c r="F37" s="9" t="s">
        <v>67</v>
      </c>
      <c r="G37" s="7">
        <v>107982372864</v>
      </c>
      <c r="H37" s="6">
        <v>71.7</v>
      </c>
      <c r="I37" s="6">
        <v>39.08</v>
      </c>
      <c r="J37" s="12">
        <f>E37/I37-1</f>
        <v>7.9836233367451603E-2</v>
      </c>
      <c r="K37" s="11">
        <v>3.8862559241706158E-3</v>
      </c>
      <c r="L37" s="13">
        <v>1279098000</v>
      </c>
      <c r="M37" s="13">
        <v>4811702000</v>
      </c>
      <c r="N37" s="9" t="s">
        <v>188</v>
      </c>
      <c r="O37" s="6">
        <v>8.7546153846153842</v>
      </c>
      <c r="P37" s="12">
        <v>9.0650441639135979E-2</v>
      </c>
      <c r="Q37" s="12">
        <v>0.26583067696212276</v>
      </c>
      <c r="R37" s="14">
        <v>24</v>
      </c>
    </row>
    <row r="38" spans="2:18" x14ac:dyDescent="0.2">
      <c r="B38" s="1" t="s">
        <v>276</v>
      </c>
      <c r="C38" t="s">
        <v>329</v>
      </c>
      <c r="D38" t="s">
        <v>53</v>
      </c>
      <c r="E38">
        <v>26.98</v>
      </c>
      <c r="F38" s="9" t="s">
        <v>67</v>
      </c>
      <c r="G38" s="7">
        <v>275644481536</v>
      </c>
      <c r="H38" s="6">
        <v>27.92</v>
      </c>
      <c r="I38" s="6">
        <v>19.239999999999998</v>
      </c>
      <c r="J38" s="12">
        <f>E38/I38-1</f>
        <v>0.40228690228690245</v>
      </c>
      <c r="K38" s="11">
        <v>4.5737583395107487E-2</v>
      </c>
      <c r="L38" s="13">
        <v>25459748125.549999</v>
      </c>
      <c r="M38" s="13">
        <v>134815560756.77</v>
      </c>
      <c r="N38" s="9" t="s">
        <v>50</v>
      </c>
      <c r="O38" s="6">
        <v>1.0683760683760684</v>
      </c>
      <c r="P38" s="12">
        <v>0.10312661170415909</v>
      </c>
      <c r="Q38" s="12">
        <v>0.18884873513587705</v>
      </c>
      <c r="R38" s="14">
        <v>24</v>
      </c>
    </row>
    <row r="39" spans="2:18" x14ac:dyDescent="0.2">
      <c r="B39" s="1" t="s">
        <v>272</v>
      </c>
      <c r="C39" t="s">
        <v>324</v>
      </c>
      <c r="D39" t="s">
        <v>296</v>
      </c>
      <c r="E39">
        <v>4.13</v>
      </c>
      <c r="F39" s="9" t="s">
        <v>67</v>
      </c>
      <c r="G39" s="7">
        <v>47501291520</v>
      </c>
      <c r="H39" s="6">
        <v>4.54</v>
      </c>
      <c r="I39" s="6">
        <v>2.78</v>
      </c>
      <c r="J39" s="12">
        <f>E39/I39-1</f>
        <v>0.485611510791367</v>
      </c>
      <c r="K39" s="11">
        <v>4.6004842615012108E-2</v>
      </c>
      <c r="L39" s="13">
        <v>9414000000</v>
      </c>
      <c r="M39" s="13">
        <v>81589000000</v>
      </c>
      <c r="N39" s="9" t="s">
        <v>50</v>
      </c>
      <c r="O39" s="6">
        <v>1.0683760683760684</v>
      </c>
      <c r="P39" s="12">
        <v>0.16271373781744569</v>
      </c>
      <c r="Q39" s="12">
        <v>0.11538320116682396</v>
      </c>
      <c r="R39" s="14">
        <v>25</v>
      </c>
    </row>
    <row r="40" spans="2:18" x14ac:dyDescent="0.2">
      <c r="B40" s="1" t="s">
        <v>275</v>
      </c>
      <c r="C40" t="s">
        <v>328</v>
      </c>
      <c r="D40" t="s">
        <v>148</v>
      </c>
      <c r="E40">
        <v>31.16</v>
      </c>
      <c r="F40" s="9" t="s">
        <v>67</v>
      </c>
      <c r="G40" s="7">
        <v>222200070144</v>
      </c>
      <c r="H40" s="6">
        <v>34.119999999999997</v>
      </c>
      <c r="I40" s="6">
        <v>22.75</v>
      </c>
      <c r="J40" s="12">
        <f>E40/I40-1</f>
        <v>0.36967032967032964</v>
      </c>
      <c r="K40" s="11">
        <v>4.2329910141206677E-2</v>
      </c>
      <c r="L40" s="13">
        <v>61181051000</v>
      </c>
      <c r="M40" s="13">
        <v>532289194000</v>
      </c>
      <c r="N40" s="9" t="s">
        <v>50</v>
      </c>
      <c r="O40" s="6">
        <v>1.0683760683760684</v>
      </c>
      <c r="P40" s="12">
        <v>0.17838112452695418</v>
      </c>
      <c r="Q40" s="12">
        <v>0.11493949471384535</v>
      </c>
      <c r="R40" s="14">
        <v>26</v>
      </c>
    </row>
    <row r="41" spans="2:18" x14ac:dyDescent="0.2">
      <c r="B41" s="1" t="s">
        <v>261</v>
      </c>
      <c r="C41" t="s">
        <v>310</v>
      </c>
      <c r="D41" t="s">
        <v>311</v>
      </c>
      <c r="E41">
        <v>6.99</v>
      </c>
      <c r="F41" s="9" t="s">
        <v>67</v>
      </c>
      <c r="G41" s="7">
        <v>12633930752</v>
      </c>
      <c r="H41" s="6">
        <v>9.7899999999999991</v>
      </c>
      <c r="I41" s="6">
        <v>5.49</v>
      </c>
      <c r="J41" s="12">
        <f>E41/I41-1</f>
        <v>0.27322404371584708</v>
      </c>
      <c r="K41" s="11">
        <v>3.7195994277539342E-2</v>
      </c>
      <c r="L41" s="13">
        <v>2897428000</v>
      </c>
      <c r="M41" s="13">
        <v>25970601000</v>
      </c>
      <c r="N41" s="9" t="s">
        <v>67</v>
      </c>
      <c r="O41" s="6">
        <v>1</v>
      </c>
      <c r="P41" s="12">
        <v>0.16511123222752611</v>
      </c>
      <c r="Q41" s="12">
        <v>0.11156568921912897</v>
      </c>
      <c r="R41" s="14">
        <v>27</v>
      </c>
    </row>
    <row r="42" spans="2:18" x14ac:dyDescent="0.2">
      <c r="B42" s="1" t="s">
        <v>277</v>
      </c>
      <c r="C42" t="s">
        <v>330</v>
      </c>
      <c r="D42" t="s">
        <v>55</v>
      </c>
      <c r="E42">
        <v>12.4</v>
      </c>
      <c r="F42" s="9" t="s">
        <v>67</v>
      </c>
      <c r="G42" s="7">
        <v>31258386432</v>
      </c>
      <c r="H42" s="6">
        <v>13.1</v>
      </c>
      <c r="I42" s="6">
        <v>6.09</v>
      </c>
      <c r="J42" s="12">
        <f>E42/I42-1</f>
        <v>1.0361247947454846</v>
      </c>
      <c r="K42" s="11">
        <v>2.5645161290322582E-2</v>
      </c>
      <c r="L42" s="13">
        <v>3301437000</v>
      </c>
      <c r="M42" s="13">
        <v>21814427000</v>
      </c>
      <c r="N42" s="9" t="s">
        <v>67</v>
      </c>
      <c r="O42" s="6">
        <v>1</v>
      </c>
      <c r="P42" s="12">
        <v>0.12025267669944313</v>
      </c>
      <c r="Q42" s="12">
        <v>0.15134190781174311</v>
      </c>
      <c r="R42" s="14">
        <v>28</v>
      </c>
    </row>
    <row r="43" spans="2:18" x14ac:dyDescent="0.2">
      <c r="B43" s="1" t="s">
        <v>197</v>
      </c>
      <c r="C43" t="s">
        <v>220</v>
      </c>
      <c r="D43" t="s">
        <v>221</v>
      </c>
      <c r="E43">
        <v>31.22</v>
      </c>
      <c r="F43" s="9" t="s">
        <v>67</v>
      </c>
      <c r="G43" s="7">
        <v>272038002688</v>
      </c>
      <c r="H43" s="6">
        <v>31.58</v>
      </c>
      <c r="I43" s="6">
        <v>13.4</v>
      </c>
      <c r="J43" s="12">
        <f>E43/I43-1</f>
        <v>1.3298507462686566</v>
      </c>
      <c r="K43" s="11">
        <v>2.2581678411274824E-2</v>
      </c>
      <c r="L43" s="13">
        <v>21175963859.630001</v>
      </c>
      <c r="M43" s="13">
        <v>104071284594.97</v>
      </c>
      <c r="N43" s="9" t="s">
        <v>50</v>
      </c>
      <c r="O43" s="6">
        <v>1.0683760683760684</v>
      </c>
      <c r="P43" s="12">
        <v>9.3782858475458988E-2</v>
      </c>
      <c r="Q43" s="12">
        <v>0.20347556909712136</v>
      </c>
      <c r="R43" s="14">
        <v>29</v>
      </c>
    </row>
    <row r="44" spans="2:18" x14ac:dyDescent="0.2">
      <c r="B44" s="1" t="s">
        <v>136</v>
      </c>
      <c r="C44" t="s">
        <v>183</v>
      </c>
      <c r="D44" t="s">
        <v>85</v>
      </c>
      <c r="E44">
        <v>12.99</v>
      </c>
      <c r="F44" s="9" t="s">
        <v>67</v>
      </c>
      <c r="G44" s="7">
        <v>73218342912</v>
      </c>
      <c r="H44" s="6">
        <v>14.24</v>
      </c>
      <c r="I44" s="6">
        <v>10.16</v>
      </c>
      <c r="J44" s="12">
        <f>E44/I44-1</f>
        <v>0.27854330708661412</v>
      </c>
      <c r="K44" s="11">
        <v>2.548113933795227E-2</v>
      </c>
      <c r="L44" s="13">
        <v>6482967000</v>
      </c>
      <c r="M44" s="13">
        <v>27483863000</v>
      </c>
      <c r="N44" s="9" t="s">
        <v>50</v>
      </c>
      <c r="O44" s="6">
        <v>1.0683760683760684</v>
      </c>
      <c r="P44" s="12">
        <v>8.6982649549661839E-2</v>
      </c>
      <c r="Q44" s="12">
        <v>0.23588267049650188</v>
      </c>
      <c r="R44" s="14">
        <v>29</v>
      </c>
    </row>
    <row r="45" spans="2:18" x14ac:dyDescent="0.2">
      <c r="B45" s="1" t="s">
        <v>280</v>
      </c>
      <c r="C45" t="s">
        <v>333</v>
      </c>
      <c r="D45" t="s">
        <v>96</v>
      </c>
      <c r="E45">
        <v>4.46</v>
      </c>
      <c r="F45" s="9" t="s">
        <v>67</v>
      </c>
      <c r="G45" s="7">
        <v>30890043392</v>
      </c>
      <c r="H45" s="6">
        <v>6.15</v>
      </c>
      <c r="I45" s="6">
        <v>3.78</v>
      </c>
      <c r="J45" s="12">
        <f>E45/I45-1</f>
        <v>0.17989417989418</v>
      </c>
      <c r="K45" s="11">
        <v>4.9103139013452916E-2</v>
      </c>
      <c r="L45" s="13">
        <v>4216348000</v>
      </c>
      <c r="M45" s="13">
        <v>46142120000</v>
      </c>
      <c r="N45" s="9" t="s">
        <v>50</v>
      </c>
      <c r="O45" s="6">
        <v>1.0683760683760684</v>
      </c>
      <c r="P45" s="12">
        <v>0.37297807188818627</v>
      </c>
      <c r="Q45" s="12">
        <v>9.1377422623841298E-2</v>
      </c>
      <c r="R45" s="14">
        <v>29</v>
      </c>
    </row>
    <row r="46" spans="2:18" x14ac:dyDescent="0.2">
      <c r="B46" s="1" t="s">
        <v>267</v>
      </c>
      <c r="C46" t="s">
        <v>318</v>
      </c>
      <c r="D46" t="s">
        <v>171</v>
      </c>
      <c r="E46">
        <v>77.400000000000006</v>
      </c>
      <c r="F46" s="9" t="s">
        <v>67</v>
      </c>
      <c r="G46" s="7">
        <v>18949476352</v>
      </c>
      <c r="H46" s="6">
        <v>103.1</v>
      </c>
      <c r="I46" s="6">
        <v>58.2</v>
      </c>
      <c r="J46" s="12">
        <f>E46/I46-1</f>
        <v>0.32989690721649478</v>
      </c>
      <c r="K46" s="11">
        <v>1.0594315245478035E-2</v>
      </c>
      <c r="L46" s="13">
        <v>526052000</v>
      </c>
      <c r="M46" s="13">
        <v>5343547000</v>
      </c>
      <c r="N46" s="9" t="s">
        <v>71</v>
      </c>
      <c r="O46" s="6">
        <v>7.6923076923076916</v>
      </c>
      <c r="P46" s="12">
        <v>0.21226170965885299</v>
      </c>
      <c r="Q46" s="12">
        <v>9.8446219337080781E-2</v>
      </c>
      <c r="R46" s="14">
        <v>30</v>
      </c>
    </row>
    <row r="47" spans="2:18" x14ac:dyDescent="0.2">
      <c r="B47" s="1" t="s">
        <v>278</v>
      </c>
      <c r="C47" t="s">
        <v>331</v>
      </c>
      <c r="D47" t="s">
        <v>49</v>
      </c>
      <c r="E47">
        <v>24.52</v>
      </c>
      <c r="F47" s="9" t="s">
        <v>67</v>
      </c>
      <c r="G47" s="7">
        <v>39133921280</v>
      </c>
      <c r="H47" s="6">
        <v>25.18</v>
      </c>
      <c r="I47" s="6">
        <v>16.18</v>
      </c>
      <c r="J47" s="12">
        <f>E47/I47-1</f>
        <v>0.51545117428924603</v>
      </c>
      <c r="K47" s="11">
        <v>2.7977161500815664E-2</v>
      </c>
      <c r="L47" s="13">
        <v>3811007000</v>
      </c>
      <c r="M47" s="13">
        <v>22856317000</v>
      </c>
      <c r="N47" s="9" t="s">
        <v>50</v>
      </c>
      <c r="O47" s="6">
        <v>1.0683760683760684</v>
      </c>
      <c r="P47" s="12">
        <v>0.10594931023676814</v>
      </c>
      <c r="Q47" s="12">
        <v>0.1667375806872122</v>
      </c>
      <c r="R47" s="14">
        <v>31</v>
      </c>
    </row>
    <row r="48" spans="2:18" x14ac:dyDescent="0.2">
      <c r="B48" s="1" t="s">
        <v>37</v>
      </c>
      <c r="C48" t="s">
        <v>101</v>
      </c>
      <c r="D48" t="s">
        <v>102</v>
      </c>
      <c r="E48">
        <v>4.75</v>
      </c>
      <c r="F48" s="9" t="s">
        <v>67</v>
      </c>
      <c r="G48" s="7">
        <v>3701210368</v>
      </c>
      <c r="H48" s="6">
        <v>8.83</v>
      </c>
      <c r="I48" s="6">
        <v>4.28</v>
      </c>
      <c r="J48" s="12">
        <f>E48/I48-1</f>
        <v>0.10981308411214941</v>
      </c>
      <c r="K48" s="11">
        <v>3.5789473684210531E-2</v>
      </c>
      <c r="L48" s="13">
        <v>437453000</v>
      </c>
      <c r="M48" s="13">
        <v>4911072000</v>
      </c>
      <c r="N48" s="9" t="s">
        <v>67</v>
      </c>
      <c r="O48" s="6">
        <v>1</v>
      </c>
      <c r="P48" s="12">
        <v>0.30986327428673482</v>
      </c>
      <c r="Q48" s="12">
        <v>8.9074849645861431E-2</v>
      </c>
      <c r="R48" s="14">
        <v>32</v>
      </c>
    </row>
    <row r="49" spans="2:18" x14ac:dyDescent="0.2">
      <c r="B49" s="1" t="s">
        <v>283</v>
      </c>
      <c r="C49" t="s">
        <v>336</v>
      </c>
      <c r="D49" t="s">
        <v>70</v>
      </c>
      <c r="E49">
        <v>3.45</v>
      </c>
      <c r="F49" s="9" t="s">
        <v>67</v>
      </c>
      <c r="G49" s="7">
        <v>1980920960</v>
      </c>
      <c r="H49" s="6">
        <v>4.84</v>
      </c>
      <c r="I49" s="6">
        <v>2.8</v>
      </c>
      <c r="J49" s="12">
        <f>E49/I49-1</f>
        <v>0.23214285714285721</v>
      </c>
      <c r="K49" s="11">
        <v>8.115942028985508E-2</v>
      </c>
      <c r="L49" s="13">
        <v>392836000</v>
      </c>
      <c r="M49" s="13">
        <v>3201831000</v>
      </c>
      <c r="N49" s="9" t="s">
        <v>67</v>
      </c>
      <c r="O49" s="6">
        <v>1</v>
      </c>
      <c r="P49" s="12">
        <v>0.12842638002781942</v>
      </c>
      <c r="Q49" s="12">
        <v>0.12269104771613493</v>
      </c>
      <c r="R49" s="14">
        <v>33</v>
      </c>
    </row>
    <row r="50" spans="2:18" x14ac:dyDescent="0.2">
      <c r="B50" s="1" t="s">
        <v>271</v>
      </c>
      <c r="C50" t="s">
        <v>323</v>
      </c>
      <c r="D50" t="s">
        <v>94</v>
      </c>
      <c r="E50">
        <v>0.46500000000000002</v>
      </c>
      <c r="F50" s="9" t="s">
        <v>67</v>
      </c>
      <c r="G50" s="7">
        <v>2408126976</v>
      </c>
      <c r="H50" s="6">
        <v>0.68</v>
      </c>
      <c r="I50" s="6">
        <v>0.44500000000000001</v>
      </c>
      <c r="J50" s="12">
        <f>E50/I50-1</f>
        <v>4.4943820224719211E-2</v>
      </c>
      <c r="K50" s="11">
        <v>4.301075268817204E-2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0.32273550539429657</v>
      </c>
      <c r="Q50" s="12">
        <v>8.5775443346640556E-2</v>
      </c>
      <c r="R50" s="14">
        <v>34</v>
      </c>
    </row>
    <row r="51" spans="2:18" x14ac:dyDescent="0.2">
      <c r="B51" s="1" t="s">
        <v>779</v>
      </c>
      <c r="C51" t="s">
        <v>782</v>
      </c>
      <c r="D51" t="s">
        <v>96</v>
      </c>
      <c r="E51">
        <v>78.5</v>
      </c>
      <c r="F51" s="9" t="s">
        <v>67</v>
      </c>
      <c r="G51" s="7">
        <v>1718455631872</v>
      </c>
      <c r="H51" s="6">
        <v>90.6</v>
      </c>
      <c r="I51" s="6">
        <v>75.849999999999994</v>
      </c>
      <c r="J51" s="12">
        <f>E51/I51-1</f>
        <v>3.4937376400791198E-2</v>
      </c>
      <c r="K51" s="11">
        <v>6.3082802547770697E-2</v>
      </c>
      <c r="L51" s="13">
        <v>181466000000</v>
      </c>
      <c r="M51" s="13">
        <v>1392032000000</v>
      </c>
      <c r="N51" s="9" t="s">
        <v>50</v>
      </c>
      <c r="O51" s="6">
        <v>1.0683760683760684</v>
      </c>
      <c r="P51" s="12">
        <v>0.11863566528613445</v>
      </c>
      <c r="Q51" s="12">
        <v>0.13036050895381715</v>
      </c>
      <c r="R51" s="14">
        <v>35</v>
      </c>
    </row>
    <row r="52" spans="2:18" x14ac:dyDescent="0.2">
      <c r="B52" s="1" t="s">
        <v>780</v>
      </c>
      <c r="C52" t="s">
        <v>783</v>
      </c>
      <c r="D52" t="s">
        <v>221</v>
      </c>
      <c r="E52">
        <v>95.45</v>
      </c>
      <c r="F52" s="9" t="s">
        <v>67</v>
      </c>
      <c r="G52" s="7">
        <v>870236487680</v>
      </c>
      <c r="H52" s="6">
        <v>158.86667</v>
      </c>
      <c r="I52" s="6">
        <v>88.5</v>
      </c>
      <c r="J52" s="12">
        <f>E52/I52-1</f>
        <v>7.8531073446327815E-2</v>
      </c>
      <c r="K52" s="11">
        <v>1.3881613410162388E-2</v>
      </c>
      <c r="L52" s="13">
        <v>51774458000</v>
      </c>
      <c r="M52" s="13">
        <v>205612162000</v>
      </c>
      <c r="N52" s="9" t="s">
        <v>50</v>
      </c>
      <c r="O52" s="6">
        <v>1.0683760683760684</v>
      </c>
      <c r="P52" s="12">
        <v>6.882501437518275E-2</v>
      </c>
      <c r="Q52" s="12">
        <v>0.25180639849504621</v>
      </c>
      <c r="R52" s="14">
        <v>35</v>
      </c>
    </row>
    <row r="53" spans="2:18" x14ac:dyDescent="0.2">
      <c r="B53" s="1" t="s">
        <v>25</v>
      </c>
      <c r="C53" t="s">
        <v>82</v>
      </c>
      <c r="D53" t="s">
        <v>49</v>
      </c>
      <c r="E53">
        <v>9.9700000000000006</v>
      </c>
      <c r="F53" s="9" t="s">
        <v>67</v>
      </c>
      <c r="G53" s="7">
        <v>12416827392</v>
      </c>
      <c r="H53" s="6">
        <v>12.08</v>
      </c>
      <c r="I53" s="6">
        <v>4.3499999999999996</v>
      </c>
      <c r="J53" s="12">
        <f>E53/I53-1</f>
        <v>1.2919540229885063</v>
      </c>
      <c r="K53" s="11">
        <v>1.4142427281845534E-2</v>
      </c>
      <c r="L53" s="13">
        <v>921702000</v>
      </c>
      <c r="M53" s="13">
        <v>5262544000</v>
      </c>
      <c r="N53" s="9" t="s">
        <v>50</v>
      </c>
      <c r="O53" s="6">
        <v>1.0683760683760684</v>
      </c>
      <c r="P53" s="12">
        <v>9.88685816121984E-2</v>
      </c>
      <c r="Q53" s="12">
        <v>0.17514380877385538</v>
      </c>
      <c r="R53" s="14">
        <v>35</v>
      </c>
    </row>
    <row r="54" spans="2:18" x14ac:dyDescent="0.2">
      <c r="B54" s="1" t="s">
        <v>19</v>
      </c>
      <c r="C54" t="s">
        <v>69</v>
      </c>
      <c r="D54" t="s">
        <v>70</v>
      </c>
      <c r="E54">
        <v>7.41</v>
      </c>
      <c r="F54" s="9" t="s">
        <v>67</v>
      </c>
      <c r="G54" s="7">
        <v>21139410944</v>
      </c>
      <c r="H54" s="6">
        <v>7.77</v>
      </c>
      <c r="I54" s="6">
        <v>3.6</v>
      </c>
      <c r="J54" s="12">
        <f>E54/I54-1</f>
        <v>1.0583333333333331</v>
      </c>
      <c r="K54" s="11">
        <v>6.0728744939271256E-3</v>
      </c>
      <c r="L54" s="13">
        <v>259348000</v>
      </c>
      <c r="M54" s="13">
        <v>1677627000</v>
      </c>
      <c r="N54" s="9" t="s">
        <v>71</v>
      </c>
      <c r="O54" s="6">
        <v>7.6923076923076916</v>
      </c>
      <c r="P54" s="12">
        <v>0.10390097703302742</v>
      </c>
      <c r="Q54" s="12">
        <v>0.15459217096529801</v>
      </c>
      <c r="R54" s="14">
        <v>36</v>
      </c>
    </row>
    <row r="55" spans="2:18" x14ac:dyDescent="0.2">
      <c r="B55" s="1" t="s">
        <v>121</v>
      </c>
      <c r="C55" t="s">
        <v>162</v>
      </c>
      <c r="D55" t="s">
        <v>76</v>
      </c>
      <c r="E55">
        <v>7.25</v>
      </c>
      <c r="F55" s="9" t="s">
        <v>67</v>
      </c>
      <c r="G55" s="7">
        <v>10628292608</v>
      </c>
      <c r="H55" s="6">
        <v>7.29</v>
      </c>
      <c r="I55" s="6">
        <v>4.08</v>
      </c>
      <c r="J55" s="12">
        <f>E55/I55-1</f>
        <v>0.77696078431372539</v>
      </c>
      <c r="K55" s="11">
        <v>7.5172413793103451E-2</v>
      </c>
      <c r="L55" s="13">
        <v>784607000</v>
      </c>
      <c r="M55" s="13">
        <v>7872586000</v>
      </c>
      <c r="N55" s="9" t="s">
        <v>67</v>
      </c>
      <c r="O55" s="6">
        <v>1</v>
      </c>
      <c r="P55" s="12">
        <v>0.15986969752153696</v>
      </c>
      <c r="Q55" s="12">
        <v>9.9663185641922489E-2</v>
      </c>
      <c r="R55" s="14">
        <v>37</v>
      </c>
    </row>
    <row r="56" spans="2:18" x14ac:dyDescent="0.2">
      <c r="B56" s="1" t="s">
        <v>263</v>
      </c>
      <c r="C56" t="s">
        <v>313</v>
      </c>
      <c r="D56" t="s">
        <v>314</v>
      </c>
      <c r="E56">
        <v>7.93</v>
      </c>
      <c r="F56" s="9" t="s">
        <v>67</v>
      </c>
      <c r="G56" s="7">
        <v>19881271296</v>
      </c>
      <c r="H56" s="6">
        <v>10.14</v>
      </c>
      <c r="I56" s="6">
        <v>5.25</v>
      </c>
      <c r="J56" s="12">
        <f>E56/I56-1</f>
        <v>0.51047619047619053</v>
      </c>
      <c r="K56" s="11">
        <v>5.0189155107187897E-2</v>
      </c>
      <c r="L56" s="13">
        <v>3040816000</v>
      </c>
      <c r="M56" s="13">
        <v>29707522000</v>
      </c>
      <c r="N56" s="9" t="s">
        <v>50</v>
      </c>
      <c r="O56" s="6">
        <v>1.0683760683760684</v>
      </c>
      <c r="P56" s="12">
        <v>0.15148570386808394</v>
      </c>
      <c r="Q56" s="12">
        <v>0.102358453189061</v>
      </c>
      <c r="R56" s="14">
        <v>38</v>
      </c>
    </row>
    <row r="57" spans="2:18" x14ac:dyDescent="0.2">
      <c r="B57" s="1" t="s">
        <v>265</v>
      </c>
      <c r="C57" t="s">
        <v>316</v>
      </c>
      <c r="D57" t="s">
        <v>298</v>
      </c>
      <c r="E57">
        <v>4.87</v>
      </c>
      <c r="F57" s="9" t="s">
        <v>67</v>
      </c>
      <c r="G57" s="7">
        <v>4500571648</v>
      </c>
      <c r="H57" s="6">
        <v>5.59</v>
      </c>
      <c r="I57" s="6">
        <v>3.78</v>
      </c>
      <c r="J57" s="12">
        <f>E57/I57-1</f>
        <v>0.28835978835978837</v>
      </c>
      <c r="K57" s="11">
        <v>3.1827515400410678E-2</v>
      </c>
      <c r="L57" s="13">
        <v>754477000</v>
      </c>
      <c r="M57" s="13">
        <v>11677999000</v>
      </c>
      <c r="N57" s="9" t="s">
        <v>67</v>
      </c>
      <c r="O57" s="6">
        <v>1</v>
      </c>
      <c r="P57" s="12">
        <v>0.38086381929600116</v>
      </c>
      <c r="Q57" s="12">
        <v>6.460670188445812E-2</v>
      </c>
      <c r="R57" s="14">
        <v>39</v>
      </c>
    </row>
    <row r="58" spans="2:18" x14ac:dyDescent="0.2">
      <c r="B58" s="1" t="s">
        <v>248</v>
      </c>
      <c r="C58" t="s">
        <v>293</v>
      </c>
      <c r="D58" t="s">
        <v>294</v>
      </c>
      <c r="E58">
        <v>23.34</v>
      </c>
      <c r="F58" s="9" t="s">
        <v>67</v>
      </c>
      <c r="G58" s="7">
        <v>567904108544</v>
      </c>
      <c r="H58" s="6">
        <v>25.24</v>
      </c>
      <c r="I58" s="6">
        <v>4.58</v>
      </c>
      <c r="J58" s="12">
        <f>E58/I58-1</f>
        <v>4.0960698689956327</v>
      </c>
      <c r="K58" s="11">
        <v>1.0925449871465296E-2</v>
      </c>
      <c r="L58" s="13">
        <v>29168443138.220001</v>
      </c>
      <c r="M58" s="13">
        <v>100996030941.41</v>
      </c>
      <c r="N58" s="9" t="s">
        <v>50</v>
      </c>
      <c r="O58" s="6">
        <v>1.0683760683760684</v>
      </c>
      <c r="P58" s="12">
        <v>5.4891954587631367E-2</v>
      </c>
      <c r="Q58" s="12">
        <v>0.2888078161719172</v>
      </c>
      <c r="R58" s="14">
        <v>40</v>
      </c>
    </row>
    <row r="59" spans="2:18" x14ac:dyDescent="0.2">
      <c r="B59" s="1" t="s">
        <v>274</v>
      </c>
      <c r="C59" t="s">
        <v>326</v>
      </c>
      <c r="D59" t="s">
        <v>327</v>
      </c>
      <c r="E59">
        <v>10.91</v>
      </c>
      <c r="F59" s="9" t="s">
        <v>67</v>
      </c>
      <c r="G59" s="7">
        <v>13906759680</v>
      </c>
      <c r="H59" s="6">
        <v>11.99</v>
      </c>
      <c r="I59" s="6">
        <v>3.85</v>
      </c>
      <c r="J59" s="12">
        <f>E59/I59-1</f>
        <v>1.8337662337662337</v>
      </c>
      <c r="K59" s="11">
        <v>2.3831347387717691E-2</v>
      </c>
      <c r="L59" s="13">
        <v>2871477000</v>
      </c>
      <c r="M59" s="13">
        <v>21784665000</v>
      </c>
      <c r="N59" s="9" t="s">
        <v>50</v>
      </c>
      <c r="O59" s="6">
        <v>1.0683760683760684</v>
      </c>
      <c r="P59" s="12">
        <v>0.11395361795052271</v>
      </c>
      <c r="Q59" s="12">
        <v>0.1318118502166547</v>
      </c>
      <c r="R59" s="14">
        <v>41</v>
      </c>
    </row>
    <row r="60" spans="2:18" x14ac:dyDescent="0.2">
      <c r="B60" s="1" t="s">
        <v>767</v>
      </c>
      <c r="C60" t="s">
        <v>772</v>
      </c>
      <c r="D60" t="s">
        <v>49</v>
      </c>
      <c r="E60">
        <v>1.7</v>
      </c>
      <c r="F60" s="9" t="s">
        <v>67</v>
      </c>
      <c r="G60" s="7">
        <v>1071903744</v>
      </c>
      <c r="H60" s="6">
        <v>1.94</v>
      </c>
      <c r="I60" s="6">
        <v>1.28</v>
      </c>
      <c r="J60" s="12">
        <f>E60/I60-1</f>
        <v>0.328125</v>
      </c>
      <c r="K60" s="11">
        <v>6.8235294117647061E-2</v>
      </c>
      <c r="L60" s="13">
        <v>191186000</v>
      </c>
      <c r="M60" s="13">
        <v>3081570000</v>
      </c>
      <c r="N60" s="9" t="s">
        <v>67</v>
      </c>
      <c r="O60" s="6">
        <v>1</v>
      </c>
      <c r="P60" s="12">
        <v>0.34063668632417304</v>
      </c>
      <c r="Q60" s="12">
        <v>6.2041751444880368E-2</v>
      </c>
      <c r="R60" s="14">
        <v>42</v>
      </c>
    </row>
    <row r="61" spans="2:18" x14ac:dyDescent="0.2">
      <c r="B61" s="1" t="s">
        <v>35</v>
      </c>
      <c r="C61" t="s">
        <v>98</v>
      </c>
      <c r="D61" t="s">
        <v>99</v>
      </c>
      <c r="E61">
        <v>407.8</v>
      </c>
      <c r="F61" s="9" t="s">
        <v>67</v>
      </c>
      <c r="G61" s="7">
        <v>515421405184</v>
      </c>
      <c r="H61" s="6">
        <v>466</v>
      </c>
      <c r="I61" s="6">
        <v>283.2</v>
      </c>
      <c r="J61" s="12">
        <f>E61/I61-1</f>
        <v>0.4399717514124295</v>
      </c>
      <c r="K61" s="11">
        <v>2.6728788621873469E-2</v>
      </c>
      <c r="L61" s="13">
        <v>20744000000</v>
      </c>
      <c r="M61" s="13">
        <v>53852000000</v>
      </c>
      <c r="N61" s="9" t="s">
        <v>67</v>
      </c>
      <c r="O61" s="6">
        <v>1</v>
      </c>
      <c r="P61" s="12">
        <v>5.4253898305710653E-2</v>
      </c>
      <c r="Q61" s="12">
        <v>0.38520389214885242</v>
      </c>
      <c r="R61" s="14">
        <v>42</v>
      </c>
    </row>
    <row r="62" spans="2:18" x14ac:dyDescent="0.2">
      <c r="B62" s="1" t="s">
        <v>260</v>
      </c>
      <c r="C62" t="s">
        <v>309</v>
      </c>
      <c r="D62" t="s">
        <v>74</v>
      </c>
      <c r="E62">
        <v>6.98</v>
      </c>
      <c r="F62" s="9" t="s">
        <v>67</v>
      </c>
      <c r="G62" s="7">
        <v>4759412224</v>
      </c>
      <c r="H62" s="6">
        <v>10.98</v>
      </c>
      <c r="I62" s="6">
        <v>6.56</v>
      </c>
      <c r="J62" s="12">
        <f>E62/I62-1</f>
        <v>6.4024390243902607E-2</v>
      </c>
      <c r="K62" s="11">
        <v>5.1146131805157591E-2</v>
      </c>
      <c r="L62" s="13">
        <v>618033000</v>
      </c>
      <c r="M62" s="13">
        <v>5033024000</v>
      </c>
      <c r="N62" s="9" t="s">
        <v>50</v>
      </c>
      <c r="O62" s="6">
        <v>1.0683760683760684</v>
      </c>
      <c r="P62" s="12">
        <v>0.11428949537709662</v>
      </c>
      <c r="Q62" s="12">
        <v>0.12279555988606453</v>
      </c>
      <c r="R62" s="14">
        <v>43</v>
      </c>
    </row>
    <row r="63" spans="2:18" x14ac:dyDescent="0.2">
      <c r="B63" s="1" t="s">
        <v>269</v>
      </c>
      <c r="C63" t="s">
        <v>321</v>
      </c>
      <c r="D63" t="s">
        <v>85</v>
      </c>
      <c r="E63">
        <v>13</v>
      </c>
      <c r="F63" s="9" t="s">
        <v>67</v>
      </c>
      <c r="G63" s="7">
        <v>3051386112</v>
      </c>
      <c r="H63" s="6">
        <v>17</v>
      </c>
      <c r="I63" s="6">
        <v>8.3000000000000007</v>
      </c>
      <c r="J63" s="12">
        <f>E63/I63-1</f>
        <v>0.56626506024096379</v>
      </c>
      <c r="K63" s="11">
        <v>3.692307692307692E-2</v>
      </c>
      <c r="L63" s="13">
        <v>244811000</v>
      </c>
      <c r="M63" s="13">
        <v>2904223000</v>
      </c>
      <c r="N63" s="9" t="s">
        <v>67</v>
      </c>
      <c r="O63" s="6">
        <v>1</v>
      </c>
      <c r="P63" s="12">
        <v>0.18149069210465085</v>
      </c>
      <c r="Q63" s="12">
        <v>8.4294835486117978E-2</v>
      </c>
      <c r="R63" s="14">
        <v>44</v>
      </c>
    </row>
    <row r="64" spans="2:18" x14ac:dyDescent="0.2">
      <c r="B64" s="1" t="s">
        <v>432</v>
      </c>
      <c r="C64" t="s">
        <v>434</v>
      </c>
      <c r="D64" t="s">
        <v>435</v>
      </c>
      <c r="E64">
        <v>80.75</v>
      </c>
      <c r="F64" s="9" t="s">
        <v>67</v>
      </c>
      <c r="G64" s="7">
        <v>493129564160</v>
      </c>
      <c r="H64" s="6">
        <v>189.6</v>
      </c>
      <c r="I64" s="6">
        <v>80.099999999999994</v>
      </c>
      <c r="J64" s="12">
        <f>E64/I64-1</f>
        <v>8.1148564294633019E-3</v>
      </c>
      <c r="K64" s="11">
        <v>0</v>
      </c>
      <c r="L64" s="13">
        <v>39322363000</v>
      </c>
      <c r="M64" s="13">
        <v>228415685000</v>
      </c>
      <c r="N64" s="9" t="s">
        <v>50</v>
      </c>
      <c r="O64" s="6">
        <v>1.0683760683760684</v>
      </c>
      <c r="P64" s="12">
        <v>8.6949298341042078E-2</v>
      </c>
      <c r="Q64" s="12">
        <v>0.17215263916748974</v>
      </c>
      <c r="R64" s="14">
        <v>44</v>
      </c>
    </row>
    <row r="65" spans="2:18" x14ac:dyDescent="0.2">
      <c r="B65" s="1" t="s">
        <v>135</v>
      </c>
      <c r="C65" t="s">
        <v>181</v>
      </c>
      <c r="D65" t="s">
        <v>182</v>
      </c>
      <c r="E65">
        <v>420.4</v>
      </c>
      <c r="F65" s="9" t="s">
        <v>67</v>
      </c>
      <c r="G65" s="7">
        <v>148501446656</v>
      </c>
      <c r="H65" s="6">
        <v>451.2</v>
      </c>
      <c r="I65" s="6">
        <v>324</v>
      </c>
      <c r="J65" s="12">
        <f>E65/I65-1</f>
        <v>0.29753086419753072</v>
      </c>
      <c r="K65" s="11">
        <v>2.2835394862036158E-3</v>
      </c>
      <c r="L65" s="13">
        <v>1200000000</v>
      </c>
      <c r="M65" s="13">
        <v>5855000000</v>
      </c>
      <c r="N65" s="9" t="s">
        <v>71</v>
      </c>
      <c r="O65" s="6">
        <v>7.6923076923076916</v>
      </c>
      <c r="P65" s="12">
        <v>5.7166845262314268E-2</v>
      </c>
      <c r="Q65" s="12">
        <v>0.20495303159692571</v>
      </c>
      <c r="R65" s="14">
        <v>44</v>
      </c>
    </row>
    <row r="66" spans="2:18" x14ac:dyDescent="0.2">
      <c r="B66" s="1" t="s">
        <v>380</v>
      </c>
      <c r="C66" t="s">
        <v>383</v>
      </c>
      <c r="D66" t="s">
        <v>83</v>
      </c>
      <c r="E66">
        <v>21.96</v>
      </c>
      <c r="F66" s="9" t="s">
        <v>67</v>
      </c>
      <c r="G66" s="7">
        <v>56547528704</v>
      </c>
      <c r="H66" s="6">
        <v>22.38</v>
      </c>
      <c r="I66" s="6">
        <v>13.5</v>
      </c>
      <c r="J66" s="12">
        <f>E66/I66-1</f>
        <v>0.62666666666666671</v>
      </c>
      <c r="K66" s="11">
        <v>2.4726775956284155E-2</v>
      </c>
      <c r="L66" s="13">
        <v>4264779000</v>
      </c>
      <c r="M66" s="13">
        <v>26103689000</v>
      </c>
      <c r="N66" s="9" t="s">
        <v>50</v>
      </c>
      <c r="O66" s="6">
        <v>1.0683760683760684</v>
      </c>
      <c r="P66" s="12">
        <v>9.0038772345027496E-2</v>
      </c>
      <c r="Q66" s="12">
        <v>0.16337840218675606</v>
      </c>
      <c r="R66" s="14">
        <v>45</v>
      </c>
    </row>
    <row r="67" spans="2:18" x14ac:dyDescent="0.2">
      <c r="B67" s="1" t="s">
        <v>786</v>
      </c>
      <c r="C67" t="s">
        <v>789</v>
      </c>
      <c r="D67" t="s">
        <v>790</v>
      </c>
      <c r="E67">
        <v>10.4</v>
      </c>
      <c r="F67" s="9" t="s">
        <v>67</v>
      </c>
      <c r="G67" s="7">
        <v>30432577536</v>
      </c>
      <c r="H67" s="6">
        <v>13.32</v>
      </c>
      <c r="I67" s="6">
        <v>9.8699999999999992</v>
      </c>
      <c r="J67" s="12">
        <f>E67/I67-1</f>
        <v>5.369807497467094E-2</v>
      </c>
      <c r="K67" s="11">
        <v>2.2980769230769228E-2</v>
      </c>
      <c r="L67" s="13">
        <v>2406008862.77</v>
      </c>
      <c r="M67" s="13">
        <v>23708343703.5</v>
      </c>
      <c r="N67" s="9" t="s">
        <v>50</v>
      </c>
      <c r="O67" s="6">
        <v>1.0683760683760684</v>
      </c>
      <c r="P67" s="12">
        <v>0.12409119181637242</v>
      </c>
      <c r="Q67" s="12">
        <v>0.10148363347772824</v>
      </c>
      <c r="R67" s="14">
        <v>46</v>
      </c>
    </row>
    <row r="68" spans="2:18" x14ac:dyDescent="0.2">
      <c r="B68" s="1" t="s">
        <v>259</v>
      </c>
      <c r="C68" t="s">
        <v>308</v>
      </c>
      <c r="D68" t="s">
        <v>238</v>
      </c>
      <c r="E68">
        <v>7.74</v>
      </c>
      <c r="F68" s="9" t="s">
        <v>67</v>
      </c>
      <c r="G68" s="7">
        <v>102306021376</v>
      </c>
      <c r="H68" s="6">
        <v>9.83</v>
      </c>
      <c r="I68" s="6">
        <v>7.52</v>
      </c>
      <c r="J68" s="12">
        <f>E68/I68-1</f>
        <v>2.9255319148936199E-2</v>
      </c>
      <c r="K68" s="11">
        <v>7.3643410852713177E-3</v>
      </c>
      <c r="L68" s="13">
        <v>1187000000</v>
      </c>
      <c r="M68" s="13">
        <v>10278000000</v>
      </c>
      <c r="N68" s="9" t="s">
        <v>71</v>
      </c>
      <c r="O68" s="6">
        <v>7.6923076923076916</v>
      </c>
      <c r="P68" s="12">
        <v>0.11159389306669522</v>
      </c>
      <c r="Q68" s="12">
        <v>0.1154893948238957</v>
      </c>
      <c r="R68" s="14">
        <v>47</v>
      </c>
    </row>
    <row r="69" spans="2:18" x14ac:dyDescent="0.2">
      <c r="B69" s="1" t="s">
        <v>258</v>
      </c>
      <c r="C69" t="s">
        <v>307</v>
      </c>
      <c r="D69" t="s">
        <v>152</v>
      </c>
      <c r="E69">
        <v>27.3</v>
      </c>
      <c r="F69" s="9" t="s">
        <v>67</v>
      </c>
      <c r="G69" s="7">
        <v>25323724800</v>
      </c>
      <c r="H69" s="6">
        <v>45.78</v>
      </c>
      <c r="I69" s="6">
        <v>11.22</v>
      </c>
      <c r="J69" s="12">
        <f>E69/I69-1</f>
        <v>1.4331550802139037</v>
      </c>
      <c r="K69" s="11">
        <v>2.8571428571428571E-3</v>
      </c>
      <c r="L69" s="13">
        <v>334940000</v>
      </c>
      <c r="M69" s="13">
        <v>3025375000</v>
      </c>
      <c r="N69" s="9" t="s">
        <v>71</v>
      </c>
      <c r="O69" s="6">
        <v>7.6923076923076916</v>
      </c>
      <c r="P69" s="12">
        <v>0.11450970612905122</v>
      </c>
      <c r="Q69" s="12">
        <v>0.11071024253191752</v>
      </c>
      <c r="R69" s="14">
        <v>48</v>
      </c>
    </row>
    <row r="70" spans="2:18" x14ac:dyDescent="0.2">
      <c r="B70" s="1" t="s">
        <v>116</v>
      </c>
      <c r="C70" t="s">
        <v>156</v>
      </c>
      <c r="D70" t="s">
        <v>83</v>
      </c>
      <c r="E70">
        <v>244.4</v>
      </c>
      <c r="F70" s="9" t="s">
        <v>67</v>
      </c>
      <c r="G70" s="7">
        <v>324596858880</v>
      </c>
      <c r="H70" s="6">
        <v>339.8</v>
      </c>
      <c r="I70" s="6">
        <v>101.6</v>
      </c>
      <c r="J70" s="12">
        <f>E70/I70-1</f>
        <v>1.4055118110236222</v>
      </c>
      <c r="K70" s="11">
        <v>3.3346972176759408E-3</v>
      </c>
      <c r="L70" s="13">
        <v>4408440000</v>
      </c>
      <c r="M70" s="13">
        <v>10683505000</v>
      </c>
      <c r="N70" s="9" t="s">
        <v>50</v>
      </c>
      <c r="O70" s="6">
        <v>1.0683760683760684</v>
      </c>
      <c r="P70" s="12">
        <v>1.4759831625690329E-2</v>
      </c>
      <c r="Q70" s="12">
        <v>0.41263985929711272</v>
      </c>
      <c r="R70" s="14">
        <v>49</v>
      </c>
    </row>
    <row r="71" spans="2:18" x14ac:dyDescent="0.2">
      <c r="B71" s="1" t="s">
        <v>31</v>
      </c>
      <c r="C71" t="s">
        <v>92</v>
      </c>
      <c r="D71" t="s">
        <v>74</v>
      </c>
      <c r="E71">
        <v>2.95</v>
      </c>
      <c r="F71" s="9" t="s">
        <v>67</v>
      </c>
      <c r="G71" s="7">
        <v>18293606400</v>
      </c>
      <c r="H71" s="6">
        <v>4.13</v>
      </c>
      <c r="I71" s="6">
        <v>2.6</v>
      </c>
      <c r="J71" s="12">
        <f>E71/I71-1</f>
        <v>0.13461538461538458</v>
      </c>
      <c r="K71" s="11">
        <v>5.084745762711864E-2</v>
      </c>
      <c r="L71" s="13">
        <v>1677300000</v>
      </c>
      <c r="M71" s="13">
        <v>11188800000</v>
      </c>
      <c r="N71" s="9" t="s">
        <v>50</v>
      </c>
      <c r="O71" s="6">
        <v>1.0683760683760684</v>
      </c>
      <c r="P71" s="12">
        <v>9.0175889320162309E-2</v>
      </c>
      <c r="Q71" s="12">
        <v>0.1499088374088374</v>
      </c>
      <c r="R71" s="14">
        <v>50</v>
      </c>
    </row>
    <row r="72" spans="2:18" x14ac:dyDescent="0.2">
      <c r="B72" s="1" t="s">
        <v>266</v>
      </c>
      <c r="C72" t="s">
        <v>317</v>
      </c>
      <c r="D72" t="s">
        <v>300</v>
      </c>
      <c r="E72">
        <v>7.67</v>
      </c>
      <c r="F72" s="9" t="s">
        <v>67</v>
      </c>
      <c r="G72" s="7">
        <v>33702164480</v>
      </c>
      <c r="H72" s="6">
        <v>7.93</v>
      </c>
      <c r="I72" s="6">
        <v>4.8</v>
      </c>
      <c r="J72" s="12">
        <f>E72/I72-1</f>
        <v>0.59791666666666665</v>
      </c>
      <c r="K72" s="11">
        <v>4.7979139504563235E-2</v>
      </c>
      <c r="L72" s="13">
        <v>2919921000</v>
      </c>
      <c r="M72" s="13">
        <v>31662140000</v>
      </c>
      <c r="N72" s="9" t="s">
        <v>50</v>
      </c>
      <c r="O72" s="6">
        <v>1.0683760683760684</v>
      </c>
      <c r="P72" s="12">
        <v>0.14121156253164188</v>
      </c>
      <c r="Q72" s="12">
        <v>9.2221214358852555E-2</v>
      </c>
      <c r="R72" s="14">
        <v>50</v>
      </c>
    </row>
    <row r="73" spans="2:18" x14ac:dyDescent="0.2">
      <c r="B73" s="1" t="s">
        <v>123</v>
      </c>
      <c r="C73" t="s">
        <v>165</v>
      </c>
      <c r="D73" t="s">
        <v>106</v>
      </c>
      <c r="E73">
        <v>14.28</v>
      </c>
      <c r="F73" s="9" t="s">
        <v>67</v>
      </c>
      <c r="G73" s="7">
        <v>140871401472</v>
      </c>
      <c r="H73" s="6">
        <v>16.95</v>
      </c>
      <c r="I73" s="6">
        <v>7.46</v>
      </c>
      <c r="J73" s="12">
        <f>E73/I73-1</f>
        <v>0.91420911528150128</v>
      </c>
      <c r="K73" s="11">
        <v>3.7815126050420172E-2</v>
      </c>
      <c r="L73" s="13">
        <v>8510100000</v>
      </c>
      <c r="M73" s="13">
        <v>46117200000</v>
      </c>
      <c r="N73" s="9" t="s">
        <v>67</v>
      </c>
      <c r="O73" s="6">
        <v>1</v>
      </c>
      <c r="P73" s="12">
        <v>5.5232378376277612E-2</v>
      </c>
      <c r="Q73" s="12">
        <v>0.18453201842262756</v>
      </c>
      <c r="R73" s="14">
        <v>51</v>
      </c>
    </row>
    <row r="74" spans="2:18" x14ac:dyDescent="0.2">
      <c r="B74" s="1" t="s">
        <v>112</v>
      </c>
      <c r="C74" t="s">
        <v>151</v>
      </c>
      <c r="D74" t="s">
        <v>152</v>
      </c>
      <c r="E74">
        <v>62.95</v>
      </c>
      <c r="F74" s="9" t="s">
        <v>67</v>
      </c>
      <c r="G74" s="7">
        <v>178541969408</v>
      </c>
      <c r="H74" s="6">
        <v>86</v>
      </c>
      <c r="I74" s="6">
        <v>44.25</v>
      </c>
      <c r="J74" s="12">
        <f>E74/I74-1</f>
        <v>0.42259887005649732</v>
      </c>
      <c r="K74" s="11">
        <v>4.2891183478951551E-2</v>
      </c>
      <c r="L74" s="13">
        <v>8955723006</v>
      </c>
      <c r="M74" s="13">
        <v>47495870210</v>
      </c>
      <c r="N74" s="9" t="s">
        <v>50</v>
      </c>
      <c r="O74" s="6">
        <v>1.0683760683760684</v>
      </c>
      <c r="P74" s="12">
        <v>5.4833413066591022E-2</v>
      </c>
      <c r="Q74" s="12">
        <v>0.18855793075067021</v>
      </c>
      <c r="R74" s="14">
        <v>51</v>
      </c>
    </row>
    <row r="75" spans="2:18" x14ac:dyDescent="0.2">
      <c r="B75" s="1" t="s">
        <v>112</v>
      </c>
      <c r="C75" t="s">
        <v>151</v>
      </c>
      <c r="D75" t="s">
        <v>152</v>
      </c>
      <c r="E75">
        <v>62.95</v>
      </c>
      <c r="F75" s="9" t="s">
        <v>67</v>
      </c>
      <c r="G75" s="7">
        <v>178541969408</v>
      </c>
      <c r="H75" s="6">
        <v>86</v>
      </c>
      <c r="I75" s="6">
        <v>44.25</v>
      </c>
      <c r="J75" s="12">
        <f>E75/I75-1</f>
        <v>0.42259887005649732</v>
      </c>
      <c r="K75" s="11">
        <v>4.2891183478951551E-2</v>
      </c>
      <c r="L75" s="13">
        <v>8955723006</v>
      </c>
      <c r="M75" s="13">
        <v>47495870210</v>
      </c>
      <c r="N75" s="9" t="s">
        <v>50</v>
      </c>
      <c r="O75" s="6">
        <v>1.0683760683760684</v>
      </c>
      <c r="P75" s="12">
        <v>5.4833413066591022E-2</v>
      </c>
      <c r="Q75" s="12">
        <v>0.18855793075067021</v>
      </c>
      <c r="R75" s="14">
        <v>51</v>
      </c>
    </row>
    <row r="76" spans="2:18" x14ac:dyDescent="0.2">
      <c r="B76" s="1" t="s">
        <v>127</v>
      </c>
      <c r="C76" t="s">
        <v>170</v>
      </c>
      <c r="D76" t="s">
        <v>171</v>
      </c>
      <c r="E76">
        <v>522</v>
      </c>
      <c r="F76" s="9" t="s">
        <v>67</v>
      </c>
      <c r="G76" s="7">
        <v>4709061492736</v>
      </c>
      <c r="H76" s="6">
        <v>683</v>
      </c>
      <c r="I76" s="6">
        <v>419</v>
      </c>
      <c r="J76" s="12">
        <f>E76/I76-1</f>
        <v>0.24582338902147982</v>
      </c>
      <c r="K76" s="11">
        <v>8.101532567049808E-3</v>
      </c>
      <c r="L76" s="13">
        <v>253932000000</v>
      </c>
      <c r="M76" s="13">
        <v>1312163000000</v>
      </c>
      <c r="N76" s="9" t="s">
        <v>50</v>
      </c>
      <c r="O76" s="6">
        <v>1.0683760683760684</v>
      </c>
      <c r="P76" s="12">
        <v>5.4806162869270605E-2</v>
      </c>
      <c r="Q76" s="12">
        <v>0.19352168899747973</v>
      </c>
      <c r="R76" s="14">
        <v>51</v>
      </c>
    </row>
    <row r="77" spans="2:18" x14ac:dyDescent="0.2">
      <c r="B77" s="1" t="s">
        <v>360</v>
      </c>
      <c r="C77" t="s">
        <v>362</v>
      </c>
      <c r="D77" t="s">
        <v>363</v>
      </c>
      <c r="E77">
        <v>2.15</v>
      </c>
      <c r="F77" s="9" t="s">
        <v>67</v>
      </c>
      <c r="G77" s="7">
        <v>4332914176</v>
      </c>
      <c r="H77" s="6">
        <v>3.64</v>
      </c>
      <c r="I77" s="6">
        <v>0.99</v>
      </c>
      <c r="J77" s="12">
        <f>E77/I77-1</f>
        <v>1.1717171717171717</v>
      </c>
      <c r="K77" s="11">
        <v>0</v>
      </c>
      <c r="L77" s="13">
        <v>-732033000</v>
      </c>
      <c r="M77" s="13">
        <v>7864121000</v>
      </c>
      <c r="N77" s="9" t="s">
        <v>50</v>
      </c>
      <c r="O77" s="6">
        <v>1.0683760683760684</v>
      </c>
      <c r="P77" s="12">
        <v>1.0070430249602074</v>
      </c>
      <c r="Q77" s="12">
        <v>-9.3085164890011229E-2</v>
      </c>
      <c r="R77" s="14">
        <v>52</v>
      </c>
    </row>
    <row r="78" spans="2:18" x14ac:dyDescent="0.2">
      <c r="B78" s="1" t="s">
        <v>117</v>
      </c>
      <c r="C78" t="s">
        <v>157</v>
      </c>
      <c r="D78" t="s">
        <v>68</v>
      </c>
      <c r="E78">
        <v>5.5</v>
      </c>
      <c r="F78" s="9" t="s">
        <v>67</v>
      </c>
      <c r="G78" s="7">
        <v>8946917376</v>
      </c>
      <c r="H78" s="6">
        <v>7.05</v>
      </c>
      <c r="I78" s="6">
        <v>5</v>
      </c>
      <c r="J78" s="12">
        <f>E78/I78-1</f>
        <v>0.10000000000000009</v>
      </c>
      <c r="K78" s="11">
        <v>5.0909090909090911E-2</v>
      </c>
      <c r="L78" s="13">
        <v>3597261000</v>
      </c>
      <c r="M78" s="13">
        <v>38357165000</v>
      </c>
      <c r="N78" s="9" t="s">
        <v>67</v>
      </c>
      <c r="O78" s="6">
        <v>1</v>
      </c>
      <c r="P78" s="12">
        <v>0.12065001238059032</v>
      </c>
      <c r="Q78" s="12">
        <v>9.3783286642795421E-2</v>
      </c>
      <c r="R78" s="14">
        <v>53</v>
      </c>
    </row>
    <row r="79" spans="2:18" x14ac:dyDescent="0.2">
      <c r="B79" s="1" t="s">
        <v>377</v>
      </c>
      <c r="C79" t="s">
        <v>378</v>
      </c>
      <c r="D79" t="s">
        <v>182</v>
      </c>
      <c r="E79">
        <v>4.68</v>
      </c>
      <c r="F79" s="9" t="s">
        <v>67</v>
      </c>
      <c r="G79" s="7">
        <v>2685121792</v>
      </c>
      <c r="H79" s="6">
        <v>8.6199999999999992</v>
      </c>
      <c r="I79" s="6">
        <v>4.53</v>
      </c>
      <c r="J79" s="12">
        <f>E79/I79-1</f>
        <v>3.3112582781456901E-2</v>
      </c>
      <c r="K79" s="11">
        <v>7.4786324786324784E-2</v>
      </c>
      <c r="L79" s="13">
        <v>371538000</v>
      </c>
      <c r="M79" s="13">
        <v>3037286000</v>
      </c>
      <c r="N79" s="9" t="s">
        <v>67</v>
      </c>
      <c r="O79" s="6">
        <v>1</v>
      </c>
      <c r="P79" s="12">
        <v>9.8661139514221827E-2</v>
      </c>
      <c r="Q79" s="12">
        <v>0.12232565520665489</v>
      </c>
      <c r="R79" s="14">
        <v>53</v>
      </c>
    </row>
    <row r="80" spans="2:18" x14ac:dyDescent="0.2">
      <c r="B80" s="1" t="s">
        <v>122</v>
      </c>
      <c r="C80" t="s">
        <v>163</v>
      </c>
      <c r="D80" t="s">
        <v>164</v>
      </c>
      <c r="E80">
        <v>29.08</v>
      </c>
      <c r="F80" s="9" t="s">
        <v>67</v>
      </c>
      <c r="G80" s="7">
        <v>33082013696</v>
      </c>
      <c r="H80" s="6">
        <v>29.46</v>
      </c>
      <c r="I80" s="6">
        <v>19.52</v>
      </c>
      <c r="J80" s="12">
        <f>E80/I80-1</f>
        <v>0.48975409836065564</v>
      </c>
      <c r="K80" s="11">
        <v>4.8143053645116916E-2</v>
      </c>
      <c r="L80" s="13">
        <v>3446618000</v>
      </c>
      <c r="M80" s="13">
        <v>34010798000</v>
      </c>
      <c r="N80" s="9" t="s">
        <v>50</v>
      </c>
      <c r="O80" s="6">
        <v>1.0683760683760684</v>
      </c>
      <c r="P80" s="12">
        <v>0.11559638180689732</v>
      </c>
      <c r="Q80" s="12">
        <v>0.10133893359397213</v>
      </c>
      <c r="R80" s="14">
        <v>54</v>
      </c>
    </row>
    <row r="81" spans="2:18" x14ac:dyDescent="0.2">
      <c r="B81" s="1" t="s">
        <v>134</v>
      </c>
      <c r="C81" t="s">
        <v>179</v>
      </c>
      <c r="D81" t="s">
        <v>180</v>
      </c>
      <c r="E81">
        <v>45.6</v>
      </c>
      <c r="F81" s="9" t="s">
        <v>67</v>
      </c>
      <c r="G81" s="7">
        <v>31540606976</v>
      </c>
      <c r="H81" s="6">
        <v>48.1</v>
      </c>
      <c r="I81" s="6">
        <v>19.82</v>
      </c>
      <c r="J81" s="12">
        <f>E81/I81-1</f>
        <v>1.3007063572149344</v>
      </c>
      <c r="K81" s="11">
        <v>1.0964912280701754E-2</v>
      </c>
      <c r="L81" s="13">
        <v>1323087000</v>
      </c>
      <c r="M81" s="13">
        <v>5952918000</v>
      </c>
      <c r="N81" s="9" t="s">
        <v>67</v>
      </c>
      <c r="O81" s="6">
        <v>1</v>
      </c>
      <c r="P81" s="12">
        <v>3.891036385514441E-2</v>
      </c>
      <c r="Q81" s="12">
        <v>0.222258562943417</v>
      </c>
      <c r="R81" s="14">
        <v>54</v>
      </c>
    </row>
    <row r="82" spans="2:18" x14ac:dyDescent="0.2">
      <c r="B82" s="1" t="s">
        <v>132</v>
      </c>
      <c r="C82" t="s">
        <v>176</v>
      </c>
      <c r="D82" t="s">
        <v>76</v>
      </c>
      <c r="E82">
        <v>16.09</v>
      </c>
      <c r="F82" s="9" t="s">
        <v>67</v>
      </c>
      <c r="G82" s="7">
        <v>67545968640</v>
      </c>
      <c r="H82" s="6">
        <v>16.989999999999998</v>
      </c>
      <c r="I82" s="6">
        <v>11.42</v>
      </c>
      <c r="J82" s="12">
        <f>E82/I82-1</f>
        <v>0.40893169877408053</v>
      </c>
      <c r="K82" s="11">
        <v>5.5065257924176506E-2</v>
      </c>
      <c r="L82" s="13">
        <v>11996000000</v>
      </c>
      <c r="M82" s="13">
        <v>138296000000</v>
      </c>
      <c r="N82" s="9" t="s">
        <v>67</v>
      </c>
      <c r="O82" s="6">
        <v>1</v>
      </c>
      <c r="P82" s="12">
        <v>0.13228357977606922</v>
      </c>
      <c r="Q82" s="12">
        <v>8.6741482038526066E-2</v>
      </c>
      <c r="R82" s="14">
        <v>55</v>
      </c>
    </row>
    <row r="83" spans="2:18" x14ac:dyDescent="0.2">
      <c r="B83" s="1" t="s">
        <v>132</v>
      </c>
      <c r="C83" t="s">
        <v>176</v>
      </c>
      <c r="D83" t="s">
        <v>76</v>
      </c>
      <c r="E83">
        <v>16.09</v>
      </c>
      <c r="F83" s="9" t="s">
        <v>67</v>
      </c>
      <c r="G83" s="7">
        <v>67545968640</v>
      </c>
      <c r="H83" s="6">
        <v>16.989999999999998</v>
      </c>
      <c r="I83" s="6">
        <v>11.42</v>
      </c>
      <c r="J83" s="12">
        <f>E83/I83-1</f>
        <v>0.40893169877408053</v>
      </c>
      <c r="K83" s="11">
        <v>5.5065257924176506E-2</v>
      </c>
      <c r="L83" s="13">
        <v>11996000000</v>
      </c>
      <c r="M83" s="13">
        <v>138296000000</v>
      </c>
      <c r="N83" s="9" t="s">
        <v>67</v>
      </c>
      <c r="O83" s="6">
        <v>1</v>
      </c>
      <c r="P83" s="12">
        <v>0.13228357977606922</v>
      </c>
      <c r="Q83" s="12">
        <v>8.6741482038526066E-2</v>
      </c>
      <c r="R83" s="14">
        <v>55</v>
      </c>
    </row>
    <row r="84" spans="2:18" x14ac:dyDescent="0.2">
      <c r="B84" s="1" t="s">
        <v>130</v>
      </c>
      <c r="C84" t="s">
        <v>173</v>
      </c>
      <c r="D84" t="s">
        <v>174</v>
      </c>
      <c r="E84">
        <v>42.64</v>
      </c>
      <c r="F84" s="9" t="s">
        <v>67</v>
      </c>
      <c r="G84" s="7">
        <v>1200753868800</v>
      </c>
      <c r="H84" s="6">
        <v>46.98</v>
      </c>
      <c r="I84" s="6">
        <v>14.02</v>
      </c>
      <c r="J84" s="12">
        <f>E84/I84-1</f>
        <v>2.0413694721825966</v>
      </c>
      <c r="K84" s="11">
        <v>1.172607879924953E-2</v>
      </c>
      <c r="L84" s="13">
        <v>52374992116</v>
      </c>
      <c r="M84" s="13">
        <v>269573093476</v>
      </c>
      <c r="N84" s="9" t="s">
        <v>50</v>
      </c>
      <c r="O84" s="6">
        <v>1.0683760683760684</v>
      </c>
      <c r="P84" s="12">
        <v>4.2229822847588631E-2</v>
      </c>
      <c r="Q84" s="12">
        <v>0.19428864891763736</v>
      </c>
      <c r="R84" s="14">
        <v>56</v>
      </c>
    </row>
    <row r="85" spans="2:18" x14ac:dyDescent="0.2">
      <c r="B85" s="1" t="s">
        <v>273</v>
      </c>
      <c r="C85" t="s">
        <v>325</v>
      </c>
      <c r="D85" t="s">
        <v>81</v>
      </c>
      <c r="E85">
        <v>3.46</v>
      </c>
      <c r="F85" s="9" t="s">
        <v>67</v>
      </c>
      <c r="G85" s="7">
        <v>14809146368</v>
      </c>
      <c r="H85" s="6">
        <v>3.55</v>
      </c>
      <c r="I85" s="6">
        <v>1.68</v>
      </c>
      <c r="J85" s="12">
        <f>E85/I85-1</f>
        <v>1.0595238095238098</v>
      </c>
      <c r="K85" s="11">
        <v>3.5260115606936412E-2</v>
      </c>
      <c r="L85" s="13">
        <v>1230913000</v>
      </c>
      <c r="M85" s="13">
        <v>10701340000</v>
      </c>
      <c r="N85" s="9" t="s">
        <v>50</v>
      </c>
      <c r="O85" s="6">
        <v>1.0683760683760684</v>
      </c>
      <c r="P85" s="12">
        <v>9.7312137337954491E-2</v>
      </c>
      <c r="Q85" s="12">
        <v>0.11502419323187564</v>
      </c>
      <c r="R85" s="14">
        <v>57</v>
      </c>
    </row>
    <row r="86" spans="2:18" x14ac:dyDescent="0.2">
      <c r="B86" s="1" t="s">
        <v>359</v>
      </c>
      <c r="C86" t="s">
        <v>361</v>
      </c>
      <c r="D86" t="s">
        <v>171</v>
      </c>
      <c r="E86">
        <v>9.02</v>
      </c>
      <c r="F86" s="9" t="s">
        <v>67</v>
      </c>
      <c r="G86" s="7">
        <v>2412367616</v>
      </c>
      <c r="H86" s="6">
        <v>15.44</v>
      </c>
      <c r="I86" s="6">
        <v>8.32</v>
      </c>
      <c r="J86" s="12">
        <f>E86/I86-1</f>
        <v>8.4134615384615197E-2</v>
      </c>
      <c r="K86" s="11">
        <v>0</v>
      </c>
      <c r="L86" s="13">
        <v>-481083000</v>
      </c>
      <c r="M86" s="13">
        <v>4136123000</v>
      </c>
      <c r="N86" s="9" t="s">
        <v>50</v>
      </c>
      <c r="O86" s="6">
        <v>1.0683760683760684</v>
      </c>
      <c r="P86" s="12">
        <v>0.2793659804576985</v>
      </c>
      <c r="Q86" s="12">
        <v>-0.11631254679805218</v>
      </c>
      <c r="R86" s="14">
        <v>58</v>
      </c>
    </row>
    <row r="87" spans="2:18" x14ac:dyDescent="0.2">
      <c r="B87" s="1" t="s">
        <v>286</v>
      </c>
      <c r="C87" t="s">
        <v>339</v>
      </c>
      <c r="D87" t="s">
        <v>236</v>
      </c>
      <c r="E87">
        <v>26.96</v>
      </c>
      <c r="F87" s="9" t="s">
        <v>67</v>
      </c>
      <c r="G87" s="7">
        <v>26713415680</v>
      </c>
      <c r="H87" s="6">
        <v>27.1</v>
      </c>
      <c r="I87" s="6">
        <v>6.95</v>
      </c>
      <c r="J87" s="12">
        <f>E87/I87-1</f>
        <v>2.8791366906474822</v>
      </c>
      <c r="K87" s="11">
        <v>1.3130563798219584E-2</v>
      </c>
      <c r="L87" s="13">
        <v>1333116000</v>
      </c>
      <c r="M87" s="13">
        <v>8019803000</v>
      </c>
      <c r="N87" s="9" t="s">
        <v>50</v>
      </c>
      <c r="O87" s="6">
        <v>1.0683760683760684</v>
      </c>
      <c r="P87" s="12">
        <v>5.3676999276924743E-2</v>
      </c>
      <c r="Q87" s="12">
        <v>0.16622802330680692</v>
      </c>
      <c r="R87" s="14">
        <v>59</v>
      </c>
    </row>
    <row r="88" spans="2:18" x14ac:dyDescent="0.2">
      <c r="B88" s="1" t="s">
        <v>118</v>
      </c>
      <c r="C88" t="s">
        <v>158</v>
      </c>
      <c r="D88" t="s">
        <v>96</v>
      </c>
      <c r="E88">
        <v>7.43</v>
      </c>
      <c r="F88" s="9" t="s">
        <v>67</v>
      </c>
      <c r="G88" s="7">
        <v>227343138816</v>
      </c>
      <c r="H88" s="6">
        <v>11.56</v>
      </c>
      <c r="I88" s="6">
        <v>7.07</v>
      </c>
      <c r="J88" s="12">
        <f>E88/I88-1</f>
        <v>5.0919377652050901E-2</v>
      </c>
      <c r="K88" s="11">
        <v>5.9219380888290714E-2</v>
      </c>
      <c r="L88" s="13">
        <v>26994000000</v>
      </c>
      <c r="M88" s="13">
        <v>363169000000</v>
      </c>
      <c r="N88" s="9" t="s">
        <v>50</v>
      </c>
      <c r="O88" s="6">
        <v>1.0683760683760684</v>
      </c>
      <c r="P88" s="12">
        <v>0.1204668845898003</v>
      </c>
      <c r="Q88" s="12">
        <v>7.4329031387590908E-2</v>
      </c>
      <c r="R88" s="14">
        <v>59</v>
      </c>
    </row>
    <row r="89" spans="2:18" x14ac:dyDescent="0.2">
      <c r="B89" s="1" t="s">
        <v>133</v>
      </c>
      <c r="C89" t="s">
        <v>177</v>
      </c>
      <c r="D89" t="s">
        <v>178</v>
      </c>
      <c r="E89">
        <v>8.3800000000000008</v>
      </c>
      <c r="F89" s="9" t="s">
        <v>67</v>
      </c>
      <c r="G89" s="7">
        <v>19745214464</v>
      </c>
      <c r="H89" s="6">
        <v>12.7</v>
      </c>
      <c r="I89" s="6">
        <v>6.33</v>
      </c>
      <c r="J89" s="12">
        <f>E89/I89-1</f>
        <v>0.32385466034755139</v>
      </c>
      <c r="K89" s="11">
        <v>0</v>
      </c>
      <c r="L89" s="13">
        <v>13493113000</v>
      </c>
      <c r="M89" s="13">
        <v>208027754000</v>
      </c>
      <c r="N89" s="9" t="s">
        <v>50</v>
      </c>
      <c r="O89" s="6">
        <v>1.0683760683760684</v>
      </c>
      <c r="P89" s="12">
        <v>0.12123699688821871</v>
      </c>
      <c r="Q89" s="12">
        <v>6.4862080854845933E-2</v>
      </c>
      <c r="R89" s="14">
        <v>60</v>
      </c>
    </row>
    <row r="90" spans="2:18" x14ac:dyDescent="0.2">
      <c r="B90" s="1" t="s">
        <v>437</v>
      </c>
      <c r="C90" t="s">
        <v>441</v>
      </c>
      <c r="D90" t="s">
        <v>164</v>
      </c>
      <c r="E90">
        <v>2.35</v>
      </c>
      <c r="F90" s="9" t="s">
        <v>67</v>
      </c>
      <c r="G90" s="7">
        <v>3133333504</v>
      </c>
      <c r="H90" s="6">
        <v>3.21</v>
      </c>
      <c r="I90" s="6">
        <v>1.91</v>
      </c>
      <c r="J90" s="12">
        <f>E90/I90-1</f>
        <v>0.23036649214659688</v>
      </c>
      <c r="K90" s="11">
        <v>5.106382978723404E-2</v>
      </c>
      <c r="L90" s="13">
        <v>244399000</v>
      </c>
      <c r="M90" s="13">
        <v>2990882000</v>
      </c>
      <c r="N90" s="9" t="s">
        <v>50</v>
      </c>
      <c r="O90" s="6">
        <v>1.0683760683760684</v>
      </c>
      <c r="P90" s="12">
        <v>0.1168892695909387</v>
      </c>
      <c r="Q90" s="12">
        <v>8.171469151909036E-2</v>
      </c>
      <c r="R90" s="14">
        <v>61</v>
      </c>
    </row>
    <row r="91" spans="2:18" x14ac:dyDescent="0.2">
      <c r="B91" s="1" t="s">
        <v>787</v>
      </c>
      <c r="C91" t="s">
        <v>791</v>
      </c>
      <c r="D91" t="s">
        <v>790</v>
      </c>
      <c r="E91">
        <v>8.07</v>
      </c>
      <c r="F91" s="9" t="s">
        <v>67</v>
      </c>
      <c r="G91" s="7">
        <v>11538388992</v>
      </c>
      <c r="H91" s="6">
        <v>12.22</v>
      </c>
      <c r="I91" s="6">
        <v>4.57</v>
      </c>
      <c r="J91" s="12">
        <f>E91/I91-1</f>
        <v>0.76586433260393871</v>
      </c>
      <c r="K91" s="11">
        <v>3.1846344485749689E-2</v>
      </c>
      <c r="L91" s="13">
        <v>1759966000</v>
      </c>
      <c r="M91" s="13">
        <v>17883609000</v>
      </c>
      <c r="N91" s="9" t="s">
        <v>67</v>
      </c>
      <c r="O91" s="6">
        <v>1</v>
      </c>
      <c r="P91" s="12">
        <v>0.10191057063582912</v>
      </c>
      <c r="Q91" s="12">
        <v>9.8412238827185278E-2</v>
      </c>
      <c r="R91" s="14">
        <v>61</v>
      </c>
    </row>
    <row r="92" spans="2:18" x14ac:dyDescent="0.2">
      <c r="B92" s="1" t="s">
        <v>756</v>
      </c>
      <c r="C92" t="s">
        <v>757</v>
      </c>
      <c r="D92" t="s">
        <v>182</v>
      </c>
      <c r="E92">
        <v>1.06</v>
      </c>
      <c r="F92" s="9" t="s">
        <v>67</v>
      </c>
      <c r="G92" s="7">
        <v>1029704064</v>
      </c>
      <c r="H92" s="6">
        <v>1.18</v>
      </c>
      <c r="I92" s="6">
        <v>0.78</v>
      </c>
      <c r="J92" s="12">
        <f>E92/I92-1</f>
        <v>0.35897435897435903</v>
      </c>
      <c r="K92" s="11">
        <v>5.6603773584905655E-2</v>
      </c>
      <c r="L92" s="13">
        <v>115617000</v>
      </c>
      <c r="M92" s="13">
        <v>935619000</v>
      </c>
      <c r="N92" s="9" t="s">
        <v>67</v>
      </c>
      <c r="O92" s="6">
        <v>1</v>
      </c>
      <c r="P92" s="12">
        <v>6.4133540070055839E-2</v>
      </c>
      <c r="Q92" s="12">
        <v>0.12357273633818894</v>
      </c>
      <c r="R92" s="14">
        <v>62</v>
      </c>
    </row>
    <row r="93" spans="2:18" x14ac:dyDescent="0.2">
      <c r="B93" s="1" t="s">
        <v>138</v>
      </c>
      <c r="C93" t="s">
        <v>186</v>
      </c>
      <c r="D93" t="s">
        <v>102</v>
      </c>
      <c r="E93">
        <v>32.380000000000003</v>
      </c>
      <c r="F93" s="9" t="s">
        <v>67</v>
      </c>
      <c r="G93" s="7">
        <v>72958763008</v>
      </c>
      <c r="H93" s="6">
        <v>59.45</v>
      </c>
      <c r="I93" s="6">
        <v>26.65</v>
      </c>
      <c r="J93" s="12">
        <f>E93/I93-1</f>
        <v>0.21500938086303956</v>
      </c>
      <c r="K93" s="11">
        <v>1.7541692402717725E-2</v>
      </c>
      <c r="L93" s="13">
        <v>5261270000</v>
      </c>
      <c r="M93" s="13">
        <v>43208997000</v>
      </c>
      <c r="N93" s="9" t="s">
        <v>50</v>
      </c>
      <c r="O93" s="6">
        <v>1.0683760683760684</v>
      </c>
      <c r="P93" s="12">
        <v>7.139067180727024E-2</v>
      </c>
      <c r="Q93" s="12">
        <v>0.12176329850933591</v>
      </c>
      <c r="R93" s="14">
        <v>63</v>
      </c>
    </row>
    <row r="94" spans="2:18" x14ac:dyDescent="0.2">
      <c r="B94" s="1" t="s">
        <v>264</v>
      </c>
      <c r="C94" t="s">
        <v>315</v>
      </c>
      <c r="D94" t="s">
        <v>49</v>
      </c>
      <c r="E94">
        <v>7.61</v>
      </c>
      <c r="F94" s="9" t="s">
        <v>67</v>
      </c>
      <c r="G94" s="7">
        <v>14362244096</v>
      </c>
      <c r="H94" s="6">
        <v>8.08</v>
      </c>
      <c r="I94" s="6">
        <v>1.92</v>
      </c>
      <c r="J94" s="12">
        <f>E94/I94-1</f>
        <v>2.963541666666667</v>
      </c>
      <c r="K94" s="11">
        <v>2.1024967148488831E-2</v>
      </c>
      <c r="L94" s="13">
        <v>896597000</v>
      </c>
      <c r="M94" s="13">
        <v>6906279000</v>
      </c>
      <c r="N94" s="9" t="s">
        <v>67</v>
      </c>
      <c r="O94" s="6">
        <v>1</v>
      </c>
      <c r="P94" s="12">
        <v>5.6189677497105024E-2</v>
      </c>
      <c r="Q94" s="12">
        <v>0.12982345485897689</v>
      </c>
      <c r="R94" s="14">
        <v>64</v>
      </c>
    </row>
    <row r="95" spans="2:18" x14ac:dyDescent="0.2">
      <c r="B95" s="1" t="s">
        <v>257</v>
      </c>
      <c r="C95" t="s">
        <v>306</v>
      </c>
      <c r="D95" t="s">
        <v>298</v>
      </c>
      <c r="E95">
        <v>70.55</v>
      </c>
      <c r="F95" s="9" t="s">
        <v>67</v>
      </c>
      <c r="G95" s="7">
        <v>1366444605440</v>
      </c>
      <c r="H95" s="6">
        <v>74.7</v>
      </c>
      <c r="I95" s="6">
        <v>39.6</v>
      </c>
      <c r="J95" s="12">
        <f>E95/I95-1</f>
        <v>0.78156565656565635</v>
      </c>
      <c r="K95" s="11">
        <v>3.6428065201984404E-2</v>
      </c>
      <c r="L95" s="13">
        <v>189900000000</v>
      </c>
      <c r="M95" s="13">
        <v>2315380000000</v>
      </c>
      <c r="N95" s="9" t="s">
        <v>50</v>
      </c>
      <c r="O95" s="6">
        <v>1.0683760683760684</v>
      </c>
      <c r="P95" s="12">
        <v>0.11013789764953152</v>
      </c>
      <c r="Q95" s="12">
        <v>8.2016774784268678E-2</v>
      </c>
      <c r="R95" s="14">
        <v>65</v>
      </c>
    </row>
    <row r="96" spans="2:18" x14ac:dyDescent="0.2">
      <c r="B96" s="1" t="s">
        <v>268</v>
      </c>
      <c r="C96" t="s">
        <v>319</v>
      </c>
      <c r="D96" t="s">
        <v>320</v>
      </c>
      <c r="E96">
        <v>12.25</v>
      </c>
      <c r="F96" s="9" t="s">
        <v>67</v>
      </c>
      <c r="G96" s="7">
        <v>25867784192</v>
      </c>
      <c r="H96" s="6">
        <v>12.38</v>
      </c>
      <c r="I96" s="6">
        <v>5.31</v>
      </c>
      <c r="J96" s="12">
        <f>E96/I96-1</f>
        <v>1.3069679849340869</v>
      </c>
      <c r="K96" s="11">
        <v>2.2040816326530613E-2</v>
      </c>
      <c r="L96" s="13">
        <v>1537565000</v>
      </c>
      <c r="M96" s="13">
        <v>14484935000</v>
      </c>
      <c r="N96" s="9" t="s">
        <v>50</v>
      </c>
      <c r="O96" s="6">
        <v>1.0683760683760684</v>
      </c>
      <c r="P96" s="12">
        <v>7.646860004848767E-2</v>
      </c>
      <c r="Q96" s="12">
        <v>0.10614925092863724</v>
      </c>
      <c r="R96" s="14">
        <v>66</v>
      </c>
    </row>
    <row r="97" spans="2:18" x14ac:dyDescent="0.2">
      <c r="B97" s="1" t="s">
        <v>255</v>
      </c>
      <c r="C97" t="s">
        <v>304</v>
      </c>
      <c r="D97" t="s">
        <v>300</v>
      </c>
      <c r="E97">
        <v>1.86</v>
      </c>
      <c r="F97" s="9" t="s">
        <v>67</v>
      </c>
      <c r="G97" s="7">
        <v>72185053184</v>
      </c>
      <c r="H97" s="6">
        <v>3.17</v>
      </c>
      <c r="I97" s="6">
        <v>1.35</v>
      </c>
      <c r="J97" s="12">
        <f>E97/I97-1</f>
        <v>0.37777777777777777</v>
      </c>
      <c r="K97" s="11">
        <v>3.0107526881720428E-2</v>
      </c>
      <c r="L97" s="13">
        <v>12616717000</v>
      </c>
      <c r="M97" s="13">
        <v>231208465000</v>
      </c>
      <c r="N97" s="9" t="s">
        <v>50</v>
      </c>
      <c r="O97" s="6">
        <v>1.0683760683760684</v>
      </c>
      <c r="P97" s="12">
        <v>0.11600751620420693</v>
      </c>
      <c r="Q97" s="12">
        <v>5.4568577322633927E-2</v>
      </c>
      <c r="R97" s="14">
        <v>67</v>
      </c>
    </row>
    <row r="98" spans="2:18" x14ac:dyDescent="0.2">
      <c r="B98" s="1" t="s">
        <v>439</v>
      </c>
      <c r="C98" t="s">
        <v>443</v>
      </c>
      <c r="D98" t="s">
        <v>444</v>
      </c>
      <c r="E98">
        <v>415.8</v>
      </c>
      <c r="F98" s="9" t="s">
        <v>67</v>
      </c>
      <c r="G98" s="7">
        <v>271768305664</v>
      </c>
      <c r="H98" s="6">
        <v>613</v>
      </c>
      <c r="I98" s="6">
        <v>402.6</v>
      </c>
      <c r="J98" s="12">
        <f>E98/I98-1</f>
        <v>3.2786885245901676E-2</v>
      </c>
      <c r="K98" s="11">
        <v>0</v>
      </c>
      <c r="L98" s="13">
        <v>18738000000</v>
      </c>
      <c r="M98" s="13">
        <v>182117000000</v>
      </c>
      <c r="N98" s="9" t="s">
        <v>50</v>
      </c>
      <c r="O98" s="6">
        <v>1.0683760683760684</v>
      </c>
      <c r="P98" s="12">
        <v>7.6090887589834788E-2</v>
      </c>
      <c r="Q98" s="12">
        <v>0.10288990044861271</v>
      </c>
      <c r="R98" s="14">
        <v>67</v>
      </c>
    </row>
    <row r="99" spans="2:18" x14ac:dyDescent="0.2">
      <c r="B99" s="1" t="s">
        <v>109</v>
      </c>
      <c r="C99" t="s">
        <v>146</v>
      </c>
      <c r="D99" t="s">
        <v>96</v>
      </c>
      <c r="E99">
        <v>4.92</v>
      </c>
      <c r="F99" s="9" t="s">
        <v>67</v>
      </c>
      <c r="G99" s="7">
        <v>591968927744</v>
      </c>
      <c r="H99" s="6">
        <v>6.98</v>
      </c>
      <c r="I99" s="6">
        <v>4.8600000000000003</v>
      </c>
      <c r="J99" s="12">
        <f>E99/I99-1</f>
        <v>1.2345679012345512E-2</v>
      </c>
      <c r="K99" s="11">
        <v>8.9634146341463411E-2</v>
      </c>
      <c r="L99" s="13">
        <v>44563000000</v>
      </c>
      <c r="M99" s="13">
        <v>463922000000</v>
      </c>
      <c r="N99" s="9" t="s">
        <v>50</v>
      </c>
      <c r="O99" s="6">
        <v>1.0683760683760684</v>
      </c>
      <c r="P99" s="12">
        <v>8.3667700546291066E-2</v>
      </c>
      <c r="Q99" s="12">
        <v>9.605709580489824E-2</v>
      </c>
      <c r="R99" s="14">
        <v>68</v>
      </c>
    </row>
    <row r="100" spans="2:18" x14ac:dyDescent="0.2">
      <c r="B100" s="1" t="s">
        <v>386</v>
      </c>
      <c r="C100" t="s">
        <v>387</v>
      </c>
      <c r="D100" t="s">
        <v>55</v>
      </c>
      <c r="E100">
        <v>35.36</v>
      </c>
      <c r="F100" s="9" t="s">
        <v>67</v>
      </c>
      <c r="G100" s="7">
        <v>917350252544</v>
      </c>
      <c r="H100" s="6">
        <v>61.45</v>
      </c>
      <c r="I100" s="6">
        <v>33.32</v>
      </c>
      <c r="J100" s="12">
        <f>E100/I100-1</f>
        <v>6.1224489795918435E-2</v>
      </c>
      <c r="K100" s="11">
        <v>0</v>
      </c>
      <c r="L100" s="13">
        <v>29458798000</v>
      </c>
      <c r="M100" s="13">
        <v>219340795000</v>
      </c>
      <c r="N100" s="9" t="s">
        <v>50</v>
      </c>
      <c r="O100" s="6">
        <v>1.0683760683760684</v>
      </c>
      <c r="P100" s="12">
        <v>3.4215038414902248E-2</v>
      </c>
      <c r="Q100" s="12">
        <v>0.13430606011982404</v>
      </c>
      <c r="R100" s="14">
        <v>69</v>
      </c>
    </row>
    <row r="101" spans="2:18" x14ac:dyDescent="0.2">
      <c r="B101" s="1" t="s">
        <v>765</v>
      </c>
      <c r="C101" t="s">
        <v>770</v>
      </c>
      <c r="D101" t="s">
        <v>73</v>
      </c>
      <c r="E101">
        <v>1.31</v>
      </c>
      <c r="F101" s="9" t="s">
        <v>67</v>
      </c>
      <c r="G101" s="7">
        <v>1816143360</v>
      </c>
      <c r="H101" s="6">
        <v>1.6</v>
      </c>
      <c r="I101" s="6">
        <v>1.08</v>
      </c>
      <c r="J101" s="12">
        <f>E101/I101-1</f>
        <v>0.21296296296296302</v>
      </c>
      <c r="K101" s="11">
        <v>7.6335877862595422E-2</v>
      </c>
      <c r="L101" s="13">
        <v>255887000</v>
      </c>
      <c r="M101" s="13">
        <v>4229022000</v>
      </c>
      <c r="N101" s="9" t="s">
        <v>67</v>
      </c>
      <c r="O101" s="6">
        <v>1</v>
      </c>
      <c r="P101" s="12">
        <v>0.10221009666890159</v>
      </c>
      <c r="Q101" s="12">
        <v>6.0507370261966002E-2</v>
      </c>
      <c r="R101" s="14">
        <v>70</v>
      </c>
    </row>
    <row r="102" spans="2:18" x14ac:dyDescent="0.2">
      <c r="B102" s="1" t="s">
        <v>113</v>
      </c>
      <c r="C102" t="s">
        <v>153</v>
      </c>
      <c r="D102" t="s">
        <v>91</v>
      </c>
      <c r="E102">
        <v>24.8</v>
      </c>
      <c r="F102" s="9" t="s">
        <v>67</v>
      </c>
      <c r="G102" s="7">
        <v>148992638976</v>
      </c>
      <c r="H102" s="6">
        <v>26.02</v>
      </c>
      <c r="I102" s="6">
        <v>18.7</v>
      </c>
      <c r="J102" s="12">
        <f>E102/I102-1</f>
        <v>0.32620320855614993</v>
      </c>
      <c r="K102" s="11">
        <v>3.830645161290322E-2</v>
      </c>
      <c r="L102" s="13">
        <v>10795274825</v>
      </c>
      <c r="M102" s="13">
        <v>215275428010</v>
      </c>
      <c r="N102" s="9" t="s">
        <v>50</v>
      </c>
      <c r="O102" s="6">
        <v>1.0683760683760684</v>
      </c>
      <c r="P102" s="12">
        <v>0.10929029929649071</v>
      </c>
      <c r="Q102" s="12">
        <v>5.0146340085309396E-2</v>
      </c>
      <c r="R102" s="14">
        <v>71</v>
      </c>
    </row>
    <row r="103" spans="2:18" x14ac:dyDescent="0.2">
      <c r="B103" s="1" t="s">
        <v>251</v>
      </c>
      <c r="C103" t="s">
        <v>299</v>
      </c>
      <c r="D103" t="s">
        <v>300</v>
      </c>
      <c r="E103">
        <v>5.49</v>
      </c>
      <c r="F103" s="9" t="s">
        <v>67</v>
      </c>
      <c r="G103" s="7">
        <v>113346732032</v>
      </c>
      <c r="H103" s="6">
        <v>6.07</v>
      </c>
      <c r="I103" s="6">
        <v>4.58</v>
      </c>
      <c r="J103" s="12">
        <f>E103/I103-1</f>
        <v>0.1986899563318778</v>
      </c>
      <c r="K103" s="11">
        <v>5.4644808743169397E-2</v>
      </c>
      <c r="L103" s="13">
        <v>42109966000</v>
      </c>
      <c r="M103" s="13">
        <v>746176876000</v>
      </c>
      <c r="N103" s="9" t="s">
        <v>50</v>
      </c>
      <c r="O103" s="6">
        <v>1.0683760683760684</v>
      </c>
      <c r="P103" s="12">
        <v>0.10049646866367815</v>
      </c>
      <c r="Q103" s="12">
        <v>5.643429507724386E-2</v>
      </c>
      <c r="R103" s="14">
        <v>72</v>
      </c>
    </row>
    <row r="104" spans="2:18" x14ac:dyDescent="0.2">
      <c r="B104" s="1" t="s">
        <v>253</v>
      </c>
      <c r="C104" t="s">
        <v>302</v>
      </c>
      <c r="D104" t="s">
        <v>148</v>
      </c>
      <c r="E104">
        <v>11.11</v>
      </c>
      <c r="F104" s="9" t="s">
        <v>67</v>
      </c>
      <c r="G104" s="7">
        <v>28214939648</v>
      </c>
      <c r="H104" s="6">
        <v>13.78</v>
      </c>
      <c r="I104" s="6">
        <v>8.1</v>
      </c>
      <c r="J104" s="12">
        <f>E104/I104-1</f>
        <v>0.3716049382716049</v>
      </c>
      <c r="K104" s="11">
        <v>2.7002700270027002E-2</v>
      </c>
      <c r="L104" s="13">
        <v>9652467000</v>
      </c>
      <c r="M104" s="13">
        <v>173514401000</v>
      </c>
      <c r="N104" s="9" t="s">
        <v>50</v>
      </c>
      <c r="O104" s="6">
        <v>1.0683760683760684</v>
      </c>
      <c r="P104" s="12">
        <v>0.10134561661735117</v>
      </c>
      <c r="Q104" s="12">
        <v>5.5629198178196171E-2</v>
      </c>
      <c r="R104" s="14">
        <v>72</v>
      </c>
    </row>
    <row r="105" spans="2:18" x14ac:dyDescent="0.2">
      <c r="B105" s="1" t="s">
        <v>262</v>
      </c>
      <c r="C105" t="s">
        <v>312</v>
      </c>
      <c r="D105" t="s">
        <v>85</v>
      </c>
      <c r="E105">
        <v>7.02</v>
      </c>
      <c r="F105" s="9" t="s">
        <v>67</v>
      </c>
      <c r="G105" s="7">
        <v>7146760704</v>
      </c>
      <c r="H105" s="6">
        <v>10.76</v>
      </c>
      <c r="I105" s="6">
        <v>6.25</v>
      </c>
      <c r="J105" s="12">
        <f>E105/I105-1</f>
        <v>0.12319999999999998</v>
      </c>
      <c r="K105" s="11">
        <v>2.0227920227920228E-2</v>
      </c>
      <c r="L105" s="13">
        <v>350106000</v>
      </c>
      <c r="M105" s="13">
        <v>3348556000</v>
      </c>
      <c r="N105" s="9" t="s">
        <v>67</v>
      </c>
      <c r="O105" s="6">
        <v>1</v>
      </c>
      <c r="P105" s="12">
        <v>5.434796694393302E-2</v>
      </c>
      <c r="Q105" s="12">
        <v>0.10455432132537129</v>
      </c>
      <c r="R105" s="14">
        <v>73</v>
      </c>
    </row>
    <row r="106" spans="2:18" x14ac:dyDescent="0.2">
      <c r="B106" s="1" t="s">
        <v>114</v>
      </c>
      <c r="C106" t="s">
        <v>154</v>
      </c>
      <c r="D106" t="s">
        <v>148</v>
      </c>
      <c r="E106">
        <v>2.8</v>
      </c>
      <c r="F106" s="9" t="s">
        <v>67</v>
      </c>
      <c r="G106" s="7">
        <v>9966248960</v>
      </c>
      <c r="H106" s="6">
        <v>2.84</v>
      </c>
      <c r="I106" s="6">
        <v>1.6</v>
      </c>
      <c r="J106" s="12">
        <f>E106/I106-1</f>
        <v>0.74999999999999978</v>
      </c>
      <c r="K106" s="11">
        <v>2.6785714285714288E-2</v>
      </c>
      <c r="L106" s="13">
        <v>2220197000</v>
      </c>
      <c r="M106" s="13">
        <v>71097505000</v>
      </c>
      <c r="N106" s="9" t="s">
        <v>50</v>
      </c>
      <c r="O106" s="6">
        <v>1.0683760683760684</v>
      </c>
      <c r="P106" s="12">
        <v>0.10201243473118479</v>
      </c>
      <c r="Q106" s="12">
        <v>3.1227495254580313E-2</v>
      </c>
      <c r="R106" s="14">
        <v>74</v>
      </c>
    </row>
    <row r="107" spans="2:18" x14ac:dyDescent="0.2">
      <c r="B107" s="1" t="s">
        <v>256</v>
      </c>
      <c r="C107" t="s">
        <v>305</v>
      </c>
      <c r="D107" t="s">
        <v>106</v>
      </c>
      <c r="E107">
        <v>14.21</v>
      </c>
      <c r="F107" s="9" t="s">
        <v>67</v>
      </c>
      <c r="G107" s="7">
        <v>9545027584</v>
      </c>
      <c r="H107" s="6">
        <v>15.74</v>
      </c>
      <c r="I107" s="6">
        <v>6.31</v>
      </c>
      <c r="J107" s="12">
        <f>E107/I107-1</f>
        <v>1.2519809825673538</v>
      </c>
      <c r="K107" s="11">
        <v>4.011259676284306E-2</v>
      </c>
      <c r="L107" s="13">
        <v>1136392000</v>
      </c>
      <c r="M107" s="13">
        <v>17458813000</v>
      </c>
      <c r="N107" s="9" t="s">
        <v>67</v>
      </c>
      <c r="O107" s="6">
        <v>1</v>
      </c>
      <c r="P107" s="12">
        <v>8.0229549149379548E-2</v>
      </c>
      <c r="Q107" s="12">
        <v>6.5089877530620205E-2</v>
      </c>
      <c r="R107" s="14">
        <v>75</v>
      </c>
    </row>
    <row r="108" spans="2:18" x14ac:dyDescent="0.2">
      <c r="B108" s="1" t="s">
        <v>131</v>
      </c>
      <c r="C108" t="s">
        <v>175</v>
      </c>
      <c r="D108" t="s">
        <v>96</v>
      </c>
      <c r="E108">
        <v>5.95</v>
      </c>
      <c r="F108" s="9" t="s">
        <v>67</v>
      </c>
      <c r="G108" s="7">
        <v>46099185664</v>
      </c>
      <c r="H108" s="6">
        <v>6.2</v>
      </c>
      <c r="I108" s="6">
        <v>4.42</v>
      </c>
      <c r="J108" s="12">
        <f>E108/I108-1</f>
        <v>0.34615384615384626</v>
      </c>
      <c r="K108" s="11">
        <v>6.4369747899159668E-2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5.5998747882892143E-2</v>
      </c>
      <c r="Q108" s="12">
        <v>9.2144023431582137E-2</v>
      </c>
      <c r="R108" s="14">
        <v>76</v>
      </c>
    </row>
    <row r="109" spans="2:18" x14ac:dyDescent="0.2">
      <c r="B109" s="1" t="s">
        <v>252</v>
      </c>
      <c r="C109" t="s">
        <v>301</v>
      </c>
      <c r="D109" t="s">
        <v>168</v>
      </c>
      <c r="E109">
        <v>63.2</v>
      </c>
      <c r="F109" s="9" t="s">
        <v>67</v>
      </c>
      <c r="G109" s="7">
        <v>242058805248</v>
      </c>
      <c r="H109" s="6">
        <v>66.5</v>
      </c>
      <c r="I109" s="6">
        <v>37.450000000000003</v>
      </c>
      <c r="J109" s="12">
        <f>E109/I109-1</f>
        <v>0.68758344459279042</v>
      </c>
      <c r="K109" s="11">
        <v>3.5189873417721521E-2</v>
      </c>
      <c r="L109" s="13">
        <v>41737000000</v>
      </c>
      <c r="M109" s="13">
        <v>794927000000</v>
      </c>
      <c r="N109" s="9" t="s">
        <v>67</v>
      </c>
      <c r="O109" s="6">
        <v>1</v>
      </c>
      <c r="P109" s="12">
        <v>9.3688521204943989E-2</v>
      </c>
      <c r="Q109" s="12">
        <v>5.2504192208844336E-2</v>
      </c>
      <c r="R109" s="14">
        <v>77</v>
      </c>
    </row>
    <row r="110" spans="2:18" x14ac:dyDescent="0.2">
      <c r="B110" s="1" t="s">
        <v>124</v>
      </c>
      <c r="C110" t="s">
        <v>166</v>
      </c>
      <c r="D110" t="s">
        <v>102</v>
      </c>
      <c r="E110">
        <v>19.39</v>
      </c>
      <c r="F110" s="9" t="s">
        <v>67</v>
      </c>
      <c r="G110" s="7">
        <v>60793950208</v>
      </c>
      <c r="H110" s="6">
        <v>19.850000000000001</v>
      </c>
      <c r="I110" s="6">
        <v>6.7</v>
      </c>
      <c r="J110" s="12">
        <f>E110/I110-1</f>
        <v>1.8940298507462687</v>
      </c>
      <c r="K110" s="11">
        <v>1.8050541516245487E-2</v>
      </c>
      <c r="L110" s="13">
        <v>1990539000</v>
      </c>
      <c r="M110" s="13">
        <v>18620709000</v>
      </c>
      <c r="N110" s="9" t="s">
        <v>67</v>
      </c>
      <c r="O110" s="6">
        <v>1</v>
      </c>
      <c r="P110" s="12">
        <v>3.1323735813574831E-2</v>
      </c>
      <c r="Q110" s="12">
        <v>0.10689920561026972</v>
      </c>
      <c r="R110" s="14">
        <v>78</v>
      </c>
    </row>
    <row r="111" spans="2:18" x14ac:dyDescent="0.2">
      <c r="B111" s="1" t="s">
        <v>18</v>
      </c>
      <c r="C111" t="s">
        <v>66</v>
      </c>
      <c r="D111" t="s">
        <v>65</v>
      </c>
      <c r="E111">
        <v>100.8</v>
      </c>
      <c r="F111" s="9" t="s">
        <v>67</v>
      </c>
      <c r="G111" s="7">
        <v>263776059392</v>
      </c>
      <c r="H111" s="6">
        <v>107</v>
      </c>
      <c r="I111" s="6">
        <v>43.15</v>
      </c>
      <c r="J111" s="12">
        <f>E111/I111-1</f>
        <v>1.3360370799536501</v>
      </c>
      <c r="K111" s="11">
        <v>1.2896825396825398E-2</v>
      </c>
      <c r="L111" s="13">
        <v>6350637223.7200003</v>
      </c>
      <c r="M111" s="13">
        <v>57896384836.860001</v>
      </c>
      <c r="N111" s="9" t="s">
        <v>50</v>
      </c>
      <c r="O111" s="6">
        <v>1.0683760683760684</v>
      </c>
      <c r="P111" s="12">
        <v>2.9233726073646531E-2</v>
      </c>
      <c r="Q111" s="12">
        <v>0.10968970241604512</v>
      </c>
      <c r="R111" s="14">
        <v>78</v>
      </c>
    </row>
    <row r="112" spans="2:18" x14ac:dyDescent="0.2">
      <c r="B112" s="1" t="s">
        <v>284</v>
      </c>
      <c r="C112" t="s">
        <v>337</v>
      </c>
      <c r="D112" t="s">
        <v>49</v>
      </c>
      <c r="E112">
        <v>23.6</v>
      </c>
      <c r="F112" s="9" t="s">
        <v>67</v>
      </c>
      <c r="G112" s="7">
        <v>52776112128</v>
      </c>
      <c r="H112" s="6">
        <v>24.2</v>
      </c>
      <c r="I112" s="6">
        <v>3.29</v>
      </c>
      <c r="J112" s="12">
        <f>E112/I112-1</f>
        <v>6.1732522796352587</v>
      </c>
      <c r="K112" s="11">
        <v>9.7881355932203391E-3</v>
      </c>
      <c r="L112" s="13">
        <v>2184074765.02</v>
      </c>
      <c r="M112" s="13">
        <v>23493408528.349998</v>
      </c>
      <c r="N112" s="9" t="s">
        <v>50</v>
      </c>
      <c r="O112" s="6">
        <v>1.0683760683760684</v>
      </c>
      <c r="P112" s="12">
        <v>5.2788373501763304E-2</v>
      </c>
      <c r="Q112" s="12">
        <v>9.29654274042198E-2</v>
      </c>
      <c r="R112" s="14">
        <v>79</v>
      </c>
    </row>
    <row r="113" spans="2:18" x14ac:dyDescent="0.2">
      <c r="B113" s="1" t="s">
        <v>120</v>
      </c>
      <c r="C113" t="s">
        <v>160</v>
      </c>
      <c r="D113" t="s">
        <v>161</v>
      </c>
      <c r="E113">
        <v>18.29</v>
      </c>
      <c r="F113" s="9" t="s">
        <v>67</v>
      </c>
      <c r="G113" s="7">
        <v>123329921024</v>
      </c>
      <c r="H113" s="6">
        <v>18.510000000000002</v>
      </c>
      <c r="I113" s="6">
        <v>5</v>
      </c>
      <c r="J113" s="12">
        <f>E113/I113-1</f>
        <v>2.6579999999999999</v>
      </c>
      <c r="K113" s="11">
        <v>1.1481683980317113E-2</v>
      </c>
      <c r="L113" s="13">
        <v>6749146000</v>
      </c>
      <c r="M113" s="13">
        <v>70848374000</v>
      </c>
      <c r="N113" s="9" t="s">
        <v>50</v>
      </c>
      <c r="O113" s="6">
        <v>1.0683760683760684</v>
      </c>
      <c r="P113" s="12">
        <v>4.6245812041155188E-2</v>
      </c>
      <c r="Q113" s="12">
        <v>9.5261833390841127E-2</v>
      </c>
      <c r="R113" s="14">
        <v>79</v>
      </c>
    </row>
    <row r="114" spans="2:18" x14ac:dyDescent="0.2">
      <c r="B114" s="1" t="s">
        <v>119</v>
      </c>
      <c r="C114" t="s">
        <v>159</v>
      </c>
      <c r="D114" t="s">
        <v>148</v>
      </c>
      <c r="E114">
        <v>46.8</v>
      </c>
      <c r="F114" s="9" t="s">
        <v>67</v>
      </c>
      <c r="G114" s="7">
        <v>163789619200</v>
      </c>
      <c r="H114" s="6">
        <v>47.48</v>
      </c>
      <c r="I114" s="6">
        <v>28.1</v>
      </c>
      <c r="J114" s="12">
        <f>E114/I114-1</f>
        <v>0.66548042704626309</v>
      </c>
      <c r="K114" s="11">
        <v>3.7179487179487179E-2</v>
      </c>
      <c r="L114" s="13">
        <v>16863000000</v>
      </c>
      <c r="M114" s="13">
        <v>448320000000</v>
      </c>
      <c r="N114" s="9" t="s">
        <v>67</v>
      </c>
      <c r="O114" s="6">
        <v>1</v>
      </c>
      <c r="P114" s="12">
        <v>9.0977942867936548E-2</v>
      </c>
      <c r="Q114" s="12">
        <v>3.7613758029978586E-2</v>
      </c>
      <c r="R114" s="14">
        <v>79</v>
      </c>
    </row>
    <row r="115" spans="2:18" x14ac:dyDescent="0.2">
      <c r="B115" s="1" t="s">
        <v>752</v>
      </c>
      <c r="C115" t="s">
        <v>754</v>
      </c>
      <c r="D115" t="s">
        <v>85</v>
      </c>
      <c r="E115">
        <v>15.95</v>
      </c>
      <c r="F115" s="9" t="s">
        <v>67</v>
      </c>
      <c r="G115" s="7">
        <v>10296702976</v>
      </c>
      <c r="H115" s="6">
        <v>16.8</v>
      </c>
      <c r="I115" s="6">
        <v>8.0299999999999994</v>
      </c>
      <c r="J115" s="12">
        <f>E115/I115-1</f>
        <v>0.98630136986301387</v>
      </c>
      <c r="K115" s="11">
        <v>1.3981191222570534E-2</v>
      </c>
      <c r="L115" s="13">
        <v>1066661000</v>
      </c>
      <c r="M115" s="13">
        <v>15098330000</v>
      </c>
      <c r="N115" s="9" t="s">
        <v>50</v>
      </c>
      <c r="O115" s="6">
        <v>1.0683760683760684</v>
      </c>
      <c r="P115" s="12">
        <v>6.1324785736978839E-2</v>
      </c>
      <c r="Q115" s="12">
        <v>7.0647614669966816E-2</v>
      </c>
      <c r="R115" s="14">
        <v>80</v>
      </c>
    </row>
    <row r="116" spans="2:18" x14ac:dyDescent="0.2">
      <c r="B116" s="1" t="s">
        <v>36</v>
      </c>
      <c r="C116" t="s">
        <v>100</v>
      </c>
      <c r="D116" t="s">
        <v>49</v>
      </c>
      <c r="E116">
        <v>33.42</v>
      </c>
      <c r="F116" s="9" t="s">
        <v>67</v>
      </c>
      <c r="G116" s="7">
        <v>142647066624</v>
      </c>
      <c r="H116" s="6">
        <v>119.9</v>
      </c>
      <c r="I116" s="6">
        <v>8.92</v>
      </c>
      <c r="J116" s="12">
        <f>E116/I116-1</f>
        <v>2.7466367713004485</v>
      </c>
      <c r="K116" s="11">
        <v>1.2058647516457211E-2</v>
      </c>
      <c r="L116" s="13">
        <v>3967214824.1399999</v>
      </c>
      <c r="M116" s="13">
        <v>41038539262.660004</v>
      </c>
      <c r="N116" s="9" t="s">
        <v>50</v>
      </c>
      <c r="O116" s="6">
        <v>1.0683760683760684</v>
      </c>
      <c r="P116" s="12">
        <v>3.618027216587099E-2</v>
      </c>
      <c r="Q116" s="12">
        <v>9.6670468672106824E-2</v>
      </c>
      <c r="R116" s="14">
        <v>81</v>
      </c>
    </row>
    <row r="117" spans="2:18" x14ac:dyDescent="0.2">
      <c r="B117" s="1" t="s">
        <v>33</v>
      </c>
      <c r="C117" t="s">
        <v>95</v>
      </c>
      <c r="D117" t="s">
        <v>96</v>
      </c>
      <c r="E117">
        <v>10.96</v>
      </c>
      <c r="F117" s="9" t="s">
        <v>67</v>
      </c>
      <c r="G117" s="7">
        <v>191593955328</v>
      </c>
      <c r="H117" s="6">
        <v>12.85</v>
      </c>
      <c r="I117" s="6">
        <v>9.89</v>
      </c>
      <c r="J117" s="12">
        <f>E117/I117-1</f>
        <v>0.10819009100101118</v>
      </c>
      <c r="K117" s="11">
        <v>4.0145985401459854E-2</v>
      </c>
      <c r="L117" s="13">
        <v>16758000000</v>
      </c>
      <c r="M117" s="13">
        <v>269590000000</v>
      </c>
      <c r="N117" s="9" t="s">
        <v>50</v>
      </c>
      <c r="O117" s="6">
        <v>1.0683760683760684</v>
      </c>
      <c r="P117" s="12">
        <v>6.2232864790303412E-2</v>
      </c>
      <c r="Q117" s="12">
        <v>6.2161059386475759E-2</v>
      </c>
      <c r="R117" s="14">
        <v>81</v>
      </c>
    </row>
    <row r="118" spans="2:18" x14ac:dyDescent="0.2">
      <c r="B118" s="1" t="s">
        <v>254</v>
      </c>
      <c r="C118" t="s">
        <v>303</v>
      </c>
      <c r="D118" t="s">
        <v>96</v>
      </c>
      <c r="E118">
        <v>3.72</v>
      </c>
      <c r="F118" s="9" t="s">
        <v>67</v>
      </c>
      <c r="G118" s="7">
        <v>3454291456</v>
      </c>
      <c r="H118" s="6">
        <v>5.39</v>
      </c>
      <c r="I118" s="6">
        <v>1.72</v>
      </c>
      <c r="J118" s="12">
        <f>E118/I118-1</f>
        <v>1.1627906976744189</v>
      </c>
      <c r="K118" s="11">
        <v>2.4193548387096774E-2</v>
      </c>
      <c r="L118" s="13">
        <v>238321000</v>
      </c>
      <c r="M118" s="13">
        <v>6087917000</v>
      </c>
      <c r="N118" s="9" t="s">
        <v>67</v>
      </c>
      <c r="O118" s="6">
        <v>1</v>
      </c>
      <c r="P118" s="12">
        <v>7.6884774263365721E-2</v>
      </c>
      <c r="Q118" s="12">
        <v>3.9146558666946343E-2</v>
      </c>
      <c r="R118" s="14">
        <v>82</v>
      </c>
    </row>
    <row r="119" spans="2:18" x14ac:dyDescent="0.2">
      <c r="B119" s="1" t="s">
        <v>440</v>
      </c>
      <c r="C119" t="s">
        <v>445</v>
      </c>
      <c r="D119" t="s">
        <v>446</v>
      </c>
      <c r="E119">
        <v>2.15</v>
      </c>
      <c r="F119" s="9" t="s">
        <v>67</v>
      </c>
      <c r="G119" s="7">
        <v>23629944832</v>
      </c>
      <c r="H119" s="6">
        <v>2.64</v>
      </c>
      <c r="I119" s="6">
        <v>1.57</v>
      </c>
      <c r="J119" s="12">
        <f>E119/I119-1</f>
        <v>0.36942675159235661</v>
      </c>
      <c r="K119" s="11">
        <v>3.2558139534883727E-2</v>
      </c>
      <c r="L119" s="13">
        <v>1507922451</v>
      </c>
      <c r="M119" s="13">
        <v>27909411974</v>
      </c>
      <c r="N119" s="9" t="s">
        <v>50</v>
      </c>
      <c r="O119" s="6">
        <v>1.0683760683760684</v>
      </c>
      <c r="P119" s="12">
        <v>6.738313610918685E-2</v>
      </c>
      <c r="Q119" s="12">
        <v>5.4029173112094174E-2</v>
      </c>
      <c r="R119" s="14">
        <v>83</v>
      </c>
    </row>
    <row r="120" spans="2:18" x14ac:dyDescent="0.2">
      <c r="B120" s="1" t="s">
        <v>125</v>
      </c>
      <c r="C120" t="s">
        <v>167</v>
      </c>
      <c r="D120" t="s">
        <v>168</v>
      </c>
      <c r="E120">
        <v>35</v>
      </c>
      <c r="F120" s="9" t="s">
        <v>67</v>
      </c>
      <c r="G120" s="7">
        <v>38790909952</v>
      </c>
      <c r="H120" s="6">
        <v>36.299999999999997</v>
      </c>
      <c r="I120" s="6">
        <v>17.8</v>
      </c>
      <c r="J120" s="12">
        <f>E120/I120-1</f>
        <v>0.96629213483146059</v>
      </c>
      <c r="K120" s="11">
        <v>3.5142857142857142E-2</v>
      </c>
      <c r="L120" s="13">
        <v>3838344000</v>
      </c>
      <c r="M120" s="13">
        <v>81520873000</v>
      </c>
      <c r="N120" s="9" t="s">
        <v>67</v>
      </c>
      <c r="O120" s="6">
        <v>1</v>
      </c>
      <c r="P120" s="12">
        <v>6.7804645142675493E-2</v>
      </c>
      <c r="Q120" s="12">
        <v>4.7084186647510511E-2</v>
      </c>
      <c r="R120" s="14">
        <v>84</v>
      </c>
    </row>
    <row r="121" spans="2:18" x14ac:dyDescent="0.2">
      <c r="B121" s="1" t="s">
        <v>26</v>
      </c>
      <c r="C121" t="s">
        <v>84</v>
      </c>
      <c r="D121" t="s">
        <v>85</v>
      </c>
      <c r="E121">
        <v>7.52</v>
      </c>
      <c r="F121" s="9" t="s">
        <v>67</v>
      </c>
      <c r="G121" s="7">
        <v>7848507904</v>
      </c>
      <c r="H121" s="6">
        <v>9.6</v>
      </c>
      <c r="I121" s="6">
        <v>5.25</v>
      </c>
      <c r="J121" s="12">
        <f>E121/I121-1</f>
        <v>0.43238095238095231</v>
      </c>
      <c r="K121" s="11">
        <v>1.2765957446808512E-2</v>
      </c>
      <c r="L121" s="13">
        <v>303335000</v>
      </c>
      <c r="M121" s="13">
        <v>3620162000</v>
      </c>
      <c r="N121" s="9" t="s">
        <v>67</v>
      </c>
      <c r="O121" s="6">
        <v>1</v>
      </c>
      <c r="P121" s="12">
        <v>4.4908241023154778E-2</v>
      </c>
      <c r="Q121" s="12">
        <v>8.3790449156695201E-2</v>
      </c>
      <c r="R121" s="14">
        <v>85</v>
      </c>
    </row>
    <row r="122" spans="2:18" x14ac:dyDescent="0.2">
      <c r="B122" s="1" t="s">
        <v>788</v>
      </c>
      <c r="C122" t="s">
        <v>792</v>
      </c>
      <c r="D122" t="s">
        <v>790</v>
      </c>
      <c r="E122">
        <v>4.3899999999999997</v>
      </c>
      <c r="F122" s="9" t="s">
        <v>67</v>
      </c>
      <c r="G122" s="7">
        <v>10981220352</v>
      </c>
      <c r="H122" s="6">
        <v>6.99</v>
      </c>
      <c r="I122" s="6">
        <v>4.04</v>
      </c>
      <c r="J122" s="12">
        <f>E122/I122-1</f>
        <v>8.6633663366336489E-2</v>
      </c>
      <c r="K122" s="11">
        <v>1.1389521640091117E-2</v>
      </c>
      <c r="L122" s="13">
        <v>744014000</v>
      </c>
      <c r="M122" s="13">
        <v>15832072000</v>
      </c>
      <c r="N122" s="9" t="s">
        <v>50</v>
      </c>
      <c r="O122" s="6">
        <v>1.0683760683760684</v>
      </c>
      <c r="P122" s="12">
        <v>6.343236873970097E-2</v>
      </c>
      <c r="Q122" s="12">
        <v>4.6994101593272192E-2</v>
      </c>
      <c r="R122" s="14">
        <v>86</v>
      </c>
    </row>
    <row r="123" spans="2:18" x14ac:dyDescent="0.2">
      <c r="B123" s="1" t="s">
        <v>30</v>
      </c>
      <c r="C123" t="s">
        <v>90</v>
      </c>
      <c r="D123" t="s">
        <v>91</v>
      </c>
      <c r="E123">
        <v>2.91</v>
      </c>
      <c r="F123" s="9" t="s">
        <v>67</v>
      </c>
      <c r="G123" s="7">
        <v>15895970816</v>
      </c>
      <c r="H123" s="6">
        <v>3.83</v>
      </c>
      <c r="I123" s="6">
        <v>1.24</v>
      </c>
      <c r="J123" s="12">
        <f>E123/I123-1</f>
        <v>1.346774193548387</v>
      </c>
      <c r="K123" s="11">
        <v>1.1683848797250859E-2</v>
      </c>
      <c r="L123" s="13">
        <v>1384865000</v>
      </c>
      <c r="M123" s="13">
        <v>23827484000</v>
      </c>
      <c r="N123" s="9" t="s">
        <v>50</v>
      </c>
      <c r="O123" s="6">
        <v>1.0683760683760684</v>
      </c>
      <c r="P123" s="12">
        <v>5.4779319377651632E-2</v>
      </c>
      <c r="Q123" s="12">
        <v>5.8120488088461209E-2</v>
      </c>
      <c r="R123" s="14">
        <v>87</v>
      </c>
    </row>
    <row r="124" spans="2:18" x14ac:dyDescent="0.2">
      <c r="B124" s="1" t="s">
        <v>758</v>
      </c>
      <c r="C124" t="s">
        <v>761</v>
      </c>
      <c r="D124" t="s">
        <v>240</v>
      </c>
      <c r="E124">
        <v>10.73</v>
      </c>
      <c r="F124" s="9" t="s">
        <v>67</v>
      </c>
      <c r="G124" s="7">
        <v>11425354752</v>
      </c>
      <c r="H124" s="6">
        <v>15.24</v>
      </c>
      <c r="I124" s="6">
        <v>7.9</v>
      </c>
      <c r="J124" s="12">
        <f>E124/I124-1</f>
        <v>0.35822784810126573</v>
      </c>
      <c r="K124" s="11">
        <v>3.2339235787511647E-2</v>
      </c>
      <c r="L124" s="13">
        <v>697194000</v>
      </c>
      <c r="M124" s="13">
        <v>9479979000</v>
      </c>
      <c r="N124" s="9" t="s">
        <v>50</v>
      </c>
      <c r="O124" s="6">
        <v>1.0683760683760684</v>
      </c>
      <c r="P124" s="12">
        <v>4.4695810902289516E-2</v>
      </c>
      <c r="Q124" s="12">
        <v>7.3543833799631836E-2</v>
      </c>
      <c r="R124" s="14">
        <v>88</v>
      </c>
    </row>
    <row r="125" spans="2:18" x14ac:dyDescent="0.2">
      <c r="B125" s="1" t="s">
        <v>375</v>
      </c>
      <c r="C125" t="s">
        <v>376</v>
      </c>
      <c r="D125" t="s">
        <v>83</v>
      </c>
      <c r="E125">
        <v>1.4</v>
      </c>
      <c r="F125" s="9" t="s">
        <v>67</v>
      </c>
      <c r="G125" s="7">
        <v>7751287296</v>
      </c>
      <c r="H125" s="6">
        <v>2.99</v>
      </c>
      <c r="I125" s="6">
        <v>0.91</v>
      </c>
      <c r="J125" s="12">
        <f>E125/I125-1</f>
        <v>0.53846153846153832</v>
      </c>
      <c r="K125" s="11">
        <v>0</v>
      </c>
      <c r="L125" s="13">
        <v>429393000</v>
      </c>
      <c r="M125" s="13">
        <v>18333659000</v>
      </c>
      <c r="N125" s="9" t="s">
        <v>67</v>
      </c>
      <c r="O125" s="6">
        <v>1</v>
      </c>
      <c r="P125" s="12">
        <v>5.4571191512544887E-2</v>
      </c>
      <c r="Q125" s="12">
        <v>2.3421020321148112E-2</v>
      </c>
      <c r="R125" s="14">
        <v>89</v>
      </c>
    </row>
    <row r="126" spans="2:18" x14ac:dyDescent="0.2">
      <c r="B126" s="1" t="s">
        <v>137</v>
      </c>
      <c r="C126" t="s">
        <v>184</v>
      </c>
      <c r="D126" t="s">
        <v>185</v>
      </c>
      <c r="E126">
        <v>4.05</v>
      </c>
      <c r="F126" s="9" t="s">
        <v>67</v>
      </c>
      <c r="G126" s="7">
        <v>17394751488</v>
      </c>
      <c r="H126" s="6">
        <v>4.16</v>
      </c>
      <c r="I126" s="6">
        <v>1.93</v>
      </c>
      <c r="J126" s="12">
        <f>E126/I126-1</f>
        <v>1.0984455958549222</v>
      </c>
      <c r="K126" s="11">
        <v>2.7407407407407408E-2</v>
      </c>
      <c r="L126" s="13">
        <v>1938532000</v>
      </c>
      <c r="M126" s="13">
        <v>49986396000</v>
      </c>
      <c r="N126" s="9" t="s">
        <v>67</v>
      </c>
      <c r="O126" s="6">
        <v>1</v>
      </c>
      <c r="P126" s="12">
        <v>5.111720363249192E-2</v>
      </c>
      <c r="Q126" s="12">
        <v>3.8781191586606881E-2</v>
      </c>
      <c r="R126" s="14">
        <v>89</v>
      </c>
    </row>
    <row r="127" spans="2:18" x14ac:dyDescent="0.2">
      <c r="B127" s="1" t="s">
        <v>379</v>
      </c>
      <c r="C127" t="s">
        <v>382</v>
      </c>
      <c r="D127" t="s">
        <v>148</v>
      </c>
      <c r="E127">
        <v>12.76</v>
      </c>
      <c r="F127" s="9" t="s">
        <v>67</v>
      </c>
      <c r="G127" s="7">
        <v>121022152704</v>
      </c>
      <c r="H127" s="6">
        <v>13.03</v>
      </c>
      <c r="I127" s="6">
        <v>7.31</v>
      </c>
      <c r="J127" s="12">
        <f>E127/I127-1</f>
        <v>0.74555403556771549</v>
      </c>
      <c r="K127" s="11">
        <v>4.5454545454545449E-2</v>
      </c>
      <c r="L127" s="13">
        <v>4532000000</v>
      </c>
      <c r="M127" s="13">
        <v>172303000000</v>
      </c>
      <c r="N127" s="9" t="s">
        <v>67</v>
      </c>
      <c r="O127" s="6">
        <v>1</v>
      </c>
      <c r="P127" s="12">
        <v>3.7251309481966435E-2</v>
      </c>
      <c r="Q127" s="12">
        <v>2.6302501987777345E-2</v>
      </c>
      <c r="R127" s="14">
        <v>90</v>
      </c>
    </row>
    <row r="128" spans="2:18" x14ac:dyDescent="0.2">
      <c r="B128" s="1" t="s">
        <v>191</v>
      </c>
      <c r="C128" t="s">
        <v>192</v>
      </c>
      <c r="D128" t="s">
        <v>193</v>
      </c>
      <c r="E128">
        <v>67.7</v>
      </c>
      <c r="F128" s="9" t="s">
        <v>67</v>
      </c>
      <c r="G128" s="7">
        <v>654314635264</v>
      </c>
      <c r="H128" s="6">
        <v>93.5</v>
      </c>
      <c r="I128" s="6">
        <v>37</v>
      </c>
      <c r="J128" s="12">
        <f>E128/I128-1</f>
        <v>0.82972972972972991</v>
      </c>
      <c r="K128" s="11">
        <v>0</v>
      </c>
      <c r="L128" s="13">
        <v>984027000</v>
      </c>
      <c r="M128" s="13">
        <v>32183526000</v>
      </c>
      <c r="N128" s="9" t="s">
        <v>71</v>
      </c>
      <c r="O128" s="6">
        <v>7.6923076923076916</v>
      </c>
      <c r="P128" s="12">
        <v>1.0898188720130011E-2</v>
      </c>
      <c r="Q128" s="12">
        <v>3.0575487595734537E-2</v>
      </c>
      <c r="R128" s="14">
        <v>91</v>
      </c>
    </row>
    <row r="129" spans="2:18" x14ac:dyDescent="0.2">
      <c r="B129" s="1" t="s">
        <v>111</v>
      </c>
      <c r="C129" t="s">
        <v>149</v>
      </c>
      <c r="D129" t="s">
        <v>150</v>
      </c>
      <c r="E129">
        <v>22.16</v>
      </c>
      <c r="F129" s="9" t="s">
        <v>67</v>
      </c>
      <c r="G129" s="7">
        <v>22758502400</v>
      </c>
      <c r="H129" s="6">
        <v>23.28</v>
      </c>
      <c r="I129" s="6">
        <v>11.6</v>
      </c>
      <c r="J129" s="12">
        <f>E129/I129-1</f>
        <v>0.91034482758620694</v>
      </c>
      <c r="K129" s="11">
        <v>4.8736462093862822E-2</v>
      </c>
      <c r="L129" s="13">
        <v>984000000</v>
      </c>
      <c r="M129" s="13">
        <v>101944000000</v>
      </c>
      <c r="N129" s="9" t="s">
        <v>67</v>
      </c>
      <c r="O129" s="6">
        <v>1</v>
      </c>
      <c r="P129" s="12">
        <v>2.0625254420059098E-2</v>
      </c>
      <c r="Q129" s="12">
        <v>9.6523581574197593E-3</v>
      </c>
      <c r="R129" s="14">
        <v>92</v>
      </c>
    </row>
    <row r="130" spans="2:18" x14ac:dyDescent="0.2">
      <c r="B130" s="1" t="s">
        <v>128</v>
      </c>
      <c r="C130" t="s">
        <v>172</v>
      </c>
      <c r="D130" t="s">
        <v>171</v>
      </c>
      <c r="E130">
        <v>35.6</v>
      </c>
      <c r="F130" s="9" t="s">
        <v>67</v>
      </c>
      <c r="G130" s="7">
        <v>36364517376</v>
      </c>
      <c r="H130" s="6">
        <v>46.88</v>
      </c>
      <c r="I130" s="6">
        <v>22.4</v>
      </c>
      <c r="J130" s="12">
        <f>E130/I130-1</f>
        <v>0.58928571428571441</v>
      </c>
      <c r="K130" s="11">
        <v>0</v>
      </c>
      <c r="L130" s="13">
        <v>-90314000</v>
      </c>
      <c r="M130" s="13">
        <v>18374441000</v>
      </c>
      <c r="N130" s="9" t="s">
        <v>50</v>
      </c>
      <c r="O130" s="6">
        <v>1.0683760683760684</v>
      </c>
      <c r="P130" s="12">
        <v>-2.9190787506311179E-3</v>
      </c>
      <c r="Q130" s="12">
        <v>-4.9151971480384084E-3</v>
      </c>
      <c r="R130" s="14">
        <v>93</v>
      </c>
    </row>
    <row r="131" spans="2:18" x14ac:dyDescent="0.2">
      <c r="B131" s="1" t="s">
        <v>768</v>
      </c>
      <c r="C131" t="s">
        <v>773</v>
      </c>
      <c r="D131" t="s">
        <v>774</v>
      </c>
      <c r="E131">
        <v>1.46</v>
      </c>
      <c r="F131" s="9" t="s">
        <v>67</v>
      </c>
      <c r="G131" s="7">
        <v>925475456</v>
      </c>
      <c r="H131" s="6">
        <v>1.98</v>
      </c>
      <c r="I131" s="6">
        <v>1.17</v>
      </c>
      <c r="J131" s="12">
        <f>E131/I131-1</f>
        <v>0.24786324786324787</v>
      </c>
      <c r="K131" s="11">
        <v>9.5890410958904118E-2</v>
      </c>
      <c r="L131" s="13">
        <v>-19076000</v>
      </c>
      <c r="M131" s="13">
        <v>1673543000</v>
      </c>
      <c r="N131" s="9" t="s">
        <v>67</v>
      </c>
      <c r="O131" s="6">
        <v>1</v>
      </c>
      <c r="P131" s="12">
        <v>-4.9335530373089784E-2</v>
      </c>
      <c r="Q131" s="12">
        <v>-1.1398571772580687E-2</v>
      </c>
      <c r="R131" s="14">
        <v>94</v>
      </c>
    </row>
    <row r="132" spans="2:18" x14ac:dyDescent="0.2">
      <c r="B132" s="1" t="s">
        <v>776</v>
      </c>
      <c r="C132" t="s">
        <v>778</v>
      </c>
      <c r="D132" t="s">
        <v>171</v>
      </c>
      <c r="E132">
        <v>229.6</v>
      </c>
      <c r="F132" s="9" t="s">
        <v>67</v>
      </c>
      <c r="G132" s="7">
        <v>93575094272</v>
      </c>
      <c r="H132" s="6">
        <v>285.60000000000002</v>
      </c>
      <c r="I132" s="6">
        <v>113.6</v>
      </c>
      <c r="J132" s="12">
        <f>E132/I132-1</f>
        <v>1.0211267605633805</v>
      </c>
      <c r="K132" s="11">
        <v>0</v>
      </c>
      <c r="L132" s="13">
        <v>-1311002000</v>
      </c>
      <c r="M132" s="13">
        <v>18944386000</v>
      </c>
      <c r="N132" s="9" t="s">
        <v>50</v>
      </c>
      <c r="O132" s="6">
        <v>1.0683760683760684</v>
      </c>
      <c r="P132" s="12">
        <v>-1.5912628661671119E-2</v>
      </c>
      <c r="Q132" s="12">
        <v>-6.9202665106169181E-2</v>
      </c>
      <c r="R132" s="14">
        <v>94</v>
      </c>
    </row>
    <row r="133" spans="2:18" x14ac:dyDescent="0.2">
      <c r="B133" s="1" t="s">
        <v>381</v>
      </c>
      <c r="C133" t="s">
        <v>384</v>
      </c>
      <c r="D133" t="s">
        <v>385</v>
      </c>
      <c r="E133">
        <v>37.24</v>
      </c>
      <c r="F133" s="9" t="s">
        <v>67</v>
      </c>
      <c r="G133" s="7">
        <v>96784498688</v>
      </c>
      <c r="H133" s="6">
        <v>45.05</v>
      </c>
      <c r="I133" s="6">
        <v>32.65</v>
      </c>
      <c r="J133" s="12">
        <f>E133/I133-1</f>
        <v>0.14058192955589588</v>
      </c>
      <c r="K133" s="11">
        <v>7.0972073039742206E-2</v>
      </c>
      <c r="L133" s="13">
        <v>-6742000000</v>
      </c>
      <c r="M133" s="13">
        <v>216378000000</v>
      </c>
      <c r="N133" s="9" t="s">
        <v>67</v>
      </c>
      <c r="O133" s="6">
        <v>1</v>
      </c>
      <c r="P133" s="12">
        <v>-4.5992380493432364E-2</v>
      </c>
      <c r="Q133" s="12">
        <v>-3.1158435700487111E-2</v>
      </c>
      <c r="R133" s="14">
        <v>94</v>
      </c>
    </row>
    <row r="134" spans="2:18" x14ac:dyDescent="0.2">
      <c r="B134" s="1" t="s">
        <v>438</v>
      </c>
      <c r="C134" t="s">
        <v>442</v>
      </c>
      <c r="D134" t="s">
        <v>164</v>
      </c>
      <c r="E134">
        <v>2.94</v>
      </c>
      <c r="F134" s="9" t="s">
        <v>67</v>
      </c>
      <c r="G134" s="7">
        <v>17237917696</v>
      </c>
      <c r="H134" s="6">
        <v>4.34</v>
      </c>
      <c r="I134" s="6">
        <v>2.57</v>
      </c>
      <c r="J134" s="12">
        <f>E134/I134-1</f>
        <v>0.14396887159533089</v>
      </c>
      <c r="K134" s="11">
        <v>4.7619047619047623E-2</v>
      </c>
      <c r="L134" s="13">
        <v>-780356000</v>
      </c>
      <c r="M134" s="13">
        <v>8664599000</v>
      </c>
      <c r="N134" s="9" t="s">
        <v>67</v>
      </c>
      <c r="O134" s="6">
        <v>1</v>
      </c>
      <c r="P134" s="12">
        <v>-6.4379420060149448E-2</v>
      </c>
      <c r="Q134" s="12">
        <v>-9.0062563772426163E-2</v>
      </c>
      <c r="R134" s="14">
        <v>95</v>
      </c>
    </row>
    <row r="135" spans="2:18" x14ac:dyDescent="0.2">
      <c r="B135" s="1" t="s">
        <v>781</v>
      </c>
      <c r="C135" t="s">
        <v>784</v>
      </c>
      <c r="D135" t="s">
        <v>785</v>
      </c>
      <c r="E135">
        <v>179.3</v>
      </c>
      <c r="F135" s="9" t="s">
        <v>67</v>
      </c>
      <c r="G135" s="7">
        <v>577788641280</v>
      </c>
      <c r="H135" s="6">
        <v>248</v>
      </c>
      <c r="I135" s="6">
        <v>131.9</v>
      </c>
      <c r="J135" s="12">
        <f>E135/I135-1</f>
        <v>0.35936315390447304</v>
      </c>
      <c r="K135" s="11">
        <v>2.3212493028443946E-2</v>
      </c>
      <c r="M135" s="13">
        <v>150918654000</v>
      </c>
      <c r="N135" s="9" t="s">
        <v>50</v>
      </c>
      <c r="O135" s="6">
        <v>1.0683760683760684</v>
      </c>
    </row>
    <row r="136" spans="2:18" x14ac:dyDescent="0.2">
      <c r="B136" s="1" t="s">
        <v>126</v>
      </c>
      <c r="C136" t="s">
        <v>169</v>
      </c>
      <c r="D136" t="s">
        <v>96</v>
      </c>
      <c r="E136">
        <v>12.15</v>
      </c>
      <c r="F136" s="9" t="s">
        <v>67</v>
      </c>
      <c r="G136" s="7">
        <v>92100165632</v>
      </c>
      <c r="H136" s="6">
        <v>12.95</v>
      </c>
      <c r="I136" s="6">
        <v>9.68</v>
      </c>
      <c r="J136" s="12">
        <f>E136/I136-1</f>
        <v>0.25516528925619841</v>
      </c>
      <c r="K136" s="11">
        <v>6.7325102880658433E-2</v>
      </c>
      <c r="M136" s="13">
        <v>79588000000</v>
      </c>
      <c r="N136" s="9" t="s">
        <v>67</v>
      </c>
      <c r="O136" s="6">
        <v>1</v>
      </c>
    </row>
    <row r="137" spans="2:18" x14ac:dyDescent="0.2">
      <c r="B137" s="1" t="s">
        <v>200</v>
      </c>
      <c r="C137" t="s">
        <v>226</v>
      </c>
      <c r="D137" t="s">
        <v>227</v>
      </c>
      <c r="E137">
        <v>6.94</v>
      </c>
      <c r="F137" s="9" t="s">
        <v>67</v>
      </c>
      <c r="G137" s="7">
        <v>687029813248</v>
      </c>
      <c r="H137" s="6">
        <v>7.62</v>
      </c>
      <c r="I137" s="6">
        <v>6.28</v>
      </c>
      <c r="J137" s="12">
        <f>E137/I137-1</f>
        <v>0.10509554140127397</v>
      </c>
      <c r="K137" s="11">
        <v>7.7089337175792513E-2</v>
      </c>
      <c r="M137" s="13">
        <v>2314289000000</v>
      </c>
      <c r="N137" s="9" t="s">
        <v>50</v>
      </c>
      <c r="O137" s="6">
        <v>1.0683760683760684</v>
      </c>
    </row>
    <row r="138" spans="2:18" x14ac:dyDescent="0.2">
      <c r="B138" s="1" t="s">
        <v>202</v>
      </c>
      <c r="C138" t="s">
        <v>229</v>
      </c>
      <c r="D138" t="s">
        <v>225</v>
      </c>
      <c r="E138">
        <v>5.09</v>
      </c>
      <c r="F138" s="9" t="s">
        <v>67</v>
      </c>
      <c r="G138" s="7">
        <v>688465707008</v>
      </c>
      <c r="H138" s="6">
        <v>5.95</v>
      </c>
      <c r="I138" s="6">
        <v>4.3600000000000003</v>
      </c>
      <c r="J138" s="12">
        <f>E138/I138-1</f>
        <v>0.16743119266055029</v>
      </c>
      <c r="K138" s="11">
        <v>4.6561886051080546E-2</v>
      </c>
      <c r="M138" s="13">
        <v>1271649000000</v>
      </c>
      <c r="N138" s="9" t="s">
        <v>50</v>
      </c>
      <c r="O138" s="6">
        <v>1.0683760683760684</v>
      </c>
    </row>
    <row r="139" spans="2:18" x14ac:dyDescent="0.2">
      <c r="B139" s="1" t="s">
        <v>201</v>
      </c>
      <c r="C139" t="s">
        <v>228</v>
      </c>
      <c r="D139" t="s">
        <v>227</v>
      </c>
      <c r="E139">
        <v>6.41</v>
      </c>
      <c r="F139" s="9" t="s">
        <v>67</v>
      </c>
      <c r="G139" s="7">
        <v>2864168566784</v>
      </c>
      <c r="H139" s="6">
        <v>6.66</v>
      </c>
      <c r="I139" s="6">
        <v>4.8600000000000003</v>
      </c>
      <c r="J139" s="12">
        <f>E139/I139-1</f>
        <v>0.31893004115226331</v>
      </c>
      <c r="K139" s="11">
        <v>4.7737909516380655E-2</v>
      </c>
      <c r="M139" s="13">
        <v>6434377000000</v>
      </c>
      <c r="N139" s="9" t="s">
        <v>50</v>
      </c>
      <c r="O139" s="6">
        <v>1.0683760683760684</v>
      </c>
    </row>
    <row r="140" spans="2:18" x14ac:dyDescent="0.2">
      <c r="B140" s="1" t="s">
        <v>203</v>
      </c>
      <c r="C140" t="s">
        <v>230</v>
      </c>
      <c r="D140" t="s">
        <v>227</v>
      </c>
      <c r="E140">
        <v>8.0399999999999991</v>
      </c>
      <c r="F140" s="9" t="s">
        <v>67</v>
      </c>
      <c r="G140" s="7">
        <v>2155104305152</v>
      </c>
      <c r="H140" s="6">
        <v>8.56</v>
      </c>
      <c r="I140" s="6">
        <v>6.02</v>
      </c>
      <c r="J140" s="12">
        <f>E140/I140-1</f>
        <v>0.33554817275747495</v>
      </c>
      <c r="K140" s="11">
        <v>4.8756218905472645E-2</v>
      </c>
      <c r="M140" s="13">
        <v>6128626000000</v>
      </c>
      <c r="N140" s="9" t="s">
        <v>50</v>
      </c>
      <c r="O140" s="6">
        <v>1.0683760683760684</v>
      </c>
    </row>
    <row r="141" spans="2:18" x14ac:dyDescent="0.2">
      <c r="B141" s="1" t="s">
        <v>204</v>
      </c>
      <c r="C141" t="s">
        <v>231</v>
      </c>
      <c r="D141" t="s">
        <v>225</v>
      </c>
      <c r="E141">
        <v>7.34</v>
      </c>
      <c r="F141" s="9" t="s">
        <v>67</v>
      </c>
      <c r="G141" s="7">
        <v>481311588352</v>
      </c>
      <c r="H141" s="6">
        <v>8.1199999999999992</v>
      </c>
      <c r="I141" s="6">
        <v>5.44</v>
      </c>
      <c r="J141" s="12">
        <f>E141/I141-1</f>
        <v>0.34926470588235281</v>
      </c>
      <c r="K141" s="11">
        <v>4.877384196185286E-2</v>
      </c>
      <c r="M141" s="13">
        <v>2066897000000</v>
      </c>
      <c r="N141" s="9" t="s">
        <v>50</v>
      </c>
      <c r="O141" s="6">
        <v>1.0683760683760684</v>
      </c>
    </row>
    <row r="142" spans="2:18" x14ac:dyDescent="0.2">
      <c r="B142" s="1" t="s">
        <v>199</v>
      </c>
      <c r="C142" t="s">
        <v>224</v>
      </c>
      <c r="D142" t="s">
        <v>225</v>
      </c>
      <c r="E142">
        <v>43.78</v>
      </c>
      <c r="F142" s="9" t="s">
        <v>67</v>
      </c>
      <c r="G142" s="7">
        <v>462876311552</v>
      </c>
      <c r="H142" s="6">
        <v>44</v>
      </c>
      <c r="I142" s="6">
        <v>26.6</v>
      </c>
      <c r="J142" s="12">
        <f>E142/I142-1</f>
        <v>0.64586466165413525</v>
      </c>
      <c r="K142" s="11">
        <v>4.5660118775696666E-2</v>
      </c>
      <c r="M142" s="13">
        <v>415994000000</v>
      </c>
      <c r="N142" s="9" t="s">
        <v>67</v>
      </c>
      <c r="O142" s="6">
        <v>1</v>
      </c>
    </row>
    <row r="143" spans="2:18" x14ac:dyDescent="0.2">
      <c r="B143" s="1" t="s">
        <v>795</v>
      </c>
      <c r="C143" t="s">
        <v>798</v>
      </c>
      <c r="D143" t="s">
        <v>65</v>
      </c>
      <c r="E143">
        <v>11.7</v>
      </c>
      <c r="F143" s="9" t="s">
        <v>67</v>
      </c>
      <c r="G143" s="7">
        <v>31490873344</v>
      </c>
      <c r="H143" s="6">
        <v>14.8</v>
      </c>
      <c r="I143" s="6">
        <v>11.58</v>
      </c>
      <c r="J143" s="12">
        <f>E143/I143-1</f>
        <v>1.0362694300518172E-2</v>
      </c>
      <c r="K143" s="11">
        <v>0</v>
      </c>
      <c r="N143" s="9" t="s">
        <v>50</v>
      </c>
      <c r="O143" s="6">
        <v>1.0683760683760684</v>
      </c>
    </row>
  </sheetData>
  <autoFilter ref="B1:R18" xr:uid="{7A9EDF16-08C4-B24B-A5E4-CFD78B458569}">
    <sortState xmlns:xlrd2="http://schemas.microsoft.com/office/spreadsheetml/2017/richdata2" ref="B2:R143">
      <sortCondition ref="R1:R143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2"/>
  <sheetViews>
    <sheetView zoomScaleNormal="100" workbookViewId="0">
      <selection activeCell="C3" sqref="C3"/>
    </sheetView>
  </sheetViews>
  <sheetFormatPr baseColWidth="10" defaultColWidth="11" defaultRowHeight="16" x14ac:dyDescent="0.2"/>
  <cols>
    <col min="1" max="1" width="2.83203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64062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640625" style="6" customWidth="1"/>
    <col min="16" max="17" width="11" style="12"/>
    <col min="18" max="18" width="11" style="14"/>
  </cols>
  <sheetData>
    <row r="1" spans="2:22" ht="34" x14ac:dyDescent="0.2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2">
      <c r="B2" s="1" t="s">
        <v>495</v>
      </c>
      <c r="C2" t="s">
        <v>532</v>
      </c>
      <c r="D2" t="s">
        <v>76</v>
      </c>
      <c r="E2">
        <v>14.31</v>
      </c>
      <c r="F2" s="9" t="s">
        <v>50</v>
      </c>
      <c r="G2" s="7">
        <v>219516420096</v>
      </c>
      <c r="H2" s="6">
        <v>16.88</v>
      </c>
      <c r="I2" s="6">
        <v>12.74</v>
      </c>
      <c r="J2" s="12">
        <f>E2/I2-1</f>
        <v>0.12323390894819464</v>
      </c>
      <c r="K2" s="11">
        <v>0.11111111111111112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0.62882322988994122</v>
      </c>
      <c r="Q2" s="12">
        <v>0.26042924055386191</v>
      </c>
      <c r="R2" s="14">
        <v>1</v>
      </c>
    </row>
    <row r="3" spans="2:22" x14ac:dyDescent="0.2">
      <c r="B3" s="1" t="s">
        <v>12</v>
      </c>
      <c r="C3" t="s">
        <v>57</v>
      </c>
      <c r="D3" t="s">
        <v>58</v>
      </c>
      <c r="E3">
        <v>106.06</v>
      </c>
      <c r="F3" s="9" t="s">
        <v>50</v>
      </c>
      <c r="G3" s="7">
        <v>411683323904</v>
      </c>
      <c r="H3" s="6">
        <v>142.96</v>
      </c>
      <c r="I3" s="6">
        <v>100.5</v>
      </c>
      <c r="J3" s="12">
        <f>E3/I3-1</f>
        <v>5.5323383084577182E-2</v>
      </c>
      <c r="K3" s="11">
        <v>5.4186309636055058E-2</v>
      </c>
      <c r="L3" s="13">
        <v>44203762134.690002</v>
      </c>
      <c r="M3" s="13">
        <v>133285282015.97</v>
      </c>
      <c r="N3" s="9" t="s">
        <v>50</v>
      </c>
      <c r="O3" s="6">
        <v>1</v>
      </c>
      <c r="P3" s="12">
        <v>0.15505358424585186</v>
      </c>
      <c r="Q3" s="12">
        <v>0.33164773684009302</v>
      </c>
      <c r="R3" s="14">
        <v>2</v>
      </c>
    </row>
    <row r="4" spans="2:22" x14ac:dyDescent="0.2">
      <c r="B4" s="1" t="s">
        <v>794</v>
      </c>
      <c r="C4" t="s">
        <v>797</v>
      </c>
      <c r="D4" t="s">
        <v>58</v>
      </c>
      <c r="E4">
        <v>116.25</v>
      </c>
      <c r="F4" s="9" t="s">
        <v>50</v>
      </c>
      <c r="G4" s="7">
        <v>171113267200</v>
      </c>
      <c r="H4" s="6">
        <v>146.72</v>
      </c>
      <c r="I4" s="6">
        <v>106.75</v>
      </c>
      <c r="J4" s="12">
        <f>E4/I4-1</f>
        <v>8.8992974238875977E-2</v>
      </c>
      <c r="K4" s="11">
        <v>5.1182795698924734E-2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0.12581650097416403</v>
      </c>
      <c r="Q4" s="12">
        <v>0.34488844544104241</v>
      </c>
      <c r="R4" s="14">
        <v>3</v>
      </c>
    </row>
    <row r="5" spans="2:22" x14ac:dyDescent="0.2">
      <c r="B5" s="1" t="s">
        <v>345</v>
      </c>
      <c r="C5" t="s">
        <v>366</v>
      </c>
      <c r="D5" t="s">
        <v>238</v>
      </c>
      <c r="E5">
        <v>54.12</v>
      </c>
      <c r="F5" s="9" t="s">
        <v>50</v>
      </c>
      <c r="G5" s="7">
        <v>26192521216</v>
      </c>
      <c r="H5" s="6">
        <v>60.5</v>
      </c>
      <c r="I5" s="6">
        <v>51.7</v>
      </c>
      <c r="J5" s="12">
        <f>E5/I5-1</f>
        <v>4.6808510638297829E-2</v>
      </c>
      <c r="K5" s="11">
        <v>0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0.11579264787402734</v>
      </c>
      <c r="Q5" s="12">
        <v>2.4700897903693781</v>
      </c>
      <c r="R5" s="14">
        <v>4</v>
      </c>
    </row>
    <row r="6" spans="2:22" x14ac:dyDescent="0.2">
      <c r="B6" s="1" t="s">
        <v>348</v>
      </c>
      <c r="C6" t="s">
        <v>369</v>
      </c>
      <c r="D6" t="s">
        <v>58</v>
      </c>
      <c r="E6">
        <v>54.07</v>
      </c>
      <c r="F6" s="9" t="s">
        <v>50</v>
      </c>
      <c r="G6" s="7">
        <v>81453481984</v>
      </c>
      <c r="H6" s="6">
        <v>80.33</v>
      </c>
      <c r="I6" s="6">
        <v>53.88</v>
      </c>
      <c r="J6" s="12">
        <f>E6/I6-1</f>
        <v>3.5263548626576213E-3</v>
      </c>
      <c r="K6" s="11">
        <v>4.2851858701683003E-2</v>
      </c>
      <c r="L6" s="13">
        <v>9147980437.1399994</v>
      </c>
      <c r="M6" s="13">
        <v>51588243128.650002</v>
      </c>
      <c r="N6" s="9" t="s">
        <v>50</v>
      </c>
      <c r="O6" s="6">
        <v>1</v>
      </c>
      <c r="P6" s="12">
        <v>0.15305584260484839</v>
      </c>
      <c r="Q6" s="12">
        <v>0.177326845853752</v>
      </c>
      <c r="R6" s="14">
        <v>4</v>
      </c>
    </row>
    <row r="7" spans="2:22" x14ac:dyDescent="0.2">
      <c r="B7" s="1" t="s">
        <v>344</v>
      </c>
      <c r="C7" t="s">
        <v>364</v>
      </c>
      <c r="D7" t="s">
        <v>365</v>
      </c>
      <c r="E7">
        <v>18.05</v>
      </c>
      <c r="F7" s="9" t="s">
        <v>50</v>
      </c>
      <c r="G7" s="7">
        <v>10403531776</v>
      </c>
      <c r="H7" s="6">
        <v>21.05</v>
      </c>
      <c r="I7" s="6">
        <v>14.43</v>
      </c>
      <c r="J7" s="12">
        <f>E7/I7-1</f>
        <v>0.25086625086625092</v>
      </c>
      <c r="K7" s="11">
        <v>4.9861495844875349E-2</v>
      </c>
      <c r="L7" s="13">
        <v>1115194928.8599999</v>
      </c>
      <c r="M7" s="13">
        <v>4734235892.8000002</v>
      </c>
      <c r="N7" s="9" t="s">
        <v>50</v>
      </c>
      <c r="O7" s="6">
        <v>1</v>
      </c>
      <c r="P7" s="12">
        <v>0.12431032363391688</v>
      </c>
      <c r="Q7" s="12">
        <v>0.23555964555041065</v>
      </c>
      <c r="R7" s="14">
        <v>5</v>
      </c>
    </row>
    <row r="8" spans="2:22" x14ac:dyDescent="0.2">
      <c r="B8" s="1" t="s">
        <v>510</v>
      </c>
      <c r="C8" t="s">
        <v>549</v>
      </c>
      <c r="D8" t="s">
        <v>96</v>
      </c>
      <c r="E8">
        <v>4.8</v>
      </c>
      <c r="F8" s="9" t="s">
        <v>50</v>
      </c>
      <c r="G8" s="7">
        <v>150069248000</v>
      </c>
      <c r="H8" s="6">
        <v>6.93</v>
      </c>
      <c r="I8" s="6">
        <v>4.78</v>
      </c>
      <c r="J8" s="12">
        <f>E8/I8-1</f>
        <v>4.1841004184099972E-3</v>
      </c>
      <c r="K8" s="11">
        <v>3.6249999999999998E-2</v>
      </c>
      <c r="L8" s="13">
        <v>25203382526</v>
      </c>
      <c r="M8" s="13">
        <v>167684980370</v>
      </c>
      <c r="N8" s="9" t="s">
        <v>50</v>
      </c>
      <c r="O8" s="6">
        <v>1</v>
      </c>
      <c r="P8" s="12">
        <v>0.18455263025021265</v>
      </c>
      <c r="Q8" s="12">
        <v>0.15030196783509336</v>
      </c>
      <c r="R8" s="14">
        <v>6</v>
      </c>
    </row>
    <row r="9" spans="2:22" x14ac:dyDescent="0.2">
      <c r="B9" s="1" t="s">
        <v>487</v>
      </c>
      <c r="C9" t="s">
        <v>521</v>
      </c>
      <c r="D9" t="s">
        <v>78</v>
      </c>
      <c r="E9">
        <v>41.45</v>
      </c>
      <c r="F9" s="9" t="s">
        <v>50</v>
      </c>
      <c r="G9" s="7">
        <v>823550214144</v>
      </c>
      <c r="H9" s="6">
        <v>44.39</v>
      </c>
      <c r="I9" s="6">
        <v>34.78</v>
      </c>
      <c r="J9" s="12">
        <f>E9/I9-1</f>
        <v>0.19177688326624498</v>
      </c>
      <c r="K9" s="11">
        <v>7.8166465621230391E-2</v>
      </c>
      <c r="L9" s="13">
        <v>88468000000</v>
      </c>
      <c r="M9" s="13">
        <v>456835000000</v>
      </c>
      <c r="N9" s="9" t="s">
        <v>50</v>
      </c>
      <c r="O9" s="6">
        <v>1</v>
      </c>
      <c r="P9" s="12">
        <v>0.12210849900027687</v>
      </c>
      <c r="Q9" s="12">
        <v>0.19365416397605262</v>
      </c>
      <c r="R9" s="14">
        <v>7</v>
      </c>
    </row>
    <row r="10" spans="2:22" x14ac:dyDescent="0.2">
      <c r="B10" s="1" t="s">
        <v>488</v>
      </c>
      <c r="C10" t="s">
        <v>522</v>
      </c>
      <c r="D10" t="s">
        <v>78</v>
      </c>
      <c r="E10">
        <v>14.42</v>
      </c>
      <c r="F10" s="9" t="s">
        <v>50</v>
      </c>
      <c r="G10" s="7">
        <v>191189925888</v>
      </c>
      <c r="H10" s="6">
        <v>15.35</v>
      </c>
      <c r="I10" s="6">
        <v>9.42</v>
      </c>
      <c r="J10" s="12">
        <f>E10/I10-1</f>
        <v>0.53078556263269649</v>
      </c>
      <c r="K10" s="11">
        <v>2.9403606102635229E-2</v>
      </c>
      <c r="L10" s="13">
        <v>32866046000</v>
      </c>
      <c r="M10" s="13">
        <v>215280386000</v>
      </c>
      <c r="N10" s="9" t="s">
        <v>50</v>
      </c>
      <c r="O10" s="6">
        <v>1</v>
      </c>
      <c r="P10" s="12">
        <v>0.14558005798692389</v>
      </c>
      <c r="Q10" s="12">
        <v>0.15266623500015464</v>
      </c>
      <c r="R10" s="14">
        <v>7</v>
      </c>
    </row>
    <row r="11" spans="2:22" x14ac:dyDescent="0.2">
      <c r="B11" s="1" t="s">
        <v>485</v>
      </c>
      <c r="C11" t="s">
        <v>519</v>
      </c>
      <c r="D11" t="s">
        <v>233</v>
      </c>
      <c r="E11">
        <v>10.54</v>
      </c>
      <c r="F11" s="9" t="s">
        <v>50</v>
      </c>
      <c r="G11" s="7">
        <v>1929041149952</v>
      </c>
      <c r="H11" s="6">
        <v>11.15</v>
      </c>
      <c r="I11" s="6">
        <v>7.33</v>
      </c>
      <c r="J11" s="12">
        <f>E11/I11-1</f>
        <v>0.43792633015006799</v>
      </c>
      <c r="K11" s="11">
        <v>4.4592030360531311E-2</v>
      </c>
      <c r="L11" s="13">
        <v>262233000000</v>
      </c>
      <c r="M11" s="13">
        <v>1659398000000</v>
      </c>
      <c r="N11" s="9" t="s">
        <v>50</v>
      </c>
      <c r="O11" s="6">
        <v>1</v>
      </c>
      <c r="P11" s="12">
        <v>0.12677158459070417</v>
      </c>
      <c r="Q11" s="12">
        <v>0.15802899605760642</v>
      </c>
      <c r="R11" s="14">
        <v>8</v>
      </c>
    </row>
    <row r="12" spans="2:22" x14ac:dyDescent="0.2">
      <c r="B12" s="1" t="s">
        <v>13</v>
      </c>
      <c r="C12" t="s">
        <v>59</v>
      </c>
      <c r="D12" t="s">
        <v>60</v>
      </c>
      <c r="E12">
        <v>10.93</v>
      </c>
      <c r="F12" s="9" t="s">
        <v>50</v>
      </c>
      <c r="G12" s="7">
        <v>19630280704</v>
      </c>
      <c r="H12" s="6">
        <v>15.58</v>
      </c>
      <c r="I12" s="6">
        <v>10.75</v>
      </c>
      <c r="J12" s="12">
        <f>E12/I12-1</f>
        <v>1.6744186046511622E-2</v>
      </c>
      <c r="K12" s="11">
        <v>5.0320219579139985E-2</v>
      </c>
      <c r="L12" s="13">
        <v>1789808265.4000001</v>
      </c>
      <c r="M12" s="13">
        <v>15580673812.24</v>
      </c>
      <c r="N12" s="9" t="s">
        <v>50</v>
      </c>
      <c r="O12" s="6">
        <v>1</v>
      </c>
      <c r="P12" s="12">
        <v>0.24769172217455526</v>
      </c>
      <c r="Q12" s="12">
        <v>0.11487361117809598</v>
      </c>
      <c r="R12" s="14">
        <v>8</v>
      </c>
    </row>
    <row r="13" spans="2:22" x14ac:dyDescent="0.2">
      <c r="B13" s="1" t="s">
        <v>14</v>
      </c>
      <c r="C13" t="s">
        <v>61</v>
      </c>
      <c r="D13" t="s">
        <v>60</v>
      </c>
      <c r="E13">
        <v>13.2</v>
      </c>
      <c r="F13" s="9" t="s">
        <v>50</v>
      </c>
      <c r="G13" s="7">
        <v>13506289664</v>
      </c>
      <c r="H13" s="6">
        <v>14.08</v>
      </c>
      <c r="I13" s="6">
        <v>10.53</v>
      </c>
      <c r="J13" s="12">
        <f>E13/I13-1</f>
        <v>0.25356125356125347</v>
      </c>
      <c r="K13" s="11">
        <v>0</v>
      </c>
      <c r="L13" s="13">
        <v>1324661161.8800001</v>
      </c>
      <c r="M13" s="13">
        <v>11491269147.950001</v>
      </c>
      <c r="N13" s="9" t="s">
        <v>50</v>
      </c>
      <c r="O13" s="6">
        <v>1</v>
      </c>
      <c r="P13" s="12">
        <v>0.15836570612641099</v>
      </c>
      <c r="Q13" s="12">
        <v>0.11527544475940803</v>
      </c>
      <c r="R13" s="14">
        <v>9</v>
      </c>
    </row>
    <row r="14" spans="2:22" x14ac:dyDescent="0.2">
      <c r="B14" s="1" t="s">
        <v>504</v>
      </c>
      <c r="C14" t="s">
        <v>542</v>
      </c>
      <c r="D14" t="s">
        <v>300</v>
      </c>
      <c r="E14">
        <v>8.31</v>
      </c>
      <c r="F14" s="9" t="s">
        <v>50</v>
      </c>
      <c r="G14" s="7">
        <v>50746396672</v>
      </c>
      <c r="H14" s="6">
        <v>9.3000000000000007</v>
      </c>
      <c r="I14" s="6">
        <v>6.57</v>
      </c>
      <c r="J14" s="12">
        <f>E14/I14-1</f>
        <v>0.26484018264840192</v>
      </c>
      <c r="K14" s="11">
        <v>3.4416365824308057E-2</v>
      </c>
      <c r="L14" s="13">
        <v>7711333496.6800003</v>
      </c>
      <c r="M14" s="13">
        <v>72343923041.960007</v>
      </c>
      <c r="N14" s="9" t="s">
        <v>50</v>
      </c>
      <c r="O14" s="6">
        <v>1</v>
      </c>
      <c r="P14" s="12">
        <v>0.56011814529758563</v>
      </c>
      <c r="Q14" s="12">
        <v>0.10659269185896057</v>
      </c>
      <c r="R14" s="14">
        <v>10</v>
      </c>
    </row>
    <row r="15" spans="2:22" x14ac:dyDescent="0.2">
      <c r="B15" s="1" t="s">
        <v>11</v>
      </c>
      <c r="C15" t="s">
        <v>56</v>
      </c>
      <c r="D15" t="s">
        <v>49</v>
      </c>
      <c r="E15">
        <v>10.69</v>
      </c>
      <c r="F15" s="9" t="s">
        <v>50</v>
      </c>
      <c r="G15" s="7">
        <v>18423941120</v>
      </c>
      <c r="H15" s="6">
        <v>11.35</v>
      </c>
      <c r="I15" s="6">
        <v>7.97</v>
      </c>
      <c r="J15" s="12">
        <f>E15/I15-1</f>
        <v>0.341279799247177</v>
      </c>
      <c r="K15" s="11">
        <v>4.0224508886810104E-2</v>
      </c>
      <c r="L15" s="13">
        <v>1541495041.8099999</v>
      </c>
      <c r="M15" s="13">
        <v>11970268017.99</v>
      </c>
      <c r="N15" s="9" t="s">
        <v>50</v>
      </c>
      <c r="O15" s="6">
        <v>1</v>
      </c>
      <c r="P15" s="12">
        <v>0.13415090470574872</v>
      </c>
      <c r="Q15" s="12">
        <v>0.1287769864044232</v>
      </c>
      <c r="R15" s="14">
        <v>11</v>
      </c>
    </row>
    <row r="16" spans="2:22" x14ac:dyDescent="0.2">
      <c r="B16" s="1" t="s">
        <v>793</v>
      </c>
      <c r="C16" t="s">
        <v>796</v>
      </c>
      <c r="D16" t="s">
        <v>58</v>
      </c>
      <c r="E16">
        <v>165.84</v>
      </c>
      <c r="F16" s="9" t="s">
        <v>50</v>
      </c>
      <c r="G16" s="7">
        <v>202318856192</v>
      </c>
      <c r="H16" s="6">
        <v>228.93</v>
      </c>
      <c r="I16" s="6">
        <v>160.15</v>
      </c>
      <c r="J16" s="12">
        <f>E16/I16-1</f>
        <v>3.5529191383078418E-2</v>
      </c>
      <c r="K16" s="11">
        <v>2.1707670043415339E-2</v>
      </c>
      <c r="L16" s="13">
        <v>16562531526.059999</v>
      </c>
      <c r="M16" s="13">
        <v>34753830416.040001</v>
      </c>
      <c r="N16" s="9" t="s">
        <v>50</v>
      </c>
      <c r="O16" s="6">
        <v>1</v>
      </c>
      <c r="P16" s="12">
        <v>8.4253343438980333E-2</v>
      </c>
      <c r="Q16" s="12">
        <v>0.4765670813199302</v>
      </c>
      <c r="R16" s="14">
        <v>11</v>
      </c>
    </row>
    <row r="17" spans="2:18" x14ac:dyDescent="0.2">
      <c r="B17" s="1" t="s">
        <v>350</v>
      </c>
      <c r="C17" t="s">
        <v>371</v>
      </c>
      <c r="D17" t="s">
        <v>85</v>
      </c>
      <c r="E17">
        <v>23.05</v>
      </c>
      <c r="F17" s="9" t="s">
        <v>50</v>
      </c>
      <c r="G17" s="7">
        <v>11659962368</v>
      </c>
      <c r="H17" s="6">
        <v>28.1</v>
      </c>
      <c r="I17" s="6">
        <v>20.87</v>
      </c>
      <c r="J17" s="12">
        <f>E17/I17-1</f>
        <v>0.1044561571633924</v>
      </c>
      <c r="K17" s="11">
        <v>4.3383947939262472E-2</v>
      </c>
      <c r="L17" s="13">
        <v>1139111857.1300001</v>
      </c>
      <c r="M17" s="13">
        <v>7932700024.4300003</v>
      </c>
      <c r="N17" s="9" t="s">
        <v>50</v>
      </c>
      <c r="O17" s="6">
        <v>1</v>
      </c>
      <c r="P17" s="12">
        <v>0.12133943835384604</v>
      </c>
      <c r="Q17" s="12">
        <v>0.14359699139283291</v>
      </c>
      <c r="R17" s="14">
        <v>12</v>
      </c>
    </row>
    <row r="18" spans="2:18" x14ac:dyDescent="0.2">
      <c r="B18" s="1" t="s">
        <v>494</v>
      </c>
      <c r="C18" t="s">
        <v>531</v>
      </c>
      <c r="D18" t="s">
        <v>311</v>
      </c>
      <c r="E18">
        <v>5.85</v>
      </c>
      <c r="F18" s="9" t="s">
        <v>50</v>
      </c>
      <c r="G18" s="7">
        <v>41963069440</v>
      </c>
      <c r="H18" s="6">
        <v>7.95</v>
      </c>
      <c r="I18" s="6">
        <v>4.62</v>
      </c>
      <c r="J18" s="12">
        <f>E18/I18-1</f>
        <v>0.26623376623376616</v>
      </c>
      <c r="K18" s="11">
        <v>4.957264957264957E-2</v>
      </c>
      <c r="L18" s="13">
        <v>5417853662.29</v>
      </c>
      <c r="M18" s="13">
        <v>48593502362.830002</v>
      </c>
      <c r="N18" s="9" t="s">
        <v>50</v>
      </c>
      <c r="O18" s="6">
        <v>1</v>
      </c>
      <c r="P18" s="12">
        <v>0.1345948239883144</v>
      </c>
      <c r="Q18" s="12">
        <v>0.11149337666251874</v>
      </c>
      <c r="R18" s="14">
        <v>13</v>
      </c>
    </row>
    <row r="19" spans="2:18" x14ac:dyDescent="0.2">
      <c r="B19" s="1" t="s">
        <v>507</v>
      </c>
      <c r="C19" t="s">
        <v>545</v>
      </c>
      <c r="D19" t="s">
        <v>546</v>
      </c>
      <c r="E19">
        <v>12.69</v>
      </c>
      <c r="F19" s="9" t="s">
        <v>50</v>
      </c>
      <c r="G19" s="7">
        <v>217696583680</v>
      </c>
      <c r="H19" s="6">
        <v>15.85</v>
      </c>
      <c r="I19" s="6">
        <v>5.96</v>
      </c>
      <c r="J19" s="12">
        <f>E19/I19-1</f>
        <v>1.1291946308724832</v>
      </c>
      <c r="K19" s="11">
        <v>1.0638297872340427E-2</v>
      </c>
      <c r="L19" s="13">
        <v>22993550000</v>
      </c>
      <c r="M19" s="13">
        <v>116111506000</v>
      </c>
      <c r="N19" s="9" t="s">
        <v>50</v>
      </c>
      <c r="O19" s="6">
        <v>1</v>
      </c>
      <c r="P19" s="12">
        <v>8.8750156836183314E-2</v>
      </c>
      <c r="Q19" s="12">
        <v>0.19802990067151485</v>
      </c>
      <c r="R19" s="14">
        <v>14</v>
      </c>
    </row>
    <row r="20" spans="2:18" x14ac:dyDescent="0.2">
      <c r="B20" s="1" t="s">
        <v>352</v>
      </c>
      <c r="C20" t="s">
        <v>373</v>
      </c>
      <c r="D20" t="s">
        <v>150</v>
      </c>
      <c r="E20">
        <v>20.56</v>
      </c>
      <c r="F20" s="9" t="s">
        <v>50</v>
      </c>
      <c r="G20" s="7">
        <v>20709728256</v>
      </c>
      <c r="H20" s="6">
        <v>24.43</v>
      </c>
      <c r="I20" s="6">
        <v>18.559999999999999</v>
      </c>
      <c r="J20" s="12">
        <f>E20/I20-1</f>
        <v>0.10775862068965525</v>
      </c>
      <c r="K20" s="11">
        <v>5.3501945525291833E-2</v>
      </c>
      <c r="L20" s="13">
        <v>1686709166</v>
      </c>
      <c r="M20" s="13">
        <v>10738080107</v>
      </c>
      <c r="N20" s="9" t="s">
        <v>50</v>
      </c>
      <c r="O20" s="6">
        <v>1</v>
      </c>
      <c r="P20" s="12">
        <v>9.4506248543654553E-2</v>
      </c>
      <c r="Q20" s="12">
        <v>0.15707734987937541</v>
      </c>
      <c r="R20" s="14">
        <v>15</v>
      </c>
    </row>
    <row r="21" spans="2:18" x14ac:dyDescent="0.2">
      <c r="B21" s="1" t="s">
        <v>349</v>
      </c>
      <c r="C21" t="s">
        <v>370</v>
      </c>
      <c r="D21" t="s">
        <v>60</v>
      </c>
      <c r="E21">
        <v>9.57</v>
      </c>
      <c r="F21" s="9" t="s">
        <v>50</v>
      </c>
      <c r="G21" s="7">
        <v>12894222336</v>
      </c>
      <c r="H21" s="6">
        <v>12.28</v>
      </c>
      <c r="I21" s="6">
        <v>9.19</v>
      </c>
      <c r="J21" s="12">
        <f>E21/I21-1</f>
        <v>4.1349292709466967E-2</v>
      </c>
      <c r="K21" s="11">
        <v>4.1797283176593522E-2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0.2578268501445502</v>
      </c>
      <c r="Q21" s="12">
        <v>6.7272978770076819E-2</v>
      </c>
      <c r="R21" s="14">
        <v>16</v>
      </c>
    </row>
    <row r="22" spans="2:18" x14ac:dyDescent="0.2">
      <c r="B22" s="1" t="s">
        <v>479</v>
      </c>
      <c r="C22" t="s">
        <v>513</v>
      </c>
      <c r="D22" t="s">
        <v>300</v>
      </c>
      <c r="E22">
        <v>5</v>
      </c>
      <c r="F22" s="9" t="s">
        <v>50</v>
      </c>
      <c r="G22" s="7">
        <v>206601945088</v>
      </c>
      <c r="H22" s="6">
        <v>6.2</v>
      </c>
      <c r="I22" s="6">
        <v>4.9000000000000004</v>
      </c>
      <c r="J22" s="12">
        <f>E22/I22-1</f>
        <v>2.0408163265306145E-2</v>
      </c>
      <c r="K22" s="11">
        <v>5.4400000000000004E-2</v>
      </c>
      <c r="L22" s="13">
        <v>101828438000</v>
      </c>
      <c r="M22" s="13">
        <v>1200367605000</v>
      </c>
      <c r="N22" s="9" t="s">
        <v>50</v>
      </c>
      <c r="O22" s="6">
        <v>1</v>
      </c>
      <c r="P22" s="12">
        <v>0.15772989030480686</v>
      </c>
      <c r="Q22" s="12">
        <v>8.4831044736499703E-2</v>
      </c>
      <c r="R22" s="14">
        <v>16</v>
      </c>
    </row>
    <row r="23" spans="2:18" x14ac:dyDescent="0.2">
      <c r="B23" s="1" t="s">
        <v>346</v>
      </c>
      <c r="C23" t="s">
        <v>367</v>
      </c>
      <c r="D23" t="s">
        <v>81</v>
      </c>
      <c r="E23">
        <v>59.03</v>
      </c>
      <c r="F23" s="9" t="s">
        <v>50</v>
      </c>
      <c r="G23" s="7">
        <v>29889714176</v>
      </c>
      <c r="H23" s="6">
        <v>64.599999999999994</v>
      </c>
      <c r="I23" s="6">
        <v>39.03</v>
      </c>
      <c r="J23" s="12">
        <f>E23/I23-1</f>
        <v>0.51242633871380994</v>
      </c>
      <c r="K23" s="11">
        <v>1.694053870913095E-2</v>
      </c>
      <c r="L23" s="13">
        <v>1949016683.5799999</v>
      </c>
      <c r="M23" s="13">
        <v>10523421872.709999</v>
      </c>
      <c r="N23" s="9" t="s">
        <v>50</v>
      </c>
      <c r="O23" s="6">
        <v>1</v>
      </c>
      <c r="P23" s="12">
        <v>7.5227876272916508E-2</v>
      </c>
      <c r="Q23" s="12">
        <v>0.18520750257426369</v>
      </c>
      <c r="R23" s="14">
        <v>17</v>
      </c>
    </row>
    <row r="24" spans="2:18" x14ac:dyDescent="0.2">
      <c r="B24" s="1" t="s">
        <v>15</v>
      </c>
      <c r="C24" t="s">
        <v>62</v>
      </c>
      <c r="D24" t="s">
        <v>60</v>
      </c>
      <c r="E24">
        <v>9.1199999999999992</v>
      </c>
      <c r="F24" s="9" t="s">
        <v>50</v>
      </c>
      <c r="G24" s="7">
        <v>11068490752</v>
      </c>
      <c r="H24" s="6">
        <v>10.07</v>
      </c>
      <c r="I24" s="6">
        <v>8.15</v>
      </c>
      <c r="J24" s="12">
        <f>E24/I24-1</f>
        <v>0.11901840490797522</v>
      </c>
      <c r="K24" s="11">
        <v>4.4956140350877194E-2</v>
      </c>
      <c r="L24" s="13">
        <v>1074859531.29</v>
      </c>
      <c r="M24" s="13">
        <v>9527311896.5100002</v>
      </c>
      <c r="N24" s="9" t="s">
        <v>50</v>
      </c>
      <c r="O24" s="6">
        <v>1</v>
      </c>
      <c r="P24" s="12">
        <v>0.11425091609462029</v>
      </c>
      <c r="Q24" s="12">
        <v>0.1128187617835559</v>
      </c>
      <c r="R24" s="14">
        <v>18</v>
      </c>
    </row>
    <row r="25" spans="2:18" x14ac:dyDescent="0.2">
      <c r="B25" s="1" t="s">
        <v>17</v>
      </c>
      <c r="C25" t="s">
        <v>64</v>
      </c>
      <c r="D25" t="s">
        <v>65</v>
      </c>
      <c r="E25">
        <v>12.36</v>
      </c>
      <c r="F25" s="9" t="s">
        <v>50</v>
      </c>
      <c r="G25" s="7">
        <v>4369544192</v>
      </c>
      <c r="H25" s="6">
        <v>15.53</v>
      </c>
      <c r="I25" s="6">
        <v>10.66</v>
      </c>
      <c r="J25" s="12">
        <f>E25/I25-1</f>
        <v>0.15947467166979346</v>
      </c>
      <c r="K25" s="11">
        <v>3.8834951456310683E-2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9.854174300814085E-2</v>
      </c>
      <c r="Q25" s="12">
        <v>0.12344330708657501</v>
      </c>
      <c r="R25" s="14">
        <v>18</v>
      </c>
    </row>
    <row r="26" spans="2:18" x14ac:dyDescent="0.2">
      <c r="B26" s="1" t="s">
        <v>492</v>
      </c>
      <c r="C26" t="s">
        <v>528</v>
      </c>
      <c r="D26" t="s">
        <v>446</v>
      </c>
      <c r="E26">
        <v>6.31</v>
      </c>
      <c r="F26" s="9" t="s">
        <v>50</v>
      </c>
      <c r="G26" s="7">
        <v>181089828864</v>
      </c>
      <c r="H26" s="6">
        <v>8.23</v>
      </c>
      <c r="I26" s="6">
        <v>6.22</v>
      </c>
      <c r="J26" s="12">
        <f>E26/I26-1</f>
        <v>1.4469453376205754E-2</v>
      </c>
      <c r="K26" s="11">
        <v>5.0713153724247229E-2</v>
      </c>
      <c r="L26" s="13">
        <v>17484674000</v>
      </c>
      <c r="M26" s="13">
        <v>181488019000</v>
      </c>
      <c r="N26" s="9" t="s">
        <v>50</v>
      </c>
      <c r="O26" s="6">
        <v>1</v>
      </c>
      <c r="P26" s="12">
        <v>0.1311095638290104</v>
      </c>
      <c r="Q26" s="12">
        <v>9.6340651555626933E-2</v>
      </c>
      <c r="R26" s="14">
        <v>18</v>
      </c>
    </row>
    <row r="27" spans="2:18" x14ac:dyDescent="0.2">
      <c r="B27" s="1" t="s">
        <v>508</v>
      </c>
      <c r="C27" t="s">
        <v>547</v>
      </c>
      <c r="D27" t="s">
        <v>96</v>
      </c>
      <c r="E27">
        <v>92.61</v>
      </c>
      <c r="F27" s="9" t="s">
        <v>50</v>
      </c>
      <c r="G27" s="7">
        <v>2001446109184</v>
      </c>
      <c r="H27" s="6">
        <v>118.68</v>
      </c>
      <c r="I27" s="6">
        <v>91.51</v>
      </c>
      <c r="J27" s="12">
        <f>E27/I27-1</f>
        <v>1.2020544202819394E-2</v>
      </c>
      <c r="K27" s="11">
        <v>5.3471547349098369E-2</v>
      </c>
      <c r="L27" s="13">
        <v>181466000000</v>
      </c>
      <c r="M27" s="13">
        <v>1392032000000</v>
      </c>
      <c r="N27" s="9" t="s">
        <v>50</v>
      </c>
      <c r="O27" s="6">
        <v>1</v>
      </c>
      <c r="P27" s="12">
        <v>9.4386753259281794E-2</v>
      </c>
      <c r="Q27" s="12">
        <v>0.13036050895381715</v>
      </c>
      <c r="R27" s="14">
        <v>19</v>
      </c>
    </row>
    <row r="28" spans="2:18" x14ac:dyDescent="0.2">
      <c r="B28" s="1" t="s">
        <v>10</v>
      </c>
      <c r="C28" t="s">
        <v>54</v>
      </c>
      <c r="D28" t="s">
        <v>55</v>
      </c>
      <c r="E28">
        <v>98.69</v>
      </c>
      <c r="F28" s="9" t="s">
        <v>50</v>
      </c>
      <c r="G28" s="7">
        <v>52913520640</v>
      </c>
      <c r="H28" s="6">
        <v>149.5</v>
      </c>
      <c r="I28" s="6">
        <v>69.98</v>
      </c>
      <c r="J28" s="12">
        <f>E28/I28-1</f>
        <v>0.41026007430694467</v>
      </c>
      <c r="K28" s="11">
        <v>2.127875164657007E-2</v>
      </c>
      <c r="L28" s="13">
        <v>2351242906.4000001</v>
      </c>
      <c r="M28" s="13">
        <v>10336332783.18</v>
      </c>
      <c r="N28" s="9" t="s">
        <v>50</v>
      </c>
      <c r="O28" s="6">
        <v>1</v>
      </c>
      <c r="P28" s="12">
        <v>4.5200795868851257E-2</v>
      </c>
      <c r="Q28" s="12">
        <v>0.22747360748931247</v>
      </c>
      <c r="R28" s="14">
        <v>20</v>
      </c>
    </row>
    <row r="29" spans="2:18" x14ac:dyDescent="0.2">
      <c r="B29" s="1" t="s">
        <v>347</v>
      </c>
      <c r="C29" t="s">
        <v>368</v>
      </c>
      <c r="D29" t="s">
        <v>320</v>
      </c>
      <c r="E29">
        <v>6.86</v>
      </c>
      <c r="F29" s="9" t="s">
        <v>50</v>
      </c>
      <c r="G29" s="7">
        <v>30330494976</v>
      </c>
      <c r="H29" s="6">
        <v>7.42</v>
      </c>
      <c r="I29" s="6">
        <v>4.96</v>
      </c>
      <c r="J29" s="12">
        <f>E29/I29-1</f>
        <v>0.38306451612903225</v>
      </c>
      <c r="K29" s="11">
        <v>2.9300291545189504E-2</v>
      </c>
      <c r="L29" s="13">
        <v>2697498300</v>
      </c>
      <c r="M29" s="13">
        <v>26396524300</v>
      </c>
      <c r="N29" s="9" t="s">
        <v>50</v>
      </c>
      <c r="O29" s="6">
        <v>1</v>
      </c>
      <c r="P29" s="12">
        <v>0.10580383912499045</v>
      </c>
      <c r="Q29" s="12">
        <v>0.10219141995145171</v>
      </c>
      <c r="R29" s="14">
        <v>20</v>
      </c>
    </row>
    <row r="30" spans="2:18" x14ac:dyDescent="0.2">
      <c r="B30" s="1" t="s">
        <v>8</v>
      </c>
      <c r="C30" t="s">
        <v>48</v>
      </c>
      <c r="D30" t="s">
        <v>49</v>
      </c>
      <c r="E30">
        <v>148.19999999999999</v>
      </c>
      <c r="F30" s="9" t="s">
        <v>50</v>
      </c>
      <c r="G30" s="7">
        <v>38399561728</v>
      </c>
      <c r="H30" s="6">
        <v>222.1</v>
      </c>
      <c r="I30" s="6">
        <v>123.57143000000001</v>
      </c>
      <c r="J30" s="12">
        <f>E30/I30-1</f>
        <v>0.1993063445166896</v>
      </c>
      <c r="K30" s="11">
        <v>5.1551956815114718E-3</v>
      </c>
      <c r="L30" s="13">
        <v>2107869808</v>
      </c>
      <c r="M30" s="13">
        <v>12869225664</v>
      </c>
      <c r="N30" s="9" t="s">
        <v>50</v>
      </c>
      <c r="O30" s="6">
        <v>1</v>
      </c>
      <c r="P30" s="12">
        <v>5.6765321617167228E-2</v>
      </c>
      <c r="Q30" s="12">
        <v>0.16379150253744434</v>
      </c>
      <c r="R30" s="14">
        <v>21</v>
      </c>
    </row>
    <row r="31" spans="2:18" x14ac:dyDescent="0.2">
      <c r="B31" s="1" t="s">
        <v>16</v>
      </c>
      <c r="C31" t="s">
        <v>63</v>
      </c>
      <c r="D31" t="s">
        <v>60</v>
      </c>
      <c r="E31">
        <v>8.18</v>
      </c>
      <c r="F31" s="9" t="s">
        <v>50</v>
      </c>
      <c r="G31" s="7">
        <v>18177779712</v>
      </c>
      <c r="H31" s="6">
        <v>10.28</v>
      </c>
      <c r="I31" s="6">
        <v>7.24</v>
      </c>
      <c r="J31" s="12">
        <f>E31/I31-1</f>
        <v>0.12983425414364635</v>
      </c>
      <c r="K31" s="11">
        <v>4.8899755501222497E-2</v>
      </c>
      <c r="L31" s="13">
        <v>1357643494.6700001</v>
      </c>
      <c r="M31" s="13">
        <v>13696300546.360001</v>
      </c>
      <c r="N31" s="9" t="s">
        <v>50</v>
      </c>
      <c r="O31" s="6">
        <v>1</v>
      </c>
      <c r="P31" s="12">
        <v>0.11139200938579157</v>
      </c>
      <c r="Q31" s="12">
        <v>9.9124832291360196E-2</v>
      </c>
      <c r="R31" s="14">
        <v>21</v>
      </c>
    </row>
    <row r="32" spans="2:18" x14ac:dyDescent="0.2">
      <c r="B32" s="1" t="s">
        <v>553</v>
      </c>
      <c r="C32" t="s">
        <v>562</v>
      </c>
      <c r="D32" t="s">
        <v>446</v>
      </c>
      <c r="E32">
        <v>5.47</v>
      </c>
      <c r="F32" s="9" t="s">
        <v>50</v>
      </c>
      <c r="G32" s="7">
        <v>57926307840</v>
      </c>
      <c r="H32" s="6">
        <v>6.05</v>
      </c>
      <c r="I32" s="6">
        <v>4.8499999999999996</v>
      </c>
      <c r="J32" s="12">
        <f>E32/I32-1</f>
        <v>0.12783505154639174</v>
      </c>
      <c r="K32" s="11">
        <v>3.1078610603290681E-2</v>
      </c>
      <c r="L32" s="13">
        <v>4783630821.25</v>
      </c>
      <c r="M32" s="13">
        <v>53393138493.459999</v>
      </c>
      <c r="N32" s="9" t="s">
        <v>50</v>
      </c>
      <c r="O32" s="6">
        <v>1</v>
      </c>
      <c r="P32" s="12">
        <v>0.11715533566119281</v>
      </c>
      <c r="Q32" s="12">
        <v>8.9592613512238767E-2</v>
      </c>
      <c r="R32" s="14">
        <v>21</v>
      </c>
    </row>
    <row r="33" spans="2:18" x14ac:dyDescent="0.2">
      <c r="B33" s="1" t="s">
        <v>503</v>
      </c>
      <c r="C33" t="s">
        <v>541</v>
      </c>
      <c r="D33" t="s">
        <v>102</v>
      </c>
      <c r="E33">
        <v>34.29</v>
      </c>
      <c r="F33" s="9" t="s">
        <v>50</v>
      </c>
      <c r="G33" s="7">
        <v>72635514880</v>
      </c>
      <c r="H33" s="6">
        <v>44</v>
      </c>
      <c r="I33" s="6">
        <v>32.17</v>
      </c>
      <c r="J33" s="12">
        <f>E33/I33-1</f>
        <v>6.5899906745414905E-2</v>
      </c>
      <c r="K33" s="11">
        <v>2.3330417031204434E-2</v>
      </c>
      <c r="L33" s="13">
        <v>3792362642.79</v>
      </c>
      <c r="M33" s="13">
        <v>24727711046.299999</v>
      </c>
      <c r="N33" s="9" t="s">
        <v>50</v>
      </c>
      <c r="O33" s="6">
        <v>1</v>
      </c>
      <c r="P33" s="12">
        <v>5.8510906299648113E-2</v>
      </c>
      <c r="Q33" s="12">
        <v>0.1533648883104953</v>
      </c>
      <c r="R33" s="14">
        <v>22</v>
      </c>
    </row>
    <row r="34" spans="2:18" x14ac:dyDescent="0.2">
      <c r="B34" s="1" t="s">
        <v>500</v>
      </c>
      <c r="C34" t="s">
        <v>538</v>
      </c>
      <c r="D34" t="s">
        <v>534</v>
      </c>
      <c r="E34">
        <v>55.66</v>
      </c>
      <c r="F34" s="9" t="s">
        <v>50</v>
      </c>
      <c r="G34" s="7">
        <v>157801381888</v>
      </c>
      <c r="H34" s="6">
        <v>73.66</v>
      </c>
      <c r="I34" s="6">
        <v>39.06</v>
      </c>
      <c r="J34" s="12">
        <f>E34/I34-1</f>
        <v>0.42498719918074745</v>
      </c>
      <c r="K34" s="11">
        <v>4.6712181099532882E-3</v>
      </c>
      <c r="L34" s="13">
        <v>3918841276.4000001</v>
      </c>
      <c r="M34" s="13">
        <v>17076522943.65</v>
      </c>
      <c r="N34" s="9" t="s">
        <v>50</v>
      </c>
      <c r="O34" s="6">
        <v>1</v>
      </c>
      <c r="P34" s="12">
        <v>2.6487058032501388E-2</v>
      </c>
      <c r="Q34" s="12">
        <v>0.22948707352964048</v>
      </c>
      <c r="R34" s="14">
        <v>23</v>
      </c>
    </row>
    <row r="35" spans="2:18" x14ac:dyDescent="0.2">
      <c r="B35" s="1" t="s">
        <v>509</v>
      </c>
      <c r="C35" t="s">
        <v>548</v>
      </c>
      <c r="D35" t="s">
        <v>96</v>
      </c>
      <c r="E35">
        <v>5.67</v>
      </c>
      <c r="F35" s="9" t="s">
        <v>50</v>
      </c>
      <c r="G35" s="7">
        <v>518845497344</v>
      </c>
      <c r="H35" s="6">
        <v>8.61</v>
      </c>
      <c r="I35" s="6">
        <v>5.62</v>
      </c>
      <c r="J35" s="12">
        <f>E35/I35-1</f>
        <v>8.8967971530249379E-3</v>
      </c>
      <c r="K35" s="11">
        <v>7.7777777777777779E-2</v>
      </c>
      <c r="L35" s="13">
        <v>44563000000</v>
      </c>
      <c r="M35" s="13">
        <v>463922000000</v>
      </c>
      <c r="N35" s="9" t="s">
        <v>50</v>
      </c>
      <c r="O35" s="6">
        <v>1</v>
      </c>
      <c r="P35" s="12">
        <v>8.9595210593809538E-2</v>
      </c>
      <c r="Q35" s="12">
        <v>9.605709580489824E-2</v>
      </c>
      <c r="R35" s="14">
        <v>24</v>
      </c>
    </row>
    <row r="36" spans="2:18" x14ac:dyDescent="0.2">
      <c r="B36" s="1" t="s">
        <v>482</v>
      </c>
      <c r="C36" t="s">
        <v>516</v>
      </c>
      <c r="D36" t="s">
        <v>300</v>
      </c>
      <c r="E36">
        <v>8.02</v>
      </c>
      <c r="F36" s="9" t="s">
        <v>50</v>
      </c>
      <c r="G36" s="7">
        <v>130140168192</v>
      </c>
      <c r="H36" s="6">
        <v>10.6</v>
      </c>
      <c r="I36" s="6">
        <v>7.98</v>
      </c>
      <c r="J36" s="12">
        <f>E36/I36-1</f>
        <v>5.0125313283206907E-3</v>
      </c>
      <c r="K36" s="11">
        <v>3.4912718204488782E-2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9.7060832912505599E-2</v>
      </c>
      <c r="Q36" s="12">
        <v>6.4021546472295382E-2</v>
      </c>
      <c r="R36" s="14">
        <v>25</v>
      </c>
    </row>
    <row r="37" spans="2:18" x14ac:dyDescent="0.2">
      <c r="B37" s="1" t="s">
        <v>559</v>
      </c>
      <c r="C37" t="s">
        <v>570</v>
      </c>
      <c r="D37" t="s">
        <v>423</v>
      </c>
      <c r="E37">
        <v>37.159999999999997</v>
      </c>
      <c r="F37" s="9" t="s">
        <v>50</v>
      </c>
      <c r="G37" s="7">
        <v>177756160000</v>
      </c>
      <c r="H37" s="6">
        <v>55.85</v>
      </c>
      <c r="I37" s="6">
        <v>28.67</v>
      </c>
      <c r="J37" s="12">
        <f>E37/I37-1</f>
        <v>0.29612835716777108</v>
      </c>
      <c r="K37" s="11">
        <v>1.6603875134553286E-2</v>
      </c>
      <c r="L37" s="13">
        <v>12676627000</v>
      </c>
      <c r="M37" s="13">
        <v>124899348000</v>
      </c>
      <c r="N37" s="9" t="s">
        <v>50</v>
      </c>
      <c r="O37" s="6">
        <v>1</v>
      </c>
      <c r="P37" s="12">
        <v>6.5843249499707476E-2</v>
      </c>
      <c r="Q37" s="12">
        <v>0.10149474118952166</v>
      </c>
      <c r="R37" s="14">
        <v>26</v>
      </c>
    </row>
    <row r="38" spans="2:18" x14ac:dyDescent="0.2">
      <c r="B38" s="1" t="s">
        <v>491</v>
      </c>
      <c r="C38" t="s">
        <v>526</v>
      </c>
      <c r="D38" t="s">
        <v>527</v>
      </c>
      <c r="E38">
        <v>26</v>
      </c>
      <c r="F38" s="9" t="s">
        <v>50</v>
      </c>
      <c r="G38" s="7">
        <v>636173680640</v>
      </c>
      <c r="H38" s="6">
        <v>31.19</v>
      </c>
      <c r="I38" s="6">
        <v>25.38</v>
      </c>
      <c r="J38" s="12">
        <f>E38/I38-1</f>
        <v>2.4428684003152235E-2</v>
      </c>
      <c r="K38" s="11">
        <v>0</v>
      </c>
      <c r="L38" s="13">
        <v>50189673691.849998</v>
      </c>
      <c r="M38" s="13">
        <v>460310037215.31</v>
      </c>
      <c r="N38" s="9" t="s">
        <v>50</v>
      </c>
      <c r="O38" s="6">
        <v>1</v>
      </c>
      <c r="P38" s="12">
        <v>5.4137298143700704E-2</v>
      </c>
      <c r="Q38" s="12">
        <v>0.10903449769524313</v>
      </c>
      <c r="R38" s="14">
        <v>26</v>
      </c>
    </row>
    <row r="39" spans="2:18" x14ac:dyDescent="0.2">
      <c r="B39" s="1" t="s">
        <v>481</v>
      </c>
      <c r="C39" t="s">
        <v>515</v>
      </c>
      <c r="D39" t="s">
        <v>300</v>
      </c>
      <c r="E39">
        <v>7.17</v>
      </c>
      <c r="F39" s="9" t="s">
        <v>50</v>
      </c>
      <c r="G39" s="7">
        <v>97365311488</v>
      </c>
      <c r="H39" s="6">
        <v>8.93</v>
      </c>
      <c r="I39" s="6">
        <v>7.12</v>
      </c>
      <c r="J39" s="12">
        <f>E39/I39-1</f>
        <v>7.0224719101124045E-3</v>
      </c>
      <c r="K39" s="11">
        <v>4.1841004184100417E-2</v>
      </c>
      <c r="L39" s="13">
        <v>42109966000</v>
      </c>
      <c r="M39" s="13">
        <v>746176876000</v>
      </c>
      <c r="N39" s="9" t="s">
        <v>50</v>
      </c>
      <c r="O39" s="6">
        <v>1</v>
      </c>
      <c r="P39" s="12">
        <v>0.10263410597204133</v>
      </c>
      <c r="Q39" s="12">
        <v>5.643429507724386E-2</v>
      </c>
      <c r="R39" s="14">
        <v>27</v>
      </c>
    </row>
    <row r="40" spans="2:18" x14ac:dyDescent="0.2">
      <c r="B40" s="1" t="s">
        <v>486</v>
      </c>
      <c r="C40" t="s">
        <v>520</v>
      </c>
      <c r="D40" t="s">
        <v>233</v>
      </c>
      <c r="E40">
        <v>6.37</v>
      </c>
      <c r="F40" s="9" t="s">
        <v>50</v>
      </c>
      <c r="G40" s="7">
        <v>770608398336</v>
      </c>
      <c r="H40" s="6">
        <v>6.68</v>
      </c>
      <c r="I40" s="6">
        <v>5.25</v>
      </c>
      <c r="J40" s="12">
        <f>E40/I40-1</f>
        <v>0.21333333333333337</v>
      </c>
      <c r="K40" s="11">
        <v>3.579277864992151E-2</v>
      </c>
      <c r="L40" s="13">
        <v>86964000000</v>
      </c>
      <c r="M40" s="13">
        <v>1118775000000</v>
      </c>
      <c r="N40" s="9" t="s">
        <v>50</v>
      </c>
      <c r="O40" s="6">
        <v>1</v>
      </c>
      <c r="P40" s="12">
        <v>7.5292959016824021E-2</v>
      </c>
      <c r="Q40" s="12">
        <v>7.7731447341958845E-2</v>
      </c>
      <c r="R40" s="14">
        <v>28</v>
      </c>
    </row>
    <row r="41" spans="2:18" x14ac:dyDescent="0.2">
      <c r="B41" s="1" t="s">
        <v>552</v>
      </c>
      <c r="C41" t="s">
        <v>561</v>
      </c>
      <c r="D41" t="s">
        <v>524</v>
      </c>
      <c r="E41">
        <v>3.83</v>
      </c>
      <c r="F41" s="9" t="s">
        <v>50</v>
      </c>
      <c r="G41" s="7">
        <v>193409662976</v>
      </c>
      <c r="H41" s="6">
        <v>4.2</v>
      </c>
      <c r="I41" s="6">
        <v>3.33</v>
      </c>
      <c r="J41" s="12">
        <f>E41/I41-1</f>
        <v>0.1501501501501501</v>
      </c>
      <c r="K41" s="11">
        <v>2.4804177545691905E-2</v>
      </c>
      <c r="L41" s="13">
        <v>26751928946.529999</v>
      </c>
      <c r="M41" s="13">
        <v>324659027578.44</v>
      </c>
      <c r="N41" s="9" t="s">
        <v>50</v>
      </c>
      <c r="O41" s="6">
        <v>1</v>
      </c>
      <c r="P41" s="12">
        <v>6.9795645353366159E-2</v>
      </c>
      <c r="Q41" s="12">
        <v>8.2400077232001614E-2</v>
      </c>
      <c r="R41" s="14">
        <v>29</v>
      </c>
    </row>
    <row r="42" spans="2:18" x14ac:dyDescent="0.2">
      <c r="B42" s="1" t="s">
        <v>511</v>
      </c>
      <c r="C42" t="s">
        <v>550</v>
      </c>
      <c r="D42" t="s">
        <v>178</v>
      </c>
      <c r="E42">
        <v>91.7</v>
      </c>
      <c r="F42" s="9" t="s">
        <v>50</v>
      </c>
      <c r="G42" s="7">
        <v>134167715840</v>
      </c>
      <c r="H42" s="6">
        <v>128.12</v>
      </c>
      <c r="I42" s="6">
        <v>58.7</v>
      </c>
      <c r="J42" s="12">
        <f>E42/I42-1</f>
        <v>0.56218057921635434</v>
      </c>
      <c r="K42" s="11">
        <v>3.7077426390403493E-3</v>
      </c>
      <c r="L42" s="13">
        <v>2349708213.3800001</v>
      </c>
      <c r="M42" s="13">
        <v>20522336937.23</v>
      </c>
      <c r="N42" s="9" t="s">
        <v>50</v>
      </c>
      <c r="O42" s="6">
        <v>1</v>
      </c>
      <c r="P42" s="12">
        <v>1.8275802438056647E-2</v>
      </c>
      <c r="Q42" s="12">
        <v>0.11449515815702964</v>
      </c>
      <c r="R42" s="14">
        <v>30</v>
      </c>
    </row>
    <row r="43" spans="2:18" x14ac:dyDescent="0.2">
      <c r="B43" s="1" t="s">
        <v>483</v>
      </c>
      <c r="C43" t="s">
        <v>517</v>
      </c>
      <c r="D43" t="s">
        <v>300</v>
      </c>
      <c r="E43">
        <v>5.44</v>
      </c>
      <c r="F43" s="9" t="s">
        <v>50</v>
      </c>
      <c r="G43" s="7">
        <v>93710311424</v>
      </c>
      <c r="H43" s="6">
        <v>7.84</v>
      </c>
      <c r="I43" s="6">
        <v>4.38</v>
      </c>
      <c r="J43" s="12">
        <f>E43/I43-1</f>
        <v>0.24200913242009148</v>
      </c>
      <c r="K43" s="11">
        <v>2.3345588235294118E-2</v>
      </c>
      <c r="L43" s="13">
        <v>34317184820.950001</v>
      </c>
      <c r="M43" s="13">
        <v>588966357094.34998</v>
      </c>
      <c r="N43" s="9" t="s">
        <v>50</v>
      </c>
      <c r="O43" s="6">
        <v>1</v>
      </c>
      <c r="P43" s="12">
        <v>7.6428947284213442E-2</v>
      </c>
      <c r="Q43" s="12">
        <v>5.8266799805430196E-2</v>
      </c>
      <c r="R43" s="14">
        <v>31</v>
      </c>
    </row>
    <row r="44" spans="2:18" x14ac:dyDescent="0.2">
      <c r="B44" s="1" t="s">
        <v>353</v>
      </c>
      <c r="C44" t="s">
        <v>374</v>
      </c>
      <c r="D44" t="s">
        <v>246</v>
      </c>
      <c r="E44">
        <v>17.260000000000002</v>
      </c>
      <c r="F44" s="9" t="s">
        <v>50</v>
      </c>
      <c r="G44" s="7">
        <v>5037424640</v>
      </c>
      <c r="H44" s="6">
        <v>18.8</v>
      </c>
      <c r="I44" s="6">
        <v>11.95</v>
      </c>
      <c r="J44" s="12">
        <f>E44/I44-1</f>
        <v>0.44435146443514673</v>
      </c>
      <c r="K44" s="11">
        <v>2.3174971031286209E-2</v>
      </c>
      <c r="L44" s="13">
        <v>225008130.19999999</v>
      </c>
      <c r="M44" s="13">
        <v>2512019918.8400002</v>
      </c>
      <c r="N44" s="9" t="s">
        <v>50</v>
      </c>
      <c r="O44" s="6">
        <v>1</v>
      </c>
      <c r="P44" s="12">
        <v>5.3243627944638661E-2</v>
      </c>
      <c r="Q44" s="12">
        <v>8.957258997528339E-2</v>
      </c>
      <c r="R44" s="14">
        <v>32</v>
      </c>
    </row>
    <row r="45" spans="2:18" x14ac:dyDescent="0.2">
      <c r="B45" s="1" t="s">
        <v>489</v>
      </c>
      <c r="C45" t="s">
        <v>523</v>
      </c>
      <c r="D45" t="s">
        <v>524</v>
      </c>
      <c r="E45">
        <v>6.97</v>
      </c>
      <c r="F45" s="9" t="s">
        <v>50</v>
      </c>
      <c r="G45" s="7">
        <v>109415702528</v>
      </c>
      <c r="H45" s="6">
        <v>8.49</v>
      </c>
      <c r="I45" s="6">
        <v>6.34</v>
      </c>
      <c r="J45" s="12">
        <f>E45/I45-1</f>
        <v>9.9369085173501626E-2</v>
      </c>
      <c r="K45" s="11">
        <v>3.8737446197991396E-2</v>
      </c>
      <c r="L45" s="13">
        <v>25872572232</v>
      </c>
      <c r="M45" s="13">
        <v>387656475215</v>
      </c>
      <c r="N45" s="9" t="s">
        <v>50</v>
      </c>
      <c r="O45" s="6">
        <v>1</v>
      </c>
      <c r="P45" s="12">
        <v>6.67572948128589E-2</v>
      </c>
      <c r="Q45" s="12">
        <v>6.6740977866165369E-2</v>
      </c>
      <c r="R45" s="14">
        <v>32</v>
      </c>
    </row>
    <row r="46" spans="2:18" x14ac:dyDescent="0.2">
      <c r="B46" s="1" t="s">
        <v>9</v>
      </c>
      <c r="C46" t="s">
        <v>52</v>
      </c>
      <c r="D46" t="s">
        <v>53</v>
      </c>
      <c r="E46">
        <v>70.86</v>
      </c>
      <c r="F46" s="9" t="s">
        <v>50</v>
      </c>
      <c r="G46" s="7">
        <v>41022361600</v>
      </c>
      <c r="H46" s="6">
        <v>111.69</v>
      </c>
      <c r="I46" s="6">
        <v>42.3</v>
      </c>
      <c r="J46" s="12">
        <f>E46/I46-1</f>
        <v>0.67517730496453909</v>
      </c>
      <c r="K46" s="11">
        <v>6.3505503810330228E-3</v>
      </c>
      <c r="L46" s="13">
        <v>939613185.05999994</v>
      </c>
      <c r="M46" s="13">
        <v>9067794807.8099995</v>
      </c>
      <c r="N46" s="9" t="s">
        <v>50</v>
      </c>
      <c r="O46" s="6">
        <v>1</v>
      </c>
      <c r="P46" s="12">
        <v>2.4783934340840301E-2</v>
      </c>
      <c r="Q46" s="12">
        <v>0.10362091390188061</v>
      </c>
      <c r="R46" s="14">
        <v>32</v>
      </c>
    </row>
    <row r="47" spans="2:18" x14ac:dyDescent="0.2">
      <c r="B47" s="1" t="s">
        <v>480</v>
      </c>
      <c r="C47" t="s">
        <v>514</v>
      </c>
      <c r="D47" t="s">
        <v>300</v>
      </c>
      <c r="E47">
        <v>5.5</v>
      </c>
      <c r="F47" s="9" t="s">
        <v>50</v>
      </c>
      <c r="G47" s="7">
        <v>135774216192</v>
      </c>
      <c r="H47" s="6">
        <v>6.31</v>
      </c>
      <c r="I47" s="6">
        <v>5.16</v>
      </c>
      <c r="J47" s="12">
        <f>E47/I47-1</f>
        <v>6.5891472868216949E-2</v>
      </c>
      <c r="K47" s="11">
        <v>4.7272727272727272E-2</v>
      </c>
      <c r="L47" s="13">
        <v>33501619000</v>
      </c>
      <c r="M47" s="13">
        <v>818795014000</v>
      </c>
      <c r="N47" s="9" t="s">
        <v>50</v>
      </c>
      <c r="O47" s="6">
        <v>1</v>
      </c>
      <c r="P47" s="12">
        <v>8.3415783320609477E-2</v>
      </c>
      <c r="Q47" s="12">
        <v>4.0915758434259347E-2</v>
      </c>
      <c r="R47" s="14">
        <v>33</v>
      </c>
    </row>
    <row r="48" spans="2:18" x14ac:dyDescent="0.2">
      <c r="B48" s="1" t="s">
        <v>484</v>
      </c>
      <c r="C48" t="s">
        <v>518</v>
      </c>
      <c r="D48" t="s">
        <v>300</v>
      </c>
      <c r="E48">
        <v>2.39</v>
      </c>
      <c r="F48" s="9" t="s">
        <v>50</v>
      </c>
      <c r="G48" s="7">
        <v>99641884672</v>
      </c>
      <c r="H48" s="6">
        <v>3.09</v>
      </c>
      <c r="I48" s="6">
        <v>2.13</v>
      </c>
      <c r="J48" s="12">
        <f>E48/I48-1</f>
        <v>0.12206572769953072</v>
      </c>
      <c r="K48" s="11">
        <v>1.0878661087866108E-2</v>
      </c>
      <c r="L48" s="13">
        <v>21889640000</v>
      </c>
      <c r="M48" s="13">
        <v>403626754000</v>
      </c>
      <c r="N48" s="9" t="s">
        <v>50</v>
      </c>
      <c r="O48" s="6">
        <v>1</v>
      </c>
      <c r="P48" s="12">
        <v>7.3254543337312378E-2</v>
      </c>
      <c r="Q48" s="12">
        <v>5.4232381236056518E-2</v>
      </c>
      <c r="R48" s="14">
        <v>34</v>
      </c>
    </row>
    <row r="49" spans="2:18" x14ac:dyDescent="0.2">
      <c r="B49" s="1" t="s">
        <v>490</v>
      </c>
      <c r="C49" t="s">
        <v>525</v>
      </c>
      <c r="D49" t="s">
        <v>524</v>
      </c>
      <c r="E49">
        <v>3.63</v>
      </c>
      <c r="F49" s="9" t="s">
        <v>50</v>
      </c>
      <c r="G49" s="7">
        <v>67179364352</v>
      </c>
      <c r="H49" s="6">
        <v>4.1399999999999997</v>
      </c>
      <c r="I49" s="6">
        <v>2.69</v>
      </c>
      <c r="J49" s="12">
        <f>E49/I49-1</f>
        <v>0.34944237918215615</v>
      </c>
      <c r="K49" s="11">
        <v>3.2231404958677691E-2</v>
      </c>
      <c r="L49" s="13">
        <v>13880855000</v>
      </c>
      <c r="M49" s="13">
        <v>234487155000</v>
      </c>
      <c r="N49" s="9" t="s">
        <v>50</v>
      </c>
      <c r="O49" s="6">
        <v>1</v>
      </c>
      <c r="P49" s="12">
        <v>5.7056989700865049E-2</v>
      </c>
      <c r="Q49" s="12">
        <v>5.9196654076851249E-2</v>
      </c>
      <c r="R49" s="14">
        <v>34</v>
      </c>
    </row>
    <row r="50" spans="2:18" x14ac:dyDescent="0.2">
      <c r="B50" s="1" t="s">
        <v>496</v>
      </c>
      <c r="C50" t="s">
        <v>533</v>
      </c>
      <c r="D50" t="s">
        <v>534</v>
      </c>
      <c r="E50">
        <v>2.61</v>
      </c>
      <c r="F50" s="9" t="s">
        <v>50</v>
      </c>
      <c r="G50" s="7">
        <v>34445881344</v>
      </c>
      <c r="H50" s="6">
        <v>2.87</v>
      </c>
      <c r="I50" s="6">
        <v>2.11</v>
      </c>
      <c r="J50" s="12">
        <f>E50/I50-1</f>
        <v>0.23696682464454977</v>
      </c>
      <c r="K50" s="11">
        <v>1.5708812260536401E-2</v>
      </c>
      <c r="L50" s="13">
        <v>5814662389.1800003</v>
      </c>
      <c r="M50" s="13">
        <v>102256651904.24001</v>
      </c>
      <c r="N50" s="9" t="s">
        <v>50</v>
      </c>
      <c r="O50" s="6">
        <v>1</v>
      </c>
      <c r="P50" s="12">
        <v>5.0741311858282144E-2</v>
      </c>
      <c r="Q50" s="12">
        <v>5.686341456422063E-2</v>
      </c>
      <c r="R50" s="14">
        <v>35</v>
      </c>
    </row>
    <row r="51" spans="2:18" x14ac:dyDescent="0.2">
      <c r="B51" s="1" t="s">
        <v>499</v>
      </c>
      <c r="C51" t="s">
        <v>537</v>
      </c>
      <c r="D51" t="s">
        <v>534</v>
      </c>
      <c r="E51">
        <v>36.35</v>
      </c>
      <c r="F51" s="9" t="s">
        <v>50</v>
      </c>
      <c r="G51" s="7">
        <v>273556324352</v>
      </c>
      <c r="H51" s="6">
        <v>40.98</v>
      </c>
      <c r="I51" s="6">
        <v>26.93</v>
      </c>
      <c r="J51" s="12">
        <f>E51/I51-1</f>
        <v>0.34979576680282221</v>
      </c>
      <c r="K51" s="11">
        <v>6.8775790921595595E-3</v>
      </c>
      <c r="L51" s="13">
        <v>4449656593.3100004</v>
      </c>
      <c r="M51" s="13">
        <v>63010033611.870003</v>
      </c>
      <c r="N51" s="9" t="s">
        <v>50</v>
      </c>
      <c r="O51" s="6">
        <v>1</v>
      </c>
      <c r="P51" s="12">
        <v>1.9682723262899573E-2</v>
      </c>
      <c r="Q51" s="12">
        <v>7.0618222817004847E-2</v>
      </c>
      <c r="R51" s="14">
        <v>36</v>
      </c>
    </row>
    <row r="52" spans="2:18" x14ac:dyDescent="0.2">
      <c r="B52" s="1" t="s">
        <v>502</v>
      </c>
      <c r="C52" t="s">
        <v>540</v>
      </c>
      <c r="D52" t="s">
        <v>49</v>
      </c>
      <c r="E52">
        <v>19.78</v>
      </c>
      <c r="F52" s="9" t="s">
        <v>50</v>
      </c>
      <c r="G52" s="7">
        <v>30926983168</v>
      </c>
      <c r="H52" s="6">
        <v>21.1</v>
      </c>
      <c r="I52" s="6">
        <v>14.35</v>
      </c>
      <c r="J52" s="12">
        <f>E52/I52-1</f>
        <v>0.37839721254355418</v>
      </c>
      <c r="K52" s="11">
        <v>6.1678463094034372E-3</v>
      </c>
      <c r="L52" s="13">
        <v>968110478.09000003</v>
      </c>
      <c r="M52" s="13">
        <v>17054713794</v>
      </c>
      <c r="N52" s="9" t="s">
        <v>50</v>
      </c>
      <c r="O52" s="6">
        <v>1</v>
      </c>
      <c r="P52" s="12">
        <v>3.3368238307867955E-2</v>
      </c>
      <c r="Q52" s="12">
        <v>5.6764979452812038E-2</v>
      </c>
      <c r="R52" s="14">
        <v>37</v>
      </c>
    </row>
    <row r="53" spans="2:18" x14ac:dyDescent="0.2">
      <c r="B53" s="1" t="s">
        <v>506</v>
      </c>
      <c r="C53" t="s">
        <v>544</v>
      </c>
      <c r="D53" t="s">
        <v>300</v>
      </c>
      <c r="E53">
        <v>5.52</v>
      </c>
      <c r="F53" s="9" t="s">
        <v>50</v>
      </c>
      <c r="G53" s="7">
        <v>16492855296</v>
      </c>
      <c r="H53" s="6">
        <v>7.11</v>
      </c>
      <c r="I53" s="6">
        <v>3.95</v>
      </c>
      <c r="J53" s="12">
        <f>E53/I53-1</f>
        <v>0.39746835443037964</v>
      </c>
      <c r="K53" s="11">
        <v>0</v>
      </c>
      <c r="L53" s="13">
        <v>798742000</v>
      </c>
      <c r="M53" s="13">
        <v>19715428000</v>
      </c>
      <c r="N53" s="9" t="s">
        <v>50</v>
      </c>
      <c r="O53" s="6">
        <v>1</v>
      </c>
      <c r="P53" s="12">
        <v>3.0149200730572437E-2</v>
      </c>
      <c r="Q53" s="12">
        <v>4.0513551113371724E-2</v>
      </c>
      <c r="R53" s="14">
        <v>38</v>
      </c>
    </row>
    <row r="54" spans="2:18" x14ac:dyDescent="0.2">
      <c r="B54" s="1" t="s">
        <v>505</v>
      </c>
      <c r="C54" t="s">
        <v>543</v>
      </c>
      <c r="D54" t="s">
        <v>246</v>
      </c>
      <c r="E54">
        <v>47.81</v>
      </c>
      <c r="F54" s="9" t="s">
        <v>50</v>
      </c>
      <c r="G54" s="7">
        <v>80231088128</v>
      </c>
      <c r="H54" s="6">
        <v>49.98</v>
      </c>
      <c r="I54" s="6">
        <v>12.28</v>
      </c>
      <c r="J54" s="12">
        <f>E54/I54-1</f>
        <v>2.8933224755700331</v>
      </c>
      <c r="K54" s="11">
        <v>4.7061284250156871E-3</v>
      </c>
      <c r="L54" s="13">
        <v>1617339292.8699999</v>
      </c>
      <c r="M54" s="13">
        <v>31007772337.259998</v>
      </c>
      <c r="N54" s="9" t="s">
        <v>50</v>
      </c>
      <c r="O54" s="6">
        <v>1</v>
      </c>
      <c r="P54" s="12">
        <v>1.7313136327929732E-2</v>
      </c>
      <c r="Q54" s="12">
        <v>5.2159157880766228E-2</v>
      </c>
      <c r="R54" s="14">
        <v>39</v>
      </c>
    </row>
    <row r="55" spans="2:18" x14ac:dyDescent="0.2">
      <c r="B55" s="1" t="s">
        <v>501</v>
      </c>
      <c r="C55" t="s">
        <v>539</v>
      </c>
      <c r="D55" t="s">
        <v>534</v>
      </c>
      <c r="E55">
        <v>37.97</v>
      </c>
      <c r="F55" s="9" t="s">
        <v>50</v>
      </c>
      <c r="G55" s="7">
        <v>31131344896</v>
      </c>
      <c r="H55" s="6">
        <v>41.5</v>
      </c>
      <c r="I55" s="6">
        <v>33.39</v>
      </c>
      <c r="J55" s="12">
        <f>E55/I55-1</f>
        <v>0.13716681641209938</v>
      </c>
      <c r="K55" s="11">
        <v>5.3726626283908344E-3</v>
      </c>
      <c r="L55" s="13">
        <v>605951793.63999999</v>
      </c>
      <c r="M55" s="13">
        <v>19290166367.68</v>
      </c>
      <c r="N55" s="9" t="s">
        <v>50</v>
      </c>
      <c r="O55" s="6">
        <v>1</v>
      </c>
      <c r="P55" s="12">
        <v>2.8470906056432366E-2</v>
      </c>
      <c r="Q55" s="12">
        <v>3.141247110523894E-2</v>
      </c>
      <c r="R55" s="14">
        <v>40</v>
      </c>
    </row>
    <row r="56" spans="2:18" x14ac:dyDescent="0.2">
      <c r="B56" s="1" t="s">
        <v>555</v>
      </c>
      <c r="C56" t="s">
        <v>564</v>
      </c>
      <c r="D56" t="s">
        <v>565</v>
      </c>
      <c r="E56">
        <v>28.82</v>
      </c>
      <c r="F56" s="9" t="s">
        <v>50</v>
      </c>
      <c r="G56" s="7">
        <v>20480337920</v>
      </c>
      <c r="H56" s="6">
        <v>39</v>
      </c>
      <c r="I56" s="6">
        <v>24.9</v>
      </c>
      <c r="J56" s="12">
        <f>E56/I56-1</f>
        <v>0.15742971887550206</v>
      </c>
      <c r="K56" s="11">
        <v>4.4760582928521859E-3</v>
      </c>
      <c r="L56" s="13">
        <v>299280592.93000001</v>
      </c>
      <c r="M56" s="13">
        <v>8835084844.8099995</v>
      </c>
      <c r="N56" s="9" t="s">
        <v>50</v>
      </c>
      <c r="O56" s="6">
        <v>1</v>
      </c>
      <c r="P56" s="12">
        <v>1.5920863986003096E-2</v>
      </c>
      <c r="Q56" s="12">
        <v>3.3874105137293234E-2</v>
      </c>
      <c r="R56" s="14">
        <v>41</v>
      </c>
    </row>
    <row r="57" spans="2:18" x14ac:dyDescent="0.2">
      <c r="B57" s="1" t="s">
        <v>556</v>
      </c>
      <c r="C57" t="s">
        <v>566</v>
      </c>
      <c r="D57" t="s">
        <v>534</v>
      </c>
      <c r="E57">
        <v>23.96</v>
      </c>
      <c r="F57" s="9" t="s">
        <v>50</v>
      </c>
      <c r="G57" s="7">
        <v>79051210752</v>
      </c>
      <c r="H57" s="6">
        <v>32.24</v>
      </c>
      <c r="I57" s="6">
        <v>8.02</v>
      </c>
      <c r="J57" s="12">
        <f>E57/I57-1</f>
        <v>1.9875311720698257</v>
      </c>
      <c r="K57" s="11">
        <v>2.0868113522537562E-3</v>
      </c>
      <c r="L57" s="13">
        <v>823353214.80999994</v>
      </c>
      <c r="M57" s="13">
        <v>24600134953.169998</v>
      </c>
      <c r="N57" s="9" t="s">
        <v>50</v>
      </c>
      <c r="O57" s="6">
        <v>1</v>
      </c>
      <c r="P57" s="12">
        <v>1.049765571423952E-2</v>
      </c>
      <c r="Q57" s="12">
        <v>3.3469459268307869E-2</v>
      </c>
      <c r="R57" s="14">
        <v>42</v>
      </c>
    </row>
    <row r="58" spans="2:18" x14ac:dyDescent="0.2">
      <c r="B58" s="1" t="s">
        <v>493</v>
      </c>
      <c r="C58" t="s">
        <v>529</v>
      </c>
      <c r="D58" t="s">
        <v>530</v>
      </c>
      <c r="E58">
        <v>8.5399999999999991</v>
      </c>
      <c r="F58" s="9" t="s">
        <v>50</v>
      </c>
      <c r="G58" s="7">
        <v>149009514496</v>
      </c>
      <c r="H58" s="6">
        <v>9.4499999999999993</v>
      </c>
      <c r="I58" s="6">
        <v>6.71</v>
      </c>
      <c r="J58" s="12">
        <f>E58/I58-1</f>
        <v>0.27272727272727271</v>
      </c>
      <c r="K58" s="11">
        <v>0</v>
      </c>
      <c r="L58" s="13">
        <v>4793550000</v>
      </c>
      <c r="M58" s="13">
        <v>148871512000</v>
      </c>
      <c r="N58" s="9" t="s">
        <v>50</v>
      </c>
      <c r="O58" s="6">
        <v>1</v>
      </c>
      <c r="P58" s="12">
        <v>1.331149027636393E-2</v>
      </c>
      <c r="Q58" s="12">
        <v>3.2199243062702283E-2</v>
      </c>
      <c r="R58" s="14">
        <v>42</v>
      </c>
    </row>
    <row r="59" spans="2:18" x14ac:dyDescent="0.2">
      <c r="B59" s="1" t="s">
        <v>759</v>
      </c>
      <c r="C59" t="s">
        <v>760</v>
      </c>
      <c r="D59" t="s">
        <v>401</v>
      </c>
      <c r="E59">
        <v>37.619999999999997</v>
      </c>
      <c r="F59" s="9" t="s">
        <v>50</v>
      </c>
      <c r="G59" s="7">
        <v>16511298560</v>
      </c>
      <c r="H59" s="6">
        <v>37.619999999999997</v>
      </c>
      <c r="I59" s="6">
        <v>15.18</v>
      </c>
      <c r="J59" s="12">
        <f>E59/I59-1</f>
        <v>1.4782608695652173</v>
      </c>
      <c r="K59" s="11">
        <v>2.6581605528973955E-3</v>
      </c>
      <c r="L59" s="13">
        <v>77003052.530000001</v>
      </c>
      <c r="M59" s="13">
        <v>2584081781.4400001</v>
      </c>
      <c r="N59" s="9" t="s">
        <v>50</v>
      </c>
      <c r="O59" s="6">
        <v>1</v>
      </c>
      <c r="P59" s="12">
        <v>5.2979201109151523E-3</v>
      </c>
      <c r="Q59" s="12">
        <v>2.9798999816131762E-2</v>
      </c>
      <c r="R59" s="14">
        <v>43</v>
      </c>
    </row>
    <row r="60" spans="2:18" x14ac:dyDescent="0.2">
      <c r="B60" s="1" t="s">
        <v>554</v>
      </c>
      <c r="C60" t="s">
        <v>563</v>
      </c>
      <c r="D60" t="s">
        <v>534</v>
      </c>
      <c r="E60">
        <v>86.25</v>
      </c>
      <c r="F60" s="9" t="s">
        <v>50</v>
      </c>
      <c r="G60" s="7">
        <v>101989687296</v>
      </c>
      <c r="H60" s="6">
        <v>127.77</v>
      </c>
      <c r="I60" s="6">
        <v>23.87</v>
      </c>
      <c r="J60" s="12">
        <f>E60/I60-1</f>
        <v>2.6133221617092581</v>
      </c>
      <c r="K60" s="11">
        <v>1.1594202898550725E-4</v>
      </c>
      <c r="L60" s="13">
        <v>-41030373.009999998</v>
      </c>
      <c r="M60" s="13">
        <v>6579370456.6700001</v>
      </c>
      <c r="N60" s="9" t="s">
        <v>50</v>
      </c>
      <c r="O60" s="6">
        <v>1</v>
      </c>
      <c r="P60" s="12">
        <v>-4.0692817454730221E-4</v>
      </c>
      <c r="Q60" s="12">
        <v>-6.2362156501469587E-3</v>
      </c>
      <c r="R60" s="14">
        <v>44</v>
      </c>
    </row>
    <row r="61" spans="2:18" x14ac:dyDescent="0.2">
      <c r="B61" s="1" t="s">
        <v>762</v>
      </c>
      <c r="C61" t="s">
        <v>763</v>
      </c>
      <c r="D61" t="s">
        <v>49</v>
      </c>
      <c r="E61">
        <v>2.48</v>
      </c>
      <c r="F61" s="9" t="s">
        <v>50</v>
      </c>
      <c r="G61" s="7">
        <v>3853442304</v>
      </c>
      <c r="H61" s="6">
        <v>3.21</v>
      </c>
      <c r="I61" s="6">
        <v>1.81</v>
      </c>
      <c r="J61" s="12">
        <f>E61/I61-1</f>
        <v>0.37016574585635365</v>
      </c>
      <c r="K61" s="11">
        <v>0</v>
      </c>
      <c r="L61" s="13">
        <v>-11448340.02</v>
      </c>
      <c r="M61" s="13">
        <v>2419968780.5500002</v>
      </c>
      <c r="N61" s="9" t="s">
        <v>50</v>
      </c>
      <c r="O61" s="6">
        <v>1</v>
      </c>
      <c r="P61" s="12">
        <v>-1.8804934511259389E-3</v>
      </c>
      <c r="Q61" s="12">
        <v>-4.7307800464260821E-3</v>
      </c>
      <c r="R61" s="14">
        <v>44</v>
      </c>
    </row>
    <row r="62" spans="2:18" x14ac:dyDescent="0.2">
      <c r="B62" s="1" t="s">
        <v>464</v>
      </c>
      <c r="C62" t="s">
        <v>478</v>
      </c>
      <c r="D62" t="s">
        <v>363</v>
      </c>
      <c r="E62">
        <v>12.9</v>
      </c>
      <c r="F62" s="9" t="s">
        <v>50</v>
      </c>
      <c r="G62" s="7">
        <v>90294288384</v>
      </c>
      <c r="H62" s="6">
        <v>14.68</v>
      </c>
      <c r="I62" s="6">
        <v>8.98</v>
      </c>
      <c r="J62" s="12">
        <f>E62/I62-1</f>
        <v>0.43652561247216037</v>
      </c>
      <c r="K62" s="11">
        <v>1.5503875968992248E-2</v>
      </c>
      <c r="L62" s="13">
        <v>-931377000</v>
      </c>
      <c r="M62" s="13">
        <v>31106254000</v>
      </c>
      <c r="N62" s="9" t="s">
        <v>50</v>
      </c>
      <c r="O62" s="6">
        <v>1</v>
      </c>
      <c r="P62" s="12">
        <v>-1.3695628284539584E-2</v>
      </c>
      <c r="Q62" s="12">
        <v>-2.9941792412548292E-2</v>
      </c>
      <c r="R62" s="14">
        <v>45</v>
      </c>
    </row>
    <row r="63" spans="2:18" x14ac:dyDescent="0.2">
      <c r="B63" s="1" t="s">
        <v>512</v>
      </c>
      <c r="C63" t="s">
        <v>551</v>
      </c>
      <c r="D63" t="s">
        <v>401</v>
      </c>
      <c r="E63">
        <v>45.13</v>
      </c>
      <c r="F63" s="9" t="s">
        <v>50</v>
      </c>
      <c r="G63" s="7">
        <v>42141790208</v>
      </c>
      <c r="H63" s="6">
        <v>56.74</v>
      </c>
      <c r="I63" s="6">
        <v>42.58</v>
      </c>
      <c r="J63" s="12">
        <f>E63/I63-1</f>
        <v>5.9887271019257948E-2</v>
      </c>
      <c r="K63" s="11">
        <v>0</v>
      </c>
      <c r="L63" s="13">
        <v>-243865509.30000001</v>
      </c>
      <c r="M63" s="13">
        <v>3088241018.6100001</v>
      </c>
      <c r="N63" s="9" t="s">
        <v>50</v>
      </c>
      <c r="O63" s="6">
        <v>1</v>
      </c>
      <c r="P63" s="12">
        <v>-5.9362801111653195E-3</v>
      </c>
      <c r="Q63" s="12">
        <v>-7.8965828065376359E-2</v>
      </c>
      <c r="R63" s="14">
        <v>46</v>
      </c>
    </row>
    <row r="64" spans="2:18" x14ac:dyDescent="0.2">
      <c r="B64" s="1" t="s">
        <v>558</v>
      </c>
      <c r="C64" t="s">
        <v>568</v>
      </c>
      <c r="D64" t="s">
        <v>569</v>
      </c>
      <c r="E64">
        <v>26.43</v>
      </c>
      <c r="F64" s="9" t="s">
        <v>50</v>
      </c>
      <c r="G64" s="7">
        <v>2163619840</v>
      </c>
      <c r="H64" s="6">
        <v>30.96</v>
      </c>
      <c r="I64" s="6">
        <v>16.600000000000001</v>
      </c>
      <c r="J64" s="12">
        <f>E64/I64-1</f>
        <v>0.59216867469879508</v>
      </c>
      <c r="K64" s="11">
        <v>0</v>
      </c>
      <c r="L64" s="13">
        <v>-44822598.270000003</v>
      </c>
      <c r="M64" s="13">
        <v>1000072896.86</v>
      </c>
      <c r="N64" s="9" t="s">
        <v>50</v>
      </c>
      <c r="O64" s="6">
        <v>1</v>
      </c>
      <c r="P64" s="12">
        <v>-2.0699567184615963E-2</v>
      </c>
      <c r="Q64" s="12">
        <v>-4.4819331081496862E-2</v>
      </c>
      <c r="R64" s="14">
        <v>47</v>
      </c>
    </row>
    <row r="65" spans="2:18" x14ac:dyDescent="0.2">
      <c r="B65" s="1" t="s">
        <v>560</v>
      </c>
      <c r="C65" t="s">
        <v>571</v>
      </c>
      <c r="D65" t="s">
        <v>178</v>
      </c>
      <c r="E65">
        <v>16.72</v>
      </c>
      <c r="F65" s="9" t="s">
        <v>50</v>
      </c>
      <c r="G65" s="7">
        <v>53935357952</v>
      </c>
      <c r="H65" s="6">
        <v>19.75</v>
      </c>
      <c r="I65" s="6">
        <v>13.01</v>
      </c>
      <c r="J65" s="12">
        <f>E65/I65-1</f>
        <v>0.28516525749423516</v>
      </c>
      <c r="K65" s="11">
        <v>0</v>
      </c>
      <c r="L65" s="13">
        <v>-1185481187.71</v>
      </c>
      <c r="M65" s="13">
        <v>18993088958.560001</v>
      </c>
      <c r="N65" s="9" t="s">
        <v>50</v>
      </c>
      <c r="O65" s="6">
        <v>1</v>
      </c>
      <c r="P65" s="12">
        <v>-1.9656130056384662E-2</v>
      </c>
      <c r="Q65" s="12">
        <v>-6.241645002013825E-2</v>
      </c>
      <c r="R65" s="14">
        <v>47</v>
      </c>
    </row>
    <row r="66" spans="2:18" x14ac:dyDescent="0.2">
      <c r="B66" s="1" t="s">
        <v>557</v>
      </c>
      <c r="C66" t="s">
        <v>567</v>
      </c>
      <c r="D66" t="s">
        <v>168</v>
      </c>
      <c r="E66">
        <v>4.45</v>
      </c>
      <c r="F66" s="9" t="s">
        <v>50</v>
      </c>
      <c r="G66" s="7">
        <v>15968928768</v>
      </c>
      <c r="H66" s="6">
        <v>4.84</v>
      </c>
      <c r="I66" s="6">
        <v>3.46</v>
      </c>
      <c r="J66" s="12">
        <f>E66/I66-1</f>
        <v>0.28612716763005785</v>
      </c>
      <c r="K66" s="11">
        <v>0</v>
      </c>
      <c r="L66" s="13">
        <v>-2407942158.9699998</v>
      </c>
      <c r="M66" s="13">
        <v>29426622086.59</v>
      </c>
      <c r="N66" s="9" t="s">
        <v>50</v>
      </c>
      <c r="O66" s="6">
        <v>1</v>
      </c>
      <c r="P66" s="12">
        <v>-6.740556279004703E-2</v>
      </c>
      <c r="Q66" s="12">
        <v>-8.182869756115578E-2</v>
      </c>
      <c r="R66" s="14">
        <v>48</v>
      </c>
    </row>
    <row r="67" spans="2:18" x14ac:dyDescent="0.2">
      <c r="B67" s="1" t="s">
        <v>351</v>
      </c>
      <c r="C67" t="s">
        <v>372</v>
      </c>
      <c r="D67" t="s">
        <v>225</v>
      </c>
      <c r="E67">
        <v>18.489999999999998</v>
      </c>
      <c r="F67" s="9" t="s">
        <v>50</v>
      </c>
      <c r="G67" s="7">
        <v>391301201920</v>
      </c>
      <c r="H67" s="6">
        <v>25.45</v>
      </c>
      <c r="I67" s="6">
        <v>18.350000000000001</v>
      </c>
      <c r="J67" s="12">
        <f>E67/I67-1</f>
        <v>7.6294277929154219E-3</v>
      </c>
      <c r="K67" s="11">
        <v>0</v>
      </c>
      <c r="M67" s="13">
        <v>2415915000000</v>
      </c>
      <c r="N67" s="9" t="s">
        <v>50</v>
      </c>
      <c r="O67" s="6">
        <v>1</v>
      </c>
    </row>
    <row r="68" spans="2:18" x14ac:dyDescent="0.2">
      <c r="B68" s="1" t="s">
        <v>451</v>
      </c>
      <c r="C68" t="s">
        <v>465</v>
      </c>
      <c r="D68" t="s">
        <v>227</v>
      </c>
      <c r="E68">
        <v>7.11</v>
      </c>
      <c r="F68" s="9" t="s">
        <v>50</v>
      </c>
      <c r="G68" s="7">
        <v>2534048530432</v>
      </c>
      <c r="H68" s="6">
        <v>8.4</v>
      </c>
      <c r="I68" s="6">
        <v>6.6</v>
      </c>
      <c r="J68" s="12">
        <f>E68/I68-1</f>
        <v>7.7272727272727382E-2</v>
      </c>
      <c r="K68" s="11">
        <v>4.3037974683544304E-2</v>
      </c>
      <c r="M68" s="13">
        <v>6434377000000</v>
      </c>
      <c r="N68" s="9" t="s">
        <v>50</v>
      </c>
      <c r="O68" s="6">
        <v>1</v>
      </c>
    </row>
    <row r="69" spans="2:18" x14ac:dyDescent="0.2">
      <c r="B69" s="1" t="s">
        <v>452</v>
      </c>
      <c r="C69" t="s">
        <v>466</v>
      </c>
      <c r="D69" t="s">
        <v>225</v>
      </c>
      <c r="E69">
        <v>38.71</v>
      </c>
      <c r="F69" s="9" t="s">
        <v>50</v>
      </c>
      <c r="G69" s="7">
        <v>992393625600</v>
      </c>
      <c r="H69" s="6">
        <v>48.55</v>
      </c>
      <c r="I69" s="6">
        <v>37.31</v>
      </c>
      <c r="J69" s="12">
        <f>E69/I69-1</f>
        <v>3.7523452157598447E-2</v>
      </c>
      <c r="K69" s="11">
        <v>0</v>
      </c>
      <c r="M69" s="13">
        <v>1656843000000</v>
      </c>
      <c r="N69" s="9" t="s">
        <v>50</v>
      </c>
      <c r="O69" s="6">
        <v>1</v>
      </c>
    </row>
    <row r="70" spans="2:18" x14ac:dyDescent="0.2">
      <c r="B70" s="1" t="s">
        <v>453</v>
      </c>
      <c r="C70" t="s">
        <v>467</v>
      </c>
      <c r="D70" t="s">
        <v>225</v>
      </c>
      <c r="E70">
        <v>10.91</v>
      </c>
      <c r="F70" s="9" t="s">
        <v>50</v>
      </c>
      <c r="G70" s="7">
        <v>211718569984</v>
      </c>
      <c r="H70" s="6">
        <v>13.33</v>
      </c>
      <c r="I70" s="6">
        <v>10.48</v>
      </c>
      <c r="J70" s="12">
        <f>E70/I70-1</f>
        <v>4.1030534351145009E-2</v>
      </c>
      <c r="K70" s="11">
        <v>5.4812098991750685E-2</v>
      </c>
      <c r="M70" s="13">
        <v>1225730000000</v>
      </c>
      <c r="N70" s="9" t="s">
        <v>50</v>
      </c>
      <c r="O70" s="6">
        <v>1</v>
      </c>
    </row>
    <row r="71" spans="2:18" x14ac:dyDescent="0.2">
      <c r="B71" s="1" t="s">
        <v>454</v>
      </c>
      <c r="C71" t="s">
        <v>468</v>
      </c>
      <c r="D71" t="s">
        <v>227</v>
      </c>
      <c r="E71">
        <v>6.51</v>
      </c>
      <c r="F71" s="9" t="s">
        <v>50</v>
      </c>
      <c r="G71" s="7">
        <v>2278389710848</v>
      </c>
      <c r="H71" s="6">
        <v>8.68</v>
      </c>
      <c r="I71" s="6">
        <v>4.92</v>
      </c>
      <c r="J71" s="12">
        <f>E71/I71-1</f>
        <v>0.32317073170731714</v>
      </c>
      <c r="K71" s="11">
        <v>3.7634408602150539E-2</v>
      </c>
      <c r="M71" s="13">
        <v>6053339000000</v>
      </c>
      <c r="N71" s="9" t="s">
        <v>50</v>
      </c>
      <c r="O71" s="6">
        <v>1</v>
      </c>
    </row>
    <row r="72" spans="2:18" x14ac:dyDescent="0.2">
      <c r="B72" s="1" t="s">
        <v>455</v>
      </c>
      <c r="C72" t="s">
        <v>469</v>
      </c>
      <c r="D72" t="s">
        <v>227</v>
      </c>
      <c r="E72">
        <v>5.31</v>
      </c>
      <c r="F72" s="9" t="s">
        <v>50</v>
      </c>
      <c r="G72" s="7">
        <v>1710947827712</v>
      </c>
      <c r="H72" s="6">
        <v>6.39</v>
      </c>
      <c r="I72" s="6">
        <v>5.13</v>
      </c>
      <c r="J72" s="12">
        <f>E72/I72-1</f>
        <v>3.5087719298245501E-2</v>
      </c>
      <c r="K72" s="11">
        <v>4.3502824858757068E-2</v>
      </c>
      <c r="M72" s="13">
        <v>5199928000000</v>
      </c>
      <c r="N72" s="9" t="s">
        <v>50</v>
      </c>
      <c r="O72" s="6">
        <v>1</v>
      </c>
    </row>
    <row r="73" spans="2:18" x14ac:dyDescent="0.2">
      <c r="B73" s="1" t="s">
        <v>456</v>
      </c>
      <c r="C73" t="s">
        <v>470</v>
      </c>
      <c r="D73" t="s">
        <v>227</v>
      </c>
      <c r="E73">
        <v>8.6999999999999993</v>
      </c>
      <c r="F73" s="9" t="s">
        <v>50</v>
      </c>
      <c r="G73" s="7">
        <v>2275923197952</v>
      </c>
      <c r="H73" s="6">
        <v>10.029999999999999</v>
      </c>
      <c r="I73" s="6">
        <v>8.4</v>
      </c>
      <c r="J73" s="12">
        <f>E73/I73-1</f>
        <v>3.5714285714285587E-2</v>
      </c>
      <c r="K73" s="11">
        <v>4.5057471264367821E-2</v>
      </c>
      <c r="M73" s="13">
        <v>6128626000000</v>
      </c>
      <c r="N73" s="9" t="s">
        <v>50</v>
      </c>
      <c r="O73" s="6">
        <v>1</v>
      </c>
    </row>
    <row r="74" spans="2:18" x14ac:dyDescent="0.2">
      <c r="B74" s="1" t="s">
        <v>457</v>
      </c>
      <c r="C74" t="s">
        <v>471</v>
      </c>
      <c r="D74" t="s">
        <v>227</v>
      </c>
      <c r="E74">
        <v>6.65</v>
      </c>
      <c r="F74" s="9" t="s">
        <v>50</v>
      </c>
      <c r="G74" s="7">
        <v>587619172352</v>
      </c>
      <c r="H74" s="6">
        <v>8.34</v>
      </c>
      <c r="I74" s="6">
        <v>6.48</v>
      </c>
      <c r="J74" s="12">
        <f>E74/I74-1</f>
        <v>2.6234567901234573E-2</v>
      </c>
      <c r="K74" s="11">
        <v>8.045112781954887E-2</v>
      </c>
      <c r="M74" s="13">
        <v>2314289000000</v>
      </c>
      <c r="N74" s="9" t="s">
        <v>50</v>
      </c>
      <c r="O74" s="6">
        <v>1</v>
      </c>
    </row>
    <row r="75" spans="2:18" x14ac:dyDescent="0.2">
      <c r="B75" s="1" t="s">
        <v>458</v>
      </c>
      <c r="C75" t="s">
        <v>472</v>
      </c>
      <c r="D75" t="s">
        <v>225</v>
      </c>
      <c r="E75">
        <v>5.07</v>
      </c>
      <c r="F75" s="9" t="s">
        <v>50</v>
      </c>
      <c r="G75" s="7">
        <v>608881934336</v>
      </c>
      <c r="H75" s="6">
        <v>6.44</v>
      </c>
      <c r="I75" s="6">
        <v>4.9400000000000004</v>
      </c>
      <c r="J75" s="12">
        <f>E75/I75-1</f>
        <v>2.6315789473684292E-2</v>
      </c>
      <c r="K75" s="11">
        <v>4.6745562130177512E-2</v>
      </c>
      <c r="M75" s="13">
        <v>1271649000000</v>
      </c>
      <c r="N75" s="9" t="s">
        <v>50</v>
      </c>
      <c r="O75" s="6">
        <v>1</v>
      </c>
    </row>
    <row r="76" spans="2:18" x14ac:dyDescent="0.2">
      <c r="B76" s="1" t="s">
        <v>459</v>
      </c>
      <c r="C76" t="s">
        <v>473</v>
      </c>
      <c r="D76" t="s">
        <v>225</v>
      </c>
      <c r="E76">
        <v>9.89</v>
      </c>
      <c r="F76" s="9" t="s">
        <v>50</v>
      </c>
      <c r="G76" s="7">
        <v>329394749440</v>
      </c>
      <c r="H76" s="6">
        <v>14.8</v>
      </c>
      <c r="I76" s="6">
        <v>9.4600000000000009</v>
      </c>
      <c r="J76" s="12">
        <f>E76/I76-1</f>
        <v>4.5454545454545414E-2</v>
      </c>
      <c r="K76" s="11">
        <v>0</v>
      </c>
      <c r="M76" s="13">
        <v>2505906000000</v>
      </c>
      <c r="N76" s="9" t="s">
        <v>50</v>
      </c>
      <c r="O76" s="6">
        <v>1</v>
      </c>
    </row>
    <row r="77" spans="2:18" x14ac:dyDescent="0.2">
      <c r="B77" s="1" t="s">
        <v>460</v>
      </c>
      <c r="C77" t="s">
        <v>474</v>
      </c>
      <c r="D77" t="s">
        <v>225</v>
      </c>
      <c r="E77">
        <v>3.29</v>
      </c>
      <c r="F77" s="9" t="s">
        <v>50</v>
      </c>
      <c r="G77" s="7">
        <v>194391457792</v>
      </c>
      <c r="H77" s="6">
        <v>4.5</v>
      </c>
      <c r="I77" s="6">
        <v>3.26</v>
      </c>
      <c r="J77" s="12">
        <f>E77/I77-1</f>
        <v>9.2024539877302303E-3</v>
      </c>
      <c r="K77" s="11">
        <v>5.7750759878419454E-2</v>
      </c>
      <c r="M77" s="13">
        <v>1970468000000</v>
      </c>
      <c r="N77" s="9" t="s">
        <v>50</v>
      </c>
      <c r="O77" s="6">
        <v>1</v>
      </c>
    </row>
    <row r="78" spans="2:18" x14ac:dyDescent="0.2">
      <c r="B78" s="1" t="s">
        <v>461</v>
      </c>
      <c r="C78" t="s">
        <v>475</v>
      </c>
      <c r="D78" t="s">
        <v>225</v>
      </c>
      <c r="E78">
        <v>7.34</v>
      </c>
      <c r="F78" s="9" t="s">
        <v>50</v>
      </c>
      <c r="G78" s="7">
        <v>408435523584</v>
      </c>
      <c r="H78" s="6">
        <v>9.07</v>
      </c>
      <c r="I78" s="6">
        <v>6.43</v>
      </c>
      <c r="J78" s="12">
        <f>E78/I78-1</f>
        <v>0.14152410575427687</v>
      </c>
      <c r="K78" s="11">
        <v>4.877384196185286E-2</v>
      </c>
      <c r="M78" s="13">
        <v>2066897000000</v>
      </c>
      <c r="N78" s="9" t="s">
        <v>50</v>
      </c>
      <c r="O78" s="6">
        <v>1</v>
      </c>
    </row>
    <row r="79" spans="2:18" x14ac:dyDescent="0.2">
      <c r="B79" s="1" t="s">
        <v>462</v>
      </c>
      <c r="C79" t="s">
        <v>476</v>
      </c>
      <c r="D79" t="s">
        <v>225</v>
      </c>
      <c r="E79">
        <v>3.93</v>
      </c>
      <c r="F79" s="9" t="s">
        <v>50</v>
      </c>
      <c r="G79" s="7">
        <v>172064915456</v>
      </c>
      <c r="H79" s="6">
        <v>5.68</v>
      </c>
      <c r="I79" s="6">
        <v>3.7</v>
      </c>
      <c r="J79" s="12">
        <f>E79/I79-1</f>
        <v>6.2162162162162193E-2</v>
      </c>
      <c r="K79" s="11">
        <v>5.0381679389312976E-2</v>
      </c>
      <c r="M79" s="13">
        <v>1646749000000</v>
      </c>
      <c r="N79" s="9" t="s">
        <v>50</v>
      </c>
      <c r="O79" s="6">
        <v>1</v>
      </c>
    </row>
    <row r="80" spans="2:18" x14ac:dyDescent="0.2">
      <c r="B80" s="1" t="s">
        <v>463</v>
      </c>
      <c r="C80" t="s">
        <v>477</v>
      </c>
      <c r="D80" t="s">
        <v>225</v>
      </c>
      <c r="E80">
        <v>6.73</v>
      </c>
      <c r="F80" s="9" t="s">
        <v>50</v>
      </c>
      <c r="G80" s="7">
        <v>107107467264</v>
      </c>
      <c r="H80" s="6">
        <v>8.7200000000000006</v>
      </c>
      <c r="I80" s="6">
        <v>6.31</v>
      </c>
      <c r="J80" s="12">
        <f>E80/I80-1</f>
        <v>6.6561014263074592E-2</v>
      </c>
      <c r="K80" s="11">
        <v>0</v>
      </c>
      <c r="M80" s="13">
        <v>1231745000000</v>
      </c>
      <c r="N80" s="9" t="s">
        <v>50</v>
      </c>
      <c r="O80" s="6">
        <v>1</v>
      </c>
    </row>
    <row r="81" spans="2:15" x14ac:dyDescent="0.2">
      <c r="B81" s="1" t="s">
        <v>497</v>
      </c>
      <c r="C81" t="s">
        <v>535</v>
      </c>
      <c r="D81" t="s">
        <v>298</v>
      </c>
      <c r="E81">
        <v>47.39</v>
      </c>
      <c r="F81" s="9" t="s">
        <v>50</v>
      </c>
      <c r="G81" s="7">
        <v>1339464351744</v>
      </c>
      <c r="H81" s="6">
        <v>51.92</v>
      </c>
      <c r="I81" s="6">
        <v>33.61</v>
      </c>
      <c r="J81" s="12">
        <f>E81/I81-1</f>
        <v>0.4099970246950313</v>
      </c>
      <c r="K81" s="11">
        <v>1.4517830765984384E-2</v>
      </c>
      <c r="M81" s="13">
        <v>557627000000</v>
      </c>
      <c r="N81" s="9" t="s">
        <v>50</v>
      </c>
      <c r="O81" s="6">
        <v>1</v>
      </c>
    </row>
    <row r="82" spans="2:15" x14ac:dyDescent="0.2">
      <c r="B82" s="1" t="s">
        <v>498</v>
      </c>
      <c r="C82" t="s">
        <v>536</v>
      </c>
      <c r="D82" t="s">
        <v>298</v>
      </c>
      <c r="E82">
        <v>42.89</v>
      </c>
      <c r="F82" s="9" t="s">
        <v>50</v>
      </c>
      <c r="G82" s="7">
        <v>412616458240</v>
      </c>
      <c r="H82" s="6">
        <v>48.39</v>
      </c>
      <c r="I82" s="6">
        <v>28.7</v>
      </c>
      <c r="J82" s="12">
        <f>E82/I82-1</f>
        <v>0.49442508710801403</v>
      </c>
      <c r="K82" s="11">
        <v>2.5180694800652836E-2</v>
      </c>
      <c r="M82" s="13">
        <v>301703000000</v>
      </c>
      <c r="N82" s="9" t="s">
        <v>50</v>
      </c>
      <c r="O82" s="6">
        <v>1</v>
      </c>
    </row>
  </sheetData>
  <autoFilter ref="B1:R11" xr:uid="{7A9EDF16-08C4-B24B-A5E4-CFD78B458569}">
    <sortState xmlns:xlrd2="http://schemas.microsoft.com/office/spreadsheetml/2017/richdata2" ref="B2:R82">
      <sortCondition ref="R1:R82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5" zoomScale="80" zoomScaleNormal="80" workbookViewId="0">
      <selection activeCell="B8" sqref="B8:J8"/>
    </sheetView>
  </sheetViews>
  <sheetFormatPr baseColWidth="10" defaultColWidth="11" defaultRowHeight="16" x14ac:dyDescent="0.2"/>
  <cols>
    <col min="1" max="1" width="4.5" style="1" customWidth="1"/>
    <col min="2" max="2" width="11.1640625" style="1" bestFit="1" customWidth="1"/>
    <col min="3" max="3" width="32.6640625" bestFit="1" customWidth="1"/>
    <col min="4" max="4" width="28.5" customWidth="1"/>
    <col min="6" max="6" width="7.5" style="9" customWidth="1"/>
    <col min="7" max="7" width="21.164062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640625" style="6" customWidth="1"/>
    <col min="16" max="17" width="11" style="12"/>
    <col min="18" max="18" width="11" style="14"/>
  </cols>
  <sheetData>
    <row r="1" spans="1:22" ht="34" x14ac:dyDescent="0.2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2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2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2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2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2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2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2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2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2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2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2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2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2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2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2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2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2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2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2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2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2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2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2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2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2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2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2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2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2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2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2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2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2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2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2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2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2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2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2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2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2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2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2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2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2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2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2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2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2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2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2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2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2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2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2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2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2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2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2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2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2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2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2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2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2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2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2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2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2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2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2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2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2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2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2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2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2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2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2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2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2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2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2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2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2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2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2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2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2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2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2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2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2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2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2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2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2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2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2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2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2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2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2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2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2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2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2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2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2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2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2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2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2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2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baseColWidth="10" defaultColWidth="11" defaultRowHeight="16" x14ac:dyDescent="0.2"/>
  <cols>
    <col min="1" max="1" width="2.6640625" customWidth="1"/>
    <col min="2" max="2" width="210.1640625" customWidth="1"/>
  </cols>
  <sheetData>
    <row r="2" spans="2:2" x14ac:dyDescent="0.2">
      <c r="B2" t="s">
        <v>129</v>
      </c>
    </row>
    <row r="3" spans="2:2" ht="409.6" x14ac:dyDescent="0.2">
      <c r="B3" s="15" t="s">
        <v>190</v>
      </c>
    </row>
    <row r="4" spans="2:2" x14ac:dyDescent="0.2">
      <c r="B4" t="s">
        <v>141</v>
      </c>
    </row>
    <row r="5" spans="2:2" ht="238" x14ac:dyDescent="0.2">
      <c r="B5" s="16" t="s">
        <v>447</v>
      </c>
    </row>
    <row r="7" spans="2:2" ht="255" x14ac:dyDescent="0.2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2760</cp:lastModifiedBy>
  <dcterms:created xsi:type="dcterms:W3CDTF">2025-05-25T03:08:01Z</dcterms:created>
  <dcterms:modified xsi:type="dcterms:W3CDTF">2026-02-21T10:17:46Z</dcterms:modified>
</cp:coreProperties>
</file>