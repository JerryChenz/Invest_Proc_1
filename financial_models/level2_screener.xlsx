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2A79D65-6EBB-4E3D-ABB4-873584A093D2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3" i="4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</calcChain>
</file>

<file path=xl/sharedStrings.xml><?xml version="1.0" encoding="utf-8"?>
<sst xmlns="http://schemas.openxmlformats.org/spreadsheetml/2006/main" count="839" uniqueCount="400">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</sst>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2"/>
  <sheetViews>
    <sheetView tabSelected="1" zoomScale="70" zoomScaleNormal="70" workbookViewId="0">
      <pane xSplit="3" ySplit="1" topLeftCell="K112" activePane="bottomRight" state="frozen"/>
      <selection pane="topRight" activeCell="D1" sqref="D1"/>
      <selection pane="bottomLeft" activeCell="A2" sqref="A2"/>
      <selection pane="bottomRight" activeCell="B123" sqref="B12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14.86</v>
      </c>
      <c r="F2" s="9" t="s">
        <v>68</v>
      </c>
      <c r="G2" s="7">
        <v>261962481664</v>
      </c>
      <c r="H2" s="6">
        <v>15.6</v>
      </c>
      <c r="I2" s="6">
        <v>9.52</v>
      </c>
      <c r="J2" s="12">
        <f t="shared" ref="J2:J33" si="0">E2/I2-1</f>
        <v>0.56092436974789917</v>
      </c>
      <c r="K2" s="11">
        <v>0.10430686406460297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0.51114879571340921</v>
      </c>
      <c r="Q2" s="12">
        <v>0.26042924055386191</v>
      </c>
      <c r="R2" s="14">
        <v>2</v>
      </c>
    </row>
    <row r="3" spans="2:22" x14ac:dyDescent="0.5">
      <c r="B3" s="1" t="s">
        <v>298</v>
      </c>
      <c r="C3" t="s">
        <v>356</v>
      </c>
      <c r="D3" t="s">
        <v>153</v>
      </c>
      <c r="E3">
        <v>3.26</v>
      </c>
      <c r="F3" s="9" t="s">
        <v>68</v>
      </c>
      <c r="G3" s="7">
        <v>2947656192</v>
      </c>
      <c r="H3" s="6">
        <v>3.55</v>
      </c>
      <c r="I3" s="6">
        <v>2.3199999999999998</v>
      </c>
      <c r="J3" s="12">
        <f t="shared" si="0"/>
        <v>0.40517241379310343</v>
      </c>
      <c r="K3" s="11">
        <v>5.1840490797546018E-2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0.31873642691061266</v>
      </c>
      <c r="Q3" s="12">
        <v>0.29581628786323422</v>
      </c>
      <c r="R3" s="14">
        <v>3</v>
      </c>
    </row>
    <row r="4" spans="2:22" x14ac:dyDescent="0.5">
      <c r="B4" s="1" t="s">
        <v>111</v>
      </c>
      <c r="C4" t="s">
        <v>147</v>
      </c>
      <c r="D4" t="s">
        <v>148</v>
      </c>
      <c r="E4">
        <v>3.32</v>
      </c>
      <c r="F4" s="9" t="s">
        <v>68</v>
      </c>
      <c r="G4" s="7">
        <v>9286770688</v>
      </c>
      <c r="H4" s="6">
        <v>3.37</v>
      </c>
      <c r="I4" s="6">
        <v>2.36</v>
      </c>
      <c r="J4" s="12">
        <f t="shared" si="0"/>
        <v>0.40677966101694918</v>
      </c>
      <c r="K4" s="11">
        <v>4.608433734939759E-2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0.39280200743904892</v>
      </c>
      <c r="Q4" s="12">
        <v>0.28956319566547578</v>
      </c>
      <c r="R4" s="14">
        <v>1</v>
      </c>
    </row>
    <row r="5" spans="2:22" x14ac:dyDescent="0.5">
      <c r="B5" s="1" t="s">
        <v>197</v>
      </c>
      <c r="C5" t="s">
        <v>219</v>
      </c>
      <c r="D5" t="s">
        <v>220</v>
      </c>
      <c r="E5">
        <v>7.94</v>
      </c>
      <c r="F5" s="9" t="s">
        <v>68</v>
      </c>
      <c r="G5" s="7">
        <v>30982199296</v>
      </c>
      <c r="H5" s="6">
        <v>8.35</v>
      </c>
      <c r="I5" s="6">
        <v>4.22</v>
      </c>
      <c r="J5" s="12">
        <f t="shared" si="0"/>
        <v>0.88151658767772534</v>
      </c>
      <c r="K5" s="11">
        <v>5.4156171284634753E-3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0.25738118152940009</v>
      </c>
      <c r="Q5" s="12">
        <v>0.34518550887925997</v>
      </c>
      <c r="R5" s="14">
        <v>4</v>
      </c>
    </row>
    <row r="6" spans="2:22" x14ac:dyDescent="0.5">
      <c r="B6" s="1" t="s">
        <v>198</v>
      </c>
      <c r="C6" t="s">
        <v>221</v>
      </c>
      <c r="D6" t="s">
        <v>77</v>
      </c>
      <c r="E6">
        <v>143.30000000000001</v>
      </c>
      <c r="F6" s="9" t="s">
        <v>68</v>
      </c>
      <c r="G6" s="7">
        <v>94631452672</v>
      </c>
      <c r="H6" s="6">
        <v>149.5</v>
      </c>
      <c r="I6" s="6">
        <v>91</v>
      </c>
      <c r="J6" s="12">
        <f t="shared" si="0"/>
        <v>0.5747252747252749</v>
      </c>
      <c r="K6" s="11">
        <v>1.3607815771109559E-2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0.45654427812122245</v>
      </c>
      <c r="Q6" s="12">
        <v>0.19894228627727803</v>
      </c>
      <c r="R6" s="14">
        <v>5</v>
      </c>
    </row>
    <row r="7" spans="2:22" x14ac:dyDescent="0.5">
      <c r="B7" s="1" t="s">
        <v>255</v>
      </c>
      <c r="C7" t="s">
        <v>305</v>
      </c>
      <c r="D7" t="s">
        <v>306</v>
      </c>
      <c r="E7">
        <v>6.31</v>
      </c>
      <c r="F7" s="9" t="s">
        <v>68</v>
      </c>
      <c r="G7" s="7">
        <v>397220184064</v>
      </c>
      <c r="H7" s="6">
        <v>6.42</v>
      </c>
      <c r="I7" s="6">
        <v>2.52</v>
      </c>
      <c r="J7" s="12">
        <f t="shared" si="0"/>
        <v>1.503968253968254</v>
      </c>
      <c r="K7" s="11">
        <v>2.8526148969889066E-2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0.1814201404208311</v>
      </c>
      <c r="Q7" s="12">
        <v>0.22694806719794586</v>
      </c>
      <c r="R7" s="14">
        <v>6</v>
      </c>
    </row>
    <row r="8" spans="2:22" x14ac:dyDescent="0.5">
      <c r="B8" s="1" t="s">
        <v>110</v>
      </c>
      <c r="C8" t="s">
        <v>145</v>
      </c>
      <c r="D8" t="s">
        <v>146</v>
      </c>
      <c r="E8">
        <v>2.94</v>
      </c>
      <c r="F8" s="9" t="s">
        <v>68</v>
      </c>
      <c r="G8" s="7">
        <v>14967745536</v>
      </c>
      <c r="H8" s="6">
        <v>3.12</v>
      </c>
      <c r="I8" s="6">
        <v>2.23</v>
      </c>
      <c r="J8" s="12">
        <f t="shared" si="0"/>
        <v>0.31838565022421528</v>
      </c>
      <c r="K8" s="11">
        <v>0.10204081632653061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0.34457473908992692</v>
      </c>
      <c r="Q8" s="12">
        <v>0.15337570692947131</v>
      </c>
      <c r="R8" s="14">
        <v>7</v>
      </c>
    </row>
    <row r="9" spans="2:22" x14ac:dyDescent="0.5">
      <c r="B9" s="1" t="s">
        <v>200</v>
      </c>
      <c r="C9" t="s">
        <v>224</v>
      </c>
      <c r="D9" t="s">
        <v>225</v>
      </c>
      <c r="E9">
        <v>17.04</v>
      </c>
      <c r="F9" s="9" t="s">
        <v>68</v>
      </c>
      <c r="G9" s="7">
        <v>149461073920</v>
      </c>
      <c r="H9" s="6">
        <v>18.100000000000001</v>
      </c>
      <c r="I9" s="6">
        <v>10.6</v>
      </c>
      <c r="J9" s="12">
        <f t="shared" si="0"/>
        <v>0.60754716981132062</v>
      </c>
      <c r="K9" s="11">
        <v>4.2194835680751178E-2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0.19066142209904643</v>
      </c>
      <c r="Q9" s="12">
        <v>0.20347556909712136</v>
      </c>
      <c r="R9" s="14">
        <v>8</v>
      </c>
    </row>
    <row r="10" spans="2:22" x14ac:dyDescent="0.5">
      <c r="B10" s="1" t="s">
        <v>254</v>
      </c>
      <c r="C10" t="s">
        <v>303</v>
      </c>
      <c r="D10" t="s">
        <v>304</v>
      </c>
      <c r="E10">
        <v>9.34</v>
      </c>
      <c r="F10" s="9" t="s">
        <v>68</v>
      </c>
      <c r="G10" s="7">
        <v>217569705984</v>
      </c>
      <c r="H10" s="6">
        <v>9.5399999999999991</v>
      </c>
      <c r="I10" s="6">
        <v>4.58</v>
      </c>
      <c r="J10" s="12">
        <f t="shared" si="0"/>
        <v>1.0393013100436681</v>
      </c>
      <c r="K10" s="11">
        <v>2.7301927194860815E-2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0.14335768137381114</v>
      </c>
      <c r="Q10" s="12">
        <v>0.2888078161719172</v>
      </c>
      <c r="R10" s="14">
        <v>12</v>
      </c>
    </row>
    <row r="11" spans="2:22" x14ac:dyDescent="0.5">
      <c r="B11" s="1" t="s">
        <v>199</v>
      </c>
      <c r="C11" t="s">
        <v>222</v>
      </c>
      <c r="D11" t="s">
        <v>223</v>
      </c>
      <c r="E11">
        <v>2.23</v>
      </c>
      <c r="F11" s="9" t="s">
        <v>68</v>
      </c>
      <c r="G11" s="7">
        <v>2230000128</v>
      </c>
      <c r="H11" s="6">
        <v>2.42</v>
      </c>
      <c r="I11" s="6">
        <v>1.35</v>
      </c>
      <c r="J11" s="12">
        <f t="shared" si="0"/>
        <v>0.65185185185185168</v>
      </c>
      <c r="K11" s="11">
        <v>9.417040358744394E-2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0.13140345736333311</v>
      </c>
      <c r="Q11" s="12">
        <v>0.51857007005524791</v>
      </c>
      <c r="R11" s="14">
        <v>13</v>
      </c>
    </row>
    <row r="12" spans="2:22" x14ac:dyDescent="0.5">
      <c r="B12" s="1" t="s">
        <v>253</v>
      </c>
      <c r="C12" t="s">
        <v>302</v>
      </c>
      <c r="D12" t="s">
        <v>301</v>
      </c>
      <c r="E12">
        <v>1.61</v>
      </c>
      <c r="F12" s="9" t="s">
        <v>68</v>
      </c>
      <c r="G12" s="7">
        <v>3242942464</v>
      </c>
      <c r="H12" s="6">
        <v>1.66</v>
      </c>
      <c r="I12" s="6">
        <v>1.1299999999999999</v>
      </c>
      <c r="J12" s="12">
        <f t="shared" si="0"/>
        <v>0.42477876106194712</v>
      </c>
      <c r="K12" s="11">
        <v>7.3913043478260859E-2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0.32746184668900374</v>
      </c>
      <c r="Q12" s="12">
        <v>0.15429118804462028</v>
      </c>
      <c r="R12" s="14">
        <v>8</v>
      </c>
    </row>
    <row r="13" spans="2:22" x14ac:dyDescent="0.5">
      <c r="B13" s="1" t="s">
        <v>28</v>
      </c>
      <c r="C13" t="s">
        <v>90</v>
      </c>
      <c r="D13" t="s">
        <v>87</v>
      </c>
      <c r="E13">
        <v>4.71</v>
      </c>
      <c r="F13" s="9" t="s">
        <v>68</v>
      </c>
      <c r="G13" s="7">
        <v>42697326592</v>
      </c>
      <c r="H13" s="6">
        <v>7.38</v>
      </c>
      <c r="I13" s="6">
        <v>3.39</v>
      </c>
      <c r="J13" s="12">
        <f t="shared" si="0"/>
        <v>0.38938053097345127</v>
      </c>
      <c r="K13" s="11">
        <v>6.5180467091295116E-2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0.17634184586825569</v>
      </c>
      <c r="Q13" s="12">
        <v>0.20771406306691512</v>
      </c>
      <c r="R13" s="14">
        <v>9</v>
      </c>
    </row>
    <row r="14" spans="2:22" x14ac:dyDescent="0.5">
      <c r="B14" s="1" t="s">
        <v>252</v>
      </c>
      <c r="C14" t="s">
        <v>300</v>
      </c>
      <c r="D14" t="s">
        <v>301</v>
      </c>
      <c r="E14">
        <v>1.66</v>
      </c>
      <c r="F14" s="9" t="s">
        <v>68</v>
      </c>
      <c r="G14" s="7">
        <v>1963447936</v>
      </c>
      <c r="H14" s="6">
        <v>2.77</v>
      </c>
      <c r="I14" s="6">
        <v>1.36</v>
      </c>
      <c r="J14" s="12">
        <f t="shared" si="0"/>
        <v>0.22058823529411753</v>
      </c>
      <c r="K14" s="11">
        <v>3.6746987951807232E-2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0.567382839661148</v>
      </c>
      <c r="Q14" s="12">
        <v>0.14567921288909008</v>
      </c>
      <c r="R14" s="14">
        <v>10</v>
      </c>
    </row>
    <row r="15" spans="2:22" x14ac:dyDescent="0.5">
      <c r="B15" s="1" t="s">
        <v>299</v>
      </c>
      <c r="C15" t="s">
        <v>357</v>
      </c>
      <c r="D15" t="s">
        <v>96</v>
      </c>
      <c r="E15">
        <v>6</v>
      </c>
      <c r="F15" s="9" t="s">
        <v>68</v>
      </c>
      <c r="G15" s="7">
        <v>12406079488</v>
      </c>
      <c r="H15" s="6">
        <v>6</v>
      </c>
      <c r="I15" s="6">
        <v>3.15</v>
      </c>
      <c r="J15" s="12">
        <f t="shared" si="0"/>
        <v>0.90476190476190488</v>
      </c>
      <c r="K15" s="11">
        <v>4.1666666666666664E-2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0.20679153222118959</v>
      </c>
      <c r="Q15" s="12">
        <v>0.16357040581906512</v>
      </c>
      <c r="R15" s="14">
        <v>14</v>
      </c>
    </row>
    <row r="16" spans="2:22" x14ac:dyDescent="0.5">
      <c r="B16" s="1" t="s">
        <v>256</v>
      </c>
      <c r="C16" t="s">
        <v>307</v>
      </c>
      <c r="D16" t="s">
        <v>308</v>
      </c>
      <c r="E16">
        <v>17.739999999999998</v>
      </c>
      <c r="F16" s="9" t="s">
        <v>68</v>
      </c>
      <c r="G16" s="7">
        <v>63757914112</v>
      </c>
      <c r="H16" s="6">
        <v>18.079999999999998</v>
      </c>
      <c r="I16" s="6">
        <v>7.62</v>
      </c>
      <c r="J16" s="12">
        <f t="shared" si="0"/>
        <v>1.3280839895013119</v>
      </c>
      <c r="K16" s="11">
        <v>1.9729425028184894E-2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0.25208739729739288</v>
      </c>
      <c r="Q16" s="12">
        <v>0.15251313559762292</v>
      </c>
      <c r="R16" s="14">
        <v>15</v>
      </c>
    </row>
    <row r="17" spans="2:18" x14ac:dyDescent="0.5">
      <c r="B17" s="1" t="s">
        <v>24</v>
      </c>
      <c r="C17" t="s">
        <v>82</v>
      </c>
      <c r="D17" t="s">
        <v>83</v>
      </c>
      <c r="E17">
        <v>15.22</v>
      </c>
      <c r="F17" s="9" t="s">
        <v>68</v>
      </c>
      <c r="G17" s="7">
        <v>31020034048</v>
      </c>
      <c r="H17" s="6">
        <v>17.059999999999999</v>
      </c>
      <c r="I17" s="6">
        <v>7.96</v>
      </c>
      <c r="J17" s="12">
        <f t="shared" si="0"/>
        <v>0.9120603015075377</v>
      </c>
      <c r="K17" s="11">
        <v>7.3587385019710905E-2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0.16890223095168</v>
      </c>
      <c r="Q17" s="12">
        <v>0.20973136925592797</v>
      </c>
      <c r="R17" s="14">
        <v>11</v>
      </c>
    </row>
    <row r="18" spans="2:18" x14ac:dyDescent="0.5">
      <c r="B18" s="1" t="s">
        <v>296</v>
      </c>
      <c r="C18" t="s">
        <v>354</v>
      </c>
      <c r="D18" t="s">
        <v>77</v>
      </c>
      <c r="E18">
        <v>25.85</v>
      </c>
      <c r="F18" s="9" t="s">
        <v>68</v>
      </c>
      <c r="G18" s="7">
        <v>68583669760</v>
      </c>
      <c r="H18" s="6">
        <v>26.3</v>
      </c>
      <c r="I18" s="6">
        <v>15.7</v>
      </c>
      <c r="J18" s="12">
        <f t="shared" si="0"/>
        <v>0.64649681528662439</v>
      </c>
      <c r="K18" s="11">
        <v>1.0522243713733075E-2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0.12490940536069382</v>
      </c>
      <c r="Q18" s="12">
        <v>0.41587371596437778</v>
      </c>
      <c r="R18" s="14">
        <v>17</v>
      </c>
    </row>
    <row r="19" spans="2:18" x14ac:dyDescent="0.5">
      <c r="B19" s="1" t="s">
        <v>293</v>
      </c>
      <c r="C19" t="s">
        <v>351</v>
      </c>
      <c r="D19" t="s">
        <v>87</v>
      </c>
      <c r="E19">
        <v>8.1</v>
      </c>
      <c r="F19" s="9" t="s">
        <v>68</v>
      </c>
      <c r="G19" s="7">
        <v>103924621312</v>
      </c>
      <c r="H19" s="6">
        <v>8.16</v>
      </c>
      <c r="I19" s="6">
        <v>4.84</v>
      </c>
      <c r="J19" s="12">
        <f t="shared" si="0"/>
        <v>0.67355371900826433</v>
      </c>
      <c r="K19" s="11">
        <v>7.9012345679012348E-3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0.1681906734478098</v>
      </c>
      <c r="Q19" s="12">
        <v>0.18273566673824351</v>
      </c>
      <c r="R19" s="14">
        <v>19</v>
      </c>
    </row>
    <row r="20" spans="2:18" x14ac:dyDescent="0.5">
      <c r="B20" s="1" t="s">
        <v>297</v>
      </c>
      <c r="C20" t="s">
        <v>355</v>
      </c>
      <c r="D20" t="s">
        <v>87</v>
      </c>
      <c r="E20">
        <v>0.79</v>
      </c>
      <c r="F20" s="9" t="s">
        <v>68</v>
      </c>
      <c r="G20" s="7">
        <v>1728922880</v>
      </c>
      <c r="H20" s="6">
        <v>0.82</v>
      </c>
      <c r="I20" s="6">
        <v>0.42</v>
      </c>
      <c r="J20" s="12">
        <f t="shared" si="0"/>
        <v>0.88095238095238115</v>
      </c>
      <c r="K20" s="11">
        <v>4.6835443037974676E-2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0.27668052261777509</v>
      </c>
      <c r="Q20" s="12">
        <v>0.14466826109721026</v>
      </c>
      <c r="R20" s="14">
        <v>18</v>
      </c>
    </row>
    <row r="21" spans="2:18" x14ac:dyDescent="0.5">
      <c r="B21" s="1" t="s">
        <v>32</v>
      </c>
      <c r="C21" t="s">
        <v>95</v>
      </c>
      <c r="D21" t="s">
        <v>96</v>
      </c>
      <c r="E21">
        <v>16.32</v>
      </c>
      <c r="F21" s="9" t="s">
        <v>68</v>
      </c>
      <c r="G21" s="7">
        <v>13582940160</v>
      </c>
      <c r="H21" s="6">
        <v>19.440000000000001</v>
      </c>
      <c r="I21" s="6">
        <v>12.14</v>
      </c>
      <c r="J21" s="12">
        <f t="shared" si="0"/>
        <v>0.34431630971993399</v>
      </c>
      <c r="K21" s="11">
        <v>9.0686274509803912E-3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0.14735792693234448</v>
      </c>
      <c r="Q21" s="12">
        <v>0.18009145491283626</v>
      </c>
      <c r="R21" s="14">
        <v>22</v>
      </c>
    </row>
    <row r="22" spans="2:18" x14ac:dyDescent="0.5">
      <c r="B22" s="1" t="s">
        <v>20</v>
      </c>
      <c r="C22" t="s">
        <v>73</v>
      </c>
      <c r="D22" t="s">
        <v>74</v>
      </c>
      <c r="E22">
        <v>2.99</v>
      </c>
      <c r="F22" s="9" t="s">
        <v>68</v>
      </c>
      <c r="G22" s="7">
        <v>3109031936</v>
      </c>
      <c r="H22" s="6">
        <v>3.34</v>
      </c>
      <c r="I22" s="6">
        <v>1.92</v>
      </c>
      <c r="J22" s="12">
        <f t="shared" si="0"/>
        <v>0.55729166666666674</v>
      </c>
      <c r="K22" s="11">
        <v>9.7658862876254166E-2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0.19776050120941521</v>
      </c>
      <c r="Q22" s="12">
        <v>0.15218339726363278</v>
      </c>
      <c r="R22" s="14">
        <v>20</v>
      </c>
    </row>
    <row r="23" spans="2:18" x14ac:dyDescent="0.5">
      <c r="B23" s="1" t="s">
        <v>23</v>
      </c>
      <c r="C23" t="s">
        <v>80</v>
      </c>
      <c r="D23" t="s">
        <v>81</v>
      </c>
      <c r="E23">
        <v>7.76</v>
      </c>
      <c r="F23" s="9" t="s">
        <v>68</v>
      </c>
      <c r="G23" s="7">
        <v>67193843712</v>
      </c>
      <c r="H23" s="6">
        <v>8.6199999999999992</v>
      </c>
      <c r="I23" s="6">
        <v>7.08</v>
      </c>
      <c r="J23" s="12">
        <f t="shared" si="0"/>
        <v>9.6045197740112886E-2</v>
      </c>
      <c r="K23" s="11">
        <v>4.0721649484536084E-2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0.22643695147490772</v>
      </c>
      <c r="Q23" s="12">
        <v>0.15165160081705431</v>
      </c>
      <c r="R23" s="14">
        <v>16</v>
      </c>
    </row>
    <row r="24" spans="2:18" x14ac:dyDescent="0.5">
      <c r="B24" s="1" t="s">
        <v>22</v>
      </c>
      <c r="C24" t="s">
        <v>78</v>
      </c>
      <c r="D24" t="s">
        <v>79</v>
      </c>
      <c r="E24">
        <v>9.98</v>
      </c>
      <c r="F24" s="9" t="s">
        <v>68</v>
      </c>
      <c r="G24" s="7">
        <v>160022298624</v>
      </c>
      <c r="H24" s="6">
        <v>10.76</v>
      </c>
      <c r="I24" s="6">
        <v>7.16</v>
      </c>
      <c r="J24" s="12">
        <f t="shared" si="0"/>
        <v>0.3938547486033519</v>
      </c>
      <c r="K24" s="11">
        <v>4.799599198396793E-2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0.17828049655268605</v>
      </c>
      <c r="Q24" s="12">
        <v>0.15266623500015464</v>
      </c>
      <c r="R24" s="14">
        <v>21</v>
      </c>
    </row>
    <row r="25" spans="2:18" x14ac:dyDescent="0.5">
      <c r="B25" s="1" t="s">
        <v>291</v>
      </c>
      <c r="C25" t="s">
        <v>349</v>
      </c>
      <c r="D25" t="s">
        <v>71</v>
      </c>
      <c r="E25">
        <v>4</v>
      </c>
      <c r="F25" s="9" t="s">
        <v>68</v>
      </c>
      <c r="G25" s="7">
        <v>2296719872</v>
      </c>
      <c r="H25" s="6">
        <v>4.84</v>
      </c>
      <c r="I25" s="6">
        <v>2.8</v>
      </c>
      <c r="J25" s="12">
        <f t="shared" si="0"/>
        <v>0.4285714285714286</v>
      </c>
      <c r="K25" s="11">
        <v>6.5000000000000002E-2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0.1164082386542019</v>
      </c>
      <c r="Q25" s="12">
        <v>0.12269104771613493</v>
      </c>
      <c r="R25" s="14">
        <v>53</v>
      </c>
    </row>
    <row r="26" spans="2:18" x14ac:dyDescent="0.5">
      <c r="B26" s="1" t="s">
        <v>276</v>
      </c>
      <c r="C26" t="s">
        <v>332</v>
      </c>
      <c r="D26" t="s">
        <v>96</v>
      </c>
      <c r="E26">
        <v>12.78</v>
      </c>
      <c r="F26" s="9" t="s">
        <v>68</v>
      </c>
      <c r="G26" s="7">
        <v>20506148864</v>
      </c>
      <c r="H26" s="6">
        <v>18.399999999999999</v>
      </c>
      <c r="I26" s="6">
        <v>9.6300000000000008</v>
      </c>
      <c r="J26" s="12">
        <f t="shared" si="0"/>
        <v>0.32710280373831768</v>
      </c>
      <c r="K26" s="11">
        <v>0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0.22047763200999473</v>
      </c>
      <c r="Q26" s="12">
        <v>0.12218132992627646</v>
      </c>
      <c r="R26" s="14">
        <v>25</v>
      </c>
    </row>
    <row r="27" spans="2:18" x14ac:dyDescent="0.5">
      <c r="B27" s="1" t="s">
        <v>289</v>
      </c>
      <c r="C27" t="s">
        <v>347</v>
      </c>
      <c r="D27" t="s">
        <v>75</v>
      </c>
      <c r="E27">
        <v>5.73</v>
      </c>
      <c r="F27" s="9" t="s">
        <v>68</v>
      </c>
      <c r="G27" s="7">
        <v>15334282240</v>
      </c>
      <c r="H27" s="6">
        <v>7.13</v>
      </c>
      <c r="I27" s="6">
        <v>4.1500000000000004</v>
      </c>
      <c r="J27" s="12">
        <f t="shared" si="0"/>
        <v>0.38072289156626504</v>
      </c>
      <c r="K27" s="11">
        <v>4.0139616055846421E-2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0.14102063252318034</v>
      </c>
      <c r="Q27" s="12">
        <v>0.17526328902672489</v>
      </c>
      <c r="R27" s="14">
        <v>24</v>
      </c>
    </row>
    <row r="28" spans="2:18" x14ac:dyDescent="0.5">
      <c r="B28" s="1" t="s">
        <v>286</v>
      </c>
      <c r="C28" t="s">
        <v>344</v>
      </c>
      <c r="D28" t="s">
        <v>61</v>
      </c>
      <c r="E28">
        <v>12.08</v>
      </c>
      <c r="F28" s="9" t="s">
        <v>68</v>
      </c>
      <c r="G28" s="7">
        <v>18656593920</v>
      </c>
      <c r="H28" s="6">
        <v>12.14</v>
      </c>
      <c r="I28" s="6">
        <v>8.67</v>
      </c>
      <c r="J28" s="12">
        <f t="shared" si="0"/>
        <v>0.39331026528258373</v>
      </c>
      <c r="K28" s="11">
        <v>4.9668874172185427E-2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0.20209734391412587</v>
      </c>
      <c r="Q28" s="12">
        <v>0.11773304155211949</v>
      </c>
      <c r="R28" s="14">
        <v>28</v>
      </c>
    </row>
    <row r="29" spans="2:18" x14ac:dyDescent="0.5">
      <c r="B29" s="1" t="s">
        <v>295</v>
      </c>
      <c r="C29" t="s">
        <v>353</v>
      </c>
      <c r="D29" t="s">
        <v>54</v>
      </c>
      <c r="E29">
        <v>4.6100000000000003</v>
      </c>
      <c r="F29" s="9" t="s">
        <v>68</v>
      </c>
      <c r="G29" s="7">
        <v>17877948416</v>
      </c>
      <c r="H29" s="6">
        <v>6.97</v>
      </c>
      <c r="I29" s="6">
        <v>3.33</v>
      </c>
      <c r="J29" s="12">
        <f t="shared" si="0"/>
        <v>0.38438438438438438</v>
      </c>
      <c r="K29" s="11">
        <v>5.8568329718004339E-2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0.14937751631177007</v>
      </c>
      <c r="Q29" s="12">
        <v>0.16681818624944278</v>
      </c>
      <c r="R29" s="14">
        <v>23</v>
      </c>
    </row>
    <row r="30" spans="2:18" x14ac:dyDescent="0.5">
      <c r="B30" s="1" t="s">
        <v>294</v>
      </c>
      <c r="C30" t="s">
        <v>352</v>
      </c>
      <c r="D30" t="s">
        <v>241</v>
      </c>
      <c r="E30">
        <v>9.08</v>
      </c>
      <c r="F30" s="9" t="s">
        <v>68</v>
      </c>
      <c r="G30" s="7">
        <v>8966808576</v>
      </c>
      <c r="H30" s="6">
        <v>9.65</v>
      </c>
      <c r="I30" s="6">
        <v>5</v>
      </c>
      <c r="J30" s="12">
        <f t="shared" si="0"/>
        <v>0.81600000000000006</v>
      </c>
      <c r="K30" s="11">
        <v>3.8986784140969163E-2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0.16207969517781859</v>
      </c>
      <c r="Q30" s="12">
        <v>0.16622802330680692</v>
      </c>
      <c r="R30" s="14">
        <v>23</v>
      </c>
    </row>
    <row r="31" spans="2:18" x14ac:dyDescent="0.5">
      <c r="B31" s="1" t="s">
        <v>201</v>
      </c>
      <c r="C31" t="s">
        <v>226</v>
      </c>
      <c r="D31" t="s">
        <v>227</v>
      </c>
      <c r="E31">
        <v>0.7</v>
      </c>
      <c r="F31" s="9" t="s">
        <v>68</v>
      </c>
      <c r="G31" s="7">
        <v>1667547008</v>
      </c>
      <c r="H31" s="6">
        <v>0.84</v>
      </c>
      <c r="I31" s="6">
        <v>0.55000000000000004</v>
      </c>
      <c r="J31" s="12">
        <f t="shared" si="0"/>
        <v>0.27272727272727249</v>
      </c>
      <c r="K31" s="11">
        <v>1.4285714285714287E-2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1.131346144820242</v>
      </c>
      <c r="Q31" s="12">
        <v>9.2370860611101543E-2</v>
      </c>
      <c r="R31" s="14">
        <v>27</v>
      </c>
    </row>
    <row r="32" spans="2:18" x14ac:dyDescent="0.5">
      <c r="B32" s="1" t="s">
        <v>27</v>
      </c>
      <c r="C32" t="s">
        <v>88</v>
      </c>
      <c r="D32" t="s">
        <v>89</v>
      </c>
      <c r="E32">
        <v>6.44</v>
      </c>
      <c r="F32" s="9" t="s">
        <v>68</v>
      </c>
      <c r="G32" s="7">
        <v>6825369600</v>
      </c>
      <c r="H32" s="6">
        <v>6.88</v>
      </c>
      <c r="I32" s="6">
        <v>3.97</v>
      </c>
      <c r="J32" s="12">
        <f t="shared" si="0"/>
        <v>0.62216624685138533</v>
      </c>
      <c r="K32" s="11">
        <v>7.6086956521739121E-2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0.22634263880430644</v>
      </c>
      <c r="Q32" s="12">
        <v>0.11511220438953086</v>
      </c>
      <c r="R32" s="14">
        <v>26</v>
      </c>
    </row>
    <row r="33" spans="2:18" x14ac:dyDescent="0.5">
      <c r="B33" s="1" t="s">
        <v>25</v>
      </c>
      <c r="C33" t="s">
        <v>84</v>
      </c>
      <c r="D33" t="s">
        <v>50</v>
      </c>
      <c r="E33">
        <v>8.89</v>
      </c>
      <c r="F33" s="9" t="s">
        <v>68</v>
      </c>
      <c r="G33" s="7">
        <v>11071784960</v>
      </c>
      <c r="H33" s="6">
        <v>9.06</v>
      </c>
      <c r="I33" s="6">
        <v>3.46</v>
      </c>
      <c r="J33" s="12">
        <f t="shared" si="0"/>
        <v>1.5693641618497112</v>
      </c>
      <c r="K33" s="11">
        <v>1.5860517435320583E-2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0.11430492992253397</v>
      </c>
      <c r="Q33" s="12">
        <v>0.17514380877385538</v>
      </c>
      <c r="R33" s="14">
        <v>42</v>
      </c>
    </row>
    <row r="34" spans="2:18" x14ac:dyDescent="0.5">
      <c r="B34" s="1" t="s">
        <v>34</v>
      </c>
      <c r="C34" t="s">
        <v>99</v>
      </c>
      <c r="D34" t="s">
        <v>71</v>
      </c>
      <c r="E34">
        <v>4.41</v>
      </c>
      <c r="F34" s="9" t="s">
        <v>68</v>
      </c>
      <c r="G34" s="7">
        <v>50995916800</v>
      </c>
      <c r="H34" s="6">
        <v>5.14</v>
      </c>
      <c r="I34" s="6">
        <v>3.46</v>
      </c>
      <c r="J34" s="12">
        <f t="shared" ref="J34:J65" si="1">E34/I34-1</f>
        <v>0.27456647398843925</v>
      </c>
      <c r="K34" s="11">
        <v>5.9183673469387757E-2</v>
      </c>
      <c r="L34" s="13">
        <v>4734613000</v>
      </c>
      <c r="M34" s="13">
        <v>16213395000</v>
      </c>
      <c r="N34" s="9" t="s">
        <v>51</v>
      </c>
      <c r="O34" s="6">
        <v>1.0683760683760684</v>
      </c>
      <c r="P34" s="12">
        <v>0.10586382341687654</v>
      </c>
      <c r="Q34" s="12">
        <v>0.29201860560357656</v>
      </c>
      <c r="R34" s="14">
        <v>27</v>
      </c>
    </row>
    <row r="35" spans="2:18" x14ac:dyDescent="0.5">
      <c r="B35" s="1" t="s">
        <v>292</v>
      </c>
      <c r="C35" t="s">
        <v>350</v>
      </c>
      <c r="D35" t="s">
        <v>50</v>
      </c>
      <c r="E35">
        <v>7.68</v>
      </c>
      <c r="F35" s="9" t="s">
        <v>68</v>
      </c>
      <c r="G35" s="7">
        <v>17174630400</v>
      </c>
      <c r="H35" s="6">
        <v>8.6999999999999993</v>
      </c>
      <c r="I35" s="6">
        <v>2.16</v>
      </c>
      <c r="J35" s="12">
        <f t="shared" si="1"/>
        <v>2.5555555555555554</v>
      </c>
      <c r="K35" s="11">
        <v>3.0078125000000004E-2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0.27127400538541924</v>
      </c>
      <c r="Q35" s="12">
        <v>9.29654274042198E-2</v>
      </c>
      <c r="R35" s="14">
        <v>36</v>
      </c>
    </row>
    <row r="36" spans="2:18" x14ac:dyDescent="0.5">
      <c r="B36" s="1" t="s">
        <v>143</v>
      </c>
      <c r="C36" t="s">
        <v>192</v>
      </c>
      <c r="D36" t="s">
        <v>181</v>
      </c>
      <c r="E36">
        <v>10.52</v>
      </c>
      <c r="F36" s="9" t="s">
        <v>68</v>
      </c>
      <c r="G36" s="7">
        <v>130497454080</v>
      </c>
      <c r="H36" s="6">
        <v>13.6</v>
      </c>
      <c r="I36" s="6">
        <v>6.57</v>
      </c>
      <c r="J36" s="12">
        <f t="shared" si="1"/>
        <v>0.60121765601217647</v>
      </c>
      <c r="K36" s="11">
        <v>4.7528517110266167E-3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0.12526723728485289</v>
      </c>
      <c r="Q36" s="12">
        <v>0.19681397761416858</v>
      </c>
      <c r="R36" s="14">
        <v>27</v>
      </c>
    </row>
    <row r="37" spans="2:18" x14ac:dyDescent="0.5">
      <c r="B37" s="1" t="s">
        <v>290</v>
      </c>
      <c r="C37" t="s">
        <v>348</v>
      </c>
      <c r="D37" t="s">
        <v>98</v>
      </c>
      <c r="E37">
        <v>4.68</v>
      </c>
      <c r="F37" s="9" t="s">
        <v>68</v>
      </c>
      <c r="G37" s="7">
        <v>5152445952</v>
      </c>
      <c r="H37" s="6">
        <v>4.71</v>
      </c>
      <c r="I37" s="6">
        <v>3.69</v>
      </c>
      <c r="J37" s="12">
        <f t="shared" si="1"/>
        <v>0.26829268292682928</v>
      </c>
      <c r="K37" s="11">
        <v>6.8376068376068383E-2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0.16859956108485941</v>
      </c>
      <c r="Q37" s="12">
        <v>0.14577225152582682</v>
      </c>
      <c r="R37" s="14">
        <v>29</v>
      </c>
    </row>
    <row r="38" spans="2:18" x14ac:dyDescent="0.5">
      <c r="B38" s="1" t="s">
        <v>124</v>
      </c>
      <c r="C38" t="s">
        <v>165</v>
      </c>
      <c r="D38" t="s">
        <v>77</v>
      </c>
      <c r="E38">
        <v>5.89</v>
      </c>
      <c r="F38" s="9" t="s">
        <v>68</v>
      </c>
      <c r="G38" s="7">
        <v>8634563584</v>
      </c>
      <c r="H38" s="6">
        <v>6.07</v>
      </c>
      <c r="I38" s="6">
        <v>3.45</v>
      </c>
      <c r="J38" s="12">
        <f t="shared" si="1"/>
        <v>0.70724637681159397</v>
      </c>
      <c r="K38" s="11">
        <v>8.1494057724957561E-2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0.26924859938032114</v>
      </c>
      <c r="Q38" s="12">
        <v>9.9663185641922489E-2</v>
      </c>
      <c r="R38" s="14">
        <v>32</v>
      </c>
    </row>
    <row r="39" spans="2:18" x14ac:dyDescent="0.5">
      <c r="B39" s="1" t="s">
        <v>19</v>
      </c>
      <c r="C39" t="s">
        <v>70</v>
      </c>
      <c r="D39" t="s">
        <v>71</v>
      </c>
      <c r="E39">
        <v>5.78</v>
      </c>
      <c r="F39" s="9" t="s">
        <v>68</v>
      </c>
      <c r="G39" s="7">
        <v>16489299968</v>
      </c>
      <c r="H39" s="6">
        <v>6.21</v>
      </c>
      <c r="I39" s="6">
        <v>3.22</v>
      </c>
      <c r="J39" s="12">
        <f t="shared" si="1"/>
        <v>0.79503105590062106</v>
      </c>
      <c r="K39" s="11">
        <v>7.2664359861591699E-3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0.1371056038853809</v>
      </c>
      <c r="Q39" s="12">
        <v>0.15459217096529801</v>
      </c>
      <c r="R39" s="14">
        <v>31</v>
      </c>
    </row>
    <row r="40" spans="2:18" x14ac:dyDescent="0.5">
      <c r="B40" s="1" t="s">
        <v>288</v>
      </c>
      <c r="C40" t="s">
        <v>346</v>
      </c>
      <c r="D40" t="s">
        <v>98</v>
      </c>
      <c r="E40">
        <v>4.6500000000000004</v>
      </c>
      <c r="F40" s="9" t="s">
        <v>68</v>
      </c>
      <c r="G40" s="7">
        <v>32205993984</v>
      </c>
      <c r="H40" s="6">
        <v>6.15</v>
      </c>
      <c r="I40" s="6">
        <v>3.71</v>
      </c>
      <c r="J40" s="12">
        <f t="shared" si="1"/>
        <v>0.25336927223719696</v>
      </c>
      <c r="K40" s="11">
        <v>4.7096774193548387E-2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0.33633176837248197</v>
      </c>
      <c r="Q40" s="12">
        <v>9.1377422623841298E-2</v>
      </c>
      <c r="R40" s="14">
        <v>34</v>
      </c>
    </row>
    <row r="41" spans="2:18" x14ac:dyDescent="0.5">
      <c r="B41" s="1" t="s">
        <v>278</v>
      </c>
      <c r="C41" t="s">
        <v>334</v>
      </c>
      <c r="D41" t="s">
        <v>306</v>
      </c>
      <c r="E41">
        <v>4.04</v>
      </c>
      <c r="F41" s="9" t="s">
        <v>68</v>
      </c>
      <c r="G41" s="7">
        <v>46466060288</v>
      </c>
      <c r="H41" s="6">
        <v>4.1500000000000004</v>
      </c>
      <c r="I41" s="6">
        <v>2.35</v>
      </c>
      <c r="J41" s="12">
        <f t="shared" si="1"/>
        <v>0.7191489361702128</v>
      </c>
      <c r="K41" s="11">
        <v>4.702970297029703E-2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0.16548528725941203</v>
      </c>
      <c r="Q41" s="12">
        <v>0.11538320116682396</v>
      </c>
      <c r="R41" s="14">
        <v>38</v>
      </c>
    </row>
    <row r="42" spans="2:18" x14ac:dyDescent="0.5">
      <c r="B42" s="1" t="s">
        <v>282</v>
      </c>
      <c r="C42" t="s">
        <v>340</v>
      </c>
      <c r="D42" t="s">
        <v>151</v>
      </c>
      <c r="E42">
        <v>30.15</v>
      </c>
      <c r="F42" s="9" t="s">
        <v>68</v>
      </c>
      <c r="G42" s="7">
        <v>214997827584</v>
      </c>
      <c r="H42" s="6">
        <v>32.299999999999997</v>
      </c>
      <c r="I42" s="6">
        <v>18.559999999999999</v>
      </c>
      <c r="J42" s="12">
        <f t="shared" si="1"/>
        <v>0.62446120689655182</v>
      </c>
      <c r="K42" s="11">
        <v>4.3747927031509121E-2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0.18195752024365092</v>
      </c>
      <c r="Q42" s="12">
        <v>0.11493949471384535</v>
      </c>
      <c r="R42" s="14">
        <v>33</v>
      </c>
    </row>
    <row r="43" spans="2:18" x14ac:dyDescent="0.5">
      <c r="B43" s="1" t="s">
        <v>139</v>
      </c>
      <c r="C43" t="s">
        <v>186</v>
      </c>
      <c r="D43" t="s">
        <v>87</v>
      </c>
      <c r="E43">
        <v>11.6</v>
      </c>
      <c r="F43" s="9" t="s">
        <v>68</v>
      </c>
      <c r="G43" s="7">
        <v>65359507456</v>
      </c>
      <c r="H43" s="6">
        <v>14.24</v>
      </c>
      <c r="I43" s="6">
        <v>8.81</v>
      </c>
      <c r="J43" s="12">
        <f t="shared" si="1"/>
        <v>0.31668558456299656</v>
      </c>
      <c r="K43" s="11">
        <v>2.853448275862069E-2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9.6507396973764092E-2</v>
      </c>
      <c r="Q43" s="12">
        <v>0.23588267049650188</v>
      </c>
      <c r="R43" s="14">
        <v>35</v>
      </c>
    </row>
    <row r="44" spans="2:18" x14ac:dyDescent="0.5">
      <c r="B44" s="1" t="s">
        <v>29</v>
      </c>
      <c r="C44" t="s">
        <v>91</v>
      </c>
      <c r="D44" t="s">
        <v>87</v>
      </c>
      <c r="E44">
        <v>5.72</v>
      </c>
      <c r="F44" s="9" t="s">
        <v>68</v>
      </c>
      <c r="G44" s="7">
        <v>67513729024</v>
      </c>
      <c r="H44" s="6">
        <v>5.84</v>
      </c>
      <c r="I44" s="6">
        <v>4.34</v>
      </c>
      <c r="J44" s="12">
        <f t="shared" si="1"/>
        <v>0.31797235023041481</v>
      </c>
      <c r="K44" s="11">
        <v>2.5874125874125874E-2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9.9868567582826182E-2</v>
      </c>
      <c r="Q44" s="12">
        <v>0.27010748742934609</v>
      </c>
      <c r="R44" s="14">
        <v>32</v>
      </c>
    </row>
    <row r="45" spans="2:18" x14ac:dyDescent="0.5">
      <c r="B45" s="1" t="s">
        <v>118</v>
      </c>
      <c r="C45" t="s">
        <v>158</v>
      </c>
      <c r="D45" t="s">
        <v>85</v>
      </c>
      <c r="E45">
        <v>92.15</v>
      </c>
      <c r="F45" s="9" t="s">
        <v>68</v>
      </c>
      <c r="G45" s="7">
        <v>256915128320</v>
      </c>
      <c r="H45" s="6">
        <v>107.5</v>
      </c>
      <c r="I45" s="6">
        <v>65.55</v>
      </c>
      <c r="J45" s="12">
        <f t="shared" si="1"/>
        <v>0.40579710144927561</v>
      </c>
      <c r="K45" s="11">
        <v>2.406945198046663E-2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8.7518568985433115E-2</v>
      </c>
      <c r="Q45" s="12">
        <v>0.27269973953601068</v>
      </c>
      <c r="R45" s="14">
        <v>35</v>
      </c>
    </row>
    <row r="46" spans="2:18" x14ac:dyDescent="0.5">
      <c r="B46" s="1" t="s">
        <v>284</v>
      </c>
      <c r="C46" t="s">
        <v>342</v>
      </c>
      <c r="D46" t="s">
        <v>56</v>
      </c>
      <c r="E46">
        <v>10.34</v>
      </c>
      <c r="F46" s="9" t="s">
        <v>68</v>
      </c>
      <c r="G46" s="7">
        <v>26065485824</v>
      </c>
      <c r="H46" s="6">
        <v>11.22</v>
      </c>
      <c r="I46" s="6">
        <v>4.3499999999999996</v>
      </c>
      <c r="J46" s="12">
        <f t="shared" si="1"/>
        <v>1.3770114942528737</v>
      </c>
      <c r="K46" s="11">
        <v>3.0754352030947778E-2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0.14830410031943025</v>
      </c>
      <c r="Q46" s="12">
        <v>0.15134190781174311</v>
      </c>
      <c r="R46" s="14">
        <v>30</v>
      </c>
    </row>
    <row r="47" spans="2:18" x14ac:dyDescent="0.5">
      <c r="B47" s="1" t="s">
        <v>283</v>
      </c>
      <c r="C47" t="s">
        <v>341</v>
      </c>
      <c r="D47" t="s">
        <v>54</v>
      </c>
      <c r="E47">
        <v>25.65</v>
      </c>
      <c r="F47" s="9" t="s">
        <v>68</v>
      </c>
      <c r="G47" s="7">
        <v>248283283456</v>
      </c>
      <c r="H47" s="6">
        <v>36.450000000000003</v>
      </c>
      <c r="I47" s="6">
        <v>19.239999999999998</v>
      </c>
      <c r="J47" s="12">
        <f t="shared" si="1"/>
        <v>0.33316008316008316</v>
      </c>
      <c r="K47" s="11">
        <v>3.7621832358674466E-2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0.11506270438326018</v>
      </c>
      <c r="Q47" s="12">
        <v>0.18884873513587705</v>
      </c>
      <c r="R47" s="14">
        <v>35</v>
      </c>
    </row>
    <row r="48" spans="2:18" x14ac:dyDescent="0.5">
      <c r="B48" s="1" t="s">
        <v>280</v>
      </c>
      <c r="C48" t="s">
        <v>336</v>
      </c>
      <c r="D48" t="s">
        <v>337</v>
      </c>
      <c r="E48">
        <v>6.5</v>
      </c>
      <c r="F48" s="9" t="s">
        <v>68</v>
      </c>
      <c r="G48" s="7">
        <v>8334560256</v>
      </c>
      <c r="H48" s="6">
        <v>6.52</v>
      </c>
      <c r="I48" s="6">
        <v>3.36</v>
      </c>
      <c r="J48" s="12">
        <f t="shared" si="1"/>
        <v>0.93452380952380953</v>
      </c>
      <c r="K48" s="11">
        <v>0.04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0.14369549973892795</v>
      </c>
      <c r="Q48" s="12">
        <v>0.1318118502166547</v>
      </c>
      <c r="R48" s="14">
        <v>36</v>
      </c>
    </row>
    <row r="49" spans="2:18" x14ac:dyDescent="0.5">
      <c r="B49" s="1" t="s">
        <v>275</v>
      </c>
      <c r="C49" t="s">
        <v>331</v>
      </c>
      <c r="D49" t="s">
        <v>87</v>
      </c>
      <c r="E49">
        <v>10.98</v>
      </c>
      <c r="F49" s="9" t="s">
        <v>68</v>
      </c>
      <c r="G49" s="7">
        <v>2577247488</v>
      </c>
      <c r="H49" s="6">
        <v>17</v>
      </c>
      <c r="I49" s="6">
        <v>7.37</v>
      </c>
      <c r="J49" s="12">
        <f t="shared" si="1"/>
        <v>0.4898236092265944</v>
      </c>
      <c r="K49" s="11">
        <v>3.8251366120218573E-2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0.27986348506788705</v>
      </c>
      <c r="Q49" s="12">
        <v>8.4294835486117978E-2</v>
      </c>
      <c r="R49" s="14">
        <v>41</v>
      </c>
    </row>
    <row r="50" spans="2:18" x14ac:dyDescent="0.5">
      <c r="B50" s="1" t="s">
        <v>142</v>
      </c>
      <c r="C50" t="s">
        <v>190</v>
      </c>
      <c r="D50" t="s">
        <v>109</v>
      </c>
      <c r="E50">
        <v>47.5</v>
      </c>
      <c r="F50" s="9" t="s">
        <v>68</v>
      </c>
      <c r="G50" s="7">
        <v>121543958528</v>
      </c>
      <c r="H50" s="6">
        <v>71.7</v>
      </c>
      <c r="I50" s="6">
        <v>43.55</v>
      </c>
      <c r="J50" s="12">
        <f t="shared" si="1"/>
        <v>9.070034443168784E-2</v>
      </c>
      <c r="K50" s="11">
        <v>3.4526315789473686E-3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8.1682951143369348E-2</v>
      </c>
      <c r="Q50" s="12">
        <v>0.26583067696212276</v>
      </c>
      <c r="R50" s="14">
        <v>39</v>
      </c>
    </row>
    <row r="51" spans="2:18" x14ac:dyDescent="0.5">
      <c r="B51" s="1" t="s">
        <v>273</v>
      </c>
      <c r="C51" t="s">
        <v>328</v>
      </c>
      <c r="D51" t="s">
        <v>174</v>
      </c>
      <c r="E51">
        <v>80.150000000000006</v>
      </c>
      <c r="F51" s="9" t="s">
        <v>68</v>
      </c>
      <c r="G51" s="7">
        <v>19622723584</v>
      </c>
      <c r="H51" s="6">
        <v>95.5</v>
      </c>
      <c r="I51" s="6">
        <v>55.05</v>
      </c>
      <c r="J51" s="12">
        <f t="shared" si="1"/>
        <v>0.4559491371480473</v>
      </c>
      <c r="K51" s="11">
        <v>1.023081721771678E-2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0.20502135226085508</v>
      </c>
      <c r="Q51" s="12">
        <v>9.8446219337080781E-2</v>
      </c>
      <c r="R51" s="14">
        <v>39</v>
      </c>
    </row>
    <row r="52" spans="2:18" x14ac:dyDescent="0.5">
      <c r="B52" s="1" t="s">
        <v>285</v>
      </c>
      <c r="C52" t="s">
        <v>343</v>
      </c>
      <c r="D52" t="s">
        <v>50</v>
      </c>
      <c r="E52">
        <v>21.95</v>
      </c>
      <c r="F52" s="9" t="s">
        <v>68</v>
      </c>
      <c r="G52" s="7">
        <v>35032203264</v>
      </c>
      <c r="H52" s="6">
        <v>27.5</v>
      </c>
      <c r="I52" s="6">
        <v>16.18</v>
      </c>
      <c r="J52" s="12">
        <f t="shared" si="1"/>
        <v>0.35661310259579726</v>
      </c>
      <c r="K52" s="11">
        <v>3.1252847380410023E-2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0.11860882435411028</v>
      </c>
      <c r="Q52" s="12">
        <v>0.1667375806872122</v>
      </c>
      <c r="R52" s="14">
        <v>39</v>
      </c>
    </row>
    <row r="53" spans="2:18" x14ac:dyDescent="0.5">
      <c r="B53" s="1" t="s">
        <v>274</v>
      </c>
      <c r="C53" t="s">
        <v>329</v>
      </c>
      <c r="D53" t="s">
        <v>330</v>
      </c>
      <c r="E53">
        <v>6.88</v>
      </c>
      <c r="F53" s="9" t="s">
        <v>68</v>
      </c>
      <c r="G53" s="7">
        <v>13954567168</v>
      </c>
      <c r="H53" s="6">
        <v>7.86</v>
      </c>
      <c r="I53" s="6">
        <v>5.31</v>
      </c>
      <c r="J53" s="12">
        <f t="shared" si="1"/>
        <v>0.29566854990583802</v>
      </c>
      <c r="K53" s="11">
        <v>3.9244186046511628E-2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0.17167277041633916</v>
      </c>
      <c r="Q53" s="12">
        <v>0.10614925092863724</v>
      </c>
      <c r="R53" s="14">
        <v>43</v>
      </c>
    </row>
    <row r="54" spans="2:18" x14ac:dyDescent="0.5">
      <c r="B54" s="1" t="s">
        <v>277</v>
      </c>
      <c r="C54" t="s">
        <v>333</v>
      </c>
      <c r="D54" t="s">
        <v>96</v>
      </c>
      <c r="E54">
        <v>0.54</v>
      </c>
      <c r="F54" s="9" t="s">
        <v>68</v>
      </c>
      <c r="G54" s="7">
        <v>2799203584</v>
      </c>
      <c r="H54" s="6">
        <v>0.68</v>
      </c>
      <c r="I54" s="6">
        <v>0.46</v>
      </c>
      <c r="J54" s="12">
        <f t="shared" si="1"/>
        <v>0.17391304347826098</v>
      </c>
      <c r="K54" s="11">
        <v>0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0.27911909766491833</v>
      </c>
      <c r="Q54" s="12">
        <v>8.5775443346640556E-2</v>
      </c>
      <c r="R54" s="14">
        <v>41</v>
      </c>
    </row>
    <row r="55" spans="2:18" x14ac:dyDescent="0.5">
      <c r="B55" s="1" t="s">
        <v>281</v>
      </c>
      <c r="C55" t="s">
        <v>338</v>
      </c>
      <c r="D55" t="s">
        <v>339</v>
      </c>
      <c r="E55">
        <v>3.68</v>
      </c>
      <c r="F55" s="9" t="s">
        <v>68</v>
      </c>
      <c r="G55" s="7">
        <v>8357500928</v>
      </c>
      <c r="H55" s="6">
        <v>4.9400000000000004</v>
      </c>
      <c r="I55" s="6">
        <v>3.34</v>
      </c>
      <c r="J55" s="12">
        <f t="shared" si="1"/>
        <v>0.10179640718562877</v>
      </c>
      <c r="K55" s="11">
        <v>4.0760869565217385E-2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0.13950150425015423</v>
      </c>
      <c r="Q55" s="12">
        <v>0.14788755315990715</v>
      </c>
      <c r="R55" s="14">
        <v>36</v>
      </c>
    </row>
    <row r="56" spans="2:18" x14ac:dyDescent="0.5">
      <c r="B56" s="1" t="s">
        <v>287</v>
      </c>
      <c r="C56" t="s">
        <v>345</v>
      </c>
      <c r="D56" t="s">
        <v>181</v>
      </c>
      <c r="E56">
        <v>7.69</v>
      </c>
      <c r="F56" s="9" t="s">
        <v>68</v>
      </c>
      <c r="G56" s="7">
        <v>2982828032</v>
      </c>
      <c r="H56" s="6">
        <v>14.18</v>
      </c>
      <c r="I56" s="6">
        <v>3.64</v>
      </c>
      <c r="J56" s="12">
        <f t="shared" si="1"/>
        <v>1.1126373626373627</v>
      </c>
      <c r="K56" s="11">
        <v>4.5513654096228866E-2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0.22049321746674719</v>
      </c>
      <c r="Q56" s="12">
        <v>9.4606035666412708E-2</v>
      </c>
      <c r="R56" s="14">
        <v>40</v>
      </c>
    </row>
    <row r="57" spans="2:18" x14ac:dyDescent="0.5">
      <c r="B57" s="1" t="s">
        <v>272</v>
      </c>
      <c r="C57" t="s">
        <v>327</v>
      </c>
      <c r="D57" t="s">
        <v>310</v>
      </c>
      <c r="E57">
        <v>6.27</v>
      </c>
      <c r="F57" s="9" t="s">
        <v>68</v>
      </c>
      <c r="G57" s="7">
        <v>27551383552</v>
      </c>
      <c r="H57" s="6">
        <v>6.87</v>
      </c>
      <c r="I57" s="6">
        <v>4.8</v>
      </c>
      <c r="J57" s="12">
        <f t="shared" si="1"/>
        <v>0.30624999999999991</v>
      </c>
      <c r="K57" s="11">
        <v>5.7097288676236049E-2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0.19569856318421008</v>
      </c>
      <c r="Q57" s="12">
        <v>9.2221214358852555E-2</v>
      </c>
      <c r="R57" s="14">
        <v>44</v>
      </c>
    </row>
    <row r="58" spans="2:18" x14ac:dyDescent="0.5">
      <c r="B58" s="1" t="s">
        <v>269</v>
      </c>
      <c r="C58" t="s">
        <v>323</v>
      </c>
      <c r="D58" t="s">
        <v>324</v>
      </c>
      <c r="E58">
        <v>8.8000000000000007</v>
      </c>
      <c r="F58" s="9" t="s">
        <v>68</v>
      </c>
      <c r="G58" s="7">
        <v>22058520576</v>
      </c>
      <c r="H58" s="6">
        <v>8.84</v>
      </c>
      <c r="I58" s="6">
        <v>3.99</v>
      </c>
      <c r="J58" s="12">
        <f t="shared" si="1"/>
        <v>1.2055137844611528</v>
      </c>
      <c r="K58" s="11">
        <v>3.6477272727272726E-2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0.137523836994524</v>
      </c>
      <c r="Q58" s="12">
        <v>0.102358453189061</v>
      </c>
      <c r="R58" s="14">
        <v>54</v>
      </c>
    </row>
    <row r="59" spans="2:18" x14ac:dyDescent="0.5">
      <c r="B59" s="1" t="s">
        <v>113</v>
      </c>
      <c r="C59" t="s">
        <v>150</v>
      </c>
      <c r="D59" t="s">
        <v>151</v>
      </c>
      <c r="E59">
        <v>4.5</v>
      </c>
      <c r="F59" s="9" t="s">
        <v>68</v>
      </c>
      <c r="G59" s="7">
        <v>6459345408</v>
      </c>
      <c r="H59" s="6">
        <v>7.92</v>
      </c>
      <c r="I59" s="6">
        <v>2.36</v>
      </c>
      <c r="J59" s="12">
        <f t="shared" si="1"/>
        <v>0.90677966101694918</v>
      </c>
      <c r="K59" s="11">
        <v>5.6444444444444443E-2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0.13888579300836648</v>
      </c>
      <c r="Q59" s="12">
        <v>0.14675695119790894</v>
      </c>
      <c r="R59" s="14">
        <v>37</v>
      </c>
    </row>
    <row r="60" spans="2:18" x14ac:dyDescent="0.5">
      <c r="B60" s="1" t="s">
        <v>271</v>
      </c>
      <c r="C60" t="s">
        <v>326</v>
      </c>
      <c r="D60" t="s">
        <v>308</v>
      </c>
      <c r="E60">
        <v>4.91</v>
      </c>
      <c r="F60" s="9" t="s">
        <v>68</v>
      </c>
      <c r="G60" s="7">
        <v>4537537024</v>
      </c>
      <c r="H60" s="6">
        <v>5.59</v>
      </c>
      <c r="I60" s="6">
        <v>3.4</v>
      </c>
      <c r="J60" s="12">
        <f t="shared" si="1"/>
        <v>0.44411764705882351</v>
      </c>
      <c r="K60" s="11">
        <v>2.9531568228105903E-2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0.37388697269016175</v>
      </c>
      <c r="Q60" s="12">
        <v>6.460670188445812E-2</v>
      </c>
      <c r="R60" s="14">
        <v>42</v>
      </c>
    </row>
    <row r="61" spans="2:18" x14ac:dyDescent="0.5">
      <c r="B61" s="1" t="s">
        <v>35</v>
      </c>
      <c r="C61" t="s">
        <v>100</v>
      </c>
      <c r="D61" t="s">
        <v>101</v>
      </c>
      <c r="E61">
        <v>440.8</v>
      </c>
      <c r="F61" s="9" t="s">
        <v>68</v>
      </c>
      <c r="G61" s="7">
        <v>557100630016</v>
      </c>
      <c r="H61" s="6">
        <v>452</v>
      </c>
      <c r="I61" s="6">
        <v>218.4</v>
      </c>
      <c r="J61" s="12">
        <f t="shared" si="1"/>
        <v>1.0183150183150182</v>
      </c>
      <c r="K61" s="11">
        <v>2.1007259528130671E-2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4.8921109591368091E-2</v>
      </c>
      <c r="Q61" s="12">
        <v>0.38520389214885242</v>
      </c>
      <c r="R61" s="14">
        <v>45</v>
      </c>
    </row>
    <row r="62" spans="2:18" x14ac:dyDescent="0.5">
      <c r="B62" s="1" t="s">
        <v>133</v>
      </c>
      <c r="C62" t="s">
        <v>176</v>
      </c>
      <c r="D62" t="s">
        <v>177</v>
      </c>
      <c r="E62">
        <v>22.4</v>
      </c>
      <c r="F62" s="9" t="s">
        <v>68</v>
      </c>
      <c r="G62" s="7">
        <v>579425271808</v>
      </c>
      <c r="H62" s="6">
        <v>23</v>
      </c>
      <c r="I62" s="6">
        <v>13.52</v>
      </c>
      <c r="J62" s="12">
        <f t="shared" si="1"/>
        <v>0.65680473372781067</v>
      </c>
      <c r="K62" s="11">
        <v>1.6964285714285716E-2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7.9515862078542776E-2</v>
      </c>
      <c r="Q62" s="12">
        <v>0.19428864891763736</v>
      </c>
      <c r="R62" s="14">
        <v>45</v>
      </c>
    </row>
    <row r="63" spans="2:18" x14ac:dyDescent="0.5">
      <c r="B63" s="1" t="s">
        <v>279</v>
      </c>
      <c r="C63" t="s">
        <v>335</v>
      </c>
      <c r="D63" t="s">
        <v>83</v>
      </c>
      <c r="E63">
        <v>2.7</v>
      </c>
      <c r="F63" s="9" t="s">
        <v>68</v>
      </c>
      <c r="G63" s="7">
        <v>11556270080</v>
      </c>
      <c r="H63" s="6">
        <v>3.55</v>
      </c>
      <c r="I63" s="6">
        <v>1.34</v>
      </c>
      <c r="J63" s="12">
        <f t="shared" si="1"/>
        <v>1.0149253731343282</v>
      </c>
      <c r="K63" s="11">
        <v>4.5185185185185182E-2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0.12816097930323397</v>
      </c>
      <c r="Q63" s="12">
        <v>0.11502419323187564</v>
      </c>
      <c r="R63" s="14">
        <v>50</v>
      </c>
    </row>
    <row r="64" spans="2:18" x14ac:dyDescent="0.5">
      <c r="B64" s="1" t="s">
        <v>119</v>
      </c>
      <c r="C64" t="s">
        <v>159</v>
      </c>
      <c r="D64" t="s">
        <v>85</v>
      </c>
      <c r="E64">
        <v>261.8</v>
      </c>
      <c r="F64" s="9" t="s">
        <v>68</v>
      </c>
      <c r="G64" s="7">
        <v>347712258048</v>
      </c>
      <c r="H64" s="6">
        <v>283.39999999999998</v>
      </c>
      <c r="I64" s="6">
        <v>36.5</v>
      </c>
      <c r="J64" s="12">
        <f t="shared" si="1"/>
        <v>6.1726027397260275</v>
      </c>
      <c r="K64" s="11">
        <v>3.1130634071810537E-3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1.3762860836943074E-2</v>
      </c>
      <c r="Q64" s="12">
        <v>0.41263985929711272</v>
      </c>
      <c r="R64" s="14">
        <v>47</v>
      </c>
    </row>
    <row r="65" spans="2:18" x14ac:dyDescent="0.5">
      <c r="B65" s="1" t="s">
        <v>138</v>
      </c>
      <c r="C65" t="s">
        <v>184</v>
      </c>
      <c r="D65" t="s">
        <v>185</v>
      </c>
      <c r="E65">
        <v>368.4</v>
      </c>
      <c r="F65" s="9" t="s">
        <v>68</v>
      </c>
      <c r="G65" s="7">
        <v>137159008256</v>
      </c>
      <c r="H65" s="6">
        <v>421.4</v>
      </c>
      <c r="I65" s="6">
        <v>225.6</v>
      </c>
      <c r="J65" s="12">
        <f t="shared" si="1"/>
        <v>0.63297872340425521</v>
      </c>
      <c r="K65" s="11">
        <v>1.9543973941368079E-3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6.1485895596350086E-2</v>
      </c>
      <c r="Q65" s="12">
        <v>0.20495303159692571</v>
      </c>
      <c r="R65" s="14">
        <v>47</v>
      </c>
    </row>
    <row r="66" spans="2:18" x14ac:dyDescent="0.5">
      <c r="B66" s="1" t="s">
        <v>267</v>
      </c>
      <c r="C66" t="s">
        <v>320</v>
      </c>
      <c r="D66" t="s">
        <v>321</v>
      </c>
      <c r="E66">
        <v>8.75</v>
      </c>
      <c r="F66" s="9" t="s">
        <v>68</v>
      </c>
      <c r="G66" s="7">
        <v>15815012352</v>
      </c>
      <c r="H66" s="6">
        <v>9.0399999999999991</v>
      </c>
      <c r="I66" s="6">
        <v>5.49</v>
      </c>
      <c r="J66" s="12">
        <f t="shared" ref="J66:J97" si="2">E66/I66-1</f>
        <v>0.59380692167577398</v>
      </c>
      <c r="K66" s="11">
        <v>2.8571428571428571E-2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0.13977370380000756</v>
      </c>
      <c r="Q66" s="12">
        <v>0.11156568921912897</v>
      </c>
      <c r="R66" s="14">
        <v>46</v>
      </c>
    </row>
    <row r="67" spans="2:18" x14ac:dyDescent="0.5">
      <c r="B67" s="1" t="s">
        <v>373</v>
      </c>
      <c r="C67" t="s">
        <v>375</v>
      </c>
      <c r="D67" t="s">
        <v>174</v>
      </c>
      <c r="E67">
        <v>12.08</v>
      </c>
      <c r="F67" s="9" t="s">
        <v>68</v>
      </c>
      <c r="G67" s="7">
        <v>3180808960</v>
      </c>
      <c r="H67" s="6">
        <v>15.58</v>
      </c>
      <c r="I67" s="6">
        <v>7.51</v>
      </c>
      <c r="J67" s="12">
        <f t="shared" si="2"/>
        <v>0.60852197070572567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0.4797436452434547</v>
      </c>
      <c r="Q67" s="12">
        <v>-0.11631254679805218</v>
      </c>
      <c r="R67" s="14">
        <v>50</v>
      </c>
    </row>
    <row r="68" spans="2:18" x14ac:dyDescent="0.5">
      <c r="B68" s="1" t="s">
        <v>137</v>
      </c>
      <c r="C68" t="s">
        <v>182</v>
      </c>
      <c r="D68" t="s">
        <v>183</v>
      </c>
      <c r="E68">
        <v>34.4</v>
      </c>
      <c r="F68" s="9" t="s">
        <v>68</v>
      </c>
      <c r="G68" s="7">
        <v>23793793024</v>
      </c>
      <c r="H68" s="6">
        <v>39.200000000000003</v>
      </c>
      <c r="I68" s="6">
        <v>13.48</v>
      </c>
      <c r="J68" s="12">
        <f t="shared" si="2"/>
        <v>1.5519287833827891</v>
      </c>
      <c r="K68" s="11">
        <v>1.3372093023255816E-2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5.0390556310605197E-2</v>
      </c>
      <c r="Q68" s="12">
        <v>0.222258562943417</v>
      </c>
      <c r="R68" s="14">
        <v>52</v>
      </c>
    </row>
    <row r="69" spans="2:18" x14ac:dyDescent="0.5">
      <c r="B69" s="1" t="s">
        <v>270</v>
      </c>
      <c r="C69" t="s">
        <v>325</v>
      </c>
      <c r="D69" t="s">
        <v>50</v>
      </c>
      <c r="E69">
        <v>3.14</v>
      </c>
      <c r="F69" s="9" t="s">
        <v>68</v>
      </c>
      <c r="G69" s="7">
        <v>5926090752</v>
      </c>
      <c r="H69" s="6">
        <v>4.18</v>
      </c>
      <c r="I69" s="6">
        <v>1.74</v>
      </c>
      <c r="J69" s="12">
        <f t="shared" si="2"/>
        <v>0.80459770114942541</v>
      </c>
      <c r="K69" s="11">
        <v>5.0955414012738849E-2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0.11922101977083757</v>
      </c>
      <c r="Q69" s="12">
        <v>0.12982345485897689</v>
      </c>
      <c r="R69" s="14">
        <v>48</v>
      </c>
    </row>
    <row r="70" spans="2:18" x14ac:dyDescent="0.5">
      <c r="B70" s="1" t="s">
        <v>125</v>
      </c>
      <c r="C70" t="s">
        <v>166</v>
      </c>
      <c r="D70" t="s">
        <v>167</v>
      </c>
      <c r="E70">
        <v>24.05</v>
      </c>
      <c r="F70" s="9" t="s">
        <v>68</v>
      </c>
      <c r="G70" s="7">
        <v>27359760384</v>
      </c>
      <c r="H70" s="6">
        <v>28.75</v>
      </c>
      <c r="I70" s="6">
        <v>19.52</v>
      </c>
      <c r="J70" s="12">
        <f t="shared" si="2"/>
        <v>0.23206967213114771</v>
      </c>
      <c r="K70" s="11">
        <v>5.8212058212058208E-2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0.14090869317113167</v>
      </c>
      <c r="Q70" s="12">
        <v>0.10133893359397213</v>
      </c>
      <c r="R70" s="14">
        <v>51</v>
      </c>
    </row>
    <row r="71" spans="2:18" x14ac:dyDescent="0.5">
      <c r="B71" s="1" t="s">
        <v>37</v>
      </c>
      <c r="C71" t="s">
        <v>103</v>
      </c>
      <c r="D71" t="s">
        <v>104</v>
      </c>
      <c r="E71">
        <v>6.17</v>
      </c>
      <c r="F71" s="9" t="s">
        <v>68</v>
      </c>
      <c r="G71" s="7">
        <v>4807676416</v>
      </c>
      <c r="H71" s="6">
        <v>8.09</v>
      </c>
      <c r="I71" s="6">
        <v>4.0199999999999996</v>
      </c>
      <c r="J71" s="12">
        <f t="shared" si="2"/>
        <v>0.53482587064676634</v>
      </c>
      <c r="K71" s="11">
        <v>2.755267423014587E-2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0.17371465230684313</v>
      </c>
      <c r="Q71" s="12">
        <v>8.9074849645861431E-2</v>
      </c>
      <c r="R71" s="14">
        <v>49</v>
      </c>
    </row>
    <row r="72" spans="2:18" x14ac:dyDescent="0.5">
      <c r="B72" s="1" t="s">
        <v>115</v>
      </c>
      <c r="C72" t="s">
        <v>154</v>
      </c>
      <c r="D72" t="s">
        <v>155</v>
      </c>
      <c r="E72">
        <v>56.9</v>
      </c>
      <c r="F72" s="9" t="s">
        <v>68</v>
      </c>
      <c r="G72" s="7">
        <v>156110274560</v>
      </c>
      <c r="H72" s="6">
        <v>61.15</v>
      </c>
      <c r="I72" s="6">
        <v>38.4</v>
      </c>
      <c r="J72" s="12">
        <f t="shared" si="2"/>
        <v>0.48177083333333326</v>
      </c>
      <c r="K72" s="11">
        <v>3.163444639718805E-2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6.2922265538328678E-2</v>
      </c>
      <c r="Q72" s="12">
        <v>0.18855793075067021</v>
      </c>
      <c r="R72" s="14">
        <v>51</v>
      </c>
    </row>
    <row r="73" spans="2:18" x14ac:dyDescent="0.5">
      <c r="B73" s="1" t="s">
        <v>130</v>
      </c>
      <c r="C73" t="s">
        <v>173</v>
      </c>
      <c r="D73" t="s">
        <v>174</v>
      </c>
      <c r="E73">
        <v>555</v>
      </c>
      <c r="F73" s="9" t="s">
        <v>68</v>
      </c>
      <c r="G73" s="7">
        <v>5034404741120</v>
      </c>
      <c r="H73" s="6">
        <v>560</v>
      </c>
      <c r="I73" s="6">
        <v>349</v>
      </c>
      <c r="J73" s="12">
        <f t="shared" si="2"/>
        <v>0.59025787965616039</v>
      </c>
      <c r="K73" s="11">
        <v>7.6198198198198196E-3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5.1426184546115389E-2</v>
      </c>
      <c r="Q73" s="12">
        <v>0.19352168899747973</v>
      </c>
      <c r="R73" s="14">
        <v>56</v>
      </c>
    </row>
    <row r="74" spans="2:18" x14ac:dyDescent="0.5">
      <c r="B74" s="1" t="s">
        <v>120</v>
      </c>
      <c r="C74" t="s">
        <v>160</v>
      </c>
      <c r="D74" t="s">
        <v>69</v>
      </c>
      <c r="E74">
        <v>6.42</v>
      </c>
      <c r="F74" s="9" t="s">
        <v>68</v>
      </c>
      <c r="G74" s="7">
        <v>10443478016</v>
      </c>
      <c r="H74" s="6">
        <v>7.05</v>
      </c>
      <c r="I74" s="6">
        <v>4.2699999999999996</v>
      </c>
      <c r="J74" s="12">
        <f t="shared" si="2"/>
        <v>0.503512880562061</v>
      </c>
      <c r="K74" s="11">
        <v>4.3613707165109039E-2</v>
      </c>
      <c r="L74" s="13">
        <v>4094312000</v>
      </c>
      <c r="M74" s="13">
        <v>37637054000</v>
      </c>
      <c r="N74" s="9" t="s">
        <v>68</v>
      </c>
      <c r="O74" s="6">
        <v>1</v>
      </c>
      <c r="P74" s="12">
        <v>0.132674324159505</v>
      </c>
      <c r="Q74" s="12">
        <v>0.10878407220713927</v>
      </c>
      <c r="R74" s="14">
        <v>53</v>
      </c>
    </row>
    <row r="75" spans="2:18" x14ac:dyDescent="0.5">
      <c r="B75" s="1" t="s">
        <v>126</v>
      </c>
      <c r="C75" t="s">
        <v>168</v>
      </c>
      <c r="D75" t="s">
        <v>109</v>
      </c>
      <c r="E75">
        <v>13.78</v>
      </c>
      <c r="F75" s="9" t="s">
        <v>68</v>
      </c>
      <c r="G75" s="7">
        <v>135938867200</v>
      </c>
      <c r="H75" s="6">
        <v>14.32</v>
      </c>
      <c r="I75" s="6">
        <v>5.83</v>
      </c>
      <c r="J75" s="12">
        <f t="shared" si="2"/>
        <v>1.3636363636363633</v>
      </c>
      <c r="K75" s="11">
        <v>3.7735849056603779E-2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5.7059020658577105E-2</v>
      </c>
      <c r="Q75" s="12">
        <v>0.18453201842262756</v>
      </c>
      <c r="R75" s="14">
        <v>56</v>
      </c>
    </row>
    <row r="76" spans="2:18" x14ac:dyDescent="0.5">
      <c r="B76" s="1" t="s">
        <v>266</v>
      </c>
      <c r="C76" t="s">
        <v>319</v>
      </c>
      <c r="D76" t="s">
        <v>75</v>
      </c>
      <c r="E76">
        <v>7.06</v>
      </c>
      <c r="F76" s="9" t="s">
        <v>68</v>
      </c>
      <c r="G76" s="7">
        <v>4781484032</v>
      </c>
      <c r="H76" s="6">
        <v>10.06</v>
      </c>
      <c r="I76" s="6">
        <v>6.56</v>
      </c>
      <c r="J76" s="12">
        <f t="shared" si="2"/>
        <v>7.6219512195121908E-2</v>
      </c>
      <c r="K76" s="11">
        <v>5.0566572237960343E-2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0.11385452597454558</v>
      </c>
      <c r="Q76" s="12">
        <v>0.12279555988606453</v>
      </c>
      <c r="R76" s="14">
        <v>55</v>
      </c>
    </row>
    <row r="77" spans="2:18" x14ac:dyDescent="0.5">
      <c r="B77" s="1" t="s">
        <v>264</v>
      </c>
      <c r="C77" t="s">
        <v>317</v>
      </c>
      <c r="D77" t="s">
        <v>155</v>
      </c>
      <c r="E77">
        <v>24.95</v>
      </c>
      <c r="F77" s="9" t="s">
        <v>68</v>
      </c>
      <c r="G77" s="7">
        <v>22975059968</v>
      </c>
      <c r="H77" s="6">
        <v>26.45</v>
      </c>
      <c r="I77" s="6">
        <v>9.9</v>
      </c>
      <c r="J77" s="12">
        <f t="shared" si="2"/>
        <v>1.5202020202020199</v>
      </c>
      <c r="K77" s="11">
        <v>3.1262525050100203E-3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0.1278560038199838</v>
      </c>
      <c r="Q77" s="12">
        <v>0.11071024253191752</v>
      </c>
      <c r="R77" s="14">
        <v>54</v>
      </c>
    </row>
    <row r="78" spans="2:18" x14ac:dyDescent="0.5">
      <c r="B78" s="1" t="s">
        <v>31</v>
      </c>
      <c r="C78" t="s">
        <v>94</v>
      </c>
      <c r="D78" t="s">
        <v>75</v>
      </c>
      <c r="E78">
        <v>3.25</v>
      </c>
      <c r="F78" s="9" t="s">
        <v>68</v>
      </c>
      <c r="G78" s="7">
        <v>20153964544</v>
      </c>
      <c r="H78" s="6">
        <v>4.13</v>
      </c>
      <c r="I78" s="6">
        <v>2.11</v>
      </c>
      <c r="J78" s="12">
        <f t="shared" si="2"/>
        <v>0.54028436018957349</v>
      </c>
      <c r="K78" s="11">
        <v>4.9230769230769231E-2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8.2456596746649582E-2</v>
      </c>
      <c r="Q78" s="12">
        <v>0.1499088374088374</v>
      </c>
      <c r="R78" s="14">
        <v>57</v>
      </c>
    </row>
    <row r="79" spans="2:18" x14ac:dyDescent="0.5">
      <c r="B79" s="1" t="s">
        <v>265</v>
      </c>
      <c r="C79" t="s">
        <v>318</v>
      </c>
      <c r="D79" t="s">
        <v>243</v>
      </c>
      <c r="E79">
        <v>8.85</v>
      </c>
      <c r="F79" s="9" t="s">
        <v>68</v>
      </c>
      <c r="G79" s="7">
        <v>116758945792</v>
      </c>
      <c r="H79" s="6">
        <v>11</v>
      </c>
      <c r="I79" s="6">
        <v>6.84</v>
      </c>
      <c r="J79" s="12">
        <f t="shared" si="2"/>
        <v>0.29385964912280693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9.4841160589041754E-2</v>
      </c>
      <c r="Q79" s="12">
        <v>0.1154893948238957</v>
      </c>
      <c r="R79" s="14">
        <v>59</v>
      </c>
    </row>
    <row r="80" spans="2:18" x14ac:dyDescent="0.5">
      <c r="B80" s="1" t="s">
        <v>135</v>
      </c>
      <c r="C80" t="s">
        <v>179</v>
      </c>
      <c r="D80" t="s">
        <v>77</v>
      </c>
      <c r="E80">
        <v>15.58</v>
      </c>
      <c r="F80" s="9" t="s">
        <v>68</v>
      </c>
      <c r="G80" s="7">
        <v>65404997632</v>
      </c>
      <c r="H80" s="6">
        <v>15.7</v>
      </c>
      <c r="I80" s="6">
        <v>10.98</v>
      </c>
      <c r="J80" s="12">
        <f t="shared" si="2"/>
        <v>0.41894353369763193</v>
      </c>
      <c r="K80" s="11">
        <v>5.6867779204107828E-2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0.13548219871499551</v>
      </c>
      <c r="Q80" s="12">
        <v>8.6741482038526066E-2</v>
      </c>
      <c r="R80" s="14">
        <v>58</v>
      </c>
    </row>
    <row r="81" spans="2:18" x14ac:dyDescent="0.5">
      <c r="B81" s="1" t="s">
        <v>135</v>
      </c>
      <c r="C81" t="s">
        <v>179</v>
      </c>
      <c r="D81" t="s">
        <v>77</v>
      </c>
      <c r="E81">
        <v>15.58</v>
      </c>
      <c r="F81" s="9" t="s">
        <v>68</v>
      </c>
      <c r="G81" s="7">
        <v>65404997632</v>
      </c>
      <c r="H81" s="6">
        <v>15.7</v>
      </c>
      <c r="I81" s="6">
        <v>10.98</v>
      </c>
      <c r="J81" s="12">
        <f t="shared" si="2"/>
        <v>0.41894353369763193</v>
      </c>
      <c r="K81" s="11">
        <v>5.6867779204107828E-2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0.13548219871499551</v>
      </c>
      <c r="Q81" s="12">
        <v>8.6741482038526066E-2</v>
      </c>
      <c r="R81" s="14">
        <v>58</v>
      </c>
    </row>
    <row r="82" spans="2:18" x14ac:dyDescent="0.5">
      <c r="B82" s="1" t="s">
        <v>36</v>
      </c>
      <c r="C82" t="s">
        <v>102</v>
      </c>
      <c r="D82" t="s">
        <v>50</v>
      </c>
      <c r="E82">
        <v>19.600000000000001</v>
      </c>
      <c r="F82" s="9" t="s">
        <v>68</v>
      </c>
      <c r="G82" s="7">
        <v>75381800960</v>
      </c>
      <c r="H82" s="6">
        <v>119.9</v>
      </c>
      <c r="I82" s="6">
        <v>7.51</v>
      </c>
      <c r="J82" s="12">
        <f t="shared" si="2"/>
        <v>1.6098535286284954</v>
      </c>
      <c r="K82" s="11">
        <v>2.2346938775510201E-2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8.4967373524531167E-2</v>
      </c>
      <c r="Q82" s="12">
        <v>9.6670468672106824E-2</v>
      </c>
      <c r="R82" s="14">
        <v>64</v>
      </c>
    </row>
    <row r="83" spans="2:18" x14ac:dyDescent="0.5">
      <c r="B83" s="1" t="s">
        <v>391</v>
      </c>
      <c r="C83" t="s">
        <v>392</v>
      </c>
      <c r="D83" t="s">
        <v>185</v>
      </c>
      <c r="E83">
        <v>7.43</v>
      </c>
      <c r="F83" s="9" t="s">
        <v>68</v>
      </c>
      <c r="G83" s="7">
        <v>4262917888</v>
      </c>
      <c r="H83" s="6">
        <v>9.24</v>
      </c>
      <c r="I83" s="6">
        <v>6.78</v>
      </c>
      <c r="J83" s="12">
        <f t="shared" si="2"/>
        <v>9.587020648967548E-2</v>
      </c>
      <c r="K83" s="11">
        <v>5.383580080753702E-2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6.952959716956747E-2</v>
      </c>
      <c r="Q83" s="12">
        <v>0.12232565520665489</v>
      </c>
      <c r="R83" s="14">
        <v>61</v>
      </c>
    </row>
    <row r="84" spans="2:18" x14ac:dyDescent="0.5">
      <c r="B84" s="1" t="s">
        <v>260</v>
      </c>
      <c r="C84" t="s">
        <v>313</v>
      </c>
      <c r="D84" t="s">
        <v>98</v>
      </c>
      <c r="E84">
        <v>2.0299999999999998</v>
      </c>
      <c r="F84" s="9" t="s">
        <v>68</v>
      </c>
      <c r="G84" s="7">
        <v>1885003136</v>
      </c>
      <c r="H84" s="6">
        <v>2.54</v>
      </c>
      <c r="I84" s="6">
        <v>1.72</v>
      </c>
      <c r="J84" s="12">
        <f t="shared" si="2"/>
        <v>0.18023255813953476</v>
      </c>
      <c r="K84" s="11">
        <v>5.4187192118226604E-2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0.15572178424717617</v>
      </c>
      <c r="Q84" s="12">
        <v>3.9146558666946343E-2</v>
      </c>
      <c r="R84" s="14">
        <v>60</v>
      </c>
    </row>
    <row r="85" spans="2:18" x14ac:dyDescent="0.5">
      <c r="B85" s="1" t="s">
        <v>141</v>
      </c>
      <c r="C85" t="s">
        <v>189</v>
      </c>
      <c r="D85" t="s">
        <v>104</v>
      </c>
      <c r="E85">
        <v>34.799999999999997</v>
      </c>
      <c r="F85" s="9" t="s">
        <v>68</v>
      </c>
      <c r="G85" s="7">
        <v>78411350016</v>
      </c>
      <c r="H85" s="6">
        <v>61.55</v>
      </c>
      <c r="I85" s="6">
        <v>24.85</v>
      </c>
      <c r="J85" s="12">
        <f t="shared" si="2"/>
        <v>0.40040241448692138</v>
      </c>
      <c r="K85" s="11">
        <v>1.6321839080459769E-2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6.6766958228337253E-2</v>
      </c>
      <c r="Q85" s="12">
        <v>0.12176329850933591</v>
      </c>
      <c r="R85" s="14">
        <v>62</v>
      </c>
    </row>
    <row r="86" spans="2:18" x14ac:dyDescent="0.5">
      <c r="B86" s="1" t="s">
        <v>263</v>
      </c>
      <c r="C86" t="s">
        <v>316</v>
      </c>
      <c r="D86" t="s">
        <v>308</v>
      </c>
      <c r="E86">
        <v>56.4</v>
      </c>
      <c r="F86" s="9" t="s">
        <v>68</v>
      </c>
      <c r="G86" s="7">
        <v>1129607462912</v>
      </c>
      <c r="H86" s="6">
        <v>59.8</v>
      </c>
      <c r="I86" s="6">
        <v>32.65</v>
      </c>
      <c r="J86" s="12">
        <f t="shared" si="2"/>
        <v>0.72741194486983152</v>
      </c>
      <c r="K86" s="11">
        <v>4.5212765957446804E-2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0.12638745125012527</v>
      </c>
      <c r="Q86" s="12">
        <v>8.2016774784268678E-2</v>
      </c>
      <c r="R86" s="14">
        <v>63</v>
      </c>
    </row>
    <row r="87" spans="2:18" x14ac:dyDescent="0.5">
      <c r="B87" s="1" t="s">
        <v>18</v>
      </c>
      <c r="C87" t="s">
        <v>67</v>
      </c>
      <c r="D87" t="s">
        <v>66</v>
      </c>
      <c r="E87">
        <v>58.05</v>
      </c>
      <c r="F87" s="9" t="s">
        <v>68</v>
      </c>
      <c r="G87" s="7">
        <v>149299953664</v>
      </c>
      <c r="H87" s="6">
        <v>82.25</v>
      </c>
      <c r="I87" s="6">
        <v>37.85</v>
      </c>
      <c r="J87" s="12">
        <f t="shared" si="2"/>
        <v>0.53368560105680296</v>
      </c>
      <c r="K87" s="11">
        <v>1.8087855297157625E-2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5.7687423226320769E-2</v>
      </c>
      <c r="Q87" s="12">
        <v>0.10968970241604512</v>
      </c>
      <c r="R87" s="14">
        <v>66</v>
      </c>
    </row>
    <row r="88" spans="2:18" x14ac:dyDescent="0.5">
      <c r="B88" s="1" t="s">
        <v>123</v>
      </c>
      <c r="C88" t="s">
        <v>163</v>
      </c>
      <c r="D88" t="s">
        <v>164</v>
      </c>
      <c r="E88">
        <v>6.64</v>
      </c>
      <c r="F88" s="9" t="s">
        <v>68</v>
      </c>
      <c r="G88" s="7">
        <v>47769288704</v>
      </c>
      <c r="H88" s="6">
        <v>10.72</v>
      </c>
      <c r="I88" s="6">
        <v>5</v>
      </c>
      <c r="J88" s="12">
        <f t="shared" si="2"/>
        <v>0.32799999999999985</v>
      </c>
      <c r="K88" s="11">
        <v>6.4759036144578314E-2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8.9730256920477605E-2</v>
      </c>
      <c r="Q88" s="12">
        <v>9.5261833390841127E-2</v>
      </c>
      <c r="R88" s="14">
        <v>64</v>
      </c>
    </row>
    <row r="89" spans="2:18" x14ac:dyDescent="0.5">
      <c r="B89" s="1" t="s">
        <v>136</v>
      </c>
      <c r="C89" t="s">
        <v>180</v>
      </c>
      <c r="D89" t="s">
        <v>181</v>
      </c>
      <c r="E89">
        <v>10.38</v>
      </c>
      <c r="F89" s="9" t="s">
        <v>68</v>
      </c>
      <c r="G89" s="7">
        <v>24457666560</v>
      </c>
      <c r="H89" s="6">
        <v>11.68</v>
      </c>
      <c r="I89" s="6">
        <v>5.19</v>
      </c>
      <c r="J89" s="12">
        <f t="shared" si="2"/>
        <v>1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0.11661530118082501</v>
      </c>
      <c r="Q89" s="12">
        <v>6.4862080854845933E-2</v>
      </c>
      <c r="R89" s="14">
        <v>64</v>
      </c>
    </row>
    <row r="90" spans="2:18" x14ac:dyDescent="0.5">
      <c r="B90" s="1" t="s">
        <v>116</v>
      </c>
      <c r="C90" t="s">
        <v>156</v>
      </c>
      <c r="D90" t="s">
        <v>93</v>
      </c>
      <c r="E90">
        <v>23.9</v>
      </c>
      <c r="F90" s="9" t="s">
        <v>68</v>
      </c>
      <c r="G90" s="7">
        <v>137473523712</v>
      </c>
      <c r="H90" s="6">
        <v>26.6</v>
      </c>
      <c r="I90" s="6">
        <v>16.02</v>
      </c>
      <c r="J90" s="12">
        <f t="shared" si="2"/>
        <v>0.4918851435705367</v>
      </c>
      <c r="K90" s="11">
        <v>2.9707112970711297E-2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0.12268158456500781</v>
      </c>
      <c r="Q90" s="12">
        <v>5.0146340085309396E-2</v>
      </c>
      <c r="R90" s="14">
        <v>66</v>
      </c>
    </row>
    <row r="91" spans="2:18" x14ac:dyDescent="0.5">
      <c r="B91" s="1" t="s">
        <v>261</v>
      </c>
      <c r="C91" t="s">
        <v>314</v>
      </c>
      <c r="D91" t="s">
        <v>310</v>
      </c>
      <c r="E91">
        <v>1.78</v>
      </c>
      <c r="F91" s="9" t="s">
        <v>68</v>
      </c>
      <c r="G91" s="7">
        <v>65634476032</v>
      </c>
      <c r="H91" s="6">
        <v>2.08</v>
      </c>
      <c r="I91" s="6">
        <v>1.18</v>
      </c>
      <c r="J91" s="12">
        <f t="shared" si="2"/>
        <v>0.50847457627118664</v>
      </c>
      <c r="K91" s="11">
        <v>3.1460674157303373E-2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0.12293830056678023</v>
      </c>
      <c r="Q91" s="12">
        <v>5.4568577322633927E-2</v>
      </c>
      <c r="R91" s="14">
        <v>65</v>
      </c>
    </row>
    <row r="92" spans="2:18" x14ac:dyDescent="0.5">
      <c r="B92" s="1" t="s">
        <v>262</v>
      </c>
      <c r="C92" t="s">
        <v>315</v>
      </c>
      <c r="D92" t="s">
        <v>109</v>
      </c>
      <c r="E92">
        <v>8.5</v>
      </c>
      <c r="F92" s="9" t="s">
        <v>68</v>
      </c>
      <c r="G92" s="7">
        <v>5709552128</v>
      </c>
      <c r="H92" s="6">
        <v>9.15</v>
      </c>
      <c r="I92" s="6">
        <v>5.6</v>
      </c>
      <c r="J92" s="12">
        <f t="shared" si="2"/>
        <v>0.51785714285714302</v>
      </c>
      <c r="K92" s="11">
        <v>0.06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0.11002187730530083</v>
      </c>
      <c r="Q92" s="12">
        <v>6.5089877530620205E-2</v>
      </c>
      <c r="R92" s="14">
        <v>67</v>
      </c>
    </row>
    <row r="93" spans="2:18" x14ac:dyDescent="0.5">
      <c r="B93" s="1" t="s">
        <v>129</v>
      </c>
      <c r="C93" t="s">
        <v>172</v>
      </c>
      <c r="D93" t="s">
        <v>98</v>
      </c>
      <c r="E93">
        <v>12.38</v>
      </c>
      <c r="F93" s="9" t="s">
        <v>68</v>
      </c>
      <c r="G93" s="7">
        <v>93782958080</v>
      </c>
      <c r="H93" s="6">
        <v>12.76</v>
      </c>
      <c r="I93" s="6">
        <v>9.35</v>
      </c>
      <c r="J93" s="12">
        <f t="shared" si="2"/>
        <v>0.32406417112299479</v>
      </c>
      <c r="K93" s="11">
        <v>6.3651050080775443E-2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6.0358885279990455E-2</v>
      </c>
      <c r="Q93" s="12">
        <v>0.10245263104990703</v>
      </c>
      <c r="R93" s="14">
        <v>68</v>
      </c>
    </row>
    <row r="94" spans="2:18" x14ac:dyDescent="0.5">
      <c r="B94" s="1" t="s">
        <v>112</v>
      </c>
      <c r="C94" t="s">
        <v>149</v>
      </c>
      <c r="D94" t="s">
        <v>98</v>
      </c>
      <c r="E94">
        <v>6</v>
      </c>
      <c r="F94" s="9" t="s">
        <v>68</v>
      </c>
      <c r="G94" s="7">
        <v>720960028672</v>
      </c>
      <c r="H94" s="6">
        <v>6.98</v>
      </c>
      <c r="I94" s="6">
        <v>4.08</v>
      </c>
      <c r="J94" s="12">
        <f t="shared" si="2"/>
        <v>0.47058823529411753</v>
      </c>
      <c r="K94" s="11">
        <v>4.3333333333333335E-2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6.8206454653877244E-2</v>
      </c>
      <c r="Q94" s="12">
        <v>9.605709580489824E-2</v>
      </c>
      <c r="R94" s="14">
        <v>68</v>
      </c>
    </row>
    <row r="95" spans="2:18" x14ac:dyDescent="0.5">
      <c r="B95" s="1" t="s">
        <v>127</v>
      </c>
      <c r="C95" t="s">
        <v>169</v>
      </c>
      <c r="D95" t="s">
        <v>104</v>
      </c>
      <c r="E95">
        <v>10.64</v>
      </c>
      <c r="F95" s="9" t="s">
        <v>68</v>
      </c>
      <c r="G95" s="7">
        <v>33196802048</v>
      </c>
      <c r="H95" s="6">
        <v>11.34</v>
      </c>
      <c r="I95" s="6">
        <v>5.6</v>
      </c>
      <c r="J95" s="12">
        <f t="shared" si="2"/>
        <v>0.90000000000000013</v>
      </c>
      <c r="K95" s="11">
        <v>3.007518796992481E-2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5.5369410412929997E-2</v>
      </c>
      <c r="Q95" s="12">
        <v>0.10689920561026972</v>
      </c>
      <c r="R95" s="14">
        <v>69</v>
      </c>
    </row>
    <row r="96" spans="2:18" x14ac:dyDescent="0.5">
      <c r="B96" s="1" t="s">
        <v>121</v>
      </c>
      <c r="C96" t="s">
        <v>161</v>
      </c>
      <c r="D96" t="s">
        <v>98</v>
      </c>
      <c r="E96">
        <v>9.61</v>
      </c>
      <c r="F96" s="9" t="s">
        <v>68</v>
      </c>
      <c r="G96" s="7">
        <v>294046760960</v>
      </c>
      <c r="H96" s="6">
        <v>11.56</v>
      </c>
      <c r="I96" s="6">
        <v>5.88</v>
      </c>
      <c r="J96" s="12">
        <f t="shared" si="2"/>
        <v>0.63435374149659851</v>
      </c>
      <c r="K96" s="11">
        <v>0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9.421569643849026E-2</v>
      </c>
      <c r="Q96" s="12">
        <v>7.4329031387590908E-2</v>
      </c>
      <c r="R96" s="14">
        <v>70</v>
      </c>
    </row>
    <row r="97" spans="2:18" x14ac:dyDescent="0.5">
      <c r="B97" s="1" t="s">
        <v>259</v>
      </c>
      <c r="C97" t="s">
        <v>312</v>
      </c>
      <c r="D97" t="s">
        <v>151</v>
      </c>
      <c r="E97">
        <v>10.68</v>
      </c>
      <c r="F97" s="9" t="s">
        <v>68</v>
      </c>
      <c r="G97" s="7">
        <v>27066003456</v>
      </c>
      <c r="H97" s="6">
        <v>13.78</v>
      </c>
      <c r="I97" s="6">
        <v>5.44</v>
      </c>
      <c r="J97" s="12">
        <f t="shared" si="2"/>
        <v>0.96323529411764697</v>
      </c>
      <c r="K97" s="11">
        <v>2.8089887640449437E-2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0.10250299389868719</v>
      </c>
      <c r="Q97" s="12">
        <v>5.5629198178196171E-2</v>
      </c>
      <c r="R97" s="14">
        <v>71</v>
      </c>
    </row>
    <row r="98" spans="2:18" x14ac:dyDescent="0.5">
      <c r="B98" s="1" t="s">
        <v>117</v>
      </c>
      <c r="C98" t="s">
        <v>157</v>
      </c>
      <c r="D98" t="s">
        <v>151</v>
      </c>
      <c r="E98">
        <v>2.06</v>
      </c>
      <c r="F98" s="9" t="s">
        <v>68</v>
      </c>
      <c r="G98" s="7">
        <v>7332301824</v>
      </c>
      <c r="H98" s="6">
        <v>2.95</v>
      </c>
      <c r="I98" s="6">
        <v>1.37</v>
      </c>
      <c r="J98" s="12">
        <f t="shared" ref="J98:J129" si="3">E98/I98-1</f>
        <v>0.50364963503649629</v>
      </c>
      <c r="K98" s="11">
        <v>4.5631067961165048E-2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0.11504440250808318</v>
      </c>
      <c r="Q98" s="12">
        <v>3.1227495254580313E-2</v>
      </c>
      <c r="R98" s="14">
        <v>73</v>
      </c>
    </row>
    <row r="99" spans="2:18" x14ac:dyDescent="0.5">
      <c r="B99" s="1" t="s">
        <v>257</v>
      </c>
      <c r="C99" t="s">
        <v>309</v>
      </c>
      <c r="D99" t="s">
        <v>310</v>
      </c>
      <c r="E99">
        <v>5.7</v>
      </c>
      <c r="F99" s="9" t="s">
        <v>68</v>
      </c>
      <c r="G99" s="7">
        <v>115035119616</v>
      </c>
      <c r="H99" s="6">
        <v>7.03</v>
      </c>
      <c r="I99" s="6">
        <v>4.22</v>
      </c>
      <c r="J99" s="12">
        <f t="shared" si="3"/>
        <v>0.35071090047393372</v>
      </c>
      <c r="K99" s="11">
        <v>5.2631578947368418E-2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0.10011887051991936</v>
      </c>
      <c r="Q99" s="12">
        <v>5.643429507724386E-2</v>
      </c>
      <c r="R99" s="14">
        <v>72</v>
      </c>
    </row>
    <row r="100" spans="2:18" x14ac:dyDescent="0.5">
      <c r="B100" s="1" t="s">
        <v>258</v>
      </c>
      <c r="C100" t="s">
        <v>311</v>
      </c>
      <c r="D100" t="s">
        <v>171</v>
      </c>
      <c r="E100">
        <v>53.3</v>
      </c>
      <c r="F100" s="9" t="s">
        <v>68</v>
      </c>
      <c r="G100" s="7">
        <v>204141133824</v>
      </c>
      <c r="H100" s="6">
        <v>54.6</v>
      </c>
      <c r="I100" s="6">
        <v>37.450000000000003</v>
      </c>
      <c r="J100" s="12">
        <f t="shared" si="3"/>
        <v>0.42323097463284354</v>
      </c>
      <c r="K100" s="11">
        <v>4.1313320825515948E-2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0.10240471256595017</v>
      </c>
      <c r="Q100" s="12">
        <v>5.2504192208844336E-2</v>
      </c>
      <c r="R100" s="14">
        <v>74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36.9</v>
      </c>
      <c r="F101" s="9" t="s">
        <v>68</v>
      </c>
      <c r="G101" s="7">
        <v>129141891072</v>
      </c>
      <c r="H101" s="6">
        <v>37.25</v>
      </c>
      <c r="I101" s="6">
        <v>28.1</v>
      </c>
      <c r="J101" s="12">
        <f t="shared" si="3"/>
        <v>0.31316725978647675</v>
      </c>
      <c r="K101" s="11">
        <v>4.715447154471545E-2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0.11189417861656274</v>
      </c>
      <c r="Q101" s="12">
        <v>3.7613758029978586E-2</v>
      </c>
      <c r="R101" s="14">
        <v>75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5.61</v>
      </c>
      <c r="F102" s="9" t="s">
        <v>68</v>
      </c>
      <c r="G102" s="7">
        <v>43427348480</v>
      </c>
      <c r="H102" s="6">
        <v>5.83</v>
      </c>
      <c r="I102" s="6">
        <v>3.96</v>
      </c>
      <c r="J102" s="12">
        <f t="shared" si="3"/>
        <v>0.41666666666666674</v>
      </c>
      <c r="K102" s="11">
        <v>6.8270944741532974E-2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5.7572359457132689E-2</v>
      </c>
      <c r="Q102" s="12">
        <v>9.2144023431582137E-2</v>
      </c>
      <c r="R102" s="14">
        <v>76</v>
      </c>
    </row>
    <row r="103" spans="2:18" x14ac:dyDescent="0.5">
      <c r="B103" s="1" t="s">
        <v>30</v>
      </c>
      <c r="C103" t="s">
        <v>92</v>
      </c>
      <c r="D103" t="s">
        <v>93</v>
      </c>
      <c r="E103">
        <v>2.0299999999999998</v>
      </c>
      <c r="F103" s="9" t="s">
        <v>68</v>
      </c>
      <c r="G103" s="7">
        <v>11088935936</v>
      </c>
      <c r="H103" s="6">
        <v>2.25</v>
      </c>
      <c r="I103" s="6">
        <v>0.81</v>
      </c>
      <c r="J103" s="12">
        <f t="shared" si="3"/>
        <v>1.5061728395061724</v>
      </c>
      <c r="K103" s="11">
        <v>1.6748768472906406E-2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6.6639591076670057E-2</v>
      </c>
      <c r="Q103" s="12">
        <v>5.8120488088461209E-2</v>
      </c>
      <c r="R103" s="14">
        <v>77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29</v>
      </c>
      <c r="F104" s="9" t="s">
        <v>68</v>
      </c>
      <c r="G104" s="7">
        <v>32140990464</v>
      </c>
      <c r="H104" s="6">
        <v>29.3</v>
      </c>
      <c r="I104" s="6">
        <v>14.52</v>
      </c>
      <c r="J104" s="12">
        <f t="shared" si="3"/>
        <v>0.99724517906336096</v>
      </c>
      <c r="K104" s="11">
        <v>3.2413793103448274E-2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7.6829964370762768E-2</v>
      </c>
      <c r="Q104" s="12">
        <v>4.7084186647510511E-2</v>
      </c>
      <c r="R104" s="14">
        <v>78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11.38</v>
      </c>
      <c r="F105" s="9" t="s">
        <v>68</v>
      </c>
      <c r="G105" s="7">
        <v>200297119744</v>
      </c>
      <c r="H105" s="6">
        <v>12.46</v>
      </c>
      <c r="I105" s="6">
        <v>9.1999999999999993</v>
      </c>
      <c r="J105" s="12">
        <f t="shared" si="3"/>
        <v>0.23695652173913051</v>
      </c>
      <c r="K105" s="11">
        <v>3.6643233743409484E-2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6.0405492341977687E-2</v>
      </c>
      <c r="Q105" s="12">
        <v>6.2161059386475759E-2</v>
      </c>
      <c r="R105" s="14">
        <v>78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6.83</v>
      </c>
      <c r="F106" s="9" t="s">
        <v>68</v>
      </c>
      <c r="G106" s="7">
        <v>7127377920</v>
      </c>
      <c r="H106" s="6">
        <v>7</v>
      </c>
      <c r="I106" s="6">
        <v>4.0199999999999996</v>
      </c>
      <c r="J106" s="12">
        <f t="shared" si="3"/>
        <v>0.69900497512437831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5.02757894769921E-2</v>
      </c>
      <c r="Q106" s="12">
        <v>8.3790449156695201E-2</v>
      </c>
      <c r="R106" s="14">
        <v>79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2.71</v>
      </c>
      <c r="F107" s="9" t="s">
        <v>68</v>
      </c>
      <c r="G107" s="7">
        <v>11639450624</v>
      </c>
      <c r="H107" s="6">
        <v>3.04</v>
      </c>
      <c r="I107" s="6">
        <v>1.93</v>
      </c>
      <c r="J107" s="12">
        <f t="shared" si="3"/>
        <v>0.40414507772020736</v>
      </c>
      <c r="K107" s="11">
        <v>3.9483394833948339E-2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6.0262785630978165E-2</v>
      </c>
      <c r="Q107" s="12">
        <v>3.8781191586606881E-2</v>
      </c>
      <c r="R107" s="14">
        <v>80</v>
      </c>
    </row>
    <row r="108" spans="2:18" x14ac:dyDescent="0.5">
      <c r="B108" s="1" t="s">
        <v>268</v>
      </c>
      <c r="C108" t="s">
        <v>322</v>
      </c>
      <c r="D108" t="s">
        <v>87</v>
      </c>
      <c r="E108">
        <v>9.2899999999999991</v>
      </c>
      <c r="F108" s="9" t="s">
        <v>68</v>
      </c>
      <c r="G108" s="7">
        <v>9814606848</v>
      </c>
      <c r="H108" s="6">
        <v>12.88</v>
      </c>
      <c r="I108" s="6">
        <v>4.47</v>
      </c>
      <c r="J108" s="12">
        <f t="shared" si="3"/>
        <v>1.0782997762863533</v>
      </c>
      <c r="K108" s="11">
        <v>1.5285252960172229E-2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3.8431883738317095E-2</v>
      </c>
      <c r="Q108" s="12">
        <v>0.10455432132537129</v>
      </c>
      <c r="R108" s="14">
        <v>75</v>
      </c>
    </row>
    <row r="109" spans="2:18" x14ac:dyDescent="0.5">
      <c r="B109" s="1" t="s">
        <v>389</v>
      </c>
      <c r="C109" t="s">
        <v>390</v>
      </c>
      <c r="D109" t="s">
        <v>85</v>
      </c>
      <c r="E109">
        <v>1.82</v>
      </c>
      <c r="F109" s="9" t="s">
        <v>68</v>
      </c>
      <c r="G109" s="7">
        <v>10076666880</v>
      </c>
      <c r="H109" s="6">
        <v>2.99</v>
      </c>
      <c r="I109" s="6">
        <v>0.91</v>
      </c>
      <c r="J109" s="12">
        <f t="shared" si="3"/>
        <v>1</v>
      </c>
      <c r="K109" s="11">
        <v>8.241758241758242E-3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4.2122660070159718E-2</v>
      </c>
      <c r="Q109" s="12">
        <v>2.3421020321148112E-2</v>
      </c>
      <c r="R109" s="14">
        <v>82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53.35</v>
      </c>
      <c r="F110" s="9" t="s">
        <v>68</v>
      </c>
      <c r="G110" s="7">
        <v>522018521088</v>
      </c>
      <c r="H110" s="6">
        <v>59.7</v>
      </c>
      <c r="I110" s="6">
        <v>15.24</v>
      </c>
      <c r="J110" s="12">
        <f t="shared" si="3"/>
        <v>2.5006561679790025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1.3462446925771121E-2</v>
      </c>
      <c r="Q110" s="12">
        <v>3.0575487595734537E-2</v>
      </c>
      <c r="R110" s="14">
        <v>83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15.9</v>
      </c>
      <c r="F111" s="9" t="s">
        <v>68</v>
      </c>
      <c r="G111" s="7">
        <v>16329458688</v>
      </c>
      <c r="H111" s="6">
        <v>15.98</v>
      </c>
      <c r="I111" s="6">
        <v>10.36</v>
      </c>
      <c r="J111" s="12">
        <f t="shared" si="3"/>
        <v>0.5347490347490349</v>
      </c>
      <c r="K111" s="11">
        <v>6.7924528301886791E-2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2.3837521888000198E-2</v>
      </c>
      <c r="Q111" s="12">
        <v>9.6523581574197593E-3</v>
      </c>
      <c r="R111" s="14">
        <v>84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31.1</v>
      </c>
      <c r="F112" s="9" t="s">
        <v>68</v>
      </c>
      <c r="G112" s="7">
        <v>31755898880</v>
      </c>
      <c r="H112" s="6">
        <v>36</v>
      </c>
      <c r="I112" s="6">
        <v>22.4</v>
      </c>
      <c r="J112" s="12">
        <f t="shared" si="3"/>
        <v>0.38839285714285721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-3.3920055125667469E-3</v>
      </c>
      <c r="Q112" s="12">
        <v>-4.9151971480384084E-3</v>
      </c>
      <c r="R112" s="14">
        <v>85</v>
      </c>
    </row>
    <row r="113" spans="2:18" x14ac:dyDescent="0.5">
      <c r="B113" s="1" t="s">
        <v>374</v>
      </c>
      <c r="C113" t="s">
        <v>376</v>
      </c>
      <c r="D113" t="s">
        <v>377</v>
      </c>
      <c r="E113">
        <v>2.35</v>
      </c>
      <c r="F113" s="9" t="s">
        <v>68</v>
      </c>
      <c r="G113" s="7">
        <v>5020845568</v>
      </c>
      <c r="H113" s="6">
        <v>2.62</v>
      </c>
      <c r="I113" s="6">
        <v>0.99</v>
      </c>
      <c r="J113" s="12">
        <f t="shared" si="3"/>
        <v>1.3737373737373737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8.818660196726178</v>
      </c>
      <c r="Q113" s="12">
        <v>-9.3085164890011229E-2</v>
      </c>
      <c r="R113" s="14">
        <v>47</v>
      </c>
    </row>
    <row r="114" spans="2:18" x14ac:dyDescent="0.5">
      <c r="B114" s="1" t="s">
        <v>202</v>
      </c>
      <c r="C114" t="s">
        <v>228</v>
      </c>
      <c r="D114" t="s">
        <v>229</v>
      </c>
      <c r="E114">
        <v>36.4</v>
      </c>
      <c r="F114" s="9" t="s">
        <v>68</v>
      </c>
      <c r="G114" s="7">
        <v>384849936384</v>
      </c>
      <c r="H114" s="6">
        <v>37.950000000000003</v>
      </c>
      <c r="I114" s="6">
        <v>21.5</v>
      </c>
      <c r="J114" s="12">
        <f t="shared" si="3"/>
        <v>0.69302325581395352</v>
      </c>
      <c r="K114" s="11">
        <v>5.4642857142857146E-2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233</v>
      </c>
      <c r="D115" t="s">
        <v>229</v>
      </c>
      <c r="E115">
        <v>5.66</v>
      </c>
      <c r="F115" s="9" t="s">
        <v>68</v>
      </c>
      <c r="G115" s="7">
        <v>727213735936</v>
      </c>
      <c r="H115" s="6">
        <v>5.95</v>
      </c>
      <c r="I115" s="6">
        <v>3.89</v>
      </c>
      <c r="J115" s="12">
        <f t="shared" si="3"/>
        <v>0.45501285347043696</v>
      </c>
      <c r="K115" s="11">
        <v>0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235</v>
      </c>
      <c r="D116" t="s">
        <v>229</v>
      </c>
      <c r="E116">
        <v>7.35</v>
      </c>
      <c r="F116" s="9" t="s">
        <v>68</v>
      </c>
      <c r="G116" s="7">
        <v>467426902016</v>
      </c>
      <c r="H116" s="6">
        <v>8.1199999999999992</v>
      </c>
      <c r="I116" s="6">
        <v>4.26</v>
      </c>
      <c r="J116" s="12">
        <f t="shared" si="3"/>
        <v>0.72535211267605626</v>
      </c>
      <c r="K116" s="11">
        <v>4.8299319727891157E-2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230</v>
      </c>
      <c r="D117" t="s">
        <v>231</v>
      </c>
      <c r="E117">
        <v>7.21</v>
      </c>
      <c r="F117" s="9" t="s">
        <v>68</v>
      </c>
      <c r="G117" s="7">
        <v>699403862016</v>
      </c>
      <c r="H117" s="6">
        <v>7.62</v>
      </c>
      <c r="I117" s="6">
        <v>5.08</v>
      </c>
      <c r="J117" s="12">
        <f t="shared" si="3"/>
        <v>0.41929133858267709</v>
      </c>
      <c r="K117" s="11">
        <v>5.256588072122053E-2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232</v>
      </c>
      <c r="D118" t="s">
        <v>231</v>
      </c>
      <c r="E118">
        <v>6.07</v>
      </c>
      <c r="F118" s="9" t="s">
        <v>68</v>
      </c>
      <c r="G118" s="7">
        <v>2724331520000</v>
      </c>
      <c r="H118" s="6">
        <v>6.48</v>
      </c>
      <c r="I118" s="6">
        <v>4.0599999999999996</v>
      </c>
      <c r="J118" s="12">
        <f t="shared" si="3"/>
        <v>0.49507389162561588</v>
      </c>
      <c r="K118" s="11">
        <v>5.074135090609555E-2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234</v>
      </c>
      <c r="D119" t="s">
        <v>231</v>
      </c>
      <c r="E119">
        <v>8.19</v>
      </c>
      <c r="F119" s="9" t="s">
        <v>68</v>
      </c>
      <c r="G119" s="7">
        <v>2182872432640</v>
      </c>
      <c r="H119" s="6">
        <v>8.56</v>
      </c>
      <c r="I119" s="6">
        <v>5.23</v>
      </c>
      <c r="J119" s="12">
        <f t="shared" si="3"/>
        <v>0.56596558317399603</v>
      </c>
      <c r="K119" s="11">
        <v>4.9206349206349212E-2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393</v>
      </c>
      <c r="C120" t="s">
        <v>396</v>
      </c>
      <c r="D120" t="s">
        <v>151</v>
      </c>
      <c r="E120">
        <v>9.25</v>
      </c>
      <c r="F120" s="9" t="s">
        <v>68</v>
      </c>
      <c r="G120" s="7">
        <v>84638433280</v>
      </c>
      <c r="H120" s="6">
        <v>9.26</v>
      </c>
      <c r="I120" s="6">
        <v>7.31</v>
      </c>
      <c r="J120" s="12">
        <f t="shared" si="3"/>
        <v>0.26538987688098503</v>
      </c>
      <c r="K120" s="11">
        <v>6.2702702702702701E-2</v>
      </c>
      <c r="L120" s="13">
        <v>4813000000</v>
      </c>
      <c r="M120" s="13">
        <v>168240000000</v>
      </c>
      <c r="N120" s="9" t="s">
        <v>68</v>
      </c>
      <c r="O120" s="6">
        <v>1</v>
      </c>
      <c r="P120" s="12">
        <v>5.6422113564899644E-2</v>
      </c>
      <c r="Q120" s="12">
        <v>2.8607941036614362E-2</v>
      </c>
      <c r="R120" s="14">
        <v>81</v>
      </c>
    </row>
    <row r="121" spans="2:18" x14ac:dyDescent="0.5">
      <c r="B121" s="1" t="s">
        <v>394</v>
      </c>
      <c r="C121" t="s">
        <v>397</v>
      </c>
      <c r="D121" t="s">
        <v>85</v>
      </c>
      <c r="E121">
        <v>17</v>
      </c>
      <c r="F121" s="9" t="s">
        <v>68</v>
      </c>
      <c r="G121" s="7">
        <v>43778908160</v>
      </c>
      <c r="H121" s="6">
        <v>21</v>
      </c>
      <c r="I121" s="6">
        <v>12.56</v>
      </c>
      <c r="J121" s="12">
        <f t="shared" si="3"/>
        <v>0.35350318471337583</v>
      </c>
      <c r="K121" s="11">
        <v>3.441176470588235E-2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0.12042431979683793</v>
      </c>
      <c r="Q121" s="12">
        <v>0.16337840218675606</v>
      </c>
      <c r="R121" s="14">
        <v>40</v>
      </c>
    </row>
    <row r="122" spans="2:18" x14ac:dyDescent="0.5">
      <c r="B122" s="1" t="s">
        <v>395</v>
      </c>
      <c r="C122" t="s">
        <v>398</v>
      </c>
      <c r="D122" t="s">
        <v>399</v>
      </c>
      <c r="E122">
        <v>44.5</v>
      </c>
      <c r="F122" s="9" t="s">
        <v>68</v>
      </c>
      <c r="G122" s="7">
        <v>114916802560</v>
      </c>
      <c r="H122" s="6">
        <v>44.8</v>
      </c>
      <c r="I122" s="6">
        <v>31.1</v>
      </c>
      <c r="J122" s="12">
        <f t="shared" si="3"/>
        <v>0.43086816720257226</v>
      </c>
      <c r="K122" s="11">
        <v>6.1191011235955051E-2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-4.0929615237449958E-2</v>
      </c>
      <c r="Q122" s="12">
        <v>-3.1158435700487111E-2</v>
      </c>
      <c r="R122" s="14">
        <v>86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358</v>
      </c>
      <c r="C2" t="s">
        <v>378</v>
      </c>
      <c r="D2" t="s">
        <v>379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359</v>
      </c>
      <c r="C5" t="s">
        <v>380</v>
      </c>
      <c r="D5" t="s">
        <v>243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362</v>
      </c>
      <c r="C7" t="s">
        <v>383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364</v>
      </c>
      <c r="C8" t="s">
        <v>385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360</v>
      </c>
      <c r="C10" t="s">
        <v>381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363</v>
      </c>
      <c r="C11" t="s">
        <v>384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361</v>
      </c>
      <c r="C13" t="s">
        <v>382</v>
      </c>
      <c r="D13" t="s">
        <v>330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366</v>
      </c>
      <c r="C14" t="s">
        <v>387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367</v>
      </c>
      <c r="C20" t="s">
        <v>388</v>
      </c>
      <c r="D20" t="s">
        <v>251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365</v>
      </c>
      <c r="C21" t="s">
        <v>386</v>
      </c>
      <c r="D21" t="s">
        <v>229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 t="shared" ref="J2:J17" si="0"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 t="shared" si="0"/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211</v>
      </c>
      <c r="C4" t="s">
        <v>240</v>
      </c>
      <c r="D4" t="s">
        <v>241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 t="shared" si="0"/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 t="shared" si="0"/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209</v>
      </c>
      <c r="C6" t="s">
        <v>238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 t="shared" si="0"/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213</v>
      </c>
      <c r="C7" t="s">
        <v>244</v>
      </c>
      <c r="D7" t="s">
        <v>245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 t="shared" si="0"/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 t="shared" si="0"/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210</v>
      </c>
      <c r="C9" t="s">
        <v>239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 t="shared" si="0"/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214</v>
      </c>
      <c r="C10" t="s">
        <v>246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 t="shared" si="0"/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212</v>
      </c>
      <c r="C11" t="s">
        <v>242</v>
      </c>
      <c r="D11" t="s">
        <v>243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 t="shared" si="0"/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 t="shared" si="0"/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215</v>
      </c>
      <c r="C13" t="s">
        <v>247</v>
      </c>
      <c r="D13" t="s">
        <v>237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 t="shared" si="0"/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217</v>
      </c>
      <c r="C14" t="s">
        <v>249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 t="shared" si="0"/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216</v>
      </c>
      <c r="C15" t="s">
        <v>248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 t="shared" si="0"/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191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368</v>
      </c>
      <c r="C16" t="s">
        <v>370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 t="shared" si="0"/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369</v>
      </c>
      <c r="C17" t="s">
        <v>371</v>
      </c>
      <c r="D17" t="s">
        <v>372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 t="shared" si="0"/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2025-07-29T10:20:20Z</dcterms:modified>
</cp:coreProperties>
</file>