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875E533-FAF6-4175-932E-9BCE2711D628}" xr6:coauthVersionLast="47" xr6:coauthVersionMax="47" xr10:uidLastSave="{00000000-0000-0000-0000-000000000000}"/>
  <bookViews>
    <workbookView xWindow="2205" yWindow="2205" windowWidth="12690" windowHeight="7642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<sst xmlns="http://schemas.openxmlformats.org/spreadsheetml/2006/main" count="475" uniqueCount="387">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</sst>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384</v>
      </c>
      <c r="C3" s="11" t="s">
        <v>385</v>
      </c>
      <c r="D3" s="2">
        <v>7.59</v>
      </c>
      <c r="E3" s="12" t="s">
        <v>136</v>
      </c>
      <c r="F3" s="15">
        <v>0.23368025713785046</v>
      </c>
      <c r="G3" s="15">
        <f>F3 - Portfolio_Mgmt!$C$10</f>
        <v>0.11628025713785045</v>
      </c>
      <c r="H3" s="15">
        <f>F3 - Portfolio_Mgmt!$C$11</f>
        <v>0.19918025713785045</v>
      </c>
      <c r="I3" s="15">
        <v>0</v>
      </c>
      <c r="J3" s="2">
        <v>5.8506866755559459</v>
      </c>
      <c r="K3" s="2">
        <v>12.956085561144668</v>
      </c>
      <c r="L3" s="74">
        <v>11.325873870677544</v>
      </c>
      <c r="M3" s="2">
        <v>7.306621391099414</v>
      </c>
      <c r="N3" s="2">
        <v>10.118343730556358</v>
      </c>
      <c r="O3" s="4">
        <v>0.12012943317399906</v>
      </c>
      <c r="P3" s="4">
        <v>4.5431973678787874E-2</v>
      </c>
      <c r="Q3" s="4">
        <v>0.20035925500308469</v>
      </c>
      <c r="R3" s="4">
        <v>9.7688882646536926E-2</v>
      </c>
      <c r="S3" s="82">
        <v>1.2706604365715879</v>
      </c>
      <c r="T3" s="81">
        <v>1.6141160578600777</v>
      </c>
      <c r="U3" s="15">
        <v>0.27330444081724548</v>
      </c>
      <c r="V3" s="79">
        <v>1.3936222417470483</v>
      </c>
      <c r="W3" s="74">
        <v>-3.1887877742936066</v>
      </c>
      <c r="X3" s="13" t="s">
        <v>201</v>
      </c>
      <c r="Y3" s="11" t="s">
        <v>137</v>
      </c>
      <c r="Z3" s="14">
        <v>45900</v>
      </c>
      <c r="AA3" s="16" t="s">
        <v>225</v>
      </c>
    </row>
    <row r="4" spans="1:27">
      <c r="B4" s="11" t="s">
        <v>230</v>
      </c>
      <c r="C4" s="11" t="s">
        <v>231</v>
      </c>
      <c r="D4" s="2">
        <v>2.99</v>
      </c>
      <c r="E4" s="12" t="s">
        <v>136</v>
      </c>
      <c r="F4" s="15">
        <v>0.22462837980630135</v>
      </c>
      <c r="G4" s="15">
        <f>F4 - Portfolio_Mgmt!$C$10</f>
        <v>0.10722837980630134</v>
      </c>
      <c r="H4" s="15">
        <f>F4 - Portfolio_Mgmt!$C$11</f>
        <v>0.19012837980630135</v>
      </c>
      <c r="I4" s="15">
        <v>0</v>
      </c>
      <c r="J4" s="2">
        <v>2.2811221378505544</v>
      </c>
      <c r="K4" s="2">
        <v>4.4858408799140586</v>
      </c>
      <c r="L4" s="74">
        <v>4.3130669791905083</v>
      </c>
      <c r="M4" s="2">
        <v>2.823790530515998</v>
      </c>
      <c r="N4" s="2">
        <v>3.8666759160925035</v>
      </c>
      <c r="O4" s="4">
        <v>7.1725588742432289E-2</v>
      </c>
      <c r="P4" s="4">
        <v>9.0301003344481601E-2</v>
      </c>
      <c r="Q4" s="4">
        <v>0.10048924474005361</v>
      </c>
      <c r="R4" s="4">
        <v>0.42143224397986156</v>
      </c>
      <c r="S4" s="82">
        <v>0.19639123104483397</v>
      </c>
      <c r="T4" s="81">
        <v>1.2141426890285656</v>
      </c>
      <c r="U4" s="15">
        <v>2.3107986944995245E-3</v>
      </c>
      <c r="V4" s="79">
        <v>2.3228129203780753E-2</v>
      </c>
      <c r="W4" s="74">
        <v>0.79833937207218564</v>
      </c>
      <c r="X4" s="13" t="s">
        <v>232</v>
      </c>
      <c r="Y4" s="11" t="s">
        <v>137</v>
      </c>
      <c r="Z4" s="14">
        <v>45900</v>
      </c>
      <c r="AA4" s="16" t="s">
        <v>224</v>
      </c>
    </row>
    <row r="5" spans="1:27">
      <c r="B5" s="11" t="s">
        <v>210</v>
      </c>
      <c r="C5" s="11" t="s">
        <v>211</v>
      </c>
      <c r="D5" s="2">
        <v>18.760000000000002</v>
      </c>
      <c r="E5" s="12" t="s">
        <v>136</v>
      </c>
      <c r="F5" s="15">
        <v>0.20719291551200469</v>
      </c>
      <c r="G5" s="15">
        <f>F5 - Portfolio_Mgmt!$C$10</f>
        <v>8.979291551200469E-2</v>
      </c>
      <c r="H5" s="15">
        <f>F5 - Portfolio_Mgmt!$C$11</f>
        <v>0.17269291551200469</v>
      </c>
      <c r="I5" s="15">
        <v>0</v>
      </c>
      <c r="J5" s="2">
        <v>13.67425226307658</v>
      </c>
      <c r="K5" s="2">
        <v>28.386438411767045</v>
      </c>
      <c r="L5" s="74">
        <v>26.126626062523943</v>
      </c>
      <c r="M5" s="2">
        <v>16.993376466824728</v>
      </c>
      <c r="N5" s="2">
        <v>23.386154690991336</v>
      </c>
      <c r="O5" s="4">
        <v>0.11009870975650714</v>
      </c>
      <c r="P5" s="4">
        <v>6.7164179104477612E-2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-0.45766080080045102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199</v>
      </c>
      <c r="C6" s="11" t="s">
        <v>200</v>
      </c>
      <c r="D6" s="2">
        <v>2.13</v>
      </c>
      <c r="E6" s="12" t="s">
        <v>136</v>
      </c>
      <c r="F6" s="15">
        <v>0.19195406676063942</v>
      </c>
      <c r="G6" s="15">
        <f>F6 - Portfolio_Mgmt!$C$10</f>
        <v>7.4554066760639415E-2</v>
      </c>
      <c r="H6" s="15">
        <f>F6 - Portfolio_Mgmt!$C$11</f>
        <v>0.15745406676063942</v>
      </c>
      <c r="I6" s="15">
        <v>0</v>
      </c>
      <c r="J6" s="2">
        <v>1.4865543114870745</v>
      </c>
      <c r="K6" s="2">
        <v>3.2819560641250116</v>
      </c>
      <c r="L6" s="74">
        <v>2.8758925390720407</v>
      </c>
      <c r="M6" s="2">
        <v>1.856041504832006</v>
      </c>
      <c r="N6" s="2">
        <v>2.5695103997140367</v>
      </c>
      <c r="O6" s="4">
        <v>6.3291672567070759E-2</v>
      </c>
      <c r="P6" s="4">
        <v>4.225352112676057E-2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1.844690127505378</v>
      </c>
      <c r="X6" s="13" t="s">
        <v>386</v>
      </c>
      <c r="Y6" s="11" t="s">
        <v>137</v>
      </c>
      <c r="Z6" s="14">
        <v>45900</v>
      </c>
      <c r="AA6" s="16" t="s">
        <v>225</v>
      </c>
    </row>
    <row r="7" spans="1:27">
      <c r="B7" s="11" t="s">
        <v>187</v>
      </c>
      <c r="C7" s="11" t="s">
        <v>188</v>
      </c>
      <c r="D7" s="2">
        <v>3.38</v>
      </c>
      <c r="E7" s="12" t="s">
        <v>136</v>
      </c>
      <c r="F7" s="15">
        <v>0.18931311425306485</v>
      </c>
      <c r="G7" s="15">
        <f>F7 - Portfolio_Mgmt!$C$10</f>
        <v>7.1913114253064847E-2</v>
      </c>
      <c r="H7" s="15">
        <f>F7 - Portfolio_Mgmt!$C$11</f>
        <v>0.15481311425306485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8.4012585030675893E-2</v>
      </c>
      <c r="P7" s="4">
        <v>3.7869822485207101E-2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225</v>
      </c>
    </row>
    <row r="8" spans="1:27">
      <c r="B8" s="11" t="s">
        <v>163</v>
      </c>
      <c r="C8" s="11" t="s">
        <v>192</v>
      </c>
      <c r="D8" s="2">
        <v>16.440000000000001</v>
      </c>
      <c r="E8" s="12" t="s">
        <v>136</v>
      </c>
      <c r="F8" s="15">
        <v>0.18430266488162372</v>
      </c>
      <c r="G8" s="15">
        <f>F8 - Portfolio_Mgmt!$C$10</f>
        <v>6.6902664881623719E-2</v>
      </c>
      <c r="H8" s="15">
        <f>F8 - Portfolio_Mgmt!$C$11</f>
        <v>0.14980266488162372</v>
      </c>
      <c r="I8" s="15">
        <v>0</v>
      </c>
      <c r="J8" s="2">
        <v>11.213851944381322</v>
      </c>
      <c r="K8" s="2">
        <v>25.579082347910063</v>
      </c>
      <c r="L8" s="74">
        <v>21.843639525859178</v>
      </c>
      <c r="M8" s="2">
        <v>14.037379251468815</v>
      </c>
      <c r="N8" s="2">
        <v>19.496978832886033</v>
      </c>
      <c r="O8" s="4">
        <v>6.2177555539286632E-2</v>
      </c>
      <c r="P8" s="4">
        <v>2.9319516614653887E-2</v>
      </c>
      <c r="Q8" s="4">
        <v>0.12359691937327441</v>
      </c>
      <c r="R8" s="4">
        <v>0.1233193224005279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4.6033285511396818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182</v>
      </c>
      <c r="C9" s="11" t="s">
        <v>183</v>
      </c>
      <c r="D9" s="2">
        <v>49.44</v>
      </c>
      <c r="E9" s="12" t="s">
        <v>136</v>
      </c>
      <c r="F9" s="15">
        <v>0.17063853794501171</v>
      </c>
      <c r="G9" s="15">
        <f>F9 - Portfolio_Mgmt!$C$10</f>
        <v>5.323853794501171E-2</v>
      </c>
      <c r="H9" s="15">
        <f>F9 - Portfolio_Mgmt!$C$11</f>
        <v>0.13613853794501171</v>
      </c>
      <c r="I9" s="15">
        <v>0</v>
      </c>
      <c r="J9" s="2">
        <v>32.701727725807743</v>
      </c>
      <c r="K9" s="2">
        <v>72.892444636825246</v>
      </c>
      <c r="L9" s="74">
        <v>63.391123483468533</v>
      </c>
      <c r="M9" s="2">
        <v>40.860528091375834</v>
      </c>
      <c r="N9" s="2">
        <v>56.621233571665094</v>
      </c>
      <c r="O9" s="4">
        <v>4.6599456192580768E-2</v>
      </c>
      <c r="P9" s="4">
        <v>3.6677140918049668E-2</v>
      </c>
      <c r="Q9" s="4">
        <v>0.13507661317120681</v>
      </c>
      <c r="R9" s="4">
        <v>0.12563632900759525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1.3571495899244752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21.74</v>
      </c>
      <c r="E10" s="12" t="s">
        <v>206</v>
      </c>
      <c r="F10" s="15">
        <v>0.16379848500902461</v>
      </c>
      <c r="G10" s="15">
        <f>F10 - Portfolio_Mgmt!$C$10</f>
        <v>4.6398485009024604E-2</v>
      </c>
      <c r="H10" s="15">
        <f>F10 - Portfolio_Mgmt!$C$11</f>
        <v>0.12929848500902461</v>
      </c>
      <c r="I10" s="15">
        <v>0</v>
      </c>
      <c r="J10" s="2">
        <v>14.005438973829049</v>
      </c>
      <c r="K10" s="2">
        <v>33.245001875234657</v>
      </c>
      <c r="L10" s="74">
        <v>27.517314961638828</v>
      </c>
      <c r="M10" s="2">
        <v>17.589207488120145</v>
      </c>
      <c r="N10" s="2">
        <v>24.530440005494061</v>
      </c>
      <c r="O10" s="4">
        <v>0.20970384302383599</v>
      </c>
      <c r="P10" s="4">
        <v>1.3379208831646732E-2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60.4</v>
      </c>
      <c r="E11" s="12" t="s">
        <v>136</v>
      </c>
      <c r="F11" s="15">
        <v>0.13220599189899884</v>
      </c>
      <c r="G11" s="15">
        <f>F11 - Portfolio_Mgmt!$C$10</f>
        <v>1.4805991898998838E-2</v>
      </c>
      <c r="H11" s="15">
        <f>F11 - Portfolio_Mgmt!$C$11</f>
        <v>9.770599189899884E-2</v>
      </c>
      <c r="I11" s="15">
        <v>0</v>
      </c>
      <c r="J11" s="2">
        <v>37.202495852576902</v>
      </c>
      <c r="K11" s="2">
        <v>70.242180695783915</v>
      </c>
      <c r="L11" s="74">
        <v>69.811199329998246</v>
      </c>
      <c r="M11" s="2">
        <v>45.923949636241368</v>
      </c>
      <c r="N11" s="2">
        <v>62.656963672625629</v>
      </c>
      <c r="O11" s="4">
        <v>8.8055446871906931E-2</v>
      </c>
      <c r="P11" s="4">
        <v>8.447740066225165E-2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-2.6747933489227389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27.04</v>
      </c>
      <c r="E12" s="12" t="s">
        <v>206</v>
      </c>
      <c r="F12" s="15">
        <v>0.12831170317420293</v>
      </c>
      <c r="G12" s="15">
        <f>F12 - Portfolio_Mgmt!$C$10</f>
        <v>1.0911703174202925E-2</v>
      </c>
      <c r="H12" s="15">
        <f>F12 - Portfolio_Mgmt!$C$11</f>
        <v>9.3811703174202926E-2</v>
      </c>
      <c r="I12" s="15">
        <v>0</v>
      </c>
      <c r="J12" s="2">
        <v>16.032459211529339</v>
      </c>
      <c r="K12" s="2">
        <v>36.174621832566501</v>
      </c>
      <c r="L12" s="74">
        <v>31.157956372196864</v>
      </c>
      <c r="M12" s="2">
        <v>20.051774378274047</v>
      </c>
      <c r="N12" s="2">
        <v>27.820017012608126</v>
      </c>
      <c r="O12" s="4">
        <v>9.3904120095525068E-2</v>
      </c>
      <c r="P12" s="4">
        <v>2.8994082840236683E-2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7.5</v>
      </c>
      <c r="E13" s="12" t="s">
        <v>136</v>
      </c>
      <c r="F13" s="15">
        <v>0.10872431531479121</v>
      </c>
      <c r="G13" s="15">
        <f>F13 - Portfolio_Mgmt!$C$10</f>
        <v>-8.6756846852087954E-3</v>
      </c>
      <c r="H13" s="15">
        <f>F13 - Portfolio_Mgmt!$C$11</f>
        <v>7.4224315314791206E-2</v>
      </c>
      <c r="I13" s="15">
        <v>0</v>
      </c>
      <c r="J13" s="2">
        <v>4.289520648185924</v>
      </c>
      <c r="K13" s="2">
        <v>8.8942360183358655</v>
      </c>
      <c r="L13" s="2">
        <v>8.1938568557172484</v>
      </c>
      <c r="M13" s="2">
        <v>5.3302481732656908</v>
      </c>
      <c r="N13" s="2">
        <v>7.3346382839176414</v>
      </c>
      <c r="O13" s="4">
        <v>0.10494224748537595</v>
      </c>
      <c r="P13" s="4">
        <v>5.3032741248478676E-2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-3.8744332625090627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16.170000000000002</v>
      </c>
      <c r="E14" s="12" t="s">
        <v>136</v>
      </c>
      <c r="F14" s="15">
        <v>9.7758900833050832E-2</v>
      </c>
      <c r="G14" s="15">
        <f>F14 - Portfolio_Mgmt!$C$10</f>
        <v>-1.9641099166949172E-2</v>
      </c>
      <c r="H14" s="15">
        <f>F14 - Portfolio_Mgmt!$C$11</f>
        <v>6.325890083305083E-2</v>
      </c>
      <c r="I14" s="15">
        <v>0</v>
      </c>
      <c r="J14" s="2">
        <v>8.9922022406924391</v>
      </c>
      <c r="K14" s="2">
        <v>18.606441375593661</v>
      </c>
      <c r="L14" s="2">
        <v>17.169900962627121</v>
      </c>
      <c r="M14" s="2">
        <v>11.172188699823955</v>
      </c>
      <c r="N14" s="2">
        <v>15.37037589106744</v>
      </c>
      <c r="O14" s="4">
        <v>9.6058539619357508E-2</v>
      </c>
      <c r="P14" s="4">
        <v>5.2138482374768085E-2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227</v>
      </c>
      <c r="C15" s="11" t="s">
        <v>228</v>
      </c>
      <c r="D15" s="2">
        <v>6.65</v>
      </c>
      <c r="E15" s="12" t="s">
        <v>136</v>
      </c>
      <c r="F15" s="15">
        <v>8.6996591630523978E-2</v>
      </c>
      <c r="G15" s="15">
        <f>F15 - Portfolio_Mgmt!$C$10</f>
        <v>-3.0403408369476026E-2</v>
      </c>
      <c r="H15" s="15">
        <f>F15 - Portfolio_Mgmt!$C$11</f>
        <v>5.2496591630523975E-2</v>
      </c>
      <c r="I15" s="15">
        <v>0</v>
      </c>
      <c r="J15" s="2">
        <v>3.6036658259915511</v>
      </c>
      <c r="K15" s="2">
        <v>7.3642693066239637</v>
      </c>
      <c r="L15" s="2">
        <v>6.8641356814360206</v>
      </c>
      <c r="M15" s="2">
        <v>4.4732258849914697</v>
      </c>
      <c r="N15" s="2">
        <v>6.1469536878205542</v>
      </c>
      <c r="O15" s="4">
        <v>5.5549193134509033E-2</v>
      </c>
      <c r="P15" s="4">
        <v>5.4135338345864654E-2</v>
      </c>
      <c r="Q15" s="4">
        <v>7.0630420943605887E-2</v>
      </c>
      <c r="R15" s="4">
        <v>9.3039179367971361E-2</v>
      </c>
      <c r="S15" s="82">
        <v>0.62627525695225639</v>
      </c>
      <c r="T15" s="81">
        <v>1.2121620122817016</v>
      </c>
      <c r="U15" s="15">
        <v>1.1610019159010268E-2</v>
      </c>
      <c r="V15" s="79">
        <v>0.16381589511191816</v>
      </c>
      <c r="W15" s="74">
        <v>3.7980767021052162</v>
      </c>
      <c r="X15" s="13" t="s">
        <v>229</v>
      </c>
      <c r="Y15" s="11" t="s">
        <v>137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</v>
      </c>
      <c r="E16" s="12" t="s">
        <v>136</v>
      </c>
      <c r="F16" s="15">
        <v>7.8985940428072388E-2</v>
      </c>
      <c r="G16" s="15">
        <f>F16 - Portfolio_Mgmt!$C$10</f>
        <v>-3.8414059571927617E-2</v>
      </c>
      <c r="H16" s="15">
        <f>F16 - Portfolio_Mgmt!$C$11</f>
        <v>4.4485940428072385E-2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8.228504854141093E-2</v>
      </c>
      <c r="P16" s="4">
        <v>6.4761904761904771E-2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2.63</v>
      </c>
      <c r="E17" s="12" t="s">
        <v>136</v>
      </c>
      <c r="F17" s="15">
        <v>6.6567791046125091E-2</v>
      </c>
      <c r="G17" s="15">
        <f>F17 - Portfolio_Mgmt!$C$10</f>
        <v>-5.0832208953874913E-2</v>
      </c>
      <c r="H17" s="15">
        <f>F17 - Portfolio_Mgmt!$C$11</f>
        <v>3.2067791046125088E-2</v>
      </c>
      <c r="I17" s="15">
        <v>0</v>
      </c>
      <c r="J17" s="2">
        <v>1.3409149222675572</v>
      </c>
      <c r="K17" s="2">
        <v>2.8329614390355577</v>
      </c>
      <c r="L17" s="2">
        <v>2.5709781764712827</v>
      </c>
      <c r="M17" s="2">
        <v>1.6685726029241852</v>
      </c>
      <c r="N17" s="2">
        <v>2.3001139429882347</v>
      </c>
      <c r="O17" s="4">
        <v>3.1975331244529698E-2</v>
      </c>
      <c r="P17" s="4">
        <v>4.248277016026842E-2</v>
      </c>
      <c r="Q17" s="4">
        <v>4.3344237753696474E-2</v>
      </c>
      <c r="R17" s="4">
        <v>8.4130042698799826E-2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1.9094298053979306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138</v>
      </c>
      <c r="C18" s="11" t="s">
        <v>176</v>
      </c>
      <c r="D18" s="2">
        <v>9.31</v>
      </c>
      <c r="E18" s="12" t="s">
        <v>136</v>
      </c>
      <c r="F18" s="15">
        <v>6.4118452191501696E-2</v>
      </c>
      <c r="G18" s="15">
        <f>F18 - Portfolio_Mgmt!$C$10</f>
        <v>-5.3281547808498309E-2</v>
      </c>
      <c r="H18" s="15">
        <f>F18 - Portfolio_Mgmt!$C$11</f>
        <v>2.9618452191501693E-2</v>
      </c>
      <c r="I18" s="15">
        <v>0</v>
      </c>
      <c r="J18" s="2">
        <v>4.7895979519113672</v>
      </c>
      <c r="K18" s="2">
        <v>9.3641570609339322</v>
      </c>
      <c r="L18" s="2">
        <v>9.0460821298724845</v>
      </c>
      <c r="M18" s="2">
        <v>5.9266084151981735</v>
      </c>
      <c r="N18" s="2">
        <v>8.1111667082917602</v>
      </c>
      <c r="O18" s="4">
        <v>3.3179202146322771E-2</v>
      </c>
      <c r="P18" s="4">
        <v>6.2298603651987104E-2</v>
      </c>
      <c r="Q18" s="4">
        <v>2.0056091670558843E-2</v>
      </c>
      <c r="R18" s="4">
        <v>0.38237459335905039</v>
      </c>
      <c r="S18" s="82">
        <v>4.8426484563194767E-2</v>
      </c>
      <c r="T18" s="81">
        <v>1.0831144117242246</v>
      </c>
      <c r="U18" s="15">
        <v>1.8509098960546238E-2</v>
      </c>
      <c r="V18" s="79">
        <v>1.1933697905849452</v>
      </c>
      <c r="W18" s="74">
        <v>11.511512740854835</v>
      </c>
      <c r="X18" s="13" t="s">
        <v>178</v>
      </c>
      <c r="Y18" s="11" t="s">
        <v>177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2.0699999999999998</v>
      </c>
      <c r="E19" s="12" t="s">
        <v>136</v>
      </c>
      <c r="F19" s="15">
        <v>6.8929809946252085E-3</v>
      </c>
      <c r="G19" s="15">
        <f>F19 - Portfolio_Mgmt!$C$10</f>
        <v>-0.1105070190053748</v>
      </c>
      <c r="H19" s="15">
        <f>F19 - Portfolio_Mgmt!$C$11</f>
        <v>-2.7607019005374794E-2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4.6317179925299112E-3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4.2199999999999994E-2</v>
      </c>
      <c r="D4" s="34">
        <v>7.4999999999999997E-2</v>
      </c>
      <c r="E4" s="35">
        <f>D4-C4</f>
        <v>3.2800000000000003E-2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0.63399329753074307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16.440000000000001</v>
      </c>
      <c r="D4" s="62" t="str">
        <f>VLOOKUP(B4,Opportunities!B$3:E$30,4,FALSE)</f>
        <v>HKD</v>
      </c>
      <c r="E4" s="59">
        <v>9000</v>
      </c>
      <c r="F4" s="64">
        <f>C4*E4</f>
        <v>147960</v>
      </c>
      <c r="G4" s="61">
        <f>F4/$F$8</f>
        <v>0.12966754069857117</v>
      </c>
      <c r="H4" s="61">
        <f>VLOOKUP(B4,Opportunities!B$3:I$30,8,FALSE)</f>
        <v>0</v>
      </c>
      <c r="I4" s="84">
        <f>VLOOKUP(B4,Opportunities!B$3:N$30,12,FALSE)</f>
        <v>14.037379251468815</v>
      </c>
      <c r="J4" s="84">
        <f>VLOOKUP(B4,Opportunities!B$3:N$30,9,FALSE)</f>
        <v>11.213851944381322</v>
      </c>
      <c r="K4" s="84">
        <f>VLOOKUP(B4,Opportunities!B$3:N$30,11,FALSE)</f>
        <v>21.843639525859178</v>
      </c>
      <c r="L4" s="84">
        <f>VLOOKUP(B4,Opportunities!B$3:N$30,13,FALSE)</f>
        <v>19.496978832886033</v>
      </c>
    </row>
    <row r="5" spans="1:12">
      <c r="B5" s="66" t="s">
        <v>210</v>
      </c>
      <c r="C5" s="63">
        <f>VLOOKUP(B5,Opportunities!B$3:E$30,3,FALSE)</f>
        <v>18.760000000000002</v>
      </c>
      <c r="D5" s="62" t="str">
        <f>VLOOKUP(B5,Opportunities!B$3:E$30,4,FALSE)</f>
        <v>HKD</v>
      </c>
      <c r="E5" s="59">
        <v>8000</v>
      </c>
      <c r="F5" s="64">
        <f>C5*E5</f>
        <v>150080</v>
      </c>
      <c r="G5" s="61">
        <f>F5/$F$8</f>
        <v>0.13152544274156233</v>
      </c>
      <c r="H5" s="61">
        <f>VLOOKUP(B5,Opportunities!B$3:I$30,8,FALSE)</f>
        <v>0</v>
      </c>
      <c r="I5" s="84">
        <f>VLOOKUP(B5,Opportunities!B$3:N$30,12,FALSE)</f>
        <v>16.993376466824728</v>
      </c>
      <c r="J5" s="84">
        <f>VLOOKUP(B5,Opportunities!B$3:N$30,9,FALSE)</f>
        <v>13.67425226307658</v>
      </c>
      <c r="K5" s="84">
        <f>VLOOKUP(B5,Opportunities!B$3:N$30,11,FALSE)</f>
        <v>26.126626062523943</v>
      </c>
      <c r="L5" s="84">
        <f>VLOOKUP(B5,Opportunities!B$3:N$30,13,FALSE)</f>
        <v>23.386154690991336</v>
      </c>
    </row>
    <row r="6" spans="1:12">
      <c r="B6" s="66" t="s">
        <v>230</v>
      </c>
      <c r="C6" s="63">
        <f>VLOOKUP(B6,Opportunities!B$3:E$30,3,FALSE)</f>
        <v>2.99</v>
      </c>
      <c r="D6" s="62" t="str">
        <f>VLOOKUP(B6,Opportunities!B$3:E$30,4,FALSE)</f>
        <v>HKD</v>
      </c>
      <c r="E6" s="59">
        <v>40000</v>
      </c>
      <c r="F6" s="64">
        <f>C6*E6</f>
        <v>119600.00000000001</v>
      </c>
      <c r="G6" s="61">
        <f t="shared" ref="G6" si="0">F6/$F$8</f>
        <v>0.10481371902912351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1141072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16.440000000000001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14.037379251468815</v>
      </c>
      <c r="J11" s="84">
        <f>VLOOKUP(B11,Opportunities!B$3:N$30,9,FALSE)</f>
        <v>11.213851944381322</v>
      </c>
      <c r="K11" s="84">
        <f>VLOOKUP(B11,Opportunities!B$3:N$30,11,FALSE)</f>
        <v>21.843639525859178</v>
      </c>
      <c r="L11" s="84">
        <f>VLOOKUP(B11,Opportunities!B$3:N$30,13,FALSE)</f>
        <v>19.496978832886033</v>
      </c>
    </row>
    <row r="12" spans="1:12">
      <c r="B12" s="66" t="s">
        <v>210</v>
      </c>
      <c r="C12" s="63">
        <f>VLOOKUP(B12,Opportunities!B$3:E$30,3,FALSE)</f>
        <v>18.760000000000002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16.993376466824728</v>
      </c>
      <c r="J12" s="84">
        <f>VLOOKUP(B12,Opportunities!B$3:N$30,9,FALSE)</f>
        <v>13.67425226307658</v>
      </c>
      <c r="K12" s="84">
        <f>VLOOKUP(B12,Opportunities!B$3:N$30,11,FALSE)</f>
        <v>26.126626062523943</v>
      </c>
      <c r="L12" s="84">
        <f>VLOOKUP(B12,Opportunities!B$3:N$30,13,FALSE)</f>
        <v>23.386154690991336</v>
      </c>
    </row>
    <row r="13" spans="1:12">
      <c r="B13" s="66" t="s">
        <v>230</v>
      </c>
      <c r="C13" s="63">
        <f>VLOOKUP(B13,Opportunities!B$3:E$30,3,FALSE)</f>
        <v>2.99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0.63399329753074307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2025-08-06T08:51:28Z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