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0771C8B-DDFB-407B-9282-84CA9E80E915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G3" i="1"/>
  <c r="G4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<sst xmlns="http://schemas.openxmlformats.org/spreadsheetml/2006/main" count="419" uniqueCount="366">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</sst>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C19" sqref="C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207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351</v>
      </c>
      <c r="C12" s="77">
        <v>7.2499999999999995E-2</v>
      </c>
    </row>
    <row r="13" spans="1:5">
      <c r="C13" s="4"/>
    </row>
    <row r="14" spans="1:5" ht="46.5" customHeight="1">
      <c r="B14" s="143" t="s">
        <v>352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231</v>
      </c>
    </row>
    <row r="23" spans="1:5">
      <c r="B23" s="24" t="s">
        <v>208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209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196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350</v>
      </c>
      <c r="C35" s="43" t="s">
        <v>129</v>
      </c>
    </row>
    <row r="36" spans="1:5">
      <c r="B36" s="131" t="s">
        <v>214</v>
      </c>
      <c r="C36" s="132">
        <v>3</v>
      </c>
    </row>
    <row r="37" spans="1:5">
      <c r="B37" s="26" t="s">
        <v>213</v>
      </c>
      <c r="C37" s="136">
        <v>0.55000000000000004</v>
      </c>
    </row>
    <row r="38" spans="1:5">
      <c r="B38" s="26" t="s">
        <v>346</v>
      </c>
      <c r="C38" s="138">
        <v>-0.65</v>
      </c>
    </row>
    <row r="40" spans="1:5">
      <c r="B40" s="20" t="s">
        <v>217</v>
      </c>
    </row>
    <row r="41" spans="1:5">
      <c r="B41" s="143" t="s">
        <v>216</v>
      </c>
      <c r="C41" s="143"/>
      <c r="D41" s="143"/>
      <c r="E41" s="143"/>
    </row>
    <row r="43" spans="1:5">
      <c r="A43" s="20" t="s">
        <v>61</v>
      </c>
      <c r="B43" s="19" t="s">
        <v>358</v>
      </c>
    </row>
    <row r="45" spans="1:5">
      <c r="B45" s="43" t="s">
        <v>210</v>
      </c>
      <c r="C45" s="43" t="s">
        <v>347</v>
      </c>
      <c r="D45" s="43" t="s">
        <v>354</v>
      </c>
      <c r="E45" s="43" t="s">
        <v>353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217</v>
      </c>
    </row>
    <row r="50" spans="1:5">
      <c r="B50" s="144" t="s">
        <v>355</v>
      </c>
      <c r="C50" s="143"/>
      <c r="D50" s="143"/>
      <c r="E50" s="143"/>
    </row>
    <row r="51" spans="1:5">
      <c r="B51" s="144" t="s">
        <v>229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218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205</v>
      </c>
      <c r="C60" s="29">
        <v>0.45</v>
      </c>
      <c r="D60" s="46"/>
      <c r="E60" s="44"/>
    </row>
    <row r="61" spans="1:5">
      <c r="B61" s="26" t="s">
        <v>204</v>
      </c>
      <c r="C61" s="29">
        <v>0.3</v>
      </c>
      <c r="D61" s="46"/>
      <c r="E61" s="44"/>
    </row>
    <row r="62" spans="1:5">
      <c r="B62" s="26" t="s">
        <v>203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200</v>
      </c>
      <c r="C69" s="26" t="s">
        <v>201</v>
      </c>
      <c r="D69" s="26" t="s">
        <v>202</v>
      </c>
      <c r="E69" s="40">
        <v>0</v>
      </c>
    </row>
    <row r="70" spans="1:5">
      <c r="B70" s="26" t="s">
        <v>198</v>
      </c>
      <c r="C70" s="26" t="s">
        <v>168</v>
      </c>
      <c r="D70" s="26" t="s">
        <v>169</v>
      </c>
      <c r="E70" s="40">
        <v>2</v>
      </c>
    </row>
    <row r="71" spans="1:5">
      <c r="B71" s="26" t="s">
        <v>199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220</v>
      </c>
    </row>
    <row r="76" spans="1:5">
      <c r="B76" s="1" t="s">
        <v>230</v>
      </c>
    </row>
    <row r="77" spans="1:5">
      <c r="B77" s="1" t="s">
        <v>219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222</v>
      </c>
    </row>
    <row r="84" spans="1:5">
      <c r="B84" s="24" t="s">
        <v>150</v>
      </c>
    </row>
    <row r="86" spans="1:5">
      <c r="A86" s="28" t="s">
        <v>206</v>
      </c>
      <c r="B86" s="20" t="s">
        <v>221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225</v>
      </c>
      <c r="C88" s="91" t="s">
        <v>232</v>
      </c>
    </row>
    <row r="89" spans="1:5">
      <c r="B89" s="104" t="s">
        <v>224</v>
      </c>
      <c r="C89" s="91" t="s">
        <v>197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223</v>
      </c>
    </row>
    <row r="93" spans="1:5">
      <c r="B93" s="1" t="s">
        <v>226</v>
      </c>
    </row>
    <row r="94" spans="1:5">
      <c r="B94" s="1" t="s">
        <v>228</v>
      </c>
    </row>
    <row r="95" spans="1:5">
      <c r="B95" s="1" t="s">
        <v>227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H3" activePane="bottomRight" state="frozen"/>
      <selection pane="topRight" activeCell="D1" sqref="D1"/>
      <selection pane="bottomLeft" activeCell="A5" sqref="A5"/>
      <selection pane="bottomRight" activeCell="Y8" sqref="Y8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181</v>
      </c>
      <c r="R1" s="152"/>
      <c r="S1" s="152"/>
      <c r="T1" s="152"/>
      <c r="U1" s="151" t="s">
        <v>177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183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363</v>
      </c>
      <c r="C3" s="11" t="s">
        <v>364</v>
      </c>
      <c r="D3" s="2">
        <v>6.53</v>
      </c>
      <c r="E3" s="12" t="s">
        <v>135</v>
      </c>
      <c r="F3" s="15">
        <v>0.18430807784929162</v>
      </c>
      <c r="G3" s="15">
        <f>F3 - Portfolio_Mgmt!$C$10</f>
        <v>6.6908077849291619E-2</v>
      </c>
      <c r="H3" s="15">
        <f>F3 - Portfolio_Mgmt!$C$11</f>
        <v>0.14980807784929162</v>
      </c>
      <c r="I3" s="15">
        <v>0.10755122792773622</v>
      </c>
      <c r="J3" s="2">
        <v>5.0237106020124003</v>
      </c>
      <c r="K3" s="2">
        <v>10.337601541704334</v>
      </c>
      <c r="L3" s="71">
        <v>8.7506459962076875</v>
      </c>
      <c r="M3" s="2">
        <v>6.2699463463342093</v>
      </c>
      <c r="N3" s="2">
        <v>7.7521729877457162</v>
      </c>
      <c r="O3" s="4">
        <v>7.0300173108426608E-2</v>
      </c>
      <c r="P3" s="4">
        <v>2.1745788667687591E-2</v>
      </c>
      <c r="Q3" s="4">
        <v>0.3</v>
      </c>
      <c r="R3" s="4">
        <v>0.14083691822897304</v>
      </c>
      <c r="S3" s="79">
        <v>1.2</v>
      </c>
      <c r="T3" s="78">
        <v>1.775102743966247</v>
      </c>
      <c r="U3" s="15">
        <v>0.17709797868255178</v>
      </c>
      <c r="V3" s="76">
        <v>0.82178780749892033</v>
      </c>
      <c r="W3" s="71">
        <v>-0.16650139591844174</v>
      </c>
      <c r="X3" s="13" t="s">
        <v>170</v>
      </c>
      <c r="Y3" s="11" t="s">
        <v>365</v>
      </c>
      <c r="Z3" s="14">
        <v>46081</v>
      </c>
      <c r="AA3" s="16" t="s">
        <v>182</v>
      </c>
    </row>
    <row r="4" spans="1:27">
      <c r="B4" s="11" t="s">
        <v>328</v>
      </c>
      <c r="C4" s="11" t="s">
        <v>329</v>
      </c>
      <c r="D4" s="2">
        <v>4.7699999999999996</v>
      </c>
      <c r="E4" s="12" t="s">
        <v>135</v>
      </c>
      <c r="F4" s="15">
        <v>0.1658488444163814</v>
      </c>
      <c r="G4" s="15">
        <f>F4 - Portfolio_Mgmt!$C$10</f>
        <v>4.8448844416381392E-2</v>
      </c>
      <c r="H4" s="15">
        <f>F4 - Portfolio_Mgmt!$C$11</f>
        <v>0.13134884441638139</v>
      </c>
      <c r="I4" s="15">
        <v>4.9680019695456108E-2</v>
      </c>
      <c r="J4" s="2">
        <v>3.5448769715805417</v>
      </c>
      <c r="K4" s="2">
        <v>6.5011496522820869</v>
      </c>
      <c r="L4" s="71">
        <v>6.0535626537009426</v>
      </c>
      <c r="M4" s="2">
        <v>4.3863778786396921</v>
      </c>
      <c r="N4" s="2">
        <v>5.383547517599351</v>
      </c>
      <c r="O4" s="4">
        <v>8.4679911667139132E-2</v>
      </c>
      <c r="P4" s="4">
        <v>6.2893081761006303E-2</v>
      </c>
      <c r="Q4" s="4">
        <v>0.18</v>
      </c>
      <c r="R4" s="4">
        <v>5.5592945005664293E-2</v>
      </c>
      <c r="S4" s="79">
        <v>1.48</v>
      </c>
      <c r="T4" s="78">
        <v>2.187716833659914</v>
      </c>
      <c r="U4" s="15">
        <v>0.76701287002940366</v>
      </c>
      <c r="V4" s="76">
        <v>5.0983946232940358</v>
      </c>
      <c r="W4" s="71">
        <v>-2.4800067209187837</v>
      </c>
      <c r="X4" s="13" t="s">
        <v>170</v>
      </c>
      <c r="Y4" s="11" t="s">
        <v>362</v>
      </c>
      <c r="Z4" s="14">
        <v>46173</v>
      </c>
      <c r="AA4" s="16" t="s">
        <v>182</v>
      </c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233</v>
      </c>
    </row>
    <row r="2" spans="1:5">
      <c r="A2" s="21" t="s">
        <v>234</v>
      </c>
      <c r="B2" s="21"/>
      <c r="C2" s="21"/>
      <c r="D2" s="21"/>
      <c r="E2" s="21"/>
    </row>
    <row r="4" spans="1:5">
      <c r="B4" s="144" t="s">
        <v>235</v>
      </c>
      <c r="C4" s="143"/>
      <c r="D4" s="143"/>
      <c r="E4" s="143"/>
    </row>
    <row r="6" spans="1:5">
      <c r="A6" s="20" t="s">
        <v>59</v>
      </c>
      <c r="B6" s="19" t="s">
        <v>236</v>
      </c>
      <c r="C6" s="47"/>
    </row>
    <row r="7" spans="1:5">
      <c r="B7" s="144" t="s">
        <v>326</v>
      </c>
      <c r="C7" s="143"/>
      <c r="D7" s="143"/>
      <c r="E7" s="143"/>
    </row>
    <row r="9" spans="1:5">
      <c r="B9" s="23" t="s">
        <v>237</v>
      </c>
    </row>
    <row r="10" spans="1:5">
      <c r="B10" s="1" t="s">
        <v>238</v>
      </c>
      <c r="C10" s="105">
        <f>benchmark</f>
        <v>0.1174</v>
      </c>
    </row>
    <row r="11" spans="1:5">
      <c r="B11" s="1" t="s">
        <v>239</v>
      </c>
      <c r="C11" s="105">
        <f>Cash_Yield</f>
        <v>3.4500000000000003E-2</v>
      </c>
    </row>
    <row r="12" spans="1:5">
      <c r="C12" s="4"/>
    </row>
    <row r="13" spans="1:5">
      <c r="B13" s="23" t="s">
        <v>240</v>
      </c>
      <c r="C13" s="4"/>
    </row>
    <row r="14" spans="1:5">
      <c r="B14" s="1" t="s">
        <v>241</v>
      </c>
      <c r="C14" s="4" t="s">
        <v>244</v>
      </c>
    </row>
    <row r="15" spans="1:5">
      <c r="B15" s="1" t="s">
        <v>242</v>
      </c>
      <c r="C15" s="24" t="s">
        <v>245</v>
      </c>
    </row>
    <row r="16" spans="1:5">
      <c r="B16" s="1" t="s">
        <v>243</v>
      </c>
      <c r="C16" s="24" t="s">
        <v>246</v>
      </c>
    </row>
    <row r="18" spans="1:5">
      <c r="B18" s="23" t="s">
        <v>247</v>
      </c>
    </row>
    <row r="19" spans="1:5">
      <c r="B19" s="24" t="s">
        <v>248</v>
      </c>
    </row>
    <row r="20" spans="1:5">
      <c r="B20" s="24" t="s">
        <v>249</v>
      </c>
    </row>
    <row r="21" spans="1:5">
      <c r="B21" s="24" t="s">
        <v>250</v>
      </c>
    </row>
    <row r="23" spans="1:5">
      <c r="A23" s="25" t="s">
        <v>60</v>
      </c>
      <c r="B23" s="19" t="s">
        <v>252</v>
      </c>
      <c r="C23" s="47"/>
    </row>
    <row r="24" spans="1:5">
      <c r="A24" s="18"/>
      <c r="B24" s="144" t="s">
        <v>251</v>
      </c>
      <c r="C24" s="143"/>
      <c r="D24" s="143"/>
      <c r="E24" s="143"/>
    </row>
    <row r="25" spans="1:5">
      <c r="A25" s="18"/>
    </row>
    <row r="26" spans="1:5">
      <c r="A26" s="18"/>
      <c r="B26" s="43" t="s">
        <v>253</v>
      </c>
      <c r="C26" s="43" t="s">
        <v>254</v>
      </c>
    </row>
    <row r="27" spans="1:5">
      <c r="B27" s="26" t="s">
        <v>255</v>
      </c>
      <c r="C27" s="106">
        <f>Portfolio_Mgmt!C30</f>
        <v>6</v>
      </c>
    </row>
    <row r="28" spans="1:5">
      <c r="B28" s="26" t="s">
        <v>256</v>
      </c>
      <c r="C28" s="107">
        <f>Portfolio_Mgmt!C31</f>
        <v>0.3</v>
      </c>
    </row>
    <row r="30" spans="1:5">
      <c r="A30" s="20" t="s">
        <v>61</v>
      </c>
      <c r="B30" s="92" t="s">
        <v>257</v>
      </c>
      <c r="C30" s="47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3" t="s">
        <v>261</v>
      </c>
      <c r="C32" s="108">
        <f>Portfolio_Mgmt!C46</f>
        <v>0.29465259038036606</v>
      </c>
      <c r="D32" s="93" t="s">
        <v>321</v>
      </c>
      <c r="E32" s="108">
        <f>Portfolio_Mgmt!E46</f>
        <v>1.7999999999999994</v>
      </c>
    </row>
    <row r="33" spans="1:5">
      <c r="B33" s="95" t="s">
        <v>262</v>
      </c>
      <c r="C33" s="109">
        <f>Portfolio_Mgmt!C47</f>
        <v>0.20075184365903009</v>
      </c>
      <c r="D33" s="96" t="s">
        <v>267</v>
      </c>
      <c r="E33" s="97">
        <f>(C32*C33+(1-C32)*C34)/(2*C33)</f>
        <v>3.6621760332915154</v>
      </c>
    </row>
    <row r="34" spans="1:5" ht="12" thickBot="1">
      <c r="B34" s="98" t="s">
        <v>263</v>
      </c>
      <c r="C34" s="99">
        <f>E32+C33</f>
        <v>2.0007518436590295</v>
      </c>
      <c r="D34" s="100" t="s">
        <v>268</v>
      </c>
      <c r="E34" s="101">
        <f>-C33/C34</f>
        <v>-0.10033820250885769</v>
      </c>
    </row>
    <row r="35" spans="1:5">
      <c r="B35" s="95" t="s">
        <v>264</v>
      </c>
      <c r="C35" s="109"/>
      <c r="D35" s="96" t="s">
        <v>267</v>
      </c>
      <c r="E35" s="97"/>
    </row>
    <row r="36" spans="1:5" ht="12" thickBot="1">
      <c r="B36" s="98" t="s">
        <v>265</v>
      </c>
      <c r="C36" s="99"/>
      <c r="D36" s="100" t="s">
        <v>268</v>
      </c>
      <c r="E36" s="101"/>
    </row>
    <row r="37" spans="1:5">
      <c r="B37" s="102" t="s">
        <v>266</v>
      </c>
      <c r="C37" s="110"/>
      <c r="D37" s="94" t="s">
        <v>269</v>
      </c>
      <c r="E37" s="111"/>
    </row>
    <row r="38" spans="1:5">
      <c r="C38" s="90"/>
    </row>
    <row r="39" spans="1:5">
      <c r="B39" s="20" t="s">
        <v>270</v>
      </c>
    </row>
    <row r="40" spans="1:5">
      <c r="B40" s="143" t="s">
        <v>271</v>
      </c>
      <c r="C40" s="143"/>
      <c r="D40" s="143"/>
      <c r="E40" s="143"/>
    </row>
    <row r="41" spans="1:5">
      <c r="B41" s="144" t="s">
        <v>272</v>
      </c>
      <c r="C41" s="143"/>
      <c r="D41" s="143"/>
      <c r="E41" s="143"/>
    </row>
    <row r="42" spans="1:5">
      <c r="B42" s="144" t="s">
        <v>273</v>
      </c>
      <c r="C42" s="143"/>
      <c r="D42" s="143"/>
      <c r="E42" s="143"/>
    </row>
    <row r="43" spans="1:5">
      <c r="B43" s="144" t="s">
        <v>274</v>
      </c>
      <c r="C43" s="144"/>
      <c r="D43" s="144"/>
      <c r="E43" s="144"/>
    </row>
    <row r="44" spans="1:5" ht="34.35" customHeight="1">
      <c r="B44" s="143" t="s">
        <v>325</v>
      </c>
      <c r="C44" s="143"/>
      <c r="D44" s="143"/>
      <c r="E44" s="143"/>
    </row>
    <row r="46" spans="1:5">
      <c r="A46" s="21" t="s">
        <v>275</v>
      </c>
      <c r="B46" s="21"/>
      <c r="C46" s="21"/>
      <c r="D46" s="21"/>
      <c r="E46" s="21"/>
    </row>
    <row r="48" spans="1:5">
      <c r="B48" s="143" t="s">
        <v>276</v>
      </c>
      <c r="C48" s="143"/>
      <c r="D48" s="143"/>
      <c r="E48" s="143"/>
    </row>
    <row r="50" spans="2:5">
      <c r="B50" s="23" t="s">
        <v>277</v>
      </c>
    </row>
    <row r="52" spans="2:5">
      <c r="B52" s="43" t="s">
        <v>278</v>
      </c>
      <c r="C52" s="43" t="s">
        <v>279</v>
      </c>
      <c r="D52" s="45"/>
      <c r="E52" s="45"/>
    </row>
    <row r="53" spans="2:5">
      <c r="B53" s="26" t="s">
        <v>280</v>
      </c>
      <c r="C53" s="112">
        <f>Portfolio_Mgmt!C60</f>
        <v>0.45</v>
      </c>
      <c r="D53" s="46"/>
      <c r="E53" s="44"/>
    </row>
    <row r="54" spans="2:5">
      <c r="B54" s="26" t="s">
        <v>281</v>
      </c>
      <c r="C54" s="112">
        <f>Portfolio_Mgmt!C61</f>
        <v>0.3</v>
      </c>
      <c r="D54" s="46"/>
      <c r="E54" s="44"/>
    </row>
    <row r="55" spans="2:5">
      <c r="B55" s="26" t="s">
        <v>282</v>
      </c>
      <c r="C55" s="112">
        <f>Portfolio_Mgmt!C62</f>
        <v>0.15</v>
      </c>
      <c r="D55" s="114" t="s">
        <v>323</v>
      </c>
      <c r="E55" s="44"/>
    </row>
    <row r="57" spans="2:5">
      <c r="B57" s="23" t="s">
        <v>283</v>
      </c>
    </row>
    <row r="59" spans="2:5">
      <c r="B59" s="43" t="s">
        <v>260</v>
      </c>
      <c r="C59" s="43" t="s">
        <v>284</v>
      </c>
      <c r="D59" s="43" t="s">
        <v>285</v>
      </c>
      <c r="E59" s="43" t="s">
        <v>286</v>
      </c>
    </row>
    <row r="60" spans="2:5">
      <c r="B60" s="26" t="s">
        <v>287</v>
      </c>
      <c r="C60" s="26" t="s">
        <v>292</v>
      </c>
      <c r="D60" s="26" t="s">
        <v>293</v>
      </c>
      <c r="E60" s="113">
        <f>Portfolio_Mgmt!E67</f>
        <v>1</v>
      </c>
    </row>
    <row r="61" spans="2:5">
      <c r="B61" s="26" t="s">
        <v>288</v>
      </c>
      <c r="C61" s="26" t="s">
        <v>294</v>
      </c>
      <c r="D61" s="26" t="s">
        <v>295</v>
      </c>
      <c r="E61" s="113">
        <f>Portfolio_Mgmt!E68</f>
        <v>1</v>
      </c>
    </row>
    <row r="62" spans="2:5">
      <c r="B62" s="26" t="s">
        <v>289</v>
      </c>
      <c r="C62" s="26" t="s">
        <v>296</v>
      </c>
      <c r="D62" s="26" t="s">
        <v>297</v>
      </c>
      <c r="E62" s="113">
        <f>Portfolio_Mgmt!E69</f>
        <v>0</v>
      </c>
    </row>
    <row r="63" spans="2:5">
      <c r="B63" s="26" t="s">
        <v>290</v>
      </c>
      <c r="C63" s="26" t="s">
        <v>298</v>
      </c>
      <c r="D63" s="26" t="s">
        <v>299</v>
      </c>
      <c r="E63" s="113">
        <f>Portfolio_Mgmt!E70</f>
        <v>2</v>
      </c>
    </row>
    <row r="64" spans="2:5">
      <c r="B64" s="26" t="s">
        <v>291</v>
      </c>
      <c r="C64" s="26" t="s">
        <v>300</v>
      </c>
      <c r="D64" s="26" t="s">
        <v>301</v>
      </c>
      <c r="E64" s="113">
        <f>Portfolio_Mgmt!E71</f>
        <v>0</v>
      </c>
    </row>
    <row r="65" spans="1:5">
      <c r="D65" s="27" t="s">
        <v>302</v>
      </c>
      <c r="E65" s="39">
        <f>SUM(E60:E64)</f>
        <v>4</v>
      </c>
    </row>
    <row r="66" spans="1:5" ht="12" thickBot="1">
      <c r="D66" s="41" t="s">
        <v>303</v>
      </c>
      <c r="E66" s="42">
        <f>IF(E65&lt;=4,C53,IF(E65&gt;=8,C55,C54))</f>
        <v>0.45</v>
      </c>
    </row>
    <row r="67" spans="1:5" ht="12" thickTop="1"/>
    <row r="68" spans="1:5">
      <c r="B68" s="1" t="s">
        <v>304</v>
      </c>
    </row>
    <row r="69" spans="1:5">
      <c r="B69" s="1" t="s">
        <v>305</v>
      </c>
    </row>
    <row r="70" spans="1:5">
      <c r="B70" s="1" t="s">
        <v>306</v>
      </c>
    </row>
    <row r="72" spans="1:5">
      <c r="A72" s="21" t="s">
        <v>307</v>
      </c>
      <c r="B72" s="21"/>
      <c r="C72" s="21"/>
      <c r="D72" s="21"/>
      <c r="E72" s="21"/>
    </row>
    <row r="74" spans="1:5">
      <c r="B74" s="143" t="s">
        <v>308</v>
      </c>
      <c r="C74" s="143"/>
      <c r="D74" s="143"/>
      <c r="E74" s="143"/>
    </row>
    <row r="76" spans="1:5">
      <c r="A76" s="28" t="s">
        <v>59</v>
      </c>
      <c r="B76" s="20" t="s">
        <v>310</v>
      </c>
    </row>
    <row r="77" spans="1:5">
      <c r="B77" s="24" t="s">
        <v>309</v>
      </c>
    </row>
    <row r="79" spans="1:5">
      <c r="A79" s="28" t="s">
        <v>206</v>
      </c>
      <c r="B79" s="20" t="s">
        <v>311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312</v>
      </c>
      <c r="C81" s="91" t="s">
        <v>322</v>
      </c>
    </row>
    <row r="82" spans="1:5">
      <c r="B82" s="104" t="s">
        <v>313</v>
      </c>
      <c r="C82" s="91" t="s">
        <v>197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314</v>
      </c>
    </row>
    <row r="86" spans="1:5">
      <c r="B86" s="1" t="s">
        <v>324</v>
      </c>
    </row>
    <row r="87" spans="1:5">
      <c r="B87" s="1" t="s">
        <v>315</v>
      </c>
    </row>
    <row r="88" spans="1:5">
      <c r="B88" s="1" t="s">
        <v>316</v>
      </c>
    </row>
    <row r="90" spans="1:5">
      <c r="A90" s="21" t="s">
        <v>320</v>
      </c>
      <c r="B90" s="21"/>
      <c r="C90" s="21"/>
      <c r="D90" s="21"/>
      <c r="E90" s="21"/>
    </row>
    <row r="92" spans="1:5">
      <c r="B92" s="20" t="s">
        <v>317</v>
      </c>
    </row>
    <row r="93" spans="1:5">
      <c r="B93" s="24" t="s">
        <v>318</v>
      </c>
    </row>
    <row r="94" spans="1:5">
      <c r="B94" s="24" t="s">
        <v>319</v>
      </c>
    </row>
    <row r="95" spans="1:5">
      <c r="B95" s="24" t="s">
        <v>327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349</v>
      </c>
    </row>
    <row r="3" spans="1:4">
      <c r="B3" s="120" t="s">
        <v>356</v>
      </c>
    </row>
    <row r="5" spans="1:4">
      <c r="A5" s="121" t="s">
        <v>333</v>
      </c>
      <c r="B5" s="122" t="s">
        <v>12</v>
      </c>
    </row>
    <row r="6" spans="1:4">
      <c r="B6" s="123" t="s">
        <v>212</v>
      </c>
      <c r="C6" s="123" t="s">
        <v>211</v>
      </c>
      <c r="D6" s="124"/>
    </row>
    <row r="7" spans="1:4">
      <c r="B7" s="125" t="s">
        <v>214</v>
      </c>
      <c r="C7" s="126">
        <f>Portfolio_Mgmt!C36</f>
        <v>3</v>
      </c>
    </row>
    <row r="8" spans="1:4">
      <c r="B8" s="127" t="s">
        <v>213</v>
      </c>
      <c r="C8" s="128">
        <v>0.6</v>
      </c>
      <c r="D8" s="120" t="s">
        <v>342</v>
      </c>
    </row>
    <row r="9" spans="1:4">
      <c r="B9" s="127" t="s">
        <v>348</v>
      </c>
      <c r="C9" s="128">
        <f>1-C8</f>
        <v>0.4</v>
      </c>
    </row>
    <row r="10" spans="1:4">
      <c r="B10" s="127" t="s">
        <v>346</v>
      </c>
      <c r="C10" s="141">
        <f>Portfolio_Mgmt!C38</f>
        <v>-0.65</v>
      </c>
    </row>
    <row r="12" spans="1:4">
      <c r="B12" s="119" t="s">
        <v>217</v>
      </c>
    </row>
    <row r="13" spans="1:4">
      <c r="B13" s="153" t="s">
        <v>343</v>
      </c>
      <c r="C13" s="153"/>
      <c r="D13" s="153"/>
    </row>
    <row r="14" spans="1:4">
      <c r="B14" s="154" t="s">
        <v>344</v>
      </c>
      <c r="C14" s="155"/>
      <c r="D14" s="155"/>
    </row>
    <row r="16" spans="1:4">
      <c r="A16" s="121" t="s">
        <v>206</v>
      </c>
      <c r="B16" s="122" t="s">
        <v>334</v>
      </c>
    </row>
    <row r="17" spans="1:5">
      <c r="B17" s="123" t="s">
        <v>336</v>
      </c>
      <c r="C17" s="123" t="s">
        <v>347</v>
      </c>
      <c r="D17" s="123" t="s">
        <v>354</v>
      </c>
      <c r="E17" s="123" t="s">
        <v>345</v>
      </c>
    </row>
    <row r="18" spans="1:5">
      <c r="B18" s="127" t="s">
        <v>337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338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335</v>
      </c>
    </row>
    <row r="22" spans="1:5">
      <c r="B22" s="123" t="s">
        <v>341</v>
      </c>
      <c r="C22" s="123" t="s">
        <v>357</v>
      </c>
      <c r="D22" s="123" t="s">
        <v>215</v>
      </c>
    </row>
    <row r="23" spans="1:5">
      <c r="B23" s="127" t="s">
        <v>339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340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4.1500000000000002E-2</v>
      </c>
      <c r="D4" s="34">
        <v>6.7500000000000004E-2</v>
      </c>
      <c r="E4" s="35">
        <f>D4-C4</f>
        <v>2.6000000000000002E-2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359</v>
      </c>
    </row>
    <row r="35" spans="1:5" ht="223.15" customHeight="1">
      <c r="B35" s="156" t="s">
        <v>360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332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185</v>
      </c>
      <c r="L2" s="52" t="s">
        <v>186</v>
      </c>
      <c r="M2" s="52" t="s">
        <v>187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683820+45083</f>
        <v>728903</v>
      </c>
      <c r="H3" s="58" t="e">
        <f t="shared" ref="H3:H9" si="0">G3/$G$12</f>
        <v>#N/A</v>
      </c>
      <c r="I3" s="75">
        <f>Portfolio_Mgmt!E73</f>
        <v>0.45</v>
      </c>
      <c r="J3" s="80" t="s">
        <v>188</v>
      </c>
      <c r="K3" s="80" t="s">
        <v>188</v>
      </c>
      <c r="L3" s="80" t="s">
        <v>188</v>
      </c>
      <c r="M3" s="80" t="s">
        <v>188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 t="shared" ref="G4:G10" si="1">D4*F4</f>
        <v>#N/A</v>
      </c>
      <c r="H4" s="58" t="e">
        <f t="shared" si="0"/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4000</v>
      </c>
      <c r="G5" s="61" t="e">
        <f t="shared" si="1"/>
        <v>#N/A</v>
      </c>
      <c r="H5" s="58" t="e">
        <f t="shared" si="0"/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184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 t="shared" si="1"/>
        <v>#N/A</v>
      </c>
      <c r="H6" s="58" t="e">
        <f t="shared" si="0"/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331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8000</v>
      </c>
      <c r="G7" s="61" t="e">
        <f t="shared" si="1"/>
        <v>#N/A</v>
      </c>
      <c r="H7" s="58" t="e">
        <f t="shared" si="0"/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63" t="s">
        <v>361</v>
      </c>
      <c r="C8" s="62" t="e">
        <f>VLOOKUP(B8,Opportunities!B$3:E$30,2,FALSE)</f>
        <v>#N/A</v>
      </c>
      <c r="D8" s="60" t="e">
        <f>VLOOKUP(B8,Opportunities!B$3:E$30,3,FALSE)</f>
        <v>#N/A</v>
      </c>
      <c r="E8" s="59" t="e">
        <f>VLOOKUP(B8,Opportunities!B$3:E$30,4,FALSE)</f>
        <v>#N/A</v>
      </c>
      <c r="F8" s="57">
        <v>5000</v>
      </c>
      <c r="G8" s="61" t="e">
        <f t="shared" si="1"/>
        <v>#N/A</v>
      </c>
      <c r="H8" s="58" t="e">
        <f t="shared" si="0"/>
        <v>#N/A</v>
      </c>
      <c r="I8" s="58" t="e">
        <f>VLOOKUP(B8,Opportunities!B$3:I$30,8,FALSE)</f>
        <v>#N/A</v>
      </c>
      <c r="J8" s="81" t="e">
        <f>VLOOKUP(B8,Opportunities!B$3:N$30,12,FALSE)</f>
        <v>#N/A</v>
      </c>
      <c r="K8" s="81" t="e">
        <f>VLOOKUP(B8,Opportunities!B$3:N$30,9,FALSE)</f>
        <v>#N/A</v>
      </c>
      <c r="L8" s="81" t="e">
        <f>VLOOKUP(B8,Opportunities!B$3:N$30,11,FALSE)</f>
        <v>#N/A</v>
      </c>
      <c r="M8" s="81" t="e">
        <f>VLOOKUP(B8,Opportunities!B$3:N$30,13,FALSE)</f>
        <v>#N/A</v>
      </c>
    </row>
    <row r="9" spans="1:13">
      <c r="B9" s="63" t="s">
        <v>328</v>
      </c>
      <c r="C9" s="62" t="str">
        <f>VLOOKUP(B9,Opportunities!B$3:E$30,2,FALSE)</f>
        <v>大家乐集团</v>
      </c>
      <c r="D9" s="60">
        <f>VLOOKUP(B9,Opportunities!B$3:E$30,3,FALSE)</f>
        <v>4.7699999999999996</v>
      </c>
      <c r="E9" s="59" t="str">
        <f>VLOOKUP(B9,Opportunities!B$3:E$30,4,FALSE)</f>
        <v>HKD</v>
      </c>
      <c r="F9" s="57">
        <v>4000</v>
      </c>
      <c r="G9" s="61">
        <f t="shared" si="1"/>
        <v>19080</v>
      </c>
      <c r="H9" s="58" t="e">
        <f t="shared" si="0"/>
        <v>#N/A</v>
      </c>
      <c r="I9" s="58">
        <f>VLOOKUP(B9,Opportunities!B$3:I$30,8,FALSE)</f>
        <v>4.9680019695456108E-2</v>
      </c>
      <c r="J9" s="81">
        <f>VLOOKUP(B9,Opportunities!B$3:N$30,12,FALSE)</f>
        <v>4.3863778786396921</v>
      </c>
      <c r="K9" s="81">
        <f>VLOOKUP(B9,Opportunities!B$3:N$30,9,FALSE)</f>
        <v>3.5448769715805417</v>
      </c>
      <c r="L9" s="81">
        <f>VLOOKUP(B9,Opportunities!B$3:N$30,11,FALSE)</f>
        <v>6.0535626537009426</v>
      </c>
      <c r="M9" s="81">
        <f>VLOOKUP(B9,Opportunities!B$3:N$30,13,FALSE)</f>
        <v>5.383547517599351</v>
      </c>
    </row>
    <row r="10" spans="1:13">
      <c r="B10" s="63" t="s">
        <v>330</v>
      </c>
      <c r="C10" s="62" t="e">
        <f>VLOOKUP(B10,Opportunities!B$3:E$30,2,FALSE)</f>
        <v>#N/A</v>
      </c>
      <c r="D10" s="60" t="e">
        <f>VLOOKUP(B10,Opportunities!B$3:E$30,3,FALSE)</f>
        <v>#N/A</v>
      </c>
      <c r="E10" s="59" t="e">
        <f>VLOOKUP(B10,Opportunities!B$3:E$30,4,FALSE)</f>
        <v>#N/A</v>
      </c>
      <c r="F10" s="57">
        <v>12000</v>
      </c>
      <c r="G10" s="61" t="e">
        <f t="shared" si="1"/>
        <v>#N/A</v>
      </c>
      <c r="H10" s="58" t="e">
        <f t="shared" ref="H10" si="2">G10/$G$12</f>
        <v>#N/A</v>
      </c>
      <c r="I10" s="58" t="e">
        <f>VLOOKUP(B10,Opportunities!B$3:I$30,8,FALSE)</f>
        <v>#N/A</v>
      </c>
      <c r="J10" s="81" t="e">
        <f>VLOOKUP(B10,Opportunities!B$3:N$30,12,FALSE)</f>
        <v>#N/A</v>
      </c>
      <c r="K10" s="81" t="e">
        <f>VLOOKUP(B10,Opportunities!B$3:N$30,9,FALSE)</f>
        <v>#N/A</v>
      </c>
      <c r="L10" s="81" t="e">
        <f>VLOOKUP(B10,Opportunities!B$3:N$30,11,FALSE)</f>
        <v>#N/A</v>
      </c>
      <c r="M10" s="81" t="e">
        <f>VLOOKUP(B10,Opportunities!B$3:N$30,13,FALSE)</f>
        <v>#N/A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161</v>
      </c>
      <c r="G12" s="66" t="e">
        <f>SUM(G3:G10)</f>
        <v>#N/A</v>
      </c>
      <c r="H12" s="67" t="e">
        <f>SUM(H3:H10)</f>
        <v>#N/A</v>
      </c>
      <c r="I12" s="73" t="e">
        <f>SUM(I3:I10)</f>
        <v>#N/A</v>
      </c>
      <c r="J12" s="82" t="s">
        <v>188</v>
      </c>
      <c r="K12" s="82" t="s">
        <v>188</v>
      </c>
      <c r="L12" s="82" t="s">
        <v>188</v>
      </c>
      <c r="M12" s="82" t="s">
        <v>188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159</v>
      </c>
      <c r="C14" s="115"/>
    </row>
    <row r="15" spans="1:13">
      <c r="B15" s="63" t="s">
        <v>158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0</v>
      </c>
      <c r="G15" s="61" t="e">
        <f t="shared" ref="G15:G20" si="3">-D15*F15</f>
        <v>#N/A</v>
      </c>
      <c r="H15" s="58" t="e">
        <f t="shared" ref="H15:H20" si="4">-G15/$G$12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171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0</v>
      </c>
      <c r="G16" s="61" t="e">
        <f t="shared" si="3"/>
        <v>#N/A</v>
      </c>
      <c r="H16" s="58" t="e">
        <f t="shared" si="4"/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B17" s="63" t="s">
        <v>184</v>
      </c>
      <c r="C17" s="62" t="e">
        <f>VLOOKUP(B17,Opportunities!B$3:E$30,2,FALSE)</f>
        <v>#N/A</v>
      </c>
      <c r="D17" s="60" t="e">
        <f>VLOOKUP(B17,Opportunities!B$3:E$30,3,FALSE)</f>
        <v>#N/A</v>
      </c>
      <c r="E17" s="59" t="e">
        <f>VLOOKUP(B17,Opportunities!B$3:E$30,4,FALSE)</f>
        <v>#N/A</v>
      </c>
      <c r="F17" s="57">
        <v>0</v>
      </c>
      <c r="G17" s="61" t="e">
        <f t="shared" si="3"/>
        <v>#N/A</v>
      </c>
      <c r="H17" s="58" t="e">
        <f t="shared" si="4"/>
        <v>#N/A</v>
      </c>
      <c r="I17" s="58" t="e">
        <f>VLOOKUP(B17,Opportunities!B$3:I$30,8,FALSE)</f>
        <v>#N/A</v>
      </c>
      <c r="J17" s="81" t="e">
        <f>VLOOKUP(B17,Opportunities!B$3:N$30,12,FALSE)</f>
        <v>#N/A</v>
      </c>
      <c r="K17" s="81" t="e">
        <f>VLOOKUP(B17,Opportunities!B$3:N$30,9,FALSE)</f>
        <v>#N/A</v>
      </c>
      <c r="L17" s="81" t="e">
        <f>VLOOKUP(B17,Opportunities!B$3:N$30,11,FALSE)</f>
        <v>#N/A</v>
      </c>
      <c r="M17" s="81" t="e">
        <f>VLOOKUP(B17,Opportunities!B$3:N$30,13,FALSE)</f>
        <v>#N/A</v>
      </c>
    </row>
    <row r="18" spans="1:13">
      <c r="B18" s="63" t="s">
        <v>330</v>
      </c>
      <c r="C18" s="62" t="e">
        <f>VLOOKUP(B18,Opportunities!B$3:E$30,2,FALSE)</f>
        <v>#N/A</v>
      </c>
      <c r="D18" s="60" t="e">
        <f>VLOOKUP(B18,Opportunities!B$3:E$30,3,FALSE)</f>
        <v>#N/A</v>
      </c>
      <c r="E18" s="59" t="e">
        <f>VLOOKUP(B18,Opportunities!B$3:E$30,4,FALSE)</f>
        <v>#N/A</v>
      </c>
      <c r="F18" s="57">
        <v>0</v>
      </c>
      <c r="G18" s="61" t="e">
        <f t="shared" si="3"/>
        <v>#N/A</v>
      </c>
      <c r="H18" s="58" t="e">
        <f t="shared" si="4"/>
        <v>#N/A</v>
      </c>
      <c r="I18" s="58" t="e">
        <f>VLOOKUP(B18,Opportunities!B$3:I$30,8,FALSE)</f>
        <v>#N/A</v>
      </c>
      <c r="J18" s="81" t="e">
        <f>VLOOKUP(B18,Opportunities!B$3:N$30,12,FALSE)</f>
        <v>#N/A</v>
      </c>
      <c r="K18" s="81" t="e">
        <f>VLOOKUP(B18,Opportunities!B$3:N$30,9,FALSE)</f>
        <v>#N/A</v>
      </c>
      <c r="L18" s="81" t="e">
        <f>VLOOKUP(B18,Opportunities!B$3:N$30,11,FALSE)</f>
        <v>#N/A</v>
      </c>
      <c r="M18" s="81" t="e">
        <f>VLOOKUP(B18,Opportunities!B$3:N$30,13,FALSE)</f>
        <v>#N/A</v>
      </c>
    </row>
    <row r="19" spans="1:13">
      <c r="B19" s="63" t="s">
        <v>361</v>
      </c>
      <c r="C19" s="62" t="e">
        <f>VLOOKUP(B19,Opportunities!B$3:E$30,2,FALSE)</f>
        <v>#N/A</v>
      </c>
      <c r="D19" s="60" t="e">
        <f>VLOOKUP(B19,Opportunities!B$3:E$30,3,FALSE)</f>
        <v>#N/A</v>
      </c>
      <c r="E19" s="59" t="e">
        <f>VLOOKUP(B19,Opportunities!B$3:E$30,4,FALSE)</f>
        <v>#N/A</v>
      </c>
      <c r="F19" s="57">
        <v>0</v>
      </c>
      <c r="G19" s="61" t="e">
        <f t="shared" si="3"/>
        <v>#N/A</v>
      </c>
      <c r="H19" s="58" t="e">
        <f t="shared" si="4"/>
        <v>#N/A</v>
      </c>
      <c r="I19" s="58" t="e">
        <f>VLOOKUP(B19,Opportunities!B$3:I$30,8,FALSE)</f>
        <v>#N/A</v>
      </c>
      <c r="J19" s="81" t="e">
        <f>VLOOKUP(B19,Opportunities!B$3:N$30,12,FALSE)</f>
        <v>#N/A</v>
      </c>
      <c r="K19" s="81" t="e">
        <f>VLOOKUP(B19,Opportunities!B$3:N$30,9,FALSE)</f>
        <v>#N/A</v>
      </c>
      <c r="L19" s="81" t="e">
        <f>VLOOKUP(B19,Opportunities!B$3:N$30,11,FALSE)</f>
        <v>#N/A</v>
      </c>
      <c r="M19" s="81" t="e">
        <f>VLOOKUP(B19,Opportunities!B$3:N$30,13,FALSE)</f>
        <v>#N/A</v>
      </c>
    </row>
    <row r="20" spans="1:13">
      <c r="B20" s="63" t="s">
        <v>331</v>
      </c>
      <c r="C20" s="62" t="e">
        <f>VLOOKUP(B20,Opportunities!B$3:E$30,2,FALSE)</f>
        <v>#N/A</v>
      </c>
      <c r="D20" s="60" t="e">
        <f>VLOOKUP(B20,Opportunities!B$3:E$30,3,FALSE)</f>
        <v>#N/A</v>
      </c>
      <c r="E20" s="59" t="e">
        <f>VLOOKUP(B20,Opportunities!B$3:E$30,4,FALSE)</f>
        <v>#N/A</v>
      </c>
      <c r="F20" s="57">
        <v>0</v>
      </c>
      <c r="G20" s="61" t="e">
        <f t="shared" si="3"/>
        <v>#N/A</v>
      </c>
      <c r="H20" s="58" t="e">
        <f t="shared" si="4"/>
        <v>#N/A</v>
      </c>
      <c r="I20" s="58" t="e">
        <f>VLOOKUP(B20,Opportunities!B$3:I$30,8,FALSE)</f>
        <v>#N/A</v>
      </c>
      <c r="J20" s="81" t="e">
        <f>VLOOKUP(B20,Opportunities!B$3:N$30,12,FALSE)</f>
        <v>#N/A</v>
      </c>
      <c r="K20" s="81" t="e">
        <f>VLOOKUP(B20,Opportunities!B$3:N$30,9,FALSE)</f>
        <v>#N/A</v>
      </c>
      <c r="L20" s="81" t="e">
        <f>VLOOKUP(B20,Opportunities!B$3:N$30,11,FALSE)</f>
        <v>#N/A</v>
      </c>
      <c r="M20" s="81" t="e">
        <f>VLOOKUP(B20,Opportunities!B$3:N$30,13,FALSE)</f>
        <v>#N/A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160</v>
      </c>
      <c r="C23" s="68"/>
      <c r="D23" s="69" t="s">
        <v>156</v>
      </c>
      <c r="E23" s="70" t="s">
        <v>135</v>
      </c>
      <c r="F23" s="69" t="s">
        <v>156</v>
      </c>
      <c r="G23" s="66" t="e">
        <f>G3+SUM(G15:G20)</f>
        <v>#N/A</v>
      </c>
      <c r="H23" s="73" t="e">
        <f t="shared" ref="H23" si="5">G23/$G$12</f>
        <v>#N/A</v>
      </c>
      <c r="I23" s="73">
        <f>Portfolio_Mgmt!E73</f>
        <v>0.45</v>
      </c>
      <c r="J23" s="82" t="s">
        <v>188</v>
      </c>
      <c r="K23" s="82" t="s">
        <v>188</v>
      </c>
      <c r="L23" s="82" t="s">
        <v>188</v>
      </c>
      <c r="M23" s="82" t="s">
        <v>188</v>
      </c>
    </row>
    <row r="25" spans="1:13" ht="13.15">
      <c r="A25" s="49"/>
      <c r="B25" s="50" t="s">
        <v>189</v>
      </c>
      <c r="C25" s="115"/>
      <c r="D25" s="56"/>
      <c r="E25" s="53"/>
      <c r="F25" s="57"/>
      <c r="G25" s="57"/>
    </row>
    <row r="26" spans="1:13" ht="13.15">
      <c r="C26" s="84" t="s">
        <v>190</v>
      </c>
      <c r="D26" s="84" t="s">
        <v>193</v>
      </c>
      <c r="F26" s="84" t="s">
        <v>194</v>
      </c>
    </row>
    <row r="27" spans="1:13" ht="14.25">
      <c r="B27" s="83" t="s">
        <v>191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192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195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2026-01-16T09:00:20Z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