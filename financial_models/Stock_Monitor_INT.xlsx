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77F7E2C-BEAA-4780-B8B3-955122DAF42A}" xr6:coauthVersionLast="47" xr6:coauthVersionMax="47" xr10:uidLastSave="{00000000-0000-0000-0000-000000000000}"/>
  <bookViews>
    <workbookView xWindow="735" yWindow="735" windowWidth="12690" windowHeight="7643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<sst xmlns="http://schemas.openxmlformats.org/spreadsheetml/2006/main" count="491" uniqueCount="391">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</sst>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10.95</v>
      </c>
      <c r="E3" s="12" t="s">
        <v>134</v>
      </c>
      <c r="F3" s="15">
        <v>0.24545588146687553</v>
      </c>
      <c r="G3" s="15">
        <f>F3 - Portfolio_Mgmt!$C$10</f>
        <v>0.12805588146687552</v>
      </c>
      <c r="H3" s="15">
        <f>F3 - Portfolio_Mgmt!$C$11</f>
        <v>0.21095588146687552</v>
      </c>
      <c r="I3" s="15">
        <v>0.11806286085401296</v>
      </c>
      <c r="J3" s="2">
        <v>9.7976182257555031</v>
      </c>
      <c r="K3" s="2">
        <v>18.832538056736045</v>
      </c>
      <c r="L3" s="71">
        <v>16.863282559379705</v>
      </c>
      <c r="M3" s="2">
        <v>12.164684995831331</v>
      </c>
      <c r="N3" s="2">
        <v>14.973823103048371</v>
      </c>
      <c r="O3" s="4">
        <v>9.3035741095274432E-2</v>
      </c>
      <c r="P3" s="4">
        <v>5.5848492991565024E-2</v>
      </c>
      <c r="Q3" s="4">
        <v>0.10095793170403848</v>
      </c>
      <c r="R3" s="4">
        <v>0.12639799366819729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1.7671407808855011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3.92</v>
      </c>
      <c r="E4" s="12" t="s">
        <v>134</v>
      </c>
      <c r="F4" s="15">
        <v>0.24111512969803736</v>
      </c>
      <c r="G4" s="15">
        <f>F4 - Portfolio_Mgmt!$C$10</f>
        <v>0.12371512969803736</v>
      </c>
      <c r="H4" s="15">
        <f>F4 - Portfolio_Mgmt!$C$11</f>
        <v>0.20661512969803736</v>
      </c>
      <c r="I4" s="15">
        <v>0.11459814493629858</v>
      </c>
      <c r="J4" s="2">
        <v>3.4746174973670048</v>
      </c>
      <c r="K4" s="2">
        <v>6.579785868191963</v>
      </c>
      <c r="L4" s="71">
        <v>5.9652651519652338</v>
      </c>
      <c r="M4" s="2">
        <v>4.309346489867405</v>
      </c>
      <c r="N4" s="2">
        <v>5.2994973406904808</v>
      </c>
      <c r="O4" s="4">
        <v>0.11356935516747675</v>
      </c>
      <c r="P4" s="4">
        <v>6.1683673469387752E-2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1.2868932816537482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380</v>
      </c>
      <c r="C5" s="11" t="s">
        <v>381</v>
      </c>
      <c r="D5" s="2">
        <v>108.4</v>
      </c>
      <c r="E5" s="12" t="s">
        <v>134</v>
      </c>
      <c r="F5" s="15">
        <v>0.23276346821133451</v>
      </c>
      <c r="G5" s="15">
        <f>F5 - Portfolio_Mgmt!$C$10</f>
        <v>0.1153634682113345</v>
      </c>
      <c r="H5" s="15">
        <f>F5 - Portfolio_Mgmt!$C$11</f>
        <v>0.1982634682113345</v>
      </c>
      <c r="I5" s="15">
        <v>0.21511637641971776</v>
      </c>
      <c r="J5" s="2">
        <v>93.938670968979238</v>
      </c>
      <c r="K5" s="2">
        <v>189.90948550292694</v>
      </c>
      <c r="L5" s="71">
        <v>163.11059698866035</v>
      </c>
      <c r="M5" s="2">
        <v>117.08006353169542</v>
      </c>
      <c r="N5" s="2">
        <v>144.58783443836151</v>
      </c>
      <c r="O5" s="4">
        <v>7.9551918170658015E-2</v>
      </c>
      <c r="P5" s="4">
        <v>3.2380073800738006E-2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-65.351938341123912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382</v>
      </c>
      <c r="C6" s="11" t="s">
        <v>383</v>
      </c>
      <c r="D6" s="2">
        <v>78.2</v>
      </c>
      <c r="E6" s="12" t="s">
        <v>134</v>
      </c>
      <c r="F6" s="15">
        <v>0.20744728707916196</v>
      </c>
      <c r="G6" s="15">
        <f>F6 - Portfolio_Mgmt!$C$10</f>
        <v>9.0047287079161958E-2</v>
      </c>
      <c r="H6" s="15">
        <f>F6 - Portfolio_Mgmt!$C$11</f>
        <v>0.17294728707916196</v>
      </c>
      <c r="I6" s="15">
        <v>0.16532005022104238</v>
      </c>
      <c r="J6" s="2">
        <v>64.083024609004411</v>
      </c>
      <c r="K6" s="2">
        <v>120.87002974929135</v>
      </c>
      <c r="L6" s="71">
        <v>109.94487498667915</v>
      </c>
      <c r="M6" s="2">
        <v>79.455065764340816</v>
      </c>
      <c r="N6" s="2">
        <v>97.686984946737908</v>
      </c>
      <c r="O6" s="4">
        <v>6.9443524836715065E-2</v>
      </c>
      <c r="P6" s="4">
        <v>5.8580562659846548E-2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1.4595879951208952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79.7</v>
      </c>
      <c r="E7" s="12" t="s">
        <v>134</v>
      </c>
      <c r="F7" s="15">
        <v>0.1802044512971728</v>
      </c>
      <c r="G7" s="15">
        <f>F7 - Portfolio_Mgmt!$C$10</f>
        <v>6.2804451297172798E-2</v>
      </c>
      <c r="H7" s="15">
        <f>F7 - Portfolio_Mgmt!$C$11</f>
        <v>0.1457044512971728</v>
      </c>
      <c r="I7" s="15">
        <v>9.5727166999319935E-2</v>
      </c>
      <c r="J7" s="2">
        <v>61.546008159738619</v>
      </c>
      <c r="K7" s="2">
        <v>108.22286288718669</v>
      </c>
      <c r="L7" s="71">
        <v>104.3916642499931</v>
      </c>
      <c r="M7" s="2">
        <v>75.934104527665241</v>
      </c>
      <c r="N7" s="2">
        <v>92.961304638445242</v>
      </c>
      <c r="O7" s="4">
        <v>0.11363643319612667</v>
      </c>
      <c r="P7" s="4">
        <v>8.0045169385194473E-2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-19.223523599617479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362</v>
      </c>
      <c r="C8" s="11" t="s">
        <v>363</v>
      </c>
      <c r="D8" s="2">
        <v>7.1</v>
      </c>
      <c r="E8" s="12" t="s">
        <v>134</v>
      </c>
      <c r="F8" s="15">
        <v>0.17343705650576521</v>
      </c>
      <c r="G8" s="15">
        <f>F8 - Portfolio_Mgmt!$C$10</f>
        <v>5.6037056505765209E-2</v>
      </c>
      <c r="H8" s="15">
        <f>F8 - Portfolio_Mgmt!$C$11</f>
        <v>0.13893705650576521</v>
      </c>
      <c r="I8" s="15">
        <v>7.4984565788737495E-2</v>
      </c>
      <c r="J8" s="2">
        <v>5.3141281403824898</v>
      </c>
      <c r="K8" s="2">
        <v>10.967807599967429</v>
      </c>
      <c r="L8" s="71">
        <v>9.2614927891107719</v>
      </c>
      <c r="M8" s="2">
        <v>6.6339642861251669</v>
      </c>
      <c r="N8" s="2">
        <v>8.2038797297466814</v>
      </c>
      <c r="O8" s="4">
        <v>6.4656356394088135E-2</v>
      </c>
      <c r="P8" s="4">
        <v>0.02</v>
      </c>
      <c r="Q8" s="4">
        <v>0.3</v>
      </c>
      <c r="R8" s="4">
        <v>0.15217050538089463</v>
      </c>
      <c r="S8" s="79">
        <v>1.1106245684847842</v>
      </c>
      <c r="T8" s="78">
        <v>1.775102743966247</v>
      </c>
      <c r="U8" s="15">
        <v>0.17709797868255178</v>
      </c>
      <c r="V8" s="76">
        <v>0.82178780749892033</v>
      </c>
      <c r="W8" s="71">
        <v>-0.16650139591844174</v>
      </c>
      <c r="X8" s="13" t="s">
        <v>169</v>
      </c>
      <c r="Y8" s="11" t="s">
        <v>364</v>
      </c>
      <c r="Z8" s="14">
        <v>46081</v>
      </c>
      <c r="AA8" s="16" t="s">
        <v>181</v>
      </c>
    </row>
    <row r="9" spans="1:27">
      <c r="B9" s="11" t="s">
        <v>327</v>
      </c>
      <c r="C9" s="11" t="s">
        <v>328</v>
      </c>
      <c r="D9" s="2">
        <v>4.71</v>
      </c>
      <c r="E9" s="12" t="s">
        <v>134</v>
      </c>
      <c r="F9" s="15">
        <v>0.17109898945021842</v>
      </c>
      <c r="G9" s="15">
        <f>F9 - Portfolio_Mgmt!$C$10</f>
        <v>5.3698989450218421E-2</v>
      </c>
      <c r="H9" s="15">
        <f>F9 - Portfolio_Mgmt!$C$11</f>
        <v>0.13659898945021842</v>
      </c>
      <c r="I9" s="15">
        <v>6.7430620943927266E-2</v>
      </c>
      <c r="J9" s="2">
        <v>3.5453162653105039</v>
      </c>
      <c r="K9" s="2">
        <v>6.5021029196761031</v>
      </c>
      <c r="L9" s="71">
        <v>6.0543353749158966</v>
      </c>
      <c r="M9" s="2">
        <v>4.3869285024051887</v>
      </c>
      <c r="N9" s="2">
        <v>5.3842307819113344</v>
      </c>
      <c r="O9" s="4">
        <v>8.5758636656529441E-2</v>
      </c>
      <c r="P9" s="4">
        <v>6.369426751592358E-2</v>
      </c>
      <c r="Q9" s="4">
        <v>0.18</v>
      </c>
      <c r="R9" s="4">
        <v>5.5599077391744495E-2</v>
      </c>
      <c r="S9" s="79">
        <v>1.4798367611150316</v>
      </c>
      <c r="T9" s="78">
        <v>2.187716833659914</v>
      </c>
      <c r="U9" s="15">
        <v>0.76701287002940366</v>
      </c>
      <c r="V9" s="76">
        <v>5.0983946232940358</v>
      </c>
      <c r="W9" s="71">
        <v>-2.4800067209187837</v>
      </c>
      <c r="X9" s="13" t="s">
        <v>169</v>
      </c>
      <c r="Y9" s="11" t="s">
        <v>361</v>
      </c>
      <c r="Z9" s="14">
        <v>46173</v>
      </c>
      <c r="AA9" s="16" t="s">
        <v>181</v>
      </c>
    </row>
    <row r="10" spans="1:27">
      <c r="B10" s="11" t="s">
        <v>183</v>
      </c>
      <c r="C10" s="11" t="s">
        <v>371</v>
      </c>
      <c r="D10" s="2">
        <v>3.36</v>
      </c>
      <c r="E10" s="12" t="s">
        <v>134</v>
      </c>
      <c r="F10" s="15">
        <v>0.17082869369402165</v>
      </c>
      <c r="G10" s="15">
        <f>F10 - Portfolio_Mgmt!$C$10</f>
        <v>5.3428693694021645E-2</v>
      </c>
      <c r="H10" s="15">
        <f>F10 - Portfolio_Mgmt!$C$11</f>
        <v>0.13632869369402165</v>
      </c>
      <c r="I10" s="15">
        <v>6.6543794811664683E-2</v>
      </c>
      <c r="J10" s="2">
        <v>2.5385815935033342</v>
      </c>
      <c r="K10" s="2">
        <v>4.4366120194593153</v>
      </c>
      <c r="L10" s="71">
        <v>4.3016714192105461</v>
      </c>
      <c r="M10" s="2">
        <v>3.1307450481218235</v>
      </c>
      <c r="N10" s="2">
        <v>3.8313906187252909</v>
      </c>
      <c r="O10" s="4">
        <v>7.22692940742648E-2</v>
      </c>
      <c r="P10" s="4">
        <v>8.0357142857142863E-2</v>
      </c>
      <c r="Q10" s="4">
        <v>0.11354054587062024</v>
      </c>
      <c r="R10" s="4">
        <v>0.4243739445166862</v>
      </c>
      <c r="S10" s="79">
        <v>0.22035988512352028</v>
      </c>
      <c r="T10" s="78">
        <v>1.2141426890285656</v>
      </c>
      <c r="U10" s="15">
        <v>2.3107986944995245E-3</v>
      </c>
      <c r="V10" s="76">
        <v>2.0454423835375664E-2</v>
      </c>
      <c r="W10" s="71">
        <v>0.79833937207218564</v>
      </c>
      <c r="X10" s="16" t="s">
        <v>372</v>
      </c>
      <c r="Y10" s="11" t="s">
        <v>361</v>
      </c>
      <c r="Z10" s="14">
        <v>46081</v>
      </c>
      <c r="AA10" s="16" t="s">
        <v>181</v>
      </c>
    </row>
    <row r="11" spans="1:27">
      <c r="B11" s="11" t="s">
        <v>386</v>
      </c>
      <c r="C11" s="11" t="s">
        <v>387</v>
      </c>
      <c r="D11" s="2">
        <v>42.4</v>
      </c>
      <c r="E11" s="12" t="s">
        <v>134</v>
      </c>
      <c r="F11" s="15">
        <v>0.15855740519921338</v>
      </c>
      <c r="G11" s="15">
        <f>F11 - Portfolio_Mgmt!$C$10</f>
        <v>4.1157405199213376E-2</v>
      </c>
      <c r="H11" s="15">
        <f>F11 - Portfolio_Mgmt!$C$11</f>
        <v>0.12405740519921338</v>
      </c>
      <c r="I11" s="15">
        <v>2.304871387799436E-2</v>
      </c>
      <c r="J11" s="2">
        <v>30.695059697144316</v>
      </c>
      <c r="K11" s="2">
        <v>60.922911775163712</v>
      </c>
      <c r="L11" s="71">
        <v>53.124686702250834</v>
      </c>
      <c r="M11" s="2">
        <v>38.202646604928695</v>
      </c>
      <c r="N11" s="2">
        <v>47.121500168497697</v>
      </c>
      <c r="O11" s="4">
        <v>6.9312489962270629E-2</v>
      </c>
      <c r="P11" s="4">
        <v>3.3768915094339623E-2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-6.3382048349071285</v>
      </c>
      <c r="X11" s="13" t="s">
        <v>169</v>
      </c>
      <c r="Y11" s="11" t="s">
        <v>364</v>
      </c>
      <c r="Z11" s="14">
        <v>46081</v>
      </c>
      <c r="AA11" s="16" t="s">
        <v>181</v>
      </c>
    </row>
    <row r="12" spans="1:27">
      <c r="B12" s="11" t="s">
        <v>330</v>
      </c>
      <c r="C12" s="11" t="s">
        <v>369</v>
      </c>
      <c r="D12" s="2">
        <v>8.25</v>
      </c>
      <c r="E12" s="12" t="s">
        <v>134</v>
      </c>
      <c r="F12" s="15">
        <v>0.15353813338003686</v>
      </c>
      <c r="G12" s="15">
        <f>F12 - Portfolio_Mgmt!$C$10</f>
        <v>3.6138133380036852E-2</v>
      </c>
      <c r="H12" s="15">
        <f>F12 - Portfolio_Mgmt!$C$11</f>
        <v>0.11903813338003685</v>
      </c>
      <c r="I12" s="15">
        <v>1.6129158499726759E-3</v>
      </c>
      <c r="J12" s="2">
        <v>5.9078368150321605</v>
      </c>
      <c r="K12" s="2">
        <v>11.541914080056717</v>
      </c>
      <c r="L12" s="71">
        <v>10.196764565217837</v>
      </c>
      <c r="M12" s="2">
        <v>7.3440346104754823</v>
      </c>
      <c r="N12" s="2">
        <v>9.0493420849154926</v>
      </c>
      <c r="O12" s="4">
        <v>8.6353694606561032E-2</v>
      </c>
      <c r="P12" s="4">
        <v>3.9015080252477116E-2</v>
      </c>
      <c r="Q12" s="4">
        <v>0.17172003183646106</v>
      </c>
      <c r="R12" s="4">
        <v>8.3606170991535958E-2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-2.9886395027802579</v>
      </c>
      <c r="X12" s="13" t="s">
        <v>370</v>
      </c>
      <c r="Y12" s="11" t="s">
        <v>364</v>
      </c>
      <c r="Z12" s="14">
        <v>46081</v>
      </c>
      <c r="AA12" s="16" t="s">
        <v>367</v>
      </c>
    </row>
    <row r="13" spans="1:27">
      <c r="B13" s="11" t="s">
        <v>388</v>
      </c>
      <c r="C13" s="11" t="s">
        <v>389</v>
      </c>
      <c r="D13" s="2">
        <v>84.85</v>
      </c>
      <c r="E13" s="12" t="s">
        <v>134</v>
      </c>
      <c r="F13" s="15">
        <v>0.15220350461898119</v>
      </c>
      <c r="G13" s="15">
        <f>F13 - Portfolio_Mgmt!$C$10</f>
        <v>3.4803504618981185E-2</v>
      </c>
      <c r="H13" s="15">
        <f>F13 - Portfolio_Mgmt!$C$11</f>
        <v>0.11770350461898119</v>
      </c>
      <c r="I13" s="15">
        <v>0</v>
      </c>
      <c r="J13" s="2">
        <v>59.810810612437827</v>
      </c>
      <c r="K13" s="2">
        <v>129.78945902899005</v>
      </c>
      <c r="L13" s="2">
        <v>105.20769838411479</v>
      </c>
      <c r="M13" s="2">
        <v>74.968640594362512</v>
      </c>
      <c r="N13" s="2">
        <v>93.027943662797526</v>
      </c>
      <c r="O13" s="4">
        <v>1.4630748794299549E-2</v>
      </c>
      <c r="P13" s="4">
        <v>0</v>
      </c>
      <c r="Q13" s="4">
        <v>0.2</v>
      </c>
      <c r="R13" s="4">
        <v>0.10918374574607279</v>
      </c>
      <c r="S13" s="79">
        <v>1.022390799101176</v>
      </c>
      <c r="T13" s="78">
        <v>1.7916578376478161</v>
      </c>
      <c r="U13" s="15">
        <v>0.27660377540313014</v>
      </c>
      <c r="V13" s="76">
        <v>3.1316510969641755</v>
      </c>
      <c r="W13" s="71">
        <v>3.6093000531806934</v>
      </c>
      <c r="X13" s="13" t="s">
        <v>390</v>
      </c>
      <c r="Y13" s="11" t="s">
        <v>364</v>
      </c>
      <c r="Z13" s="14">
        <v>46081</v>
      </c>
      <c r="AA13" s="16" t="s">
        <v>367</v>
      </c>
    </row>
    <row r="14" spans="1:27">
      <c r="B14" s="11" t="s">
        <v>378</v>
      </c>
      <c r="C14" s="11" t="s">
        <v>379</v>
      </c>
      <c r="D14" s="2">
        <v>4.9800000000000004</v>
      </c>
      <c r="E14" s="12" t="s">
        <v>134</v>
      </c>
      <c r="F14" s="15">
        <v>0.12916398328704107</v>
      </c>
      <c r="G14" s="15">
        <f>F14 - Portfolio_Mgmt!$C$10</f>
        <v>1.1763983287041063E-2</v>
      </c>
      <c r="H14" s="15">
        <f>F14 - Portfolio_Mgmt!$C$11</f>
        <v>9.4663983287041065E-2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6.2290761317710983E-2</v>
      </c>
      <c r="P14" s="4">
        <v>3.1967871485943773E-2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169</v>
      </c>
      <c r="Y14" s="11" t="s">
        <v>364</v>
      </c>
      <c r="Z14" s="14">
        <v>46173</v>
      </c>
      <c r="AA14" s="16" t="s">
        <v>367</v>
      </c>
    </row>
    <row r="15" spans="1:27">
      <c r="B15" s="11" t="s">
        <v>157</v>
      </c>
      <c r="C15" s="11" t="s">
        <v>373</v>
      </c>
      <c r="D15" s="2">
        <v>21.68</v>
      </c>
      <c r="E15" s="12" t="s">
        <v>134</v>
      </c>
      <c r="F15" s="15">
        <v>0.11206199064299743</v>
      </c>
      <c r="G15" s="15">
        <f>F15 - Portfolio_Mgmt!$C$10</f>
        <v>-5.3380093570025711E-3</v>
      </c>
      <c r="H15" s="15">
        <f>F15 - Portfolio_Mgmt!$C$11</f>
        <v>7.756199064299743E-2</v>
      </c>
      <c r="I15" s="15">
        <v>0</v>
      </c>
      <c r="J15" s="2">
        <v>13.888017025965146</v>
      </c>
      <c r="K15" s="2">
        <v>28.086537689261871</v>
      </c>
      <c r="L15" s="2">
        <v>24.116023350805108</v>
      </c>
      <c r="M15" s="2">
        <v>17.30975176800316</v>
      </c>
      <c r="N15" s="2">
        <v>21.377155387307688</v>
      </c>
      <c r="O15" s="4">
        <v>5.2277491662588847E-2</v>
      </c>
      <c r="P15" s="4">
        <v>2.3818602026711627E-2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5.6488739964571097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>
      <c r="B16" s="11" t="s">
        <v>170</v>
      </c>
      <c r="C16" s="11" t="s">
        <v>375</v>
      </c>
      <c r="D16" s="2">
        <v>25.12</v>
      </c>
      <c r="E16" s="12" t="s">
        <v>134</v>
      </c>
      <c r="F16" s="15">
        <v>5.99605239150642E-2</v>
      </c>
      <c r="G16" s="15">
        <f>F16 - Portfolio_Mgmt!$C$10</f>
        <v>-5.7439476084935805E-2</v>
      </c>
      <c r="H16" s="15">
        <f>F16 - Portfolio_Mgmt!$C$11</f>
        <v>2.5460523915064197E-2</v>
      </c>
      <c r="I16" s="15">
        <v>0</v>
      </c>
      <c r="J16" s="2">
        <v>14.242847369725101</v>
      </c>
      <c r="K16" s="2">
        <v>25.903798612903174</v>
      </c>
      <c r="L16" s="2">
        <v>24.289284369654219</v>
      </c>
      <c r="M16" s="2">
        <v>17.613527926860517</v>
      </c>
      <c r="N16" s="2">
        <v>21.606696813043477</v>
      </c>
      <c r="O16" s="4">
        <v>9.6653195241315756E-2</v>
      </c>
      <c r="P16" s="4">
        <v>5.0159235668789805E-2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0.46584709953367287</v>
      </c>
      <c r="X16" s="13" t="s">
        <v>376</v>
      </c>
      <c r="Y16" s="11" t="s">
        <v>361</v>
      </c>
      <c r="Z16" s="14">
        <v>46081</v>
      </c>
      <c r="AA16" s="16" t="s">
        <v>181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4.1599999999999998E-2</v>
      </c>
      <c r="D4" s="34">
        <v>6.7500000000000004E-2</v>
      </c>
      <c r="E4" s="35">
        <f>D4-C4</f>
        <v>2.5900000000000006E-2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C9" sqref="C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0.60679004113235668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21.68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17.30975176800316</v>
      </c>
      <c r="K4" s="81">
        <f>VLOOKUP(B4,Opportunities!B$3:N$30,9,FALSE)</f>
        <v>13.888017025965146</v>
      </c>
      <c r="L4" s="81">
        <f>VLOOKUP(B4,Opportunities!B$3:N$30,11,FALSE)</f>
        <v>24.116023350805108</v>
      </c>
      <c r="M4" s="81">
        <f>VLOOKUP(B4,Opportunities!B$3:N$30,13,FALSE)</f>
        <v>21.377155387307688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108.4</v>
      </c>
      <c r="E5" s="59" t="str">
        <f>VLOOKUP(B5,Opportunities!B$3:E$30,4,FALSE)</f>
        <v>HKD</v>
      </c>
      <c r="F5" s="57">
        <v>1000</v>
      </c>
      <c r="G5" s="61">
        <f t="shared" si="1"/>
        <v>108400</v>
      </c>
      <c r="H5" s="58">
        <f t="shared" si="0"/>
        <v>8.1677000615591411E-2</v>
      </c>
      <c r="I5" s="58">
        <f>VLOOKUP(B5,Opportunities!B$3:I$30,8,FALSE)</f>
        <v>0.21511637641971776</v>
      </c>
      <c r="J5" s="81">
        <f>VLOOKUP(B5,Opportunities!B$3:N$30,12,FALSE)</f>
        <v>117.08006353169542</v>
      </c>
      <c r="K5" s="81">
        <f>VLOOKUP(B5,Opportunities!B$3:N$30,9,FALSE)</f>
        <v>93.938670968979238</v>
      </c>
      <c r="L5" s="81">
        <f>VLOOKUP(B5,Opportunities!B$3:N$30,11,FALSE)</f>
        <v>163.11059698866035</v>
      </c>
      <c r="M5" s="81">
        <f>VLOOKUP(B5,Opportunities!B$3:N$30,13,FALSE)</f>
        <v>144.58783443836151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3.36</v>
      </c>
      <c r="E6" s="59" t="str">
        <f>VLOOKUP(B6,Opportunities!B$3:E$30,4,FALSE)</f>
        <v>HKD</v>
      </c>
      <c r="F6" s="57">
        <v>40000</v>
      </c>
      <c r="G6" s="61">
        <f t="shared" si="1"/>
        <v>134400</v>
      </c>
      <c r="H6" s="58">
        <f t="shared" si="0"/>
        <v>0.10126742511748604</v>
      </c>
      <c r="I6" s="58">
        <f>VLOOKUP(B6,Opportunities!B$3:I$30,8,FALSE)</f>
        <v>6.6543794811664683E-2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8.25</v>
      </c>
      <c r="E7" s="59" t="str">
        <f>VLOOKUP(B7,Opportunities!B$3:E$30,4,FALSE)</f>
        <v>HKD</v>
      </c>
      <c r="F7" s="57">
        <v>8000</v>
      </c>
      <c r="G7" s="61">
        <f t="shared" si="1"/>
        <v>66000</v>
      </c>
      <c r="H7" s="58">
        <f t="shared" si="0"/>
        <v>4.9729539120194038E-2</v>
      </c>
      <c r="I7" s="58">
        <f>VLOOKUP(B7,Opportunities!B$3:I$30,8,FALSE)</f>
        <v>1.6129158499726759E-3</v>
      </c>
      <c r="J7" s="81">
        <f>VLOOKUP(B7,Opportunities!B$3:N$30,12,FALSE)</f>
        <v>7.3440346104754823</v>
      </c>
      <c r="K7" s="81">
        <f>VLOOKUP(B7,Opportunities!B$3:N$30,9,FALSE)</f>
        <v>5.9078368150321605</v>
      </c>
      <c r="L7" s="81">
        <f>VLOOKUP(B7,Opportunities!B$3:N$30,11,FALSE)</f>
        <v>10.196764565217837</v>
      </c>
      <c r="M7" s="81">
        <f>VLOOKUP(B7,Opportunities!B$3:N$30,13,FALSE)</f>
        <v>9.0493420849154926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10.95</v>
      </c>
      <c r="E8" s="59" t="str">
        <f>VLOOKUP(B8,Opportunities!B$3:E$30,4,FALSE)</f>
        <v>HKD</v>
      </c>
      <c r="F8" s="57">
        <v>10000</v>
      </c>
      <c r="G8" s="61">
        <f t="shared" si="1"/>
        <v>109500</v>
      </c>
      <c r="H8" s="58">
        <f t="shared" si="0"/>
        <v>8.2505826267594645E-2</v>
      </c>
      <c r="I8" s="58">
        <f>VLOOKUP(B8,Opportunities!B$3:I$30,8,FALSE)</f>
        <v>0.11806286085401296</v>
      </c>
      <c r="J8" s="81">
        <f>VLOOKUP(B8,Opportunities!B$3:N$30,12,FALSE)</f>
        <v>12.164684995831331</v>
      </c>
      <c r="K8" s="81">
        <f>VLOOKUP(B8,Opportunities!B$3:N$30,9,FALSE)</f>
        <v>9.7976182257555031</v>
      </c>
      <c r="L8" s="81">
        <f>VLOOKUP(B8,Opportunities!B$3:N$30,11,FALSE)</f>
        <v>16.863282559379705</v>
      </c>
      <c r="M8" s="81">
        <f>VLOOKUP(B8,Opportunities!B$3:N$30,13,FALSE)</f>
        <v>14.973823103048371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4.71</v>
      </c>
      <c r="E9" s="59" t="str">
        <f>VLOOKUP(B9,Opportunities!B$3:E$30,4,FALSE)</f>
        <v>HKD</v>
      </c>
      <c r="F9" s="57">
        <v>12000</v>
      </c>
      <c r="G9" s="61">
        <f t="shared" si="1"/>
        <v>56520</v>
      </c>
      <c r="H9" s="58">
        <f t="shared" si="0"/>
        <v>4.2586568955657073E-2</v>
      </c>
      <c r="I9" s="58">
        <f>VLOOKUP(B9,Opportunities!B$3:I$30,8,FALSE)</f>
        <v>6.7430620943927266E-2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3.92</v>
      </c>
      <c r="E10" s="59" t="str">
        <f>VLOOKUP(B10,Opportunities!B$3:E$30,4,FALSE)</f>
        <v>HKD</v>
      </c>
      <c r="F10" s="57">
        <v>12000</v>
      </c>
      <c r="G10" s="61">
        <f t="shared" si="1"/>
        <v>47040</v>
      </c>
      <c r="H10" s="58">
        <f t="shared" ref="H10" si="2">G10/$G$12</f>
        <v>3.5443598791120114E-2</v>
      </c>
      <c r="I10" s="58">
        <f>VLOOKUP(B10,Opportunities!B$3:I$30,8,FALSE)</f>
        <v>0.11459814493629858</v>
      </c>
      <c r="J10" s="81">
        <f>VLOOKUP(B10,Opportunities!B$3:N$30,12,FALSE)</f>
        <v>4.309346489867405</v>
      </c>
      <c r="K10" s="81">
        <f>VLOOKUP(B10,Opportunities!B$3:N$30,9,FALSE)</f>
        <v>3.4746174973670048</v>
      </c>
      <c r="L10" s="81">
        <f>VLOOKUP(B10,Opportunities!B$3:N$30,11,FALSE)</f>
        <v>5.9652651519652338</v>
      </c>
      <c r="M10" s="81">
        <f>VLOOKUP(B10,Opportunities!B$3:N$30,13,FALSE)</f>
        <v>5.2994973406904808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1327179</v>
      </c>
      <c r="H12" s="67">
        <f>SUM(H3:H10)</f>
        <v>1</v>
      </c>
      <c r="I12" s="73">
        <f>SUM(I3:I10)</f>
        <v>1.0333647138155939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21.68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17.30975176800316</v>
      </c>
      <c r="K15" s="81">
        <f>VLOOKUP(B15,Opportunities!B$3:N$30,9,FALSE)</f>
        <v>13.888017025965146</v>
      </c>
      <c r="L15" s="81">
        <f>VLOOKUP(B15,Opportunities!B$3:N$30,11,FALSE)</f>
        <v>24.116023350805108</v>
      </c>
      <c r="M15" s="81">
        <f>VLOOKUP(B15,Opportunities!B$3:N$30,13,FALSE)</f>
        <v>21.377155387307688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25.12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17.613527926860517</v>
      </c>
      <c r="K16" s="81">
        <f>VLOOKUP(B16,Opportunities!B$3:N$30,9,FALSE)</f>
        <v>14.242847369725101</v>
      </c>
      <c r="L16" s="81">
        <f>VLOOKUP(B16,Opportunities!B$3:N$30,11,FALSE)</f>
        <v>24.289284369654219</v>
      </c>
      <c r="M16" s="81">
        <f>VLOOKUP(B16,Opportunities!B$3:N$30,13,FALSE)</f>
        <v>21.606696813043477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3.36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6.6543794811664683E-2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0.11459814493629858</v>
      </c>
      <c r="J18" s="81">
        <f>VLOOKUP(B18,Opportunities!B$3:N$30,12,FALSE)</f>
        <v>4.309346489867405</v>
      </c>
      <c r="K18" s="81">
        <f>VLOOKUP(B18,Opportunities!B$3:N$30,9,FALSE)</f>
        <v>3.4746174973670048</v>
      </c>
      <c r="L18" s="81">
        <f>VLOOKUP(B18,Opportunities!B$3:N$30,11,FALSE)</f>
        <v>5.9652651519652338</v>
      </c>
      <c r="M18" s="81">
        <f>VLOOKUP(B18,Opportunities!B$3:N$30,13,FALSE)</f>
        <v>5.2994973406904808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10.95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0.11806286085401296</v>
      </c>
      <c r="J19" s="81">
        <f>VLOOKUP(B19,Opportunities!B$3:N$30,12,FALSE)</f>
        <v>12.164684995831331</v>
      </c>
      <c r="K19" s="81">
        <f>VLOOKUP(B19,Opportunities!B$3:N$30,9,FALSE)</f>
        <v>9.7976182257555031</v>
      </c>
      <c r="L19" s="81">
        <f>VLOOKUP(B19,Opportunities!B$3:N$30,11,FALSE)</f>
        <v>16.863282559379705</v>
      </c>
      <c r="M19" s="81">
        <f>VLOOKUP(B19,Opportunities!B$3:N$30,13,FALSE)</f>
        <v>14.973823103048371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8.25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1.6129158499726759E-3</v>
      </c>
      <c r="J20" s="81">
        <f>VLOOKUP(B20,Opportunities!B$3:N$30,12,FALSE)</f>
        <v>7.3440346104754823</v>
      </c>
      <c r="K20" s="81">
        <f>VLOOKUP(B20,Opportunities!B$3:N$30,9,FALSE)</f>
        <v>5.9078368150321605</v>
      </c>
      <c r="L20" s="81">
        <f>VLOOKUP(B20,Opportunities!B$3:N$30,11,FALSE)</f>
        <v>10.196764565217837</v>
      </c>
      <c r="M20" s="81">
        <f>VLOOKUP(B20,Opportunities!B$3:N$30,13,FALSE)</f>
        <v>9.0493420849154926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0.60679004113235668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2026-02-12T08:51:09Z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