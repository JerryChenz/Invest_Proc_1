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A4CD823-294A-46BD-A5C6-EB2A079E290F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<sst xmlns="http://schemas.openxmlformats.org/spreadsheetml/2006/main" count="494" uniqueCount="392">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</sst>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43" t="s">
        <v>142</v>
      </c>
      <c r="C4" s="143"/>
      <c r="D4" s="143"/>
      <c r="E4" s="143"/>
    </row>
    <row r="6" spans="1:5">
      <c r="A6" s="20" t="s">
        <v>55</v>
      </c>
      <c r="B6" s="19" t="s">
        <v>136</v>
      </c>
      <c r="C6" s="47"/>
    </row>
    <row r="7" spans="1:5">
      <c r="B7" s="143" t="s">
        <v>198</v>
      </c>
      <c r="C7" s="143"/>
      <c r="D7" s="143"/>
      <c r="E7" s="143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43" t="s">
        <v>342</v>
      </c>
      <c r="C14" s="143"/>
      <c r="D14" s="143"/>
      <c r="E14" s="143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44" t="s">
        <v>200</v>
      </c>
      <c r="C27" s="143"/>
      <c r="D27" s="143"/>
      <c r="E27" s="143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43" t="s">
        <v>207</v>
      </c>
      <c r="C41" s="143"/>
      <c r="D41" s="143"/>
      <c r="E41" s="143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4" t="s">
        <v>344</v>
      </c>
      <c r="C50" s="143"/>
      <c r="D50" s="143"/>
      <c r="E50" s="143"/>
    </row>
    <row r="51" spans="1:5">
      <c r="B51" s="144" t="s">
        <v>220</v>
      </c>
      <c r="C51" s="144"/>
      <c r="D51" s="144"/>
      <c r="E51" s="144"/>
    </row>
    <row r="53" spans="1:5">
      <c r="A53" s="21" t="s">
        <v>131</v>
      </c>
      <c r="B53" s="21"/>
      <c r="C53" s="21"/>
      <c r="D53" s="21"/>
      <c r="E53" s="21"/>
    </row>
    <row r="55" spans="1:5">
      <c r="B55" s="143" t="s">
        <v>209</v>
      </c>
      <c r="C55" s="143"/>
      <c r="D55" s="143"/>
      <c r="E55" s="143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43" t="s">
        <v>132</v>
      </c>
      <c r="C81" s="143"/>
      <c r="D81" s="143"/>
      <c r="E81" s="143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10" sqref="K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7" t="s">
        <v>1</v>
      </c>
      <c r="E1" s="147"/>
      <c r="F1" s="147"/>
      <c r="G1" s="142"/>
      <c r="H1" s="149" t="s">
        <v>4</v>
      </c>
      <c r="I1" s="149"/>
      <c r="J1" s="149"/>
      <c r="K1" s="148" t="s">
        <v>160</v>
      </c>
      <c r="L1" s="148"/>
      <c r="M1" s="145" t="s">
        <v>7</v>
      </c>
      <c r="N1" s="145"/>
      <c r="O1" s="151" t="s">
        <v>173</v>
      </c>
      <c r="P1" s="151"/>
      <c r="Q1" s="151"/>
      <c r="R1" s="151"/>
      <c r="S1" s="150" t="s">
        <v>169</v>
      </c>
      <c r="T1" s="150"/>
      <c r="U1" s="150"/>
      <c r="V1" s="146" t="s">
        <v>46</v>
      </c>
      <c r="W1" s="146"/>
      <c r="X1" s="146"/>
      <c r="Y1" s="146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10.119999999999999</v>
      </c>
      <c r="E3" s="12" t="s">
        <v>129</v>
      </c>
      <c r="F3" s="15">
        <v>0.28121301531248405</v>
      </c>
      <c r="G3" s="15">
        <v>0.14242147915167597</v>
      </c>
      <c r="H3" s="2">
        <v>9.7063355648535907</v>
      </c>
      <c r="I3" s="2">
        <v>18.878744947983343</v>
      </c>
      <c r="J3" s="71">
        <v>16.904683208240399</v>
      </c>
      <c r="K3" s="2">
        <v>12.216580622675545</v>
      </c>
      <c r="L3" s="2">
        <v>15.010585890023201</v>
      </c>
      <c r="M3" s="4">
        <v>0.10091487921178237</v>
      </c>
      <c r="N3" s="4">
        <v>6.0578181818181823E-2</v>
      </c>
      <c r="O3" s="4">
        <v>0.1009580658387534</v>
      </c>
      <c r="P3" s="4">
        <v>0.12639816160308423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1.7715047386477731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0.25243177379949655</v>
      </c>
      <c r="G4" s="15">
        <v>8.2249520968381992E-2</v>
      </c>
      <c r="H4" s="2">
        <v>3.3628869300499908</v>
      </c>
      <c r="I4" s="2">
        <v>6.4234805853198313</v>
      </c>
      <c r="J4" s="71">
        <v>5.8385636526348312</v>
      </c>
      <c r="K4" s="2">
        <v>4.2266392276156433</v>
      </c>
      <c r="L4" s="2">
        <v>5.1874639047087614</v>
      </c>
      <c r="M4" s="4">
        <v>0.11518787179364461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1.2900712672372594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68.849999999999994</v>
      </c>
      <c r="E5" s="12" t="s">
        <v>129</v>
      </c>
      <c r="F5" s="15">
        <v>0.24435769793756101</v>
      </c>
      <c r="G5" s="15">
        <v>0.11719826827924783</v>
      </c>
      <c r="H5" s="2">
        <v>60.954965501855767</v>
      </c>
      <c r="I5" s="2">
        <v>108.46345520757713</v>
      </c>
      <c r="J5" s="71">
        <v>104.58668905760491</v>
      </c>
      <c r="K5" s="2">
        <v>76.20671250438491</v>
      </c>
      <c r="L5" s="2">
        <v>93.133751684564629</v>
      </c>
      <c r="M5" s="4">
        <v>0.1318367193044952</v>
      </c>
      <c r="N5" s="4">
        <v>9.2659404502541759E-2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-19.266259783317711</v>
      </c>
      <c r="V5" s="13" t="s">
        <v>366</v>
      </c>
      <c r="W5" s="11" t="s">
        <v>363</v>
      </c>
      <c r="X5" s="14">
        <v>46081</v>
      </c>
      <c r="Y5" s="16" t="s">
        <v>364</v>
      </c>
    </row>
    <row r="6" spans="1:25">
      <c r="B6" s="11" t="s">
        <v>367</v>
      </c>
      <c r="C6" s="11" t="s">
        <v>368</v>
      </c>
      <c r="D6" s="2">
        <v>6.36</v>
      </c>
      <c r="E6" s="12" t="s">
        <v>129</v>
      </c>
      <c r="F6" s="15">
        <v>0.2283347575087086</v>
      </c>
      <c r="G6" s="15">
        <v>0.10361044095888886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7.407651161247307E-2</v>
      </c>
      <c r="N6" s="4">
        <v>2.2327044025157231E-2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40.5</v>
      </c>
      <c r="E7" s="12" t="s">
        <v>129</v>
      </c>
      <c r="F7" s="15">
        <v>0.20690450680305575</v>
      </c>
      <c r="G7" s="15">
        <v>8.2057899481212004E-2</v>
      </c>
      <c r="H7" s="2">
        <v>32.428464353420708</v>
      </c>
      <c r="I7" s="2">
        <v>70.678756184465314</v>
      </c>
      <c r="J7" s="71">
        <v>57.663354665305718</v>
      </c>
      <c r="K7" s="2">
        <v>41.201178347491499</v>
      </c>
      <c r="L7" s="2">
        <v>51.002322704458052</v>
      </c>
      <c r="M7" s="4">
        <v>5.776987959196641E-2</v>
      </c>
      <c r="N7" s="4">
        <v>3.5061728395061726E-3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11.418847858509771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378</v>
      </c>
      <c r="C8" s="11" t="s">
        <v>379</v>
      </c>
      <c r="D8" s="2">
        <v>36.840000000000003</v>
      </c>
      <c r="E8" s="12" t="s">
        <v>129</v>
      </c>
      <c r="F8" s="15">
        <v>0.20514815252841087</v>
      </c>
      <c r="G8" s="15">
        <v>8.008720862820462E-2</v>
      </c>
      <c r="H8" s="2">
        <v>29.566860816336792</v>
      </c>
      <c r="I8" s="2">
        <v>59.245503233491945</v>
      </c>
      <c r="J8" s="71">
        <v>51.764974648287165</v>
      </c>
      <c r="K8" s="2">
        <v>37.301656547159688</v>
      </c>
      <c r="L8" s="2">
        <v>45.91920016292265</v>
      </c>
      <c r="M8" s="4">
        <v>7.7576909886045223E-2</v>
      </c>
      <c r="N8" s="4">
        <v>3.8865418023887079E-2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-6.163693167307013</v>
      </c>
      <c r="V8" s="13" t="s">
        <v>366</v>
      </c>
      <c r="W8" s="11" t="s">
        <v>351</v>
      </c>
      <c r="X8" s="14">
        <v>46081</v>
      </c>
      <c r="Y8" s="16" t="s">
        <v>364</v>
      </c>
    </row>
    <row r="9" spans="1:25">
      <c r="B9" s="11" t="s">
        <v>369</v>
      </c>
      <c r="C9" s="11" t="s">
        <v>370</v>
      </c>
      <c r="D9" s="2">
        <v>78.8</v>
      </c>
      <c r="E9" s="12" t="s">
        <v>129</v>
      </c>
      <c r="F9" s="15">
        <v>0.20513967491814697</v>
      </c>
      <c r="G9" s="15">
        <v>8.0077612882877916E-2</v>
      </c>
      <c r="H9" s="2">
        <v>63.47141945118679</v>
      </c>
      <c r="I9" s="2">
        <v>121.1685185342574</v>
      </c>
      <c r="J9" s="71">
        <v>110.18683083035621</v>
      </c>
      <c r="K9" s="2">
        <v>79.770462114732297</v>
      </c>
      <c r="L9" s="2">
        <v>97.900929885560686</v>
      </c>
      <c r="M9" s="4">
        <v>6.9084952191122331E-2</v>
      </c>
      <c r="N9" s="4">
        <v>5.8134517766497466E-2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1.4631924506515039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108.6</v>
      </c>
      <c r="E10" s="12" t="s">
        <v>129</v>
      </c>
      <c r="F10" s="15">
        <v>0.2030772923271548</v>
      </c>
      <c r="G10" s="15">
        <v>7.7718910577392455E-2</v>
      </c>
      <c r="H10" s="2">
        <v>86.618099979118526</v>
      </c>
      <c r="I10" s="2">
        <v>176.29506565412345</v>
      </c>
      <c r="J10" s="71">
        <v>152.07471019289449</v>
      </c>
      <c r="K10" s="2">
        <v>109.41635743872885</v>
      </c>
      <c r="L10" s="2">
        <v>134.82955751686461</v>
      </c>
      <c r="M10" s="4">
        <v>-1.0577846633922016E-2</v>
      </c>
      <c r="N10" s="4">
        <v>3.2320441988950274E-2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-67.101594593328628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319</v>
      </c>
      <c r="C11" s="11" t="s">
        <v>374</v>
      </c>
      <c r="D11" s="2">
        <v>4.46</v>
      </c>
      <c r="E11" s="12" t="s">
        <v>129</v>
      </c>
      <c r="F11" s="15">
        <v>0.19260821864077005</v>
      </c>
      <c r="G11" s="15">
        <v>4.330020201286993E-2</v>
      </c>
      <c r="H11" s="2">
        <v>3.4947017610502455</v>
      </c>
      <c r="I11" s="2">
        <v>6.4808597690273908</v>
      </c>
      <c r="J11" s="71">
        <v>6.0371156176035647</v>
      </c>
      <c r="K11" s="2">
        <v>4.3824419959649257</v>
      </c>
      <c r="L11" s="2">
        <v>5.3690045329034906</v>
      </c>
      <c r="M11" s="4">
        <v>9.0565735123823696E-2</v>
      </c>
      <c r="N11" s="4">
        <v>6.7264573991031404E-2</v>
      </c>
      <c r="O11" s="4">
        <v>0.18</v>
      </c>
      <c r="P11" s="4">
        <v>5.5599077391744495E-2</v>
      </c>
      <c r="Q11" s="79">
        <v>1.4798367611150316</v>
      </c>
      <c r="R11" s="78">
        <v>2.187716833659914</v>
      </c>
      <c r="S11" s="15">
        <v>0.76701287002940366</v>
      </c>
      <c r="T11" s="76">
        <v>5.0983946232940358</v>
      </c>
      <c r="U11" s="71">
        <v>-2.4800067209187837</v>
      </c>
      <c r="V11" s="13" t="s">
        <v>366</v>
      </c>
      <c r="W11" s="11" t="s">
        <v>363</v>
      </c>
      <c r="X11" s="14">
        <v>46173</v>
      </c>
      <c r="Y11" s="16" t="s">
        <v>352</v>
      </c>
    </row>
    <row r="12" spans="1:25">
      <c r="B12" s="11" t="s">
        <v>175</v>
      </c>
      <c r="C12" s="11" t="s">
        <v>376</v>
      </c>
      <c r="D12" s="2">
        <v>3.2</v>
      </c>
      <c r="E12" s="12" t="s">
        <v>129</v>
      </c>
      <c r="F12" s="15">
        <v>0.19139792379660392</v>
      </c>
      <c r="G12" s="15">
        <v>6.3382305442100745E-2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7.5882758777978038E-2</v>
      </c>
      <c r="N12" s="4">
        <v>8.4375000000000006E-2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4.7300000000000004</v>
      </c>
      <c r="E13" s="12" t="s">
        <v>129</v>
      </c>
      <c r="F13" s="15">
        <v>0.14927746889065724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6.5583084854587886E-2</v>
      </c>
      <c r="N13" s="4">
        <v>3.3657505285412261E-2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8.51</v>
      </c>
      <c r="E14" s="12" t="s">
        <v>129</v>
      </c>
      <c r="F14" s="15">
        <v>0.1422449109978941</v>
      </c>
      <c r="G14" s="15">
        <v>0</v>
      </c>
      <c r="H14" s="2">
        <v>5.852430254781698</v>
      </c>
      <c r="I14" s="2">
        <v>11.570338836171391</v>
      </c>
      <c r="J14" s="2">
        <v>10.221882249436074</v>
      </c>
      <c r="K14" s="2">
        <v>7.3754948039325177</v>
      </c>
      <c r="L14" s="2">
        <v>9.0716335289611774</v>
      </c>
      <c r="M14" s="4">
        <v>8.3922170876575025E-2</v>
      </c>
      <c r="N14" s="4">
        <v>3.7916484324324325E-2</v>
      </c>
      <c r="O14" s="4">
        <v>0.17172007382350818</v>
      </c>
      <c r="P14" s="4">
        <v>8.3606191433974755E-2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-2.9960199541273518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21.44</v>
      </c>
      <c r="E15" s="12" t="s">
        <v>129</v>
      </c>
      <c r="F15" s="15">
        <v>0.11711555073406832</v>
      </c>
      <c r="G15" s="15">
        <v>0</v>
      </c>
      <c r="H15" s="2">
        <v>13.751226141941686</v>
      </c>
      <c r="I15" s="2">
        <v>28.156134130512793</v>
      </c>
      <c r="J15" s="2">
        <v>24.169115275436702</v>
      </c>
      <c r="K15" s="2">
        <v>17.379139762148213</v>
      </c>
      <c r="L15" s="2">
        <v>21.423970340360206</v>
      </c>
      <c r="M15" s="4">
        <v>5.2993181460459143E-2</v>
      </c>
      <c r="N15" s="4">
        <v>2.4025896169213825E-2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5.6628239023115734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79.150000000000006</v>
      </c>
      <c r="E16" s="12" t="s">
        <v>129</v>
      </c>
      <c r="F16" s="15">
        <v>6.5952658064247216E-2</v>
      </c>
      <c r="G16" s="15">
        <v>0</v>
      </c>
      <c r="H16" s="2">
        <v>43.634963089775944</v>
      </c>
      <c r="I16" s="2">
        <v>95.866013908237775</v>
      </c>
      <c r="J16" s="2">
        <v>77.709258918264226</v>
      </c>
      <c r="K16" s="2">
        <v>55.478017308007971</v>
      </c>
      <c r="L16" s="2">
        <v>68.712961805631039</v>
      </c>
      <c r="M16" s="4">
        <v>1.5723117145110065E-2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3.6182132270227649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30.38</v>
      </c>
      <c r="E17" s="12" t="s">
        <v>129</v>
      </c>
      <c r="F17" s="15">
        <v>-7.2916539039237088E-3</v>
      </c>
      <c r="G17" s="15">
        <v>0</v>
      </c>
      <c r="H17" s="2">
        <v>14.107950885937861</v>
      </c>
      <c r="I17" s="2">
        <v>25.967768096405486</v>
      </c>
      <c r="J17" s="2">
        <v>24.341138211841788</v>
      </c>
      <c r="K17" s="2">
        <v>17.681810240975395</v>
      </c>
      <c r="L17" s="2">
        <v>21.652547605179546</v>
      </c>
      <c r="M17" s="4">
        <v>8.0115998626149251E-2</v>
      </c>
      <c r="N17" s="4">
        <v>4.1474654377880185E-2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0.46699750989601158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4" t="s">
        <v>226</v>
      </c>
      <c r="C4" s="143"/>
      <c r="D4" s="143"/>
      <c r="E4" s="143"/>
    </row>
    <row r="6" spans="1:5">
      <c r="A6" s="20" t="s">
        <v>55</v>
      </c>
      <c r="B6" s="19" t="s">
        <v>227</v>
      </c>
      <c r="C6" s="47"/>
    </row>
    <row r="7" spans="1:5">
      <c r="B7" s="144" t="s">
        <v>317</v>
      </c>
      <c r="C7" s="143"/>
      <c r="D7" s="143"/>
      <c r="E7" s="143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44" t="s">
        <v>242</v>
      </c>
      <c r="C24" s="143"/>
      <c r="D24" s="143"/>
      <c r="E24" s="143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3" t="s">
        <v>262</v>
      </c>
      <c r="C40" s="143"/>
      <c r="D40" s="143"/>
      <c r="E40" s="143"/>
    </row>
    <row r="41" spans="1:5">
      <c r="B41" s="144" t="s">
        <v>263</v>
      </c>
      <c r="C41" s="143"/>
      <c r="D41" s="143"/>
      <c r="E41" s="143"/>
    </row>
    <row r="42" spans="1:5">
      <c r="B42" s="144" t="s">
        <v>264</v>
      </c>
      <c r="C42" s="143"/>
      <c r="D42" s="143"/>
      <c r="E42" s="143"/>
    </row>
    <row r="43" spans="1:5">
      <c r="B43" s="144" t="s">
        <v>265</v>
      </c>
      <c r="C43" s="144"/>
      <c r="D43" s="144"/>
      <c r="E43" s="144"/>
    </row>
    <row r="44" spans="1:5" ht="34.25" customHeight="1">
      <c r="B44" s="143" t="s">
        <v>316</v>
      </c>
      <c r="C44" s="143"/>
      <c r="D44" s="143"/>
      <c r="E44" s="143"/>
    </row>
    <row r="46" spans="1:5">
      <c r="A46" s="21" t="s">
        <v>266</v>
      </c>
      <c r="B46" s="21"/>
      <c r="C46" s="21"/>
      <c r="D46" s="21"/>
      <c r="E46" s="21"/>
    </row>
    <row r="48" spans="1:5">
      <c r="B48" s="143" t="s">
        <v>267</v>
      </c>
      <c r="C48" s="143"/>
      <c r="D48" s="143"/>
      <c r="E48" s="143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3" t="s">
        <v>299</v>
      </c>
      <c r="C74" s="143"/>
      <c r="D74" s="143"/>
      <c r="E74" s="143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zoomScaleNormal="100" workbookViewId="0">
      <selection activeCell="G18" sqref="G1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0.34545106784119839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6.36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63600</v>
      </c>
      <c r="H4" s="58">
        <f t="shared" si="0"/>
        <v>4.8272585270182265E-2</v>
      </c>
      <c r="I4" s="58">
        <f>VLOOKUP(B4,Opportunities!B$3:H$30,6,FALSE)</f>
        <v>0.10361044095888886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108.6</v>
      </c>
      <c r="E5" s="59" t="str">
        <f>VLOOKUP(B5,Opportunities!B$3:E$30,4,FALSE)</f>
        <v>HKD</v>
      </c>
      <c r="F5" s="57">
        <v>2500</v>
      </c>
      <c r="G5" s="61">
        <f t="shared" si="1"/>
        <v>271500</v>
      </c>
      <c r="H5" s="58">
        <f t="shared" si="0"/>
        <v>0.20606929089393844</v>
      </c>
      <c r="I5" s="58">
        <f>VLOOKUP(B5,Opportunities!B$3:H$30,6,FALSE)</f>
        <v>7.7718910577392455E-2</v>
      </c>
      <c r="J5" s="81">
        <f>VLOOKUP(B5,Opportunities!B$3:L$30,10,FALSE)</f>
        <v>109.41635743872885</v>
      </c>
      <c r="K5" s="81">
        <f>VLOOKUP(B5,Opportunities!B$3:L$30,7,FALSE)</f>
        <v>86.618099979118526</v>
      </c>
      <c r="L5" s="81">
        <f>VLOOKUP(B5,Opportunities!B$3:L$30,9,FALSE)</f>
        <v>152.07471019289449</v>
      </c>
      <c r="M5" s="81">
        <f>VLOOKUP(B5,Opportunities!B$3:L$30,11,FALSE)</f>
        <v>134.82955751686461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</v>
      </c>
      <c r="E6" s="59" t="str">
        <f>VLOOKUP(B6,Opportunities!B$3:E$30,4,FALSE)</f>
        <v>HKD</v>
      </c>
      <c r="F6" s="57">
        <v>40000</v>
      </c>
      <c r="G6" s="61">
        <f t="shared" si="1"/>
        <v>128000</v>
      </c>
      <c r="H6" s="58">
        <f t="shared" si="0"/>
        <v>9.715237287080708E-2</v>
      </c>
      <c r="I6" s="58">
        <f>VLOOKUP(B6,Opportunities!B$3:H$30,6,FALSE)</f>
        <v>6.3382305442100745E-2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8.51</v>
      </c>
      <c r="E7" s="59" t="str">
        <f>VLOOKUP(B7,Opportunities!B$3:E$30,4,FALSE)</f>
        <v>HKD</v>
      </c>
      <c r="F7" s="57">
        <v>8000</v>
      </c>
      <c r="G7" s="61">
        <f t="shared" si="1"/>
        <v>68080</v>
      </c>
      <c r="H7" s="58">
        <f t="shared" si="0"/>
        <v>5.1672918320660517E-2</v>
      </c>
      <c r="I7" s="58">
        <f>VLOOKUP(B7,Opportunities!B$3:H$30,6,FALSE)</f>
        <v>0</v>
      </c>
      <c r="J7" s="81">
        <f>VLOOKUP(B7,Opportunities!B$3:L$30,10,FALSE)</f>
        <v>7.3754948039325177</v>
      </c>
      <c r="K7" s="81">
        <f>VLOOKUP(B7,Opportunities!B$3:L$30,7,FALSE)</f>
        <v>5.852430254781698</v>
      </c>
      <c r="L7" s="81">
        <f>VLOOKUP(B7,Opportunities!B$3:L$30,9,FALSE)</f>
        <v>10.221882249436074</v>
      </c>
      <c r="M7" s="81">
        <f>VLOOKUP(B7,Opportunities!B$3:L$30,11,FALSE)</f>
        <v>9.0716335289611774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10.119999999999999</v>
      </c>
      <c r="E8" s="59" t="str">
        <f>VLOOKUP(B8,Opportunities!B$3:E$30,4,FALSE)</f>
        <v>HKD</v>
      </c>
      <c r="F8" s="57">
        <v>15000</v>
      </c>
      <c r="G8" s="61">
        <f t="shared" si="1"/>
        <v>151800</v>
      </c>
      <c r="H8" s="58">
        <f t="shared" si="0"/>
        <v>0.11521664220147276</v>
      </c>
      <c r="I8" s="58">
        <f>VLOOKUP(B8,Opportunities!B$3:H$30,6,FALSE)</f>
        <v>0.14242147915167597</v>
      </c>
      <c r="J8" s="81">
        <f>VLOOKUP(B8,Opportunities!B$3:L$30,10,FALSE)</f>
        <v>12.216580622675545</v>
      </c>
      <c r="K8" s="81">
        <f>VLOOKUP(B8,Opportunities!B$3:L$30,7,FALSE)</f>
        <v>9.7063355648535907</v>
      </c>
      <c r="L8" s="81">
        <f>VLOOKUP(B8,Opportunities!B$3:L$30,9,FALSE)</f>
        <v>16.904683208240399</v>
      </c>
      <c r="M8" s="81">
        <f>VLOOKUP(B8,Opportunities!B$3:L$30,11,FALSE)</f>
        <v>15.010585890023201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4.46</v>
      </c>
      <c r="E9" s="59" t="str">
        <f>VLOOKUP(B9,Opportunities!B$3:E$30,4,FALSE)</f>
        <v>HKD</v>
      </c>
      <c r="F9" s="57">
        <v>12000</v>
      </c>
      <c r="G9" s="61">
        <f t="shared" si="1"/>
        <v>53520</v>
      </c>
      <c r="H9" s="58">
        <f t="shared" si="0"/>
        <v>4.0621835906606209E-2</v>
      </c>
      <c r="I9" s="58">
        <f>VLOOKUP(B9,Opportunities!B$3:H$30,6,FALSE)</f>
        <v>4.330020201286993E-2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40.5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81000</v>
      </c>
      <c r="H10" s="58">
        <f t="shared" si="0"/>
        <v>6.1479235957307601E-2</v>
      </c>
      <c r="I10" s="58">
        <f>VLOOKUP(B10,Opportunities!B$3:H$30,6,FALSE)</f>
        <v>8.2057899481212004E-2</v>
      </c>
      <c r="J10" s="81">
        <f>VLOOKUP(B10,Opportunities!B$3:L$30,10,FALSE)</f>
        <v>41.201178347491499</v>
      </c>
      <c r="K10" s="81">
        <f>VLOOKUP(B10,Opportunities!B$3:L$30,7,FALSE)</f>
        <v>32.428464353420708</v>
      </c>
      <c r="L10" s="81">
        <f>VLOOKUP(B10,Opportunities!B$3:L$30,9,FALSE)</f>
        <v>57.663354665305718</v>
      </c>
      <c r="M10" s="81">
        <f>VLOOKUP(B10,Opportunities!B$3:L$30,11,FALSE)</f>
        <v>51.002322704458052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3.74</v>
      </c>
      <c r="E11" s="59" t="str">
        <f>VLOOKUP(B11,Opportunities!B$3:E$30,4,FALSE)</f>
        <v>HKD</v>
      </c>
      <c r="F11" s="57">
        <v>12000</v>
      </c>
      <c r="G11" s="61">
        <f t="shared" si="1"/>
        <v>44880</v>
      </c>
      <c r="H11" s="58">
        <f t="shared" ref="H11" si="3">G11/$G$13</f>
        <v>3.4064050737826729E-2</v>
      </c>
      <c r="I11" s="58">
        <f>VLOOKUP(B11,Opportunities!B$3:H$30,6,FALSE)</f>
        <v>8.2249520968381992E-2</v>
      </c>
      <c r="J11" s="81">
        <f>VLOOKUP(B11,Opportunities!B$3:L$30,10,FALSE)</f>
        <v>4.2266392276156433</v>
      </c>
      <c r="K11" s="81">
        <f>VLOOKUP(B11,Opportunities!B$3:L$30,7,FALSE)</f>
        <v>3.3628869300499908</v>
      </c>
      <c r="L11" s="81">
        <f>VLOOKUP(B11,Opportunities!B$3:L$30,9,FALSE)</f>
        <v>5.8385636526348312</v>
      </c>
      <c r="M11" s="81">
        <f>VLOOKUP(B11,Opportunities!B$3:L$30,11,FALSE)</f>
        <v>5.1874639047087614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1317518</v>
      </c>
      <c r="H13" s="67">
        <f>SUM(H3:H11)</f>
        <v>1</v>
      </c>
      <c r="I13" s="73">
        <f>SUM(I3:I11)</f>
        <v>1.0447407585925219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108.6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7.7718910577392455E-2</v>
      </c>
      <c r="J16" s="81">
        <f>VLOOKUP(B16,Opportunities!B$3:L$30,10,FALSE)</f>
        <v>109.41635743872885</v>
      </c>
      <c r="K16" s="81">
        <f>VLOOKUP(B16,Opportunities!B$3:L$30,7,FALSE)</f>
        <v>86.618099979118526</v>
      </c>
      <c r="L16" s="81">
        <f>VLOOKUP(B16,Opportunities!B$3:L$30,9,FALSE)</f>
        <v>152.07471019289449</v>
      </c>
      <c r="M16" s="81">
        <f>VLOOKUP(B16,Opportunities!B$3:L$30,11,FALSE)</f>
        <v>134.82955751686461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30.38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17.681810240975395</v>
      </c>
      <c r="K17" s="81">
        <f>VLOOKUP(B17,Opportunities!B$3:L$30,7,FALSE)</f>
        <v>14.107950885937861</v>
      </c>
      <c r="L17" s="81">
        <f>VLOOKUP(B17,Opportunities!B$3:L$30,9,FALSE)</f>
        <v>24.341138211841788</v>
      </c>
      <c r="M17" s="81">
        <f>VLOOKUP(B17,Opportunities!B$3:L$30,11,FALSE)</f>
        <v>21.652547605179546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6.3382305442100745E-2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40.5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8.2057899481212004E-2</v>
      </c>
      <c r="J19" s="81">
        <f>VLOOKUP(B19,Opportunities!B$3:L$30,10,FALSE)</f>
        <v>41.201178347491499</v>
      </c>
      <c r="K19" s="81">
        <f>VLOOKUP(B19,Opportunities!B$3:L$30,7,FALSE)</f>
        <v>32.428464353420708</v>
      </c>
      <c r="L19" s="81">
        <f>VLOOKUP(B19,Opportunities!B$3:L$30,9,FALSE)</f>
        <v>57.663354665305718</v>
      </c>
      <c r="M19" s="81">
        <f>VLOOKUP(B19,Opportunities!B$3:L$30,11,FALSE)</f>
        <v>51.002322704458052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10.119999999999999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0.14242147915167597</v>
      </c>
      <c r="J20" s="81">
        <f>VLOOKUP(B20,Opportunities!B$3:L$30,10,FALSE)</f>
        <v>12.216580622675545</v>
      </c>
      <c r="K20" s="81">
        <f>VLOOKUP(B20,Opportunities!B$3:L$30,7,FALSE)</f>
        <v>9.7063355648535907</v>
      </c>
      <c r="L20" s="81">
        <f>VLOOKUP(B20,Opportunities!B$3:L$30,9,FALSE)</f>
        <v>16.904683208240399</v>
      </c>
      <c r="M20" s="81">
        <f>VLOOKUP(B20,Opportunities!B$3:L$30,11,FALSE)</f>
        <v>15.010585890023201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8.51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0</v>
      </c>
      <c r="J21" s="81">
        <f>VLOOKUP(B21,Opportunities!B$3:L$30,10,FALSE)</f>
        <v>7.3754948039325177</v>
      </c>
      <c r="K21" s="81">
        <f>VLOOKUP(B21,Opportunities!B$3:L$30,7,FALSE)</f>
        <v>5.852430254781698</v>
      </c>
      <c r="L21" s="81">
        <f>VLOOKUP(B21,Opportunities!B$3:L$30,9,FALSE)</f>
        <v>10.221882249436074</v>
      </c>
      <c r="M21" s="81">
        <f>VLOOKUP(B21,Opportunities!B$3:L$30,11,FALSE)</f>
        <v>9.0716335289611774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0.34545106784119839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2026-03-23T02:19:39Z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