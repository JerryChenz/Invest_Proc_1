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1C672A45-C8D1-B045-9E6C-8CB22C4BA066}" xr6:coauthVersionLast="47" xr6:coauthVersionMax="47" xr10:uidLastSave="{00000000-0000-0000-0000-000000000000}"/>
  <bookViews>
    <workbookView xWindow="0" yWindow="0" windowWidth="17120" windowHeight="10760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28" i="10"/>
  <c r="C27" i="10"/>
  <c r="B80" i="10"/>
  <c r="B83" i="10"/>
  <c r="B83" i="5"/>
  <c r="B80" i="5"/>
  <c r="E65" i="10" l="1"/>
  <c r="E66" i="10" s="1"/>
  <c r="C34" i="10"/>
  <c r="E34" i="10"/>
  <c r="C32" i="5"/>
  <c r="C32" i="10" s="1"/>
  <c r="E35" i="10" s="1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3" i="10" l="1"/>
  <c r="E35" i="5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1" i="10" l="1"/>
  <c r="C10" i="10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<sst xmlns="http://schemas.openxmlformats.org/spreadsheetml/2006/main" count="475" uniqueCount="387">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</sst>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Hyperlink" xfId="2" builtinId="8"/>
    <cellStyle name="Normal" xfId="0" builtinId="0"/>
    <cellStyle name="Normal 2" xfId="1" xr:uid="{00000000-0005-0000-0000-000001000000}"/>
    <cellStyle name="常规 2" xfId="3" xr:uid="{32ADA8AA-F280-4250-ABBF-7E6B9CB799DC}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289</v>
      </c>
    </row>
    <row r="2" spans="1:5" x14ac:dyDescent="0.15">
      <c r="A2" s="21" t="s">
        <v>290</v>
      </c>
      <c r="B2" s="21"/>
      <c r="C2" s="21"/>
      <c r="D2" s="21"/>
      <c r="E2" s="21"/>
    </row>
    <row r="4" spans="1:5" x14ac:dyDescent="0.15">
      <c r="B4" s="122" t="s">
        <v>291</v>
      </c>
      <c r="C4" s="123"/>
      <c r="D4" s="123"/>
      <c r="E4" s="123"/>
    </row>
    <row r="6" spans="1:5" x14ac:dyDescent="0.15">
      <c r="A6" s="20" t="s">
        <v>60</v>
      </c>
      <c r="B6" s="19" t="s">
        <v>292</v>
      </c>
      <c r="C6" s="49"/>
    </row>
    <row r="7" spans="1:5" x14ac:dyDescent="0.15">
      <c r="B7" s="122" t="s">
        <v>382</v>
      </c>
      <c r="C7" s="123"/>
      <c r="D7" s="123"/>
      <c r="E7" s="123"/>
    </row>
    <row r="9" spans="1:5" x14ac:dyDescent="0.15">
      <c r="B9" s="23" t="s">
        <v>293</v>
      </c>
    </row>
    <row r="10" spans="1:5" x14ac:dyDescent="0.15">
      <c r="B10" s="1" t="s">
        <v>294</v>
      </c>
      <c r="C10" s="112">
        <f>benchmark</f>
        <v>0.1174</v>
      </c>
    </row>
    <row r="11" spans="1:5" x14ac:dyDescent="0.15">
      <c r="B11" s="1" t="s">
        <v>295</v>
      </c>
      <c r="C11" s="112">
        <f>Cash_Yield</f>
        <v>3.4500000000000003E-2</v>
      </c>
    </row>
    <row r="12" spans="1:5" x14ac:dyDescent="0.15">
      <c r="C12" s="4"/>
    </row>
    <row r="13" spans="1:5" x14ac:dyDescent="0.15">
      <c r="B13" s="23" t="s">
        <v>296</v>
      </c>
      <c r="C13" s="4"/>
    </row>
    <row r="14" spans="1:5" x14ac:dyDescent="0.15">
      <c r="B14" s="1" t="s">
        <v>297</v>
      </c>
      <c r="C14" s="4" t="s">
        <v>300</v>
      </c>
    </row>
    <row r="15" spans="1:5" x14ac:dyDescent="0.15">
      <c r="B15" s="1" t="s">
        <v>298</v>
      </c>
      <c r="C15" s="24" t="s">
        <v>301</v>
      </c>
    </row>
    <row r="16" spans="1:5" x14ac:dyDescent="0.15">
      <c r="B16" s="1" t="s">
        <v>299</v>
      </c>
      <c r="C16" s="24" t="s">
        <v>302</v>
      </c>
    </row>
    <row r="18" spans="1:5" x14ac:dyDescent="0.15">
      <c r="B18" s="23" t="s">
        <v>303</v>
      </c>
    </row>
    <row r="19" spans="1:5" x14ac:dyDescent="0.15">
      <c r="B19" s="24" t="s">
        <v>304</v>
      </c>
    </row>
    <row r="20" spans="1:5" x14ac:dyDescent="0.15">
      <c r="B20" s="24" t="s">
        <v>305</v>
      </c>
    </row>
    <row r="21" spans="1:5" x14ac:dyDescent="0.15">
      <c r="B21" s="24" t="s">
        <v>306</v>
      </c>
    </row>
    <row r="23" spans="1:5" x14ac:dyDescent="0.15">
      <c r="A23" s="25" t="s">
        <v>61</v>
      </c>
      <c r="B23" s="19" t="s">
        <v>308</v>
      </c>
      <c r="C23" s="49"/>
    </row>
    <row r="24" spans="1:5" x14ac:dyDescent="0.15">
      <c r="A24" s="18"/>
      <c r="B24" s="122" t="s">
        <v>307</v>
      </c>
      <c r="C24" s="123"/>
      <c r="D24" s="123"/>
      <c r="E24" s="123"/>
    </row>
    <row r="25" spans="1:5" x14ac:dyDescent="0.15">
      <c r="A25" s="18"/>
    </row>
    <row r="26" spans="1:5" x14ac:dyDescent="0.15">
      <c r="A26" s="18"/>
      <c r="B26" s="43" t="s">
        <v>309</v>
      </c>
      <c r="C26" s="43" t="s">
        <v>310</v>
      </c>
    </row>
    <row r="27" spans="1:5" x14ac:dyDescent="0.15">
      <c r="B27" s="26" t="s">
        <v>311</v>
      </c>
      <c r="C27" s="113">
        <f>Portfolio_Mgmt!C27</f>
        <v>6</v>
      </c>
    </row>
    <row r="28" spans="1:5" x14ac:dyDescent="0.15">
      <c r="B28" s="26" t="s">
        <v>312</v>
      </c>
      <c r="C28" s="114">
        <f>Portfolio_Mgmt!C28</f>
        <v>0.3</v>
      </c>
    </row>
    <row r="30" spans="1:5" x14ac:dyDescent="0.15">
      <c r="A30" s="20" t="s">
        <v>62</v>
      </c>
      <c r="B30" s="95" t="s">
        <v>313</v>
      </c>
      <c r="C30" s="49"/>
    </row>
    <row r="31" spans="1:5" x14ac:dyDescent="0.1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3" thickBot="1" x14ac:dyDescent="0.2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 x14ac:dyDescent="0.1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3" thickBot="1" x14ac:dyDescent="0.2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 x14ac:dyDescent="0.1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3" thickBot="1" x14ac:dyDescent="0.2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 x14ac:dyDescent="0.1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 x14ac:dyDescent="0.15">
      <c r="C38" s="93"/>
    </row>
    <row r="39" spans="1:5" x14ac:dyDescent="0.15">
      <c r="B39" s="20" t="s">
        <v>326</v>
      </c>
    </row>
    <row r="40" spans="1:5" x14ac:dyDescent="0.15">
      <c r="B40" s="123" t="s">
        <v>327</v>
      </c>
      <c r="C40" s="123"/>
      <c r="D40" s="123"/>
      <c r="E40" s="123"/>
    </row>
    <row r="41" spans="1:5" x14ac:dyDescent="0.15">
      <c r="B41" s="122" t="s">
        <v>328</v>
      </c>
      <c r="C41" s="123"/>
      <c r="D41" s="123"/>
      <c r="E41" s="123"/>
    </row>
    <row r="42" spans="1:5" x14ac:dyDescent="0.15">
      <c r="B42" s="122" t="s">
        <v>329</v>
      </c>
      <c r="C42" s="123"/>
      <c r="D42" s="123"/>
      <c r="E42" s="123"/>
    </row>
    <row r="43" spans="1:5" x14ac:dyDescent="0.15">
      <c r="B43" s="122" t="s">
        <v>330</v>
      </c>
      <c r="C43" s="122"/>
      <c r="D43" s="122"/>
      <c r="E43" s="122"/>
    </row>
    <row r="44" spans="1:5" ht="34.25" customHeight="1" x14ac:dyDescent="0.15">
      <c r="B44" s="123" t="s">
        <v>381</v>
      </c>
      <c r="C44" s="123"/>
      <c r="D44" s="123"/>
      <c r="E44" s="123"/>
    </row>
    <row r="46" spans="1:5" x14ac:dyDescent="0.15">
      <c r="A46" s="21" t="s">
        <v>331</v>
      </c>
      <c r="B46" s="21"/>
      <c r="C46" s="21"/>
      <c r="D46" s="21"/>
      <c r="E46" s="21"/>
    </row>
    <row r="48" spans="1:5" x14ac:dyDescent="0.15">
      <c r="B48" s="123" t="s">
        <v>332</v>
      </c>
      <c r="C48" s="123"/>
      <c r="D48" s="123"/>
      <c r="E48" s="123"/>
    </row>
    <row r="50" spans="2:5" x14ac:dyDescent="0.15">
      <c r="B50" s="23" t="s">
        <v>333</v>
      </c>
    </row>
    <row r="52" spans="2:5" x14ac:dyDescent="0.15">
      <c r="B52" s="43" t="s">
        <v>334</v>
      </c>
      <c r="C52" s="43" t="s">
        <v>335</v>
      </c>
      <c r="D52" s="47"/>
      <c r="E52" s="47"/>
    </row>
    <row r="53" spans="2:5" x14ac:dyDescent="0.15">
      <c r="B53" s="26" t="s">
        <v>336</v>
      </c>
      <c r="C53" s="119">
        <f>Portfolio_Mgmt!C53</f>
        <v>0.45</v>
      </c>
      <c r="D53" s="48"/>
      <c r="E53" s="46"/>
    </row>
    <row r="54" spans="2:5" x14ac:dyDescent="0.15">
      <c r="B54" s="26" t="s">
        <v>337</v>
      </c>
      <c r="C54" s="119">
        <f>Portfolio_Mgmt!C54</f>
        <v>0.3</v>
      </c>
      <c r="D54" s="48"/>
      <c r="E54" s="46"/>
    </row>
    <row r="55" spans="2:5" x14ac:dyDescent="0.1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 x14ac:dyDescent="0.15">
      <c r="B57" s="23" t="s">
        <v>339</v>
      </c>
    </row>
    <row r="59" spans="2:5" x14ac:dyDescent="0.1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 x14ac:dyDescent="0.1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 x14ac:dyDescent="0.1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 x14ac:dyDescent="0.1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 x14ac:dyDescent="0.1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 x14ac:dyDescent="0.1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 x14ac:dyDescent="0.15">
      <c r="D65" s="27" t="s">
        <v>358</v>
      </c>
      <c r="E65" s="39">
        <f>SUM(E60:E64)</f>
        <v>4</v>
      </c>
    </row>
    <row r="66" spans="1:5" ht="13" thickBot="1" x14ac:dyDescent="0.2">
      <c r="D66" s="41" t="s">
        <v>359</v>
      </c>
      <c r="E66" s="42">
        <f>IF(E65&lt;=4,C53,IF(E65&gt;=8,C55,C54))</f>
        <v>0.45</v>
      </c>
    </row>
    <row r="67" spans="1:5" ht="13" thickTop="1" x14ac:dyDescent="0.15"/>
    <row r="68" spans="1:5" x14ac:dyDescent="0.15">
      <c r="B68" s="1" t="s">
        <v>360</v>
      </c>
    </row>
    <row r="69" spans="1:5" x14ac:dyDescent="0.15">
      <c r="B69" s="1" t="s">
        <v>361</v>
      </c>
    </row>
    <row r="70" spans="1:5" x14ac:dyDescent="0.15">
      <c r="B70" s="1" t="s">
        <v>362</v>
      </c>
    </row>
    <row r="72" spans="1:5" x14ac:dyDescent="0.15">
      <c r="A72" s="21" t="s">
        <v>363</v>
      </c>
      <c r="B72" s="21"/>
      <c r="C72" s="21"/>
      <c r="D72" s="21"/>
      <c r="E72" s="21"/>
    </row>
    <row r="74" spans="1:5" x14ac:dyDescent="0.15">
      <c r="B74" s="123" t="s">
        <v>364</v>
      </c>
      <c r="C74" s="123"/>
      <c r="D74" s="123"/>
      <c r="E74" s="123"/>
    </row>
    <row r="76" spans="1:5" x14ac:dyDescent="0.15">
      <c r="A76" s="28" t="s">
        <v>60</v>
      </c>
      <c r="B76" s="20" t="s">
        <v>366</v>
      </c>
    </row>
    <row r="77" spans="1:5" x14ac:dyDescent="0.15">
      <c r="B77" s="24" t="s">
        <v>365</v>
      </c>
    </row>
    <row r="79" spans="1:5" x14ac:dyDescent="0.15">
      <c r="A79" s="28" t="s">
        <v>254</v>
      </c>
      <c r="B79" s="20" t="s">
        <v>367</v>
      </c>
    </row>
    <row r="80" spans="1:5" x14ac:dyDescent="0.15">
      <c r="B80" s="1" t="str">
        <f>B19</f>
        <v>- 仅当ERB&gt;0且市场价格≤入场价格时具备配置资格</v>
      </c>
    </row>
    <row r="81" spans="1:5" x14ac:dyDescent="0.15">
      <c r="B81" s="111" t="s">
        <v>368</v>
      </c>
      <c r="C81" s="94" t="s">
        <v>378</v>
      </c>
    </row>
    <row r="82" spans="1:5" x14ac:dyDescent="0.15">
      <c r="B82" s="111" t="s">
        <v>369</v>
      </c>
      <c r="C82" s="94" t="s">
        <v>245</v>
      </c>
    </row>
    <row r="83" spans="1:5" x14ac:dyDescent="0.15">
      <c r="B83" s="110" t="str">
        <f>B20</f>
        <v xml:space="preserve">- 未入选标的获得正常配置额的50%	</v>
      </c>
    </row>
    <row r="85" spans="1:5" x14ac:dyDescent="0.15">
      <c r="B85" s="20" t="s">
        <v>370</v>
      </c>
    </row>
    <row r="86" spans="1:5" x14ac:dyDescent="0.15">
      <c r="B86" s="1" t="s">
        <v>380</v>
      </c>
    </row>
    <row r="87" spans="1:5" x14ac:dyDescent="0.15">
      <c r="B87" s="1" t="s">
        <v>371</v>
      </c>
    </row>
    <row r="88" spans="1:5" x14ac:dyDescent="0.15">
      <c r="B88" s="1" t="s">
        <v>372</v>
      </c>
    </row>
    <row r="90" spans="1:5" x14ac:dyDescent="0.15">
      <c r="A90" s="21" t="s">
        <v>376</v>
      </c>
      <c r="B90" s="21"/>
      <c r="C90" s="21"/>
      <c r="D90" s="21"/>
      <c r="E90" s="21"/>
    </row>
    <row r="92" spans="1:5" x14ac:dyDescent="0.15">
      <c r="B92" s="20" t="s">
        <v>373</v>
      </c>
    </row>
    <row r="93" spans="1:5" x14ac:dyDescent="0.15">
      <c r="B93" s="24" t="s">
        <v>374</v>
      </c>
    </row>
    <row r="94" spans="1:5" x14ac:dyDescent="0.15">
      <c r="B94" s="24" t="s">
        <v>375</v>
      </c>
    </row>
    <row r="95" spans="1:5" x14ac:dyDescent="0.1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139</v>
      </c>
    </row>
    <row r="2" spans="1:5" x14ac:dyDescent="0.15">
      <c r="A2" s="21" t="s">
        <v>51</v>
      </c>
      <c r="B2" s="21"/>
      <c r="C2" s="21"/>
      <c r="D2" s="21"/>
      <c r="E2" s="21"/>
    </row>
    <row r="4" spans="1:5" ht="24.5" customHeight="1" x14ac:dyDescent="0.15">
      <c r="B4" s="123" t="s">
        <v>151</v>
      </c>
      <c r="C4" s="123"/>
      <c r="D4" s="123"/>
      <c r="E4" s="123"/>
    </row>
    <row r="6" spans="1:5" x14ac:dyDescent="0.15">
      <c r="A6" s="20" t="s">
        <v>60</v>
      </c>
      <c r="B6" s="19" t="s">
        <v>145</v>
      </c>
      <c r="C6" s="49"/>
    </row>
    <row r="7" spans="1:5" x14ac:dyDescent="0.15">
      <c r="B7" s="123" t="s">
        <v>255</v>
      </c>
      <c r="C7" s="123"/>
      <c r="D7" s="123"/>
      <c r="E7" s="123"/>
    </row>
    <row r="9" spans="1:5" x14ac:dyDescent="0.15">
      <c r="B9" s="23" t="s">
        <v>53</v>
      </c>
    </row>
    <row r="10" spans="1:5" x14ac:dyDescent="0.15">
      <c r="B10" s="1" t="s">
        <v>58</v>
      </c>
      <c r="C10" s="80">
        <f>Market_Yield!C16</f>
        <v>0.1174</v>
      </c>
    </row>
    <row r="11" spans="1:5" x14ac:dyDescent="0.15">
      <c r="B11" s="1" t="s">
        <v>50</v>
      </c>
      <c r="C11" s="80">
        <f>Market_Yield!C6</f>
        <v>3.4500000000000003E-2</v>
      </c>
    </row>
    <row r="12" spans="1:5" x14ac:dyDescent="0.15">
      <c r="C12" s="4"/>
    </row>
    <row r="13" spans="1:5" x14ac:dyDescent="0.15">
      <c r="B13" s="23" t="s">
        <v>54</v>
      </c>
      <c r="C13" s="4"/>
    </row>
    <row r="14" spans="1:5" x14ac:dyDescent="0.15">
      <c r="B14" s="1" t="s">
        <v>147</v>
      </c>
      <c r="C14" s="4" t="s">
        <v>148</v>
      </c>
    </row>
    <row r="15" spans="1:5" x14ac:dyDescent="0.15">
      <c r="B15" s="1" t="s">
        <v>133</v>
      </c>
      <c r="C15" s="24" t="s">
        <v>131</v>
      </c>
    </row>
    <row r="16" spans="1:5" x14ac:dyDescent="0.15">
      <c r="B16" s="1" t="s">
        <v>134</v>
      </c>
      <c r="C16" s="24" t="s">
        <v>132</v>
      </c>
    </row>
    <row r="18" spans="1:5" x14ac:dyDescent="0.15">
      <c r="B18" s="23" t="s">
        <v>55</v>
      </c>
    </row>
    <row r="19" spans="1:5" x14ac:dyDescent="0.15">
      <c r="B19" s="24" t="s">
        <v>287</v>
      </c>
    </row>
    <row r="20" spans="1:5" x14ac:dyDescent="0.15">
      <c r="B20" s="24" t="s">
        <v>256</v>
      </c>
    </row>
    <row r="21" spans="1:5" x14ac:dyDescent="0.15">
      <c r="B21" s="24" t="s">
        <v>146</v>
      </c>
    </row>
    <row r="23" spans="1:5" x14ac:dyDescent="0.15">
      <c r="A23" s="25" t="s">
        <v>61</v>
      </c>
      <c r="B23" s="19" t="s">
        <v>144</v>
      </c>
      <c r="C23" s="49"/>
    </row>
    <row r="24" spans="1:5" x14ac:dyDescent="0.15">
      <c r="A24" s="18"/>
      <c r="B24" s="122" t="s">
        <v>257</v>
      </c>
      <c r="C24" s="123"/>
      <c r="D24" s="123"/>
      <c r="E24" s="123"/>
    </row>
    <row r="25" spans="1:5" x14ac:dyDescent="0.15">
      <c r="A25" s="18"/>
    </row>
    <row r="26" spans="1:5" x14ac:dyDescent="0.15">
      <c r="A26" s="18"/>
      <c r="B26" s="43" t="s">
        <v>135</v>
      </c>
      <c r="C26" s="43" t="s">
        <v>130</v>
      </c>
    </row>
    <row r="27" spans="1:5" x14ac:dyDescent="0.15">
      <c r="B27" s="26" t="s">
        <v>75</v>
      </c>
      <c r="C27" s="44">
        <v>6</v>
      </c>
    </row>
    <row r="28" spans="1:5" x14ac:dyDescent="0.15">
      <c r="B28" s="26" t="s">
        <v>244</v>
      </c>
      <c r="C28" s="45">
        <v>0.3</v>
      </c>
    </row>
    <row r="30" spans="1:5" x14ac:dyDescent="0.15">
      <c r="A30" s="20" t="s">
        <v>62</v>
      </c>
      <c r="B30" s="95" t="s">
        <v>12</v>
      </c>
      <c r="C30" s="49"/>
    </row>
    <row r="31" spans="1:5" x14ac:dyDescent="0.1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3" thickBot="1" x14ac:dyDescent="0.2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 x14ac:dyDescent="0.1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3" thickBot="1" x14ac:dyDescent="0.2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 x14ac:dyDescent="0.1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3" thickBot="1" x14ac:dyDescent="0.2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 x14ac:dyDescent="0.1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 x14ac:dyDescent="0.15">
      <c r="C38" s="93"/>
    </row>
    <row r="39" spans="1:5" x14ac:dyDescent="0.15">
      <c r="B39" s="20" t="s">
        <v>270</v>
      </c>
    </row>
    <row r="40" spans="1:5" x14ac:dyDescent="0.15">
      <c r="B40" s="123" t="s">
        <v>269</v>
      </c>
      <c r="C40" s="123"/>
      <c r="D40" s="123"/>
      <c r="E40" s="123"/>
    </row>
    <row r="41" spans="1:5" x14ac:dyDescent="0.15">
      <c r="B41" s="122" t="s">
        <v>285</v>
      </c>
      <c r="C41" s="123"/>
      <c r="D41" s="123"/>
      <c r="E41" s="123"/>
    </row>
    <row r="42" spans="1:5" x14ac:dyDescent="0.15">
      <c r="B42" s="122" t="s">
        <v>283</v>
      </c>
      <c r="C42" s="123"/>
      <c r="D42" s="123"/>
      <c r="E42" s="123"/>
    </row>
    <row r="43" spans="1:5" x14ac:dyDescent="0.15">
      <c r="B43" s="122" t="s">
        <v>284</v>
      </c>
      <c r="C43" s="122"/>
      <c r="D43" s="122"/>
      <c r="E43" s="122"/>
    </row>
    <row r="44" spans="1:5" ht="46.5" customHeight="1" x14ac:dyDescent="0.15">
      <c r="B44" s="123" t="s">
        <v>161</v>
      </c>
      <c r="C44" s="123"/>
      <c r="D44" s="123"/>
      <c r="E44" s="123"/>
    </row>
    <row r="46" spans="1:5" x14ac:dyDescent="0.15">
      <c r="A46" s="21" t="s">
        <v>140</v>
      </c>
      <c r="B46" s="21"/>
      <c r="C46" s="21"/>
      <c r="D46" s="21"/>
      <c r="E46" s="21"/>
    </row>
    <row r="48" spans="1:5" x14ac:dyDescent="0.15">
      <c r="B48" s="123" t="s">
        <v>271</v>
      </c>
      <c r="C48" s="123"/>
      <c r="D48" s="123"/>
      <c r="E48" s="123"/>
    </row>
    <row r="50" spans="2:5" x14ac:dyDescent="0.15">
      <c r="B50" s="23" t="s">
        <v>77</v>
      </c>
    </row>
    <row r="52" spans="2:5" x14ac:dyDescent="0.15">
      <c r="B52" s="43" t="s">
        <v>78</v>
      </c>
      <c r="C52" s="43" t="s">
        <v>143</v>
      </c>
      <c r="D52" s="47"/>
      <c r="E52" s="47"/>
    </row>
    <row r="53" spans="2:5" x14ac:dyDescent="0.15">
      <c r="B53" s="26" t="s">
        <v>253</v>
      </c>
      <c r="C53" s="29">
        <v>0.45</v>
      </c>
      <c r="D53" s="48"/>
      <c r="E53" s="46"/>
    </row>
    <row r="54" spans="2:5" x14ac:dyDescent="0.15">
      <c r="B54" s="26" t="s">
        <v>252</v>
      </c>
      <c r="C54" s="29">
        <v>0.3</v>
      </c>
      <c r="D54" s="48"/>
      <c r="E54" s="46"/>
    </row>
    <row r="55" spans="2:5" x14ac:dyDescent="0.15">
      <c r="B55" s="26" t="s">
        <v>251</v>
      </c>
      <c r="C55" s="29">
        <v>0.15</v>
      </c>
      <c r="D55" s="50" t="s">
        <v>152</v>
      </c>
      <c r="E55" s="46"/>
    </row>
    <row r="57" spans="2:5" x14ac:dyDescent="0.15">
      <c r="B57" s="23" t="s">
        <v>76</v>
      </c>
    </row>
    <row r="59" spans="2:5" x14ac:dyDescent="0.1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 x14ac:dyDescent="0.15">
      <c r="B60" s="26" t="s">
        <v>63</v>
      </c>
      <c r="C60" s="26" t="s">
        <v>67</v>
      </c>
      <c r="D60" s="26" t="s">
        <v>68</v>
      </c>
      <c r="E60" s="40">
        <v>1</v>
      </c>
    </row>
    <row r="61" spans="2:5" x14ac:dyDescent="0.15">
      <c r="B61" s="26" t="s">
        <v>64</v>
      </c>
      <c r="C61" s="26" t="s">
        <v>65</v>
      </c>
      <c r="D61" s="26" t="s">
        <v>69</v>
      </c>
      <c r="E61" s="40">
        <v>1</v>
      </c>
    </row>
    <row r="62" spans="2:5" x14ac:dyDescent="0.15">
      <c r="B62" s="26" t="s">
        <v>248</v>
      </c>
      <c r="C62" s="26" t="s">
        <v>249</v>
      </c>
      <c r="D62" s="26" t="s">
        <v>250</v>
      </c>
      <c r="E62" s="40">
        <v>0</v>
      </c>
    </row>
    <row r="63" spans="2:5" x14ac:dyDescent="0.15">
      <c r="B63" s="26" t="s">
        <v>246</v>
      </c>
      <c r="C63" s="26" t="s">
        <v>174</v>
      </c>
      <c r="D63" s="26" t="s">
        <v>175</v>
      </c>
      <c r="E63" s="40">
        <v>2</v>
      </c>
    </row>
    <row r="64" spans="2:5" x14ac:dyDescent="0.15">
      <c r="B64" s="26" t="s">
        <v>247</v>
      </c>
      <c r="C64" s="26" t="s">
        <v>66</v>
      </c>
      <c r="D64" s="26" t="s">
        <v>70</v>
      </c>
      <c r="E64" s="40">
        <v>0</v>
      </c>
    </row>
    <row r="65" spans="1:5" x14ac:dyDescent="0.15">
      <c r="D65" s="27" t="s">
        <v>71</v>
      </c>
      <c r="E65" s="39">
        <f>SUM(E60:E64)</f>
        <v>4</v>
      </c>
    </row>
    <row r="66" spans="1:5" ht="13" thickBot="1" x14ac:dyDescent="0.2">
      <c r="D66" s="41" t="s">
        <v>142</v>
      </c>
      <c r="E66" s="42">
        <f>IF(E65&lt;=4,C53,IF(E65&gt;=8,C55,C54))</f>
        <v>0.45</v>
      </c>
    </row>
    <row r="67" spans="1:5" ht="13" thickTop="1" x14ac:dyDescent="0.15"/>
    <row r="68" spans="1:5" x14ac:dyDescent="0.15">
      <c r="B68" s="1" t="s">
        <v>273</v>
      </c>
    </row>
    <row r="69" spans="1:5" x14ac:dyDescent="0.15">
      <c r="B69" s="1" t="s">
        <v>286</v>
      </c>
    </row>
    <row r="70" spans="1:5" x14ac:dyDescent="0.15">
      <c r="B70" s="1" t="s">
        <v>272</v>
      </c>
    </row>
    <row r="72" spans="1:5" x14ac:dyDescent="0.15">
      <c r="A72" s="21" t="s">
        <v>72</v>
      </c>
      <c r="B72" s="21"/>
      <c r="C72" s="21"/>
      <c r="D72" s="21"/>
      <c r="E72" s="21"/>
    </row>
    <row r="74" spans="1:5" x14ac:dyDescent="0.15">
      <c r="B74" s="123" t="s">
        <v>141</v>
      </c>
      <c r="C74" s="123"/>
      <c r="D74" s="123"/>
      <c r="E74" s="123"/>
    </row>
    <row r="76" spans="1:5" x14ac:dyDescent="0.15">
      <c r="A76" s="28" t="s">
        <v>60</v>
      </c>
      <c r="B76" s="20" t="s">
        <v>275</v>
      </c>
    </row>
    <row r="77" spans="1:5" x14ac:dyDescent="0.15">
      <c r="B77" s="24" t="s">
        <v>153</v>
      </c>
    </row>
    <row r="79" spans="1:5" x14ac:dyDescent="0.15">
      <c r="A79" s="28" t="s">
        <v>254</v>
      </c>
      <c r="B79" s="20" t="s">
        <v>274</v>
      </c>
    </row>
    <row r="80" spans="1:5" x14ac:dyDescent="0.15">
      <c r="B80" s="1" t="str">
        <f>B19</f>
        <v>- Only investments with ERB &gt; 0 and Market Price &lt;= Entry Price are eligible for portfolio allocation.</v>
      </c>
    </row>
    <row r="81" spans="1:5" x14ac:dyDescent="0.15">
      <c r="B81" s="111" t="s">
        <v>278</v>
      </c>
      <c r="C81" s="94" t="s">
        <v>288</v>
      </c>
    </row>
    <row r="82" spans="1:5" x14ac:dyDescent="0.15">
      <c r="B82" s="111" t="s">
        <v>277</v>
      </c>
      <c r="C82" s="94" t="s">
        <v>245</v>
      </c>
    </row>
    <row r="83" spans="1:5" x14ac:dyDescent="0.15">
      <c r="B83" s="110" t="str">
        <f>B20</f>
        <v>- Non-selected investments receive 50% of normal allocation.</v>
      </c>
    </row>
    <row r="85" spans="1:5" x14ac:dyDescent="0.15">
      <c r="B85" s="20" t="s">
        <v>276</v>
      </c>
    </row>
    <row r="86" spans="1:5" x14ac:dyDescent="0.15">
      <c r="B86" s="1" t="s">
        <v>279</v>
      </c>
    </row>
    <row r="87" spans="1:5" x14ac:dyDescent="0.15">
      <c r="B87" s="1" t="s">
        <v>281</v>
      </c>
    </row>
    <row r="88" spans="1:5" x14ac:dyDescent="0.15">
      <c r="B88" s="1" t="s">
        <v>280</v>
      </c>
    </row>
    <row r="90" spans="1:5" x14ac:dyDescent="0.15">
      <c r="A90" s="21" t="s">
        <v>73</v>
      </c>
      <c r="B90" s="21"/>
      <c r="C90" s="21"/>
      <c r="D90" s="21"/>
      <c r="E90" s="21"/>
    </row>
    <row r="92" spans="1:5" x14ac:dyDescent="0.15">
      <c r="B92" s="20" t="s">
        <v>74</v>
      </c>
    </row>
    <row r="93" spans="1:5" x14ac:dyDescent="0.15">
      <c r="B93" s="24" t="s">
        <v>83</v>
      </c>
    </row>
    <row r="94" spans="1:5" x14ac:dyDescent="0.15">
      <c r="B94" s="24" t="s">
        <v>84</v>
      </c>
    </row>
    <row r="95" spans="1:5" x14ac:dyDescent="0.1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baseColWidth="10" defaultColWidth="8.83203125" defaultRowHeight="12" x14ac:dyDescent="0.15"/>
  <cols>
    <col min="1" max="1" width="2.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83203125" style="3" bestFit="1" customWidth="1"/>
    <col min="27" max="27" width="8.83203125" style="11"/>
    <col min="28" max="16384" width="8.83203125" style="1"/>
  </cols>
  <sheetData>
    <row r="1" spans="1:27" x14ac:dyDescent="0.15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 x14ac:dyDescent="0.15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 x14ac:dyDescent="0.15">
      <c r="B3" s="11" t="s">
        <v>230</v>
      </c>
      <c r="C3" s="11" t="s">
        <v>231</v>
      </c>
      <c r="D3" s="2">
        <v>2.94</v>
      </c>
      <c r="E3" s="12" t="s">
        <v>136</v>
      </c>
      <c r="F3" s="15">
        <v>0.23204925986510649</v>
      </c>
      <c r="G3" s="15">
        <f>F3 - Portfolio_Mgmt!$C$10</f>
        <v>0.11464925986510649</v>
      </c>
      <c r="H3" s="15">
        <f>F3 - Portfolio_Mgmt!$C$11</f>
        <v>0.19754925986510649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7.2945411680228764E-2</v>
      </c>
      <c r="P3" s="4">
        <v>9.1836734693877556E-2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 x14ac:dyDescent="0.15">
      <c r="B4" s="11" t="s">
        <v>384</v>
      </c>
      <c r="C4" s="11" t="s">
        <v>385</v>
      </c>
      <c r="D4" s="2">
        <v>7.73</v>
      </c>
      <c r="E4" s="12" t="s">
        <v>136</v>
      </c>
      <c r="F4" s="15">
        <v>0.22675455378220222</v>
      </c>
      <c r="G4" s="15">
        <f>F4 - Portfolio_Mgmt!$C$10</f>
        <v>0.10935455378220221</v>
      </c>
      <c r="H4" s="15">
        <f>F4 - Portfolio_Mgmt!$C$11</f>
        <v>0.19225455378220221</v>
      </c>
      <c r="I4" s="15">
        <v>0</v>
      </c>
      <c r="J4" s="2">
        <v>5.862214484030086</v>
      </c>
      <c r="K4" s="2">
        <v>12.981602364197574</v>
      </c>
      <c r="L4" s="74">
        <v>11.348187626380218</v>
      </c>
      <c r="M4" s="2">
        <v>7.3210173909945979</v>
      </c>
      <c r="N4" s="2">
        <v>10.138278723725117</v>
      </c>
      <c r="O4" s="4">
        <v>0.11818717049033771</v>
      </c>
      <c r="P4" s="4">
        <v>4.4697380106080202E-2</v>
      </c>
      <c r="Q4" s="4">
        <v>0.20035936580572525</v>
      </c>
      <c r="R4" s="4">
        <v>9.7688936670425927E-2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-3.1950951675529464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 x14ac:dyDescent="0.15">
      <c r="B5" s="11" t="s">
        <v>210</v>
      </c>
      <c r="C5" s="11" t="s">
        <v>211</v>
      </c>
      <c r="D5" s="2">
        <v>19.059999999999999</v>
      </c>
      <c r="E5" s="12" t="s">
        <v>136</v>
      </c>
      <c r="F5" s="15">
        <v>0.2011941606161789</v>
      </c>
      <c r="G5" s="15">
        <f>F5 - Portfolio_Mgmt!$C$10</f>
        <v>8.3794160616178892E-2</v>
      </c>
      <c r="H5" s="15">
        <f>F5 - Portfolio_Mgmt!$C$11</f>
        <v>0.16669416061617889</v>
      </c>
      <c r="I5" s="15">
        <v>0</v>
      </c>
      <c r="J5" s="2">
        <v>13.697073222236801</v>
      </c>
      <c r="K5" s="2">
        <v>28.442586529160874</v>
      </c>
      <c r="L5" s="74">
        <v>26.17182308307817</v>
      </c>
      <c r="M5" s="2">
        <v>17.022124302930369</v>
      </c>
      <c r="N5" s="2">
        <v>23.426399437681578</v>
      </c>
      <c r="O5" s="4">
        <v>0.10858012801289305</v>
      </c>
      <c r="P5" s="4">
        <v>6.6107030430220357E-2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-0.45856604970829729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 x14ac:dyDescent="0.15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 x14ac:dyDescent="0.15">
      <c r="B7" s="11" t="s">
        <v>199</v>
      </c>
      <c r="C7" s="11" t="s">
        <v>200</v>
      </c>
      <c r="D7" s="2">
        <v>2.19</v>
      </c>
      <c r="E7" s="12" t="s">
        <v>136</v>
      </c>
      <c r="F7" s="15">
        <v>0.18132383775566518</v>
      </c>
      <c r="G7" s="15">
        <f>F7 - Portfolio_Mgmt!$C$10</f>
        <v>6.392383775566518E-2</v>
      </c>
      <c r="H7" s="15">
        <f>F7 - Portfolio_Mgmt!$C$11</f>
        <v>0.14682383775566518</v>
      </c>
      <c r="I7" s="15">
        <v>0</v>
      </c>
      <c r="J7" s="2">
        <v>1.4891928032985018</v>
      </c>
      <c r="K7" s="2">
        <v>3.2884477434155519</v>
      </c>
      <c r="L7" s="74">
        <v>2.881118084930828</v>
      </c>
      <c r="M7" s="2">
        <v>1.8593652446287627</v>
      </c>
      <c r="N7" s="2">
        <v>2.5741633783136502</v>
      </c>
      <c r="O7" s="4">
        <v>6.1679414621444613E-2</v>
      </c>
      <c r="P7" s="4">
        <v>4.1095890410958909E-2</v>
      </c>
      <c r="Q7" s="4">
        <v>4.7832973362251327E-2</v>
      </c>
      <c r="R7" s="4">
        <v>7.8104812973574481E-2</v>
      </c>
      <c r="S7" s="82">
        <v>0.49619793491400876</v>
      </c>
      <c r="T7" s="81">
        <v>1.2342258232843137</v>
      </c>
      <c r="U7" s="15">
        <v>0.10863424600069688</v>
      </c>
      <c r="V7" s="79">
        <v>2.2824569622635926</v>
      </c>
      <c r="W7" s="74">
        <v>1.8483389078254717</v>
      </c>
      <c r="X7" s="13" t="s">
        <v>386</v>
      </c>
      <c r="Y7" s="11" t="s">
        <v>137</v>
      </c>
      <c r="Z7" s="14">
        <v>45900</v>
      </c>
      <c r="AA7" s="16" t="s">
        <v>225</v>
      </c>
    </row>
    <row r="8" spans="1:27" x14ac:dyDescent="0.15">
      <c r="B8" s="11" t="s">
        <v>182</v>
      </c>
      <c r="C8" s="11" t="s">
        <v>183</v>
      </c>
      <c r="D8" s="2">
        <v>51.25</v>
      </c>
      <c r="E8" s="12" t="s">
        <v>136</v>
      </c>
      <c r="F8" s="15">
        <v>0.15693094842183575</v>
      </c>
      <c r="G8" s="15">
        <f>F8 - Portfolio_Mgmt!$C$10</f>
        <v>3.9530948421835743E-2</v>
      </c>
      <c r="H8" s="15">
        <f>F8 - Portfolio_Mgmt!$C$11</f>
        <v>0.12243094842183574</v>
      </c>
      <c r="I8" s="15">
        <v>0</v>
      </c>
      <c r="J8" s="2">
        <v>32.754353236290598</v>
      </c>
      <c r="K8" s="2">
        <v>73.036859198977027</v>
      </c>
      <c r="L8" s="74">
        <v>63.498062550810005</v>
      </c>
      <c r="M8" s="2">
        <v>40.927480878737683</v>
      </c>
      <c r="N8" s="2">
        <v>56.716107945518416</v>
      </c>
      <c r="O8" s="4">
        <v>4.5042253693025301E-2</v>
      </c>
      <c r="P8" s="4">
        <v>3.531196490265337E-2</v>
      </c>
      <c r="Q8" s="4">
        <v>0.13507557419833605</v>
      </c>
      <c r="R8" s="4">
        <v>0.12563536264684372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1.3598340194887166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 x14ac:dyDescent="0.15">
      <c r="B9" s="11" t="s">
        <v>163</v>
      </c>
      <c r="C9" s="11" t="s">
        <v>192</v>
      </c>
      <c r="D9" s="2">
        <v>17.72</v>
      </c>
      <c r="E9" s="12" t="s">
        <v>136</v>
      </c>
      <c r="F9" s="15">
        <v>0.15507618247650146</v>
      </c>
      <c r="G9" s="15">
        <f>F9 - Portfolio_Mgmt!$C$10</f>
        <v>3.7676182476501452E-2</v>
      </c>
      <c r="H9" s="15">
        <f>F9 - Portfolio_Mgmt!$C$11</f>
        <v>0.12057618247650145</v>
      </c>
      <c r="I9" s="15">
        <v>0</v>
      </c>
      <c r="J9" s="2">
        <v>11.232853167417055</v>
      </c>
      <c r="K9" s="2">
        <v>25.62980276148533</v>
      </c>
      <c r="L9" s="74">
        <v>21.88199296780774</v>
      </c>
      <c r="M9" s="2">
        <v>14.061490707057839</v>
      </c>
      <c r="N9" s="2">
        <v>19.531037540334559</v>
      </c>
      <c r="O9" s="4">
        <v>5.7800084329150792E-2</v>
      </c>
      <c r="P9" s="4">
        <v>2.714792992246625E-2</v>
      </c>
      <c r="Q9" s="4">
        <v>0.12359650677430827</v>
      </c>
      <c r="R9" s="4">
        <v>0.12331891072825334</v>
      </c>
      <c r="S9" s="82">
        <v>0.73266920679685343</v>
      </c>
      <c r="T9" s="81">
        <v>1.3679448142367923</v>
      </c>
      <c r="U9" s="15">
        <v>7.4171010848313429E-2</v>
      </c>
      <c r="V9" s="79">
        <v>0.60402076709908736</v>
      </c>
      <c r="W9" s="74">
        <v>4.6124338932098095</v>
      </c>
      <c r="X9" s="13" t="s">
        <v>181</v>
      </c>
      <c r="Y9" s="11" t="s">
        <v>137</v>
      </c>
      <c r="Z9" s="14">
        <v>45900</v>
      </c>
      <c r="AA9" s="16" t="s">
        <v>224</v>
      </c>
    </row>
    <row r="10" spans="1:27" x14ac:dyDescent="0.15">
      <c r="B10" s="11" t="s">
        <v>205</v>
      </c>
      <c r="C10" s="11" t="s">
        <v>216</v>
      </c>
      <c r="D10" s="2">
        <v>22.41</v>
      </c>
      <c r="E10" s="12" t="s">
        <v>206</v>
      </c>
      <c r="F10" s="15">
        <v>0.15195475067193498</v>
      </c>
      <c r="G10" s="15">
        <f>F10 - Portfolio_Mgmt!$C$10</f>
        <v>3.4554750671934975E-2</v>
      </c>
      <c r="H10" s="15">
        <f>F10 - Portfolio_Mgmt!$C$11</f>
        <v>0.11745475067193498</v>
      </c>
      <c r="I10" s="15">
        <v>0</v>
      </c>
      <c r="J10" s="2">
        <v>14.005438973829049</v>
      </c>
      <c r="K10" s="2">
        <v>33.245001875234657</v>
      </c>
      <c r="L10" s="74">
        <v>27.517314961638828</v>
      </c>
      <c r="M10" s="2">
        <v>17.589207488120145</v>
      </c>
      <c r="N10" s="2">
        <v>24.530440005494061</v>
      </c>
      <c r="O10" s="4">
        <v>0.20343425021589442</v>
      </c>
      <c r="P10" s="4">
        <v>1.2979205711735831E-2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 x14ac:dyDescent="0.15">
      <c r="B11" s="11" t="s">
        <v>179</v>
      </c>
      <c r="C11" s="11" t="s">
        <v>180</v>
      </c>
      <c r="D11" s="2">
        <v>62.9</v>
      </c>
      <c r="E11" s="12" t="s">
        <v>136</v>
      </c>
      <c r="F11" s="15">
        <v>0.11578155299565984</v>
      </c>
      <c r="G11" s="15">
        <f>F11 - Portfolio_Mgmt!$C$10</f>
        <v>-1.6184470043401622E-3</v>
      </c>
      <c r="H11" s="15">
        <f>F11 - Portfolio_Mgmt!$C$11</f>
        <v>8.1281552995659839E-2</v>
      </c>
      <c r="I11" s="15">
        <v>0</v>
      </c>
      <c r="J11" s="2">
        <v>37.196102833397632</v>
      </c>
      <c r="K11" s="2">
        <v>70.230248446220713</v>
      </c>
      <c r="L11" s="74">
        <v>69.799227861171033</v>
      </c>
      <c r="M11" s="2">
        <v>45.916064004464999</v>
      </c>
      <c r="N11" s="2">
        <v>62.64621563989455</v>
      </c>
      <c r="O11" s="4">
        <v>8.454054766215538E-2</v>
      </c>
      <c r="P11" s="4">
        <v>8.1105325914149443E-2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-2.6743163096370801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 x14ac:dyDescent="0.15">
      <c r="B12" s="11" t="s">
        <v>208</v>
      </c>
      <c r="C12" s="11" t="s">
        <v>217</v>
      </c>
      <c r="D12" s="2">
        <v>28.02</v>
      </c>
      <c r="E12" s="12" t="s">
        <v>206</v>
      </c>
      <c r="F12" s="15">
        <v>0.11466904664426014</v>
      </c>
      <c r="G12" s="15">
        <f>F12 - Portfolio_Mgmt!$C$10</f>
        <v>-2.7309533557398624E-3</v>
      </c>
      <c r="H12" s="15">
        <f>F12 - Portfolio_Mgmt!$C$11</f>
        <v>8.0169046644260139E-2</v>
      </c>
      <c r="I12" s="15">
        <v>0</v>
      </c>
      <c r="J12" s="2">
        <v>16.032459211529339</v>
      </c>
      <c r="K12" s="2">
        <v>36.174621832566501</v>
      </c>
      <c r="L12" s="74">
        <v>31.157956372196864</v>
      </c>
      <c r="M12" s="2">
        <v>20.051774378274047</v>
      </c>
      <c r="N12" s="2">
        <v>27.820017012608126</v>
      </c>
      <c r="O12" s="4">
        <v>9.061982181952169E-2</v>
      </c>
      <c r="P12" s="4">
        <v>2.7980014275517485E-2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 x14ac:dyDescent="0.15">
      <c r="B13" s="11" t="s">
        <v>185</v>
      </c>
      <c r="C13" s="11" t="s">
        <v>186</v>
      </c>
      <c r="D13" s="2">
        <v>7.7</v>
      </c>
      <c r="E13" s="12" t="s">
        <v>136</v>
      </c>
      <c r="F13" s="15">
        <v>9.9237279931972733E-2</v>
      </c>
      <c r="G13" s="15">
        <f>F13 - Portfolio_Mgmt!$C$10</f>
        <v>-1.8162720068027272E-2</v>
      </c>
      <c r="H13" s="15">
        <f>F13 - Portfolio_Mgmt!$C$11</f>
        <v>6.473727993197273E-2</v>
      </c>
      <c r="I13" s="15">
        <v>0</v>
      </c>
      <c r="J13" s="2">
        <v>4.29667106959461</v>
      </c>
      <c r="K13" s="2">
        <v>8.9118287364092605</v>
      </c>
      <c r="L13" s="2">
        <v>8.2080183000768319</v>
      </c>
      <c r="M13" s="2">
        <v>5.3392556449192687</v>
      </c>
      <c r="N13" s="2">
        <v>7.3472480474381268</v>
      </c>
      <c r="O13" s="4">
        <v>0.10241865808236439</v>
      </c>
      <c r="P13" s="4">
        <v>5.165526744981689E-2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-3.8820968563175673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 x14ac:dyDescent="0.15">
      <c r="B14" s="11" t="s">
        <v>202</v>
      </c>
      <c r="C14" s="11" t="s">
        <v>203</v>
      </c>
      <c r="D14" s="2">
        <v>2.4300000000000002</v>
      </c>
      <c r="E14" s="12" t="s">
        <v>136</v>
      </c>
      <c r="F14" s="15">
        <v>9.6849702938483384E-2</v>
      </c>
      <c r="G14" s="15">
        <f>F14 - Portfolio_Mgmt!$C$10</f>
        <v>-2.055029706151662E-2</v>
      </c>
      <c r="H14" s="15">
        <f>F14 - Portfolio_Mgmt!$C$11</f>
        <v>6.2349702938483381E-2</v>
      </c>
      <c r="I14" s="15">
        <v>0</v>
      </c>
      <c r="J14" s="2">
        <v>1.3428524841870977</v>
      </c>
      <c r="K14" s="2">
        <v>2.8386488713571345</v>
      </c>
      <c r="L14" s="2">
        <v>2.5749827527954663</v>
      </c>
      <c r="M14" s="2">
        <v>1.6710540272869217</v>
      </c>
      <c r="N14" s="2">
        <v>2.3036583357468476</v>
      </c>
      <c r="O14" s="4">
        <v>3.4674377373188771E-2</v>
      </c>
      <c r="P14" s="4">
        <v>4.5888527362896496E-2</v>
      </c>
      <c r="Q14" s="4">
        <v>4.3342836758956366E-2</v>
      </c>
      <c r="R14" s="4">
        <v>8.4127323404300389E-2</v>
      </c>
      <c r="S14" s="82">
        <v>0.42808280043619051</v>
      </c>
      <c r="T14" s="81">
        <v>1.2035176992971439</v>
      </c>
      <c r="U14" s="15">
        <v>1.0763175939415467E-2</v>
      </c>
      <c r="V14" s="79">
        <v>0.29882156160837919</v>
      </c>
      <c r="W14" s="74">
        <v>1.9132066402129779</v>
      </c>
      <c r="X14" s="13" t="s">
        <v>204</v>
      </c>
      <c r="Y14" s="11" t="s">
        <v>198</v>
      </c>
      <c r="Z14" s="14">
        <v>45900</v>
      </c>
      <c r="AA14" s="16" t="s">
        <v>224</v>
      </c>
    </row>
    <row r="15" spans="1:27" x14ac:dyDescent="0.15">
      <c r="B15" s="11" t="s">
        <v>193</v>
      </c>
      <c r="C15" s="11" t="s">
        <v>194</v>
      </c>
      <c r="D15" s="2">
        <v>17.21</v>
      </c>
      <c r="E15" s="12" t="s">
        <v>136</v>
      </c>
      <c r="F15" s="15">
        <v>7.4059851104757879E-2</v>
      </c>
      <c r="G15" s="15">
        <f>F15 - Portfolio_Mgmt!$C$10</f>
        <v>-4.3340148895242125E-2</v>
      </c>
      <c r="H15" s="15">
        <f>F15 - Portfolio_Mgmt!$C$11</f>
        <v>3.9559851104757876E-2</v>
      </c>
      <c r="I15" s="15">
        <v>0</v>
      </c>
      <c r="J15" s="2">
        <v>8.9906268657406443</v>
      </c>
      <c r="K15" s="2">
        <v>18.603192739546643</v>
      </c>
      <c r="L15" s="2">
        <v>17.166894923654333</v>
      </c>
      <c r="M15" s="2">
        <v>11.170231895447881</v>
      </c>
      <c r="N15" s="2">
        <v>15.367684638411601</v>
      </c>
      <c r="O15" s="4">
        <v>9.0237541151853243E-2</v>
      </c>
      <c r="P15" s="4">
        <v>4.8979018012783253E-2</v>
      </c>
      <c r="Q15" s="4">
        <v>0.26418088869045758</v>
      </c>
      <c r="R15" s="4">
        <v>0.11373780109980408</v>
      </c>
      <c r="S15" s="82">
        <v>0.70652858717908329</v>
      </c>
      <c r="T15" s="81">
        <v>3.2875080906148866</v>
      </c>
      <c r="U15" s="15">
        <v>1.5035598705501618</v>
      </c>
      <c r="V15" s="79">
        <v>4.1998196571663646</v>
      </c>
      <c r="W15" s="74">
        <v>-12.27577908260958</v>
      </c>
      <c r="X15" s="13" t="s">
        <v>181</v>
      </c>
      <c r="Y15" s="11" t="s">
        <v>195</v>
      </c>
      <c r="Z15" s="14">
        <v>45900</v>
      </c>
      <c r="AA15" s="16" t="s">
        <v>225</v>
      </c>
    </row>
    <row r="16" spans="1:27" x14ac:dyDescent="0.15">
      <c r="B16" s="11" t="s">
        <v>227</v>
      </c>
      <c r="C16" s="11" t="s">
        <v>228</v>
      </c>
      <c r="D16" s="2">
        <v>6.99</v>
      </c>
      <c r="E16" s="12" t="s">
        <v>136</v>
      </c>
      <c r="F16" s="15">
        <v>6.8186486812982006E-2</v>
      </c>
      <c r="G16" s="15">
        <f>F16 - Portfolio_Mgmt!$C$10</f>
        <v>-4.9213513187017999E-2</v>
      </c>
      <c r="H16" s="15">
        <f>F16 - Portfolio_Mgmt!$C$11</f>
        <v>3.3686486812982003E-2</v>
      </c>
      <c r="I16" s="15">
        <v>0</v>
      </c>
      <c r="J16" s="2">
        <v>3.6036658259915511</v>
      </c>
      <c r="K16" s="2">
        <v>7.3642693066239637</v>
      </c>
      <c r="L16" s="2">
        <v>6.8641356814360206</v>
      </c>
      <c r="M16" s="2">
        <v>4.4732258849914697</v>
      </c>
      <c r="N16" s="2">
        <v>6.1469536878205542</v>
      </c>
      <c r="O16" s="4">
        <v>5.284722951995495E-2</v>
      </c>
      <c r="P16" s="4">
        <v>5.1502145922746781E-2</v>
      </c>
      <c r="Q16" s="4">
        <v>7.0630420943605887E-2</v>
      </c>
      <c r="R16" s="4">
        <v>9.3039179367971361E-2</v>
      </c>
      <c r="S16" s="82">
        <v>0.62627525695225639</v>
      </c>
      <c r="T16" s="81">
        <v>1.2121620122817016</v>
      </c>
      <c r="U16" s="15">
        <v>1.1610019159010268E-2</v>
      </c>
      <c r="V16" s="79">
        <v>0.16381589511191816</v>
      </c>
      <c r="W16" s="74">
        <v>3.7980767021052162</v>
      </c>
      <c r="X16" s="13" t="s">
        <v>229</v>
      </c>
      <c r="Y16" s="11" t="s">
        <v>137</v>
      </c>
      <c r="Z16" s="14">
        <v>45900</v>
      </c>
      <c r="AA16" s="16" t="s">
        <v>224</v>
      </c>
    </row>
    <row r="17" spans="2:27" x14ac:dyDescent="0.15">
      <c r="B17" s="11" t="s">
        <v>138</v>
      </c>
      <c r="C17" s="11" t="s">
        <v>176</v>
      </c>
      <c r="D17" s="2">
        <v>9.65</v>
      </c>
      <c r="E17" s="12" t="s">
        <v>136</v>
      </c>
      <c r="F17" s="15">
        <v>5.0714178132541088E-2</v>
      </c>
      <c r="G17" s="15">
        <f>F17 - Portfolio_Mgmt!$C$10</f>
        <v>-6.6685821867458916E-2</v>
      </c>
      <c r="H17" s="15">
        <f>F17 - Portfolio_Mgmt!$C$11</f>
        <v>1.6214178132541085E-2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3.201019398779948E-2</v>
      </c>
      <c r="P17" s="4">
        <v>6.0103626943005174E-2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 x14ac:dyDescent="0.15">
      <c r="B18" s="11" t="s">
        <v>190</v>
      </c>
      <c r="C18" s="11" t="s">
        <v>191</v>
      </c>
      <c r="D18" s="2">
        <v>23.48</v>
      </c>
      <c r="E18" s="12" t="s">
        <v>136</v>
      </c>
      <c r="F18" s="15">
        <v>3.7246952754075746E-2</v>
      </c>
      <c r="G18" s="15">
        <f>F18 - Portfolio_Mgmt!$C$10</f>
        <v>-8.0153047245924258E-2</v>
      </c>
      <c r="H18" s="15">
        <f>F18 - Portfolio_Mgmt!$C$11</f>
        <v>2.7469527540757432E-3</v>
      </c>
      <c r="I18" s="15">
        <v>0</v>
      </c>
      <c r="J18" s="2">
        <v>11.235424773194682</v>
      </c>
      <c r="K18" s="2">
        <v>21.968758226348868</v>
      </c>
      <c r="L18" s="2">
        <v>21.220699139526428</v>
      </c>
      <c r="M18" s="2">
        <v>13.902724211890622</v>
      </c>
      <c r="N18" s="2">
        <v>19.027476031641555</v>
      </c>
      <c r="O18" s="4">
        <v>7.3593953124771266E-2</v>
      </c>
      <c r="P18" s="4">
        <v>5.7921635434412269E-2</v>
      </c>
      <c r="Q18" s="4">
        <v>0.10515362778966494</v>
      </c>
      <c r="R18" s="4">
        <v>0.11295218450174714</v>
      </c>
      <c r="S18" s="82">
        <v>0.71055479556740742</v>
      </c>
      <c r="T18" s="81">
        <v>1.3101832741522048</v>
      </c>
      <c r="U18" s="15">
        <v>0.15818859882129041</v>
      </c>
      <c r="V18" s="79">
        <v>1.4550387206421544</v>
      </c>
      <c r="W18" s="74">
        <v>5.8696003638854428</v>
      </c>
      <c r="X18" s="13" t="s">
        <v>189</v>
      </c>
      <c r="Y18" s="11" t="s">
        <v>137</v>
      </c>
      <c r="Z18" s="14">
        <v>45808</v>
      </c>
      <c r="AA18" s="11" t="s">
        <v>224</v>
      </c>
    </row>
    <row r="19" spans="2:27" x14ac:dyDescent="0.15">
      <c r="B19" s="11" t="s">
        <v>173</v>
      </c>
      <c r="C19" s="11" t="s">
        <v>196</v>
      </c>
      <c r="D19" s="2">
        <v>2.11</v>
      </c>
      <c r="E19" s="12" t="s">
        <v>136</v>
      </c>
      <c r="F19" s="15">
        <v>4.8967278941636216E-4</v>
      </c>
      <c r="G19" s="15">
        <f>F19 - Portfolio_Mgmt!$C$10</f>
        <v>-0.11691032721058364</v>
      </c>
      <c r="H19" s="15">
        <f>F19 - Portfolio_Mgmt!$C$11</f>
        <v>-3.4010327210583641E-2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4.5439129121028037E-3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 x14ac:dyDescent="0.15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 x14ac:dyDescent="0.15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 x14ac:dyDescent="0.15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 x14ac:dyDescent="0.15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 x14ac:dyDescent="0.15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 x14ac:dyDescent="0.15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 x14ac:dyDescent="0.15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 x14ac:dyDescent="0.15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 x14ac:dyDescent="0.15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 x14ac:dyDescent="0.15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 x14ac:dyDescent="0.15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 x14ac:dyDescent="0.15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 x14ac:dyDescent="0.15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 x14ac:dyDescent="0.15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 x14ac:dyDescent="0.15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 x14ac:dyDescent="0.15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 x14ac:dyDescent="0.15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 x14ac:dyDescent="0.15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 x14ac:dyDescent="0.15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 x14ac:dyDescent="0.15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 x14ac:dyDescent="0.15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 x14ac:dyDescent="0.15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 x14ac:dyDescent="0.15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 x14ac:dyDescent="0.15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 x14ac:dyDescent="0.15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 x14ac:dyDescent="0.15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 x14ac:dyDescent="0.15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 x14ac:dyDescent="0.15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 x14ac:dyDescent="0.15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 x14ac:dyDescent="0.15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 x14ac:dyDescent="0.15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 x14ac:dyDescent="0.15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 x14ac:dyDescent="0.15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 x14ac:dyDescent="0.15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 x14ac:dyDescent="0.15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 x14ac:dyDescent="0.15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 x14ac:dyDescent="0.15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 x14ac:dyDescent="0.15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 x14ac:dyDescent="0.15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 x14ac:dyDescent="0.15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 x14ac:dyDescent="0.15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 x14ac:dyDescent="0.15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 x14ac:dyDescent="0.15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 x14ac:dyDescent="0.15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 x14ac:dyDescent="0.15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 x14ac:dyDescent="0.15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 x14ac:dyDescent="0.15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 x14ac:dyDescent="0.15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 x14ac:dyDescent="0.15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 x14ac:dyDescent="0.15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 x14ac:dyDescent="0.15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 x14ac:dyDescent="0.15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 x14ac:dyDescent="0.15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 x14ac:dyDescent="0.15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 x14ac:dyDescent="0.15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 x14ac:dyDescent="0.15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 x14ac:dyDescent="0.15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 x14ac:dyDescent="0.15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 x14ac:dyDescent="0.15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 x14ac:dyDescent="0.15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 x14ac:dyDescent="0.15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 x14ac:dyDescent="0.15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 x14ac:dyDescent="0.15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 x14ac:dyDescent="0.15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 x14ac:dyDescent="0.15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 x14ac:dyDescent="0.15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 x14ac:dyDescent="0.15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 x14ac:dyDescent="0.15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 x14ac:dyDescent="0.15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 x14ac:dyDescent="0.15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 x14ac:dyDescent="0.15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 x14ac:dyDescent="0.15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 x14ac:dyDescent="0.15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 x14ac:dyDescent="0.15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 x14ac:dyDescent="0.15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 x14ac:dyDescent="0.15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 x14ac:dyDescent="0.15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 x14ac:dyDescent="0.15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 x14ac:dyDescent="0.15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 x14ac:dyDescent="0.15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 x14ac:dyDescent="0.15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 x14ac:dyDescent="0.15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 x14ac:dyDescent="0.15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 x14ac:dyDescent="0.15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 x14ac:dyDescent="0.15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 x14ac:dyDescent="0.15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 x14ac:dyDescent="0.15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 x14ac:dyDescent="0.15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 x14ac:dyDescent="0.15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 x14ac:dyDescent="0.15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 x14ac:dyDescent="0.15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 x14ac:dyDescent="0.15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 x14ac:dyDescent="0.15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 x14ac:dyDescent="0.15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 x14ac:dyDescent="0.15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 x14ac:dyDescent="0.15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 x14ac:dyDescent="0.15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 x14ac:dyDescent="0.15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 x14ac:dyDescent="0.15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 x14ac:dyDescent="0.15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 x14ac:dyDescent="0.15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 x14ac:dyDescent="0.15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 x14ac:dyDescent="0.15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 x14ac:dyDescent="0.15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 x14ac:dyDescent="0.15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 x14ac:dyDescent="0.15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 x14ac:dyDescent="0.15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 x14ac:dyDescent="0.15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 x14ac:dyDescent="0.15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 x14ac:dyDescent="0.15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 x14ac:dyDescent="0.15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 x14ac:dyDescent="0.15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 x14ac:dyDescent="0.15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 x14ac:dyDescent="0.15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 x14ac:dyDescent="0.15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 x14ac:dyDescent="0.15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 x14ac:dyDescent="0.15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 x14ac:dyDescent="0.15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 x14ac:dyDescent="0.15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 x14ac:dyDescent="0.15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 x14ac:dyDescent="0.15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 x14ac:dyDescent="0.15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 x14ac:dyDescent="0.15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 x14ac:dyDescent="0.15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 x14ac:dyDescent="0.15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 x14ac:dyDescent="0.15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 x14ac:dyDescent="0.15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 x14ac:dyDescent="0.15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 x14ac:dyDescent="0.15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 x14ac:dyDescent="0.15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 x14ac:dyDescent="0.15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 x14ac:dyDescent="0.15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 x14ac:dyDescent="0.15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 x14ac:dyDescent="0.15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 x14ac:dyDescent="0.15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 x14ac:dyDescent="0.15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 x14ac:dyDescent="0.15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 x14ac:dyDescent="0.15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 x14ac:dyDescent="0.15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 x14ac:dyDescent="0.15">
      <c r="X159" s="17"/>
    </row>
    <row r="160" spans="2:26" x14ac:dyDescent="0.15">
      <c r="X160" s="17"/>
    </row>
    <row r="161" spans="24:24" x14ac:dyDescent="0.15">
      <c r="X161" s="17"/>
    </row>
    <row r="162" spans="24:24" x14ac:dyDescent="0.15">
      <c r="X162" s="17"/>
    </row>
    <row r="163" spans="24:24" x14ac:dyDescent="0.15">
      <c r="X163" s="17"/>
    </row>
    <row r="164" spans="24:24" x14ac:dyDescent="0.15">
      <c r="X164" s="17"/>
    </row>
    <row r="165" spans="24:24" x14ac:dyDescent="0.15">
      <c r="X165" s="17"/>
    </row>
    <row r="166" spans="24:24" x14ac:dyDescent="0.15">
      <c r="X166" s="17"/>
    </row>
    <row r="167" spans="24:24" x14ac:dyDescent="0.15">
      <c r="X167" s="17"/>
    </row>
    <row r="168" spans="24:24" x14ac:dyDescent="0.15">
      <c r="X168" s="17"/>
    </row>
    <row r="169" spans="24:24" x14ac:dyDescent="0.15">
      <c r="X169" s="17"/>
    </row>
    <row r="170" spans="24:24" x14ac:dyDescent="0.15">
      <c r="X170" s="17"/>
    </row>
    <row r="171" spans="24:24" x14ac:dyDescent="0.15">
      <c r="X171" s="17"/>
    </row>
    <row r="172" spans="24:24" x14ac:dyDescent="0.15">
      <c r="X172" s="17"/>
    </row>
    <row r="173" spans="24:24" x14ac:dyDescent="0.15">
      <c r="X173" s="17"/>
    </row>
    <row r="174" spans="24:24" x14ac:dyDescent="0.15">
      <c r="X174" s="17"/>
    </row>
    <row r="175" spans="24:24" x14ac:dyDescent="0.15">
      <c r="X175" s="17"/>
    </row>
    <row r="176" spans="24:24" x14ac:dyDescent="0.15">
      <c r="X176" s="17"/>
    </row>
    <row r="177" spans="24:24" x14ac:dyDescent="0.15">
      <c r="X177" s="17"/>
    </row>
    <row r="178" spans="24:24" x14ac:dyDescent="0.15">
      <c r="X178" s="17"/>
    </row>
    <row r="179" spans="24:24" x14ac:dyDescent="0.15">
      <c r="X179" s="17"/>
    </row>
    <row r="180" spans="24:24" x14ac:dyDescent="0.15">
      <c r="X180" s="17"/>
    </row>
    <row r="181" spans="24:24" x14ac:dyDescent="0.15">
      <c r="X181" s="17"/>
    </row>
    <row r="182" spans="24:24" x14ac:dyDescent="0.15">
      <c r="X182" s="17"/>
    </row>
    <row r="183" spans="24:24" x14ac:dyDescent="0.15">
      <c r="X183" s="17"/>
    </row>
    <row r="184" spans="24:24" x14ac:dyDescent="0.15">
      <c r="X184" s="17"/>
    </row>
    <row r="185" spans="24:24" x14ac:dyDescent="0.15">
      <c r="X185" s="17"/>
    </row>
    <row r="186" spans="24:24" x14ac:dyDescent="0.15">
      <c r="X186" s="17"/>
    </row>
    <row r="187" spans="24:24" x14ac:dyDescent="0.15">
      <c r="X187" s="17"/>
    </row>
    <row r="188" spans="24:24" x14ac:dyDescent="0.15">
      <c r="X188" s="17"/>
    </row>
    <row r="189" spans="24:24" x14ac:dyDescent="0.15">
      <c r="X189" s="17"/>
    </row>
    <row r="190" spans="24:24" x14ac:dyDescent="0.15">
      <c r="X190" s="17"/>
    </row>
    <row r="191" spans="24:24" x14ac:dyDescent="0.15">
      <c r="X191" s="17"/>
    </row>
    <row r="192" spans="24:24" x14ac:dyDescent="0.15">
      <c r="X192" s="17"/>
    </row>
    <row r="193" spans="24:24" x14ac:dyDescent="0.15">
      <c r="X193" s="17"/>
    </row>
    <row r="194" spans="24:24" x14ac:dyDescent="0.15">
      <c r="X194" s="17"/>
    </row>
    <row r="195" spans="24:24" x14ac:dyDescent="0.15">
      <c r="X195" s="17"/>
    </row>
    <row r="196" spans="24:24" x14ac:dyDescent="0.15">
      <c r="X196" s="17"/>
    </row>
    <row r="197" spans="24:24" x14ac:dyDescent="0.15">
      <c r="X197" s="17"/>
    </row>
    <row r="198" spans="24:24" x14ac:dyDescent="0.15">
      <c r="X198" s="17"/>
    </row>
    <row r="199" spans="24:24" x14ac:dyDescent="0.15">
      <c r="X199" s="17"/>
    </row>
    <row r="200" spans="24:24" x14ac:dyDescent="0.15">
      <c r="X200" s="17"/>
    </row>
    <row r="201" spans="24:24" x14ac:dyDescent="0.15">
      <c r="X201" s="17"/>
    </row>
    <row r="202" spans="24:24" x14ac:dyDescent="0.15">
      <c r="X202" s="17"/>
    </row>
    <row r="203" spans="24:24" x14ac:dyDescent="0.15">
      <c r="X203" s="17"/>
    </row>
    <row r="204" spans="24:24" x14ac:dyDescent="0.15">
      <c r="X204" s="17"/>
    </row>
    <row r="205" spans="24:24" x14ac:dyDescent="0.15">
      <c r="X205" s="17"/>
    </row>
    <row r="206" spans="24:24" x14ac:dyDescent="0.15">
      <c r="X206" s="17"/>
    </row>
    <row r="207" spans="24:24" x14ac:dyDescent="0.15">
      <c r="X207" s="17"/>
    </row>
    <row r="208" spans="24:24" x14ac:dyDescent="0.15">
      <c r="X208" s="17"/>
    </row>
    <row r="209" spans="24:24" x14ac:dyDescent="0.15">
      <c r="X209" s="17"/>
    </row>
    <row r="210" spans="24:24" x14ac:dyDescent="0.15">
      <c r="X210" s="17"/>
    </row>
    <row r="211" spans="24:24" x14ac:dyDescent="0.15">
      <c r="X211" s="17"/>
    </row>
    <row r="212" spans="24:24" x14ac:dyDescent="0.15">
      <c r="X212" s="17"/>
    </row>
    <row r="213" spans="24:24" x14ac:dyDescent="0.15">
      <c r="X213" s="17"/>
    </row>
    <row r="214" spans="24:24" x14ac:dyDescent="0.15">
      <c r="X214" s="17"/>
    </row>
    <row r="215" spans="24:24" x14ac:dyDescent="0.15">
      <c r="X215" s="17"/>
    </row>
    <row r="216" spans="24:24" x14ac:dyDescent="0.15">
      <c r="X216" s="17"/>
    </row>
    <row r="217" spans="24:24" x14ac:dyDescent="0.15">
      <c r="X217" s="17"/>
    </row>
    <row r="218" spans="24:24" x14ac:dyDescent="0.15">
      <c r="X218" s="17"/>
    </row>
    <row r="219" spans="24:24" x14ac:dyDescent="0.15">
      <c r="X219" s="17"/>
    </row>
    <row r="220" spans="24:24" x14ac:dyDescent="0.15">
      <c r="X220" s="17"/>
    </row>
    <row r="221" spans="24:24" x14ac:dyDescent="0.15">
      <c r="X221" s="17"/>
    </row>
    <row r="222" spans="24:24" x14ac:dyDescent="0.15">
      <c r="X222" s="17"/>
    </row>
    <row r="223" spans="24:24" x14ac:dyDescent="0.15">
      <c r="X223" s="17"/>
    </row>
    <row r="224" spans="24:24" x14ac:dyDescent="0.15">
      <c r="X224" s="17"/>
    </row>
    <row r="225" spans="24:24" x14ac:dyDescent="0.15">
      <c r="X225" s="17"/>
    </row>
    <row r="226" spans="24:24" x14ac:dyDescent="0.15">
      <c r="X226" s="17"/>
    </row>
    <row r="227" spans="24:24" x14ac:dyDescent="0.15">
      <c r="X227" s="17"/>
    </row>
    <row r="228" spans="24:24" x14ac:dyDescent="0.15">
      <c r="X228" s="17"/>
    </row>
    <row r="229" spans="24:24" x14ac:dyDescent="0.15">
      <c r="X229" s="17"/>
    </row>
    <row r="230" spans="24:24" x14ac:dyDescent="0.15">
      <c r="X230" s="17"/>
    </row>
    <row r="231" spans="24:24" x14ac:dyDescent="0.15">
      <c r="X231" s="17"/>
    </row>
    <row r="232" spans="24:24" x14ac:dyDescent="0.15">
      <c r="X232" s="17"/>
    </row>
    <row r="233" spans="24:24" x14ac:dyDescent="0.15">
      <c r="X233" s="17"/>
    </row>
    <row r="234" spans="24:24" x14ac:dyDescent="0.15">
      <c r="X234" s="17"/>
    </row>
    <row r="235" spans="24:24" x14ac:dyDescent="0.15">
      <c r="X235" s="17"/>
    </row>
    <row r="236" spans="24:24" x14ac:dyDescent="0.15">
      <c r="X236" s="17"/>
    </row>
    <row r="237" spans="24:24" x14ac:dyDescent="0.15">
      <c r="X237" s="17"/>
    </row>
    <row r="238" spans="24:24" x14ac:dyDescent="0.15">
      <c r="X238" s="17"/>
    </row>
    <row r="239" spans="24:24" x14ac:dyDescent="0.15">
      <c r="X239" s="17"/>
    </row>
    <row r="240" spans="24:24" x14ac:dyDescent="0.15">
      <c r="X240" s="17"/>
    </row>
    <row r="241" spans="24:24" x14ac:dyDescent="0.15">
      <c r="X241" s="17"/>
    </row>
    <row r="242" spans="24:24" x14ac:dyDescent="0.15">
      <c r="X242" s="17"/>
    </row>
    <row r="243" spans="24:24" x14ac:dyDescent="0.15">
      <c r="X243" s="17"/>
    </row>
    <row r="244" spans="24:24" x14ac:dyDescent="0.15">
      <c r="X244" s="17"/>
    </row>
    <row r="245" spans="24:24" x14ac:dyDescent="0.15">
      <c r="X245" s="17"/>
    </row>
    <row r="246" spans="24:24" x14ac:dyDescent="0.15">
      <c r="X246" s="17"/>
    </row>
    <row r="247" spans="24:24" x14ac:dyDescent="0.15">
      <c r="X247" s="17"/>
    </row>
    <row r="248" spans="24:24" x14ac:dyDescent="0.15">
      <c r="X248" s="17"/>
    </row>
    <row r="249" spans="24:24" x14ac:dyDescent="0.15">
      <c r="X249" s="17"/>
    </row>
    <row r="250" spans="24:24" x14ac:dyDescent="0.15">
      <c r="X250" s="17"/>
    </row>
    <row r="251" spans="24:24" x14ac:dyDescent="0.15">
      <c r="X251" s="17"/>
    </row>
    <row r="252" spans="24:24" x14ac:dyDescent="0.15">
      <c r="X252" s="17"/>
    </row>
    <row r="253" spans="24:24" x14ac:dyDescent="0.15">
      <c r="X253" s="17"/>
    </row>
    <row r="254" spans="24:24" x14ac:dyDescent="0.15">
      <c r="X254" s="17"/>
    </row>
    <row r="255" spans="24:24" x14ac:dyDescent="0.15">
      <c r="X255" s="17"/>
    </row>
    <row r="256" spans="24:24" x14ac:dyDescent="0.15">
      <c r="X256" s="17"/>
    </row>
    <row r="257" spans="24:24" x14ac:dyDescent="0.15">
      <c r="X257" s="17"/>
    </row>
    <row r="258" spans="24:24" x14ac:dyDescent="0.15">
      <c r="X258" s="17"/>
    </row>
    <row r="259" spans="24:24" x14ac:dyDescent="0.15">
      <c r="X259" s="17"/>
    </row>
    <row r="260" spans="24:24" x14ac:dyDescent="0.15">
      <c r="X260" s="17"/>
    </row>
    <row r="261" spans="24:24" x14ac:dyDescent="0.15">
      <c r="X261" s="17"/>
    </row>
    <row r="262" spans="24:24" x14ac:dyDescent="0.15">
      <c r="X262" s="17"/>
    </row>
    <row r="263" spans="24:24" x14ac:dyDescent="0.15">
      <c r="X263" s="17"/>
    </row>
    <row r="264" spans="24:24" x14ac:dyDescent="0.15">
      <c r="X264" s="17"/>
    </row>
    <row r="265" spans="24:24" x14ac:dyDescent="0.15">
      <c r="X265" s="17"/>
    </row>
    <row r="266" spans="24:24" x14ac:dyDescent="0.15">
      <c r="X266" s="17"/>
    </row>
    <row r="267" spans="24:24" x14ac:dyDescent="0.15">
      <c r="X267" s="17"/>
    </row>
    <row r="268" spans="24:24" x14ac:dyDescent="0.15">
      <c r="X268" s="17"/>
    </row>
    <row r="269" spans="24:24" x14ac:dyDescent="0.15">
      <c r="X269" s="17"/>
    </row>
    <row r="270" spans="24:24" x14ac:dyDescent="0.15">
      <c r="X270" s="17"/>
    </row>
    <row r="271" spans="24:24" x14ac:dyDescent="0.15">
      <c r="X271" s="17"/>
    </row>
    <row r="272" spans="24:24" x14ac:dyDescent="0.15">
      <c r="X272" s="17"/>
    </row>
    <row r="273" spans="24:24" x14ac:dyDescent="0.15">
      <c r="X273" s="17"/>
    </row>
    <row r="274" spans="24:24" x14ac:dyDescent="0.15">
      <c r="X274" s="17"/>
    </row>
    <row r="275" spans="24:24" x14ac:dyDescent="0.15">
      <c r="X275" s="17"/>
    </row>
    <row r="276" spans="24:24" x14ac:dyDescent="0.15">
      <c r="X276" s="17"/>
    </row>
    <row r="277" spans="24:24" x14ac:dyDescent="0.15">
      <c r="X277" s="17"/>
    </row>
    <row r="278" spans="24:24" x14ac:dyDescent="0.15">
      <c r="X278" s="17"/>
    </row>
    <row r="279" spans="24:24" x14ac:dyDescent="0.15">
      <c r="X279" s="17"/>
    </row>
    <row r="280" spans="24:24" x14ac:dyDescent="0.15">
      <c r="X280" s="17"/>
    </row>
    <row r="281" spans="24:24" x14ac:dyDescent="0.15">
      <c r="X281" s="17"/>
    </row>
    <row r="282" spans="24:24" x14ac:dyDescent="0.15">
      <c r="X282" s="17"/>
    </row>
    <row r="283" spans="24:24" x14ac:dyDescent="0.15">
      <c r="X283" s="17"/>
    </row>
    <row r="284" spans="24:24" x14ac:dyDescent="0.15">
      <c r="X284" s="17"/>
    </row>
    <row r="285" spans="24:24" x14ac:dyDescent="0.15">
      <c r="X285" s="17"/>
    </row>
    <row r="286" spans="24:24" x14ac:dyDescent="0.15">
      <c r="X286" s="17"/>
    </row>
    <row r="287" spans="24:24" x14ac:dyDescent="0.15">
      <c r="X287" s="17"/>
    </row>
    <row r="288" spans="24:24" x14ac:dyDescent="0.15">
      <c r="X288" s="17"/>
    </row>
    <row r="289" spans="24:24" x14ac:dyDescent="0.15">
      <c r="X289" s="17"/>
    </row>
    <row r="290" spans="24:24" x14ac:dyDescent="0.15">
      <c r="X290" s="17"/>
    </row>
    <row r="291" spans="24:24" x14ac:dyDescent="0.15">
      <c r="X291" s="17"/>
    </row>
    <row r="292" spans="24:24" x14ac:dyDescent="0.15">
      <c r="X292" s="17"/>
    </row>
    <row r="293" spans="24:24" x14ac:dyDescent="0.15">
      <c r="X293" s="17"/>
    </row>
    <row r="294" spans="24:24" x14ac:dyDescent="0.15">
      <c r="X294" s="17"/>
    </row>
    <row r="295" spans="24:24" x14ac:dyDescent="0.15">
      <c r="X295" s="17"/>
    </row>
    <row r="296" spans="24:24" x14ac:dyDescent="0.15">
      <c r="X296" s="17"/>
    </row>
    <row r="297" spans="24:24" x14ac:dyDescent="0.15">
      <c r="X297" s="17"/>
    </row>
    <row r="298" spans="24:24" x14ac:dyDescent="0.15">
      <c r="X298" s="17"/>
    </row>
    <row r="299" spans="24:24" x14ac:dyDescent="0.15">
      <c r="X299" s="17"/>
    </row>
    <row r="300" spans="24:24" x14ac:dyDescent="0.15">
      <c r="X300" s="17"/>
    </row>
    <row r="301" spans="24:24" x14ac:dyDescent="0.15">
      <c r="X301" s="17"/>
    </row>
    <row r="302" spans="24:24" x14ac:dyDescent="0.15">
      <c r="X302" s="17"/>
    </row>
    <row r="303" spans="24:24" x14ac:dyDescent="0.15">
      <c r="X303" s="17"/>
    </row>
    <row r="304" spans="24:24" x14ac:dyDescent="0.15">
      <c r="X304" s="17"/>
    </row>
    <row r="305" spans="24:24" x14ac:dyDescent="0.15">
      <c r="X305" s="17"/>
    </row>
    <row r="306" spans="24:24" x14ac:dyDescent="0.15">
      <c r="X306" s="17"/>
    </row>
    <row r="307" spans="24:24" x14ac:dyDescent="0.15">
      <c r="X307" s="17"/>
    </row>
    <row r="308" spans="24:24" x14ac:dyDescent="0.15">
      <c r="X308" s="17"/>
    </row>
    <row r="309" spans="24:24" x14ac:dyDescent="0.15">
      <c r="X309" s="17"/>
    </row>
    <row r="310" spans="24:24" x14ac:dyDescent="0.15">
      <c r="X310" s="17"/>
    </row>
    <row r="311" spans="24:24" x14ac:dyDescent="0.15">
      <c r="X311" s="17"/>
    </row>
    <row r="312" spans="24:24" x14ac:dyDescent="0.15">
      <c r="X312" s="17"/>
    </row>
    <row r="313" spans="24:24" x14ac:dyDescent="0.15">
      <c r="X313" s="17"/>
    </row>
    <row r="314" spans="24:24" x14ac:dyDescent="0.15">
      <c r="X314" s="17"/>
    </row>
    <row r="315" spans="24:24" x14ac:dyDescent="0.15">
      <c r="X315" s="17"/>
    </row>
    <row r="316" spans="24:24" x14ac:dyDescent="0.15">
      <c r="X316" s="17"/>
    </row>
    <row r="317" spans="24:24" x14ac:dyDescent="0.15">
      <c r="X317" s="17"/>
    </row>
    <row r="318" spans="24:24" x14ac:dyDescent="0.15">
      <c r="X318" s="17"/>
    </row>
    <row r="319" spans="24:24" x14ac:dyDescent="0.15">
      <c r="X319" s="17"/>
    </row>
    <row r="320" spans="24:24" x14ac:dyDescent="0.15">
      <c r="X320" s="17"/>
    </row>
    <row r="321" spans="24:24" x14ac:dyDescent="0.15">
      <c r="X321" s="17"/>
    </row>
    <row r="322" spans="24:24" x14ac:dyDescent="0.15">
      <c r="X322" s="17"/>
    </row>
    <row r="323" spans="24:24" x14ac:dyDescent="0.15">
      <c r="X323" s="17"/>
    </row>
    <row r="324" spans="24:24" x14ac:dyDescent="0.15">
      <c r="X324" s="17"/>
    </row>
    <row r="325" spans="24:24" x14ac:dyDescent="0.15">
      <c r="X325" s="17"/>
    </row>
    <row r="326" spans="24:24" x14ac:dyDescent="0.15">
      <c r="X326" s="17"/>
    </row>
    <row r="327" spans="24:24" x14ac:dyDescent="0.15">
      <c r="X327" s="17"/>
    </row>
    <row r="328" spans="24:24" x14ac:dyDescent="0.15">
      <c r="X328" s="17"/>
    </row>
    <row r="329" spans="24:24" x14ac:dyDescent="0.15">
      <c r="X329" s="17"/>
    </row>
    <row r="330" spans="24:24" x14ac:dyDescent="0.15">
      <c r="X330" s="17"/>
    </row>
    <row r="331" spans="24:24" x14ac:dyDescent="0.15">
      <c r="X331" s="17"/>
    </row>
    <row r="332" spans="24:24" x14ac:dyDescent="0.15">
      <c r="X332" s="17"/>
    </row>
    <row r="333" spans="24:24" x14ac:dyDescent="0.15">
      <c r="X333" s="17"/>
    </row>
    <row r="334" spans="24:24" x14ac:dyDescent="0.15">
      <c r="X334" s="17"/>
    </row>
    <row r="335" spans="24:24" x14ac:dyDescent="0.15">
      <c r="X335" s="17"/>
    </row>
    <row r="336" spans="24:24" x14ac:dyDescent="0.15">
      <c r="X336" s="17"/>
    </row>
    <row r="337" spans="24:24" x14ac:dyDescent="0.15">
      <c r="X337" s="17"/>
    </row>
    <row r="338" spans="24:24" x14ac:dyDescent="0.15">
      <c r="X338" s="17"/>
    </row>
    <row r="339" spans="24:24" x14ac:dyDescent="0.15">
      <c r="X339" s="17"/>
    </row>
    <row r="340" spans="24:24" x14ac:dyDescent="0.15">
      <c r="X340" s="17"/>
    </row>
    <row r="341" spans="24:24" x14ac:dyDescent="0.15">
      <c r="X341" s="17"/>
    </row>
    <row r="342" spans="24:24" x14ac:dyDescent="0.15">
      <c r="X342" s="17"/>
    </row>
    <row r="343" spans="24:24" x14ac:dyDescent="0.15">
      <c r="X343" s="17"/>
    </row>
    <row r="344" spans="24:24" x14ac:dyDescent="0.15">
      <c r="X344" s="17"/>
    </row>
    <row r="345" spans="24:24" x14ac:dyDescent="0.15">
      <c r="X345" s="17"/>
    </row>
    <row r="346" spans="24:24" x14ac:dyDescent="0.15">
      <c r="X346" s="17"/>
    </row>
    <row r="347" spans="24:24" x14ac:dyDescent="0.15">
      <c r="X347" s="17"/>
    </row>
    <row r="348" spans="24:24" x14ac:dyDescent="0.15">
      <c r="X348" s="17"/>
    </row>
    <row r="349" spans="24:24" x14ac:dyDescent="0.15">
      <c r="X349" s="17"/>
    </row>
    <row r="350" spans="24:24" x14ac:dyDescent="0.15">
      <c r="X350" s="17"/>
    </row>
    <row r="351" spans="24:24" x14ac:dyDescent="0.15">
      <c r="X351" s="17"/>
    </row>
    <row r="352" spans="24:24" x14ac:dyDescent="0.15">
      <c r="X352" s="17"/>
    </row>
    <row r="353" spans="24:24" x14ac:dyDescent="0.15">
      <c r="X353" s="17"/>
    </row>
    <row r="354" spans="24:24" x14ac:dyDescent="0.15">
      <c r="X354" s="17"/>
    </row>
    <row r="355" spans="24:24" x14ac:dyDescent="0.15">
      <c r="X355" s="17"/>
    </row>
    <row r="356" spans="24:24" x14ac:dyDescent="0.15">
      <c r="X356" s="17"/>
    </row>
    <row r="357" spans="24:24" x14ac:dyDescent="0.15">
      <c r="X357" s="17"/>
    </row>
    <row r="358" spans="24:24" x14ac:dyDescent="0.15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baseColWidth="10" defaultColWidth="9" defaultRowHeight="15.75" customHeight="1" zeroHeight="1" x14ac:dyDescent="0.2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baseColWidth="10" defaultColWidth="8.83203125" defaultRowHeight="12" x14ac:dyDescent="0.15"/>
  <cols>
    <col min="1" max="1" width="2.5" style="1" customWidth="1"/>
    <col min="2" max="2" width="30.1640625" style="1" bestFit="1" customWidth="1"/>
    <col min="3" max="5" width="15.6640625" style="1" customWidth="1"/>
    <col min="6" max="16384" width="8.83203125" style="1"/>
  </cols>
  <sheetData>
    <row r="1" spans="1:5" x14ac:dyDescent="0.15">
      <c r="B1" s="20" t="s">
        <v>129</v>
      </c>
    </row>
    <row r="2" spans="1:5" x14ac:dyDescent="0.15">
      <c r="A2" s="31"/>
      <c r="B2" s="32" t="s">
        <v>14</v>
      </c>
      <c r="C2" s="18"/>
      <c r="D2" s="22"/>
      <c r="E2" s="18"/>
    </row>
    <row r="3" spans="1:5" x14ac:dyDescent="0.15">
      <c r="C3" s="28" t="s">
        <v>15</v>
      </c>
      <c r="D3" s="28" t="s">
        <v>16</v>
      </c>
      <c r="E3" s="28" t="s">
        <v>17</v>
      </c>
    </row>
    <row r="4" spans="1:5" x14ac:dyDescent="0.15">
      <c r="B4" s="33" t="s">
        <v>18</v>
      </c>
      <c r="C4" s="34">
        <v>4.2900000000000001E-2</v>
      </c>
      <c r="D4" s="34">
        <v>7.4999999999999997E-2</v>
      </c>
      <c r="E4" s="35">
        <f>D4-C4</f>
        <v>3.2099999999999997E-2</v>
      </c>
    </row>
    <row r="5" spans="1:5" x14ac:dyDescent="0.1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 x14ac:dyDescent="0.1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 x14ac:dyDescent="0.15">
      <c r="A8" s="31"/>
      <c r="B8" s="32" t="s">
        <v>21</v>
      </c>
    </row>
    <row r="9" spans="1:5" x14ac:dyDescent="0.15">
      <c r="B9" s="1" t="s">
        <v>52</v>
      </c>
      <c r="C9" s="28" t="s">
        <v>22</v>
      </c>
    </row>
    <row r="10" spans="1:5" x14ac:dyDescent="0.15">
      <c r="B10" s="26" t="s">
        <v>23</v>
      </c>
      <c r="C10" s="34">
        <v>9.9400000000000002E-2</v>
      </c>
    </row>
    <row r="11" spans="1:5" x14ac:dyDescent="0.15">
      <c r="B11" s="26" t="s">
        <v>24</v>
      </c>
      <c r="C11" s="34">
        <v>0.1174</v>
      </c>
    </row>
    <row r="12" spans="1:5" x14ac:dyDescent="0.15">
      <c r="B12" s="26" t="s">
        <v>25</v>
      </c>
      <c r="C12" s="34">
        <v>3.4500000000000003E-2</v>
      </c>
    </row>
    <row r="13" spans="1:5" x14ac:dyDescent="0.15">
      <c r="B13" s="26" t="s">
        <v>26</v>
      </c>
      <c r="C13" s="34">
        <v>3.3099999999999997E-2</v>
      </c>
    </row>
    <row r="14" spans="1:5" x14ac:dyDescent="0.15">
      <c r="B14" s="26" t="s">
        <v>27</v>
      </c>
      <c r="C14" s="34">
        <v>4.2299999999999997E-2</v>
      </c>
    </row>
    <row r="15" spans="1:5" x14ac:dyDescent="0.15">
      <c r="B15" s="26" t="s">
        <v>28</v>
      </c>
      <c r="C15" s="34">
        <v>5.1200000000000002E-2</v>
      </c>
    </row>
    <row r="16" spans="1:5" x14ac:dyDescent="0.15">
      <c r="B16" s="36" t="s">
        <v>59</v>
      </c>
      <c r="C16" s="37">
        <f>MAX(Portfolio_Mgmt!E37,C10:C15)</f>
        <v>0.1174</v>
      </c>
    </row>
    <row r="18" spans="1:5" x14ac:dyDescent="0.15">
      <c r="A18" s="31"/>
      <c r="B18" s="32" t="s">
        <v>29</v>
      </c>
      <c r="C18" s="18"/>
      <c r="D18" s="22"/>
      <c r="E18" s="18"/>
    </row>
    <row r="19" spans="1:5" x14ac:dyDescent="0.15">
      <c r="B19" s="18" t="s">
        <v>30</v>
      </c>
      <c r="C19" s="38" t="s">
        <v>31</v>
      </c>
    </row>
    <row r="20" spans="1:5" x14ac:dyDescent="0.15">
      <c r="B20" s="1" t="s">
        <v>32</v>
      </c>
      <c r="C20" s="38" t="s">
        <v>33</v>
      </c>
    </row>
    <row r="21" spans="1:5" x14ac:dyDescent="0.15">
      <c r="B21" s="1" t="s">
        <v>34</v>
      </c>
      <c r="C21" s="38" t="s">
        <v>35</v>
      </c>
    </row>
    <row r="22" spans="1:5" x14ac:dyDescent="0.15">
      <c r="C22" s="38"/>
    </row>
    <row r="23" spans="1:5" x14ac:dyDescent="0.15">
      <c r="B23" s="1" t="s">
        <v>36</v>
      </c>
      <c r="C23" s="38" t="s">
        <v>37</v>
      </c>
    </row>
    <row r="24" spans="1:5" x14ac:dyDescent="0.15">
      <c r="B24" s="1" t="s">
        <v>38</v>
      </c>
      <c r="C24" s="38" t="s">
        <v>39</v>
      </c>
    </row>
    <row r="25" spans="1:5" x14ac:dyDescent="0.15">
      <c r="C25" s="38"/>
    </row>
    <row r="26" spans="1:5" x14ac:dyDescent="0.15">
      <c r="B26" s="1" t="s">
        <v>40</v>
      </c>
      <c r="C26" s="38" t="s">
        <v>41</v>
      </c>
    </row>
    <row r="27" spans="1:5" x14ac:dyDescent="0.15">
      <c r="B27" s="1" t="s">
        <v>42</v>
      </c>
      <c r="C27" s="38" t="s">
        <v>43</v>
      </c>
    </row>
    <row r="28" spans="1:5" x14ac:dyDescent="0.15">
      <c r="C28" s="38"/>
    </row>
    <row r="29" spans="1:5" x14ac:dyDescent="0.15">
      <c r="B29" s="1" t="s">
        <v>44</v>
      </c>
      <c r="C29" s="38" t="s">
        <v>45</v>
      </c>
    </row>
    <row r="31" spans="1:5" x14ac:dyDescent="0.1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baseColWidth="10" defaultColWidth="9" defaultRowHeight="13" x14ac:dyDescent="0.15"/>
  <cols>
    <col min="1" max="1" width="2.6640625" style="53" customWidth="1"/>
    <col min="2" max="2" width="17.33203125" style="53" bestFit="1" customWidth="1"/>
    <col min="3" max="3" width="13.8320312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x14ac:dyDescent="0.15">
      <c r="A1" s="51"/>
      <c r="B1" s="52" t="s">
        <v>154</v>
      </c>
    </row>
    <row r="2" spans="1:12" ht="29.75" customHeight="1" x14ac:dyDescent="0.15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 x14ac:dyDescent="0.15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0.62743887208237348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 x14ac:dyDescent="0.15">
      <c r="B4" s="66" t="s">
        <v>163</v>
      </c>
      <c r="C4" s="63">
        <f>VLOOKUP(B4,Opportunities!B$3:E$30,3,FALSE)</f>
        <v>17.72</v>
      </c>
      <c r="D4" s="62" t="str">
        <f>VLOOKUP(B4,Opportunities!B$3:E$30,4,FALSE)</f>
        <v>HKD</v>
      </c>
      <c r="E4" s="59">
        <v>9000</v>
      </c>
      <c r="F4" s="64">
        <f>C4*E4</f>
        <v>159480</v>
      </c>
      <c r="G4" s="61">
        <f>F4/$F$8</f>
        <v>0.13831839249535122</v>
      </c>
      <c r="H4" s="61">
        <f>VLOOKUP(B4,Opportunities!B$3:I$30,8,FALSE)</f>
        <v>0</v>
      </c>
      <c r="I4" s="84">
        <f>VLOOKUP(B4,Opportunities!B$3:N$30,12,FALSE)</f>
        <v>14.061490707057839</v>
      </c>
      <c r="J4" s="84">
        <f>VLOOKUP(B4,Opportunities!B$3:N$30,9,FALSE)</f>
        <v>11.232853167417055</v>
      </c>
      <c r="K4" s="84">
        <f>VLOOKUP(B4,Opportunities!B$3:N$30,11,FALSE)</f>
        <v>21.88199296780774</v>
      </c>
      <c r="L4" s="84">
        <f>VLOOKUP(B4,Opportunities!B$3:N$30,13,FALSE)</f>
        <v>19.531037540334559</v>
      </c>
    </row>
    <row r="5" spans="1:12" x14ac:dyDescent="0.15">
      <c r="B5" s="66" t="s">
        <v>210</v>
      </c>
      <c r="C5" s="63">
        <f>VLOOKUP(B5,Opportunities!B$3:E$30,3,FALSE)</f>
        <v>19.059999999999999</v>
      </c>
      <c r="D5" s="62" t="str">
        <f>VLOOKUP(B5,Opportunities!B$3:E$30,4,FALSE)</f>
        <v>HKD</v>
      </c>
      <c r="E5" s="59">
        <v>8000</v>
      </c>
      <c r="F5" s="64">
        <f>C5*E5</f>
        <v>152480</v>
      </c>
      <c r="G5" s="61">
        <f>F5/$F$8</f>
        <v>0.13224723155060919</v>
      </c>
      <c r="H5" s="61">
        <f>VLOOKUP(B5,Opportunities!B$3:I$30,8,FALSE)</f>
        <v>0</v>
      </c>
      <c r="I5" s="84">
        <f>VLOOKUP(B5,Opportunities!B$3:N$30,12,FALSE)</f>
        <v>17.022124302930369</v>
      </c>
      <c r="J5" s="84">
        <f>VLOOKUP(B5,Opportunities!B$3:N$30,9,FALSE)</f>
        <v>13.697073222236801</v>
      </c>
      <c r="K5" s="84">
        <f>VLOOKUP(B5,Opportunities!B$3:N$30,11,FALSE)</f>
        <v>26.17182308307817</v>
      </c>
      <c r="L5" s="84">
        <f>VLOOKUP(B5,Opportunities!B$3:N$30,13,FALSE)</f>
        <v>23.426399437681578</v>
      </c>
    </row>
    <row r="6" spans="1:12" x14ac:dyDescent="0.15">
      <c r="B6" s="66" t="s">
        <v>230</v>
      </c>
      <c r="C6" s="63">
        <f>VLOOKUP(B6,Opportunities!B$3:E$30,3,FALSE)</f>
        <v>2.94</v>
      </c>
      <c r="D6" s="62" t="str">
        <f>VLOOKUP(B6,Opportunities!B$3:E$30,4,FALSE)</f>
        <v>HKD</v>
      </c>
      <c r="E6" s="59">
        <v>40000</v>
      </c>
      <c r="F6" s="64">
        <f>C6*E6</f>
        <v>117600</v>
      </c>
      <c r="G6" s="61">
        <f t="shared" ref="G6" si="0">F6/$F$8</f>
        <v>0.10199550387166606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 x14ac:dyDescent="0.15">
      <c r="B7" s="55"/>
      <c r="C7" s="58"/>
      <c r="D7" s="55"/>
      <c r="H7" s="77"/>
    </row>
    <row r="8" spans="1:12" x14ac:dyDescent="0.15">
      <c r="B8" s="67"/>
      <c r="C8" s="68"/>
      <c r="D8" s="67"/>
      <c r="E8" s="69" t="s">
        <v>166</v>
      </c>
      <c r="F8" s="69">
        <f>SUM(F3:F6)</f>
        <v>1152992</v>
      </c>
      <c r="G8" s="70">
        <f>SUM(G3:G6)</f>
        <v>0.99999999999999978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 x14ac:dyDescent="0.15">
      <c r="B9" s="55"/>
      <c r="C9" s="58"/>
      <c r="D9" s="55"/>
      <c r="E9" s="59"/>
      <c r="F9" s="59"/>
    </row>
    <row r="10" spans="1:12" x14ac:dyDescent="0.15">
      <c r="A10" s="51"/>
      <c r="B10" s="52" t="s">
        <v>164</v>
      </c>
    </row>
    <row r="11" spans="1:12" x14ac:dyDescent="0.15">
      <c r="B11" s="66" t="s">
        <v>163</v>
      </c>
      <c r="C11" s="63">
        <f>VLOOKUP(B11,Opportunities!B$3:E$30,3,FALSE)</f>
        <v>17.72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14.061490707057839</v>
      </c>
      <c r="J11" s="84">
        <f>VLOOKUP(B11,Opportunities!B$3:N$30,9,FALSE)</f>
        <v>11.232853167417055</v>
      </c>
      <c r="K11" s="84">
        <f>VLOOKUP(B11,Opportunities!B$3:N$30,11,FALSE)</f>
        <v>21.88199296780774</v>
      </c>
      <c r="L11" s="84">
        <f>VLOOKUP(B11,Opportunities!B$3:N$30,13,FALSE)</f>
        <v>19.531037540334559</v>
      </c>
    </row>
    <row r="12" spans="1:12" x14ac:dyDescent="0.15">
      <c r="B12" s="66" t="s">
        <v>210</v>
      </c>
      <c r="C12" s="63">
        <f>VLOOKUP(B12,Opportunities!B$3:E$30,3,FALSE)</f>
        <v>19.059999999999999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17.022124302930369</v>
      </c>
      <c r="J12" s="84">
        <f>VLOOKUP(B12,Opportunities!B$3:N$30,9,FALSE)</f>
        <v>13.697073222236801</v>
      </c>
      <c r="K12" s="84">
        <f>VLOOKUP(B12,Opportunities!B$3:N$30,11,FALSE)</f>
        <v>26.17182308307817</v>
      </c>
      <c r="L12" s="84">
        <f>VLOOKUP(B12,Opportunities!B$3:N$30,13,FALSE)</f>
        <v>23.426399437681578</v>
      </c>
    </row>
    <row r="13" spans="1:12" x14ac:dyDescent="0.15">
      <c r="B13" s="66" t="s">
        <v>230</v>
      </c>
      <c r="C13" s="63">
        <f>VLOOKUP(B13,Opportunities!B$3:E$30,3,FALSE)</f>
        <v>2.94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 x14ac:dyDescent="0.15">
      <c r="G14" s="75"/>
      <c r="H14" s="75"/>
    </row>
    <row r="15" spans="1:12" x14ac:dyDescent="0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0.62743887208237348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x14ac:dyDescent="0.15">
      <c r="A17" s="51"/>
      <c r="B17" s="52" t="s">
        <v>237</v>
      </c>
      <c r="C17" s="58"/>
      <c r="D17" s="55"/>
      <c r="E17" s="59"/>
      <c r="F17" s="59"/>
    </row>
    <row r="18" spans="1:6" x14ac:dyDescent="0.15">
      <c r="C18" s="87" t="s">
        <v>238</v>
      </c>
      <c r="D18" s="87" t="s">
        <v>241</v>
      </c>
      <c r="E18" s="87" t="s">
        <v>242</v>
      </c>
    </row>
    <row r="19" spans="1:6" ht="15" x14ac:dyDescent="0.2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5" x14ac:dyDescent="0.2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5" x14ac:dyDescent="0.2">
      <c r="C21"/>
      <c r="D21"/>
      <c r="E21"/>
    </row>
    <row r="22" spans="1:6" ht="15" x14ac:dyDescent="0.2">
      <c r="C22"/>
      <c r="D22" s="90" t="s">
        <v>243</v>
      </c>
      <c r="E22" s="88">
        <f>C19-E20</f>
        <v>617.32398826399003</v>
      </c>
    </row>
    <row r="27" spans="1:6" x14ac:dyDescent="0.15">
      <c r="B27" s="55"/>
      <c r="C27" s="58"/>
      <c r="D27" s="55"/>
      <c r="E27" s="59"/>
      <c r="F27" s="59"/>
    </row>
    <row r="28" spans="1:6" x14ac:dyDescent="0.15">
      <c r="B28" s="55"/>
      <c r="C28" s="58"/>
      <c r="D28" s="55"/>
      <c r="E28" s="59"/>
      <c r="F28" s="59"/>
    </row>
    <row r="29" spans="1:6" x14ac:dyDescent="0.15">
      <c r="B29" s="55"/>
      <c r="C29" s="58"/>
      <c r="D29" s="55"/>
      <c r="E29" s="59"/>
      <c r="F29" s="59"/>
    </row>
    <row r="30" spans="1:6" x14ac:dyDescent="0.15">
      <c r="B30" s="55"/>
      <c r="C30" s="58"/>
      <c r="D30" s="55"/>
      <c r="E30" s="59"/>
      <c r="F30" s="59"/>
    </row>
    <row r="31" spans="1:6" x14ac:dyDescent="0.15">
      <c r="B31" s="55"/>
      <c r="C31" s="58"/>
      <c r="D31" s="55"/>
      <c r="E31" s="59"/>
      <c r="F31" s="59"/>
    </row>
    <row r="32" spans="1:6" x14ac:dyDescent="0.15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baseColWidth="10" defaultColWidth="9" defaultRowHeight="12" x14ac:dyDescent="0.15"/>
  <cols>
    <col min="1" max="1" width="2.6640625" style="1" customWidth="1"/>
    <col min="2" max="2" width="27.1640625" style="1" customWidth="1"/>
    <col min="3" max="3" width="34.33203125" style="1" customWidth="1"/>
    <col min="4" max="4" width="28.83203125" style="1" customWidth="1"/>
    <col min="5" max="16384" width="9" style="1"/>
  </cols>
  <sheetData>
    <row r="1" spans="1:4" x14ac:dyDescent="0.15">
      <c r="B1" s="20" t="s">
        <v>86</v>
      </c>
    </row>
    <row r="2" spans="1:4" x14ac:dyDescent="0.15">
      <c r="A2" s="5"/>
      <c r="B2" s="6" t="s">
        <v>87</v>
      </c>
    </row>
    <row r="3" spans="1:4" x14ac:dyDescent="0.15">
      <c r="B3" s="132" t="s">
        <v>88</v>
      </c>
      <c r="C3" s="132"/>
      <c r="D3" s="132"/>
    </row>
    <row r="5" spans="1:4" x14ac:dyDescent="0.15">
      <c r="B5" s="133" t="s">
        <v>90</v>
      </c>
      <c r="C5" s="134"/>
      <c r="D5" s="134"/>
    </row>
    <row r="6" spans="1:4" x14ac:dyDescent="0.15">
      <c r="B6" s="133" t="s">
        <v>91</v>
      </c>
      <c r="C6" s="134"/>
      <c r="D6" s="134"/>
    </row>
    <row r="8" spans="1:4" x14ac:dyDescent="0.15">
      <c r="B8" s="1" t="s">
        <v>89</v>
      </c>
    </row>
    <row r="10" spans="1:4" x14ac:dyDescent="0.15">
      <c r="A10" s="5"/>
      <c r="B10" s="6" t="s">
        <v>92</v>
      </c>
    </row>
    <row r="11" spans="1:4" x14ac:dyDescent="0.15">
      <c r="B11" s="132" t="s">
        <v>93</v>
      </c>
      <c r="C11" s="132"/>
      <c r="D11" s="132"/>
    </row>
    <row r="12" spans="1:4" x14ac:dyDescent="0.15">
      <c r="B12" s="132" t="s">
        <v>94</v>
      </c>
      <c r="C12" s="132"/>
      <c r="D12" s="132"/>
    </row>
    <row r="14" spans="1:4" x14ac:dyDescent="0.15">
      <c r="B14" s="23" t="s">
        <v>126</v>
      </c>
    </row>
    <row r="16" spans="1:4" ht="14" x14ac:dyDescent="0.2">
      <c r="B16" s="30" t="s">
        <v>103</v>
      </c>
      <c r="C16" s="30" t="s">
        <v>104</v>
      </c>
    </row>
    <row r="17" spans="1:4" x14ac:dyDescent="0.15">
      <c r="B17" s="26" t="s">
        <v>95</v>
      </c>
      <c r="C17" s="26" t="s">
        <v>99</v>
      </c>
    </row>
    <row r="18" spans="1:4" x14ac:dyDescent="0.15">
      <c r="B18" s="26" t="s">
        <v>96</v>
      </c>
      <c r="C18" s="26" t="s">
        <v>100</v>
      </c>
    </row>
    <row r="19" spans="1:4" x14ac:dyDescent="0.15">
      <c r="B19" s="26" t="s">
        <v>97</v>
      </c>
      <c r="C19" s="26" t="s">
        <v>101</v>
      </c>
    </row>
    <row r="20" spans="1:4" x14ac:dyDescent="0.15">
      <c r="B20" s="26" t="s">
        <v>98</v>
      </c>
      <c r="C20" s="26" t="s">
        <v>102</v>
      </c>
    </row>
    <row r="21" spans="1:4" x14ac:dyDescent="0.15">
      <c r="B21" s="26" t="s">
        <v>118</v>
      </c>
      <c r="C21" s="26" t="s">
        <v>119</v>
      </c>
    </row>
    <row r="22" spans="1:4" x14ac:dyDescent="0.15">
      <c r="B22" s="26" t="s">
        <v>120</v>
      </c>
      <c r="C22" s="26" t="s">
        <v>121</v>
      </c>
    </row>
    <row r="23" spans="1:4" x14ac:dyDescent="0.15">
      <c r="B23" s="26" t="s">
        <v>122</v>
      </c>
      <c r="C23" s="26" t="s">
        <v>123</v>
      </c>
    </row>
    <row r="24" spans="1:4" x14ac:dyDescent="0.15">
      <c r="B24" s="26" t="s">
        <v>127</v>
      </c>
      <c r="C24" s="26" t="s">
        <v>128</v>
      </c>
    </row>
    <row r="25" spans="1:4" x14ac:dyDescent="0.15">
      <c r="B25" s="26" t="s">
        <v>124</v>
      </c>
      <c r="C25" s="26" t="s">
        <v>125</v>
      </c>
    </row>
    <row r="27" spans="1:4" x14ac:dyDescent="0.15">
      <c r="A27" s="5"/>
      <c r="B27" s="6" t="s">
        <v>105</v>
      </c>
    </row>
    <row r="28" spans="1:4" x14ac:dyDescent="0.15">
      <c r="B28" s="132" t="s">
        <v>106</v>
      </c>
      <c r="C28" s="132"/>
      <c r="D28" s="132"/>
    </row>
    <row r="29" spans="1:4" x14ac:dyDescent="0.15">
      <c r="B29" s="132" t="s">
        <v>107</v>
      </c>
      <c r="C29" s="132"/>
      <c r="D29" s="132"/>
    </row>
    <row r="31" spans="1:4" x14ac:dyDescent="0.15">
      <c r="A31" s="5"/>
      <c r="B31" s="6" t="s">
        <v>108</v>
      </c>
    </row>
    <row r="32" spans="1:4" x14ac:dyDescent="0.15">
      <c r="A32" s="28" t="s">
        <v>60</v>
      </c>
      <c r="B32" s="23" t="s">
        <v>109</v>
      </c>
    </row>
    <row r="33" spans="1:2" x14ac:dyDescent="0.15">
      <c r="B33" s="1" t="s">
        <v>110</v>
      </c>
    </row>
    <row r="35" spans="1:2" x14ac:dyDescent="0.15">
      <c r="A35" s="28" t="s">
        <v>112</v>
      </c>
      <c r="B35" s="23" t="s">
        <v>111</v>
      </c>
    </row>
    <row r="36" spans="1:2" x14ac:dyDescent="0.15">
      <c r="B36" s="1" t="s">
        <v>113</v>
      </c>
    </row>
    <row r="38" spans="1:2" x14ac:dyDescent="0.15">
      <c r="A38" s="5"/>
      <c r="B38" s="6" t="s">
        <v>114</v>
      </c>
    </row>
    <row r="39" spans="1:2" x14ac:dyDescent="0.15">
      <c r="B39" s="24" t="s">
        <v>115</v>
      </c>
    </row>
    <row r="40" spans="1:2" x14ac:dyDescent="0.15">
      <c r="B40" s="1" t="s">
        <v>116</v>
      </c>
    </row>
    <row r="41" spans="1:2" x14ac:dyDescent="0.15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2760</cp:lastModifiedBy>
  <cp:revision/>
  <cp:lastPrinted>2025-05-09T08:26:46Z</cp:lastPrinted>
  <dcterms:created xsi:type="dcterms:W3CDTF">2022-12-06T06:37:33Z</dcterms:created>
  <dcterms:modified xsi:type="dcterms:W3CDTF">2025-08-14T04:27:10Z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