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C3A83550-3FA8-4543-AD56-AF5BE7734207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G3" i="1"/>
  <c r="G4" i="1"/>
  <c r="G5" i="1"/>
  <c r="G6" i="1"/>
  <c r="G7" i="1"/>
  <c r="G8" i="1"/>
  <c r="G9" i="1"/>
  <c r="G10" i="1"/>
  <c r="G3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C10" i="5"/>
  <c r="C11" i="5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<sst xmlns="http://schemas.openxmlformats.org/spreadsheetml/2006/main" count="451" uniqueCount="382">
  <si>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</si>
  <si>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</si>
  <si>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</si>
  <si>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</si>
  <si>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</si>
  <si>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</si>
  <si>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</si>
  <si>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</si>
  <si>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</si>
  <si>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</si>
  <si>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</si>
  <si>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</si>
  <si>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</si>
  <si>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</si>
  <si>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</si>
  <si>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</si>
  <si>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</si>
  <si>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</si>
  <si>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</si>
  <si>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</si>
  <si>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</si>
  <si>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</si>
  <si>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</si>
  <si>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</si>
  <si>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</si>
  <si>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</si>
  <si>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</si>
  <si>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</si>
  <si>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</si>
  <si>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</si>
  <si>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</si>
  <si>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</si>
  <si>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</si>
  <si>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</si>
  <si>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</si>
  <si>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</si>
  <si>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</si>
  <si>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</si>
  <si>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</si>
  <si>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</si>
  <si>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</si>
  <si>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</si>
  <si>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</si>
  <si>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</si>
  <si>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</si>
  <si>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</si>
  <si>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</si>
  <si>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</si>
  <si>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</si>
  <si>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</si>
  <si>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</si>
  <si>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</si>
  <si>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</si>
  <si>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</si>
  <si>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</si>
  <si>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</si>
  <si>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</si>
  <si>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</si>
  <si>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</si>
  <si>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</si>
  <si>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</si>
  <si>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</si>
  <si>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</si>
  <si>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</si>
  <si>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</si>
  <si>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</si>
  <si>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</si>
  <si>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</si>
  <si>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</si>
  <si>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</si>
  <si>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</si>
  <si>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</si>
  <si>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</si>
  <si>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</si>
  <si>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</si>
  <si>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</si>
  <si>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</si>
  <si>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</si>
  <si>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</si>
  <si>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</si>
  <si>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</si>
  <si>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</si>
  <si>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</si>
  <si>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</si>
  <si>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</si>
  <si>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</si>
  <si>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</si>
  <si>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</si>
  <si>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</si>
  <si>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</si>
  <si>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</si>
  <si>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</si>
  <si>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</si>
  <si>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</si>
  <si>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</si>
  <si>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</si>
  <si>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</si>
  <si>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</si>
  <si>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</si>
  <si>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</si>
  <si>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</si>
  <si>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</si>
  <si>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</si>
  <si>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</si>
  <si>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</si>
  <si>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</si>
  <si>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</si>
  <si>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</si>
  <si>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</si>
  <si>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</si>
  <si>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</si>
  <si>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</si>
  <si>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</si>
  <si>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</si>
  <si>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</si>
  <si>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</si>
  <si>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</si>
  <si>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</si>
  <si>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</si>
  <si>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</si>
  <si>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</si>
  <si>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</si>
  <si>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</si>
  <si>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</si>
  <si>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</si>
  <si>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</si>
  <si>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</si>
  <si>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</si>
  <si>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</si>
  <si>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</si>
  <si>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</si>
  <si>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</si>
  <si>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</si>
  <si>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</si>
  <si>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</si>
  <si>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</si>
  <si>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</si>
  <si>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</si>
  <si>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</si>
  <si>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</si>
  <si>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</si>
  <si>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</si>
  <si>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</si>
  <si>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</si>
  <si>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</si>
  <si>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</si>
  <si>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</si>
  <si>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</si>
  <si>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</si>
  <si>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</si>
  <si>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</si>
  <si>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</si>
  <si>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</si>
  <si>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</si>
  <si>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</si>
  <si>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</si>
  <si>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</si>
  <si>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</si>
  <si>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</si>
  <si>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</si>
  <si>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</si>
  <si>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</si>
  <si>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</si>
  <si>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</si>
  <si>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</si>
  <si>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</si>
  <si>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</si>
  <si>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</si>
  <si>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</si>
  <si>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</si>
  <si>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</si>
  <si>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</si>
  <si>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</si>
  <si>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</si>
  <si>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</si>
  <si>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</si>
  <si>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</si>
  <si>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</si>
  <si>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</si>
  <si>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</si>
  <si>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</si>
  <si>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</si>
  <si>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</si>
  <si>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</si>
  <si>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</si>
  <si>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</si>
  <si>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</si>
  <si>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</si>
  <si>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</si>
  <si>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</si>
  <si>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</si>
  <si>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</si>
  <si>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</si>
  <si>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</si>
  <si>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</si>
  <si>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</si>
  <si>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</si>
  <si>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</si>
  <si>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</si>
  <si>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</si>
  <si>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</si>
  <si>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</si>
  <si>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</si>
  <si>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</si>
  <si>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</si>
  <si>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</si>
  <si>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</si>
  <si>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</si>
  <si>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</si>
  <si>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</si>
  <si>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</si>
  <si>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</si>
  <si>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</si>
  <si>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</si>
  <si>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</si>
  <si>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</si>
  <si>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</si>
  <si>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</si>
  <si>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</si>
  <si>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</si>
  <si>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</si>
  <si>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</si>
  <si>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</si>
  <si>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</si>
  <si>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</si>
  <si>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</si>
  <si>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</si>
  <si>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</si>
  <si>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</si>
  <si>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</si>
  <si>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</si>
  <si>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</si>
  <si>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</si>
  <si>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</si>
  <si>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</si>
  <si>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</si>
  <si>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</si>
  <si>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</si>
  <si>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</si>
  <si>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</si>
  <si>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</si>
  <si>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</si>
  <si>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</si>
  <si>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</si>
  <si>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</si>
  <si>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</si>
  <si>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</si>
  <si>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</si>
  <si>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</si>
  <si>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</si>
  <si>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</si>
  <si>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</si>
  <si>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</si>
  <si>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</si>
  <si>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</si>
  <si>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</si>
  <si>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</si>
  <si>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</si>
  <si>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</si>
  <si>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</si>
  <si>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</si>
  <si>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</si>
  <si>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</si>
  <si>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</si>
  <si>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</si>
  <si>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</si>
  <si>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</si>
  <si>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</si>
  <si>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</si>
  <si>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</si>
  <si>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</si>
  <si>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</si>
  <si>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</si>
  <si>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</si>
  <si>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</si>
  <si>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</si>
  <si>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</si>
  <si>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</si>
  <si>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</si>
  <si>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</si>
  <si>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</si>
  <si>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</si>
  <si>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</si>
  <si>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</si>
  <si>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</si>
  <si>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</si>
  <si>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</si>
  <si>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</si>
  <si>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</si>
  <si>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</si>
  <si>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</si>
  <si>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</si>
  <si>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</si>
  <si>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</si>
  <si>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</si>
  <si>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</si>
  <si>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</si>
  <si>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</si>
  <si>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</si>
  <si>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</si>
  <si>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</si>
  <si>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</si>
  <si>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</si>
  <si>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</si>
  <si>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</si>
  <si>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</si>
  <si>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</si>
  <si>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</si>
  <si>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</si>
  <si>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</si>
  <si>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</si>
  <si>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</si>
  <si>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</si>
  <si>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</si>
  <si>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</si>
  <si>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</si>
  <si>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</si>
  <si>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</si>
  <si>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</si>
  <si>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</si>
  <si>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</si>
  <si>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</si>
  <si>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</si>
  <si>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</si>
  <si>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</si>
  <si>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</si>
  <si>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</si>
  <si>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</si>
  <si>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</si>
  <si>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</si>
  <si>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</si>
  <si>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</si>
  <si>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</si>
  <si>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</si>
  <si>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</si>
  <si>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</si>
  <si>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</si>
  <si>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</si>
  <si>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</si>
  <si>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</si>
  <si>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</si>
  <si>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</si>
  <si>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</si>
  <si>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</si>
  <si>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</si>
  <si>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</si>
  <si>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</si>
  <si>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</si>
  <si>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</si>
  <si>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</si>
  <si>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</si>
  <si>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</si>
  <si>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</si>
  <si>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</si>
  <si>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</si>
  <si>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</si>
  <si>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</si>
  <si>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</si>
  <si>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</si>
  <si>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</si>
  <si>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</si>
  <si>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</si>
  <si>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</si>
  <si>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</si>
  <si>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</si>
  <si>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</si>
  <si>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</si>
  <si>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</si>
  <si>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</si>
  <si>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</si>
  <si>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</si>
  <si>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</si>
  <si>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</si>
  <si>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</si>
  <si>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</si>
  <si>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</si>
  <si>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</si>
  <si>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</si>
  <si>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3813.HK</t>
  </si>
  <si>
    <t>寶勝國際</t>
  </si>
  <si>
    <t>IND_01</t>
  </si>
  <si>
    <t>Negative Growth Asset Play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</si>
</sst>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9" zoomScaleNormal="100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0.55000000000000004</v>
      </c>
    </row>
    <row r="38" spans="1:5">
      <c r="B38" s="26" t="s">
        <v>363</v>
      </c>
      <c r="C38" s="138">
        <v>-0.65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375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F13" sqref="F1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331</v>
      </c>
      <c r="C3" s="11" t="s">
        <v>332</v>
      </c>
      <c r="D3" s="2">
        <v>4.21</v>
      </c>
      <c r="E3" s="12" t="s">
        <v>135</v>
      </c>
      <c r="F3" s="15">
        <v>0.19741662370587493</v>
      </c>
      <c r="G3" s="15">
        <f>F3 - Portfolio_Mgmt!$C$10</f>
        <v>8.0016623705874923E-2</v>
      </c>
      <c r="H3" s="15">
        <f>F3 - Portfolio_Mgmt!$C$11</f>
        <v>0.16291662370587492</v>
      </c>
      <c r="I3" s="15">
        <v>7.098635708159648E-2</v>
      </c>
      <c r="J3" s="2">
        <v>3.3687101508635449</v>
      </c>
      <c r="K3" s="2">
        <v>6.3499669262794551</v>
      </c>
      <c r="L3" s="71">
        <v>5.7789732750703093</v>
      </c>
      <c r="M3" s="2">
        <v>4.1765990865966423</v>
      </c>
      <c r="N3" s="2">
        <v>5.1347722255630259</v>
      </c>
      <c r="O3" s="4">
        <v>0.10221509055023491</v>
      </c>
      <c r="P3" s="4">
        <v>5.7434679334916861E-2</v>
      </c>
      <c r="Q3" s="4">
        <v>0.17911384235321903</v>
      </c>
      <c r="R3" s="4">
        <v>0.23440332981639811</v>
      </c>
      <c r="S3" s="79">
        <v>0.61200300518899786</v>
      </c>
      <c r="T3" s="78">
        <v>1.2485669045200241</v>
      </c>
      <c r="U3" s="15">
        <v>3.1120102042901991E-2</v>
      </c>
      <c r="V3" s="76">
        <v>0.1723700558857961</v>
      </c>
      <c r="W3" s="71">
        <v>1.2439199130919969</v>
      </c>
      <c r="X3" s="13" t="s">
        <v>171</v>
      </c>
      <c r="Y3" s="11" t="s">
        <v>341</v>
      </c>
      <c r="Z3" s="14">
        <v>46081</v>
      </c>
      <c r="AA3" s="16" t="s">
        <v>334</v>
      </c>
    </row>
    <row r="4" spans="1:27">
      <c r="B4" s="11" t="s">
        <v>342</v>
      </c>
      <c r="C4" s="11" t="s">
        <v>343</v>
      </c>
      <c r="D4" s="2">
        <v>7.21</v>
      </c>
      <c r="E4" s="12" t="s">
        <v>135</v>
      </c>
      <c r="F4" s="15">
        <v>0.19054766017284416</v>
      </c>
      <c r="G4" s="15">
        <f>F4 - Portfolio_Mgmt!$C$10</f>
        <v>7.3147660172844159E-2</v>
      </c>
      <c r="H4" s="15">
        <f>F4 - Portfolio_Mgmt!$C$11</f>
        <v>0.15604766017284416</v>
      </c>
      <c r="I4" s="15">
        <v>6.2268610535908021E-2</v>
      </c>
      <c r="J4" s="2">
        <v>5.6588312677517578</v>
      </c>
      <c r="K4" s="2">
        <v>11.044251502463313</v>
      </c>
      <c r="L4" s="71">
        <v>9.7652790669443821</v>
      </c>
      <c r="M4" s="2">
        <v>7.033961432046266</v>
      </c>
      <c r="N4" s="2">
        <v>8.6667056667820876</v>
      </c>
      <c r="O4" s="4">
        <v>9.5509462725728772E-2</v>
      </c>
      <c r="P4" s="4">
        <v>4.3152014496782236E-2</v>
      </c>
      <c r="Q4" s="4">
        <v>0.17171946407905528</v>
      </c>
      <c r="R4" s="4">
        <v>8.3605894564713526E-2</v>
      </c>
      <c r="S4" s="79">
        <v>1.3282158707615834</v>
      </c>
      <c r="T4" s="78">
        <v>1.5463719418456539</v>
      </c>
      <c r="U4" s="15">
        <v>0.22428295339746124</v>
      </c>
      <c r="V4" s="76">
        <v>1.2715557492373779</v>
      </c>
      <c r="W4" s="71">
        <v>-2.888839535928196</v>
      </c>
      <c r="X4" s="13" t="s">
        <v>344</v>
      </c>
      <c r="Y4" s="11" t="s">
        <v>170</v>
      </c>
      <c r="Z4" s="14">
        <v>46081</v>
      </c>
      <c r="AA4" s="16" t="s">
        <v>334</v>
      </c>
    </row>
    <row r="5" spans="1:27">
      <c r="B5" s="11" t="s">
        <v>185</v>
      </c>
      <c r="C5" s="11" t="s">
        <v>335</v>
      </c>
      <c r="D5" s="2">
        <v>3.1</v>
      </c>
      <c r="E5" s="12" t="s">
        <v>135</v>
      </c>
      <c r="F5" s="15">
        <v>0.18145777058862814</v>
      </c>
      <c r="G5" s="15">
        <f>F5 - Portfolio_Mgmt!$C$10</f>
        <v>6.4057770588628132E-2</v>
      </c>
      <c r="H5" s="15">
        <f>F5 - Portfolio_Mgmt!$C$11</f>
        <v>0.14695777058862813</v>
      </c>
      <c r="I5" s="15">
        <v>9.939613899803304E-2</v>
      </c>
      <c r="J5" s="2">
        <v>2.4048565177073828</v>
      </c>
      <c r="K5" s="2">
        <v>4.1464286049821002</v>
      </c>
      <c r="L5" s="71">
        <v>4.0664479320737961</v>
      </c>
      <c r="M5" s="2">
        <v>2.9631300794707243</v>
      </c>
      <c r="N5" s="2">
        <v>3.623398640518225</v>
      </c>
      <c r="O5" s="4">
        <v>6.951710846042336E-2</v>
      </c>
      <c r="P5" s="4">
        <v>8.7096774193548387E-2</v>
      </c>
      <c r="Q5" s="4">
        <v>0.10109497147719294</v>
      </c>
      <c r="R5" s="4">
        <v>0.41984093276604345</v>
      </c>
      <c r="S5" s="79">
        <v>0.19832389661116825</v>
      </c>
      <c r="T5" s="78">
        <v>1.2141426890285656</v>
      </c>
      <c r="U5" s="15">
        <v>2.3107986944995245E-3</v>
      </c>
      <c r="V5" s="76">
        <v>2.2976895736939666E-2</v>
      </c>
      <c r="W5" s="71">
        <v>0.79833937207218564</v>
      </c>
      <c r="X5" s="13" t="s">
        <v>336</v>
      </c>
      <c r="Y5" s="11" t="s">
        <v>341</v>
      </c>
      <c r="Z5" s="14">
        <v>46081</v>
      </c>
      <c r="AA5" s="16" t="s">
        <v>183</v>
      </c>
    </row>
    <row r="6" spans="1:27">
      <c r="B6" s="11" t="s">
        <v>158</v>
      </c>
      <c r="C6" s="11" t="s">
        <v>337</v>
      </c>
      <c r="D6" s="2">
        <v>16.739999999999998</v>
      </c>
      <c r="E6" s="12" t="s">
        <v>135</v>
      </c>
      <c r="F6" s="15">
        <v>0.16496515081859828</v>
      </c>
      <c r="G6" s="15">
        <f>F6 - Portfolio_Mgmt!$C$10</f>
        <v>4.7565150818598273E-2</v>
      </c>
      <c r="H6" s="15">
        <f>F6 - Portfolio_Mgmt!$C$11</f>
        <v>0.13046515081859827</v>
      </c>
      <c r="I6" s="15">
        <v>4.6579524383140364E-2</v>
      </c>
      <c r="J6" s="2">
        <v>12.306937054762811</v>
      </c>
      <c r="K6" s="2">
        <v>24.584757484176325</v>
      </c>
      <c r="L6" s="71">
        <v>21.324073976812404</v>
      </c>
      <c r="M6" s="2">
        <v>15.324597205979455</v>
      </c>
      <c r="N6" s="2">
        <v>18.910257649455456</v>
      </c>
      <c r="O6" s="4">
        <v>5.7161801743811094E-2</v>
      </c>
      <c r="P6" s="4">
        <v>3.1913189104559377E-2</v>
      </c>
      <c r="Q6" s="4">
        <v>0.11088644049296378</v>
      </c>
      <c r="R6" s="4">
        <v>0.11515128427160849</v>
      </c>
      <c r="S6" s="79">
        <v>0.71131521233544359</v>
      </c>
      <c r="T6" s="78">
        <v>1.3537783359692717</v>
      </c>
      <c r="U6" s="15">
        <v>6.5417684980282262E-2</v>
      </c>
      <c r="V6" s="76">
        <v>0.5742845428370501</v>
      </c>
      <c r="W6" s="71">
        <v>5.460240527257012</v>
      </c>
      <c r="X6" s="13" t="s">
        <v>338</v>
      </c>
      <c r="Y6" s="11" t="s">
        <v>333</v>
      </c>
      <c r="Z6" s="14">
        <v>46081</v>
      </c>
      <c r="AA6" s="16" t="s">
        <v>183</v>
      </c>
    </row>
    <row r="7" spans="1:27">
      <c r="B7" s="11" t="s">
        <v>346</v>
      </c>
      <c r="C7" s="11" t="s">
        <v>347</v>
      </c>
      <c r="D7" s="2">
        <v>103.1</v>
      </c>
      <c r="E7" s="12" t="s">
        <v>135</v>
      </c>
      <c r="F7" s="15">
        <v>0.13906545333559692</v>
      </c>
      <c r="G7" s="15">
        <f>F7 - Portfolio_Mgmt!$C$10</f>
        <v>2.1665453335596913E-2</v>
      </c>
      <c r="H7" s="15">
        <f>F7 - Portfolio_Mgmt!$C$11</f>
        <v>0.10456545333559691</v>
      </c>
      <c r="I7" s="15">
        <v>0</v>
      </c>
      <c r="J7" s="2">
        <v>70.217436877012744</v>
      </c>
      <c r="K7" s="2">
        <v>152.37183802311762</v>
      </c>
      <c r="L7" s="71">
        <v>123.51303793776276</v>
      </c>
      <c r="M7" s="2">
        <v>88.012614020573395</v>
      </c>
      <c r="N7" s="2">
        <v>109.21409850583763</v>
      </c>
      <c r="O7" s="4">
        <v>2.3234154844977681E-2</v>
      </c>
      <c r="P7" s="4">
        <v>0</v>
      </c>
      <c r="Q7" s="4">
        <v>0.14667015235144401</v>
      </c>
      <c r="R7" s="4">
        <v>8.0069983114389093E-2</v>
      </c>
      <c r="S7" s="79">
        <v>1.022390799101176</v>
      </c>
      <c r="T7" s="78">
        <v>1.7916578376478161</v>
      </c>
      <c r="U7" s="15">
        <v>0.27660377540313014</v>
      </c>
      <c r="V7" s="76">
        <v>1.7116972700897226</v>
      </c>
      <c r="W7" s="71">
        <v>3.4887743004656246</v>
      </c>
      <c r="X7" s="13" t="s">
        <v>348</v>
      </c>
      <c r="Y7" s="11" t="s">
        <v>349</v>
      </c>
      <c r="Z7" s="14">
        <v>46081</v>
      </c>
      <c r="AA7" s="16" t="s">
        <v>334</v>
      </c>
    </row>
    <row r="8" spans="1:27">
      <c r="B8" s="11" t="s">
        <v>329</v>
      </c>
      <c r="C8" s="11" t="s">
        <v>330</v>
      </c>
      <c r="D8" s="2">
        <v>6.27</v>
      </c>
      <c r="E8" s="12" t="s">
        <v>135</v>
      </c>
      <c r="F8" s="15">
        <v>0.135700254620989</v>
      </c>
      <c r="G8" s="15">
        <f>F8 - Portfolio_Mgmt!$C$10</f>
        <v>1.8300254620988998E-2</v>
      </c>
      <c r="H8" s="15">
        <f>F8 - Portfolio_Mgmt!$C$11</f>
        <v>0.101200254620989</v>
      </c>
      <c r="I8" s="15">
        <v>0</v>
      </c>
      <c r="J8" s="2">
        <v>4.333028820025568</v>
      </c>
      <c r="K8" s="2">
        <v>7.8143613713918958</v>
      </c>
      <c r="L8" s="71">
        <v>7.3792932677079612</v>
      </c>
      <c r="M8" s="2">
        <v>5.3553121183397749</v>
      </c>
      <c r="N8" s="2">
        <v>6.5660659780940076</v>
      </c>
      <c r="O8" s="4">
        <v>6.3303641264089688E-2</v>
      </c>
      <c r="P8" s="4">
        <v>6.3795853269537489E-2</v>
      </c>
      <c r="Q8" s="4">
        <v>0.1167471410506614</v>
      </c>
      <c r="R8" s="4">
        <v>3.9086921133773919E-2</v>
      </c>
      <c r="S8" s="79">
        <v>1.3708738209065539</v>
      </c>
      <c r="T8" s="78">
        <v>2.1787997096988563</v>
      </c>
      <c r="U8" s="15">
        <v>0.77760119734648436</v>
      </c>
      <c r="V8" s="76">
        <v>5.3475400925918697</v>
      </c>
      <c r="W8" s="71">
        <v>-2.5047246524922007</v>
      </c>
      <c r="X8" s="13" t="s">
        <v>171</v>
      </c>
      <c r="Y8" s="11" t="s">
        <v>170</v>
      </c>
      <c r="Z8" s="14">
        <v>45991</v>
      </c>
      <c r="AA8" s="16" t="s">
        <v>183</v>
      </c>
    </row>
    <row r="9" spans="1:27">
      <c r="B9" s="11" t="s">
        <v>172</v>
      </c>
      <c r="C9" s="11" t="s">
        <v>339</v>
      </c>
      <c r="D9" s="2">
        <v>20.12</v>
      </c>
      <c r="E9" s="12" t="s">
        <v>135</v>
      </c>
      <c r="F9" s="15">
        <v>0.13102411539689116</v>
      </c>
      <c r="G9" s="15">
        <f>F9 - Portfolio_Mgmt!$C$10</f>
        <v>1.3624115396891151E-2</v>
      </c>
      <c r="H9" s="15">
        <f>F9 - Portfolio_Mgmt!$C$11</f>
        <v>9.6524115396891152E-2</v>
      </c>
      <c r="I9" s="15">
        <v>0</v>
      </c>
      <c r="J9" s="2">
        <v>13.74026255560837</v>
      </c>
      <c r="K9" s="2">
        <v>24.813189566269866</v>
      </c>
      <c r="L9" s="71">
        <v>23.405233627077692</v>
      </c>
      <c r="M9" s="2">
        <v>16.983573242884599</v>
      </c>
      <c r="N9" s="2">
        <v>20.824991444153088</v>
      </c>
      <c r="O9" s="4">
        <v>0.11642942836575548</v>
      </c>
      <c r="P9" s="4">
        <v>6.2624254473161028E-2</v>
      </c>
      <c r="Q9" s="4">
        <v>0.17244225698759846</v>
      </c>
      <c r="R9" s="4">
        <v>0.32385684070512349</v>
      </c>
      <c r="S9" s="79">
        <v>0.37515442207937094</v>
      </c>
      <c r="T9" s="78">
        <v>1.419320754716981</v>
      </c>
      <c r="U9" s="15">
        <v>9.2018392262565404E-2</v>
      </c>
      <c r="V9" s="76">
        <v>0.52904635366009978</v>
      </c>
      <c r="W9" s="71">
        <v>0.4502910162227417</v>
      </c>
      <c r="X9" s="13" t="s">
        <v>340</v>
      </c>
      <c r="Y9" s="11" t="s">
        <v>341</v>
      </c>
      <c r="Z9" s="14">
        <v>46081</v>
      </c>
      <c r="AA9" s="16" t="s">
        <v>183</v>
      </c>
    </row>
    <row r="10" spans="1:27">
      <c r="B10" s="11" t="s">
        <v>378</v>
      </c>
      <c r="C10" s="11" t="s">
        <v>379</v>
      </c>
      <c r="D10" s="2">
        <v>0.48</v>
      </c>
      <c r="E10" s="12" t="s">
        <v>135</v>
      </c>
      <c r="F10" s="15">
        <v>5.7029099355293308E-2</v>
      </c>
      <c r="G10" s="15">
        <f>F10 - Portfolio_Mgmt!$C$10</f>
        <v>-6.0370900644706696E-2</v>
      </c>
      <c r="H10" s="15">
        <f>F10 - Portfolio_Mgmt!$C$11</f>
        <v>2.2529099355293306E-2</v>
      </c>
      <c r="I10" s="15">
        <v>0</v>
      </c>
      <c r="J10" s="2">
        <v>0.27115120013805027</v>
      </c>
      <c r="K10" s="2">
        <v>0.48118710045527707</v>
      </c>
      <c r="L10" s="71">
        <v>0.46058574017626652</v>
      </c>
      <c r="M10" s="2">
        <v>0.33475011405945776</v>
      </c>
      <c r="N10" s="2">
        <v>0.41003613963632124</v>
      </c>
      <c r="O10" s="4">
        <v>9.9585484697439441E-2</v>
      </c>
      <c r="P10" s="4">
        <v>5.6250000000000001E-2</v>
      </c>
      <c r="Q10" s="4">
        <v>3.586906730443893E-2</v>
      </c>
      <c r="R10" s="4">
        <v>1.7449376932917909E-2</v>
      </c>
      <c r="S10" s="79">
        <v>1.4656521003611329</v>
      </c>
      <c r="T10" s="78">
        <v>1.4025206525126881</v>
      </c>
      <c r="U10" s="15">
        <v>0.16239287772638675</v>
      </c>
      <c r="V10" s="76">
        <v>3.8393912927387319</v>
      </c>
      <c r="W10" s="71">
        <v>0.58105391455460365</v>
      </c>
      <c r="X10" s="16" t="s">
        <v>380</v>
      </c>
      <c r="Y10" s="11" t="s">
        <v>381</v>
      </c>
      <c r="Z10" s="14">
        <v>46081</v>
      </c>
      <c r="AA10" s="16" t="s">
        <v>334</v>
      </c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0.29465259038036606</v>
      </c>
      <c r="D32" s="93" t="s">
        <v>322</v>
      </c>
      <c r="E32" s="108">
        <f>Portfolio_Mgmt!E46</f>
        <v>1.7999999999999994</v>
      </c>
    </row>
    <row r="33" spans="1:5">
      <c r="B33" s="95" t="s">
        <v>263</v>
      </c>
      <c r="C33" s="109">
        <f>Portfolio_Mgmt!C47</f>
        <v>0.20075184365903009</v>
      </c>
      <c r="D33" s="96" t="s">
        <v>268</v>
      </c>
      <c r="E33" s="97">
        <f>(C32*C33+(1-C32)*C34)/(2*C33)</f>
        <v>3.6621760332915154</v>
      </c>
    </row>
    <row r="34" spans="1:5" ht="12" thickBot="1">
      <c r="B34" s="98" t="s">
        <v>264</v>
      </c>
      <c r="C34" s="99">
        <f>E32+C33</f>
        <v>2.0007518436590295</v>
      </c>
      <c r="D34" s="100" t="s">
        <v>269</v>
      </c>
      <c r="E34" s="101">
        <f>-C33/C34</f>
        <v>-0.10033820250885769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373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-0.65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355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352</v>
      </c>
    </row>
    <row r="22" spans="1:5">
      <c r="B22" s="123" t="s">
        <v>358</v>
      </c>
      <c r="C22" s="123" t="s">
        <v>374</v>
      </c>
      <c r="D22" s="123" t="s">
        <v>216</v>
      </c>
    </row>
    <row r="23" spans="1:5">
      <c r="B23" s="127" t="s">
        <v>356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357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3.9900000000000005E-2</v>
      </c>
      <c r="D4" s="34">
        <v>7.2499999999999995E-2</v>
      </c>
      <c r="E4" s="35">
        <f>D4-C4</f>
        <v>3.259999999999999E-2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376</v>
      </c>
    </row>
    <row r="35" spans="1:5" ht="223.15" customHeight="1">
      <c r="B35" s="156" t="s">
        <v>377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D16" sqref="D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</f>
        <v>764909</v>
      </c>
      <c r="H3" s="58">
        <f>G3/$G$9</f>
        <v>0.67979886224570052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16.739999999999998</v>
      </c>
      <c r="E4" s="59" t="str">
        <f>VLOOKUP(B4,Opportunities!B$3:E$30,4,FALSE)</f>
        <v>HKD</v>
      </c>
      <c r="F4" s="57">
        <v>4500</v>
      </c>
      <c r="G4" s="61">
        <f>D4*F4</f>
        <v>75330</v>
      </c>
      <c r="H4" s="58">
        <f>G4/$G$9</f>
        <v>6.6948157614786369E-2</v>
      </c>
      <c r="I4" s="58">
        <f>VLOOKUP(B4,Opportunities!B$3:I$30,8,FALSE)</f>
        <v>4.6579524383140364E-2</v>
      </c>
      <c r="J4" s="81">
        <f>VLOOKUP(B4,Opportunities!B$3:N$30,12,FALSE)</f>
        <v>15.324597205979455</v>
      </c>
      <c r="K4" s="81">
        <f>VLOOKUP(B4,Opportunities!B$3:N$30,9,FALSE)</f>
        <v>12.306937054762811</v>
      </c>
      <c r="L4" s="81">
        <f>VLOOKUP(B4,Opportunities!B$3:N$30,11,FALSE)</f>
        <v>21.324073976812404</v>
      </c>
      <c r="M4" s="81">
        <f>VLOOKUP(B4,Opportunities!B$3:N$30,13,FALSE)</f>
        <v>18.910257649455456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20.12</v>
      </c>
      <c r="E5" s="59" t="str">
        <f>VLOOKUP(B5,Opportunities!B$3:E$30,4,FALSE)</f>
        <v>HKD</v>
      </c>
      <c r="F5" s="57">
        <v>8000</v>
      </c>
      <c r="G5" s="61">
        <f>D5*F5</f>
        <v>160960</v>
      </c>
      <c r="H5" s="58">
        <f>G5/$G$9</f>
        <v>0.14305025155550263</v>
      </c>
      <c r="I5" s="58">
        <f>VLOOKUP(B5,Opportunities!B$3:I$30,8,FALSE)</f>
        <v>0</v>
      </c>
      <c r="J5" s="81">
        <f>VLOOKUP(B5,Opportunities!B$3:N$30,12,FALSE)</f>
        <v>16.983573242884599</v>
      </c>
      <c r="K5" s="81">
        <f>VLOOKUP(B5,Opportunities!B$3:N$30,9,FALSE)</f>
        <v>13.74026255560837</v>
      </c>
      <c r="L5" s="81">
        <f>VLOOKUP(B5,Opportunities!B$3:N$30,11,FALSE)</f>
        <v>23.405233627077692</v>
      </c>
      <c r="M5" s="81">
        <f>VLOOKUP(B5,Opportunities!B$3:N$30,13,FALSE)</f>
        <v>20.824991444153088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3.1</v>
      </c>
      <c r="E6" s="59" t="str">
        <f>VLOOKUP(B6,Opportunities!B$3:E$30,4,FALSE)</f>
        <v>HKD</v>
      </c>
      <c r="F6" s="57">
        <v>40000</v>
      </c>
      <c r="G6" s="61">
        <f>D6*F6</f>
        <v>124000</v>
      </c>
      <c r="H6" s="58">
        <f t="shared" ref="H6" si="0">G6/$G$9</f>
        <v>0.11020272858401048</v>
      </c>
      <c r="I6" s="58">
        <f>VLOOKUP(B6,Opportunities!B$3:I$30,8,FALSE)</f>
        <v>9.939613899803304E-2</v>
      </c>
      <c r="J6" s="81">
        <f>VLOOKUP(B6,Opportunities!B$3:N$30,12,FALSE)</f>
        <v>2.9631300794707243</v>
      </c>
      <c r="K6" s="81">
        <f>VLOOKUP(B6,Opportunities!B$3:N$30,9,FALSE)</f>
        <v>2.4048565177073828</v>
      </c>
      <c r="L6" s="81">
        <f>VLOOKUP(B6,Opportunities!B$3:N$30,11,FALSE)</f>
        <v>4.0664479320737961</v>
      </c>
      <c r="M6" s="81">
        <f>VLOOKUP(B6,Opportunities!B$3:N$30,13,FALSE)</f>
        <v>3.623398640518225</v>
      </c>
    </row>
    <row r="7" spans="1:13">
      <c r="B7" s="63" t="s">
        <v>331</v>
      </c>
      <c r="C7" s="62" t="str">
        <f>VLOOKUP(B7,Opportunities!B$3:E$30,2,FALSE)</f>
        <v>中国飞鹤</v>
      </c>
      <c r="D7" s="60">
        <f>VLOOKUP(B7,Opportunities!B$3:E$30,3,FALSE)</f>
        <v>4.21</v>
      </c>
      <c r="E7" s="59" t="str">
        <f>VLOOKUP(B7,Opportunities!B$3:E$30,4,FALSE)</f>
        <v>HKD</v>
      </c>
      <c r="F7" s="57">
        <v>12000</v>
      </c>
      <c r="G7" s="61">
        <f>D7*F7</f>
        <v>50520</v>
      </c>
      <c r="H7" s="58">
        <f t="shared" ref="H7" si="1">G7/$G$9</f>
        <v>4.489872458116298E-2</v>
      </c>
      <c r="I7" s="58">
        <f>VLOOKUP(B7,Opportunities!B$3:I$30,8,FALSE)</f>
        <v>7.098635708159648E-2</v>
      </c>
      <c r="J7" s="81">
        <f>VLOOKUP(B7,Opportunities!B$3:N$30,12,FALSE)</f>
        <v>4.1765990865966423</v>
      </c>
      <c r="K7" s="81">
        <f>VLOOKUP(B7,Opportunities!B$3:N$30,9,FALSE)</f>
        <v>3.3687101508635449</v>
      </c>
      <c r="L7" s="81">
        <f>VLOOKUP(B7,Opportunities!B$3:N$30,11,FALSE)</f>
        <v>5.7789732750703093</v>
      </c>
      <c r="M7" s="81">
        <f>VLOOKUP(B7,Opportunities!B$3:N$30,13,FALSE)</f>
        <v>5.1347722255630259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>
        <f>SUM(G3:G6)</f>
        <v>1125199</v>
      </c>
      <c r="H9" s="67">
        <f>SUM(H3:H6)</f>
        <v>1</v>
      </c>
      <c r="I9" s="73">
        <f>SUM(I3:I6)</f>
        <v>0.59597566338117336</v>
      </c>
      <c r="J9" s="82" t="s">
        <v>189</v>
      </c>
      <c r="K9" s="82" t="s">
        <v>189</v>
      </c>
      <c r="L9" s="82" t="s">
        <v>189</v>
      </c>
      <c r="M9" s="82" t="s">
        <v>189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str">
        <f>VLOOKUP(B12,Opportunities!B$3:E$30,2,FALSE)</f>
        <v>李宁</v>
      </c>
      <c r="D12" s="60">
        <f>VLOOKUP(B12,Opportunities!B$3:E$30,3,FALSE)</f>
        <v>16.739999999999998</v>
      </c>
      <c r="E12" s="59" t="str">
        <f>VLOOKUP(B12,Opportunities!B$3:E$30,4,FALSE)</f>
        <v>HKD</v>
      </c>
      <c r="F12" s="57">
        <v>0</v>
      </c>
      <c r="G12" s="61">
        <f>-D12*F12</f>
        <v>0</v>
      </c>
      <c r="H12" s="58">
        <f>-G12/$G$9</f>
        <v>0</v>
      </c>
      <c r="I12" s="58">
        <f>VLOOKUP(B12,Opportunities!B$3:I$30,8,FALSE)</f>
        <v>4.6579524383140364E-2</v>
      </c>
      <c r="J12" s="81">
        <f>VLOOKUP(B12,Opportunities!B$3:N$30,12,FALSE)</f>
        <v>15.324597205979455</v>
      </c>
      <c r="K12" s="81">
        <f>VLOOKUP(B12,Opportunities!B$3:N$30,9,FALSE)</f>
        <v>12.306937054762811</v>
      </c>
      <c r="L12" s="81">
        <f>VLOOKUP(B12,Opportunities!B$3:N$30,11,FALSE)</f>
        <v>21.324073976812404</v>
      </c>
      <c r="M12" s="81">
        <f>VLOOKUP(B12,Opportunities!B$3:N$30,13,FALSE)</f>
        <v>18.910257649455456</v>
      </c>
    </row>
    <row r="13" spans="1:13">
      <c r="B13" s="63" t="s">
        <v>172</v>
      </c>
      <c r="C13" s="62" t="str">
        <f>VLOOKUP(B13,Opportunities!B$3:E$30,2,FALSE)</f>
        <v>中国海油</v>
      </c>
      <c r="D13" s="60">
        <f>VLOOKUP(B13,Opportunities!B$3:E$30,3,FALSE)</f>
        <v>20.12</v>
      </c>
      <c r="E13" s="59" t="str">
        <f>VLOOKUP(B13,Opportunities!B$3:E$30,4,FALSE)</f>
        <v>HKD</v>
      </c>
      <c r="F13" s="57">
        <v>0</v>
      </c>
      <c r="G13" s="61">
        <f>-D13*F13</f>
        <v>0</v>
      </c>
      <c r="H13" s="58">
        <f>-G13/$G$9</f>
        <v>0</v>
      </c>
      <c r="I13" s="58">
        <f>VLOOKUP(B13,Opportunities!B$3:I$30,8,FALSE)</f>
        <v>0</v>
      </c>
      <c r="J13" s="81">
        <f>VLOOKUP(B13,Opportunities!B$3:N$30,12,FALSE)</f>
        <v>16.983573242884599</v>
      </c>
      <c r="K13" s="81">
        <f>VLOOKUP(B13,Opportunities!B$3:N$30,9,FALSE)</f>
        <v>13.74026255560837</v>
      </c>
      <c r="L13" s="81">
        <f>VLOOKUP(B13,Opportunities!B$3:N$30,11,FALSE)</f>
        <v>23.405233627077692</v>
      </c>
      <c r="M13" s="81">
        <f>VLOOKUP(B13,Opportunities!B$3:N$30,13,FALSE)</f>
        <v>20.824991444153088</v>
      </c>
    </row>
    <row r="14" spans="1:13">
      <c r="B14" s="63" t="s">
        <v>185</v>
      </c>
      <c r="C14" s="62" t="str">
        <f>VLOOKUP(B14,Opportunities!B$3:E$30,2,FALSE)</f>
        <v>首钢资源</v>
      </c>
      <c r="D14" s="60">
        <f>VLOOKUP(B14,Opportunities!B$3:E$30,3,FALSE)</f>
        <v>3.1</v>
      </c>
      <c r="E14" s="59" t="str">
        <f>VLOOKUP(B14,Opportunities!B$3:E$30,4,FALSE)</f>
        <v>HKD</v>
      </c>
      <c r="F14" s="57">
        <v>0</v>
      </c>
      <c r="G14" s="61">
        <f>-D14*F14</f>
        <v>0</v>
      </c>
      <c r="H14" s="58">
        <f>-G14/$G$9</f>
        <v>0</v>
      </c>
      <c r="I14" s="58">
        <f>VLOOKUP(B14,Opportunities!B$3:I$30,8,FALSE)</f>
        <v>9.939613899803304E-2</v>
      </c>
      <c r="J14" s="81">
        <f>VLOOKUP(B14,Opportunities!B$3:N$30,12,FALSE)</f>
        <v>2.9631300794707243</v>
      </c>
      <c r="K14" s="81">
        <f>VLOOKUP(B14,Opportunities!B$3:N$30,9,FALSE)</f>
        <v>2.4048565177073828</v>
      </c>
      <c r="L14" s="81">
        <f>VLOOKUP(B14,Opportunities!B$3:N$30,11,FALSE)</f>
        <v>4.0664479320737961</v>
      </c>
      <c r="M14" s="81">
        <f>VLOOKUP(B14,Opportunities!B$3:N$30,13,FALSE)</f>
        <v>3.623398640518225</v>
      </c>
    </row>
    <row r="15" spans="1:13">
      <c r="B15" s="63" t="s">
        <v>331</v>
      </c>
      <c r="C15" s="62" t="str">
        <f>VLOOKUP(B15,Opportunities!B$3:E$30,2,FALSE)</f>
        <v>中国飞鹤</v>
      </c>
      <c r="D15" s="60">
        <f>VLOOKUP(B15,Opportunities!B$3:E$30,3,FALSE)</f>
        <v>4.21</v>
      </c>
      <c r="E15" s="59" t="str">
        <f>VLOOKUP(B15,Opportunities!B$3:E$30,4,FALSE)</f>
        <v>HKD</v>
      </c>
      <c r="F15" s="57">
        <v>8000</v>
      </c>
      <c r="G15" s="61">
        <f>-D15*F15</f>
        <v>-33680</v>
      </c>
      <c r="H15" s="58">
        <f>-G15/$G$9</f>
        <v>2.9932483054108651E-2</v>
      </c>
      <c r="I15" s="58">
        <f>VLOOKUP(B15,Opportunities!B$3:I$30,8,FALSE)</f>
        <v>7.098635708159648E-2</v>
      </c>
      <c r="J15" s="81">
        <f>VLOOKUP(B15,Opportunities!B$3:N$30,12,FALSE)</f>
        <v>4.1765990865966423</v>
      </c>
      <c r="K15" s="81">
        <f>VLOOKUP(B15,Opportunities!B$3:N$30,9,FALSE)</f>
        <v>3.3687101508635449</v>
      </c>
      <c r="L15" s="81">
        <f>VLOOKUP(B15,Opportunities!B$3:N$30,11,FALSE)</f>
        <v>5.7789732750703093</v>
      </c>
      <c r="M15" s="81">
        <f>VLOOKUP(B15,Opportunities!B$3:N$30,13,FALSE)</f>
        <v>5.1347722255630259</v>
      </c>
    </row>
    <row r="16" spans="1:13">
      <c r="B16" s="63" t="s">
        <v>342</v>
      </c>
      <c r="C16" s="62" t="str">
        <f>VLOOKUP(B16,Opportunities!B$3:E$30,2,FALSE)</f>
        <v>昆仑能源</v>
      </c>
      <c r="D16" s="60">
        <f>VLOOKUP(B16,Opportunities!B$3:E$30,3,FALSE)</f>
        <v>7.21</v>
      </c>
      <c r="E16" s="59" t="str">
        <f>VLOOKUP(B16,Opportunities!B$3:E$30,4,FALSE)</f>
        <v>HKD</v>
      </c>
      <c r="F16" s="57">
        <v>8000</v>
      </c>
      <c r="G16" s="61">
        <f>-D16*F16</f>
        <v>-57680</v>
      </c>
      <c r="H16" s="58">
        <f>-G16/$G$9</f>
        <v>5.1262043425207453E-2</v>
      </c>
      <c r="I16" s="58">
        <f>VLOOKUP(B16,Opportunities!B$3:I$30,8,FALSE)</f>
        <v>6.2268610535908021E-2</v>
      </c>
      <c r="J16" s="81">
        <f>VLOOKUP(B16,Opportunities!B$3:N$30,12,FALSE)</f>
        <v>7.033961432046266</v>
      </c>
      <c r="K16" s="81">
        <f>VLOOKUP(B16,Opportunities!B$3:N$30,9,FALSE)</f>
        <v>5.6588312677517578</v>
      </c>
      <c r="L16" s="81">
        <f>VLOOKUP(B16,Opportunities!B$3:N$30,11,FALSE)</f>
        <v>9.7652790669443821</v>
      </c>
      <c r="M16" s="81">
        <f>VLOOKUP(B16,Opportunities!B$3:N$30,13,FALSE)</f>
        <v>8.6667056667820876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>
        <f>G3+SUM(G12:G16)</f>
        <v>673549</v>
      </c>
      <c r="H18" s="73">
        <f t="shared" ref="H18" si="2">G18/$G$9</f>
        <v>0.59860433576638439</v>
      </c>
      <c r="I18" s="73">
        <f>Portfolio_Mgmt!E73</f>
        <v>0.45</v>
      </c>
      <c r="J18" s="82" t="s">
        <v>189</v>
      </c>
      <c r="K18" s="82" t="s">
        <v>189</v>
      </c>
      <c r="L18" s="82" t="s">
        <v>189</v>
      </c>
      <c r="M18" s="82" t="s">
        <v>189</v>
      </c>
    </row>
    <row r="20" spans="1:13" ht="13.15">
      <c r="A20" s="49"/>
      <c r="B20" s="50" t="s">
        <v>190</v>
      </c>
      <c r="C20" s="115"/>
      <c r="D20" s="56"/>
      <c r="E20" s="53"/>
      <c r="F20" s="57"/>
      <c r="G20" s="57"/>
    </row>
    <row r="21" spans="1:13" ht="13.15">
      <c r="C21" s="84" t="s">
        <v>191</v>
      </c>
      <c r="D21" s="84" t="s">
        <v>194</v>
      </c>
      <c r="F21" s="84" t="s">
        <v>195</v>
      </c>
    </row>
    <row r="22" spans="1:13" ht="14.25">
      <c r="B22" s="83" t="s">
        <v>192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193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196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2025-10-30T02:51:13Z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