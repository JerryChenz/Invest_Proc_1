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F68DF54-76E1-4C6D-B5BE-6527BBCF7D5A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32" i="5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C35" i="5"/>
  <c r="H6" i="7"/>
  <c r="C6" i="7"/>
  <c r="F6" i="7" s="1"/>
  <c r="D6" i="7"/>
  <c r="D4" i="7"/>
  <c r="D5" i="7"/>
  <c r="H4" i="7"/>
  <c r="H5" i="7"/>
  <c r="C4" i="7"/>
  <c r="C5" i="7"/>
  <c r="F8" i="7" l="1"/>
  <c r="F13" i="7"/>
  <c r="F18" i="7" s="1"/>
  <c r="F5" i="7"/>
  <c r="F4" i="7" l="1"/>
  <c r="F10" i="7" s="1"/>
  <c r="G8" i="7" s="1"/>
  <c r="G16" i="7" l="1"/>
  <c r="E60" i="5"/>
  <c r="E61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33" i="5" l="1"/>
  <c r="H18" i="7"/>
  <c r="H3" i="7"/>
  <c r="H10" i="7" s="1"/>
  <c r="C31" i="5" l="1"/>
  <c r="C32" i="5" s="1"/>
  <c r="G3" i="7"/>
  <c r="G4" i="7"/>
  <c r="C34" i="5" l="1"/>
  <c r="E33" i="5" s="1"/>
  <c r="G10" i="7"/>
</calcChain>
</file>

<file path=xl/sharedStrings.xml><?xml version="1.0" encoding="utf-8"?>
<sst xmlns="http://schemas.openxmlformats.org/spreadsheetml/2006/main" count="360" uniqueCount="280">
  <si>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</si>
  <si>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</si>
  <si>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</si>
  <si>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</si>
  <si>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</si>
  <si>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</si>
  <si>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</si>
  <si>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</si>
  <si>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</si>
  <si>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</si>
  <si>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</si>
  <si>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</si>
  <si>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</si>
  <si>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</si>
  <si>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</si>
  <si>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</si>
  <si>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</si>
  <si>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</si>
  <si>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</si>
  <si>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</si>
  <si>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</si>
  <si>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</si>
  <si>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</si>
  <si>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</si>
  <si>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</si>
  <si>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</si>
  <si>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</si>
  <si>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</si>
  <si>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</si>
  <si>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</si>
  <si>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</si>
  <si>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</si>
  <si>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</si>
  <si>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</si>
  <si>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</si>
  <si>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</si>
  <si>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</si>
  <si>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</si>
  <si>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</si>
  <si>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</si>
  <si>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</si>
  <si>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</si>
  <si>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</si>
  <si>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</si>
  <si>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</si>
  <si>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</si>
  <si>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</si>
  <si>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</si>
  <si>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</si>
  <si>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</si>
  <si>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</si>
  <si>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</si>
  <si>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</si>
  <si>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</si>
  <si>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</si>
  <si>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</si>
  <si>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</si>
  <si>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</si>
  <si>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</si>
  <si>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</si>
  <si>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</si>
  <si>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</si>
  <si>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</si>
  <si>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</si>
  <si>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</si>
  <si>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</si>
  <si>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</si>
  <si>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</si>
  <si>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</si>
  <si>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</si>
  <si>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</si>
  <si>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</si>
  <si>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</si>
  <si>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</si>
  <si>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</si>
  <si>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</si>
  <si>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</si>
  <si>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</si>
  <si>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</si>
  <si>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</si>
  <si>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</si>
  <si>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</si>
  <si>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</si>
  <si>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</si>
  <si>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</si>
  <si>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</si>
  <si>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</si>
  <si>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</si>
  <si>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</si>
  <si>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</si>
  <si>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</si>
  <si>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</si>
  <si>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</si>
  <si>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</si>
  <si>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</si>
  <si>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</si>
  <si>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</si>
  <si>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</si>
  <si>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</si>
  <si>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</si>
  <si>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</si>
  <si>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</si>
  <si>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</si>
  <si>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</si>
  <si>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</si>
  <si>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</si>
  <si>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</si>
  <si>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</si>
  <si>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</si>
  <si>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</si>
  <si>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</si>
  <si>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</si>
  <si>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</si>
  <si>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</si>
  <si>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</si>
  <si>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</si>
  <si>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</si>
  <si>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</si>
  <si>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</si>
  <si>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</si>
  <si>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</si>
  <si>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</si>
  <si>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</si>
  <si>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</si>
  <si>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</si>
  <si>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</si>
  <si>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</si>
  <si>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</si>
  <si>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</si>
  <si>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</si>
  <si>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</si>
  <si>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</si>
  <si>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</si>
  <si>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</si>
  <si>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</si>
  <si>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</si>
  <si>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</si>
  <si>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</si>
  <si>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</si>
  <si>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</si>
  <si>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</si>
  <si>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</si>
  <si>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</si>
  <si>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</si>
  <si>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</si>
  <si>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</si>
  <si>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</si>
  <si>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</si>
  <si>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</si>
  <si>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</si>
  <si>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</si>
  <si>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</si>
  <si>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</si>
  <si>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</si>
  <si>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</si>
  <si>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</si>
  <si>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</si>
  <si>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</si>
  <si>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</si>
  <si>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</si>
  <si>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</si>
  <si>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</si>
  <si>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</si>
  <si>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</si>
  <si>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</si>
  <si>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</si>
  <si>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</si>
  <si>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</si>
  <si>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</si>
  <si>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</si>
  <si>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</si>
  <si>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</si>
  <si>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</si>
  <si>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</si>
  <si>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</si>
  <si>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</si>
  <si>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</si>
  <si>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</si>
  <si>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</si>
  <si>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</si>
  <si>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</si>
  <si>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</si>
  <si>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</si>
  <si>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</si>
  <si>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</si>
  <si>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</si>
  <si>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</si>
  <si>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</si>
  <si>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</si>
  <si>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</si>
  <si>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</si>
  <si>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</si>
  <si>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</si>
  <si>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</si>
  <si>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</si>
  <si>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</si>
  <si>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</si>
  <si>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</si>
  <si>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</si>
  <si>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</si>
  <si>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</si>
  <si>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</si>
  <si>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</si>
  <si>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</si>
  <si>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</si>
  <si>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</si>
  <si>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</si>
  <si>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</si>
  <si>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</si>
  <si>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</si>
  <si>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</si>
  <si>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</si>
  <si>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</si>
  <si>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</si>
  <si>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</si>
  <si>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</si>
  <si>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</si>
  <si>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</si>
  <si>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</si>
  <si>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</si>
  <si>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</si>
  <si>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</si>
  <si>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</si>
  <si>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</si>
  <si>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</si>
  <si>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</si>
  <si>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</si>
  <si>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</si>
  <si>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</si>
  <si>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</si>
  <si>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</si>
  <si>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</si>
  <si>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</si>
  <si>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</si>
  <si>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</si>
  <si>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</si>
  <si>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</si>
  <si>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</si>
  <si>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</si>
  <si>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</si>
  <si>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</si>
  <si>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</si>
  <si>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</si>
  <si>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</si>
  <si>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</si>
  <si>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</si>
  <si>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</si>
  <si>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</si>
  <si>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</si>
  <si>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</si>
  <si>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</si>
  <si>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</si>
  <si>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</si>
  <si>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</si>
  <si>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for a Half Kelly Allocation % of</t>
  </si>
  <si>
    <t>at a valuation confidence (p) of</t>
  </si>
  <si>
    <t>Single Investment Cap</t>
  </si>
  <si>
    <r>
      <rPr>
        <b/>
        <i/>
        <sz val="9"/>
        <color theme="1"/>
        <rFont val="Arial"/>
        <family val="2"/>
      </rPr>
      <t>Target Price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</si>
  <si>
    <t>Target Price Loss when incorrect + (Market Price Yield - Target Price Return)</t>
  </si>
  <si>
    <t>(p*w + (1-p)*l)/2w</t>
  </si>
  <si>
    <t>The two key assessments when deciding the Cash Reserve % are how things are priced and how investors around us are behaving.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</si>
  <si>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</si>
  <si>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</si>
  <si>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</si>
  <si>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</si>
  <si>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</si>
  <si>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</si>
  <si>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</si>
  <si>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</si>
  <si>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market price Half Kelly Allocation (HK%) =</t>
  </si>
  <si>
    <t xml:space="preserve">market price loss when incorrect (l) = </t>
  </si>
  <si>
    <t>Target Price at a loss (l) of</t>
  </si>
  <si>
    <t>Target Price at a Return (w) of</t>
  </si>
  <si>
    <t>Entry Price at a Return (w) of</t>
  </si>
  <si>
    <t>Entry Price at a loss (l) of</t>
  </si>
  <si>
    <t>ii.</t>
  </si>
  <si>
    <t>a. Half Kelly Allocation</t>
  </si>
  <si>
    <t>b. Be more conservative when not selected.</t>
  </si>
  <si>
    <t>If Selected Flag = N, then divide the allocation % by 2</t>
  </si>
  <si>
    <r>
      <t xml:space="preserve">- Investments without the </t>
    </r>
    <r>
      <rPr>
        <b/>
        <sz val="9"/>
        <color theme="1"/>
        <rFont val="Arial"/>
        <family val="2"/>
      </rPr>
      <t xml:space="preserve">Selected Flag </t>
    </r>
    <r>
      <rPr>
        <sz val="9"/>
        <color theme="1"/>
        <rFont val="Arial"/>
        <family val="2"/>
      </rPr>
      <t>receive half of the normal allocation.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</si>
</sst>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3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0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9" fontId="32" fillId="0" borderId="0" xfId="0" applyNumberFormat="1" applyFont="1" applyAlignment="1">
      <alignment horizontal="right"/>
    </xf>
    <xf numFmtId="166" fontId="32" fillId="0" borderId="0" xfId="0" applyNumberFormat="1" applyFont="1" applyAlignment="1">
      <alignment horizontal="right"/>
    </xf>
    <xf numFmtId="10" fontId="32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72" fontId="9" fillId="0" borderId="0" xfId="0" applyNumberFormat="1" applyFont="1"/>
    <xf numFmtId="172" fontId="11" fillId="0" borderId="0" xfId="0" applyNumberFormat="1" applyFont="1"/>
    <xf numFmtId="172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FF00"/>
      <color rgb="FFB6D7A8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opLeftCell="A65" zoomScale="117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142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1" t="s">
        <v>159</v>
      </c>
      <c r="C4" s="101"/>
      <c r="D4" s="101"/>
      <c r="E4" s="101"/>
    </row>
    <row r="6" spans="1:5">
      <c r="A6" s="20" t="s">
        <v>61</v>
      </c>
      <c r="B6" s="19" t="s">
        <v>149</v>
      </c>
      <c r="C6" s="50"/>
    </row>
    <row r="7" spans="1:5">
      <c r="B7" s="101" t="s">
        <v>154</v>
      </c>
      <c r="C7" s="101"/>
      <c r="D7" s="101"/>
      <c r="E7" s="101"/>
    </row>
    <row r="9" spans="1:5">
      <c r="B9" s="23" t="s">
        <v>54</v>
      </c>
    </row>
    <row r="10" spans="1:5">
      <c r="B10" s="1" t="s">
        <v>59</v>
      </c>
      <c r="C10" s="81">
        <f>Market_Yield!C16</f>
        <v>0.1174</v>
      </c>
    </row>
    <row r="11" spans="1:5">
      <c r="B11" s="1" t="s">
        <v>50</v>
      </c>
      <c r="C11" s="81">
        <f>Market_Yield!C6</f>
        <v>3.4500000000000003E-2</v>
      </c>
    </row>
    <row r="12" spans="1:5">
      <c r="C12" s="4"/>
    </row>
    <row r="13" spans="1:5">
      <c r="B13" s="23" t="s">
        <v>55</v>
      </c>
      <c r="C13" s="4"/>
    </row>
    <row r="14" spans="1:5">
      <c r="B14" s="1" t="s">
        <v>151</v>
      </c>
      <c r="C14" s="4" t="s">
        <v>152</v>
      </c>
    </row>
    <row r="15" spans="1:5">
      <c r="B15" s="1" t="s">
        <v>136</v>
      </c>
      <c r="C15" s="24" t="s">
        <v>134</v>
      </c>
    </row>
    <row r="16" spans="1:5">
      <c r="B16" s="1" t="s">
        <v>137</v>
      </c>
      <c r="C16" s="24" t="s">
        <v>135</v>
      </c>
    </row>
    <row r="18" spans="1:5">
      <c r="B18" s="23" t="s">
        <v>56</v>
      </c>
    </row>
    <row r="19" spans="1:5">
      <c r="B19" s="24" t="s">
        <v>279</v>
      </c>
    </row>
    <row r="20" spans="1:5">
      <c r="B20" s="24" t="s">
        <v>76</v>
      </c>
    </row>
    <row r="21" spans="1:5">
      <c r="B21" s="24" t="s">
        <v>150</v>
      </c>
    </row>
    <row r="23" spans="1:5">
      <c r="A23" s="25" t="s">
        <v>62</v>
      </c>
      <c r="B23" s="19" t="s">
        <v>148</v>
      </c>
      <c r="C23" s="50"/>
    </row>
    <row r="24" spans="1:5">
      <c r="A24" s="18"/>
      <c r="B24" s="101" t="s">
        <v>158</v>
      </c>
      <c r="C24" s="101"/>
      <c r="D24" s="101"/>
      <c r="E24" s="101"/>
    </row>
    <row r="25" spans="1:5">
      <c r="A25" s="18"/>
    </row>
    <row r="26" spans="1:5">
      <c r="A26" s="18"/>
      <c r="B26" s="44" t="s">
        <v>138</v>
      </c>
      <c r="C26" s="44" t="s">
        <v>133</v>
      </c>
    </row>
    <row r="27" spans="1:5">
      <c r="B27" s="26" t="s">
        <v>77</v>
      </c>
      <c r="C27" s="45">
        <v>6</v>
      </c>
    </row>
    <row r="28" spans="1:5">
      <c r="B28" s="26" t="s">
        <v>256</v>
      </c>
      <c r="C28" s="46">
        <v>0.4</v>
      </c>
    </row>
    <row r="30" spans="1:5">
      <c r="A30" s="20" t="s">
        <v>63</v>
      </c>
      <c r="B30" s="19" t="s">
        <v>12</v>
      </c>
      <c r="C30" s="50"/>
    </row>
    <row r="31" spans="1:5">
      <c r="B31" s="1" t="s">
        <v>272</v>
      </c>
      <c r="C31" s="43">
        <f>C33+15%</f>
        <v>0.3674</v>
      </c>
      <c r="D31" s="1" t="s">
        <v>254</v>
      </c>
      <c r="E31" s="99">
        <v>0.3</v>
      </c>
    </row>
    <row r="32" spans="1:5">
      <c r="B32" s="1" t="s">
        <v>271</v>
      </c>
      <c r="C32" s="97">
        <f>-(E32*C31-2*C31*E31)/(1-E32)</f>
        <v>-0.22044000000000008</v>
      </c>
      <c r="D32" s="1" t="s">
        <v>255</v>
      </c>
      <c r="E32" s="94">
        <f>3/4</f>
        <v>0.75</v>
      </c>
    </row>
    <row r="33" spans="1:5">
      <c r="B33" s="1" t="s">
        <v>273</v>
      </c>
      <c r="C33" s="43">
        <f>benchmark+10%</f>
        <v>0.21740000000000001</v>
      </c>
      <c r="D33" s="1" t="s">
        <v>254</v>
      </c>
      <c r="E33" s="98">
        <f>(E32*C33+(1-E32)*C34)/(2*C33)</f>
        <v>0.16200551977920877</v>
      </c>
    </row>
    <row r="34" spans="1:5">
      <c r="B34" s="1" t="s">
        <v>274</v>
      </c>
      <c r="C34" s="97">
        <f>C32+(C33-C31)</f>
        <v>-0.3704400000000001</v>
      </c>
      <c r="D34" s="18" t="s">
        <v>52</v>
      </c>
      <c r="E34" s="95">
        <v>3</v>
      </c>
    </row>
    <row r="35" spans="1:5">
      <c r="B35" s="1" t="s">
        <v>13</v>
      </c>
      <c r="C35" s="96">
        <f>MAX(6%,Market_Yield!C4:D4,Market_Yield!C6:D6)</f>
        <v>7.4999999999999997E-2</v>
      </c>
    </row>
    <row r="36" spans="1:5">
      <c r="C36" s="96"/>
    </row>
    <row r="37" spans="1:5">
      <c r="B37" s="20" t="s">
        <v>78</v>
      </c>
    </row>
    <row r="38" spans="1:5">
      <c r="B38" s="101" t="s">
        <v>257</v>
      </c>
      <c r="C38" s="101"/>
      <c r="D38" s="101"/>
      <c r="E38" s="101"/>
    </row>
    <row r="39" spans="1:5" ht="46.5" customHeight="1">
      <c r="B39" s="101" t="s">
        <v>169</v>
      </c>
      <c r="C39" s="101"/>
      <c r="D39" s="101"/>
      <c r="E39" s="101"/>
    </row>
    <row r="41" spans="1:5">
      <c r="A41" s="21" t="s">
        <v>144</v>
      </c>
      <c r="B41" s="21"/>
      <c r="C41" s="21"/>
      <c r="D41" s="21"/>
      <c r="E41" s="21"/>
    </row>
    <row r="43" spans="1:5">
      <c r="B43" s="101" t="s">
        <v>153</v>
      </c>
      <c r="C43" s="101"/>
      <c r="D43" s="101"/>
      <c r="E43" s="101"/>
    </row>
    <row r="45" spans="1:5">
      <c r="B45" s="23" t="s">
        <v>80</v>
      </c>
    </row>
    <row r="47" spans="1:5">
      <c r="B47" s="44" t="s">
        <v>81</v>
      </c>
      <c r="C47" s="44" t="s">
        <v>147</v>
      </c>
      <c r="D47" s="48"/>
      <c r="E47" s="48"/>
    </row>
    <row r="48" spans="1:5">
      <c r="B48" s="26" t="s">
        <v>268</v>
      </c>
      <c r="C48" s="29">
        <v>0.5</v>
      </c>
      <c r="D48" s="49"/>
      <c r="E48" s="47"/>
    </row>
    <row r="49" spans="2:5">
      <c r="B49" s="26" t="s">
        <v>267</v>
      </c>
      <c r="C49" s="29">
        <v>0.35</v>
      </c>
      <c r="D49" s="49"/>
      <c r="E49" s="47"/>
    </row>
    <row r="50" spans="2:5">
      <c r="B50" s="26" t="s">
        <v>266</v>
      </c>
      <c r="C50" s="29">
        <v>0.2</v>
      </c>
      <c r="D50" s="51" t="s">
        <v>160</v>
      </c>
      <c r="E50" s="47"/>
    </row>
    <row r="52" spans="2:5">
      <c r="B52" s="23" t="s">
        <v>79</v>
      </c>
    </row>
    <row r="54" spans="2:5">
      <c r="B54" s="44" t="s">
        <v>82</v>
      </c>
      <c r="C54" s="44" t="s">
        <v>83</v>
      </c>
      <c r="D54" s="44" t="s">
        <v>84</v>
      </c>
      <c r="E54" s="44" t="s">
        <v>85</v>
      </c>
    </row>
    <row r="55" spans="2:5">
      <c r="B55" s="26" t="s">
        <v>64</v>
      </c>
      <c r="C55" s="26" t="s">
        <v>68</v>
      </c>
      <c r="D55" s="26" t="s">
        <v>69</v>
      </c>
      <c r="E55" s="40">
        <v>1</v>
      </c>
    </row>
    <row r="56" spans="2:5">
      <c r="B56" s="26" t="s">
        <v>65</v>
      </c>
      <c r="C56" s="26" t="s">
        <v>66</v>
      </c>
      <c r="D56" s="26" t="s">
        <v>70</v>
      </c>
      <c r="E56" s="40">
        <v>1</v>
      </c>
    </row>
    <row r="57" spans="2:5">
      <c r="B57" s="26" t="s">
        <v>263</v>
      </c>
      <c r="C57" s="26" t="s">
        <v>264</v>
      </c>
      <c r="D57" s="26" t="s">
        <v>265</v>
      </c>
      <c r="E57" s="40">
        <v>0</v>
      </c>
    </row>
    <row r="58" spans="2:5">
      <c r="B58" s="26" t="s">
        <v>261</v>
      </c>
      <c r="C58" s="26" t="s">
        <v>182</v>
      </c>
      <c r="D58" s="26" t="s">
        <v>183</v>
      </c>
      <c r="E58" s="40">
        <v>2</v>
      </c>
    </row>
    <row r="59" spans="2:5">
      <c r="B59" s="26" t="s">
        <v>262</v>
      </c>
      <c r="C59" s="26" t="s">
        <v>67</v>
      </c>
      <c r="D59" s="26" t="s">
        <v>71</v>
      </c>
      <c r="E59" s="40">
        <v>0</v>
      </c>
    </row>
    <row r="60" spans="2:5">
      <c r="D60" s="27" t="s">
        <v>72</v>
      </c>
      <c r="E60" s="39">
        <f>SUM(E55:E59)</f>
        <v>4</v>
      </c>
    </row>
    <row r="61" spans="2:5" ht="12" thickBot="1">
      <c r="D61" s="41" t="s">
        <v>146</v>
      </c>
      <c r="E61" s="42">
        <f>IF(E60&lt;=4,C48,IF(E60&gt;=8,C50,C49))</f>
        <v>0.5</v>
      </c>
    </row>
    <row r="62" spans="2:5" ht="12" thickTop="1"/>
    <row r="63" spans="2:5">
      <c r="B63" s="1" t="s">
        <v>260</v>
      </c>
    </row>
    <row r="65" spans="1:5">
      <c r="A65" s="21" t="s">
        <v>73</v>
      </c>
      <c r="B65" s="21"/>
      <c r="C65" s="21"/>
      <c r="D65" s="21"/>
      <c r="E65" s="21"/>
    </row>
    <row r="67" spans="1:5">
      <c r="B67" s="101" t="s">
        <v>145</v>
      </c>
      <c r="C67" s="101"/>
      <c r="D67" s="101"/>
      <c r="E67" s="101"/>
    </row>
    <row r="69" spans="1:5">
      <c r="A69" s="28" t="s">
        <v>61</v>
      </c>
      <c r="B69" s="20" t="s">
        <v>143</v>
      </c>
    </row>
    <row r="70" spans="1:5">
      <c r="B70" s="24" t="s">
        <v>161</v>
      </c>
    </row>
    <row r="72" spans="1:5">
      <c r="A72" s="28" t="s">
        <v>275</v>
      </c>
      <c r="B72" s="20" t="s">
        <v>156</v>
      </c>
    </row>
    <row r="73" spans="1:5">
      <c r="B73" s="1" t="s">
        <v>276</v>
      </c>
    </row>
    <row r="74" spans="1:5">
      <c r="B74" s="24" t="s">
        <v>270</v>
      </c>
      <c r="C74" s="100" t="s">
        <v>258</v>
      </c>
    </row>
    <row r="75" spans="1:5">
      <c r="B75" s="24" t="s">
        <v>269</v>
      </c>
      <c r="C75" s="100" t="s">
        <v>259</v>
      </c>
    </row>
    <row r="77" spans="1:5">
      <c r="B77" s="1" t="s">
        <v>277</v>
      </c>
    </row>
    <row r="78" spans="1:5">
      <c r="B78" s="1" t="s">
        <v>278</v>
      </c>
    </row>
    <row r="80" spans="1:5">
      <c r="A80" s="21" t="s">
        <v>74</v>
      </c>
      <c r="B80" s="21"/>
      <c r="C80" s="21"/>
      <c r="D80" s="21"/>
      <c r="E80" s="21"/>
    </row>
    <row r="82" spans="2:2">
      <c r="B82" s="20" t="s">
        <v>75</v>
      </c>
    </row>
    <row r="83" spans="2:2">
      <c r="B83" s="24" t="s">
        <v>86</v>
      </c>
    </row>
    <row r="84" spans="2:2">
      <c r="B84" s="24" t="s">
        <v>87</v>
      </c>
    </row>
    <row r="85" spans="2:2">
      <c r="B85" s="24" t="s">
        <v>157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J3" sqref="J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2" customWidth="1"/>
    <col min="21" max="21" width="8.6640625" style="15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04" t="s">
        <v>1</v>
      </c>
      <c r="E1" s="104"/>
      <c r="F1" s="104"/>
      <c r="G1" s="105" t="s">
        <v>88</v>
      </c>
      <c r="H1" s="105"/>
      <c r="I1" s="105"/>
      <c r="J1" s="107" t="s">
        <v>4</v>
      </c>
      <c r="K1" s="107"/>
      <c r="L1" s="107"/>
      <c r="M1" s="106" t="s">
        <v>180</v>
      </c>
      <c r="N1" s="106"/>
      <c r="O1" s="102" t="s">
        <v>8</v>
      </c>
      <c r="P1" s="102"/>
      <c r="Q1" s="109" t="s">
        <v>231</v>
      </c>
      <c r="R1" s="109"/>
      <c r="S1" s="109"/>
      <c r="T1" s="109"/>
      <c r="U1" s="108" t="s">
        <v>227</v>
      </c>
      <c r="V1" s="108"/>
      <c r="W1" s="108"/>
      <c r="X1" s="103" t="s">
        <v>49</v>
      </c>
      <c r="Y1" s="103"/>
      <c r="Z1" s="103"/>
      <c r="AA1" s="103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223</v>
      </c>
      <c r="F2" s="7" t="s">
        <v>222</v>
      </c>
      <c r="G2" s="7" t="s">
        <v>57</v>
      </c>
      <c r="H2" s="7" t="s">
        <v>58</v>
      </c>
      <c r="I2" s="7" t="s">
        <v>155</v>
      </c>
      <c r="J2" s="8" t="s">
        <v>7</v>
      </c>
      <c r="K2" s="8" t="s">
        <v>10</v>
      </c>
      <c r="L2" s="8" t="s">
        <v>221</v>
      </c>
      <c r="M2" s="8" t="s">
        <v>179</v>
      </c>
      <c r="N2" s="8" t="s">
        <v>220</v>
      </c>
      <c r="O2" s="7" t="s">
        <v>11</v>
      </c>
      <c r="P2" s="7" t="s">
        <v>6</v>
      </c>
      <c r="Q2" s="7" t="s">
        <v>228</v>
      </c>
      <c r="R2" s="7" t="s">
        <v>234</v>
      </c>
      <c r="S2" s="7" t="s">
        <v>229</v>
      </c>
      <c r="T2" s="7" t="s">
        <v>230</v>
      </c>
      <c r="U2" s="7" t="s">
        <v>176</v>
      </c>
      <c r="V2" s="7" t="s">
        <v>178</v>
      </c>
      <c r="W2" s="7" t="s">
        <v>177</v>
      </c>
      <c r="X2" s="7" t="s">
        <v>5</v>
      </c>
      <c r="Y2" s="7" t="s">
        <v>226</v>
      </c>
      <c r="Z2" s="9" t="s">
        <v>9</v>
      </c>
      <c r="AA2" s="10" t="s">
        <v>48</v>
      </c>
    </row>
    <row r="3" spans="1:27">
      <c r="B3" s="11" t="s">
        <v>238</v>
      </c>
      <c r="C3" s="11" t="s">
        <v>239</v>
      </c>
      <c r="D3" s="2">
        <v>2.89</v>
      </c>
      <c r="E3" s="12" t="s">
        <v>139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0.19338466157285486</v>
      </c>
      <c r="J3" s="2">
        <v>2.2019752270440667</v>
      </c>
      <c r="K3" s="2">
        <v>4.4858408799140586</v>
      </c>
      <c r="L3" s="75">
        <v>4.3130669791905083</v>
      </c>
      <c r="M3" s="2">
        <v>3.039853505232323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3">
        <v>0.19639123104483397</v>
      </c>
      <c r="T3" s="82">
        <v>1.2141426890285656</v>
      </c>
      <c r="U3" s="15">
        <v>2.3107986944995245E-3</v>
      </c>
      <c r="V3" s="80">
        <v>2.3228129203780753E-2</v>
      </c>
      <c r="W3" s="75">
        <v>0.79833937207218564</v>
      </c>
      <c r="X3" s="13" t="s">
        <v>240</v>
      </c>
      <c r="Y3" s="11" t="s">
        <v>140</v>
      </c>
      <c r="Z3" s="14">
        <v>45900</v>
      </c>
      <c r="AA3" s="16" t="s">
        <v>232</v>
      </c>
    </row>
    <row r="4" spans="1:27">
      <c r="B4" s="11" t="s">
        <v>218</v>
      </c>
      <c r="C4" s="11" t="s">
        <v>219</v>
      </c>
      <c r="D4" s="2">
        <v>18.239999999999998</v>
      </c>
      <c r="E4" s="12" t="s">
        <v>139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0.16718413463304607</v>
      </c>
      <c r="J4" s="2">
        <v>13.238623976404986</v>
      </c>
      <c r="K4" s="2">
        <v>28.508881711889689</v>
      </c>
      <c r="L4" s="75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3">
        <v>0.35631048934895165</v>
      </c>
      <c r="T4" s="82">
        <v>1.4094345614568822</v>
      </c>
      <c r="U4" s="15">
        <v>0.12260820136742831</v>
      </c>
      <c r="V4" s="80">
        <v>0.75207444874659302</v>
      </c>
      <c r="W4" s="75">
        <v>-0.4596348948369734</v>
      </c>
      <c r="X4" s="13" t="s">
        <v>170</v>
      </c>
      <c r="Y4" s="11" t="s">
        <v>140</v>
      </c>
      <c r="Z4" s="14">
        <v>45900</v>
      </c>
      <c r="AA4" s="16" t="s">
        <v>232</v>
      </c>
    </row>
    <row r="5" spans="1:27">
      <c r="B5" s="11" t="s">
        <v>207</v>
      </c>
      <c r="C5" s="11" t="s">
        <v>208</v>
      </c>
      <c r="D5" s="2">
        <v>2.12</v>
      </c>
      <c r="E5" s="12" t="s">
        <v>139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5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3">
        <v>0.49619793491400876</v>
      </c>
      <c r="T5" s="82">
        <v>1.2342258232843137</v>
      </c>
      <c r="U5" s="15">
        <v>0.10863424600069688</v>
      </c>
      <c r="V5" s="80">
        <v>2.2824569622635926</v>
      </c>
      <c r="W5" s="75">
        <v>1.8526470942667237</v>
      </c>
      <c r="X5" s="13" t="s">
        <v>209</v>
      </c>
      <c r="Y5" s="11" t="s">
        <v>140</v>
      </c>
      <c r="Z5" s="14">
        <v>45900</v>
      </c>
      <c r="AA5" s="16" t="s">
        <v>232</v>
      </c>
    </row>
    <row r="6" spans="1:27">
      <c r="B6" s="11" t="s">
        <v>195</v>
      </c>
      <c r="C6" s="11" t="s">
        <v>196</v>
      </c>
      <c r="D6" s="2">
        <v>3.41</v>
      </c>
      <c r="E6" s="12" t="s">
        <v>139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5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3">
        <v>1.2277297326073906</v>
      </c>
      <c r="T6" s="82">
        <v>1.4000052396569989</v>
      </c>
      <c r="U6" s="15">
        <v>0.10646655543311496</v>
      </c>
      <c r="V6" s="80">
        <v>0.9804830051022897</v>
      </c>
      <c r="W6" s="75">
        <v>1.6698226477450393</v>
      </c>
      <c r="X6" s="13" t="s">
        <v>197</v>
      </c>
      <c r="Y6" s="11" t="s">
        <v>140</v>
      </c>
      <c r="Z6" s="14">
        <v>45808</v>
      </c>
      <c r="AA6" s="16" t="s">
        <v>232</v>
      </c>
    </row>
    <row r="7" spans="1:27">
      <c r="B7" s="11" t="s">
        <v>171</v>
      </c>
      <c r="C7" s="11" t="s">
        <v>200</v>
      </c>
      <c r="D7" s="2">
        <v>17.2</v>
      </c>
      <c r="E7" s="12" t="s">
        <v>139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5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3">
        <v>0.73266920679685343</v>
      </c>
      <c r="T7" s="82">
        <v>1.3679448142367923</v>
      </c>
      <c r="U7" s="15">
        <v>7.4171010848313429E-2</v>
      </c>
      <c r="V7" s="80">
        <v>0.60402076709908736</v>
      </c>
      <c r="W7" s="75">
        <v>4.6231847490597664</v>
      </c>
      <c r="X7" s="13" t="s">
        <v>189</v>
      </c>
      <c r="Y7" s="11" t="s">
        <v>140</v>
      </c>
      <c r="Z7" s="14">
        <v>45900</v>
      </c>
      <c r="AA7" s="16" t="s">
        <v>232</v>
      </c>
    </row>
    <row r="8" spans="1:27">
      <c r="B8" s="11" t="s">
        <v>190</v>
      </c>
      <c r="C8" s="11" t="s">
        <v>191</v>
      </c>
      <c r="D8" s="2">
        <v>51.65</v>
      </c>
      <c r="E8" s="12" t="s">
        <v>139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5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3">
        <v>0.62432788948992113</v>
      </c>
      <c r="T8" s="82">
        <v>1.7220755031358876</v>
      </c>
      <c r="U8" s="15">
        <v>9.5579625064196368E-3</v>
      </c>
      <c r="V8" s="80">
        <v>7.3592411949940734E-2</v>
      </c>
      <c r="W8" s="75">
        <v>1.3630035780909358</v>
      </c>
      <c r="X8" s="13" t="s">
        <v>189</v>
      </c>
      <c r="Y8" s="11" t="s">
        <v>140</v>
      </c>
      <c r="Z8" s="14">
        <v>45900</v>
      </c>
      <c r="AA8" s="16" t="s">
        <v>233</v>
      </c>
    </row>
    <row r="9" spans="1:27">
      <c r="B9" s="11" t="s">
        <v>193</v>
      </c>
      <c r="C9" s="11" t="s">
        <v>194</v>
      </c>
      <c r="D9" s="2">
        <v>6.83</v>
      </c>
      <c r="E9" s="12" t="s">
        <v>139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5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3">
        <v>1.0025080757150273</v>
      </c>
      <c r="T9" s="82">
        <v>1.6100746083165727</v>
      </c>
      <c r="U9" s="15">
        <v>0.16360901428944893</v>
      </c>
      <c r="V9" s="80">
        <v>1.1309485990394448</v>
      </c>
      <c r="W9" s="75">
        <v>-3.891145411736276</v>
      </c>
      <c r="X9" s="13" t="s">
        <v>170</v>
      </c>
      <c r="Y9" s="11" t="s">
        <v>140</v>
      </c>
      <c r="Z9" s="14">
        <v>45900</v>
      </c>
      <c r="AA9" s="16" t="s">
        <v>232</v>
      </c>
    </row>
    <row r="10" spans="1:27">
      <c r="B10" s="11" t="s">
        <v>187</v>
      </c>
      <c r="C10" s="11" t="s">
        <v>188</v>
      </c>
      <c r="D10" s="2">
        <v>58.35</v>
      </c>
      <c r="E10" s="12" t="s">
        <v>139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5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3">
        <v>1.5891874956485419</v>
      </c>
      <c r="T10" s="82">
        <v>2.2907496012759174</v>
      </c>
      <c r="U10" s="15">
        <v>0.24768740031897937</v>
      </c>
      <c r="V10" s="80">
        <v>0.73855199466278643</v>
      </c>
      <c r="W10" s="75">
        <v>-2.6747933489227389</v>
      </c>
      <c r="X10" s="16" t="s">
        <v>192</v>
      </c>
      <c r="Y10" s="11" t="s">
        <v>140</v>
      </c>
      <c r="Z10" s="14">
        <v>45808</v>
      </c>
      <c r="AA10" s="16" t="s">
        <v>232</v>
      </c>
    </row>
    <row r="11" spans="1:27">
      <c r="B11" s="11" t="s">
        <v>216</v>
      </c>
      <c r="C11" s="11" t="s">
        <v>225</v>
      </c>
      <c r="D11" s="2">
        <v>27.06</v>
      </c>
      <c r="E11" s="12" t="s">
        <v>214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5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3">
        <v>0.29736257886212014</v>
      </c>
      <c r="T11" s="82">
        <v>1.7899036999493159</v>
      </c>
      <c r="U11" s="15">
        <v>0.40281804358844397</v>
      </c>
      <c r="V11" s="80">
        <v>3.955391512509995</v>
      </c>
      <c r="W11" s="75">
        <v>-26.938493611476797</v>
      </c>
      <c r="X11" s="13" t="s">
        <v>217</v>
      </c>
      <c r="Y11" s="11" t="s">
        <v>140</v>
      </c>
      <c r="Z11" s="14">
        <v>45900</v>
      </c>
      <c r="AA11" s="16" t="s">
        <v>233</v>
      </c>
    </row>
    <row r="12" spans="1:27">
      <c r="B12" s="11" t="s">
        <v>213</v>
      </c>
      <c r="C12" s="11" t="s">
        <v>224</v>
      </c>
      <c r="D12" s="2">
        <v>23.95</v>
      </c>
      <c r="E12" s="12" t="s">
        <v>214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5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3">
        <v>0.32112750263435197</v>
      </c>
      <c r="T12" s="82">
        <v>2.4851905363915479</v>
      </c>
      <c r="U12" s="15">
        <v>0.95241105291674188</v>
      </c>
      <c r="V12" s="80">
        <v>4.0148803043206254</v>
      </c>
      <c r="W12" s="75">
        <v>-38.360607814419353</v>
      </c>
      <c r="X12" s="13" t="s">
        <v>215</v>
      </c>
      <c r="Y12" s="11" t="s">
        <v>140</v>
      </c>
      <c r="Z12" s="14">
        <v>45900</v>
      </c>
      <c r="AA12" s="16" t="s">
        <v>233</v>
      </c>
    </row>
    <row r="13" spans="1:27">
      <c r="B13" s="11" t="s">
        <v>235</v>
      </c>
      <c r="C13" s="11" t="s">
        <v>236</v>
      </c>
      <c r="D13" s="2">
        <v>5.94</v>
      </c>
      <c r="E13" s="12" t="s">
        <v>139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3">
        <v>0.62627525695225639</v>
      </c>
      <c r="T13" s="82">
        <v>1.2121620122817016</v>
      </c>
      <c r="U13" s="15">
        <v>1.1610019159010268E-2</v>
      </c>
      <c r="V13" s="80">
        <v>0.16381589511191816</v>
      </c>
      <c r="W13" s="75">
        <v>3.7980767021052162</v>
      </c>
      <c r="X13" s="13" t="s">
        <v>237</v>
      </c>
      <c r="Y13" s="11" t="s">
        <v>140</v>
      </c>
      <c r="Z13" s="14">
        <v>45900</v>
      </c>
      <c r="AA13" s="16" t="s">
        <v>232</v>
      </c>
    </row>
    <row r="14" spans="1:27">
      <c r="B14" s="11" t="s">
        <v>201</v>
      </c>
      <c r="C14" s="11" t="s">
        <v>202</v>
      </c>
      <c r="D14" s="2">
        <v>15.12</v>
      </c>
      <c r="E14" s="12" t="s">
        <v>139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3">
        <v>0.70652858717908329</v>
      </c>
      <c r="T14" s="82">
        <v>3.2875080906148866</v>
      </c>
      <c r="U14" s="15">
        <v>1.5035598705501618</v>
      </c>
      <c r="V14" s="80">
        <v>4.1998196571663646</v>
      </c>
      <c r="W14" s="75">
        <v>-12.277968811948389</v>
      </c>
      <c r="X14" s="13" t="s">
        <v>189</v>
      </c>
      <c r="Y14" s="11" t="s">
        <v>203</v>
      </c>
      <c r="Z14" s="14">
        <v>45900</v>
      </c>
      <c r="AA14" s="16" t="s">
        <v>233</v>
      </c>
    </row>
    <row r="15" spans="1:27">
      <c r="B15" s="11" t="s">
        <v>141</v>
      </c>
      <c r="C15" s="11" t="s">
        <v>184</v>
      </c>
      <c r="D15" s="2">
        <v>8.6999999999999993</v>
      </c>
      <c r="E15" s="12" t="s">
        <v>139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3">
        <v>4.8426484563194767E-2</v>
      </c>
      <c r="T15" s="82">
        <v>1.0831144117242246</v>
      </c>
      <c r="U15" s="15">
        <v>1.8509098960546238E-2</v>
      </c>
      <c r="V15" s="80">
        <v>1.1933697905849452</v>
      </c>
      <c r="W15" s="75">
        <v>11.511512740854835</v>
      </c>
      <c r="X15" s="13" t="s">
        <v>186</v>
      </c>
      <c r="Y15" s="11" t="s">
        <v>185</v>
      </c>
      <c r="Z15" s="14">
        <v>45900</v>
      </c>
      <c r="AA15" s="16" t="s">
        <v>232</v>
      </c>
    </row>
    <row r="16" spans="1:27">
      <c r="B16" s="11" t="s">
        <v>198</v>
      </c>
      <c r="C16" s="11" t="s">
        <v>199</v>
      </c>
      <c r="D16" s="2">
        <v>20.95</v>
      </c>
      <c r="E16" s="12" t="s">
        <v>139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3">
        <v>0.71055479556740742</v>
      </c>
      <c r="T16" s="82">
        <v>1.3101832741522048</v>
      </c>
      <c r="U16" s="15">
        <v>0.15818859882129041</v>
      </c>
      <c r="V16" s="80">
        <v>1.4550387206421544</v>
      </c>
      <c r="W16" s="75">
        <v>5.8696003638854428</v>
      </c>
      <c r="X16" s="13" t="s">
        <v>197</v>
      </c>
      <c r="Y16" s="11" t="s">
        <v>140</v>
      </c>
      <c r="Z16" s="14">
        <v>45808</v>
      </c>
      <c r="AA16" s="16" t="s">
        <v>232</v>
      </c>
    </row>
    <row r="17" spans="2:27">
      <c r="B17" s="11" t="s">
        <v>210</v>
      </c>
      <c r="C17" s="11" t="s">
        <v>211</v>
      </c>
      <c r="D17" s="2">
        <v>2.72</v>
      </c>
      <c r="E17" s="12" t="s">
        <v>139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3">
        <v>0.42808280043619051</v>
      </c>
      <c r="T17" s="82">
        <v>1.2035176992971439</v>
      </c>
      <c r="U17" s="15">
        <v>1.0763175939415467E-2</v>
      </c>
      <c r="V17" s="80">
        <v>0.29882156160837919</v>
      </c>
      <c r="W17" s="75">
        <v>1.9176660231063327</v>
      </c>
      <c r="X17" s="13" t="s">
        <v>212</v>
      </c>
      <c r="Y17" s="11" t="s">
        <v>206</v>
      </c>
      <c r="Z17" s="14">
        <v>45900</v>
      </c>
      <c r="AA17" s="11" t="s">
        <v>232</v>
      </c>
    </row>
    <row r="18" spans="2:27">
      <c r="B18" s="11" t="s">
        <v>181</v>
      </c>
      <c r="C18" s="11" t="s">
        <v>204</v>
      </c>
      <c r="D18" s="2">
        <v>1.83</v>
      </c>
      <c r="E18" s="12" t="s">
        <v>139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3">
        <v>0.11998888979909481</v>
      </c>
      <c r="T18" s="82">
        <v>1.0970574812713703</v>
      </c>
      <c r="U18" s="15">
        <v>1.4790654865358754E-2</v>
      </c>
      <c r="V18" s="80">
        <v>3.4432102574884196</v>
      </c>
      <c r="W18" s="75">
        <v>2.0258239687205015</v>
      </c>
      <c r="X18" s="13" t="s">
        <v>205</v>
      </c>
      <c r="Y18" s="11" t="s">
        <v>206</v>
      </c>
      <c r="Z18" s="14">
        <v>45900</v>
      </c>
      <c r="AA18" s="11" t="s">
        <v>232</v>
      </c>
    </row>
    <row r="19" spans="2:27">
      <c r="B19" s="11" t="s">
        <v>245</v>
      </c>
      <c r="C19" s="11" t="s">
        <v>246</v>
      </c>
      <c r="D19" s="2">
        <v>50.5</v>
      </c>
      <c r="E19" s="12" t="s">
        <v>139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3">
        <v>0.51682300464832642</v>
      </c>
      <c r="T19" s="82">
        <v>1.9346293526540752</v>
      </c>
      <c r="U19" s="15">
        <v>0.19606600851240996</v>
      </c>
      <c r="V19" s="80">
        <v>0.84886197155458731</v>
      </c>
      <c r="W19" s="75">
        <v>-6.0168078063871082</v>
      </c>
      <c r="X19" s="13" t="s">
        <v>212</v>
      </c>
      <c r="Y19" s="11" t="s">
        <v>140</v>
      </c>
      <c r="Z19" s="14">
        <v>45900</v>
      </c>
      <c r="AA19" s="11" t="s">
        <v>232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132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53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60</v>
      </c>
      <c r="C16" s="37">
        <f>MAX(Portfolio_Mgmt!C35,C10:C15)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D25" sqref="D25"/>
    </sheetView>
  </sheetViews>
  <sheetFormatPr defaultColWidth="9" defaultRowHeight="12.75"/>
  <cols>
    <col min="1" max="1" width="2.6640625" style="54" customWidth="1"/>
    <col min="2" max="2" width="17.33203125" style="54" bestFit="1" customWidth="1"/>
    <col min="3" max="3" width="13.796875" style="54" bestFit="1" customWidth="1"/>
    <col min="4" max="4" width="9" style="54"/>
    <col min="5" max="6" width="15.6640625" style="54" customWidth="1"/>
    <col min="7" max="8" width="10" style="54" customWidth="1"/>
    <col min="9" max="16384" width="9" style="54"/>
  </cols>
  <sheetData>
    <row r="1" spans="1:12" ht="13.15">
      <c r="A1" s="52"/>
      <c r="B1" s="53" t="s">
        <v>162</v>
      </c>
    </row>
    <row r="2" spans="1:12" ht="29.75" customHeight="1">
      <c r="B2" s="55" t="s">
        <v>2</v>
      </c>
      <c r="C2" s="55" t="s">
        <v>165</v>
      </c>
      <c r="D2" s="55" t="s">
        <v>164</v>
      </c>
      <c r="E2" s="55" t="s">
        <v>163</v>
      </c>
      <c r="F2" s="55" t="s">
        <v>168</v>
      </c>
      <c r="G2" s="55" t="s">
        <v>175</v>
      </c>
      <c r="H2" s="55" t="s">
        <v>155</v>
      </c>
      <c r="I2" s="55" t="s">
        <v>179</v>
      </c>
      <c r="J2" s="55" t="s">
        <v>241</v>
      </c>
      <c r="K2" s="55" t="s">
        <v>242</v>
      </c>
      <c r="L2" s="55" t="s">
        <v>243</v>
      </c>
    </row>
    <row r="3" spans="1:12">
      <c r="B3" s="66" t="s">
        <v>26</v>
      </c>
      <c r="C3" s="64" t="s">
        <v>167</v>
      </c>
      <c r="D3" s="63" t="s">
        <v>166</v>
      </c>
      <c r="E3" s="65" t="s">
        <v>167</v>
      </c>
      <c r="F3" s="60">
        <f>118725.1+291336.37</f>
        <v>410061.47</v>
      </c>
      <c r="G3" s="62">
        <f>F3/$F$10</f>
        <v>0.42979712204241843</v>
      </c>
      <c r="H3" s="79">
        <f>Portfolio_Mgmt!E61</f>
        <v>0.5</v>
      </c>
      <c r="I3" s="84" t="s">
        <v>244</v>
      </c>
      <c r="J3" s="84" t="s">
        <v>244</v>
      </c>
      <c r="K3" s="84" t="s">
        <v>244</v>
      </c>
      <c r="L3" s="84" t="s">
        <v>244</v>
      </c>
    </row>
    <row r="4" spans="1:12">
      <c r="B4" s="67" t="s">
        <v>193</v>
      </c>
      <c r="C4" s="64">
        <f>VLOOKUP(B4,Opportunities!B$3:E$30,3,FALSE)</f>
        <v>6.83</v>
      </c>
      <c r="D4" s="63" t="str">
        <f>VLOOKUP(B4,Opportunities!B$3:E$30,4,FALSE)</f>
        <v>HKD</v>
      </c>
      <c r="E4" s="60">
        <v>10000</v>
      </c>
      <c r="F4" s="65">
        <f>E4*C4</f>
        <v>68300</v>
      </c>
      <c r="G4" s="62">
        <f>F4/$F$10</f>
        <v>7.1587177979675051E-2</v>
      </c>
      <c r="H4" s="62">
        <f>VLOOKUP(B4,Opportunities!B$3:I$30,8,FALSE)</f>
        <v>0</v>
      </c>
      <c r="I4" s="85">
        <f>VLOOKUP(B4,Opportunities!B$3:N$30,12,FALSE)</f>
        <v>5.7663680471223877</v>
      </c>
      <c r="J4" s="85">
        <f>VLOOKUP(B4,Opportunities!B$3:N$30,9,FALSE)</f>
        <v>4.1529124986149366</v>
      </c>
      <c r="K4" s="85">
        <f>VLOOKUP(B4,Opportunities!B$3:N$30,11,FALSE)</f>
        <v>8.2247389950012426</v>
      </c>
      <c r="L4" s="85">
        <f>VLOOKUP(B4,Opportunities!B$3:N$30,13,FALSE)</f>
        <v>7.3621366423823531</v>
      </c>
    </row>
    <row r="5" spans="1:12">
      <c r="B5" s="67" t="s">
        <v>171</v>
      </c>
      <c r="C5" s="64">
        <f>VLOOKUP(B5,Opportunities!B$3:E$30,3,FALSE)</f>
        <v>17.2</v>
      </c>
      <c r="D5" s="63" t="str">
        <f>VLOOKUP(B5,Opportunities!B$3:E$30,4,FALSE)</f>
        <v>HKD</v>
      </c>
      <c r="E5" s="60">
        <v>9000</v>
      </c>
      <c r="F5" s="65">
        <f>C5*E5</f>
        <v>154800</v>
      </c>
      <c r="G5" s="62">
        <f>F5/$F$10</f>
        <v>0.16225029504031768</v>
      </c>
      <c r="H5" s="62">
        <f>VLOOKUP(B5,Opportunities!B$3:I$30,8,FALSE)</f>
        <v>0</v>
      </c>
      <c r="I5" s="85">
        <f>VLOOKUP(B5,Opportunities!B$3:N$30,12,FALSE)</f>
        <v>15.222401719704914</v>
      </c>
      <c r="J5" s="85">
        <f>VLOOKUP(B5,Opportunities!B$3:N$30,9,FALSE)</f>
        <v>10.843215893000766</v>
      </c>
      <c r="K5" s="85">
        <f>VLOOKUP(B5,Opportunities!B$3:N$30,11,FALSE)</f>
        <v>21.92729017683217</v>
      </c>
      <c r="L5" s="85">
        <f>VLOOKUP(B5,Opportunities!B$3:N$30,13,FALSE)</f>
        <v>19.571262965369332</v>
      </c>
    </row>
    <row r="6" spans="1:12">
      <c r="B6" s="67" t="s">
        <v>218</v>
      </c>
      <c r="C6" s="64">
        <f>VLOOKUP(B6,Opportunities!B$3:E$30,3,FALSE)</f>
        <v>18.239999999999998</v>
      </c>
      <c r="D6" s="63" t="str">
        <f>VLOOKUP(B6,Opportunities!B$3:E$30,4,FALSE)</f>
        <v>HKD</v>
      </c>
      <c r="E6" s="60">
        <v>8000</v>
      </c>
      <c r="F6" s="65">
        <f>C6*E6</f>
        <v>145920</v>
      </c>
      <c r="G6" s="62">
        <f>F6/$F$10</f>
        <v>0.152942913774439</v>
      </c>
      <c r="H6" s="62">
        <f>VLOOKUP(B6,Opportunities!B$3:I$30,8,FALSE)</f>
        <v>0.16718413463304607</v>
      </c>
      <c r="I6" s="85">
        <f>VLOOKUP(B6,Opportunities!B$3:N$30,12,FALSE)</f>
        <v>18.384349198892416</v>
      </c>
      <c r="J6" s="85">
        <f>VLOOKUP(B6,Opportunities!B$3:N$30,9,FALSE)</f>
        <v>13.238623976404986</v>
      </c>
      <c r="K6" s="85">
        <f>VLOOKUP(B6,Opportunities!B$3:N$30,11,FALSE)</f>
        <v>26.2251880911233</v>
      </c>
      <c r="L6" s="85">
        <f>VLOOKUP(B6,Opportunities!B$3:N$30,13,FALSE)</f>
        <v>23.47391719890927</v>
      </c>
    </row>
    <row r="7" spans="1:12">
      <c r="B7" s="67" t="s">
        <v>235</v>
      </c>
      <c r="C7" s="64">
        <f>VLOOKUP(B7,Opportunities!B$3:E$30,3,FALSE)</f>
        <v>5.94</v>
      </c>
      <c r="D7" s="63" t="str">
        <f>VLOOKUP(B7,Opportunities!B$3:E$30,4,FALSE)</f>
        <v>HKD</v>
      </c>
      <c r="E7" s="60">
        <v>10000</v>
      </c>
      <c r="F7" s="65">
        <f>C7*E7</f>
        <v>59400.000000000007</v>
      </c>
      <c r="G7" s="62">
        <f t="shared" ref="G7" si="0">F7/$F$10</f>
        <v>6.2258834143377725E-2</v>
      </c>
      <c r="H7" s="62">
        <f>VLOOKUP(B7,Opportunities!B$3:I$30,8,FALSE)</f>
        <v>0</v>
      </c>
      <c r="I7" s="85">
        <f>VLOOKUP(B7,Opportunities!B$3:N$30,12,FALSE)</f>
        <v>4.8197379854720408</v>
      </c>
      <c r="J7" s="85">
        <f>VLOOKUP(B7,Opportunities!B$3:N$30,9,FALSE)</f>
        <v>3.4769479145113666</v>
      </c>
      <c r="K7" s="85">
        <f>VLOOKUP(B7,Opportunities!B$3:N$30,11,FALSE)</f>
        <v>6.8641356814360206</v>
      </c>
      <c r="L7" s="85">
        <f>VLOOKUP(B7,Opportunities!B$3:N$30,13,FALSE)</f>
        <v>6.1469536878205542</v>
      </c>
    </row>
    <row r="8" spans="1:12">
      <c r="B8" s="67" t="s">
        <v>238</v>
      </c>
      <c r="C8" s="64">
        <f>VLOOKUP(B8,Opportunities!B$3:E$30,3,FALSE)</f>
        <v>2.89</v>
      </c>
      <c r="D8" s="63" t="str">
        <f>VLOOKUP(B8,Opportunities!B$3:E$30,4,FALSE)</f>
        <v>HKD</v>
      </c>
      <c r="E8" s="60">
        <v>40000</v>
      </c>
      <c r="F8" s="65">
        <f>C8*E8</f>
        <v>115600</v>
      </c>
      <c r="G8" s="62">
        <f t="shared" ref="G8" si="1">F8/$F$10</f>
        <v>0.12116365701977212</v>
      </c>
      <c r="H8" s="62">
        <f>VLOOKUP(B8,Opportunities!B$3:I$30,8,FALSE)</f>
        <v>0.19338466157285486</v>
      </c>
      <c r="I8" s="85">
        <f>VLOOKUP(B8,Opportunities!B$3:N$30,12,FALSE)</f>
        <v>3.039853505232323</v>
      </c>
      <c r="J8" s="85">
        <f>VLOOKUP(B8,Opportunities!B$3:N$30,9,FALSE)</f>
        <v>2.2019752270440667</v>
      </c>
      <c r="K8" s="85">
        <f>VLOOKUP(B8,Opportunities!B$3:N$30,11,FALSE)</f>
        <v>4.3130669791905083</v>
      </c>
      <c r="L8" s="85">
        <f>VLOOKUP(B8,Opportunities!B$3:N$30,13,FALSE)</f>
        <v>3.8666759160925035</v>
      </c>
    </row>
    <row r="9" spans="1:12">
      <c r="B9" s="56"/>
      <c r="C9" s="59"/>
      <c r="D9" s="56"/>
      <c r="H9" s="78"/>
    </row>
    <row r="10" spans="1:12" ht="13.15">
      <c r="B10" s="68"/>
      <c r="C10" s="69"/>
      <c r="D10" s="68"/>
      <c r="E10" s="70" t="s">
        <v>174</v>
      </c>
      <c r="F10" s="70">
        <f>SUM(F3:F8)</f>
        <v>954081.47</v>
      </c>
      <c r="G10" s="71">
        <f>SUM(G3:G8)</f>
        <v>1</v>
      </c>
      <c r="H10" s="77">
        <f>SUM(H3:H8)</f>
        <v>0.86056879620590088</v>
      </c>
      <c r="I10" s="86" t="s">
        <v>244</v>
      </c>
      <c r="J10" s="86" t="s">
        <v>244</v>
      </c>
      <c r="K10" s="86" t="s">
        <v>244</v>
      </c>
      <c r="L10" s="86" t="s">
        <v>244</v>
      </c>
    </row>
    <row r="11" spans="1:12">
      <c r="B11" s="56"/>
      <c r="C11" s="59"/>
      <c r="D11" s="56"/>
      <c r="E11" s="60"/>
      <c r="F11" s="60"/>
    </row>
    <row r="12" spans="1:12" ht="13.15">
      <c r="A12" s="52"/>
      <c r="B12" s="53" t="s">
        <v>172</v>
      </c>
    </row>
    <row r="13" spans="1:12">
      <c r="B13" s="67" t="s">
        <v>238</v>
      </c>
      <c r="C13" s="64">
        <f>VLOOKUP(B13,Opportunities!B$3:E$30,3,FALSE)</f>
        <v>2.89</v>
      </c>
      <c r="D13" s="63" t="str">
        <f>VLOOKUP(B13,Opportunities!B$3:E$30,4,FALSE)</f>
        <v>HKD</v>
      </c>
      <c r="E13" s="60">
        <v>0</v>
      </c>
      <c r="F13" s="65">
        <f>-C13*E13</f>
        <v>0</v>
      </c>
      <c r="G13" s="62">
        <f>-F13/$F$10</f>
        <v>0</v>
      </c>
      <c r="H13" s="62">
        <f>VLOOKUP(B13,Opportunities!B$3:I$30,8,FALSE)</f>
        <v>0.19338466157285486</v>
      </c>
      <c r="I13" s="85">
        <f>VLOOKUP(B13,Opportunities!B$3:N$30,12,FALSE)</f>
        <v>3.039853505232323</v>
      </c>
      <c r="J13" s="85">
        <f>VLOOKUP(B13,Opportunities!B$3:N$30,9,FALSE)</f>
        <v>2.2019752270440667</v>
      </c>
      <c r="K13" s="85">
        <f>VLOOKUP(B13,Opportunities!B$3:N$30,11,FALSE)</f>
        <v>4.3130669791905083</v>
      </c>
      <c r="L13" s="85">
        <f>VLOOKUP(B13,Opportunities!B$3:N$30,13,FALSE)</f>
        <v>3.8666759160925035</v>
      </c>
    </row>
    <row r="14" spans="1:12">
      <c r="B14" s="67" t="s">
        <v>193</v>
      </c>
      <c r="C14" s="64">
        <f>VLOOKUP(B14,Opportunities!B$3:E$30,3,FALSE)</f>
        <v>6.83</v>
      </c>
      <c r="D14" s="63" t="str">
        <f>VLOOKUP(B14,Opportunities!B$3:E$30,4,FALSE)</f>
        <v>HKD</v>
      </c>
      <c r="E14" s="60">
        <v>0</v>
      </c>
      <c r="F14" s="65">
        <f>-C14*E14</f>
        <v>0</v>
      </c>
      <c r="G14" s="62">
        <f>-F14/$F$10</f>
        <v>0</v>
      </c>
      <c r="H14" s="62">
        <f>VLOOKUP(B14,Opportunities!B$3:I$30,8,FALSE)</f>
        <v>0</v>
      </c>
      <c r="I14" s="85">
        <f>VLOOKUP(B14,Opportunities!B$3:N$30,12,FALSE)</f>
        <v>5.7663680471223877</v>
      </c>
      <c r="J14" s="85">
        <f>VLOOKUP(B14,Opportunities!B$3:N$30,9,FALSE)</f>
        <v>4.1529124986149366</v>
      </c>
      <c r="K14" s="85">
        <f>VLOOKUP(B14,Opportunities!B$3:N$30,11,FALSE)</f>
        <v>8.2247389950012426</v>
      </c>
      <c r="L14" s="85">
        <f>VLOOKUP(B14,Opportunities!B$3:N$30,13,FALSE)</f>
        <v>7.3621366423823531</v>
      </c>
    </row>
    <row r="15" spans="1:12">
      <c r="B15" s="67" t="s">
        <v>235</v>
      </c>
      <c r="C15" s="64">
        <f>VLOOKUP(B15,Opportunities!B$3:E$30,3,FALSE)</f>
        <v>5.94</v>
      </c>
      <c r="D15" s="63" t="str">
        <f>VLOOKUP(B15,Opportunities!B$3:E$30,4,FALSE)</f>
        <v>HKD</v>
      </c>
      <c r="E15" s="60">
        <v>0</v>
      </c>
      <c r="F15" s="65">
        <f>-C15*E15</f>
        <v>0</v>
      </c>
      <c r="G15" s="62">
        <f>-F15/$F$10</f>
        <v>0</v>
      </c>
      <c r="H15" s="62">
        <f>VLOOKUP(B15,Opportunities!B$3:I$30,8,FALSE)</f>
        <v>0</v>
      </c>
      <c r="I15" s="85">
        <f>VLOOKUP(B15,Opportunities!B$3:N$30,12,FALSE)</f>
        <v>4.8197379854720408</v>
      </c>
      <c r="J15" s="85">
        <f>VLOOKUP(B15,Opportunities!B$3:N$30,9,FALSE)</f>
        <v>3.4769479145113666</v>
      </c>
      <c r="K15" s="85">
        <f>VLOOKUP(B15,Opportunities!B$3:N$30,11,FALSE)</f>
        <v>6.8641356814360206</v>
      </c>
      <c r="L15" s="85">
        <f>VLOOKUP(B15,Opportunities!B$3:N$30,13,FALSE)</f>
        <v>6.1469536878205542</v>
      </c>
    </row>
    <row r="16" spans="1:12">
      <c r="B16" s="67" t="s">
        <v>218</v>
      </c>
      <c r="C16" s="64">
        <f>VLOOKUP(B16,Opportunities!B$3:E$30,3,FALSE)</f>
        <v>18.239999999999998</v>
      </c>
      <c r="D16" s="63" t="str">
        <f>VLOOKUP(B16,Opportunities!B$3:E$30,4,FALSE)</f>
        <v>HKD</v>
      </c>
      <c r="E16" s="60">
        <v>0</v>
      </c>
      <c r="F16" s="65">
        <f>-C16*E16</f>
        <v>0</v>
      </c>
      <c r="G16" s="62">
        <f>-F16/$F$10</f>
        <v>0</v>
      </c>
      <c r="H16" s="62">
        <f>VLOOKUP(B16,Opportunities!B$3:I$30,8,FALSE)</f>
        <v>0.16718413463304607</v>
      </c>
      <c r="I16" s="85">
        <f>VLOOKUP(B16,Opportunities!B$3:N$30,12,FALSE)</f>
        <v>18.384349198892416</v>
      </c>
      <c r="J16" s="85">
        <f>VLOOKUP(B16,Opportunities!B$3:N$30,9,FALSE)</f>
        <v>13.238623976404986</v>
      </c>
      <c r="K16" s="85">
        <f>VLOOKUP(B16,Opportunities!B$3:N$30,11,FALSE)</f>
        <v>26.2251880911233</v>
      </c>
      <c r="L16" s="85">
        <f>VLOOKUP(B16,Opportunities!B$3:N$30,13,FALSE)</f>
        <v>23.47391719890927</v>
      </c>
    </row>
    <row r="17" spans="1:12">
      <c r="G17" s="76"/>
      <c r="H17" s="76"/>
    </row>
    <row r="18" spans="1:12" ht="13.15">
      <c r="B18" s="72" t="s">
        <v>173</v>
      </c>
      <c r="C18" s="73" t="s">
        <v>167</v>
      </c>
      <c r="D18" s="74" t="s">
        <v>139</v>
      </c>
      <c r="E18" s="73" t="s">
        <v>167</v>
      </c>
      <c r="F18" s="70">
        <f>F3+SUM(F13:F16)</f>
        <v>410061.47</v>
      </c>
      <c r="G18" s="77">
        <f t="shared" ref="G18" si="2">F18/$F$10</f>
        <v>0.42979712204241843</v>
      </c>
      <c r="H18" s="77">
        <f>Portfolio_Mgmt!E61</f>
        <v>0.5</v>
      </c>
      <c r="I18" s="86" t="s">
        <v>244</v>
      </c>
      <c r="J18" s="86" t="s">
        <v>244</v>
      </c>
      <c r="K18" s="86" t="s">
        <v>244</v>
      </c>
      <c r="L18" s="86" t="s">
        <v>244</v>
      </c>
    </row>
    <row r="20" spans="1:12" ht="13.15">
      <c r="A20" s="52"/>
      <c r="B20" s="53" t="s">
        <v>247</v>
      </c>
      <c r="C20" s="59"/>
      <c r="D20" s="56"/>
      <c r="E20" s="60"/>
      <c r="F20" s="60"/>
    </row>
    <row r="21" spans="1:12" ht="13.15">
      <c r="C21" s="88" t="s">
        <v>248</v>
      </c>
      <c r="D21" s="88" t="s">
        <v>251</v>
      </c>
      <c r="E21" s="88" t="s">
        <v>252</v>
      </c>
    </row>
    <row r="22" spans="1:12" ht="14.25">
      <c r="B22" s="87" t="s">
        <v>249</v>
      </c>
      <c r="C22" s="92">
        <v>200000</v>
      </c>
      <c r="D22" s="93">
        <v>7.8629699999999998</v>
      </c>
      <c r="E22" s="90">
        <f>C22/D22</f>
        <v>25435.681428264383</v>
      </c>
    </row>
    <row r="23" spans="1:12" ht="14.25">
      <c r="B23" s="87" t="s">
        <v>250</v>
      </c>
      <c r="C23" s="90">
        <f>E22</f>
        <v>25435.681428264383</v>
      </c>
      <c r="D23" s="93">
        <v>7.8387000000000002</v>
      </c>
      <c r="E23" s="89">
        <f>C23*D23</f>
        <v>199382.67601173601</v>
      </c>
    </row>
    <row r="24" spans="1:12" ht="14.25">
      <c r="C24"/>
      <c r="D24"/>
      <c r="E24"/>
    </row>
    <row r="25" spans="1:12" ht="14.25">
      <c r="C25"/>
      <c r="D25" s="91" t="s">
        <v>253</v>
      </c>
      <c r="E25" s="89">
        <f>C22-E23</f>
        <v>617.32398826399003</v>
      </c>
    </row>
    <row r="30" spans="1:12">
      <c r="B30" s="56"/>
      <c r="C30" s="59"/>
      <c r="D30" s="56"/>
      <c r="E30" s="60"/>
      <c r="F30" s="60"/>
    </row>
    <row r="31" spans="1:12">
      <c r="B31" s="56"/>
      <c r="C31" s="59"/>
      <c r="D31" s="56"/>
      <c r="E31" s="60"/>
      <c r="F31" s="60"/>
    </row>
    <row r="32" spans="1:12">
      <c r="B32" s="56"/>
      <c r="C32" s="59"/>
      <c r="D32" s="56"/>
      <c r="E32" s="60"/>
      <c r="F32" s="60"/>
    </row>
    <row r="33" spans="2:6">
      <c r="B33" s="56"/>
      <c r="C33" s="59"/>
      <c r="D33" s="56"/>
      <c r="E33" s="60"/>
      <c r="F33" s="60"/>
    </row>
    <row r="34" spans="2:6">
      <c r="B34" s="56"/>
      <c r="C34" s="59"/>
      <c r="D34" s="56"/>
      <c r="E34" s="60"/>
      <c r="F34" s="60"/>
    </row>
    <row r="35" spans="2:6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89</v>
      </c>
    </row>
    <row r="2" spans="1:4">
      <c r="A2" s="5"/>
      <c r="B2" s="6" t="s">
        <v>90</v>
      </c>
    </row>
    <row r="3" spans="1:4">
      <c r="B3" s="110" t="s">
        <v>91</v>
      </c>
      <c r="C3" s="110"/>
      <c r="D3" s="110"/>
    </row>
    <row r="5" spans="1:4">
      <c r="B5" s="111" t="s">
        <v>93</v>
      </c>
      <c r="C5" s="112"/>
      <c r="D5" s="112"/>
    </row>
    <row r="6" spans="1:4">
      <c r="B6" s="111" t="s">
        <v>94</v>
      </c>
      <c r="C6" s="112"/>
      <c r="D6" s="112"/>
    </row>
    <row r="8" spans="1:4">
      <c r="B8" s="1" t="s">
        <v>92</v>
      </c>
    </row>
    <row r="10" spans="1:4">
      <c r="A10" s="5"/>
      <c r="B10" s="6" t="s">
        <v>95</v>
      </c>
    </row>
    <row r="11" spans="1:4">
      <c r="B11" s="110" t="s">
        <v>96</v>
      </c>
      <c r="C11" s="110"/>
      <c r="D11" s="110"/>
    </row>
    <row r="12" spans="1:4">
      <c r="B12" s="110" t="s">
        <v>97</v>
      </c>
      <c r="C12" s="110"/>
      <c r="D12" s="110"/>
    </row>
    <row r="14" spans="1:4">
      <c r="B14" s="23" t="s">
        <v>129</v>
      </c>
    </row>
    <row r="16" spans="1:4" ht="12.4">
      <c r="B16" s="30" t="s">
        <v>106</v>
      </c>
      <c r="C16" s="30" t="s">
        <v>107</v>
      </c>
    </row>
    <row r="17" spans="1:4">
      <c r="B17" s="26" t="s">
        <v>98</v>
      </c>
      <c r="C17" s="26" t="s">
        <v>102</v>
      </c>
    </row>
    <row r="18" spans="1:4">
      <c r="B18" s="26" t="s">
        <v>99</v>
      </c>
      <c r="C18" s="26" t="s">
        <v>103</v>
      </c>
    </row>
    <row r="19" spans="1:4">
      <c r="B19" s="26" t="s">
        <v>100</v>
      </c>
      <c r="C19" s="26" t="s">
        <v>104</v>
      </c>
    </row>
    <row r="20" spans="1:4">
      <c r="B20" s="26" t="s">
        <v>101</v>
      </c>
      <c r="C20" s="26" t="s">
        <v>105</v>
      </c>
    </row>
    <row r="21" spans="1:4">
      <c r="B21" s="26" t="s">
        <v>121</v>
      </c>
      <c r="C21" s="26" t="s">
        <v>122</v>
      </c>
    </row>
    <row r="22" spans="1:4">
      <c r="B22" s="26" t="s">
        <v>123</v>
      </c>
      <c r="C22" s="26" t="s">
        <v>124</v>
      </c>
    </row>
    <row r="23" spans="1:4">
      <c r="B23" s="26" t="s">
        <v>125</v>
      </c>
      <c r="C23" s="26" t="s">
        <v>126</v>
      </c>
    </row>
    <row r="24" spans="1:4">
      <c r="B24" s="26" t="s">
        <v>130</v>
      </c>
      <c r="C24" s="26" t="s">
        <v>131</v>
      </c>
    </row>
    <row r="25" spans="1:4">
      <c r="B25" s="26" t="s">
        <v>127</v>
      </c>
      <c r="C25" s="26" t="s">
        <v>128</v>
      </c>
    </row>
    <row r="27" spans="1:4">
      <c r="A27" s="5"/>
      <c r="B27" s="6" t="s">
        <v>108</v>
      </c>
    </row>
    <row r="28" spans="1:4">
      <c r="B28" s="110" t="s">
        <v>109</v>
      </c>
      <c r="C28" s="110"/>
      <c r="D28" s="110"/>
    </row>
    <row r="29" spans="1:4">
      <c r="B29" s="110" t="s">
        <v>110</v>
      </c>
      <c r="C29" s="110"/>
      <c r="D29" s="110"/>
    </row>
    <row r="31" spans="1:4">
      <c r="A31" s="5"/>
      <c r="B31" s="6" t="s">
        <v>111</v>
      </c>
    </row>
    <row r="32" spans="1:4">
      <c r="A32" s="28" t="s">
        <v>61</v>
      </c>
      <c r="B32" s="23" t="s">
        <v>112</v>
      </c>
    </row>
    <row r="33" spans="1:2">
      <c r="B33" s="1" t="s">
        <v>113</v>
      </c>
    </row>
    <row r="35" spans="1:2">
      <c r="A35" s="28" t="s">
        <v>115</v>
      </c>
      <c r="B35" s="23" t="s">
        <v>114</v>
      </c>
    </row>
    <row r="36" spans="1:2">
      <c r="B36" s="1" t="s">
        <v>116</v>
      </c>
    </row>
    <row r="38" spans="1:2">
      <c r="A38" s="5"/>
      <c r="B38" s="6" t="s">
        <v>117</v>
      </c>
    </row>
    <row r="39" spans="1:2">
      <c r="B39" s="24" t="s">
        <v>118</v>
      </c>
    </row>
    <row r="40" spans="1:2">
      <c r="B40" s="1" t="s">
        <v>119</v>
      </c>
    </row>
    <row r="41" spans="1:2">
      <c r="B41" s="1" t="s">
        <v>120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2025-07-04T17:10:15Z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