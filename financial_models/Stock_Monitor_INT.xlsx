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5C3F063-38C8-4CE1-8FC7-BE4B9B7B81C7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<sst xmlns="http://schemas.openxmlformats.org/spreadsheetml/2006/main" count="491" uniqueCount="391">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</sst>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4" sqref="D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10.1</v>
      </c>
      <c r="E3" s="12" t="s">
        <v>133</v>
      </c>
      <c r="F3" s="15">
        <v>0.27711735478360239</v>
      </c>
      <c r="G3" s="15">
        <f>F3 - Portfolio_Mgmt!$C$10</f>
        <v>0.15971735478360238</v>
      </c>
      <c r="H3" s="15">
        <f>F3 - Portfolio_Mgmt!$C$11</f>
        <v>0.24261735478360238</v>
      </c>
      <c r="I3" s="15">
        <v>0.13996033248942072</v>
      </c>
      <c r="J3" s="2">
        <v>9.8665012772797382</v>
      </c>
      <c r="K3" s="2">
        <v>18.964843342954595</v>
      </c>
      <c r="L3" s="71">
        <v>16.981826354716631</v>
      </c>
      <c r="M3" s="2">
        <v>12.250205219395554</v>
      </c>
      <c r="N3" s="2">
        <v>15.079087172834877</v>
      </c>
      <c r="O3" s="4">
        <v>9.9995048070979961E-2</v>
      </c>
      <c r="P3" s="4">
        <v>6.002586E-2</v>
      </c>
      <c r="Q3" s="4">
        <v>0.10095831578659563</v>
      </c>
      <c r="R3" s="4">
        <v>0.12639847453447306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1.7796365770530167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</v>
      </c>
      <c r="E4" s="12" t="s">
        <v>133</v>
      </c>
      <c r="F4" s="15">
        <v>0.25739894055423113</v>
      </c>
      <c r="G4" s="15">
        <f>F4 - Portfolio_Mgmt!$C$10</f>
        <v>0.13999894055423112</v>
      </c>
      <c r="H4" s="15">
        <f>F4 - Portfolio_Mgmt!$C$11</f>
        <v>0.22289894055423112</v>
      </c>
      <c r="I4" s="15">
        <v>0.12697566637365043</v>
      </c>
      <c r="J4" s="2">
        <v>3.4960584861371147</v>
      </c>
      <c r="K4" s="2">
        <v>6.6263128138231009</v>
      </c>
      <c r="L4" s="71">
        <v>6.0029800241845681</v>
      </c>
      <c r="M4" s="2">
        <v>4.3362212599070515</v>
      </c>
      <c r="N4" s="2">
        <v>5.3328460125268338</v>
      </c>
      <c r="O4" s="4">
        <v>0.11798418699323582</v>
      </c>
      <c r="P4" s="4">
        <v>6.3631578947368414E-2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1.2959931543468748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379</v>
      </c>
      <c r="C5" s="11" t="s">
        <v>380</v>
      </c>
      <c r="D5" s="2">
        <v>100</v>
      </c>
      <c r="E5" s="12" t="s">
        <v>133</v>
      </c>
      <c r="F5" s="15">
        <v>0.25152402246872663</v>
      </c>
      <c r="G5" s="15">
        <f>F5 - Portfolio_Mgmt!$C$10</f>
        <v>0.13412402246872662</v>
      </c>
      <c r="H5" s="15">
        <f>F5 - Portfolio_Mgmt!$C$11</f>
        <v>0.21702402246872662</v>
      </c>
      <c r="I5" s="15">
        <v>0.24540057009558644</v>
      </c>
      <c r="J5" s="2">
        <v>94.557512862556607</v>
      </c>
      <c r="K5" s="2">
        <v>191.25237241198982</v>
      </c>
      <c r="L5" s="71">
        <v>164.19914487189874</v>
      </c>
      <c r="M5" s="2">
        <v>117.8557382806126</v>
      </c>
      <c r="N5" s="2">
        <v>145.55036258707588</v>
      </c>
      <c r="O5" s="4">
        <v>8.3183964232110025E-2</v>
      </c>
      <c r="P5" s="4">
        <v>3.3620689655172412E-2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-65.814054607974768</v>
      </c>
      <c r="X5" s="13" t="s">
        <v>168</v>
      </c>
      <c r="Y5" s="11" t="s">
        <v>363</v>
      </c>
      <c r="Z5" s="14">
        <v>46173</v>
      </c>
      <c r="AA5" s="16" t="s">
        <v>180</v>
      </c>
    </row>
    <row r="6" spans="1:27">
      <c r="B6" s="11" t="s">
        <v>381</v>
      </c>
      <c r="C6" s="11" t="s">
        <v>382</v>
      </c>
      <c r="D6" s="2">
        <v>79.3</v>
      </c>
      <c r="E6" s="12" t="s">
        <v>133</v>
      </c>
      <c r="F6" s="15">
        <v>0.20417207216016059</v>
      </c>
      <c r="G6" s="15">
        <f>F6 - Portfolio_Mgmt!$C$10</f>
        <v>8.6772072160160585E-2</v>
      </c>
      <c r="H6" s="15">
        <f>F6 - Portfolio_Mgmt!$C$11</f>
        <v>0.16967207216016059</v>
      </c>
      <c r="I6" s="15">
        <v>0.15795408834866756</v>
      </c>
      <c r="J6" s="2">
        <v>64.47689349811607</v>
      </c>
      <c r="K6" s="2">
        <v>121.72472523866365</v>
      </c>
      <c r="L6" s="71">
        <v>110.63769354011853</v>
      </c>
      <c r="M6" s="2">
        <v>79.948752689610018</v>
      </c>
      <c r="N6" s="2">
        <v>98.299596821608375</v>
      </c>
      <c r="O6" s="4">
        <v>6.896448484596672E-2</v>
      </c>
      <c r="P6" s="4">
        <v>5.7767969735182854E-2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1.469909025721776</v>
      </c>
      <c r="X6" s="13" t="s">
        <v>376</v>
      </c>
      <c r="Y6" s="11" t="s">
        <v>363</v>
      </c>
      <c r="Z6" s="14">
        <v>46081</v>
      </c>
      <c r="AA6" s="16" t="s">
        <v>180</v>
      </c>
    </row>
    <row r="7" spans="1:27">
      <c r="B7" s="11" t="s">
        <v>383</v>
      </c>
      <c r="C7" s="11" t="s">
        <v>384</v>
      </c>
      <c r="D7" s="2">
        <v>79.25</v>
      </c>
      <c r="E7" s="12" t="s">
        <v>133</v>
      </c>
      <c r="F7" s="15">
        <v>0.18288518227546327</v>
      </c>
      <c r="G7" s="15">
        <f>F7 - Portfolio_Mgmt!$C$10</f>
        <v>6.5485182275463266E-2</v>
      </c>
      <c r="H7" s="15">
        <f>F7 - Portfolio_Mgmt!$C$11</f>
        <v>0.14838518227546327</v>
      </c>
      <c r="I7" s="15">
        <v>0.10351246615676871</v>
      </c>
      <c r="J7" s="2">
        <v>61.588634284923586</v>
      </c>
      <c r="K7" s="2">
        <v>108.31536157883805</v>
      </c>
      <c r="L7" s="71">
        <v>104.4666439480748</v>
      </c>
      <c r="M7" s="2">
        <v>75.987533374828487</v>
      </c>
      <c r="N7" s="2">
        <v>93.02760403702662</v>
      </c>
      <c r="O7" s="4">
        <v>0.11437936459407808</v>
      </c>
      <c r="P7" s="4">
        <v>8.0499684542586755E-2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-19.23995405372353</v>
      </c>
      <c r="X7" s="13" t="s">
        <v>168</v>
      </c>
      <c r="Y7" s="11" t="s">
        <v>360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4.63</v>
      </c>
      <c r="E8" s="12" t="s">
        <v>133</v>
      </c>
      <c r="F8" s="15">
        <v>0.17817433746995565</v>
      </c>
      <c r="G8" s="15">
        <f>F8 - Portfolio_Mgmt!$C$10</f>
        <v>6.0774337469955642E-2</v>
      </c>
      <c r="H8" s="15">
        <f>F8 - Portfolio_Mgmt!$C$11</f>
        <v>0.14367433746995564</v>
      </c>
      <c r="I8" s="15">
        <v>8.9672832923345352E-2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8.7240427354698419E-2</v>
      </c>
      <c r="P8" s="4">
        <v>6.4794816414686832E-2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360</v>
      </c>
      <c r="Z8" s="14">
        <v>46173</v>
      </c>
      <c r="AA8" s="16" t="s">
        <v>180</v>
      </c>
    </row>
    <row r="9" spans="1:27">
      <c r="B9" s="11" t="s">
        <v>361</v>
      </c>
      <c r="C9" s="11" t="s">
        <v>362</v>
      </c>
      <c r="D9" s="2">
        <v>7.12</v>
      </c>
      <c r="E9" s="12" t="s">
        <v>133</v>
      </c>
      <c r="F9" s="15">
        <v>0.17231921120814414</v>
      </c>
      <c r="G9" s="15">
        <f>F9 - Portfolio_Mgmt!$C$10</f>
        <v>5.4919211208144136E-2</v>
      </c>
      <c r="H9" s="15">
        <f>F9 - Portfolio_Mgmt!$C$11</f>
        <v>0.13781921120814414</v>
      </c>
      <c r="I9" s="15">
        <v>7.1398945696169239E-2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6.4474737415453051E-2</v>
      </c>
      <c r="P9" s="4">
        <v>1.9943820224719098E-2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168</v>
      </c>
      <c r="Y9" s="11" t="s">
        <v>363</v>
      </c>
      <c r="Z9" s="14">
        <v>46081</v>
      </c>
      <c r="AA9" s="16" t="s">
        <v>180</v>
      </c>
    </row>
    <row r="10" spans="1:27">
      <c r="B10" s="11" t="s">
        <v>387</v>
      </c>
      <c r="C10" s="11" t="s">
        <v>388</v>
      </c>
      <c r="D10" s="2">
        <v>81.150000000000006</v>
      </c>
      <c r="E10" s="12" t="s">
        <v>133</v>
      </c>
      <c r="F10" s="15">
        <v>0.1722053270123923</v>
      </c>
      <c r="G10" s="15">
        <f>F10 - Portfolio_Mgmt!$C$10</f>
        <v>5.4805327012392296E-2</v>
      </c>
      <c r="H10" s="15">
        <f>F10 - Portfolio_Mgmt!$C$11</f>
        <v>0.1377053270123923</v>
      </c>
      <c r="I10" s="15">
        <v>3.5515497563673205E-2</v>
      </c>
      <c r="J10" s="2">
        <v>60.233744487379226</v>
      </c>
      <c r="K10" s="2">
        <v>130.70722553761289</v>
      </c>
      <c r="L10" s="71">
        <v>105.95164248210712</v>
      </c>
      <c r="M10" s="2">
        <v>75.498758433278226</v>
      </c>
      <c r="N10" s="2">
        <v>93.685762346213849</v>
      </c>
      <c r="O10" s="4">
        <v>1.5406005553272695E-2</v>
      </c>
      <c r="P10" s="4">
        <v>0</v>
      </c>
      <c r="Q10" s="4">
        <v>0.2</v>
      </c>
      <c r="R10" s="4">
        <v>0.10918374574607279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3.6348221158594511</v>
      </c>
      <c r="X10" s="16" t="s">
        <v>389</v>
      </c>
      <c r="Y10" s="11" t="s">
        <v>363</v>
      </c>
      <c r="Z10" s="14">
        <v>46081</v>
      </c>
      <c r="AA10" s="16" t="s">
        <v>366</v>
      </c>
    </row>
    <row r="11" spans="1:27">
      <c r="B11" s="11" t="s">
        <v>182</v>
      </c>
      <c r="C11" s="11" t="s">
        <v>370</v>
      </c>
      <c r="D11" s="2">
        <v>3.37</v>
      </c>
      <c r="E11" s="12" t="s">
        <v>133</v>
      </c>
      <c r="F11" s="15">
        <v>0.16958858883571035</v>
      </c>
      <c r="G11" s="15">
        <f>F11 - Portfolio_Mgmt!$C$10</f>
        <v>5.2188588835710342E-2</v>
      </c>
      <c r="H11" s="15">
        <f>F11 - Portfolio_Mgmt!$C$11</f>
        <v>0.13508858883571034</v>
      </c>
      <c r="I11" s="15">
        <v>6.2438284276786493E-2</v>
      </c>
      <c r="J11" s="2">
        <v>2.5385815935033342</v>
      </c>
      <c r="K11" s="2">
        <v>4.4366120194593153</v>
      </c>
      <c r="L11" s="71">
        <v>4.3016714192105461</v>
      </c>
      <c r="M11" s="2">
        <v>3.1307450481218235</v>
      </c>
      <c r="N11" s="2">
        <v>3.8313906187252909</v>
      </c>
      <c r="O11" s="4">
        <v>7.2054845130424247E-2</v>
      </c>
      <c r="P11" s="4">
        <v>8.0118694362017809E-2</v>
      </c>
      <c r="Q11" s="4">
        <v>0.11354054587062024</v>
      </c>
      <c r="R11" s="4">
        <v>0.4243739445166862</v>
      </c>
      <c r="S11" s="79">
        <v>0.22035988512352028</v>
      </c>
      <c r="T11" s="78">
        <v>1.2141426890285656</v>
      </c>
      <c r="U11" s="15">
        <v>2.3107986944995245E-3</v>
      </c>
      <c r="V11" s="76">
        <v>2.0454423835375664E-2</v>
      </c>
      <c r="W11" s="71">
        <v>0.79833937207218564</v>
      </c>
      <c r="X11" s="13" t="s">
        <v>371</v>
      </c>
      <c r="Y11" s="11" t="s">
        <v>360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368</v>
      </c>
      <c r="D12" s="2">
        <v>8.39</v>
      </c>
      <c r="E12" s="12" t="s">
        <v>133</v>
      </c>
      <c r="F12" s="15">
        <v>0.14965150960430038</v>
      </c>
      <c r="G12" s="15">
        <f>F12 - Portfolio_Mgmt!$C$10</f>
        <v>3.2251509604300371E-2</v>
      </c>
      <c r="H12" s="15">
        <f>F12 - Portfolio_Mgmt!$C$11</f>
        <v>0.11515150960430037</v>
      </c>
      <c r="I12" s="15">
        <v>0</v>
      </c>
      <c r="J12" s="2">
        <v>5.9495088492367225</v>
      </c>
      <c r="K12" s="2">
        <v>11.623304758515586</v>
      </c>
      <c r="L12" s="71">
        <v>10.268685938303848</v>
      </c>
      <c r="M12" s="2">
        <v>7.3958360666646419</v>
      </c>
      <c r="N12" s="2">
        <v>9.1131708725434439</v>
      </c>
      <c r="O12" s="4">
        <v>8.5513314444778429E-2</v>
      </c>
      <c r="P12" s="4">
        <v>3.8635333570297969E-2</v>
      </c>
      <c r="Q12" s="4">
        <v>0.17172015206255192</v>
      </c>
      <c r="R12" s="4">
        <v>8.3606229526600295E-2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-3.0097727539897137</v>
      </c>
      <c r="X12" s="13" t="s">
        <v>369</v>
      </c>
      <c r="Y12" s="11" t="s">
        <v>363</v>
      </c>
      <c r="Z12" s="14">
        <v>46081</v>
      </c>
      <c r="AA12" s="16" t="s">
        <v>366</v>
      </c>
    </row>
    <row r="13" spans="1:27">
      <c r="B13" s="11" t="s">
        <v>385</v>
      </c>
      <c r="C13" s="11" t="s">
        <v>386</v>
      </c>
      <c r="D13" s="2">
        <v>44.5</v>
      </c>
      <c r="E13" s="12" t="s">
        <v>133</v>
      </c>
      <c r="F13" s="15">
        <v>0.13797018670551686</v>
      </c>
      <c r="G13" s="15">
        <f>F13 - Portfolio_Mgmt!$C$10</f>
        <v>2.0570186705516857E-2</v>
      </c>
      <c r="H13" s="15">
        <f>F13 - Portfolio_Mgmt!$C$11</f>
        <v>0.10347018670551686</v>
      </c>
      <c r="I13" s="15">
        <v>0</v>
      </c>
      <c r="J13" s="2">
        <v>30.574763737046222</v>
      </c>
      <c r="K13" s="2">
        <v>60.661869541750846</v>
      </c>
      <c r="L13" s="2">
        <v>52.913085137964458</v>
      </c>
      <c r="M13" s="2">
        <v>38.051864087433898</v>
      </c>
      <c r="N13" s="2">
        <v>46.934395434683225</v>
      </c>
      <c r="O13" s="4">
        <v>6.575858885923315E-2</v>
      </c>
      <c r="P13" s="4">
        <v>3.2175325842696632E-2</v>
      </c>
      <c r="Q13" s="4">
        <v>0.2658092571428613</v>
      </c>
      <c r="R13" s="4">
        <v>0.20771863979883598</v>
      </c>
      <c r="S13" s="79">
        <v>0.65265738052043343</v>
      </c>
      <c r="T13" s="78">
        <v>1.9606920057834423</v>
      </c>
      <c r="U13" s="15">
        <v>0.67283405398617657</v>
      </c>
      <c r="V13" s="76">
        <v>2.2041306156151999</v>
      </c>
      <c r="W13" s="71">
        <v>-6.3110469217719434</v>
      </c>
      <c r="X13" s="13" t="s">
        <v>168</v>
      </c>
      <c r="Y13" s="11" t="s">
        <v>363</v>
      </c>
      <c r="Z13" s="14">
        <v>46081</v>
      </c>
      <c r="AA13" s="16" t="s">
        <v>180</v>
      </c>
    </row>
    <row r="14" spans="1:27">
      <c r="B14" s="11" t="s">
        <v>377</v>
      </c>
      <c r="C14" s="11" t="s">
        <v>378</v>
      </c>
      <c r="D14" s="2">
        <v>4.9000000000000004</v>
      </c>
      <c r="E14" s="12" t="s">
        <v>133</v>
      </c>
      <c r="F14" s="15">
        <v>0.13544831512510774</v>
      </c>
      <c r="G14" s="15">
        <f>F14 - Portfolio_Mgmt!$C$10</f>
        <v>1.8048315125107739E-2</v>
      </c>
      <c r="H14" s="15">
        <f>F14 - Portfolio_Mgmt!$C$11</f>
        <v>0.10094831512510774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6.3307753339224629E-2</v>
      </c>
      <c r="P14" s="4">
        <v>3.2489795918367349E-2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168</v>
      </c>
      <c r="Y14" s="11" t="s">
        <v>363</v>
      </c>
      <c r="Z14" s="14">
        <v>46173</v>
      </c>
      <c r="AA14" s="16" t="s">
        <v>366</v>
      </c>
    </row>
    <row r="15" spans="1:27">
      <c r="B15" s="11" t="s">
        <v>156</v>
      </c>
      <c r="C15" s="11" t="s">
        <v>372</v>
      </c>
      <c r="D15" s="2">
        <v>22.52</v>
      </c>
      <c r="E15" s="12" t="s">
        <v>133</v>
      </c>
      <c r="F15" s="15">
        <v>0.10011160442392067</v>
      </c>
      <c r="G15" s="15">
        <f>F15 - Portfolio_Mgmt!$C$10</f>
        <v>-1.7288395576079335E-2</v>
      </c>
      <c r="H15" s="15">
        <f>F15 - Portfolio_Mgmt!$C$11</f>
        <v>6.5611604423920666E-2</v>
      </c>
      <c r="I15" s="15">
        <v>0</v>
      </c>
      <c r="J15" s="2">
        <v>13.973217805008323</v>
      </c>
      <c r="K15" s="2">
        <v>28.285820769261978</v>
      </c>
      <c r="L15" s="2">
        <v>24.268090728546323</v>
      </c>
      <c r="M15" s="2">
        <v>17.417232355064762</v>
      </c>
      <c r="N15" s="2">
        <v>21.511245902815144</v>
      </c>
      <c r="O15" s="4">
        <v>5.0683269986270291E-2</v>
      </c>
      <c r="P15" s="4">
        <v>2.2769158790090373E-2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5.6888182831824352</v>
      </c>
      <c r="X15" s="13" t="s">
        <v>373</v>
      </c>
      <c r="Y15" s="11" t="s">
        <v>363</v>
      </c>
      <c r="Z15" s="14">
        <v>46081</v>
      </c>
      <c r="AA15" s="16" t="s">
        <v>180</v>
      </c>
    </row>
    <row r="16" spans="1:27">
      <c r="B16" s="11" t="s">
        <v>169</v>
      </c>
      <c r="C16" s="11" t="s">
        <v>374</v>
      </c>
      <c r="D16" s="2">
        <v>25.32</v>
      </c>
      <c r="E16" s="12" t="s">
        <v>133</v>
      </c>
      <c r="F16" s="15">
        <v>5.9284425163551625E-2</v>
      </c>
      <c r="G16" s="15">
        <f>F16 - Portfolio_Mgmt!$C$10</f>
        <v>-5.8115574836448379E-2</v>
      </c>
      <c r="H16" s="15">
        <f>F16 - Portfolio_Mgmt!$C$11</f>
        <v>2.4784425163551622E-2</v>
      </c>
      <c r="I16" s="15">
        <v>0</v>
      </c>
      <c r="J16" s="2">
        <v>14.327257875824909</v>
      </c>
      <c r="K16" s="2">
        <v>26.086969411139755</v>
      </c>
      <c r="L16" s="2">
        <v>24.437763130855828</v>
      </c>
      <c r="M16" s="2">
        <v>17.719330554000781</v>
      </c>
      <c r="N16" s="2">
        <v>21.737986386376363</v>
      </c>
      <c r="O16" s="4">
        <v>9.6567796897621516E-2</v>
      </c>
      <c r="P16" s="4">
        <v>4.9763033175355451E-2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0.46914119498094348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4.0199999999999993E-2</v>
      </c>
      <c r="D4" s="34">
        <v>6.7500000000000004E-2</v>
      </c>
      <c r="E4" s="35">
        <f>D4-C4</f>
        <v>2.7300000000000012E-2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I8" sqref="C8:I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654701</v>
      </c>
      <c r="H3" s="58">
        <f t="shared" ref="H3:H9" si="0">G3/$G$12</f>
        <v>0.5000462085679086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22.52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17.417232355064762</v>
      </c>
      <c r="K4" s="81">
        <f>VLOOKUP(B4,Opportunities!B$3:N$30,9,FALSE)</f>
        <v>13.973217805008323</v>
      </c>
      <c r="L4" s="81">
        <f>VLOOKUP(B4,Opportunities!B$3:N$30,11,FALSE)</f>
        <v>24.268090728546323</v>
      </c>
      <c r="M4" s="81">
        <f>VLOOKUP(B4,Opportunities!B$3:N$30,13,FALSE)</f>
        <v>21.511245902815144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100</v>
      </c>
      <c r="E5" s="59" t="str">
        <f>VLOOKUP(B5,Opportunities!B$3:E$30,4,FALSE)</f>
        <v>HKD</v>
      </c>
      <c r="F5" s="57">
        <v>2000</v>
      </c>
      <c r="G5" s="61">
        <f t="shared" si="1"/>
        <v>200000</v>
      </c>
      <c r="H5" s="58">
        <f t="shared" si="0"/>
        <v>0.15275559639221833</v>
      </c>
      <c r="I5" s="58">
        <f>VLOOKUP(B5,Opportunities!B$3:I$30,8,FALSE)</f>
        <v>0.24540057009558644</v>
      </c>
      <c r="J5" s="81">
        <f>VLOOKUP(B5,Opportunities!B$3:N$30,12,FALSE)</f>
        <v>117.8557382806126</v>
      </c>
      <c r="K5" s="81">
        <f>VLOOKUP(B5,Opportunities!B$3:N$30,9,FALSE)</f>
        <v>94.557512862556607</v>
      </c>
      <c r="L5" s="81">
        <f>VLOOKUP(B5,Opportunities!B$3:N$30,11,FALSE)</f>
        <v>164.19914487189874</v>
      </c>
      <c r="M5" s="81">
        <f>VLOOKUP(B5,Opportunities!B$3:N$30,13,FALSE)</f>
        <v>145.55036258707588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3.37</v>
      </c>
      <c r="E6" s="59" t="str">
        <f>VLOOKUP(B6,Opportunities!B$3:E$30,4,FALSE)</f>
        <v>HKD</v>
      </c>
      <c r="F6" s="57">
        <v>40000</v>
      </c>
      <c r="G6" s="61">
        <f t="shared" si="1"/>
        <v>134800</v>
      </c>
      <c r="H6" s="58">
        <f t="shared" si="0"/>
        <v>0.10295727196835515</v>
      </c>
      <c r="I6" s="58">
        <f>VLOOKUP(B6,Opportunities!B$3:I$30,8,FALSE)</f>
        <v>6.2438284276786493E-2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8.39</v>
      </c>
      <c r="E7" s="59" t="str">
        <f>VLOOKUP(B7,Opportunities!B$3:E$30,4,FALSE)</f>
        <v>HKD</v>
      </c>
      <c r="F7" s="57">
        <v>8000</v>
      </c>
      <c r="G7" s="61">
        <f t="shared" si="1"/>
        <v>67120</v>
      </c>
      <c r="H7" s="58">
        <f t="shared" si="0"/>
        <v>5.1264778149228467E-2</v>
      </c>
      <c r="I7" s="58">
        <f>VLOOKUP(B7,Opportunities!B$3:I$30,8,FALSE)</f>
        <v>0</v>
      </c>
      <c r="J7" s="81">
        <f>VLOOKUP(B7,Opportunities!B$3:N$30,12,FALSE)</f>
        <v>7.3958360666646419</v>
      </c>
      <c r="K7" s="81">
        <f>VLOOKUP(B7,Opportunities!B$3:N$30,9,FALSE)</f>
        <v>5.9495088492367225</v>
      </c>
      <c r="L7" s="81">
        <f>VLOOKUP(B7,Opportunities!B$3:N$30,11,FALSE)</f>
        <v>10.268685938303848</v>
      </c>
      <c r="M7" s="81">
        <f>VLOOKUP(B7,Opportunities!B$3:N$30,13,FALSE)</f>
        <v>9.1131708725434439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10.1</v>
      </c>
      <c r="E8" s="59" t="str">
        <f>VLOOKUP(B8,Opportunities!B$3:E$30,4,FALSE)</f>
        <v>HKD</v>
      </c>
      <c r="F8" s="57">
        <v>15000</v>
      </c>
      <c r="G8" s="61">
        <f t="shared" si="1"/>
        <v>151500</v>
      </c>
      <c r="H8" s="58">
        <f t="shared" si="0"/>
        <v>0.11571236426710538</v>
      </c>
      <c r="I8" s="58">
        <f>VLOOKUP(B8,Opportunities!B$3:I$30,8,FALSE)</f>
        <v>0.13996033248942072</v>
      </c>
      <c r="J8" s="81">
        <f>VLOOKUP(B8,Opportunities!B$3:N$30,12,FALSE)</f>
        <v>12.250205219395554</v>
      </c>
      <c r="K8" s="81">
        <f>VLOOKUP(B8,Opportunities!B$3:N$30,9,FALSE)</f>
        <v>9.8665012772797382</v>
      </c>
      <c r="L8" s="81">
        <f>VLOOKUP(B8,Opportunities!B$3:N$30,11,FALSE)</f>
        <v>16.981826354716631</v>
      </c>
      <c r="M8" s="81">
        <f>VLOOKUP(B8,Opportunities!B$3:N$30,13,FALSE)</f>
        <v>15.079087172834877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4.63</v>
      </c>
      <c r="E9" s="59" t="str">
        <f>VLOOKUP(B9,Opportunities!B$3:E$30,4,FALSE)</f>
        <v>HKD</v>
      </c>
      <c r="F9" s="57">
        <v>12000</v>
      </c>
      <c r="G9" s="61">
        <f t="shared" si="1"/>
        <v>55560</v>
      </c>
      <c r="H9" s="58">
        <f t="shared" si="0"/>
        <v>4.2435504677758251E-2</v>
      </c>
      <c r="I9" s="58">
        <f>VLOOKUP(B9,Opportunities!B$3:I$30,8,FALSE)</f>
        <v>8.9672832923345352E-2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</v>
      </c>
      <c r="E10" s="59" t="str">
        <f>VLOOKUP(B10,Opportunities!B$3:E$30,4,FALSE)</f>
        <v>HKD</v>
      </c>
      <c r="F10" s="57">
        <v>12000</v>
      </c>
      <c r="G10" s="61">
        <f t="shared" si="1"/>
        <v>45600</v>
      </c>
      <c r="H10" s="58">
        <f t="shared" ref="H10" si="2">G10/$G$12</f>
        <v>3.4828275977425778E-2</v>
      </c>
      <c r="I10" s="58">
        <f>VLOOKUP(B10,Opportunities!B$3:I$30,8,FALSE)</f>
        <v>0.12697566637365043</v>
      </c>
      <c r="J10" s="81">
        <f>VLOOKUP(B10,Opportunities!B$3:N$30,12,FALSE)</f>
        <v>4.3362212599070515</v>
      </c>
      <c r="K10" s="81">
        <f>VLOOKUP(B10,Opportunities!B$3:N$30,9,FALSE)</f>
        <v>3.4960584861371147</v>
      </c>
      <c r="L10" s="81">
        <f>VLOOKUP(B10,Opportunities!B$3:N$30,11,FALSE)</f>
        <v>6.0029800241845681</v>
      </c>
      <c r="M10" s="81">
        <f>VLOOKUP(B10,Opportunities!B$3:N$30,13,FALSE)</f>
        <v>5.3328460125268338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1309281</v>
      </c>
      <c r="H12" s="67">
        <f>SUM(H3:H10)</f>
        <v>1</v>
      </c>
      <c r="I12" s="73">
        <f>SUM(I3:I10)</f>
        <v>1.1144476861587895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100</v>
      </c>
      <c r="E15" s="59" t="str">
        <f>VLOOKUP(B15,Opportunities!B$3:E$30,4,FALSE)</f>
        <v>HKD</v>
      </c>
      <c r="F15" s="57">
        <v>1000</v>
      </c>
      <c r="G15" s="61">
        <f t="shared" ref="G15:G20" si="3">-D15*F15</f>
        <v>-100000</v>
      </c>
      <c r="H15" s="58">
        <f t="shared" ref="H15:H20" si="4">-G15/$G$12</f>
        <v>7.6377798196109167E-2</v>
      </c>
      <c r="I15" s="58">
        <f>VLOOKUP(B15,Opportunities!B$3:I$30,8,FALSE)</f>
        <v>0.24540057009558644</v>
      </c>
      <c r="J15" s="81">
        <f>VLOOKUP(B15,Opportunities!B$3:N$30,12,FALSE)</f>
        <v>117.8557382806126</v>
      </c>
      <c r="K15" s="81">
        <f>VLOOKUP(B15,Opportunities!B$3:N$30,9,FALSE)</f>
        <v>94.557512862556607</v>
      </c>
      <c r="L15" s="81">
        <f>VLOOKUP(B15,Opportunities!B$3:N$30,11,FALSE)</f>
        <v>164.19914487189874</v>
      </c>
      <c r="M15" s="81">
        <f>VLOOKUP(B15,Opportunities!B$3:N$30,13,FALSE)</f>
        <v>145.55036258707588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25.32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17.719330554000781</v>
      </c>
      <c r="K16" s="81">
        <f>VLOOKUP(B16,Opportunities!B$3:N$30,9,FALSE)</f>
        <v>14.327257875824909</v>
      </c>
      <c r="L16" s="81">
        <f>VLOOKUP(B16,Opportunities!B$3:N$30,11,FALSE)</f>
        <v>24.437763130855828</v>
      </c>
      <c r="M16" s="81">
        <f>VLOOKUP(B16,Opportunities!B$3:N$30,13,FALSE)</f>
        <v>21.737986386376363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3.37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6.2438284276786493E-2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0.12697566637365043</v>
      </c>
      <c r="J18" s="81">
        <f>VLOOKUP(B18,Opportunities!B$3:N$30,12,FALSE)</f>
        <v>4.3362212599070515</v>
      </c>
      <c r="K18" s="81">
        <f>VLOOKUP(B18,Opportunities!B$3:N$30,9,FALSE)</f>
        <v>3.4960584861371147</v>
      </c>
      <c r="L18" s="81">
        <f>VLOOKUP(B18,Opportunities!B$3:N$30,11,FALSE)</f>
        <v>6.0029800241845681</v>
      </c>
      <c r="M18" s="81">
        <f>VLOOKUP(B18,Opportunities!B$3:N$30,13,FALSE)</f>
        <v>5.3328460125268338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10.1</v>
      </c>
      <c r="E19" s="59" t="str">
        <f>VLOOKUP(B19,Opportunities!B$3:E$30,4,FALSE)</f>
        <v>HKD</v>
      </c>
      <c r="F19" s="57">
        <v>5000</v>
      </c>
      <c r="G19" s="61">
        <f t="shared" si="3"/>
        <v>-50500</v>
      </c>
      <c r="H19" s="58">
        <f t="shared" si="4"/>
        <v>3.8570788089035128E-2</v>
      </c>
      <c r="I19" s="58">
        <f>VLOOKUP(B19,Opportunities!B$3:I$30,8,FALSE)</f>
        <v>0.13996033248942072</v>
      </c>
      <c r="J19" s="81">
        <f>VLOOKUP(B19,Opportunities!B$3:N$30,12,FALSE)</f>
        <v>12.250205219395554</v>
      </c>
      <c r="K19" s="81">
        <f>VLOOKUP(B19,Opportunities!B$3:N$30,9,FALSE)</f>
        <v>9.8665012772797382</v>
      </c>
      <c r="L19" s="81">
        <f>VLOOKUP(B19,Opportunities!B$3:N$30,11,FALSE)</f>
        <v>16.981826354716631</v>
      </c>
      <c r="M19" s="81">
        <f>VLOOKUP(B19,Opportunities!B$3:N$30,13,FALSE)</f>
        <v>15.079087172834877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8.39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7.3958360666646419</v>
      </c>
      <c r="K20" s="81">
        <f>VLOOKUP(B20,Opportunities!B$3:N$30,9,FALSE)</f>
        <v>5.9495088492367225</v>
      </c>
      <c r="L20" s="81">
        <f>VLOOKUP(B20,Opportunities!B$3:N$30,11,FALSE)</f>
        <v>10.268685938303848</v>
      </c>
      <c r="M20" s="81">
        <f>VLOOKUP(B20,Opportunities!B$3:N$30,13,FALSE)</f>
        <v>9.1131708725434439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504201</v>
      </c>
      <c r="H23" s="73">
        <f t="shared" ref="H23" si="5">G23/$G$12</f>
        <v>0.38509762228276434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2026-03-02T03:32:02Z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