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8303BE6-9019-40C1-AC7A-4EF48E49EA4E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<sst xmlns="http://schemas.openxmlformats.org/spreadsheetml/2006/main" count="473" uniqueCount="384">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</sst>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1" sqref="N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10.69</v>
      </c>
      <c r="E3" s="12" t="s">
        <v>134</v>
      </c>
      <c r="F3" s="15">
        <v>0.25169595174628212</v>
      </c>
      <c r="G3" s="15">
        <f>F3 - Portfolio_Mgmt!$C$10</f>
        <v>0.13429595174628212</v>
      </c>
      <c r="H3" s="15">
        <f>F3 - Portfolio_Mgmt!$C$11</f>
        <v>0.21719595174628212</v>
      </c>
      <c r="I3" s="15">
        <v>0.12282832519645916</v>
      </c>
      <c r="J3" s="2">
        <v>9.7033478758444449</v>
      </c>
      <c r="K3" s="2">
        <v>18.65146853674332</v>
      </c>
      <c r="L3" s="71">
        <v>16.701048329677697</v>
      </c>
      <c r="M3" s="2">
        <v>12.047645627751585</v>
      </c>
      <c r="N3" s="2">
        <v>14.829763026691854</v>
      </c>
      <c r="O3" s="4">
        <v>9.4375873288004258E-2</v>
      </c>
      <c r="P3" s="4">
        <v>5.665327248854321E-2</v>
      </c>
      <c r="Q3" s="4">
        <v>0.10095740611582539</v>
      </c>
      <c r="R3" s="4">
        <v>0.12639733563871405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1.7500412197189974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3.82</v>
      </c>
      <c r="E4" s="12" t="s">
        <v>134</v>
      </c>
      <c r="F4" s="15">
        <v>0.2486527906884225</v>
      </c>
      <c r="G4" s="15">
        <f>F4 - Portfolio_Mgmt!$C$10</f>
        <v>0.13125279068842249</v>
      </c>
      <c r="H4" s="15">
        <f>F4 - Portfolio_Mgmt!$C$11</f>
        <v>0.2141527906884225</v>
      </c>
      <c r="I4" s="15">
        <v>0.12053505369776572</v>
      </c>
      <c r="J4" s="2">
        <v>3.4452771100855677</v>
      </c>
      <c r="K4" s="2">
        <v>6.516117227791244</v>
      </c>
      <c r="L4" s="71">
        <v>5.9136551740369852</v>
      </c>
      <c r="M4" s="2">
        <v>4.2725703798886503</v>
      </c>
      <c r="N4" s="2">
        <v>5.253862180974143</v>
      </c>
      <c r="O4" s="4">
        <v>0.11541466429188477</v>
      </c>
      <c r="P4" s="4">
        <v>6.3298429319371727E-2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1.2744407874198853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382</v>
      </c>
      <c r="C5" s="11" t="s">
        <v>383</v>
      </c>
      <c r="D5" s="2">
        <v>113.5</v>
      </c>
      <c r="E5" s="12" t="s">
        <v>134</v>
      </c>
      <c r="F5" s="15">
        <v>0.20517568115776152</v>
      </c>
      <c r="G5" s="15">
        <f>F5 - Portfolio_Mgmt!$C$10</f>
        <v>8.777568115776152E-2</v>
      </c>
      <c r="H5" s="15">
        <f>F5 - Portfolio_Mgmt!$C$11</f>
        <v>0.17067568115776152</v>
      </c>
      <c r="I5" s="15">
        <v>0.16023672500004407</v>
      </c>
      <c r="J5" s="2">
        <v>92.062613392496303</v>
      </c>
      <c r="K5" s="2">
        <v>185.83844056195898</v>
      </c>
      <c r="L5" s="71">
        <v>159.81059657674808</v>
      </c>
      <c r="M5" s="2">
        <v>114.72855742860922</v>
      </c>
      <c r="N5" s="2">
        <v>141.66987066649239</v>
      </c>
      <c r="O5" s="4">
        <v>6.9717230628442983E-2</v>
      </c>
      <c r="P5" s="4">
        <v>3.0925110132158588E-2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-64.719566840731247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183</v>
      </c>
      <c r="C6" s="11" t="s">
        <v>371</v>
      </c>
      <c r="D6" s="2">
        <v>3.27</v>
      </c>
      <c r="E6" s="12" t="s">
        <v>134</v>
      </c>
      <c r="F6" s="15">
        <v>0.18222622082566256</v>
      </c>
      <c r="G6" s="15">
        <f>F6 - Portfolio_Mgmt!$C$10</f>
        <v>6.4826220825662556E-2</v>
      </c>
      <c r="H6" s="15">
        <f>F6 - Portfolio_Mgmt!$C$11</f>
        <v>0.14772622082566256</v>
      </c>
      <c r="I6" s="15">
        <v>0.10162032351301863</v>
      </c>
      <c r="J6" s="2">
        <v>2.5385815935033342</v>
      </c>
      <c r="K6" s="2">
        <v>4.4366120194593153</v>
      </c>
      <c r="L6" s="71">
        <v>4.3016714192105461</v>
      </c>
      <c r="M6" s="2">
        <v>3.1307450481218235</v>
      </c>
      <c r="N6" s="2">
        <v>3.8313906187252909</v>
      </c>
      <c r="O6" s="4">
        <v>7.4258357213923459E-2</v>
      </c>
      <c r="P6" s="4">
        <v>8.2568807339449546E-2</v>
      </c>
      <c r="Q6" s="4">
        <v>0.11354054587062024</v>
      </c>
      <c r="R6" s="4">
        <v>0.4243739445166862</v>
      </c>
      <c r="S6" s="79">
        <v>0.22035988512352028</v>
      </c>
      <c r="T6" s="78">
        <v>1.2141426890285656</v>
      </c>
      <c r="U6" s="15">
        <v>2.3107986944995245E-3</v>
      </c>
      <c r="V6" s="76">
        <v>2.0454423835375664E-2</v>
      </c>
      <c r="W6" s="71">
        <v>0.79833937207218564</v>
      </c>
      <c r="X6" s="13" t="s">
        <v>372</v>
      </c>
      <c r="Y6" s="11" t="s">
        <v>361</v>
      </c>
      <c r="Z6" s="14">
        <v>46081</v>
      </c>
      <c r="AA6" s="16" t="s">
        <v>181</v>
      </c>
    </row>
    <row r="7" spans="1:27">
      <c r="B7" s="11" t="s">
        <v>362</v>
      </c>
      <c r="C7" s="11" t="s">
        <v>363</v>
      </c>
      <c r="D7" s="2">
        <v>6.98</v>
      </c>
      <c r="E7" s="12" t="s">
        <v>134</v>
      </c>
      <c r="F7" s="15">
        <v>0.18023444042885403</v>
      </c>
      <c r="G7" s="15">
        <f>F7 - Portfolio_Mgmt!$C$10</f>
        <v>6.2834440428854027E-2</v>
      </c>
      <c r="H7" s="15">
        <f>F7 - Portfolio_Mgmt!$C$11</f>
        <v>0.14573444042885403</v>
      </c>
      <c r="I7" s="15">
        <v>9.5815563245216326E-2</v>
      </c>
      <c r="J7" s="2">
        <v>5.3141281403824898</v>
      </c>
      <c r="K7" s="2">
        <v>10.967807599967429</v>
      </c>
      <c r="L7" s="71">
        <v>9.2614927891107719</v>
      </c>
      <c r="M7" s="2">
        <v>6.6339642861251669</v>
      </c>
      <c r="N7" s="2">
        <v>8.2038797297466814</v>
      </c>
      <c r="O7" s="4">
        <v>6.5767926991121162E-2</v>
      </c>
      <c r="P7" s="4">
        <v>2.0343839541547275E-2</v>
      </c>
      <c r="Q7" s="4">
        <v>0.3</v>
      </c>
      <c r="R7" s="4">
        <v>0.15217050538089463</v>
      </c>
      <c r="S7" s="79">
        <v>1.1106245684847842</v>
      </c>
      <c r="T7" s="78">
        <v>1.775102743966247</v>
      </c>
      <c r="U7" s="15">
        <v>0.17709797868255178</v>
      </c>
      <c r="V7" s="76">
        <v>0.82178780749892033</v>
      </c>
      <c r="W7" s="71">
        <v>-0.16650139591844174</v>
      </c>
      <c r="X7" s="13" t="s">
        <v>169</v>
      </c>
      <c r="Y7" s="11" t="s">
        <v>364</v>
      </c>
      <c r="Z7" s="14">
        <v>46081</v>
      </c>
      <c r="AA7" s="16" t="s">
        <v>181</v>
      </c>
    </row>
    <row r="8" spans="1:27">
      <c r="B8" s="11" t="s">
        <v>327</v>
      </c>
      <c r="C8" s="11" t="s">
        <v>328</v>
      </c>
      <c r="D8" s="2">
        <v>4.6399999999999997</v>
      </c>
      <c r="E8" s="12" t="s">
        <v>134</v>
      </c>
      <c r="F8" s="15">
        <v>0.17728071501379791</v>
      </c>
      <c r="G8" s="15">
        <f>F8 - Portfolio_Mgmt!$C$10</f>
        <v>5.9880715013797908E-2</v>
      </c>
      <c r="H8" s="15">
        <f>F8 - Portfolio_Mgmt!$C$11</f>
        <v>0.14278071501379791</v>
      </c>
      <c r="I8" s="15">
        <v>8.6963132319311978E-2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8.7052409192296051E-2</v>
      </c>
      <c r="P8" s="4">
        <v>6.4655172413793122E-2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169</v>
      </c>
      <c r="Y8" s="11" t="s">
        <v>361</v>
      </c>
      <c r="Z8" s="14">
        <v>46173</v>
      </c>
      <c r="AA8" s="16" t="s">
        <v>181</v>
      </c>
    </row>
    <row r="9" spans="1:27">
      <c r="B9" s="11" t="s">
        <v>330</v>
      </c>
      <c r="C9" s="11" t="s">
        <v>369</v>
      </c>
      <c r="D9" s="2">
        <v>7.95</v>
      </c>
      <c r="E9" s="12" t="s">
        <v>134</v>
      </c>
      <c r="F9" s="15">
        <v>0.16445666257064068</v>
      </c>
      <c r="G9" s="15">
        <f>F9 - Portfolio_Mgmt!$C$10</f>
        <v>4.7056662570640673E-2</v>
      </c>
      <c r="H9" s="15">
        <f>F9 - Portfolio_Mgmt!$C$11</f>
        <v>0.12995666257064067</v>
      </c>
      <c r="I9" s="15">
        <v>2.2390070127111042E-2</v>
      </c>
      <c r="J9" s="2">
        <v>5.8508094035798797</v>
      </c>
      <c r="K9" s="2">
        <v>11.430531924864345</v>
      </c>
      <c r="L9" s="71">
        <v>10.098341412573976</v>
      </c>
      <c r="M9" s="2">
        <v>7.2731452471900422</v>
      </c>
      <c r="N9" s="2">
        <v>8.9619935086740625</v>
      </c>
      <c r="O9" s="4">
        <v>8.8745016812476846E-2</v>
      </c>
      <c r="P9" s="4">
        <v>4.0095575660506921E-2</v>
      </c>
      <c r="Q9" s="4">
        <v>0.1717198673160602</v>
      </c>
      <c r="R9" s="4">
        <v>8.3606090890684492E-2</v>
      </c>
      <c r="S9" s="79">
        <v>1.3282158707615834</v>
      </c>
      <c r="T9" s="78">
        <v>1.5463719418456539</v>
      </c>
      <c r="U9" s="15">
        <v>0.22428295339746124</v>
      </c>
      <c r="V9" s="76">
        <v>1.2715557492373779</v>
      </c>
      <c r="W9" s="71">
        <v>-2.9597202313021747</v>
      </c>
      <c r="X9" s="13" t="s">
        <v>370</v>
      </c>
      <c r="Y9" s="11" t="s">
        <v>364</v>
      </c>
      <c r="Z9" s="14">
        <v>46081</v>
      </c>
      <c r="AA9" s="16" t="s">
        <v>367</v>
      </c>
    </row>
    <row r="10" spans="1:27">
      <c r="B10" s="11" t="s">
        <v>380</v>
      </c>
      <c r="C10" s="11" t="s">
        <v>381</v>
      </c>
      <c r="D10" s="2">
        <v>4.63</v>
      </c>
      <c r="E10" s="12" t="s">
        <v>134</v>
      </c>
      <c r="F10" s="15">
        <v>0.15773186966665081</v>
      </c>
      <c r="G10" s="15">
        <f>F10 - Portfolio_Mgmt!$C$10</f>
        <v>4.033186966665081E-2</v>
      </c>
      <c r="H10" s="15">
        <f>F10 - Portfolio_Mgmt!$C$11</f>
        <v>0.12323186966665081</v>
      </c>
      <c r="I10" s="15">
        <v>9.9380962690651369E-3</v>
      </c>
      <c r="J10" s="2">
        <v>3.3455729956390798</v>
      </c>
      <c r="K10" s="2">
        <v>6.6277455556474951</v>
      </c>
      <c r="L10" s="71">
        <v>5.7883592149489207</v>
      </c>
      <c r="M10" s="2">
        <v>4.1632581103676909</v>
      </c>
      <c r="N10" s="2">
        <v>5.1345919269174427</v>
      </c>
      <c r="O10" s="4">
        <v>6.6999566168941843E-2</v>
      </c>
      <c r="P10" s="4">
        <v>3.4384449244060478E-2</v>
      </c>
      <c r="Q10" s="4">
        <v>0.27382509866113364</v>
      </c>
      <c r="R10" s="4">
        <v>0.20764453215246689</v>
      </c>
      <c r="S10" s="79">
        <v>0.86056930273853416</v>
      </c>
      <c r="T10" s="78">
        <v>1.532381509863507</v>
      </c>
      <c r="U10" s="15">
        <v>0.27351475277205878</v>
      </c>
      <c r="V10" s="76">
        <v>0.94608729427783522</v>
      </c>
      <c r="W10" s="71">
        <v>0.59749676752244707</v>
      </c>
      <c r="X10" s="16" t="s">
        <v>169</v>
      </c>
      <c r="Y10" s="11" t="s">
        <v>364</v>
      </c>
      <c r="Z10" s="14">
        <v>46173</v>
      </c>
      <c r="AA10" s="16" t="s">
        <v>367</v>
      </c>
    </row>
    <row r="11" spans="1:27">
      <c r="B11" s="11" t="s">
        <v>377</v>
      </c>
      <c r="C11" s="11" t="s">
        <v>378</v>
      </c>
      <c r="D11" s="2">
        <v>96.55</v>
      </c>
      <c r="E11" s="12" t="s">
        <v>134</v>
      </c>
      <c r="F11" s="15">
        <v>0.14553508131889137</v>
      </c>
      <c r="G11" s="15">
        <f>F11 - Portfolio_Mgmt!$C$10</f>
        <v>2.8135081318891364E-2</v>
      </c>
      <c r="H11" s="15">
        <f>F11 - Portfolio_Mgmt!$C$11</f>
        <v>0.11103508131889137</v>
      </c>
      <c r="I11" s="15">
        <v>0</v>
      </c>
      <c r="J11" s="2">
        <v>66.883305015175679</v>
      </c>
      <c r="K11" s="2">
        <v>145.13677188293119</v>
      </c>
      <c r="L11" s="71">
        <v>117.64827309506597</v>
      </c>
      <c r="M11" s="2">
        <v>83.833514445014444</v>
      </c>
      <c r="N11" s="2">
        <v>104.02828965570951</v>
      </c>
      <c r="O11" s="4">
        <v>1.2733366835461593E-2</v>
      </c>
      <c r="P11" s="4">
        <v>0</v>
      </c>
      <c r="Q11" s="4">
        <v>0.25</v>
      </c>
      <c r="R11" s="4">
        <v>0.13647968218259099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3.5743750219125552</v>
      </c>
      <c r="X11" s="13" t="s">
        <v>379</v>
      </c>
      <c r="Y11" s="11" t="s">
        <v>364</v>
      </c>
      <c r="Z11" s="14">
        <v>46081</v>
      </c>
      <c r="AA11" s="16" t="s">
        <v>367</v>
      </c>
    </row>
    <row r="12" spans="1:27">
      <c r="B12" s="11" t="s">
        <v>157</v>
      </c>
      <c r="C12" s="11" t="s">
        <v>373</v>
      </c>
      <c r="D12" s="2">
        <v>20.3</v>
      </c>
      <c r="E12" s="12" t="s">
        <v>134</v>
      </c>
      <c r="F12" s="15">
        <v>0.13392359462921766</v>
      </c>
      <c r="G12" s="15">
        <f>F12 - Portfolio_Mgmt!$C$10</f>
        <v>1.6523594629217653E-2</v>
      </c>
      <c r="H12" s="15">
        <f>F12 - Portfolio_Mgmt!$C$11</f>
        <v>9.9423594629217654E-2</v>
      </c>
      <c r="I12" s="15">
        <v>0</v>
      </c>
      <c r="J12" s="2">
        <v>13.771579680651501</v>
      </c>
      <c r="K12" s="2">
        <v>27.813833719844567</v>
      </c>
      <c r="L12" s="71">
        <v>23.908149733398275</v>
      </c>
      <c r="M12" s="2">
        <v>17.162849177728127</v>
      </c>
      <c r="N12" s="2">
        <v>21.193864996946505</v>
      </c>
      <c r="O12" s="4">
        <v>5.5291293769854075E-2</v>
      </c>
      <c r="P12" s="4">
        <v>2.568634902180501E-2</v>
      </c>
      <c r="Q12" s="4">
        <v>0.2</v>
      </c>
      <c r="R12" s="4">
        <v>0.13430424833028851</v>
      </c>
      <c r="S12" s="79">
        <v>1.1000000000000001</v>
      </c>
      <c r="T12" s="78">
        <v>1.3537783359692717</v>
      </c>
      <c r="U12" s="15">
        <v>6.5417684980282262E-2</v>
      </c>
      <c r="V12" s="76">
        <v>0.50358953318926281</v>
      </c>
      <c r="W12" s="71">
        <v>5.5942132317522804</v>
      </c>
      <c r="X12" s="13" t="s">
        <v>374</v>
      </c>
      <c r="Y12" s="11" t="s">
        <v>364</v>
      </c>
      <c r="Z12" s="14">
        <v>46081</v>
      </c>
      <c r="AA12" s="16" t="s">
        <v>181</v>
      </c>
    </row>
    <row r="13" spans="1:27">
      <c r="B13" s="11" t="s">
        <v>170</v>
      </c>
      <c r="C13" s="11" t="s">
        <v>375</v>
      </c>
      <c r="D13" s="2">
        <v>23.52</v>
      </c>
      <c r="E13" s="12" t="s">
        <v>134</v>
      </c>
      <c r="F13" s="15">
        <v>8.1468587253310243E-2</v>
      </c>
      <c r="G13" s="15">
        <f>F13 - Portfolio_Mgmt!$C$10</f>
        <v>-3.5931412746689761E-2</v>
      </c>
      <c r="H13" s="15">
        <f>F13 - Portfolio_Mgmt!$C$11</f>
        <v>4.696858725331024E-2</v>
      </c>
      <c r="I13" s="15">
        <v>0</v>
      </c>
      <c r="J13" s="2">
        <v>14.127337914161044</v>
      </c>
      <c r="K13" s="2">
        <v>25.65314309432917</v>
      </c>
      <c r="L13" s="2">
        <v>24.086102305457793</v>
      </c>
      <c r="M13" s="2">
        <v>17.468744955843043</v>
      </c>
      <c r="N13" s="2">
        <v>21.427036865039046</v>
      </c>
      <c r="O13" s="4">
        <v>0.1022293647638824</v>
      </c>
      <c r="P13" s="4">
        <v>5.3571428571428575E-2</v>
      </c>
      <c r="Q13" s="4">
        <v>0.17275816461101692</v>
      </c>
      <c r="R13" s="4">
        <v>0.32389125963769955</v>
      </c>
      <c r="S13" s="79">
        <v>0.37580175109499292</v>
      </c>
      <c r="T13" s="78">
        <v>1.419320754716981</v>
      </c>
      <c r="U13" s="15">
        <v>9.2018392262565404E-2</v>
      </c>
      <c r="V13" s="76">
        <v>0.52808720739977155</v>
      </c>
      <c r="W13" s="71">
        <v>0.46133937662960256</v>
      </c>
      <c r="X13" s="13" t="s">
        <v>376</v>
      </c>
      <c r="Y13" s="11" t="s">
        <v>361</v>
      </c>
      <c r="Z13" s="14">
        <v>46081</v>
      </c>
      <c r="AA13" s="16" t="s">
        <v>181</v>
      </c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4.24E-2</v>
      </c>
      <c r="D4" s="34">
        <v>6.7500000000000004E-2</v>
      </c>
      <c r="E4" s="35">
        <f>D4-C4</f>
        <v>2.5100000000000004E-2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0.59425493423600362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20.3</v>
      </c>
      <c r="E4" s="59" t="str">
        <f>VLOOKUP(B4,Opportunities!B$3:E$30,4,FALSE)</f>
        <v>HKD</v>
      </c>
      <c r="F4" s="57">
        <v>4500</v>
      </c>
      <c r="G4" s="61">
        <f t="shared" ref="G4:G10" si="1">D4*F4</f>
        <v>91350</v>
      </c>
      <c r="H4" s="58">
        <f t="shared" si="0"/>
        <v>7.4475188389208066E-2</v>
      </c>
      <c r="I4" s="58">
        <f>VLOOKUP(B4,Opportunities!B$3:I$30,8,FALSE)</f>
        <v>0</v>
      </c>
      <c r="J4" s="81">
        <f>VLOOKUP(B4,Opportunities!B$3:N$30,12,FALSE)</f>
        <v>17.162849177728127</v>
      </c>
      <c r="K4" s="81">
        <f>VLOOKUP(B4,Opportunities!B$3:N$30,9,FALSE)</f>
        <v>13.771579680651501</v>
      </c>
      <c r="L4" s="81">
        <f>VLOOKUP(B4,Opportunities!B$3:N$30,11,FALSE)</f>
        <v>23.908149733398275</v>
      </c>
      <c r="M4" s="81">
        <f>VLOOKUP(B4,Opportunities!B$3:N$30,13,FALSE)</f>
        <v>21.193864996946505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23.52</v>
      </c>
      <c r="E5" s="59" t="str">
        <f>VLOOKUP(B5,Opportunities!B$3:E$30,4,FALSE)</f>
        <v>HKD</v>
      </c>
      <c r="F5" s="57">
        <v>4000</v>
      </c>
      <c r="G5" s="61">
        <f t="shared" si="1"/>
        <v>94080</v>
      </c>
      <c r="H5" s="58">
        <f t="shared" si="0"/>
        <v>7.6700883674402795E-2</v>
      </c>
      <c r="I5" s="58">
        <f>VLOOKUP(B5,Opportunities!B$3:I$30,8,FALSE)</f>
        <v>0</v>
      </c>
      <c r="J5" s="81">
        <f>VLOOKUP(B5,Opportunities!B$3:N$30,12,FALSE)</f>
        <v>17.468744955843043</v>
      </c>
      <c r="K5" s="81">
        <f>VLOOKUP(B5,Opportunities!B$3:N$30,9,FALSE)</f>
        <v>14.127337914161044</v>
      </c>
      <c r="L5" s="81">
        <f>VLOOKUP(B5,Opportunities!B$3:N$30,11,FALSE)</f>
        <v>24.086102305457793</v>
      </c>
      <c r="M5" s="81">
        <f>VLOOKUP(B5,Opportunities!B$3:N$30,13,FALSE)</f>
        <v>21.427036865039046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0.10663770816976918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7.95</v>
      </c>
      <c r="E7" s="59" t="str">
        <f>VLOOKUP(B7,Opportunities!B$3:E$30,4,FALSE)</f>
        <v>HKD</v>
      </c>
      <c r="F7" s="57">
        <v>8000</v>
      </c>
      <c r="G7" s="61">
        <f t="shared" si="1"/>
        <v>63600</v>
      </c>
      <c r="H7" s="58">
        <f t="shared" si="0"/>
        <v>5.1851362688052911E-2</v>
      </c>
      <c r="I7" s="58">
        <f>VLOOKUP(B7,Opportunities!B$3:I$30,8,FALSE)</f>
        <v>2.2390070127111042E-2</v>
      </c>
      <c r="J7" s="81">
        <f>VLOOKUP(B7,Opportunities!B$3:N$30,12,FALSE)</f>
        <v>7.2731452471900422</v>
      </c>
      <c r="K7" s="81">
        <f>VLOOKUP(B7,Opportunities!B$3:N$30,9,FALSE)</f>
        <v>5.8508094035798797</v>
      </c>
      <c r="L7" s="81">
        <f>VLOOKUP(B7,Opportunities!B$3:N$30,11,FALSE)</f>
        <v>10.098341412573976</v>
      </c>
      <c r="M7" s="81">
        <f>VLOOKUP(B7,Opportunities!B$3:N$30,13,FALSE)</f>
        <v>8.9619935086740625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10.69</v>
      </c>
      <c r="E8" s="59" t="str">
        <f>VLOOKUP(B8,Opportunities!B$3:E$30,4,FALSE)</f>
        <v>HKD</v>
      </c>
      <c r="F8" s="57">
        <v>5000</v>
      </c>
      <c r="G8" s="61">
        <f t="shared" si="1"/>
        <v>53450</v>
      </c>
      <c r="H8" s="58">
        <f t="shared" si="0"/>
        <v>4.3576341755918679E-2</v>
      </c>
      <c r="I8" s="58">
        <f>VLOOKUP(B8,Opportunities!B$3:I$30,8,FALSE)</f>
        <v>0.12282832519645916</v>
      </c>
      <c r="J8" s="81">
        <f>VLOOKUP(B8,Opportunities!B$3:N$30,12,FALSE)</f>
        <v>12.047645627751585</v>
      </c>
      <c r="K8" s="81">
        <f>VLOOKUP(B8,Opportunities!B$3:N$30,9,FALSE)</f>
        <v>9.7033478758444449</v>
      </c>
      <c r="L8" s="81">
        <f>VLOOKUP(B8,Opportunities!B$3:N$30,11,FALSE)</f>
        <v>16.701048329677697</v>
      </c>
      <c r="M8" s="81">
        <f>VLOOKUP(B8,Opportunities!B$3:N$30,13,FALSE)</f>
        <v>14.829763026691854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4.6399999999999997</v>
      </c>
      <c r="E9" s="59" t="str">
        <f>VLOOKUP(B9,Opportunities!B$3:E$30,4,FALSE)</f>
        <v>HKD</v>
      </c>
      <c r="F9" s="57">
        <v>4000</v>
      </c>
      <c r="G9" s="61">
        <f t="shared" si="1"/>
        <v>18560</v>
      </c>
      <c r="H9" s="58">
        <f t="shared" si="0"/>
        <v>1.5131466847331163E-2</v>
      </c>
      <c r="I9" s="58">
        <f>VLOOKUP(B9,Opportunities!B$3:I$30,8,FALSE)</f>
        <v>8.6963132319311978E-2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3.82</v>
      </c>
      <c r="E10" s="59" t="str">
        <f>VLOOKUP(B10,Opportunities!B$3:E$30,4,FALSE)</f>
        <v>HKD</v>
      </c>
      <c r="F10" s="57">
        <v>12000</v>
      </c>
      <c r="G10" s="61">
        <f t="shared" si="1"/>
        <v>45840</v>
      </c>
      <c r="H10" s="58">
        <f t="shared" ref="H10" si="2">G10/$G$12</f>
        <v>3.7372114239313609E-2</v>
      </c>
      <c r="I10" s="58">
        <f>VLOOKUP(B10,Opportunities!B$3:I$30,8,FALSE)</f>
        <v>0.12053505369776572</v>
      </c>
      <c r="J10" s="81">
        <f>VLOOKUP(B10,Opportunities!B$3:N$30,12,FALSE)</f>
        <v>4.2725703798886503</v>
      </c>
      <c r="K10" s="81">
        <f>VLOOKUP(B10,Opportunities!B$3:N$30,9,FALSE)</f>
        <v>3.4452771100855677</v>
      </c>
      <c r="L10" s="81">
        <f>VLOOKUP(B10,Opportunities!B$3:N$30,11,FALSE)</f>
        <v>5.9136551740369852</v>
      </c>
      <c r="M10" s="81">
        <f>VLOOKUP(B10,Opportunities!B$3:N$30,13,FALSE)</f>
        <v>5.253862180974143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1226583</v>
      </c>
      <c r="H12" s="67">
        <f>SUM(H3:H10)</f>
        <v>1</v>
      </c>
      <c r="I12" s="73">
        <f>SUM(I3:I10)</f>
        <v>0.90433690485366647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20.3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17.162849177728127</v>
      </c>
      <c r="K15" s="81">
        <f>VLOOKUP(B15,Opportunities!B$3:N$30,9,FALSE)</f>
        <v>13.771579680651501</v>
      </c>
      <c r="L15" s="81">
        <f>VLOOKUP(B15,Opportunities!B$3:N$30,11,FALSE)</f>
        <v>23.908149733398275</v>
      </c>
      <c r="M15" s="81">
        <f>VLOOKUP(B15,Opportunities!B$3:N$30,13,FALSE)</f>
        <v>21.193864996946505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23.52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17.468744955843043</v>
      </c>
      <c r="K16" s="81">
        <f>VLOOKUP(B16,Opportunities!B$3:N$30,9,FALSE)</f>
        <v>14.127337914161044</v>
      </c>
      <c r="L16" s="81">
        <f>VLOOKUP(B16,Opportunities!B$3:N$30,11,FALSE)</f>
        <v>24.086102305457793</v>
      </c>
      <c r="M16" s="81">
        <f>VLOOKUP(B16,Opportunities!B$3:N$30,13,FALSE)</f>
        <v>21.427036865039046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3.82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0.12053505369776572</v>
      </c>
      <c r="J18" s="81">
        <f>VLOOKUP(B18,Opportunities!B$3:N$30,12,FALSE)</f>
        <v>4.2725703798886503</v>
      </c>
      <c r="K18" s="81">
        <f>VLOOKUP(B18,Opportunities!B$3:N$30,9,FALSE)</f>
        <v>3.4452771100855677</v>
      </c>
      <c r="L18" s="81">
        <f>VLOOKUP(B18,Opportunities!B$3:N$30,11,FALSE)</f>
        <v>5.9136551740369852</v>
      </c>
      <c r="M18" s="81">
        <f>VLOOKUP(B18,Opportunities!B$3:N$30,13,FALSE)</f>
        <v>5.253862180974143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10.69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0.12282832519645916</v>
      </c>
      <c r="J19" s="81">
        <f>VLOOKUP(B19,Opportunities!B$3:N$30,12,FALSE)</f>
        <v>12.047645627751585</v>
      </c>
      <c r="K19" s="81">
        <f>VLOOKUP(B19,Opportunities!B$3:N$30,9,FALSE)</f>
        <v>9.7033478758444449</v>
      </c>
      <c r="L19" s="81">
        <f>VLOOKUP(B19,Opportunities!B$3:N$30,11,FALSE)</f>
        <v>16.701048329677697</v>
      </c>
      <c r="M19" s="81">
        <f>VLOOKUP(B19,Opportunities!B$3:N$30,13,FALSE)</f>
        <v>14.829763026691854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7.95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2.2390070127111042E-2</v>
      </c>
      <c r="J20" s="81">
        <f>VLOOKUP(B20,Opportunities!B$3:N$30,12,FALSE)</f>
        <v>7.2731452471900422</v>
      </c>
      <c r="K20" s="81">
        <f>VLOOKUP(B20,Opportunities!B$3:N$30,9,FALSE)</f>
        <v>5.8508094035798797</v>
      </c>
      <c r="L20" s="81">
        <f>VLOOKUP(B20,Opportunities!B$3:N$30,11,FALSE)</f>
        <v>10.098341412573976</v>
      </c>
      <c r="M20" s="81">
        <f>VLOOKUP(B20,Opportunities!B$3:N$30,13,FALSE)</f>
        <v>8.9619935086740625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0.59425493423600362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2026-01-27T08:36:17Z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