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2DE3B09-093E-4286-9673-FC3F8AC3FC86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<sst xmlns="http://schemas.openxmlformats.org/spreadsheetml/2006/main" count="481" uniqueCount="389">
  <si>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</si>
  <si>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</si>
  <si>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</si>
  <si>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</si>
  <si>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</si>
  <si>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</si>
  <si>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</si>
  <si>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</si>
  <si>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</si>
  <si>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</si>
  <si>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</si>
  <si>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</si>
  <si>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</si>
  <si>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</si>
  <si>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</si>
  <si>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</si>
  <si>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</si>
  <si>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</si>
  <si>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</si>
  <si>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</si>
  <si>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</si>
  <si>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</si>
  <si>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</si>
  <si>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</si>
  <si>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</si>
  <si>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</si>
  <si>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</si>
  <si>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</si>
  <si>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</si>
  <si>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</si>
  <si>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</si>
  <si>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</si>
  <si>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</si>
  <si>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</si>
  <si>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</si>
  <si>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</si>
  <si>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</si>
  <si>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</si>
  <si>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</si>
  <si>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</si>
  <si>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</si>
  <si>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</si>
  <si>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</si>
  <si>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</si>
  <si>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</si>
  <si>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</si>
  <si>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</si>
  <si>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</si>
  <si>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</si>
  <si>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</si>
  <si>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</si>
  <si>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</si>
  <si>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</si>
  <si>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</si>
  <si>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</si>
  <si>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</si>
  <si>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</si>
  <si>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</si>
  <si>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</si>
  <si>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</si>
  <si>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</si>
  <si>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</si>
  <si>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</si>
  <si>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</si>
  <si>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</si>
  <si>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</si>
  <si>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</si>
  <si>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</si>
  <si>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</si>
  <si>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</si>
  <si>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</si>
  <si>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</si>
  <si>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</si>
  <si>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</si>
  <si>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</si>
  <si>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</si>
  <si>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</si>
  <si>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</si>
  <si>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</si>
  <si>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</si>
  <si>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</si>
  <si>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</si>
  <si>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</si>
  <si>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</si>
  <si>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</si>
  <si>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</si>
  <si>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</si>
  <si>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</si>
  <si>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</si>
  <si>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</si>
  <si>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</si>
  <si>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</si>
  <si>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</si>
  <si>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</si>
  <si>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</si>
  <si>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</si>
  <si>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</si>
  <si>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</si>
  <si>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</si>
  <si>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</si>
  <si>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</si>
  <si>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</si>
  <si>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</si>
  <si>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</si>
  <si>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</si>
  <si>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</si>
  <si>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</si>
  <si>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</si>
  <si>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</si>
  <si>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</si>
  <si>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</si>
  <si>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</si>
  <si>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</si>
  <si>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</si>
  <si>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</si>
  <si>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</si>
  <si>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</si>
  <si>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</si>
  <si>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</si>
  <si>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</si>
  <si>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</si>
  <si>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</si>
  <si>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</si>
  <si>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</si>
  <si>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</si>
  <si>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</si>
  <si>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</si>
  <si>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</si>
  <si>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</si>
  <si>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</si>
  <si>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</si>
  <si>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</si>
  <si>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</si>
  <si>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</si>
  <si>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</si>
  <si>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</si>
  <si>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</si>
  <si>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</si>
  <si>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</si>
  <si>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</si>
  <si>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</si>
  <si>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</si>
  <si>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</si>
  <si>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</si>
  <si>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</si>
  <si>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</si>
  <si>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</si>
  <si>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</si>
  <si>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</si>
  <si>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</si>
  <si>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</si>
  <si>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</si>
  <si>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</si>
  <si>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</si>
  <si>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</si>
  <si>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</si>
  <si>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</si>
  <si>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</si>
  <si>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</si>
  <si>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</si>
  <si>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</si>
  <si>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</si>
  <si>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</si>
  <si>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</si>
  <si>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</si>
  <si>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</si>
  <si>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</si>
  <si>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</si>
  <si>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</si>
  <si>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</si>
  <si>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</si>
  <si>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</si>
  <si>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</si>
  <si>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</si>
  <si>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</si>
  <si>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</si>
  <si>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</si>
  <si>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</si>
  <si>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</si>
  <si>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</si>
  <si>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</si>
  <si>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</si>
  <si>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</si>
  <si>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</si>
  <si>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</si>
  <si>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</si>
  <si>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</si>
  <si>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</si>
  <si>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</si>
  <si>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</si>
  <si>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</si>
  <si>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</si>
  <si>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</si>
  <si>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</si>
  <si>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</si>
  <si>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</si>
  <si>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</si>
  <si>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</si>
  <si>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</si>
  <si>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</si>
  <si>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</si>
  <si>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</si>
  <si>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</si>
  <si>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</si>
  <si>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</si>
  <si>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</si>
  <si>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</si>
  <si>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</si>
  <si>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</si>
  <si>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</si>
  <si>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</si>
  <si>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</si>
  <si>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</si>
  <si>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</si>
  <si>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</si>
  <si>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</si>
  <si>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</si>
  <si>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</si>
  <si>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</si>
  <si>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</si>
  <si>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</si>
  <si>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</si>
  <si>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</si>
  <si>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</si>
  <si>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</si>
  <si>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</si>
  <si>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</si>
  <si>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</si>
  <si>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</si>
  <si>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</si>
  <si>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</si>
  <si>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</si>
  <si>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</si>
  <si>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</si>
  <si>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</si>
  <si>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</si>
  <si>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</si>
  <si>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</si>
  <si>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</si>
  <si>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</si>
  <si>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</si>
  <si>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</si>
  <si>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</si>
  <si>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</si>
  <si>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</si>
  <si>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</si>
  <si>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</si>
  <si>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</si>
  <si>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</si>
  <si>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</si>
  <si>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</si>
  <si>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</si>
  <si>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</si>
  <si>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</si>
  <si>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</si>
  <si>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</si>
  <si>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</si>
  <si>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</si>
  <si>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</si>
  <si>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</si>
  <si>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</si>
  <si>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</si>
  <si>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</si>
  <si>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</si>
  <si>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</si>
  <si>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</si>
  <si>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</si>
  <si>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</si>
  <si>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</si>
  <si>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</si>
  <si>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</si>
  <si>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</si>
  <si>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</si>
  <si>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</si>
  <si>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</si>
  <si>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</si>
  <si>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</si>
  <si>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</si>
  <si>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</si>
  <si>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</si>
  <si>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</si>
  <si>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</si>
  <si>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</si>
  <si>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</si>
  <si>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</si>
  <si>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</si>
  <si>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</si>
  <si>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</si>
  <si>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</si>
  <si>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</si>
  <si>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</si>
  <si>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</si>
  <si>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</si>
  <si>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</si>
  <si>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</si>
  <si>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</si>
  <si>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</si>
  <si>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</si>
  <si>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</si>
  <si>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</si>
  <si>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</si>
  <si>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</si>
  <si>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</si>
  <si>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</si>
  <si>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</si>
  <si>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</si>
  <si>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</si>
  <si>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</si>
  <si>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</si>
  <si>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</si>
  <si>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</si>
  <si>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</si>
  <si>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</si>
  <si>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</si>
  <si>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</si>
  <si>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</si>
  <si>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</si>
  <si>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</si>
  <si>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</si>
  <si>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</si>
  <si>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</si>
  <si>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</si>
  <si>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</si>
  <si>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</si>
  <si>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</si>
  <si>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</si>
  <si>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</si>
  <si>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</si>
  <si>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</si>
  <si>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</si>
  <si>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</si>
  <si>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</si>
  <si>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</si>
  <si>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</si>
  <si>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</si>
  <si>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</si>
  <si>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</si>
  <si>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</si>
  <si>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</si>
  <si>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</si>
  <si>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</si>
  <si>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</si>
  <si>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</si>
  <si>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</si>
  <si>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</si>
  <si>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</si>
  <si>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</si>
  <si>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</si>
  <si>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</si>
  <si>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</si>
  <si>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</si>
  <si>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</si>
  <si>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</si>
  <si>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</si>
  <si>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</si>
  <si>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</si>
  <si>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</si>
  <si>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</si>
  <si>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</si>
  <si>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</si>
  <si>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</si>
  <si>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</si>
  <si>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</si>
  <si>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</si>
  <si>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</si>
  <si>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</si>
  <si>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</si>
  <si>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</si>
  <si>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</si>
  <si>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</si>
  <si>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</si>
  <si>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</si>
  <si>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</si>
  <si>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</si>
  <si>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</si>
  <si>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</si>
  <si>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</si>
  <si>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</si>
  <si>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</si>
  <si>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</si>
  <si>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</si>
  <si>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</si>
  <si>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</si>
  <si>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</si>
  <si>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</si>
  <si>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</si>
  <si>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</si>
  <si>
    <t>LULU</t>
  </si>
  <si>
    <t>lululemon athletica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</si>
</sst>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384</v>
      </c>
      <c r="C3" s="11" t="s">
        <v>385</v>
      </c>
      <c r="D3" s="2">
        <v>7.58</v>
      </c>
      <c r="E3" s="12" t="s">
        <v>136</v>
      </c>
      <c r="F3" s="15">
        <v>0.23482489268397044</v>
      </c>
      <c r="G3" s="15">
        <f>F3 - Portfolio_Mgmt!$C$10</f>
        <v>0.11742489268397044</v>
      </c>
      <c r="H3" s="15">
        <f>F3 - Portfolio_Mgmt!$C$11</f>
        <v>0.20032489268397044</v>
      </c>
      <c r="I3" s="15">
        <v>0</v>
      </c>
      <c r="J3" s="2">
        <v>5.8586945824552004</v>
      </c>
      <c r="K3" s="2">
        <v>12.973811066999007</v>
      </c>
      <c r="L3" s="74">
        <v>11.341374344019066</v>
      </c>
      <c r="M3" s="2">
        <v>7.3166217159225635</v>
      </c>
      <c r="N3" s="2">
        <v>10.13219177262668</v>
      </c>
      <c r="O3" s="4">
        <v>0.12045327965610227</v>
      </c>
      <c r="P3" s="4">
        <v>4.5554417471767805E-2</v>
      </c>
      <c r="Q3" s="4">
        <v>0.20035933197306158</v>
      </c>
      <c r="R3" s="4">
        <v>9.7688920174681254E-2</v>
      </c>
      <c r="S3" s="82">
        <v>1.2706604365715879</v>
      </c>
      <c r="T3" s="81">
        <v>1.6141160578600777</v>
      </c>
      <c r="U3" s="15">
        <v>0.27330444081724548</v>
      </c>
      <c r="V3" s="79">
        <v>1.3936222417470483</v>
      </c>
      <c r="W3" s="74">
        <v>-3.1931692575392558</v>
      </c>
      <c r="X3" s="13" t="s">
        <v>201</v>
      </c>
      <c r="Y3" s="11" t="s">
        <v>137</v>
      </c>
      <c r="Z3" s="14">
        <v>45900</v>
      </c>
      <c r="AA3" s="16" t="s">
        <v>225</v>
      </c>
    </row>
    <row r="4" spans="1:27">
      <c r="B4" s="11" t="s">
        <v>230</v>
      </c>
      <c r="C4" s="11" t="s">
        <v>231</v>
      </c>
      <c r="D4" s="2">
        <v>2.94</v>
      </c>
      <c r="E4" s="12" t="s">
        <v>136</v>
      </c>
      <c r="F4" s="15">
        <v>0.23204925986510649</v>
      </c>
      <c r="G4" s="15">
        <f>F4 - Portfolio_Mgmt!$C$10</f>
        <v>0.11464925986510649</v>
      </c>
      <c r="H4" s="15">
        <f>F4 - Portfolio_Mgmt!$C$11</f>
        <v>0.19754925986510649</v>
      </c>
      <c r="I4" s="15">
        <v>0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7.2945411680228764E-2</v>
      </c>
      <c r="P4" s="4">
        <v>9.1836734693877556E-2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210</v>
      </c>
      <c r="C5" s="11" t="s">
        <v>211</v>
      </c>
      <c r="D5" s="2">
        <v>18.559999999999999</v>
      </c>
      <c r="E5" s="12" t="s">
        <v>136</v>
      </c>
      <c r="F5" s="15">
        <v>0.212257410041504</v>
      </c>
      <c r="G5" s="15">
        <f>F5 - Portfolio_Mgmt!$C$10</f>
        <v>9.4857410041503998E-2</v>
      </c>
      <c r="H5" s="15">
        <f>F5 - Portfolio_Mgmt!$C$11</f>
        <v>0.177757410041504</v>
      </c>
      <c r="I5" s="15">
        <v>0</v>
      </c>
      <c r="J5" s="2">
        <v>13.690105032374277</v>
      </c>
      <c r="K5" s="2">
        <v>28.425442169027864</v>
      </c>
      <c r="L5" s="74">
        <v>26.158022549181624</v>
      </c>
      <c r="M5" s="2">
        <v>17.013346390542267</v>
      </c>
      <c r="N5" s="2">
        <v>23.414111039374653</v>
      </c>
      <c r="O5" s="4">
        <v>0.11143802711986091</v>
      </c>
      <c r="P5" s="4">
        <v>6.7887931034482762E-2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-0.45828963949177526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199</v>
      </c>
      <c r="C6" s="11" t="s">
        <v>200</v>
      </c>
      <c r="D6" s="2">
        <v>2.14</v>
      </c>
      <c r="E6" s="12" t="s">
        <v>136</v>
      </c>
      <c r="F6" s="15">
        <v>0.19054307365665335</v>
      </c>
      <c r="G6" s="15">
        <f>F6 - Portfolio_Mgmt!$C$10</f>
        <v>7.3143073656653346E-2</v>
      </c>
      <c r="H6" s="15">
        <f>F6 - Portfolio_Mgmt!$C$11</f>
        <v>0.15604307365665335</v>
      </c>
      <c r="I6" s="15">
        <v>0</v>
      </c>
      <c r="J6" s="2">
        <v>1.4883871617930917</v>
      </c>
      <c r="K6" s="2">
        <v>3.2864655631966784</v>
      </c>
      <c r="L6" s="74">
        <v>2.8795225080129727</v>
      </c>
      <c r="M6" s="2">
        <v>1.8583503683566993</v>
      </c>
      <c r="N6" s="2">
        <v>2.5727426300409442</v>
      </c>
      <c r="O6" s="4">
        <v>6.3082475233012081E-2</v>
      </c>
      <c r="P6" s="4">
        <v>4.2056074766355145E-2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1.8472247831360336</v>
      </c>
      <c r="X6" s="13" t="s">
        <v>386</v>
      </c>
      <c r="Y6" s="11" t="s">
        <v>137</v>
      </c>
      <c r="Z6" s="14">
        <v>45900</v>
      </c>
      <c r="AA6" s="16" t="s">
        <v>225</v>
      </c>
    </row>
    <row r="7" spans="1:27">
      <c r="B7" s="11" t="s">
        <v>187</v>
      </c>
      <c r="C7" s="11" t="s">
        <v>188</v>
      </c>
      <c r="D7" s="2">
        <v>3.37</v>
      </c>
      <c r="E7" s="12" t="s">
        <v>136</v>
      </c>
      <c r="F7" s="15">
        <v>0.19052491213845579</v>
      </c>
      <c r="G7" s="15">
        <f>F7 - Portfolio_Mgmt!$C$10</f>
        <v>7.3124912138455789E-2</v>
      </c>
      <c r="H7" s="15">
        <f>F7 - Portfolio_Mgmt!$C$11</f>
        <v>0.15602491213845579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8.4261880535217951E-2</v>
      </c>
      <c r="P7" s="4">
        <v>3.7982195845697328E-2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163</v>
      </c>
      <c r="C8" s="11" t="s">
        <v>192</v>
      </c>
      <c r="D8" s="2">
        <v>16.440000000000001</v>
      </c>
      <c r="E8" s="12" t="s">
        <v>136</v>
      </c>
      <c r="F8" s="15">
        <v>0.18478890733921638</v>
      </c>
      <c r="G8" s="15">
        <f>F8 - Portfolio_Mgmt!$C$10</f>
        <v>6.7388907339216375E-2</v>
      </c>
      <c r="H8" s="15">
        <f>F8 - Portfolio_Mgmt!$C$11</f>
        <v>0.15028890733921638</v>
      </c>
      <c r="I8" s="15">
        <v>0</v>
      </c>
      <c r="J8" s="2">
        <v>11.227050626084523</v>
      </c>
      <c r="K8" s="2">
        <v>25.614315705519939</v>
      </c>
      <c r="L8" s="74">
        <v>21.870281026912703</v>
      </c>
      <c r="M8" s="2">
        <v>14.054127696658487</v>
      </c>
      <c r="N8" s="2">
        <v>19.520637035777817</v>
      </c>
      <c r="O8" s="4">
        <v>6.2262844760986299E-2</v>
      </c>
      <c r="P8" s="4">
        <v>2.9279286059848711E-2</v>
      </c>
      <c r="Q8" s="4">
        <v>0.12359663258509958</v>
      </c>
      <c r="R8" s="4">
        <v>0.12331903625647535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4.6096536528236616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182</v>
      </c>
      <c r="C9" s="11" t="s">
        <v>183</v>
      </c>
      <c r="D9" s="2">
        <v>49.16</v>
      </c>
      <c r="E9" s="12" t="s">
        <v>136</v>
      </c>
      <c r="F9" s="15">
        <v>0.17338980417366057</v>
      </c>
      <c r="G9" s="15">
        <f>F9 - Portfolio_Mgmt!$C$10</f>
        <v>5.5989804173660562E-2</v>
      </c>
      <c r="H9" s="15">
        <f>F9 - Portfolio_Mgmt!$C$11</f>
        <v>0.13888980417366056</v>
      </c>
      <c r="I9" s="15">
        <v>0</v>
      </c>
      <c r="J9" s="2">
        <v>32.738281931413638</v>
      </c>
      <c r="K9" s="2">
        <v>72.992763414881267</v>
      </c>
      <c r="L9" s="74">
        <v>63.465405696820987</v>
      </c>
      <c r="M9" s="2">
        <v>40.907034475038586</v>
      </c>
      <c r="N9" s="2">
        <v>56.687135227071359</v>
      </c>
      <c r="O9" s="4">
        <v>4.6929002093175333E-2</v>
      </c>
      <c r="P9" s="4">
        <v>3.6835429546497725E-2</v>
      </c>
      <c r="Q9" s="4">
        <v>0.13507589100475037</v>
      </c>
      <c r="R9" s="4">
        <v>0.12563565731217449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1.359014351272982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21.62</v>
      </c>
      <c r="E10" s="12" t="s">
        <v>206</v>
      </c>
      <c r="F10" s="15">
        <v>0.17084347443567771</v>
      </c>
      <c r="G10" s="15">
        <f>F10 - Portfolio_Mgmt!$C$10</f>
        <v>5.3443474435677707E-2</v>
      </c>
      <c r="H10" s="15">
        <f>F10 - Portfolio_Mgmt!$C$11</f>
        <v>0.13634347443567771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0.21086778664839009</v>
      </c>
      <c r="P10" s="4">
        <v>1.9219241443108232E-2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58.65</v>
      </c>
      <c r="E11" s="12" t="s">
        <v>136</v>
      </c>
      <c r="F11" s="15">
        <v>0.1442047935798827</v>
      </c>
      <c r="G11" s="15">
        <f>F11 - Portfolio_Mgmt!$C$10</f>
        <v>2.6804793579882691E-2</v>
      </c>
      <c r="H11" s="15">
        <f>F11 - Portfolio_Mgmt!$C$11</f>
        <v>0.10970479357988269</v>
      </c>
      <c r="I11" s="15">
        <v>0</v>
      </c>
      <c r="J11" s="2">
        <v>37.200212641348479</v>
      </c>
      <c r="K11" s="2">
        <v>70.237919202457775</v>
      </c>
      <c r="L11" s="74">
        <v>69.806923825038027</v>
      </c>
      <c r="M11" s="2">
        <v>45.921133351658376</v>
      </c>
      <c r="N11" s="2">
        <v>62.653125106978429</v>
      </c>
      <c r="O11" s="4">
        <v>9.0677071196342079E-2</v>
      </c>
      <c r="P11" s="4">
        <v>8.6992497868712715E-2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-2.6746229777492898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26.8</v>
      </c>
      <c r="E12" s="12" t="s">
        <v>206</v>
      </c>
      <c r="F12" s="15">
        <v>0.14278622560297993</v>
      </c>
      <c r="G12" s="15">
        <f>F12 - Portfolio_Mgmt!$C$10</f>
        <v>2.5386225602979928E-2</v>
      </c>
      <c r="H12" s="15">
        <f>F12 - Portfolio_Mgmt!$C$11</f>
        <v>0.10828622560297993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9.4745052514290953E-2</v>
      </c>
      <c r="P12" s="4">
        <v>4.1791044776119397E-2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7.39</v>
      </c>
      <c r="E13" s="12" t="s">
        <v>136</v>
      </c>
      <c r="F13" s="15">
        <v>0.11493105893633504</v>
      </c>
      <c r="G13" s="15">
        <f>F13 - Portfolio_Mgmt!$C$10</f>
        <v>-2.4689410636649645E-3</v>
      </c>
      <c r="H13" s="15">
        <f>F13 - Portfolio_Mgmt!$C$11</f>
        <v>8.0431058936335037E-2</v>
      </c>
      <c r="I13" s="15">
        <v>0</v>
      </c>
      <c r="J13" s="2">
        <v>4.2944877479549293</v>
      </c>
      <c r="K13" s="2">
        <v>8.9064569464300298</v>
      </c>
      <c r="L13" s="2">
        <v>8.2036942209558639</v>
      </c>
      <c r="M13" s="2">
        <v>5.3365052884499029</v>
      </c>
      <c r="N13" s="2">
        <v>7.3433977611414214</v>
      </c>
      <c r="O13" s="4">
        <v>0.10665065059937232</v>
      </c>
      <c r="P13" s="4">
        <v>5.3822132525519636E-2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-3.879756841758494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16.13</v>
      </c>
      <c r="E14" s="12" t="s">
        <v>136</v>
      </c>
      <c r="F14" s="15">
        <v>9.8685421802452877E-2</v>
      </c>
      <c r="G14" s="15">
        <f>F14 - Portfolio_Mgmt!$C$10</f>
        <v>-1.8714578197547127E-2</v>
      </c>
      <c r="H14" s="15">
        <f>F14 - Portfolio_Mgmt!$C$11</f>
        <v>6.4185421802452874E-2</v>
      </c>
      <c r="I14" s="15">
        <v>0</v>
      </c>
      <c r="J14" s="2">
        <v>8.9916396079421457</v>
      </c>
      <c r="K14" s="2">
        <v>18.605281151290658</v>
      </c>
      <c r="L14" s="2">
        <v>17.168827379579184</v>
      </c>
      <c r="M14" s="2">
        <v>11.171489842580817</v>
      </c>
      <c r="N14" s="2">
        <v>15.369414731452171</v>
      </c>
      <c r="O14" s="4">
        <v>9.6290584031846913E-2</v>
      </c>
      <c r="P14" s="4">
        <v>5.2264448853068815E-2</v>
      </c>
      <c r="Q14" s="4">
        <v>0.26418103369409113</v>
      </c>
      <c r="R14" s="4">
        <v>0.11373786352822013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-12.277186765755959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227</v>
      </c>
      <c r="C15" s="11" t="s">
        <v>228</v>
      </c>
      <c r="D15" s="2">
        <v>6.5</v>
      </c>
      <c r="E15" s="12" t="s">
        <v>136</v>
      </c>
      <c r="F15" s="15">
        <v>9.572177520852998E-2</v>
      </c>
      <c r="G15" s="15">
        <f>F15 - Portfolio_Mgmt!$C$10</f>
        <v>-2.1678224791470024E-2</v>
      </c>
      <c r="H15" s="15">
        <f>F15 - Portfolio_Mgmt!$C$11</f>
        <v>6.1221775208529977E-2</v>
      </c>
      <c r="I15" s="15">
        <v>0</v>
      </c>
      <c r="J15" s="2">
        <v>3.6036658259915511</v>
      </c>
      <c r="K15" s="2">
        <v>7.3642693066239637</v>
      </c>
      <c r="L15" s="2">
        <v>6.8641356814360206</v>
      </c>
      <c r="M15" s="2">
        <v>4.4732258849914697</v>
      </c>
      <c r="N15" s="2">
        <v>6.1469536878205542</v>
      </c>
      <c r="O15" s="4">
        <v>5.683109759145924E-2</v>
      </c>
      <c r="P15" s="4">
        <v>5.5384615384615379E-2</v>
      </c>
      <c r="Q15" s="4">
        <v>7.0630420943605887E-2</v>
      </c>
      <c r="R15" s="4">
        <v>9.3039179367971361E-2</v>
      </c>
      <c r="S15" s="82">
        <v>0.62627525695225639</v>
      </c>
      <c r="T15" s="81">
        <v>1.2121620122817016</v>
      </c>
      <c r="U15" s="15">
        <v>1.1610019159010268E-2</v>
      </c>
      <c r="V15" s="79">
        <v>0.16381589511191816</v>
      </c>
      <c r="W15" s="74">
        <v>3.7980767021052162</v>
      </c>
      <c r="X15" s="13" t="s">
        <v>229</v>
      </c>
      <c r="Y15" s="11" t="s">
        <v>137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20.52</v>
      </c>
      <c r="E16" s="12" t="s">
        <v>136</v>
      </c>
      <c r="F16" s="15">
        <v>8.785914791671523E-2</v>
      </c>
      <c r="G16" s="15">
        <f>F16 - Portfolio_Mgmt!$C$10</f>
        <v>-2.9540852083284774E-2</v>
      </c>
      <c r="H16" s="15">
        <f>F16 - Portfolio_Mgmt!$C$11</f>
        <v>5.3359147916715227E-2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8.4209844998519953E-2</v>
      </c>
      <c r="P16" s="4">
        <v>6.6276803118908392E-2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138</v>
      </c>
      <c r="C17" s="11" t="s">
        <v>176</v>
      </c>
      <c r="D17" s="2">
        <v>9.27</v>
      </c>
      <c r="E17" s="12" t="s">
        <v>136</v>
      </c>
      <c r="F17" s="15">
        <v>6.5740012039347873E-2</v>
      </c>
      <c r="G17" s="15">
        <f>F17 - Portfolio_Mgmt!$C$10</f>
        <v>-5.1659987960652132E-2</v>
      </c>
      <c r="H17" s="15">
        <f>F17 - Portfolio_Mgmt!$C$11</f>
        <v>3.124001203934787E-2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3.3322370224624059E-2</v>
      </c>
      <c r="P17" s="4">
        <v>6.2567421790722763E-2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2.7</v>
      </c>
      <c r="E18" s="12" t="s">
        <v>136</v>
      </c>
      <c r="F18" s="15">
        <v>5.7294843465768519E-2</v>
      </c>
      <c r="G18" s="15">
        <f>F18 - Portfolio_Mgmt!$C$10</f>
        <v>-6.0105156534231485E-2</v>
      </c>
      <c r="H18" s="15">
        <f>F18 - Portfolio_Mgmt!$C$11</f>
        <v>2.2794843465768516E-2</v>
      </c>
      <c r="I18" s="15">
        <v>0</v>
      </c>
      <c r="J18" s="2">
        <v>1.3422607090713248</v>
      </c>
      <c r="K18" s="2">
        <v>2.8369122612537301</v>
      </c>
      <c r="L18" s="2">
        <v>2.5737597484435435</v>
      </c>
      <c r="M18" s="2">
        <v>1.6702961646344168</v>
      </c>
      <c r="N18" s="2">
        <v>2.302575861980956</v>
      </c>
      <c r="O18" s="4">
        <v>3.1188436400481256E-2</v>
      </c>
      <c r="P18" s="4">
        <v>4.1324583878359709E-2</v>
      </c>
      <c r="Q18" s="4">
        <v>4.3343263954057E-2</v>
      </c>
      <c r="R18" s="4">
        <v>8.4128152578924739E-2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1.9120534151497421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2.04</v>
      </c>
      <c r="E19" s="12" t="s">
        <v>136</v>
      </c>
      <c r="F19" s="15">
        <v>1.1804731802044666E-2</v>
      </c>
      <c r="G19" s="15">
        <f>F19 - Portfolio_Mgmt!$C$10</f>
        <v>-0.10559526819795534</v>
      </c>
      <c r="H19" s="15">
        <f>F19 - Portfolio_Mgmt!$C$11</f>
        <v>-2.2695268197955337E-2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4.6998314924200559E-3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 t="s">
        <v>387</v>
      </c>
      <c r="C20" s="11" t="s">
        <v>388</v>
      </c>
      <c r="D20" s="2">
        <v>196.45</v>
      </c>
      <c r="E20" s="12" t="s">
        <v>206</v>
      </c>
      <c r="F20" s="15">
        <v>-3.3542605330217801E-2</v>
      </c>
      <c r="G20" s="15">
        <f>F20 - Portfolio_Mgmt!$C$10</f>
        <v>-0.15094260533021781</v>
      </c>
      <c r="H20" s="15">
        <f>F20 - Portfolio_Mgmt!$C$11</f>
        <v>-6.8042605330217804E-2</v>
      </c>
      <c r="I20" s="15">
        <v>0</v>
      </c>
      <c r="J20" s="2">
        <v>72.077359410971269</v>
      </c>
      <c r="K20" s="2">
        <v>177.33733316076845</v>
      </c>
      <c r="L20" s="2">
        <v>142.74956069640638</v>
      </c>
      <c r="M20" s="2">
        <v>90.796714578313441</v>
      </c>
      <c r="N20" s="2">
        <v>127.10837661250939</v>
      </c>
      <c r="O20" s="4">
        <v>6.5028286661746204E-2</v>
      </c>
      <c r="P20" s="4">
        <v>0</v>
      </c>
      <c r="Q20" s="4">
        <v>0.48081993064288991</v>
      </c>
      <c r="R20" s="4">
        <v>0.20413416289275171</v>
      </c>
      <c r="S20" s="82">
        <v>1.3597528471337827</v>
      </c>
      <c r="T20" s="81">
        <v>1.7322349326389359</v>
      </c>
      <c r="U20" s="15">
        <v>0.39789116391619672</v>
      </c>
      <c r="V20" s="79">
        <v>0.82752635354401471</v>
      </c>
      <c r="W20" s="74">
        <v>-4.6442002930258699</v>
      </c>
      <c r="X20" s="13" t="s">
        <v>181</v>
      </c>
      <c r="Y20" s="11" t="s">
        <v>137</v>
      </c>
      <c r="Z20" s="14">
        <v>46053</v>
      </c>
      <c r="AA20" s="11" t="s">
        <v>225</v>
      </c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4.2300000000000004E-2</v>
      </c>
      <c r="D4" s="34">
        <v>7.4999999999999997E-2</v>
      </c>
      <c r="E4" s="35">
        <f>D4-C4</f>
        <v>3.2699999999999993E-2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0.63599983120463621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16.440000000000001</v>
      </c>
      <c r="D4" s="62" t="str">
        <f>VLOOKUP(B4,Opportunities!B$3:E$30,4,FALSE)</f>
        <v>HKD</v>
      </c>
      <c r="E4" s="59">
        <v>9000</v>
      </c>
      <c r="F4" s="64">
        <f>C4*E4</f>
        <v>147960</v>
      </c>
      <c r="G4" s="61">
        <f>F4/$F$8</f>
        <v>0.1300779271929331</v>
      </c>
      <c r="H4" s="61">
        <f>VLOOKUP(B4,Opportunities!B$3:I$30,8,FALSE)</f>
        <v>0</v>
      </c>
      <c r="I4" s="84">
        <f>VLOOKUP(B4,Opportunities!B$3:N$30,12,FALSE)</f>
        <v>14.054127696658487</v>
      </c>
      <c r="J4" s="84">
        <f>VLOOKUP(B4,Opportunities!B$3:N$30,9,FALSE)</f>
        <v>11.227050626084523</v>
      </c>
      <c r="K4" s="84">
        <f>VLOOKUP(B4,Opportunities!B$3:N$30,11,FALSE)</f>
        <v>21.870281026912703</v>
      </c>
      <c r="L4" s="84">
        <f>VLOOKUP(B4,Opportunities!B$3:N$30,13,FALSE)</f>
        <v>19.520637035777817</v>
      </c>
    </row>
    <row r="5" spans="1:12">
      <c r="B5" s="66" t="s">
        <v>210</v>
      </c>
      <c r="C5" s="63">
        <f>VLOOKUP(B5,Opportunities!B$3:E$30,3,FALSE)</f>
        <v>18.559999999999999</v>
      </c>
      <c r="D5" s="62" t="str">
        <f>VLOOKUP(B5,Opportunities!B$3:E$30,4,FALSE)</f>
        <v>HKD</v>
      </c>
      <c r="E5" s="59">
        <v>8000</v>
      </c>
      <c r="F5" s="64">
        <f>C5*E5</f>
        <v>148480</v>
      </c>
      <c r="G5" s="61">
        <f>F5/$F$8</f>
        <v>0.13053508130310021</v>
      </c>
      <c r="H5" s="61">
        <f>VLOOKUP(B5,Opportunities!B$3:I$30,8,FALSE)</f>
        <v>0</v>
      </c>
      <c r="I5" s="84">
        <f>VLOOKUP(B5,Opportunities!B$3:N$30,12,FALSE)</f>
        <v>17.013346390542267</v>
      </c>
      <c r="J5" s="84">
        <f>VLOOKUP(B5,Opportunities!B$3:N$30,9,FALSE)</f>
        <v>13.690105032374277</v>
      </c>
      <c r="K5" s="84">
        <f>VLOOKUP(B5,Opportunities!B$3:N$30,11,FALSE)</f>
        <v>26.158022549181624</v>
      </c>
      <c r="L5" s="84">
        <f>VLOOKUP(B5,Opportunities!B$3:N$30,13,FALSE)</f>
        <v>23.414111039374653</v>
      </c>
    </row>
    <row r="6" spans="1:12">
      <c r="B6" s="66" t="s">
        <v>230</v>
      </c>
      <c r="C6" s="63">
        <f>VLOOKUP(B6,Opportunities!B$3:E$30,3,FALSE)</f>
        <v>2.94</v>
      </c>
      <c r="D6" s="62" t="str">
        <f>VLOOKUP(B6,Opportunities!B$3:E$30,4,FALSE)</f>
        <v>HKD</v>
      </c>
      <c r="E6" s="59">
        <v>40000</v>
      </c>
      <c r="F6" s="64">
        <f>C6*E6</f>
        <v>117600</v>
      </c>
      <c r="G6" s="61">
        <f t="shared" ref="G6" si="0">F6/$F$8</f>
        <v>0.10338716029933044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1137472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16.440000000000001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14.054127696658487</v>
      </c>
      <c r="J11" s="84">
        <f>VLOOKUP(B11,Opportunities!B$3:N$30,9,FALSE)</f>
        <v>11.227050626084523</v>
      </c>
      <c r="K11" s="84">
        <f>VLOOKUP(B11,Opportunities!B$3:N$30,11,FALSE)</f>
        <v>21.870281026912703</v>
      </c>
      <c r="L11" s="84">
        <f>VLOOKUP(B11,Opportunities!B$3:N$30,13,FALSE)</f>
        <v>19.520637035777817</v>
      </c>
    </row>
    <row r="12" spans="1:12">
      <c r="B12" s="66" t="s">
        <v>210</v>
      </c>
      <c r="C12" s="63">
        <f>VLOOKUP(B12,Opportunities!B$3:E$30,3,FALSE)</f>
        <v>18.559999999999999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17.013346390542267</v>
      </c>
      <c r="J12" s="84">
        <f>VLOOKUP(B12,Opportunities!B$3:N$30,9,FALSE)</f>
        <v>13.690105032374277</v>
      </c>
      <c r="K12" s="84">
        <f>VLOOKUP(B12,Opportunities!B$3:N$30,11,FALSE)</f>
        <v>26.158022549181624</v>
      </c>
      <c r="L12" s="84">
        <f>VLOOKUP(B12,Opportunities!B$3:N$30,13,FALSE)</f>
        <v>23.414111039374653</v>
      </c>
    </row>
    <row r="13" spans="1:12">
      <c r="B13" s="66" t="s">
        <v>230</v>
      </c>
      <c r="C13" s="63">
        <f>VLOOKUP(B13,Opportunities!B$3:E$30,3,FALSE)</f>
        <v>2.94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0.63599983120463621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2025-08-05T03:13:30Z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