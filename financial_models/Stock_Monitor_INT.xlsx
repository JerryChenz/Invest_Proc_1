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DDC75FF-7A3B-4289-BF70-E874B0BDEE53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B83" i="5"/>
  <c r="B80" i="5"/>
  <c r="C32" i="5" l="1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G10" i="1" l="1"/>
  <c r="G18" i="1"/>
  <c r="G15" i="1"/>
  <c r="G9" i="1"/>
  <c r="G3" i="1"/>
  <c r="G11" i="1"/>
  <c r="G19" i="1"/>
  <c r="G16" i="1"/>
  <c r="G4" i="1"/>
  <c r="G12" i="1"/>
  <c r="G7" i="1"/>
  <c r="G17" i="1"/>
  <c r="G5" i="1"/>
  <c r="G13" i="1"/>
  <c r="G14" i="1"/>
  <c r="G8" i="1"/>
  <c r="G6" i="1"/>
  <c r="H18" i="7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<sst xmlns="http://schemas.openxmlformats.org/spreadsheetml/2006/main" count="373" uniqueCount="291">
  <si>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</si>
  <si>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</si>
  <si>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</si>
  <si>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</si>
  <si>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</si>
  <si>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</si>
  <si>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</si>
  <si>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</si>
  <si>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</si>
  <si>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</si>
  <si>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</si>
  <si>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</si>
  <si>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</si>
  <si>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</si>
  <si>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</si>
  <si>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</si>
  <si>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</si>
  <si>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</si>
  <si>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</si>
  <si>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</si>
  <si>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</si>
  <si>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</si>
  <si>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</si>
  <si>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</si>
  <si>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</si>
  <si>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</si>
  <si>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</si>
  <si>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</si>
  <si>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</si>
  <si>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</si>
  <si>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</si>
  <si>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</si>
  <si>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</si>
  <si>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</si>
  <si>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</si>
  <si>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</si>
  <si>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</si>
  <si>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</si>
  <si>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</si>
  <si>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</si>
  <si>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</si>
  <si>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</si>
  <si>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</si>
  <si>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</si>
  <si>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</si>
  <si>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</si>
  <si>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</si>
  <si>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</si>
  <si>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</si>
  <si>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</si>
  <si>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</si>
  <si>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</si>
  <si>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</si>
  <si>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</si>
  <si>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</si>
  <si>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</si>
  <si>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</si>
  <si>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</si>
  <si>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</si>
  <si>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</si>
  <si>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</si>
  <si>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</si>
  <si>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</si>
  <si>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</si>
  <si>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</si>
  <si>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</si>
  <si>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</si>
  <si>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</si>
  <si>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</si>
  <si>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</si>
  <si>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</si>
  <si>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</si>
  <si>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</si>
  <si>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</si>
  <si>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</si>
  <si>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</si>
  <si>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</si>
  <si>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</si>
  <si>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</si>
  <si>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</si>
  <si>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</si>
  <si>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</si>
  <si>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</si>
  <si>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</si>
  <si>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</si>
  <si>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</si>
  <si>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</si>
  <si>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</si>
  <si>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</si>
  <si>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</si>
  <si>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</si>
  <si>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</si>
  <si>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</si>
  <si>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</si>
  <si>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</si>
  <si>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</si>
  <si>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</si>
  <si>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</si>
  <si>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</si>
  <si>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</si>
  <si>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</si>
  <si>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</si>
  <si>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</si>
  <si>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</si>
  <si>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</si>
  <si>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</si>
  <si>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</si>
  <si>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</si>
  <si>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</si>
  <si>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</si>
  <si>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</si>
  <si>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</si>
  <si>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</si>
  <si>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</si>
  <si>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</si>
  <si>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</si>
  <si>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</si>
  <si>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</si>
  <si>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</si>
  <si>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</si>
  <si>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</si>
  <si>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</si>
  <si>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</si>
  <si>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</si>
  <si>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</si>
  <si>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</si>
  <si>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</si>
  <si>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</si>
  <si>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</si>
  <si>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</si>
  <si>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</si>
  <si>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</si>
  <si>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</si>
  <si>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</si>
  <si>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</si>
  <si>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</si>
  <si>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</si>
  <si>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</si>
  <si>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</si>
  <si>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</si>
  <si>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</si>
  <si>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</si>
  <si>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</si>
  <si>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</si>
  <si>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</si>
  <si>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</si>
  <si>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</si>
  <si>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</si>
  <si>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</si>
  <si>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</si>
  <si>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</si>
  <si>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</si>
  <si>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</si>
  <si>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</si>
  <si>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</si>
  <si>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</si>
  <si>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</si>
  <si>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</si>
  <si>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</si>
  <si>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</si>
  <si>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</si>
  <si>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</si>
  <si>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</si>
  <si>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</si>
  <si>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</si>
  <si>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</si>
  <si>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</si>
  <si>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</si>
  <si>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</si>
  <si>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</si>
  <si>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</si>
  <si>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</si>
  <si>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</si>
  <si>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</si>
  <si>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</si>
  <si>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</si>
  <si>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</si>
  <si>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</si>
  <si>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</si>
  <si>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</si>
  <si>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</si>
  <si>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</si>
  <si>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</si>
  <si>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</si>
  <si>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</si>
  <si>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</si>
  <si>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</si>
  <si>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</si>
  <si>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</si>
  <si>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</si>
  <si>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</si>
  <si>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</si>
  <si>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</si>
  <si>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</si>
  <si>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</si>
  <si>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</si>
  <si>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</si>
  <si>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</si>
  <si>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</si>
  <si>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</si>
  <si>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</si>
  <si>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</si>
  <si>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</si>
  <si>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</si>
  <si>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</si>
  <si>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</si>
  <si>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</si>
  <si>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</si>
  <si>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</si>
  <si>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</si>
  <si>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</si>
  <si>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</si>
  <si>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</si>
  <si>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</si>
  <si>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</si>
  <si>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</si>
  <si>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</si>
  <si>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</si>
  <si>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</si>
  <si>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</si>
  <si>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</si>
  <si>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</si>
  <si>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</si>
  <si>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</si>
  <si>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</si>
  <si>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</si>
  <si>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</si>
  <si>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</si>
  <si>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</si>
  <si>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</si>
  <si>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</si>
  <si>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</si>
  <si>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</si>
  <si>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</si>
  <si>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</si>
  <si>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</si>
  <si>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</si>
  <si>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1913.HK</t>
  </si>
  <si>
    <t>PRADA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</si>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</sst>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5" zoomScale="105" workbookViewId="0">
      <selection activeCell="B43" sqref="B43:E43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2" t="s">
        <v>151</v>
      </c>
      <c r="C4" s="112"/>
      <c r="D4" s="112"/>
      <c r="E4" s="112"/>
    </row>
    <row r="6" spans="1:5">
      <c r="A6" s="20" t="s">
        <v>60</v>
      </c>
      <c r="B6" s="19" t="s">
        <v>145</v>
      </c>
      <c r="C6" s="49"/>
    </row>
    <row r="7" spans="1:5">
      <c r="B7" s="112" t="s">
        <v>257</v>
      </c>
      <c r="C7" s="112"/>
      <c r="D7" s="112"/>
      <c r="E7" s="112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289</v>
      </c>
    </row>
    <row r="20" spans="1:5">
      <c r="B20" s="24" t="s">
        <v>258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13" t="s">
        <v>259</v>
      </c>
      <c r="C24" s="112"/>
      <c r="D24" s="112"/>
      <c r="E24" s="112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246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96" t="s">
        <v>263</v>
      </c>
      <c r="C32" s="97">
        <f>3/5</f>
        <v>0.6</v>
      </c>
      <c r="D32" s="96" t="s">
        <v>284</v>
      </c>
      <c r="E32" s="97">
        <v>-0.5</v>
      </c>
    </row>
    <row r="33" spans="1:5">
      <c r="B33" s="99" t="s">
        <v>266</v>
      </c>
      <c r="C33" s="100">
        <v>0.35</v>
      </c>
      <c r="D33" s="101" t="s">
        <v>269</v>
      </c>
      <c r="E33" s="102">
        <f>(C32*C33+(1-C32)*C34)/(2*C33)</f>
        <v>0.21428571428571425</v>
      </c>
    </row>
    <row r="34" spans="1:5" ht="12" thickBot="1">
      <c r="B34" s="103" t="s">
        <v>265</v>
      </c>
      <c r="C34" s="104">
        <f>E32+C33</f>
        <v>-0.15000000000000002</v>
      </c>
      <c r="D34" s="105" t="s">
        <v>270</v>
      </c>
      <c r="E34" s="106">
        <f>-C33/C34</f>
        <v>2.333333333333333</v>
      </c>
    </row>
    <row r="35" spans="1:5">
      <c r="B35" s="99" t="s">
        <v>264</v>
      </c>
      <c r="C35" s="100">
        <v>0.25</v>
      </c>
      <c r="D35" s="101" t="s">
        <v>269</v>
      </c>
      <c r="E35" s="102">
        <f>(C32*C35+(1-C32)*C36)/(2*C35)</f>
        <v>9.9999999999999978E-2</v>
      </c>
    </row>
    <row r="36" spans="1:5" ht="12" thickBot="1">
      <c r="B36" s="103" t="s">
        <v>267</v>
      </c>
      <c r="C36" s="104">
        <f>E32+C35</f>
        <v>-0.25</v>
      </c>
      <c r="D36" s="105" t="s">
        <v>270</v>
      </c>
      <c r="E36" s="106">
        <f>-C35/C36</f>
        <v>1</v>
      </c>
    </row>
    <row r="37" spans="1:5">
      <c r="B37" s="107" t="s">
        <v>268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272</v>
      </c>
    </row>
    <row r="40" spans="1:5">
      <c r="B40" s="112" t="s">
        <v>271</v>
      </c>
      <c r="C40" s="112"/>
      <c r="D40" s="112"/>
      <c r="E40" s="112"/>
    </row>
    <row r="41" spans="1:5">
      <c r="B41" s="113" t="s">
        <v>287</v>
      </c>
      <c r="C41" s="112"/>
      <c r="D41" s="112"/>
      <c r="E41" s="112"/>
    </row>
    <row r="42" spans="1:5">
      <c r="B42" s="113" t="s">
        <v>285</v>
      </c>
      <c r="C42" s="112"/>
      <c r="D42" s="112"/>
      <c r="E42" s="112"/>
    </row>
    <row r="43" spans="1:5">
      <c r="B43" s="113" t="s">
        <v>286</v>
      </c>
      <c r="C43" s="113"/>
      <c r="D43" s="113"/>
      <c r="E43" s="113"/>
    </row>
    <row r="44" spans="1:5" ht="46.5" customHeight="1">
      <c r="B44" s="112" t="s">
        <v>161</v>
      </c>
      <c r="C44" s="112"/>
      <c r="D44" s="112"/>
      <c r="E44" s="112"/>
    </row>
    <row r="46" spans="1:5">
      <c r="A46" s="21" t="s">
        <v>140</v>
      </c>
      <c r="B46" s="21"/>
      <c r="C46" s="21"/>
      <c r="D46" s="21"/>
      <c r="E46" s="21"/>
    </row>
    <row r="48" spans="1:5">
      <c r="B48" s="112" t="s">
        <v>273</v>
      </c>
      <c r="C48" s="112"/>
      <c r="D48" s="112"/>
      <c r="E48" s="112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255</v>
      </c>
      <c r="C53" s="29">
        <v>0.45</v>
      </c>
      <c r="D53" s="48"/>
      <c r="E53" s="46"/>
    </row>
    <row r="54" spans="2:5">
      <c r="B54" s="26" t="s">
        <v>254</v>
      </c>
      <c r="C54" s="29">
        <v>0.3</v>
      </c>
      <c r="D54" s="48"/>
      <c r="E54" s="46"/>
    </row>
    <row r="55" spans="2:5">
      <c r="B55" s="26" t="s">
        <v>253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250</v>
      </c>
      <c r="C62" s="26" t="s">
        <v>251</v>
      </c>
      <c r="D62" s="26" t="s">
        <v>252</v>
      </c>
      <c r="E62" s="40">
        <v>0</v>
      </c>
    </row>
    <row r="63" spans="2:5">
      <c r="B63" s="26" t="s">
        <v>248</v>
      </c>
      <c r="C63" s="26" t="s">
        <v>174</v>
      </c>
      <c r="D63" s="26" t="s">
        <v>175</v>
      </c>
      <c r="E63" s="40">
        <v>2</v>
      </c>
    </row>
    <row r="64" spans="2:5">
      <c r="B64" s="26" t="s">
        <v>249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275</v>
      </c>
    </row>
    <row r="69" spans="1:5">
      <c r="B69" s="1" t="s">
        <v>288</v>
      </c>
    </row>
    <row r="70" spans="1:5">
      <c r="B70" s="1" t="s">
        <v>274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2" t="s">
        <v>141</v>
      </c>
      <c r="C74" s="112"/>
      <c r="D74" s="112"/>
      <c r="E74" s="112"/>
    </row>
    <row r="76" spans="1:5">
      <c r="A76" s="28" t="s">
        <v>60</v>
      </c>
      <c r="B76" s="20" t="s">
        <v>277</v>
      </c>
    </row>
    <row r="77" spans="1:5">
      <c r="B77" s="24" t="s">
        <v>153</v>
      </c>
    </row>
    <row r="79" spans="1:5">
      <c r="A79" s="28" t="s">
        <v>256</v>
      </c>
      <c r="B79" s="20" t="s">
        <v>276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280</v>
      </c>
      <c r="C81" s="94" t="s">
        <v>290</v>
      </c>
    </row>
    <row r="82" spans="1:5">
      <c r="B82" s="111" t="s">
        <v>279</v>
      </c>
      <c r="C82" s="94" t="s">
        <v>247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278</v>
      </c>
    </row>
    <row r="86" spans="1:5">
      <c r="B86" s="1" t="s">
        <v>281</v>
      </c>
    </row>
    <row r="87" spans="1:5">
      <c r="B87" s="1" t="s">
        <v>283</v>
      </c>
    </row>
    <row r="88" spans="1:5">
      <c r="B88" s="1" t="s">
        <v>282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16" t="s">
        <v>1</v>
      </c>
      <c r="E1" s="116"/>
      <c r="F1" s="116"/>
      <c r="G1" s="117" t="s">
        <v>85</v>
      </c>
      <c r="H1" s="117"/>
      <c r="I1" s="117"/>
      <c r="J1" s="119" t="s">
        <v>4</v>
      </c>
      <c r="K1" s="119"/>
      <c r="L1" s="119"/>
      <c r="M1" s="118" t="s">
        <v>172</v>
      </c>
      <c r="N1" s="118"/>
      <c r="O1" s="114" t="s">
        <v>8</v>
      </c>
      <c r="P1" s="114"/>
      <c r="Q1" s="121" t="s">
        <v>223</v>
      </c>
      <c r="R1" s="121"/>
      <c r="S1" s="121"/>
      <c r="T1" s="121"/>
      <c r="U1" s="120" t="s">
        <v>219</v>
      </c>
      <c r="V1" s="120"/>
      <c r="W1" s="120"/>
      <c r="X1" s="115" t="s">
        <v>49</v>
      </c>
      <c r="Y1" s="115"/>
      <c r="Z1" s="115"/>
      <c r="AA1" s="11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2.57</v>
      </c>
      <c r="E3" s="12" t="s">
        <v>136</v>
      </c>
      <c r="F3" s="15">
        <v>0.29306535315093174</v>
      </c>
      <c r="G3" s="15">
        <f>F3 - Portfolio_Mgmt!$C$10</f>
        <v>0.17566535315093174</v>
      </c>
      <c r="H3" s="15">
        <f>F3 - Portfolio_Mgmt!$C$11</f>
        <v>0.25856535315093176</v>
      </c>
      <c r="I3" s="15">
        <v>0.15877918039496483</v>
      </c>
      <c r="J3" s="2">
        <v>2.2019752270440667</v>
      </c>
      <c r="K3" s="2">
        <v>4.4858408799140586</v>
      </c>
      <c r="L3" s="74">
        <v>4.3130669791905083</v>
      </c>
      <c r="M3" s="2">
        <v>3.039853505232323</v>
      </c>
      <c r="N3" s="2">
        <v>3.8666759160925035</v>
      </c>
      <c r="O3" s="4">
        <v>8.3447280287888156E-2</v>
      </c>
      <c r="P3" s="4">
        <v>0.10505836575875488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18.239999999999998</v>
      </c>
      <c r="E4" s="12" t="s">
        <v>136</v>
      </c>
      <c r="F4" s="15">
        <v>0.22078274399263664</v>
      </c>
      <c r="G4" s="15">
        <f>F4 - Portfolio_Mgmt!$C$10</f>
        <v>0.10338274399263664</v>
      </c>
      <c r="H4" s="15">
        <f>F4 - Portfolio_Mgmt!$C$11</f>
        <v>0.18628274399263664</v>
      </c>
      <c r="I4" s="15">
        <v>4.7066051487542344E-2</v>
      </c>
      <c r="J4" s="2">
        <v>13.238623976404986</v>
      </c>
      <c r="K4" s="2">
        <v>28.508881711889689</v>
      </c>
      <c r="L4" s="74">
        <v>26.2251880911233</v>
      </c>
      <c r="M4" s="2">
        <v>18.384349198892416</v>
      </c>
      <c r="N4" s="2">
        <v>23.47391719890927</v>
      </c>
      <c r="O4" s="4">
        <v>0.11372593228003203</v>
      </c>
      <c r="P4" s="4">
        <v>6.9078947368421059E-2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-0.4596348948369734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199</v>
      </c>
      <c r="C5" s="11" t="s">
        <v>200</v>
      </c>
      <c r="D5" s="2">
        <v>2.12</v>
      </c>
      <c r="E5" s="12" t="s">
        <v>136</v>
      </c>
      <c r="F5" s="15">
        <v>0.19550408257010354</v>
      </c>
      <c r="G5" s="15">
        <f>F5 - Portfolio_Mgmt!$C$10</f>
        <v>7.8104082570103539E-2</v>
      </c>
      <c r="H5" s="15">
        <f>F5 - Portfolio_Mgmt!$C$11</f>
        <v>0.16100408257010354</v>
      </c>
      <c r="I5" s="15">
        <v>0</v>
      </c>
      <c r="J5" s="2">
        <v>1.4383385420849217</v>
      </c>
      <c r="K5" s="2">
        <v>3.2961125963929829</v>
      </c>
      <c r="L5" s="74">
        <v>2.887287989348748</v>
      </c>
      <c r="M5" s="2">
        <v>2.0113829493940676</v>
      </c>
      <c r="N5" s="2">
        <v>2.5796572413461543</v>
      </c>
      <c r="O5" s="4">
        <v>6.3864511009895625E-2</v>
      </c>
      <c r="P5" s="4">
        <v>4.245283018867925E-2</v>
      </c>
      <c r="Q5" s="4">
        <v>4.7832973362251327E-2</v>
      </c>
      <c r="R5" s="4">
        <v>7.8104812973574481E-2</v>
      </c>
      <c r="S5" s="82">
        <v>0.49619793491400876</v>
      </c>
      <c r="T5" s="81">
        <v>1.2342258232843137</v>
      </c>
      <c r="U5" s="15">
        <v>0.10863424600069688</v>
      </c>
      <c r="V5" s="79">
        <v>2.2824569622635926</v>
      </c>
      <c r="W5" s="74">
        <v>1.8526470942667237</v>
      </c>
      <c r="X5" s="13" t="s">
        <v>201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3.41</v>
      </c>
      <c r="E6" s="12" t="s">
        <v>136</v>
      </c>
      <c r="F6" s="15">
        <v>0.18570680150592267</v>
      </c>
      <c r="G6" s="15">
        <f>F6 - Portfolio_Mgmt!$C$10</f>
        <v>6.8306801505922665E-2</v>
      </c>
      <c r="H6" s="15">
        <f>F6 - Portfolio_Mgmt!$C$11</f>
        <v>0.15120680150592267</v>
      </c>
      <c r="I6" s="15">
        <v>0</v>
      </c>
      <c r="J6" s="2">
        <v>2.2556276815093281</v>
      </c>
      <c r="K6" s="2">
        <v>5.2246962590200807</v>
      </c>
      <c r="L6" s="74">
        <v>4.5385417708791076</v>
      </c>
      <c r="M6" s="2">
        <v>3.1582019073444916</v>
      </c>
      <c r="N6" s="2">
        <v>4.0536685441183486</v>
      </c>
      <c r="O6" s="4">
        <v>8.3273471379379613E-2</v>
      </c>
      <c r="P6" s="4">
        <v>3.7536656891495601E-2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224</v>
      </c>
    </row>
    <row r="7" spans="1:27">
      <c r="B7" s="11" t="s">
        <v>163</v>
      </c>
      <c r="C7" s="11" t="s">
        <v>192</v>
      </c>
      <c r="D7" s="2">
        <v>17.2</v>
      </c>
      <c r="E7" s="12" t="s">
        <v>136</v>
      </c>
      <c r="F7" s="15">
        <v>0.16768359847578407</v>
      </c>
      <c r="G7" s="15">
        <f>F7 - Portfolio_Mgmt!$C$10</f>
        <v>5.0283598475784064E-2</v>
      </c>
      <c r="H7" s="15">
        <f>F7 - Portfolio_Mgmt!$C$11</f>
        <v>0.13318359847578407</v>
      </c>
      <c r="I7" s="15">
        <v>0</v>
      </c>
      <c r="J7" s="2">
        <v>10.843215893000766</v>
      </c>
      <c r="K7" s="2">
        <v>25.689689347930752</v>
      </c>
      <c r="L7" s="74">
        <v>21.92729017683217</v>
      </c>
      <c r="M7" s="2">
        <v>15.222401719704914</v>
      </c>
      <c r="N7" s="2">
        <v>19.571262965369332</v>
      </c>
      <c r="O7" s="4">
        <v>5.9686090388570687E-2</v>
      </c>
      <c r="P7" s="4">
        <v>2.7903642303464638E-2</v>
      </c>
      <c r="Q7" s="4">
        <v>0.12359602170294982</v>
      </c>
      <c r="R7" s="4">
        <v>0.12331842674635846</v>
      </c>
      <c r="S7" s="82">
        <v>0.73266920679685343</v>
      </c>
      <c r="T7" s="81">
        <v>1.3679448142367923</v>
      </c>
      <c r="U7" s="15">
        <v>7.4171010848313429E-2</v>
      </c>
      <c r="V7" s="79">
        <v>0.60402076709908736</v>
      </c>
      <c r="W7" s="74">
        <v>4.6231847490597664</v>
      </c>
      <c r="X7" s="13" t="s">
        <v>181</v>
      </c>
      <c r="Y7" s="11" t="s">
        <v>137</v>
      </c>
      <c r="Z7" s="14">
        <v>45900</v>
      </c>
      <c r="AA7" s="16" t="s">
        <v>224</v>
      </c>
    </row>
    <row r="8" spans="1:27">
      <c r="B8" s="11" t="s">
        <v>182</v>
      </c>
      <c r="C8" s="11" t="s">
        <v>183</v>
      </c>
      <c r="D8" s="2">
        <v>51.65</v>
      </c>
      <c r="E8" s="12" t="s">
        <v>136</v>
      </c>
      <c r="F8" s="15">
        <v>0.15462449237685583</v>
      </c>
      <c r="G8" s="15">
        <f>F8 - Portfolio_Mgmt!$C$10</f>
        <v>3.7224492376855822E-2</v>
      </c>
      <c r="H8" s="15">
        <f>F8 - Portfolio_Mgmt!$C$11</f>
        <v>0.12012449237685582</v>
      </c>
      <c r="I8" s="15">
        <v>0</v>
      </c>
      <c r="J8" s="2">
        <v>31.625312745726021</v>
      </c>
      <c r="K8" s="2">
        <v>73.207372303083474</v>
      </c>
      <c r="L8" s="74">
        <v>63.624374810272428</v>
      </c>
      <c r="M8" s="2">
        <v>44.276723245078912</v>
      </c>
      <c r="N8" s="2">
        <v>56.828171773601085</v>
      </c>
      <c r="O8" s="4">
        <v>4.4797174539560253E-2</v>
      </c>
      <c r="P8" s="4">
        <v>3.4957014445431478E-2</v>
      </c>
      <c r="Q8" s="4">
        <v>0.1350743527314319</v>
      </c>
      <c r="R8" s="4">
        <v>0.12563422654626907</v>
      </c>
      <c r="S8" s="82">
        <v>0.62432788948992113</v>
      </c>
      <c r="T8" s="81">
        <v>1.7220755031358876</v>
      </c>
      <c r="U8" s="15">
        <v>9.5579625064196368E-3</v>
      </c>
      <c r="V8" s="79">
        <v>7.3592411949940734E-2</v>
      </c>
      <c r="W8" s="74">
        <v>1.3630035780909358</v>
      </c>
      <c r="X8" s="13" t="s">
        <v>181</v>
      </c>
      <c r="Y8" s="11" t="s">
        <v>137</v>
      </c>
      <c r="Z8" s="14">
        <v>45900</v>
      </c>
      <c r="AA8" s="16" t="s">
        <v>225</v>
      </c>
    </row>
    <row r="9" spans="1:27">
      <c r="B9" s="11" t="s">
        <v>185</v>
      </c>
      <c r="C9" s="11" t="s">
        <v>186</v>
      </c>
      <c r="D9" s="2">
        <v>6.83</v>
      </c>
      <c r="E9" s="12" t="s">
        <v>136</v>
      </c>
      <c r="F9" s="15">
        <v>0.14713037576464938</v>
      </c>
      <c r="G9" s="15">
        <f>F9 - Portfolio_Mgmt!$C$10</f>
        <v>2.9730375764649375E-2</v>
      </c>
      <c r="H9" s="15">
        <f>F9 - Portfolio_Mgmt!$C$11</f>
        <v>0.11263037576464938</v>
      </c>
      <c r="I9" s="15">
        <v>0</v>
      </c>
      <c r="J9" s="2">
        <v>4.1529124986149366</v>
      </c>
      <c r="K9" s="2">
        <v>8.9326008034616855</v>
      </c>
      <c r="L9" s="74">
        <v>8.2247389950012426</v>
      </c>
      <c r="M9" s="2">
        <v>5.7663680471223877</v>
      </c>
      <c r="N9" s="2">
        <v>7.3621366423823531</v>
      </c>
      <c r="O9" s="4">
        <v>0.11573379569645342</v>
      </c>
      <c r="P9" s="4">
        <v>5.8235074577392396E-2</v>
      </c>
      <c r="Q9" s="4">
        <v>0.12477871842229639</v>
      </c>
      <c r="R9" s="4">
        <v>7.7304831872868032E-2</v>
      </c>
      <c r="S9" s="82">
        <v>1.0025080757150273</v>
      </c>
      <c r="T9" s="81">
        <v>1.6100746083165727</v>
      </c>
      <c r="U9" s="15">
        <v>0.16360901428944893</v>
      </c>
      <c r="V9" s="79">
        <v>1.1309485990394448</v>
      </c>
      <c r="W9" s="74">
        <v>-3.891145411736276</v>
      </c>
      <c r="X9" s="13" t="s">
        <v>162</v>
      </c>
      <c r="Y9" s="11" t="s">
        <v>137</v>
      </c>
      <c r="Z9" s="14">
        <v>45900</v>
      </c>
      <c r="AA9" s="16" t="s">
        <v>224</v>
      </c>
    </row>
    <row r="10" spans="1:27">
      <c r="B10" s="11" t="s">
        <v>179</v>
      </c>
      <c r="C10" s="11" t="s">
        <v>180</v>
      </c>
      <c r="D10" s="2">
        <v>58.35</v>
      </c>
      <c r="E10" s="12" t="s">
        <v>136</v>
      </c>
      <c r="F10" s="15">
        <v>0.1463417849825619</v>
      </c>
      <c r="G10" s="15">
        <f>F10 - Portfolio_Mgmt!$C$10</f>
        <v>2.8941784982561891E-2</v>
      </c>
      <c r="H10" s="15">
        <f>F10 - Portfolio_Mgmt!$C$11</f>
        <v>0.11184178498256189</v>
      </c>
      <c r="I10" s="15">
        <v>0</v>
      </c>
      <c r="J10" s="2">
        <v>35.92938520214954</v>
      </c>
      <c r="K10" s="2">
        <v>70.242180695783915</v>
      </c>
      <c r="L10" s="74">
        <v>69.811199329998246</v>
      </c>
      <c r="M10" s="2">
        <v>49.39326411182472</v>
      </c>
      <c r="N10" s="2">
        <v>62.656963672625629</v>
      </c>
      <c r="O10" s="4">
        <v>9.1149082965949924E-2</v>
      </c>
      <c r="P10" s="4">
        <v>8.7445329905741206E-2</v>
      </c>
      <c r="Q10" s="4">
        <v>0.32755394896836565</v>
      </c>
      <c r="R10" s="4">
        <v>8.9976704126159421E-2</v>
      </c>
      <c r="S10" s="82">
        <v>1.5891874956485419</v>
      </c>
      <c r="T10" s="81">
        <v>2.2907496012759174</v>
      </c>
      <c r="U10" s="15">
        <v>0.24768740031897937</v>
      </c>
      <c r="V10" s="79">
        <v>0.73855199466278643</v>
      </c>
      <c r="W10" s="74">
        <v>-2.6747933489227389</v>
      </c>
      <c r="X10" s="16" t="s">
        <v>184</v>
      </c>
      <c r="Y10" s="11" t="s">
        <v>137</v>
      </c>
      <c r="Z10" s="14">
        <v>45808</v>
      </c>
      <c r="AA10" s="16" t="s">
        <v>224</v>
      </c>
    </row>
    <row r="11" spans="1:27">
      <c r="B11" s="11" t="s">
        <v>208</v>
      </c>
      <c r="C11" s="11" t="s">
        <v>217</v>
      </c>
      <c r="D11" s="2">
        <v>27.06</v>
      </c>
      <c r="E11" s="12" t="s">
        <v>206</v>
      </c>
      <c r="F11" s="15">
        <v>0.13898159962796708</v>
      </c>
      <c r="G11" s="15">
        <f>F11 - Portfolio_Mgmt!$C$10</f>
        <v>2.1581599627967074E-2</v>
      </c>
      <c r="H11" s="15">
        <f>F11 - Portfolio_Mgmt!$C$11</f>
        <v>0.10448159962796708</v>
      </c>
      <c r="I11" s="15">
        <v>0</v>
      </c>
      <c r="J11" s="2">
        <v>15.989209461106965</v>
      </c>
      <c r="K11" s="2">
        <v>36.134621832566509</v>
      </c>
      <c r="L11" s="74">
        <v>31.999534598013469</v>
      </c>
      <c r="M11" s="2">
        <v>22.32380510445234</v>
      </c>
      <c r="N11" s="2">
        <v>28.601981247202922</v>
      </c>
      <c r="O11" s="4">
        <v>9.3834715719992523E-2</v>
      </c>
      <c r="P11" s="4">
        <v>4.138950480413895E-2</v>
      </c>
      <c r="Q11" s="4">
        <v>8.3350635997632802E-2</v>
      </c>
      <c r="R11" s="4">
        <v>0.15660042549334799</v>
      </c>
      <c r="S11" s="82">
        <v>0.29736257886212014</v>
      </c>
      <c r="T11" s="81">
        <v>1.7899036999493159</v>
      </c>
      <c r="U11" s="15">
        <v>0.40281804358844397</v>
      </c>
      <c r="V11" s="79">
        <v>3.955391512509995</v>
      </c>
      <c r="W11" s="74">
        <v>-26.938493611476797</v>
      </c>
      <c r="X11" s="13" t="s">
        <v>209</v>
      </c>
      <c r="Y11" s="11" t="s">
        <v>137</v>
      </c>
      <c r="Z11" s="14">
        <v>45900</v>
      </c>
      <c r="AA11" s="16" t="s">
        <v>225</v>
      </c>
    </row>
    <row r="12" spans="1:27">
      <c r="B12" s="11" t="s">
        <v>205</v>
      </c>
      <c r="C12" s="11" t="s">
        <v>216</v>
      </c>
      <c r="D12" s="2">
        <v>23.95</v>
      </c>
      <c r="E12" s="12" t="s">
        <v>206</v>
      </c>
      <c r="F12" s="15">
        <v>0.13097727614348331</v>
      </c>
      <c r="G12" s="15">
        <f>F12 - Portfolio_Mgmt!$C$10</f>
        <v>1.3577276143483308E-2</v>
      </c>
      <c r="H12" s="15">
        <f>F12 - Portfolio_Mgmt!$C$11</f>
        <v>9.6477276143483309E-2</v>
      </c>
      <c r="I12" s="15">
        <v>0</v>
      </c>
      <c r="J12" s="2">
        <v>13.685702538649531</v>
      </c>
      <c r="K12" s="2">
        <v>33.230161875234657</v>
      </c>
      <c r="L12" s="74">
        <v>27.829540483416785</v>
      </c>
      <c r="M12" s="2">
        <v>19.269562535958798</v>
      </c>
      <c r="N12" s="2">
        <v>24.820548736528732</v>
      </c>
      <c r="O12" s="4">
        <v>0.19035330051516469</v>
      </c>
      <c r="P12" s="4">
        <v>1.7349478079331942E-2</v>
      </c>
      <c r="Q12" s="4">
        <v>0.18752610102828118</v>
      </c>
      <c r="R12" s="4">
        <v>0.23497655430253014</v>
      </c>
      <c r="S12" s="82">
        <v>0.32112750263435197</v>
      </c>
      <c r="T12" s="81">
        <v>2.4851905363915479</v>
      </c>
      <c r="U12" s="15">
        <v>0.95241105291674188</v>
      </c>
      <c r="V12" s="79">
        <v>4.0148803043206254</v>
      </c>
      <c r="W12" s="74">
        <v>-38.360607814419353</v>
      </c>
      <c r="X12" s="13" t="s">
        <v>207</v>
      </c>
      <c r="Y12" s="11" t="s">
        <v>137</v>
      </c>
      <c r="Z12" s="14">
        <v>45900</v>
      </c>
      <c r="AA12" s="16" t="s">
        <v>225</v>
      </c>
    </row>
    <row r="13" spans="1:27">
      <c r="B13" s="11" t="s">
        <v>227</v>
      </c>
      <c r="C13" s="11" t="s">
        <v>228</v>
      </c>
      <c r="D13" s="2">
        <v>5.94</v>
      </c>
      <c r="E13" s="12" t="s">
        <v>136</v>
      </c>
      <c r="F13" s="15">
        <v>0.13092342716051064</v>
      </c>
      <c r="G13" s="15">
        <f>F13 - Portfolio_Mgmt!$C$10</f>
        <v>1.3523427160510637E-2</v>
      </c>
      <c r="H13" s="15">
        <f>F13 - Portfolio_Mgmt!$C$11</f>
        <v>9.6423427160510639E-2</v>
      </c>
      <c r="I13" s="15">
        <v>0</v>
      </c>
      <c r="J13" s="2">
        <v>3.4769479145113666</v>
      </c>
      <c r="K13" s="2">
        <v>7.3642693066239637</v>
      </c>
      <c r="L13" s="2">
        <v>6.8641356814360206</v>
      </c>
      <c r="M13" s="2">
        <v>4.8197379854720408</v>
      </c>
      <c r="N13" s="2">
        <v>6.1469536878205542</v>
      </c>
      <c r="O13" s="4">
        <v>6.2188911505805571E-2</v>
      </c>
      <c r="P13" s="4">
        <v>6.0606060606060601E-2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15.12</v>
      </c>
      <c r="E14" s="12" t="s">
        <v>136</v>
      </c>
      <c r="F14" s="15">
        <v>0.12384135603103119</v>
      </c>
      <c r="G14" s="15">
        <f>F14 - Portfolio_Mgmt!$C$10</f>
        <v>6.4413560310311868E-3</v>
      </c>
      <c r="H14" s="15">
        <f>F14 - Portfolio_Mgmt!$C$11</f>
        <v>8.9341356031031188E-2</v>
      </c>
      <c r="I14" s="15">
        <v>0</v>
      </c>
      <c r="J14" s="2">
        <v>8.6746067550838326</v>
      </c>
      <c r="K14" s="2">
        <v>18.606441375593661</v>
      </c>
      <c r="L14" s="2">
        <v>17.169900962627121</v>
      </c>
      <c r="M14" s="2">
        <v>12.041137708311338</v>
      </c>
      <c r="N14" s="2">
        <v>15.37037589106744</v>
      </c>
      <c r="O14" s="4">
        <v>0.10272927153736845</v>
      </c>
      <c r="P14" s="4">
        <v>5.5759210317460318E-2</v>
      </c>
      <c r="Q14" s="4">
        <v>0.26418111425166535</v>
      </c>
      <c r="R14" s="4">
        <v>0.1137378982106735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-12.277968811948389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138</v>
      </c>
      <c r="C15" s="11" t="s">
        <v>176</v>
      </c>
      <c r="D15" s="2">
        <v>8.6999999999999993</v>
      </c>
      <c r="E15" s="12" t="s">
        <v>136</v>
      </c>
      <c r="F15" s="15">
        <v>8.9955518814969215E-2</v>
      </c>
      <c r="G15" s="15">
        <f>F15 - Portfolio_Mgmt!$C$10</f>
        <v>-2.7444481185030789E-2</v>
      </c>
      <c r="H15" s="15">
        <f>F15 - Portfolio_Mgmt!$C$11</f>
        <v>5.5455518814969212E-2</v>
      </c>
      <c r="I15" s="15">
        <v>0</v>
      </c>
      <c r="J15" s="2">
        <v>4.6237469150396135</v>
      </c>
      <c r="K15" s="2">
        <v>9.3641570609339322</v>
      </c>
      <c r="L15" s="2">
        <v>9.0460821298724845</v>
      </c>
      <c r="M15" s="2">
        <v>6.3792496771334868</v>
      </c>
      <c r="N15" s="2">
        <v>8.1111667082917602</v>
      </c>
      <c r="O15" s="4">
        <v>3.5505559997961497E-2</v>
      </c>
      <c r="P15" s="4">
        <v>6.6666666666666666E-2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178</v>
      </c>
      <c r="Y15" s="11" t="s">
        <v>177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20.95</v>
      </c>
      <c r="E16" s="12" t="s">
        <v>136</v>
      </c>
      <c r="F16" s="15">
        <v>7.9897046619476608E-2</v>
      </c>
      <c r="G16" s="15">
        <f>F16 - Portfolio_Mgmt!$C$10</f>
        <v>-3.7502953380523396E-2</v>
      </c>
      <c r="H16" s="15">
        <f>F16 - Portfolio_Mgmt!$C$11</f>
        <v>4.5397046619476605E-2</v>
      </c>
      <c r="I16" s="15">
        <v>0</v>
      </c>
      <c r="J16" s="2">
        <v>10.846357673848024</v>
      </c>
      <c r="K16" s="2">
        <v>21.968758226348868</v>
      </c>
      <c r="L16" s="2">
        <v>21.220699139526428</v>
      </c>
      <c r="M16" s="2">
        <v>14.964572530067358</v>
      </c>
      <c r="N16" s="2">
        <v>19.027476031641555</v>
      </c>
      <c r="O16" s="4">
        <v>8.2481432905471566E-2</v>
      </c>
      <c r="P16" s="4">
        <v>6.4916467780429601E-2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2.72</v>
      </c>
      <c r="E17" s="12" t="s">
        <v>136</v>
      </c>
      <c r="F17" s="15">
        <v>5.5442764879182871E-2</v>
      </c>
      <c r="G17" s="15">
        <f>F17 - Portfolio_Mgmt!$C$10</f>
        <v>-6.1957235120817133E-2</v>
      </c>
      <c r="H17" s="15">
        <f>F17 - Portfolio_Mgmt!$C$11</f>
        <v>2.0942764879182868E-2</v>
      </c>
      <c r="I17" s="15">
        <v>0</v>
      </c>
      <c r="J17" s="2">
        <v>1.2972569397589402</v>
      </c>
      <c r="K17" s="2">
        <v>2.8453641341748006</v>
      </c>
      <c r="L17" s="2">
        <v>2.579713943242627</v>
      </c>
      <c r="M17" s="2">
        <v>1.8051294718103412</v>
      </c>
      <c r="N17" s="2">
        <v>2.3078459682467898</v>
      </c>
      <c r="O17" s="4">
        <v>3.1048500533262018E-2</v>
      </c>
      <c r="P17" s="4">
        <v>4.0900667544005738E-2</v>
      </c>
      <c r="Q17" s="4">
        <v>4.3341189681582043E-2</v>
      </c>
      <c r="R17" s="4">
        <v>8.4124126469782415E-2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1.9176660231063327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1.83</v>
      </c>
      <c r="E18" s="12" t="s">
        <v>136</v>
      </c>
      <c r="F18" s="15">
        <v>4.9114924667453375E-2</v>
      </c>
      <c r="G18" s="15">
        <f>F18 - Portfolio_Mgmt!$C$10</f>
        <v>-6.828507533254663E-2</v>
      </c>
      <c r="H18" s="15">
        <f>F18 - Portfolio_Mgmt!$C$11</f>
        <v>1.4614924667453372E-2</v>
      </c>
      <c r="I18" s="15">
        <v>0</v>
      </c>
      <c r="J18" s="2">
        <v>0.82648230361166808</v>
      </c>
      <c r="K18" s="2">
        <v>2.1131011468081908</v>
      </c>
      <c r="L18" s="2">
        <v>1.7009631025661165</v>
      </c>
      <c r="M18" s="2">
        <v>1.1711712249606363</v>
      </c>
      <c r="N18" s="2">
        <v>1.514587208466269</v>
      </c>
      <c r="O18" s="4">
        <v>5.2391564177797344E-3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 t="s">
        <v>237</v>
      </c>
      <c r="C19" s="11" t="s">
        <v>238</v>
      </c>
      <c r="D19" s="2">
        <v>50.5</v>
      </c>
      <c r="E19" s="12" t="s">
        <v>136</v>
      </c>
      <c r="F19" s="15">
        <v>-9.1448907953051495E-2</v>
      </c>
      <c r="G19" s="15">
        <f>F19 - Portfolio_Mgmt!$C$10</f>
        <v>-0.2088489079530515</v>
      </c>
      <c r="H19" s="15">
        <f>F19 - Portfolio_Mgmt!$C$11</f>
        <v>-0.1259489079530515</v>
      </c>
      <c r="I19" s="15">
        <v>0</v>
      </c>
      <c r="J19" s="2">
        <v>15.705997608142953</v>
      </c>
      <c r="K19" s="2">
        <v>33.722682188047798</v>
      </c>
      <c r="L19" s="2">
        <v>31.093912277858021</v>
      </c>
      <c r="M19" s="2">
        <v>21.803761886413703</v>
      </c>
      <c r="N19" s="2">
        <v>27.834235294417574</v>
      </c>
      <c r="O19" s="4">
        <v>4.9666080932440702E-2</v>
      </c>
      <c r="P19" s="4">
        <v>3.0066142927524752E-2</v>
      </c>
      <c r="Q19" s="4">
        <v>0.21039827332068567</v>
      </c>
      <c r="R19" s="4">
        <v>0.21042753223383909</v>
      </c>
      <c r="S19" s="82">
        <v>0.51682300464832642</v>
      </c>
      <c r="T19" s="81">
        <v>1.9346293526540752</v>
      </c>
      <c r="U19" s="15">
        <v>0.19606600851240996</v>
      </c>
      <c r="V19" s="79">
        <v>0.84886197155458731</v>
      </c>
      <c r="W19" s="74">
        <v>-6.0168078063871082</v>
      </c>
      <c r="X19" s="13" t="s">
        <v>204</v>
      </c>
      <c r="Y19" s="11" t="s">
        <v>137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5" sqref="D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4.2999999999999997E-2</v>
      </c>
      <c r="D4" s="34">
        <v>7.4999999999999997E-2</v>
      </c>
      <c r="E4" s="35">
        <f>D4-C4</f>
        <v>3.2000000000000001E-2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0.43564171086890724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6.83</v>
      </c>
      <c r="D4" s="62" t="str">
        <f>VLOOKUP(B4,Opportunities!B$3:E$30,4,FALSE)</f>
        <v>HKD</v>
      </c>
      <c r="E4" s="59">
        <v>10000</v>
      </c>
      <c r="F4" s="64">
        <f>E4*C4</f>
        <v>68300</v>
      </c>
      <c r="G4" s="61">
        <f>F4/$F$10</f>
        <v>7.2560654997277277E-2</v>
      </c>
      <c r="H4" s="61">
        <f>VLOOKUP(B4,Opportunities!B$3:I$30,8,FALSE)</f>
        <v>0</v>
      </c>
      <c r="I4" s="84">
        <f>VLOOKUP(B4,Opportunities!B$3:N$30,12,FALSE)</f>
        <v>5.7663680471223877</v>
      </c>
      <c r="J4" s="84">
        <f>VLOOKUP(B4,Opportunities!B$3:N$30,9,FALSE)</f>
        <v>4.1529124986149366</v>
      </c>
      <c r="K4" s="84">
        <f>VLOOKUP(B4,Opportunities!B$3:N$30,11,FALSE)</f>
        <v>8.2247389950012426</v>
      </c>
      <c r="L4" s="84">
        <f>VLOOKUP(B4,Opportunities!B$3:N$30,13,FALSE)</f>
        <v>7.3621366423823531</v>
      </c>
    </row>
    <row r="5" spans="1:12">
      <c r="B5" s="66" t="s">
        <v>163</v>
      </c>
      <c r="C5" s="63">
        <f>VLOOKUP(B5,Opportunities!B$3:E$30,3,FALSE)</f>
        <v>17.2</v>
      </c>
      <c r="D5" s="62" t="str">
        <f>VLOOKUP(B5,Opportunities!B$3:E$30,4,FALSE)</f>
        <v>HKD</v>
      </c>
      <c r="E5" s="59">
        <v>9000</v>
      </c>
      <c r="F5" s="64">
        <f>C5*E5</f>
        <v>154800</v>
      </c>
      <c r="G5" s="61">
        <f>F5/$F$10</f>
        <v>0.16445665290744543</v>
      </c>
      <c r="H5" s="61">
        <f>VLOOKUP(B5,Opportunities!B$3:I$30,8,FALSE)</f>
        <v>0</v>
      </c>
      <c r="I5" s="84">
        <f>VLOOKUP(B5,Opportunities!B$3:N$30,12,FALSE)</f>
        <v>15.222401719704914</v>
      </c>
      <c r="J5" s="84">
        <f>VLOOKUP(B5,Opportunities!B$3:N$30,9,FALSE)</f>
        <v>10.843215893000766</v>
      </c>
      <c r="K5" s="84">
        <f>VLOOKUP(B5,Opportunities!B$3:N$30,11,FALSE)</f>
        <v>21.92729017683217</v>
      </c>
      <c r="L5" s="84">
        <f>VLOOKUP(B5,Opportunities!B$3:N$30,13,FALSE)</f>
        <v>19.571262965369332</v>
      </c>
    </row>
    <row r="6" spans="1:12">
      <c r="B6" s="66" t="s">
        <v>210</v>
      </c>
      <c r="C6" s="63">
        <f>VLOOKUP(B6,Opportunities!B$3:E$30,3,FALSE)</f>
        <v>18.239999999999998</v>
      </c>
      <c r="D6" s="62" t="str">
        <f>VLOOKUP(B6,Opportunities!B$3:E$30,4,FALSE)</f>
        <v>HKD</v>
      </c>
      <c r="E6" s="59">
        <v>8000</v>
      </c>
      <c r="F6" s="64">
        <f>C6*E6</f>
        <v>145920</v>
      </c>
      <c r="G6" s="61">
        <f>F6/$F$10</f>
        <v>0.15502270537632065</v>
      </c>
      <c r="H6" s="61">
        <f>VLOOKUP(B6,Opportunities!B$3:I$30,8,FALSE)</f>
        <v>4.7066051487542344E-2</v>
      </c>
      <c r="I6" s="84">
        <f>VLOOKUP(B6,Opportunities!B$3:N$30,12,FALSE)</f>
        <v>18.384349198892416</v>
      </c>
      <c r="J6" s="84">
        <f>VLOOKUP(B6,Opportunities!B$3:N$30,9,FALSE)</f>
        <v>13.238623976404986</v>
      </c>
      <c r="K6" s="84">
        <f>VLOOKUP(B6,Opportunities!B$3:N$30,11,FALSE)</f>
        <v>26.2251880911233</v>
      </c>
      <c r="L6" s="84">
        <f>VLOOKUP(B6,Opportunities!B$3:N$30,13,FALSE)</f>
        <v>23.47391719890927</v>
      </c>
    </row>
    <row r="7" spans="1:12">
      <c r="B7" s="66" t="s">
        <v>227</v>
      </c>
      <c r="C7" s="63">
        <f>VLOOKUP(B7,Opportunities!B$3:E$30,3,FALSE)</f>
        <v>5.94</v>
      </c>
      <c r="D7" s="62" t="str">
        <f>VLOOKUP(B7,Opportunities!B$3:E$30,4,FALSE)</f>
        <v>HKD</v>
      </c>
      <c r="E7" s="59">
        <v>10000</v>
      </c>
      <c r="F7" s="64">
        <f>C7*E7</f>
        <v>59400.000000000007</v>
      </c>
      <c r="G7" s="61">
        <f t="shared" ref="G7" si="0">F7/$F$10</f>
        <v>6.3105459836577907E-2</v>
      </c>
      <c r="H7" s="61">
        <f>VLOOKUP(B7,Opportunities!B$3:I$30,8,FALSE)</f>
        <v>0</v>
      </c>
      <c r="I7" s="84">
        <f>VLOOKUP(B7,Opportunities!B$3:N$30,12,FALSE)</f>
        <v>4.8197379854720408</v>
      </c>
      <c r="J7" s="84">
        <f>VLOOKUP(B7,Opportunities!B$3:N$30,9,FALSE)</f>
        <v>3.4769479145113666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2.57</v>
      </c>
      <c r="D8" s="62" t="str">
        <f>VLOOKUP(B8,Opportunities!B$3:E$30,4,FALSE)</f>
        <v>HKD</v>
      </c>
      <c r="E8" s="59">
        <v>40000</v>
      </c>
      <c r="F8" s="64">
        <f>C8*E8</f>
        <v>102800</v>
      </c>
      <c r="G8" s="61">
        <f t="shared" ref="G8" si="1">F8/$F$10</f>
        <v>0.10921281601347151</v>
      </c>
      <c r="H8" s="61">
        <f>VLOOKUP(B8,Opportunities!B$3:I$30,8,FALSE)</f>
        <v>0.15877918039496483</v>
      </c>
      <c r="I8" s="84">
        <f>VLOOKUP(B8,Opportunities!B$3:N$30,12,FALSE)</f>
        <v>3.039853505232323</v>
      </c>
      <c r="J8" s="84">
        <f>VLOOKUP(B8,Opportunities!B$3:N$30,9,FALSE)</f>
        <v>2.2019752270440667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941281.47</v>
      </c>
      <c r="G10" s="70">
        <f>SUM(G3:G8)</f>
        <v>1</v>
      </c>
      <c r="H10" s="76">
        <f>SUM(H3:H8)</f>
        <v>0.65584523188250721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2.57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0.15877918039496483</v>
      </c>
      <c r="I13" s="84">
        <f>VLOOKUP(B13,Opportunities!B$3:N$30,12,FALSE)</f>
        <v>3.039853505232323</v>
      </c>
      <c r="J13" s="84">
        <f>VLOOKUP(B13,Opportunities!B$3:N$30,9,FALSE)</f>
        <v>2.2019752270440667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6.83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5.7663680471223877</v>
      </c>
      <c r="J14" s="84">
        <f>VLOOKUP(B14,Opportunities!B$3:N$30,9,FALSE)</f>
        <v>4.1529124986149366</v>
      </c>
      <c r="K14" s="84">
        <f>VLOOKUP(B14,Opportunities!B$3:N$30,11,FALSE)</f>
        <v>8.2247389950012426</v>
      </c>
      <c r="L14" s="84">
        <f>VLOOKUP(B14,Opportunities!B$3:N$30,13,FALSE)</f>
        <v>7.3621366423823531</v>
      </c>
    </row>
    <row r="15" spans="1:12">
      <c r="B15" s="66" t="s">
        <v>227</v>
      </c>
      <c r="C15" s="63">
        <f>VLOOKUP(B15,Opportunities!B$3:E$30,3,FALSE)</f>
        <v>5.94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4.8197379854720408</v>
      </c>
      <c r="J15" s="84">
        <f>VLOOKUP(B15,Opportunities!B$3:N$30,9,FALSE)</f>
        <v>3.4769479145113666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18.239999999999998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4.7066051487542344E-2</v>
      </c>
      <c r="I16" s="84">
        <f>VLOOKUP(B16,Opportunities!B$3:N$30,12,FALSE)</f>
        <v>18.384349198892416</v>
      </c>
      <c r="J16" s="84">
        <f>VLOOKUP(B16,Opportunities!B$3:N$30,9,FALSE)</f>
        <v>13.238623976404986</v>
      </c>
      <c r="K16" s="84">
        <f>VLOOKUP(B16,Opportunities!B$3:N$30,11,FALSE)</f>
        <v>26.2251880911233</v>
      </c>
      <c r="L16" s="84">
        <f>VLOOKUP(B16,Opportunities!B$3:N$30,13,FALSE)</f>
        <v>23.47391719890927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0.43564171086890724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239</v>
      </c>
      <c r="C20" s="58"/>
      <c r="D20" s="55"/>
      <c r="E20" s="59"/>
      <c r="F20" s="59"/>
    </row>
    <row r="21" spans="1:12" ht="13.15">
      <c r="C21" s="87" t="s">
        <v>240</v>
      </c>
      <c r="D21" s="87" t="s">
        <v>243</v>
      </c>
      <c r="E21" s="87" t="s">
        <v>244</v>
      </c>
    </row>
    <row r="22" spans="1:12" ht="14.25">
      <c r="B22" s="86" t="s">
        <v>241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242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245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2" t="s">
        <v>88</v>
      </c>
      <c r="C3" s="122"/>
      <c r="D3" s="122"/>
    </row>
    <row r="5" spans="1:4">
      <c r="B5" s="123" t="s">
        <v>90</v>
      </c>
      <c r="C5" s="124"/>
      <c r="D5" s="124"/>
    </row>
    <row r="6" spans="1:4">
      <c r="B6" s="123" t="s">
        <v>91</v>
      </c>
      <c r="C6" s="124"/>
      <c r="D6" s="12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2" t="s">
        <v>93</v>
      </c>
      <c r="C11" s="122"/>
      <c r="D11" s="122"/>
    </row>
    <row r="12" spans="1:4">
      <c r="B12" s="122" t="s">
        <v>94</v>
      </c>
      <c r="C12" s="122"/>
      <c r="D12" s="12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2" t="s">
        <v>106</v>
      </c>
      <c r="C28" s="122"/>
      <c r="D28" s="122"/>
    </row>
    <row r="29" spans="1:4">
      <c r="B29" s="122" t="s">
        <v>107</v>
      </c>
      <c r="C29" s="122"/>
      <c r="D29" s="12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2025-07-06T15:08:55Z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