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0807D20-A47C-463F-81CE-761B9ECFDA50}" xr6:coauthVersionLast="47" xr6:coauthVersionMax="47" xr10:uidLastSave="{00000000-0000-0000-0000-000000000000}"/>
  <bookViews>
    <workbookView xWindow="368" yWindow="368" windowWidth="12689" windowHeight="7642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<sst xmlns="http://schemas.openxmlformats.org/spreadsheetml/2006/main" count="472" uniqueCount="384">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</sst>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2.66</v>
      </c>
      <c r="E3" s="12" t="s">
        <v>136</v>
      </c>
      <c r="F3" s="15">
        <v>0.2771356143063628</v>
      </c>
      <c r="G3" s="15">
        <f>F3 - Portfolio_Mgmt!$C$10</f>
        <v>0.15973561430636279</v>
      </c>
      <c r="H3" s="15">
        <f>F3 - Portfolio_Mgmt!$C$11</f>
        <v>0.2426356143063628</v>
      </c>
      <c r="I3" s="15">
        <v>0.13916582771114419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8.0623876067621267E-2</v>
      </c>
      <c r="P3" s="4">
        <v>0.10150375939849623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18.239999999999998</v>
      </c>
      <c r="E4" s="12" t="s">
        <v>136</v>
      </c>
      <c r="F4" s="15">
        <v>0.21965412729100908</v>
      </c>
      <c r="G4" s="15">
        <f>F4 - Portfolio_Mgmt!$C$10</f>
        <v>0.10225412729100908</v>
      </c>
      <c r="H4" s="15">
        <f>F4 - Portfolio_Mgmt!$C$11</f>
        <v>0.18515412729100908</v>
      </c>
      <c r="I4" s="15">
        <v>0</v>
      </c>
      <c r="J4" s="2">
        <v>13.688633162343571</v>
      </c>
      <c r="K4" s="2">
        <v>28.421820816801066</v>
      </c>
      <c r="L4" s="74">
        <v>26.155107503430745</v>
      </c>
      <c r="M4" s="2">
        <v>17.011492258202146</v>
      </c>
      <c r="N4" s="2">
        <v>23.411515397529328</v>
      </c>
      <c r="O4" s="4">
        <v>0.11337863414469482</v>
      </c>
      <c r="P4" s="4">
        <v>6.9078947368421059E-2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-0.45823125418340876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2.08</v>
      </c>
      <c r="E5" s="12" t="s">
        <v>136</v>
      </c>
      <c r="F5" s="15">
        <v>0.20223167028400457</v>
      </c>
      <c r="G5" s="15">
        <f>F5 - Portfolio_Mgmt!$C$10</f>
        <v>8.4831670284004568E-2</v>
      </c>
      <c r="H5" s="15">
        <f>F5 - Portfolio_Mgmt!$C$11</f>
        <v>0.16773167028400457</v>
      </c>
      <c r="I5" s="15">
        <v>0</v>
      </c>
      <c r="J5" s="2">
        <v>1.4882169885327901</v>
      </c>
      <c r="K5" s="2">
        <v>3.2860468731613639</v>
      </c>
      <c r="L5" s="74">
        <v>2.8791854790436981</v>
      </c>
      <c r="M5" s="2">
        <v>1.8581359990586184</v>
      </c>
      <c r="N5" s="2">
        <v>2.5724425296066808</v>
      </c>
      <c r="O5" s="4">
        <v>6.4893893595258378E-2</v>
      </c>
      <c r="P5" s="4">
        <v>4.3269230769230775E-2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1.8469894498897808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163</v>
      </c>
      <c r="C6" s="11" t="s">
        <v>192</v>
      </c>
      <c r="D6" s="2">
        <v>16.14</v>
      </c>
      <c r="E6" s="12" t="s">
        <v>136</v>
      </c>
      <c r="F6" s="15">
        <v>0.19221570499460294</v>
      </c>
      <c r="G6" s="15">
        <f>F6 - Portfolio_Mgmt!$C$10</f>
        <v>7.4815704994602938E-2</v>
      </c>
      <c r="H6" s="15">
        <f>F6 - Portfolio_Mgmt!$C$11</f>
        <v>0.15771570499460294</v>
      </c>
      <c r="I6" s="15">
        <v>0</v>
      </c>
      <c r="J6" s="2">
        <v>11.22582504846484</v>
      </c>
      <c r="K6" s="2">
        <v>25.611044420725889</v>
      </c>
      <c r="L6" s="74">
        <v>21.867807264897682</v>
      </c>
      <c r="M6" s="2">
        <v>14.052572517264942</v>
      </c>
      <c r="N6" s="2">
        <v>19.518440276147409</v>
      </c>
      <c r="O6" s="4">
        <v>6.3412080735341034E-2</v>
      </c>
      <c r="P6" s="4">
        <v>2.9827310655651525E-2</v>
      </c>
      <c r="Q6" s="4">
        <v>0.12359665917915515</v>
      </c>
      <c r="R6" s="4">
        <v>0.12331906279080104</v>
      </c>
      <c r="S6" s="82">
        <v>0.73266920679685343</v>
      </c>
      <c r="T6" s="81">
        <v>1.3679448142367923</v>
      </c>
      <c r="U6" s="15">
        <v>7.4171010848313429E-2</v>
      </c>
      <c r="V6" s="79">
        <v>0.60402076709908736</v>
      </c>
      <c r="W6" s="74">
        <v>4.609066390911563</v>
      </c>
      <c r="X6" s="13" t="s">
        <v>181</v>
      </c>
      <c r="Y6" s="11" t="s">
        <v>137</v>
      </c>
      <c r="Z6" s="14">
        <v>45900</v>
      </c>
      <c r="AA6" s="16" t="s">
        <v>224</v>
      </c>
    </row>
    <row r="7" spans="1:27">
      <c r="B7" s="11" t="s">
        <v>187</v>
      </c>
      <c r="C7" s="11" t="s">
        <v>188</v>
      </c>
      <c r="D7" s="2">
        <v>3.37</v>
      </c>
      <c r="E7" s="12" t="s">
        <v>136</v>
      </c>
      <c r="F7" s="15">
        <v>0.19052491213845579</v>
      </c>
      <c r="G7" s="15">
        <f>F7 - Portfolio_Mgmt!$C$10</f>
        <v>7.3124912138455789E-2</v>
      </c>
      <c r="H7" s="15">
        <f>F7 - Portfolio_Mgmt!$C$11</f>
        <v>0.15602491213845579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8.4261880535217951E-2</v>
      </c>
      <c r="P7" s="4">
        <v>3.7982195845697328E-2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224</v>
      </c>
    </row>
    <row r="8" spans="1:27">
      <c r="B8" s="11" t="s">
        <v>179</v>
      </c>
      <c r="C8" s="11" t="s">
        <v>180</v>
      </c>
      <c r="D8" s="2">
        <v>55.2</v>
      </c>
      <c r="E8" s="12" t="s">
        <v>136</v>
      </c>
      <c r="F8" s="15">
        <v>0.16939827147314346</v>
      </c>
      <c r="G8" s="15">
        <f>F8 - Portfolio_Mgmt!$C$10</f>
        <v>5.1998271473143454E-2</v>
      </c>
      <c r="H8" s="15">
        <f>F8 - Portfolio_Mgmt!$C$11</f>
        <v>0.13489827147314346</v>
      </c>
      <c r="I8" s="15">
        <v>0</v>
      </c>
      <c r="J8" s="2">
        <v>37.195646185868199</v>
      </c>
      <c r="K8" s="2">
        <v>70.229396134555486</v>
      </c>
      <c r="L8" s="74">
        <v>69.798372749714503</v>
      </c>
      <c r="M8" s="2">
        <v>45.915500740892412</v>
      </c>
      <c r="N8" s="2">
        <v>62.645447917447228</v>
      </c>
      <c r="O8" s="4">
        <v>9.6332114037500555E-2</v>
      </c>
      <c r="P8" s="4">
        <v>9.2417753623188409E-2</v>
      </c>
      <c r="Q8" s="4">
        <v>0.32755394896836565</v>
      </c>
      <c r="R8" s="4">
        <v>8.9976704126159421E-2</v>
      </c>
      <c r="S8" s="82">
        <v>1.5891874956485419</v>
      </c>
      <c r="T8" s="81">
        <v>2.2907496012759174</v>
      </c>
      <c r="U8" s="15">
        <v>0.24768740031897937</v>
      </c>
      <c r="V8" s="79">
        <v>0.73855199466278643</v>
      </c>
      <c r="W8" s="74">
        <v>-2.6742822354023903</v>
      </c>
      <c r="X8" s="13" t="s">
        <v>184</v>
      </c>
      <c r="Y8" s="11" t="s">
        <v>137</v>
      </c>
      <c r="Z8" s="14">
        <v>45808</v>
      </c>
      <c r="AA8" s="16" t="s">
        <v>224</v>
      </c>
    </row>
    <row r="9" spans="1:27">
      <c r="B9" s="11" t="s">
        <v>182</v>
      </c>
      <c r="C9" s="11" t="s">
        <v>183</v>
      </c>
      <c r="D9" s="2">
        <v>51.35</v>
      </c>
      <c r="E9" s="12" t="s">
        <v>136</v>
      </c>
      <c r="F9" s="15">
        <v>0.15591280421592213</v>
      </c>
      <c r="G9" s="15">
        <f>F9 - Portfolio_Mgmt!$C$10</f>
        <v>3.8512804215922125E-2</v>
      </c>
      <c r="H9" s="15">
        <f>F9 - Portfolio_Mgmt!$C$11</f>
        <v>0.12141280421592213</v>
      </c>
      <c r="I9" s="15">
        <v>0</v>
      </c>
      <c r="J9" s="2">
        <v>32.734887523131803</v>
      </c>
      <c r="K9" s="2">
        <v>72.983449193487829</v>
      </c>
      <c r="L9" s="74">
        <v>63.458508124691924</v>
      </c>
      <c r="M9" s="2">
        <v>40.902715970781955</v>
      </c>
      <c r="N9" s="2">
        <v>56.681015812285395</v>
      </c>
      <c r="O9" s="4">
        <v>4.4921850694729919E-2</v>
      </c>
      <c r="P9" s="4">
        <v>3.5268947273175373E-2</v>
      </c>
      <c r="Q9" s="4">
        <v>0.13507595797171956</v>
      </c>
      <c r="R9" s="4">
        <v>0.12563571959893144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1.358841215192355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205</v>
      </c>
      <c r="C10" s="11" t="s">
        <v>216</v>
      </c>
      <c r="D10" s="2">
        <v>23.19</v>
      </c>
      <c r="E10" s="12" t="s">
        <v>206</v>
      </c>
      <c r="F10" s="15">
        <v>0.14338543608856869</v>
      </c>
      <c r="G10" s="15">
        <f>F10 - Portfolio_Mgmt!$C$10</f>
        <v>2.5985436088568681E-2</v>
      </c>
      <c r="H10" s="15">
        <f>F10 - Portfolio_Mgmt!$C$11</f>
        <v>0.10888543608856868</v>
      </c>
      <c r="I10" s="15">
        <v>0</v>
      </c>
      <c r="J10" s="2">
        <v>14.210808951982788</v>
      </c>
      <c r="K10" s="2">
        <v>33.230161875234657</v>
      </c>
      <c r="L10" s="74">
        <v>27.829540483416785</v>
      </c>
      <c r="M10" s="2">
        <v>17.824937920120146</v>
      </c>
      <c r="N10" s="2">
        <v>24.820548736528732</v>
      </c>
      <c r="O10" s="4">
        <v>0.19659170104951246</v>
      </c>
      <c r="P10" s="4">
        <v>1.7918068132815868E-2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208</v>
      </c>
      <c r="C11" s="11" t="s">
        <v>217</v>
      </c>
      <c r="D11" s="2">
        <v>27.58</v>
      </c>
      <c r="E11" s="12" t="s">
        <v>206</v>
      </c>
      <c r="F11" s="15">
        <v>0.13151997849611874</v>
      </c>
      <c r="G11" s="15">
        <f>F11 - Portfolio_Mgmt!$C$10</f>
        <v>1.4119978496118735E-2</v>
      </c>
      <c r="H11" s="15">
        <f>F11 - Portfolio_Mgmt!$C$11</f>
        <v>9.7019978496118736E-2</v>
      </c>
      <c r="I11" s="15">
        <v>0</v>
      </c>
      <c r="J11" s="2">
        <v>16.586017104127016</v>
      </c>
      <c r="K11" s="2">
        <v>36.134621832566509</v>
      </c>
      <c r="L11" s="74">
        <v>31.999534598013469</v>
      </c>
      <c r="M11" s="2">
        <v>20.68716637827405</v>
      </c>
      <c r="N11" s="2">
        <v>28.601981247202922</v>
      </c>
      <c r="O11" s="4">
        <v>9.2065533262617752E-2</v>
      </c>
      <c r="P11" s="4">
        <v>4.060913705583756E-2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185</v>
      </c>
      <c r="C12" s="11" t="s">
        <v>186</v>
      </c>
      <c r="D12" s="2">
        <v>7.11</v>
      </c>
      <c r="E12" s="12" t="s">
        <v>136</v>
      </c>
      <c r="F12" s="15">
        <v>0.13005412128637861</v>
      </c>
      <c r="G12" s="15">
        <f>F12 - Portfolio_Mgmt!$C$10</f>
        <v>1.2654121286378606E-2</v>
      </c>
      <c r="H12" s="15">
        <f>F12 - Portfolio_Mgmt!$C$11</f>
        <v>9.5554121286378607E-2</v>
      </c>
      <c r="I12" s="15">
        <v>0</v>
      </c>
      <c r="J12" s="2">
        <v>4.2940265714152197</v>
      </c>
      <c r="K12" s="2">
        <v>8.9053222792011422</v>
      </c>
      <c r="L12" s="74">
        <v>8.2027808585770945</v>
      </c>
      <c r="M12" s="2">
        <v>5.3359243388287121</v>
      </c>
      <c r="N12" s="2">
        <v>7.3425844766125028</v>
      </c>
      <c r="O12" s="4">
        <v>0.11083655403607223</v>
      </c>
      <c r="P12" s="4">
        <v>5.5941710177720122E-2</v>
      </c>
      <c r="Q12" s="4">
        <v>0.12477871842229639</v>
      </c>
      <c r="R12" s="4">
        <v>7.7304831872868032E-2</v>
      </c>
      <c r="S12" s="82">
        <v>1.0025080757150273</v>
      </c>
      <c r="T12" s="81">
        <v>1.6100746083165727</v>
      </c>
      <c r="U12" s="15">
        <v>0.16360901428944893</v>
      </c>
      <c r="V12" s="79">
        <v>1.1309485990394448</v>
      </c>
      <c r="W12" s="74">
        <v>-3.8792625674392136</v>
      </c>
      <c r="X12" s="13" t="s">
        <v>162</v>
      </c>
      <c r="Y12" s="11" t="s">
        <v>137</v>
      </c>
      <c r="Z12" s="14">
        <v>45900</v>
      </c>
      <c r="AA12" s="16" t="s">
        <v>224</v>
      </c>
    </row>
    <row r="13" spans="1:27">
      <c r="B13" s="11" t="s">
        <v>193</v>
      </c>
      <c r="C13" s="11" t="s">
        <v>194</v>
      </c>
      <c r="D13" s="2">
        <v>15.94</v>
      </c>
      <c r="E13" s="12" t="s">
        <v>136</v>
      </c>
      <c r="F13" s="15">
        <v>0.1031967873503481</v>
      </c>
      <c r="G13" s="15">
        <f>F13 - Portfolio_Mgmt!$C$10</f>
        <v>-1.4203212649651908E-2</v>
      </c>
      <c r="H13" s="15">
        <f>F13 - Portfolio_Mgmt!$C$11</f>
        <v>6.8696787350348093E-2</v>
      </c>
      <c r="I13" s="15">
        <v>0</v>
      </c>
      <c r="J13" s="2">
        <v>8.9905143385713533</v>
      </c>
      <c r="K13" s="2">
        <v>18.602960693162494</v>
      </c>
      <c r="L13" s="2">
        <v>17.166680205818352</v>
      </c>
      <c r="M13" s="2">
        <v>11.170092123219197</v>
      </c>
      <c r="N13" s="2">
        <v>15.367492405396529</v>
      </c>
      <c r="O13" s="4">
        <v>9.7425858859066933E-2</v>
      </c>
      <c r="P13" s="4">
        <v>5.2880687578419072E-2</v>
      </c>
      <c r="Q13" s="4">
        <v>0.26418087257894268</v>
      </c>
      <c r="R13" s="4">
        <v>0.11373779416331339</v>
      </c>
      <c r="S13" s="82">
        <v>0.70652858717908329</v>
      </c>
      <c r="T13" s="81">
        <v>3.2875080906148866</v>
      </c>
      <c r="U13" s="15">
        <v>1.5035598705501618</v>
      </c>
      <c r="V13" s="79">
        <v>4.1998196571663646</v>
      </c>
      <c r="W13" s="74">
        <v>-12.275622673371092</v>
      </c>
      <c r="X13" s="13" t="s">
        <v>181</v>
      </c>
      <c r="Y13" s="11" t="s">
        <v>195</v>
      </c>
      <c r="Z13" s="14">
        <v>45900</v>
      </c>
      <c r="AA13" s="16" t="s">
        <v>225</v>
      </c>
    </row>
    <row r="14" spans="1:27">
      <c r="B14" s="11" t="s">
        <v>227</v>
      </c>
      <c r="C14" s="11" t="s">
        <v>228</v>
      </c>
      <c r="D14" s="2">
        <v>6.56</v>
      </c>
      <c r="E14" s="12" t="s">
        <v>136</v>
      </c>
      <c r="F14" s="15">
        <v>9.219872358301795E-2</v>
      </c>
      <c r="G14" s="15">
        <f>F14 - Portfolio_Mgmt!$C$10</f>
        <v>-2.5201276416982055E-2</v>
      </c>
      <c r="H14" s="15">
        <f>F14 - Portfolio_Mgmt!$C$11</f>
        <v>5.7698723583017947E-2</v>
      </c>
      <c r="I14" s="15">
        <v>0</v>
      </c>
      <c r="J14" s="2">
        <v>3.6036658259915511</v>
      </c>
      <c r="K14" s="2">
        <v>7.3642693066239637</v>
      </c>
      <c r="L14" s="2">
        <v>6.8641356814360206</v>
      </c>
      <c r="M14" s="2">
        <v>4.4732258849914697</v>
      </c>
      <c r="N14" s="2">
        <v>6.1469536878205542</v>
      </c>
      <c r="O14" s="4">
        <v>5.6311300967147114E-2</v>
      </c>
      <c r="P14" s="4">
        <v>5.4878048780487805E-2</v>
      </c>
      <c r="Q14" s="4">
        <v>7.0630420943605887E-2</v>
      </c>
      <c r="R14" s="4">
        <v>9.3039179367971361E-2</v>
      </c>
      <c r="S14" s="82">
        <v>0.62627525695225639</v>
      </c>
      <c r="T14" s="81">
        <v>1.2121620122817016</v>
      </c>
      <c r="U14" s="15">
        <v>1.1610019159010268E-2</v>
      </c>
      <c r="V14" s="79">
        <v>0.16381589511191816</v>
      </c>
      <c r="W14" s="74">
        <v>3.7980767021052162</v>
      </c>
      <c r="X14" s="13" t="s">
        <v>229</v>
      </c>
      <c r="Y14" s="11" t="s">
        <v>137</v>
      </c>
      <c r="Z14" s="14">
        <v>45900</v>
      </c>
      <c r="AA14" s="16" t="s">
        <v>224</v>
      </c>
    </row>
    <row r="15" spans="1:27">
      <c r="B15" s="11" t="s">
        <v>138</v>
      </c>
      <c r="C15" s="11" t="s">
        <v>176</v>
      </c>
      <c r="D15" s="2">
        <v>8.7200000000000006</v>
      </c>
      <c r="E15" s="12" t="s">
        <v>136</v>
      </c>
      <c r="F15" s="15">
        <v>8.9068896077627135E-2</v>
      </c>
      <c r="G15" s="15">
        <f>F15 - Portfolio_Mgmt!$C$10</f>
        <v>-2.8331103922372869E-2</v>
      </c>
      <c r="H15" s="15">
        <f>F15 - Portfolio_Mgmt!$C$11</f>
        <v>5.4568896077627133E-2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3.5424125227323973E-2</v>
      </c>
      <c r="P15" s="4">
        <v>6.6513761467889898E-2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21.35</v>
      </c>
      <c r="E16" s="12" t="s">
        <v>136</v>
      </c>
      <c r="F16" s="15">
        <v>7.2691369724356525E-2</v>
      </c>
      <c r="G16" s="15">
        <f>F16 - Portfolio_Mgmt!$C$10</f>
        <v>-4.4708630275643479E-2</v>
      </c>
      <c r="H16" s="15">
        <f>F16 - Portfolio_Mgmt!$C$11</f>
        <v>3.8191369724356522E-2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8.0936113319420577E-2</v>
      </c>
      <c r="P16" s="4">
        <v>6.3700234192037478E-2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2.81</v>
      </c>
      <c r="E17" s="12" t="s">
        <v>136</v>
      </c>
      <c r="F17" s="15">
        <v>4.273007874622281E-2</v>
      </c>
      <c r="G17" s="15">
        <f>F17 - Portfolio_Mgmt!$C$10</f>
        <v>-7.4669921253777194E-2</v>
      </c>
      <c r="H17" s="15">
        <f>F17 - Portfolio_Mgmt!$C$11</f>
        <v>8.2300787462228076E-3</v>
      </c>
      <c r="I17" s="15">
        <v>0</v>
      </c>
      <c r="J17" s="2">
        <v>1.3421357277748343</v>
      </c>
      <c r="K17" s="2">
        <v>2.8365454422639136</v>
      </c>
      <c r="L17" s="2">
        <v>2.5735014438615318</v>
      </c>
      <c r="M17" s="2">
        <v>1.6701361038196163</v>
      </c>
      <c r="N17" s="2">
        <v>2.3023472393063757</v>
      </c>
      <c r="O17" s="4">
        <v>2.9963781368718478E-2</v>
      </c>
      <c r="P17" s="4">
        <v>3.9711954775919656E-2</v>
      </c>
      <c r="Q17" s="4">
        <v>4.3343354255136343E-2</v>
      </c>
      <c r="R17" s="4">
        <v>8.4128327850980594E-2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1.9118098228477636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2.31</v>
      </c>
      <c r="E18" s="12" t="s">
        <v>136</v>
      </c>
      <c r="F18" s="15">
        <v>-2.9260350440836524E-2</v>
      </c>
      <c r="G18" s="15">
        <f>F18 - Portfolio_Mgmt!$C$10</f>
        <v>-0.14666035044083653</v>
      </c>
      <c r="H18" s="15">
        <f>F18 - Portfolio_Mgmt!$C$11</f>
        <v>-6.3760350440836527E-2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4.1505005387605688E-3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4.4999999999999998E-2</v>
      </c>
      <c r="D4" s="34">
        <v>7.4999999999999997E-2</v>
      </c>
      <c r="E4" s="35">
        <f>D4-C4</f>
        <v>0.03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0.43423007781284878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7.11</v>
      </c>
      <c r="D4" s="62" t="str">
        <f>VLOOKUP(B4,Opportunities!B$3:E$30,4,FALSE)</f>
        <v>HKD</v>
      </c>
      <c r="E4" s="59">
        <v>10000</v>
      </c>
      <c r="F4" s="64">
        <f>E4*C4</f>
        <v>71100</v>
      </c>
      <c r="G4" s="61">
        <f>F4/$F$10</f>
        <v>7.5290562004017472E-2</v>
      </c>
      <c r="H4" s="61">
        <f>VLOOKUP(B4,Opportunities!B$3:I$30,8,FALSE)</f>
        <v>0</v>
      </c>
      <c r="I4" s="84">
        <f>VLOOKUP(B4,Opportunities!B$3:N$30,12,FALSE)</f>
        <v>5.3359243388287121</v>
      </c>
      <c r="J4" s="84">
        <f>VLOOKUP(B4,Opportunities!B$3:N$30,9,FALSE)</f>
        <v>4.2940265714152197</v>
      </c>
      <c r="K4" s="84">
        <f>VLOOKUP(B4,Opportunities!B$3:N$30,11,FALSE)</f>
        <v>8.2027808585770945</v>
      </c>
      <c r="L4" s="84">
        <f>VLOOKUP(B4,Opportunities!B$3:N$30,13,FALSE)</f>
        <v>7.3425844766125028</v>
      </c>
    </row>
    <row r="5" spans="1:12">
      <c r="B5" s="66" t="s">
        <v>163</v>
      </c>
      <c r="C5" s="63">
        <f>VLOOKUP(B5,Opportunities!B$3:E$30,3,FALSE)</f>
        <v>16.14</v>
      </c>
      <c r="D5" s="62" t="str">
        <f>VLOOKUP(B5,Opportunities!B$3:E$30,4,FALSE)</f>
        <v>HKD</v>
      </c>
      <c r="E5" s="59">
        <v>9000</v>
      </c>
      <c r="F5" s="64">
        <f>C5*E5</f>
        <v>145260</v>
      </c>
      <c r="G5" s="61">
        <f>F5/$F$10</f>
        <v>0.15382147730947365</v>
      </c>
      <c r="H5" s="61">
        <f>VLOOKUP(B5,Opportunities!B$3:I$30,8,FALSE)</f>
        <v>0</v>
      </c>
      <c r="I5" s="84">
        <f>VLOOKUP(B5,Opportunities!B$3:N$30,12,FALSE)</f>
        <v>14.052572517264942</v>
      </c>
      <c r="J5" s="84">
        <f>VLOOKUP(B5,Opportunities!B$3:N$30,9,FALSE)</f>
        <v>11.22582504846484</v>
      </c>
      <c r="K5" s="84">
        <f>VLOOKUP(B5,Opportunities!B$3:N$30,11,FALSE)</f>
        <v>21.867807264897682</v>
      </c>
      <c r="L5" s="84">
        <f>VLOOKUP(B5,Opportunities!B$3:N$30,13,FALSE)</f>
        <v>19.518440276147409</v>
      </c>
    </row>
    <row r="6" spans="1:12">
      <c r="B6" s="66" t="s">
        <v>210</v>
      </c>
      <c r="C6" s="63">
        <f>VLOOKUP(B6,Opportunities!B$3:E$30,3,FALSE)</f>
        <v>18.239999999999998</v>
      </c>
      <c r="D6" s="62" t="str">
        <f>VLOOKUP(B6,Opportunities!B$3:E$30,4,FALSE)</f>
        <v>HKD</v>
      </c>
      <c r="E6" s="59">
        <v>8000</v>
      </c>
      <c r="F6" s="64">
        <f>C6*E6</f>
        <v>145920</v>
      </c>
      <c r="G6" s="61">
        <f>F6/$F$10</f>
        <v>0.15452037704115654</v>
      </c>
      <c r="H6" s="61">
        <f>VLOOKUP(B6,Opportunities!B$3:I$30,8,FALSE)</f>
        <v>0</v>
      </c>
      <c r="I6" s="84">
        <f>VLOOKUP(B6,Opportunities!B$3:N$30,12,FALSE)</f>
        <v>17.011492258202146</v>
      </c>
      <c r="J6" s="84">
        <f>VLOOKUP(B6,Opportunities!B$3:N$30,9,FALSE)</f>
        <v>13.688633162343571</v>
      </c>
      <c r="K6" s="84">
        <f>VLOOKUP(B6,Opportunities!B$3:N$30,11,FALSE)</f>
        <v>26.155107503430745</v>
      </c>
      <c r="L6" s="84">
        <f>VLOOKUP(B6,Opportunities!B$3:N$30,13,FALSE)</f>
        <v>23.411515397529328</v>
      </c>
    </row>
    <row r="7" spans="1:12">
      <c r="B7" s="66" t="s">
        <v>227</v>
      </c>
      <c r="C7" s="63">
        <f>VLOOKUP(B7,Opportunities!B$3:E$30,3,FALSE)</f>
        <v>6.56</v>
      </c>
      <c r="D7" s="62" t="str">
        <f>VLOOKUP(B7,Opportunities!B$3:E$30,4,FALSE)</f>
        <v>HKD</v>
      </c>
      <c r="E7" s="59">
        <v>10000</v>
      </c>
      <c r="F7" s="64">
        <f>C7*E7</f>
        <v>65600</v>
      </c>
      <c r="G7" s="61">
        <f t="shared" ref="G7" si="0">F7/$F$10</f>
        <v>6.9466397573326941E-2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2.66</v>
      </c>
      <c r="D8" s="62" t="str">
        <f>VLOOKUP(B8,Opportunities!B$3:E$30,4,FALSE)</f>
        <v>HKD</v>
      </c>
      <c r="E8" s="59">
        <v>40000</v>
      </c>
      <c r="F8" s="64">
        <f>C8*E8</f>
        <v>106400</v>
      </c>
      <c r="G8" s="61">
        <f t="shared" ref="G8" si="1">F8/$F$10</f>
        <v>0.11267110825917663</v>
      </c>
      <c r="H8" s="61">
        <f>VLOOKUP(B8,Opportunities!B$3:I$30,8,FALSE)</f>
        <v>0.13916582771114419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944341.47</v>
      </c>
      <c r="G10" s="70">
        <f>SUM(G3:G8)</f>
        <v>0.99999999999999989</v>
      </c>
      <c r="H10" s="76">
        <f>SUM(H3:H8)</f>
        <v>0.58916582771114423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2.66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0.13916582771114419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7.11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5.3359243388287121</v>
      </c>
      <c r="J14" s="84">
        <f>VLOOKUP(B14,Opportunities!B$3:N$30,9,FALSE)</f>
        <v>4.2940265714152197</v>
      </c>
      <c r="K14" s="84">
        <f>VLOOKUP(B14,Opportunities!B$3:N$30,11,FALSE)</f>
        <v>8.2027808585770945</v>
      </c>
      <c r="L14" s="84">
        <f>VLOOKUP(B14,Opportunities!B$3:N$30,13,FALSE)</f>
        <v>7.3425844766125028</v>
      </c>
    </row>
    <row r="15" spans="1:12">
      <c r="B15" s="66" t="s">
        <v>227</v>
      </c>
      <c r="C15" s="63">
        <f>VLOOKUP(B15,Opportunities!B$3:E$30,3,FALSE)</f>
        <v>6.56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18.239999999999998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17.011492258202146</v>
      </c>
      <c r="J16" s="84">
        <f>VLOOKUP(B16,Opportunities!B$3:N$30,9,FALSE)</f>
        <v>13.688633162343571</v>
      </c>
      <c r="K16" s="84">
        <f>VLOOKUP(B16,Opportunities!B$3:N$30,11,FALSE)</f>
        <v>26.155107503430745</v>
      </c>
      <c r="L16" s="84">
        <f>VLOOKUP(B16,Opportunities!B$3:N$30,13,FALSE)</f>
        <v>23.411515397529328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0.43423007781284878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237</v>
      </c>
      <c r="C20" s="58"/>
      <c r="D20" s="55"/>
      <c r="E20" s="59"/>
      <c r="F20" s="59"/>
    </row>
    <row r="21" spans="1:12" ht="13.15">
      <c r="C21" s="87" t="s">
        <v>238</v>
      </c>
      <c r="D21" s="87" t="s">
        <v>241</v>
      </c>
      <c r="E21" s="87" t="s">
        <v>242</v>
      </c>
    </row>
    <row r="22" spans="1:12" ht="14.25">
      <c r="B22" s="86" t="s">
        <v>239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240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243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2025-07-17T10:00:42Z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