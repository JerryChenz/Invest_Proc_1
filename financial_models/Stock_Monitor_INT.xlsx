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E8F4987-B389-4AB3-8245-2072CF09D38D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<sst xmlns="http://schemas.openxmlformats.org/spreadsheetml/2006/main" count="501" uniqueCount="396">
  <si>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</si>
  <si>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</si>
  <si>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</si>
  <si>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</si>
  <si>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</si>
  <si>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</si>
  <si>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</si>
  <si>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</si>
  <si>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</si>
  <si>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</si>
  <si>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</si>
  <si>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</si>
  <si>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</si>
  <si>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</si>
  <si>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</si>
  <si>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</si>
  <si>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</si>
  <si>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</si>
  <si>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</si>
  <si>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</si>
  <si>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</si>
  <si>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</si>
  <si>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</si>
  <si>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</si>
  <si>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</si>
  <si>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</si>
  <si>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</si>
  <si>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</si>
  <si>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</si>
  <si>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</si>
  <si>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</si>
  <si>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</si>
  <si>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</si>
  <si>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</si>
  <si>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</si>
  <si>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</si>
  <si>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</si>
  <si>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</si>
  <si>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</si>
  <si>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</si>
  <si>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</si>
  <si>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</si>
  <si>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</si>
  <si>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</si>
  <si>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</si>
  <si>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</si>
  <si>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</si>
  <si>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</si>
  <si>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</si>
  <si>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</si>
  <si>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</si>
  <si>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</si>
  <si>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</si>
  <si>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</si>
  <si>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</si>
  <si>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</si>
  <si>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</si>
  <si>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</si>
  <si>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</si>
  <si>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</si>
  <si>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</si>
  <si>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</si>
  <si>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</si>
  <si>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</si>
  <si>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</si>
  <si>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</si>
  <si>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</si>
  <si>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</si>
  <si>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</si>
  <si>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</si>
  <si>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</si>
  <si>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</si>
  <si>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</si>
  <si>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</si>
  <si>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</si>
  <si>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</si>
  <si>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</si>
  <si>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</si>
  <si>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</si>
  <si>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</si>
  <si>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</si>
  <si>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</si>
  <si>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</si>
  <si>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</si>
  <si>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</si>
  <si>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</si>
  <si>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</si>
  <si>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</si>
  <si>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</si>
  <si>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</si>
  <si>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</si>
  <si>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</si>
  <si>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</si>
  <si>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</si>
  <si>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</si>
  <si>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</si>
  <si>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</si>
  <si>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</si>
  <si>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</si>
  <si>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</si>
  <si>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</si>
  <si>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</si>
  <si>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</si>
  <si>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</si>
  <si>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</si>
  <si>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</si>
  <si>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</si>
  <si>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</si>
  <si>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</si>
  <si>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</si>
  <si>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</si>
  <si>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</si>
  <si>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</si>
  <si>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</si>
  <si>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</si>
  <si>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</si>
  <si>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</si>
  <si>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</si>
  <si>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</si>
  <si>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</si>
  <si>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</si>
  <si>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</si>
  <si>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</si>
  <si>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</si>
  <si>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</si>
  <si>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</si>
  <si>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</si>
  <si>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</si>
  <si>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</si>
  <si>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</si>
  <si>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</si>
  <si>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</si>
  <si>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</si>
  <si>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</si>
  <si>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</si>
  <si>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</si>
  <si>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</si>
  <si>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</si>
  <si>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</si>
  <si>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</si>
  <si>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</si>
  <si>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</si>
  <si>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</si>
  <si>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</si>
  <si>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</si>
  <si>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</si>
  <si>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</si>
  <si>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</si>
  <si>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</si>
  <si>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</si>
  <si>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</si>
  <si>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</si>
  <si>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</si>
  <si>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</si>
  <si>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</si>
  <si>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</si>
  <si>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</si>
  <si>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</si>
  <si>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</si>
  <si>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</si>
  <si>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</si>
  <si>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</si>
  <si>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</si>
  <si>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</si>
  <si>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</si>
  <si>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</si>
  <si>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</si>
  <si>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</si>
  <si>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</si>
  <si>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</si>
  <si>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</si>
  <si>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</si>
  <si>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</si>
  <si>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</si>
  <si>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</si>
  <si>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</si>
  <si>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</si>
  <si>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</si>
  <si>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</si>
  <si>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</si>
  <si>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</si>
  <si>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</si>
  <si>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</si>
  <si>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</si>
  <si>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</si>
  <si>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</si>
  <si>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</si>
  <si>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</si>
  <si>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</si>
  <si>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</si>
  <si>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</si>
  <si>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</si>
  <si>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</si>
  <si>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</si>
  <si>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</si>
  <si>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</si>
  <si>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</si>
  <si>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</si>
  <si>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</si>
  <si>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</si>
  <si>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</si>
  <si>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</si>
  <si>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</si>
  <si>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</si>
  <si>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</si>
  <si>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</si>
  <si>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</si>
  <si>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</si>
  <si>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</si>
  <si>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</si>
  <si>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</si>
  <si>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</si>
  <si>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</si>
  <si>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</si>
  <si>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</si>
  <si>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</si>
  <si>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</si>
  <si>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</si>
  <si>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</si>
  <si>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</si>
  <si>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</si>
  <si>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</si>
  <si>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</si>
  <si>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</si>
  <si>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</si>
  <si>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</si>
  <si>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</si>
  <si>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</si>
  <si>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</si>
  <si>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</si>
  <si>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</si>
  <si>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</si>
  <si>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</si>
  <si>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</si>
  <si>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</si>
  <si>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</si>
  <si>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</si>
  <si>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</si>
  <si>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</si>
  <si>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</si>
  <si>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</si>
  <si>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</si>
  <si>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</si>
  <si>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</si>
  <si>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</si>
  <si>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</si>
  <si>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</si>
  <si>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</si>
  <si>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</si>
  <si>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</si>
  <si>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</si>
  <si>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</si>
  <si>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</si>
  <si>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</si>
  <si>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</si>
  <si>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</si>
  <si>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</si>
  <si>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</si>
  <si>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</si>
  <si>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</si>
  <si>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</si>
  <si>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</si>
  <si>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</si>
  <si>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</si>
  <si>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</si>
  <si>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</si>
  <si>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</si>
  <si>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</si>
  <si>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</si>
  <si>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</si>
  <si>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</si>
  <si>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</si>
  <si>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</si>
  <si>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</si>
  <si>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</si>
  <si>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</si>
  <si>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</si>
  <si>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</si>
  <si>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</si>
  <si>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</si>
  <si>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</si>
  <si>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</si>
  <si>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</si>
  <si>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</si>
  <si>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</si>
  <si>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</si>
  <si>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</si>
  <si>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</si>
  <si>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</si>
  <si>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</si>
  <si>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</si>
  <si>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</si>
  <si>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</si>
  <si>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</si>
  <si>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</si>
  <si>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</si>
  <si>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</si>
  <si>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</si>
  <si>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</si>
  <si>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</si>
  <si>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</si>
  <si>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</si>
  <si>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</si>
  <si>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</si>
  <si>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</si>
  <si>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</si>
  <si>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</si>
  <si>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</si>
  <si>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</si>
  <si>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</si>
  <si>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</si>
  <si>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</si>
  <si>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</si>
  <si>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</si>
  <si>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</si>
  <si>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</si>
  <si>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</si>
  <si>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</si>
  <si>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</si>
  <si>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</si>
  <si>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</si>
  <si>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</si>
  <si>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</si>
  <si>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</si>
  <si>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</si>
  <si>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</si>
  <si>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</si>
  <si>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</si>
  <si>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</si>
  <si>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</si>
  <si>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</si>
  <si>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</si>
  <si>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</si>
  <si>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</si>
  <si>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</si>
  <si>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</si>
  <si>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</si>
  <si>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</si>
  <si>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</si>
  <si>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</si>
  <si>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</si>
  <si>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</si>
  <si>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</si>
  <si>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</si>
  <si>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</si>
  <si>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</si>
  <si>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</si>
  <si>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</si>
  <si>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</si>
  <si>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</si>
  <si>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</si>
  <si>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</si>
  <si>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</si>
  <si>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</si>
  <si>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</si>
  <si>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</si>
  <si>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</si>
  <si>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</si>
  <si>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</si>
  <si>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</si>
  <si>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</si>
  <si>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</si>
  <si>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</si>
  <si>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</si>
  <si>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</si>
  <si>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</si>
  <si>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</si>
  <si>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</si>
  <si>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</si>
  <si>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</si>
  <si>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</si>
  <si>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</si>
  <si>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</si>
  <si>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</si>
  <si>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</si>
  <si>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</si>
  <si>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</si>
  <si>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</si>
  <si>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</si>
  <si>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</si>
  <si>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</si>
  <si>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</si>
  <si>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</si>
  <si>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</si>
  <si>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</si>
  <si>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</si>
  <si>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</si>
  <si>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</si>
  <si>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</si>
  <si>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</si>
  <si>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</si>
  <si>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</si>
  <si>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</si>
  <si>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</si>
  <si>
    <t>9961.HK</t>
  </si>
  <si>
    <t>携程集团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</si>
</sst>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0" sqref="F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10.48</v>
      </c>
      <c r="E3" s="12" t="s">
        <v>118</v>
      </c>
      <c r="F3" s="15">
        <v>0.26878933254333881</v>
      </c>
      <c r="G3" s="15">
        <v>0.1347163379340299</v>
      </c>
      <c r="H3" s="2">
        <v>9.7744589037246001</v>
      </c>
      <c r="I3" s="2">
        <v>19.011144959082952</v>
      </c>
      <c r="J3" s="71">
        <v>17.023312237970245</v>
      </c>
      <c r="K3" s="2">
        <v>12.302316924469302</v>
      </c>
      <c r="L3" s="2">
        <v>15.115925658797806</v>
      </c>
      <c r="M3" s="4">
        <v>9.8136623815879301E-2</v>
      </c>
      <c r="N3" s="4">
        <v>5.891018702290076E-2</v>
      </c>
      <c r="O3" s="4">
        <v>0.10095845020860983</v>
      </c>
      <c r="P3" s="4">
        <v>0.12639864282905489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1.7840098818507921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65.7</v>
      </c>
      <c r="E4" s="12" t="s">
        <v>118</v>
      </c>
      <c r="F4" s="15">
        <v>0.26551037659647608</v>
      </c>
      <c r="G4" s="15">
        <v>8.8372192167262373E-2</v>
      </c>
      <c r="H4" s="2">
        <v>60.965434259875082</v>
      </c>
      <c r="I4" s="2">
        <v>108.48645506894557</v>
      </c>
      <c r="J4" s="71">
        <v>104.60533280953848</v>
      </c>
      <c r="K4" s="2">
        <v>76.220022609343502</v>
      </c>
      <c r="L4" s="2">
        <v>93.150237074238362</v>
      </c>
      <c r="M4" s="4">
        <v>0.13818695446917276</v>
      </c>
      <c r="N4" s="4">
        <v>9.7101978691019789E-2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-19.270345226688999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373</v>
      </c>
      <c r="C5" s="11" t="s">
        <v>374</v>
      </c>
      <c r="D5" s="2">
        <v>36.840000000000003</v>
      </c>
      <c r="E5" s="12" t="s">
        <v>118</v>
      </c>
      <c r="F5" s="15">
        <v>0.2486391565252648</v>
      </c>
      <c r="G5" s="15">
        <v>0.12052464918764727</v>
      </c>
      <c r="H5" s="2">
        <v>32.655558108849206</v>
      </c>
      <c r="I5" s="2">
        <v>71.17768116514172</v>
      </c>
      <c r="J5" s="71">
        <v>58.067784649651202</v>
      </c>
      <c r="K5" s="2">
        <v>41.489908081679232</v>
      </c>
      <c r="L5" s="2">
        <v>51.359932369692579</v>
      </c>
      <c r="M5" s="4">
        <v>6.3957547393776598E-2</v>
      </c>
      <c r="N5" s="4">
        <v>3.8545059717698146E-3</v>
      </c>
      <c r="O5" s="4">
        <v>0.11150835231775919</v>
      </c>
      <c r="P5" s="4">
        <v>0.28146521974317368</v>
      </c>
      <c r="Q5" s="79">
        <v>0.32092624022161098</v>
      </c>
      <c r="R5" s="78">
        <v>1.2344611679711017</v>
      </c>
      <c r="S5" s="15">
        <v>3.8049367850692354E-3</v>
      </c>
      <c r="T5" s="76">
        <v>3.432051788351935E-2</v>
      </c>
      <c r="U5" s="71">
        <v>11.499454093745218</v>
      </c>
      <c r="V5" s="13" t="s">
        <v>359</v>
      </c>
      <c r="W5" s="11" t="s">
        <v>339</v>
      </c>
      <c r="X5" s="14">
        <v>46265</v>
      </c>
      <c r="Y5" s="16" t="s">
        <v>352</v>
      </c>
    </row>
    <row r="6" spans="1:25">
      <c r="B6" s="11" t="s">
        <v>307</v>
      </c>
      <c r="C6" s="11" t="s">
        <v>362</v>
      </c>
      <c r="D6" s="2">
        <v>4</v>
      </c>
      <c r="E6" s="12" t="s">
        <v>118</v>
      </c>
      <c r="F6" s="15">
        <v>0.23928974305549647</v>
      </c>
      <c r="G6" s="15">
        <v>7.5401697924071073E-2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0.10098079466306341</v>
      </c>
      <c r="N6" s="4">
        <v>7.5000000000000011E-2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6.28</v>
      </c>
      <c r="E7" s="12" t="s">
        <v>118</v>
      </c>
      <c r="F7" s="15">
        <v>0.23361923889200864</v>
      </c>
      <c r="G7" s="15">
        <v>0.10830332258795919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7.5020161441931327E-2</v>
      </c>
      <c r="N7" s="4">
        <v>2.2611464968152865E-2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394</v>
      </c>
      <c r="C8" s="11" t="s">
        <v>395</v>
      </c>
      <c r="D8" s="2">
        <v>414.8</v>
      </c>
      <c r="E8" s="12" t="s">
        <v>118</v>
      </c>
      <c r="F8" s="15">
        <v>0.22033584470025575</v>
      </c>
      <c r="G8" s="15">
        <v>9.6067653877613082E-2</v>
      </c>
      <c r="H8" s="2">
        <v>343.12060147414661</v>
      </c>
      <c r="I8" s="2">
        <v>753.83596143870022</v>
      </c>
      <c r="J8" s="71">
        <v>611.06153809014074</v>
      </c>
      <c r="K8" s="2">
        <v>436.24766286961818</v>
      </c>
      <c r="L8" s="2">
        <v>540.3197599894944</v>
      </c>
      <c r="M8" s="4">
        <v>4.2750083388325602E-2</v>
      </c>
      <c r="N8" s="4">
        <v>0</v>
      </c>
      <c r="O8" s="4">
        <v>8.4054741912155145E-2</v>
      </c>
      <c r="P8" s="4">
        <v>0.23246404291108619</v>
      </c>
      <c r="Q8" s="79">
        <v>0.23340326941848333</v>
      </c>
      <c r="R8" s="78">
        <v>1.5491714947856314</v>
      </c>
      <c r="S8" s="15">
        <v>0.18163383545770567</v>
      </c>
      <c r="T8" s="76">
        <v>1.9182780230905787</v>
      </c>
      <c r="U8" s="71">
        <v>28.038924222708193</v>
      </c>
      <c r="V8" s="13" t="s">
        <v>359</v>
      </c>
      <c r="W8" s="11" t="s">
        <v>339</v>
      </c>
      <c r="X8" s="14">
        <v>46265</v>
      </c>
      <c r="Y8" s="16" t="s">
        <v>352</v>
      </c>
    </row>
    <row r="9" spans="1:25">
      <c r="B9" s="11" t="s">
        <v>390</v>
      </c>
      <c r="C9" s="11" t="s">
        <v>391</v>
      </c>
      <c r="D9" s="2">
        <v>4.3499999999999996</v>
      </c>
      <c r="E9" s="12" t="s">
        <v>118</v>
      </c>
      <c r="F9" s="15">
        <v>0.20990734081177126</v>
      </c>
      <c r="G9" s="15">
        <v>8.5349175890961596E-2</v>
      </c>
      <c r="H9" s="2">
        <v>3.5464177223186204</v>
      </c>
      <c r="I9" s="2">
        <v>6.6942297359340106</v>
      </c>
      <c r="J9" s="71">
        <v>6.1447645286875643</v>
      </c>
      <c r="K9" s="2">
        <v>4.4532579490358852</v>
      </c>
      <c r="L9" s="2">
        <v>5.4616245960925687</v>
      </c>
      <c r="M9" s="4">
        <v>9.2858596293350901E-2</v>
      </c>
      <c r="N9" s="4">
        <v>6.3218390804597707E-2</v>
      </c>
      <c r="O9" s="4">
        <v>0.1295637371655913</v>
      </c>
      <c r="P9" s="4">
        <v>9.3411700585940893E-2</v>
      </c>
      <c r="Q9" s="79">
        <v>0.83739806126750682</v>
      </c>
      <c r="R9" s="78">
        <v>1.6563428477446216</v>
      </c>
      <c r="S9" s="15">
        <v>0.26559156004843115</v>
      </c>
      <c r="T9" s="76">
        <v>1.8420735448323682</v>
      </c>
      <c r="U9" s="71">
        <v>0.86340949964271019</v>
      </c>
      <c r="V9" s="13" t="s">
        <v>354</v>
      </c>
      <c r="W9" s="11" t="s">
        <v>339</v>
      </c>
      <c r="X9" s="14">
        <v>46265</v>
      </c>
      <c r="Y9" s="16" t="s">
        <v>352</v>
      </c>
    </row>
    <row r="10" spans="1:25">
      <c r="B10" s="11" t="s">
        <v>309</v>
      </c>
      <c r="C10" s="11" t="s">
        <v>341</v>
      </c>
      <c r="D10" s="2">
        <v>7.6</v>
      </c>
      <c r="E10" s="12" t="s">
        <v>118</v>
      </c>
      <c r="F10" s="15">
        <v>0.19052470709025304</v>
      </c>
      <c r="G10" s="15">
        <v>4.1492270469911274E-2</v>
      </c>
      <c r="H10" s="2">
        <v>5.8936403758803619</v>
      </c>
      <c r="I10" s="2">
        <v>11.651789293295957</v>
      </c>
      <c r="J10" s="71">
        <v>10.293856526865721</v>
      </c>
      <c r="K10" s="2">
        <v>7.4274285003305307</v>
      </c>
      <c r="L10" s="2">
        <v>9.1355092710454997</v>
      </c>
      <c r="M10" s="4">
        <v>9.4634233710813767E-2</v>
      </c>
      <c r="N10" s="4">
        <v>4.2756186931578948E-2</v>
      </c>
      <c r="O10" s="4">
        <v>0.17172019413952988</v>
      </c>
      <c r="P10" s="4">
        <v>8.3606250012824165E-2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-3.0171690133130826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83.9</v>
      </c>
      <c r="E11" s="12" t="s">
        <v>118</v>
      </c>
      <c r="F11" s="15">
        <v>0.1816052501695945</v>
      </c>
      <c r="G11" s="15">
        <v>4.9912242479111087E-2</v>
      </c>
      <c r="H11" s="2">
        <v>63.860738893111261</v>
      </c>
      <c r="I11" s="2">
        <v>122.02385334816546</v>
      </c>
      <c r="J11" s="71">
        <v>110.88016762205186</v>
      </c>
      <c r="K11" s="2">
        <v>80.265447539447607</v>
      </c>
      <c r="L11" s="2">
        <v>98.514000002936669</v>
      </c>
      <c r="M11" s="4">
        <v>6.5343539481192647E-2</v>
      </c>
      <c r="N11" s="4">
        <v>5.4600715137067941E-2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1.4735212015319221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364</v>
      </c>
      <c r="C12" s="11" t="s">
        <v>365</v>
      </c>
      <c r="D12" s="2">
        <v>4.46</v>
      </c>
      <c r="E12" s="12" t="s">
        <v>118</v>
      </c>
      <c r="F12" s="15">
        <v>0.17268960085927029</v>
      </c>
      <c r="G12" s="15">
        <v>2.4197412196666022E-2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6.9553361291973259E-2</v>
      </c>
      <c r="N12" s="4">
        <v>3.5695067264573992E-2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118.5</v>
      </c>
      <c r="E13" s="12" t="s">
        <v>118</v>
      </c>
      <c r="F13" s="15">
        <v>0.17035771735666391</v>
      </c>
      <c r="G13" s="15">
        <v>3.2495859790312671E-2</v>
      </c>
      <c r="H13" s="2">
        <v>87.184543288030454</v>
      </c>
      <c r="I13" s="2">
        <v>177.53954160380295</v>
      </c>
      <c r="J13" s="2">
        <v>153.08348587729671</v>
      </c>
      <c r="K13" s="2">
        <v>110.13654027997856</v>
      </c>
      <c r="L13" s="2">
        <v>135.72154858765435</v>
      </c>
      <c r="M13" s="4">
        <v>-9.762559148722651E-3</v>
      </c>
      <c r="N13" s="4">
        <v>2.9620253164556961E-2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-67.575268206068159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141</v>
      </c>
      <c r="C14" s="11" t="s">
        <v>366</v>
      </c>
      <c r="D14" s="2">
        <v>20.079999999999998</v>
      </c>
      <c r="E14" s="12" t="s">
        <v>118</v>
      </c>
      <c r="F14" s="15">
        <v>0.14475123214016303</v>
      </c>
      <c r="G14" s="15">
        <v>0</v>
      </c>
      <c r="H14" s="2">
        <v>13.835443396452799</v>
      </c>
      <c r="I14" s="2">
        <v>28.355566277126904</v>
      </c>
      <c r="J14" s="2">
        <v>24.321342932634941</v>
      </c>
      <c r="K14" s="2">
        <v>17.4869459345556</v>
      </c>
      <c r="L14" s="2">
        <v>21.558204130090211</v>
      </c>
      <c r="M14" s="4">
        <v>5.6981624694556705E-2</v>
      </c>
      <c r="N14" s="4">
        <v>2.5473330548481509E-2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5.7027980679386649</v>
      </c>
      <c r="V14" s="13" t="s">
        <v>367</v>
      </c>
      <c r="W14" s="11" t="s">
        <v>339</v>
      </c>
      <c r="X14" s="14">
        <v>46081</v>
      </c>
      <c r="Y14" s="16" t="s">
        <v>352</v>
      </c>
    </row>
    <row r="15" spans="1:25">
      <c r="B15" s="11" t="s">
        <v>308</v>
      </c>
      <c r="C15" s="11" t="s">
        <v>353</v>
      </c>
      <c r="D15" s="2">
        <v>3.48</v>
      </c>
      <c r="E15" s="12" t="s">
        <v>118</v>
      </c>
      <c r="F15" s="15">
        <v>0.1403654115635348</v>
      </c>
      <c r="G15" s="15">
        <v>0</v>
      </c>
      <c r="H15" s="2">
        <v>2.4094353333614071</v>
      </c>
      <c r="I15" s="2">
        <v>4.3287474273950126</v>
      </c>
      <c r="J15" s="2">
        <v>4.140567097884313</v>
      </c>
      <c r="K15" s="2">
        <v>3.0144093908535954</v>
      </c>
      <c r="L15" s="2">
        <v>3.68604214317343</v>
      </c>
      <c r="M15" s="4">
        <v>7.0060282520817529E-2</v>
      </c>
      <c r="N15" s="4">
        <v>6.9482758620689658E-2</v>
      </c>
      <c r="O15" s="4">
        <v>0.10655464759808782</v>
      </c>
      <c r="P15" s="4">
        <v>0.15367027669312136</v>
      </c>
      <c r="Q15" s="79">
        <v>0.53211669431065411</v>
      </c>
      <c r="R15" s="78">
        <v>1.3030936828713586</v>
      </c>
      <c r="S15" s="15">
        <v>3.2740324747196639E-2</v>
      </c>
      <c r="T15" s="76">
        <v>0.3030737490948841</v>
      </c>
      <c r="U15" s="71">
        <v>1.0914379567732739</v>
      </c>
      <c r="V15" s="13" t="s">
        <v>354</v>
      </c>
      <c r="W15" s="11" t="s">
        <v>351</v>
      </c>
      <c r="X15" s="14">
        <v>46265</v>
      </c>
      <c r="Y15" s="16" t="s">
        <v>340</v>
      </c>
    </row>
    <row r="16" spans="1:25">
      <c r="B16" s="11" t="s">
        <v>392</v>
      </c>
      <c r="C16" s="11" t="s">
        <v>393</v>
      </c>
      <c r="D16" s="2">
        <v>4.32</v>
      </c>
      <c r="E16" s="12" t="s">
        <v>118</v>
      </c>
      <c r="F16" s="15">
        <v>0.13888640390130119</v>
      </c>
      <c r="G16" s="15">
        <v>0</v>
      </c>
      <c r="H16" s="2">
        <v>2.970225604821576</v>
      </c>
      <c r="I16" s="2">
        <v>5.4881856537930034</v>
      </c>
      <c r="J16" s="2">
        <v>5.1279561951610866</v>
      </c>
      <c r="K16" s="2">
        <v>3.7237185496487291</v>
      </c>
      <c r="L16" s="2">
        <v>4.5609909188949231</v>
      </c>
      <c r="M16" s="4">
        <v>6.7537394348620633E-2</v>
      </c>
      <c r="N16" s="4">
        <v>6.0185185185185182E-2</v>
      </c>
      <c r="O16" s="4">
        <v>0.28568079100302196</v>
      </c>
      <c r="P16" s="4">
        <v>0.17813313161397862</v>
      </c>
      <c r="Q16" s="79">
        <v>0.91428215624568043</v>
      </c>
      <c r="R16" s="78">
        <v>1.7541070452059788</v>
      </c>
      <c r="S16" s="15">
        <v>0.1200952845385091</v>
      </c>
      <c r="T16" s="76">
        <v>0.41215180500545473</v>
      </c>
      <c r="U16" s="71">
        <v>0.26857934054514021</v>
      </c>
      <c r="V16" s="13" t="s">
        <v>354</v>
      </c>
      <c r="W16" s="11" t="s">
        <v>339</v>
      </c>
      <c r="X16" s="14">
        <v>46173</v>
      </c>
      <c r="Y16" s="16" t="s">
        <v>352</v>
      </c>
    </row>
    <row r="17" spans="2:25">
      <c r="B17" s="11" t="s">
        <v>368</v>
      </c>
      <c r="C17" s="11" t="s">
        <v>369</v>
      </c>
      <c r="D17" s="2">
        <v>82.45</v>
      </c>
      <c r="E17" s="12" t="s">
        <v>118</v>
      </c>
      <c r="F17" s="15">
        <v>5.4005755491625639E-2</v>
      </c>
      <c r="G17" s="15">
        <v>0</v>
      </c>
      <c r="H17" s="2">
        <v>43.942984541930024</v>
      </c>
      <c r="I17" s="2">
        <v>96.542737038620288</v>
      </c>
      <c r="J17" s="2">
        <v>78.257812579890427</v>
      </c>
      <c r="K17" s="2">
        <v>55.869639489942294</v>
      </c>
      <c r="L17" s="2">
        <v>69.198010142526215</v>
      </c>
      <c r="M17" s="4">
        <v>1.5200359051468909E-2</v>
      </c>
      <c r="N17" s="4">
        <v>0</v>
      </c>
      <c r="O17" s="4">
        <v>0.15</v>
      </c>
      <c r="P17" s="4">
        <v>8.1887809309554582E-2</v>
      </c>
      <c r="Q17" s="79">
        <v>1.022390799101176</v>
      </c>
      <c r="R17" s="78">
        <v>1.7916578376478161</v>
      </c>
      <c r="S17" s="15">
        <v>0.27660377540313014</v>
      </c>
      <c r="T17" s="76">
        <v>3.1316510969641755</v>
      </c>
      <c r="U17" s="71">
        <v>3.6437543805719868</v>
      </c>
      <c r="V17" s="13" t="s">
        <v>370</v>
      </c>
      <c r="W17" s="11" t="s">
        <v>339</v>
      </c>
      <c r="X17" s="14">
        <v>46081</v>
      </c>
      <c r="Y17" s="11" t="s">
        <v>340</v>
      </c>
    </row>
    <row r="18" spans="2:25">
      <c r="B18" s="11" t="s">
        <v>152</v>
      </c>
      <c r="C18" s="11" t="s">
        <v>371</v>
      </c>
      <c r="D18" s="2">
        <v>27.9</v>
      </c>
      <c r="E18" s="12" t="s">
        <v>118</v>
      </c>
      <c r="F18" s="15">
        <v>2.4775379658709407E-2</v>
      </c>
      <c r="G18" s="15">
        <v>0</v>
      </c>
      <c r="H18" s="2">
        <v>14.191386394645995</v>
      </c>
      <c r="I18" s="2">
        <v>26.151075909037253</v>
      </c>
      <c r="J18" s="2">
        <v>24.48972803729523</v>
      </c>
      <c r="K18" s="2">
        <v>17.787891151063224</v>
      </c>
      <c r="L18" s="2">
        <v>21.783935385004177</v>
      </c>
      <c r="M18" s="4">
        <v>8.7853234172890288E-2</v>
      </c>
      <c r="N18" s="4">
        <v>4.5161290322580649E-2</v>
      </c>
      <c r="O18" s="4">
        <v>0.17275816461101692</v>
      </c>
      <c r="P18" s="4">
        <v>0.32389125963769955</v>
      </c>
      <c r="Q18" s="79">
        <v>0.37580175109499292</v>
      </c>
      <c r="R18" s="78">
        <v>1.419320754716981</v>
      </c>
      <c r="S18" s="15">
        <v>9.2018392262565404E-2</v>
      </c>
      <c r="T18" s="76">
        <v>0.52808720739977155</v>
      </c>
      <c r="U18" s="71">
        <v>0.47029406937411972</v>
      </c>
      <c r="V18" s="13" t="s">
        <v>372</v>
      </c>
      <c r="W18" s="11" t="s">
        <v>351</v>
      </c>
      <c r="X18" s="14">
        <v>46081</v>
      </c>
      <c r="Y18" s="11" t="s">
        <v>352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4.3400000000000001E-2</v>
      </c>
      <c r="D4" s="34">
        <v>6.7500000000000004E-2</v>
      </c>
      <c r="E4" s="35">
        <f>D4-C4</f>
        <v>2.4100000000000003E-2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0.4364761973615619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6.28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62800</v>
      </c>
      <c r="H4" s="58">
        <f t="shared" si="0"/>
        <v>4.7791725486764053E-2</v>
      </c>
      <c r="I4" s="58">
        <f>VLOOKUP(B4,Opportunities!B$3:H$30,6,FALSE)</f>
        <v>0.10830332258795919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118.5</v>
      </c>
      <c r="E5" s="59" t="str">
        <f>VLOOKUP(B5,Opportunities!B$3:E$30,4,FALSE)</f>
        <v>HKD</v>
      </c>
      <c r="F5" s="57">
        <v>2500</v>
      </c>
      <c r="G5" s="61">
        <f t="shared" si="1"/>
        <v>296250</v>
      </c>
      <c r="H5" s="58">
        <f t="shared" si="0"/>
        <v>0.22545061585117596</v>
      </c>
      <c r="I5" s="58">
        <f>VLOOKUP(B5,Opportunities!B$3:H$30,6,FALSE)</f>
        <v>3.2495859790312671E-2</v>
      </c>
      <c r="J5" s="81">
        <f>VLOOKUP(B5,Opportunities!B$3:L$30,10,FALSE)</f>
        <v>110.13654027997856</v>
      </c>
      <c r="K5" s="81">
        <f>VLOOKUP(B5,Opportunities!B$3:L$30,7,FALSE)</f>
        <v>87.184543288030454</v>
      </c>
      <c r="L5" s="81">
        <f>VLOOKUP(B5,Opportunities!B$3:L$30,9,FALSE)</f>
        <v>153.08348587729671</v>
      </c>
      <c r="M5" s="81">
        <f>VLOOKUP(B5,Opportunities!B$3:L$30,11,FALSE)</f>
        <v>135.72154858765435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</v>
      </c>
      <c r="E6" s="59" t="str">
        <f>VLOOKUP(B6,Opportunities!B$3:E$30,4,FALSE)</f>
        <v>HKD</v>
      </c>
      <c r="F6" s="57">
        <v>8000</v>
      </c>
      <c r="G6" s="61">
        <f t="shared" si="1"/>
        <v>60800</v>
      </c>
      <c r="H6" s="58">
        <f t="shared" si="0"/>
        <v>4.6269696012663286E-2</v>
      </c>
      <c r="I6" s="58">
        <f>VLOOKUP(B6,Opportunities!B$3:H$30,6,FALSE)</f>
        <v>4.1492270469911274E-2</v>
      </c>
      <c r="J6" s="81">
        <f>VLOOKUP(B6,Opportunities!B$3:L$30,10,FALSE)</f>
        <v>7.4274285003305307</v>
      </c>
      <c r="K6" s="81">
        <f>VLOOKUP(B6,Opportunities!B$3:L$30,7,FALSE)</f>
        <v>5.8936403758803619</v>
      </c>
      <c r="L6" s="81">
        <f>VLOOKUP(B6,Opportunities!B$3:L$30,9,FALSE)</f>
        <v>10.293856526865721</v>
      </c>
      <c r="M6" s="81">
        <f>VLOOKUP(B6,Opportunities!B$3:L$30,11,FALSE)</f>
        <v>9.1355092710454997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10.48</v>
      </c>
      <c r="E7" s="59" t="str">
        <f>VLOOKUP(B7,Opportunities!B$3:E$30,4,FALSE)</f>
        <v>HKD</v>
      </c>
      <c r="F7" s="57">
        <v>15000</v>
      </c>
      <c r="G7" s="61">
        <f t="shared" si="1"/>
        <v>157200</v>
      </c>
      <c r="H7" s="58">
        <f t="shared" si="0"/>
        <v>0.1196315166643202</v>
      </c>
      <c r="I7" s="58">
        <f>VLOOKUP(B7,Opportunities!B$3:H$30,6,FALSE)</f>
        <v>0.1347163379340299</v>
      </c>
      <c r="J7" s="81">
        <f>VLOOKUP(B7,Opportunities!B$3:L$30,10,FALSE)</f>
        <v>12.302316924469302</v>
      </c>
      <c r="K7" s="81">
        <f>VLOOKUP(B7,Opportunities!B$3:L$30,7,FALSE)</f>
        <v>9.7744589037246001</v>
      </c>
      <c r="L7" s="81">
        <f>VLOOKUP(B7,Opportunities!B$3:L$30,9,FALSE)</f>
        <v>17.023312237970245</v>
      </c>
      <c r="M7" s="81">
        <f>VLOOKUP(B7,Opportunities!B$3:L$30,11,FALSE)</f>
        <v>15.115925658797806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</v>
      </c>
      <c r="E8" s="59" t="str">
        <f>VLOOKUP(B8,Opportunities!B$3:E$30,4,FALSE)</f>
        <v>HKD</v>
      </c>
      <c r="F8" s="57">
        <v>12000</v>
      </c>
      <c r="G8" s="61">
        <f t="shared" si="1"/>
        <v>48000</v>
      </c>
      <c r="H8" s="58">
        <f t="shared" si="0"/>
        <v>3.6528707378418381E-2</v>
      </c>
      <c r="I8" s="58">
        <f>VLOOKUP(B8,Opportunities!B$3:H$30,6,FALSE)</f>
        <v>7.5401697924071073E-2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375</v>
      </c>
      <c r="C9" s="62" t="str">
        <f>VLOOKUP(B9,Opportunities!B$3:E$30,2,FALSE)</f>
        <v>腾讯音乐</v>
      </c>
      <c r="D9" s="60">
        <f>VLOOKUP(B9,Opportunities!B$3:E$30,3,FALSE)</f>
        <v>36.840000000000003</v>
      </c>
      <c r="E9" s="59" t="str">
        <f>VLOOKUP(B9,Opportunities!B$3:E$30,4,FALSE)</f>
        <v>HKD</v>
      </c>
      <c r="F9" s="57">
        <v>2000</v>
      </c>
      <c r="G9" s="61">
        <f t="shared" ref="G9" si="2">D9*F9</f>
        <v>73680</v>
      </c>
      <c r="H9" s="58">
        <f t="shared" si="0"/>
        <v>5.6071565825872215E-2</v>
      </c>
      <c r="I9" s="58">
        <f>VLOOKUP(B9,Opportunities!B$3:H$30,6,FALSE)</f>
        <v>0.12052464918764727</v>
      </c>
      <c r="J9" s="81">
        <f>VLOOKUP(B9,Opportunities!B$3:L$30,10,FALSE)</f>
        <v>41.489908081679232</v>
      </c>
      <c r="K9" s="81">
        <f>VLOOKUP(B9,Opportunities!B$3:L$30,7,FALSE)</f>
        <v>32.655558108849206</v>
      </c>
      <c r="L9" s="81">
        <f>VLOOKUP(B9,Opportunities!B$3:L$30,9,FALSE)</f>
        <v>58.067784649651202</v>
      </c>
      <c r="M9" s="81">
        <f>VLOOKUP(B9,Opportunities!B$3:L$30,11,FALSE)</f>
        <v>51.359932369692579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3.48</v>
      </c>
      <c r="E10" s="59" t="str">
        <f>VLOOKUP(B10,Opportunities!B$3:E$30,4,FALSE)</f>
        <v>HKD</v>
      </c>
      <c r="F10" s="57">
        <v>12000</v>
      </c>
      <c r="G10" s="61">
        <f t="shared" si="1"/>
        <v>41760</v>
      </c>
      <c r="H10" s="58">
        <f t="shared" ref="H10" si="3">G10/$G$12</f>
        <v>3.1779975419223991E-2</v>
      </c>
      <c r="I10" s="58">
        <f>VLOOKUP(B10,Opportunities!B$3:H$30,6,FALSE)</f>
        <v>0</v>
      </c>
      <c r="J10" s="81">
        <f>VLOOKUP(B10,Opportunities!B$3:L$30,10,FALSE)</f>
        <v>3.0144093908535954</v>
      </c>
      <c r="K10" s="81">
        <f>VLOOKUP(B10,Opportunities!B$3:L$30,7,FALSE)</f>
        <v>2.4094353333614071</v>
      </c>
      <c r="L10" s="81">
        <f>VLOOKUP(B10,Opportunities!B$3:L$30,9,FALSE)</f>
        <v>4.140567097884313</v>
      </c>
      <c r="M10" s="81">
        <f>VLOOKUP(B10,Opportunities!B$3:L$30,11,FALSE)</f>
        <v>3.68604214317343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1314035</v>
      </c>
      <c r="H12" s="67">
        <f>SUM(H3:H10)</f>
        <v>1</v>
      </c>
      <c r="I12" s="73">
        <f>SUM(I3:I10)</f>
        <v>0.96293413789393134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118.5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3.2495859790312671E-2</v>
      </c>
      <c r="J15" s="81">
        <f>VLOOKUP(B15,Opportunities!B$3:L$30,10,FALSE)</f>
        <v>110.13654027997856</v>
      </c>
      <c r="K15" s="81">
        <f>VLOOKUP(B15,Opportunities!B$3:L$30,7,FALSE)</f>
        <v>87.184543288030454</v>
      </c>
      <c r="L15" s="81">
        <f>VLOOKUP(B15,Opportunities!B$3:L$30,9,FALSE)</f>
        <v>153.08348587729671</v>
      </c>
      <c r="M15" s="81">
        <f>VLOOKUP(B15,Opportunities!B$3:L$30,11,FALSE)</f>
        <v>135.72154858765435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27.9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17.787891151063224</v>
      </c>
      <c r="K16" s="81">
        <f>VLOOKUP(B16,Opportunities!B$3:L$30,7,FALSE)</f>
        <v>14.191386394645995</v>
      </c>
      <c r="L16" s="81">
        <f>VLOOKUP(B16,Opportunities!B$3:L$30,9,FALSE)</f>
        <v>24.48972803729523</v>
      </c>
      <c r="M16" s="81">
        <f>VLOOKUP(B16,Opportunities!B$3:L$30,11,FALSE)</f>
        <v>21.783935385004177</v>
      </c>
    </row>
    <row r="17" spans="1:13">
      <c r="B17" s="63" t="s">
        <v>375</v>
      </c>
      <c r="C17" s="62" t="str">
        <f>VLOOKUP(B17,Opportunities!B$3:E$30,2,FALSE)</f>
        <v>腾讯音乐</v>
      </c>
      <c r="D17" s="60">
        <f>VLOOKUP(B17,Opportunities!B$3:E$30,3,FALSE)</f>
        <v>36.840000000000003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0.12052464918764727</v>
      </c>
      <c r="J17" s="81">
        <f>VLOOKUP(B17,Opportunities!B$3:L$30,10,FALSE)</f>
        <v>41.489908081679232</v>
      </c>
      <c r="K17" s="81">
        <f>VLOOKUP(B17,Opportunities!B$3:L$30,7,FALSE)</f>
        <v>32.655558108849206</v>
      </c>
      <c r="L17" s="81">
        <f>VLOOKUP(B17,Opportunities!B$3:L$30,9,FALSE)</f>
        <v>58.067784649651202</v>
      </c>
      <c r="M17" s="81">
        <f>VLOOKUP(B17,Opportunities!B$3:L$30,11,FALSE)</f>
        <v>51.359932369692579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10.48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0.1347163379340299</v>
      </c>
      <c r="J18" s="81">
        <f>VLOOKUP(B18,Opportunities!B$3:L$30,10,FALSE)</f>
        <v>12.302316924469302</v>
      </c>
      <c r="K18" s="81">
        <f>VLOOKUP(B18,Opportunities!B$3:L$30,7,FALSE)</f>
        <v>9.7744589037246001</v>
      </c>
      <c r="L18" s="81">
        <f>VLOOKUP(B18,Opportunities!B$3:L$30,9,FALSE)</f>
        <v>17.023312237970245</v>
      </c>
      <c r="M18" s="81">
        <f>VLOOKUP(B18,Opportunities!B$3:L$30,11,FALSE)</f>
        <v>15.115925658797806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4.1492270469911274E-2</v>
      </c>
      <c r="J19" s="81">
        <f>VLOOKUP(B19,Opportunities!B$3:L$30,10,FALSE)</f>
        <v>7.4274285003305307</v>
      </c>
      <c r="K19" s="81">
        <f>VLOOKUP(B19,Opportunities!B$3:L$30,7,FALSE)</f>
        <v>5.8936403758803619</v>
      </c>
      <c r="L19" s="81">
        <f>VLOOKUP(B19,Opportunities!B$3:L$30,9,FALSE)</f>
        <v>10.293856526865721</v>
      </c>
      <c r="M19" s="81">
        <f>VLOOKUP(B19,Opportunities!B$3:L$30,11,FALSE)</f>
        <v>9.1355092710454997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0.4364761973615619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389</v>
      </c>
    </row>
    <row r="15" spans="1:4" ht="12.4">
      <c r="B15" s="30" t="s">
        <v>90</v>
      </c>
      <c r="C15" s="30" t="s">
        <v>91</v>
      </c>
    </row>
    <row r="16" spans="1:4">
      <c r="B16" s="26" t="s">
        <v>376</v>
      </c>
      <c r="C16" s="26" t="s">
        <v>377</v>
      </c>
    </row>
    <row r="17" spans="1:4">
      <c r="B17" s="26" t="s">
        <v>379</v>
      </c>
      <c r="C17" s="26" t="s">
        <v>378</v>
      </c>
    </row>
    <row r="18" spans="1:4">
      <c r="B18" s="26" t="s">
        <v>380</v>
      </c>
      <c r="C18" s="26" t="s">
        <v>381</v>
      </c>
    </row>
    <row r="19" spans="1:4">
      <c r="B19" s="26" t="s">
        <v>382</v>
      </c>
      <c r="C19" s="26" t="s">
        <v>383</v>
      </c>
    </row>
    <row r="20" spans="1:4">
      <c r="B20" s="26" t="s">
        <v>87</v>
      </c>
      <c r="C20" s="26" t="s">
        <v>88</v>
      </c>
    </row>
    <row r="21" spans="1:4">
      <c r="B21" s="26" t="s">
        <v>384</v>
      </c>
      <c r="C21" s="26" t="s">
        <v>89</v>
      </c>
    </row>
    <row r="22" spans="1:4">
      <c r="B22" s="26" t="s">
        <v>386</v>
      </c>
      <c r="C22" s="26" t="s">
        <v>105</v>
      </c>
    </row>
    <row r="23" spans="1:4">
      <c r="B23" s="26" t="s">
        <v>387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388</v>
      </c>
      <c r="C25" s="26" t="s">
        <v>110</v>
      </c>
    </row>
    <row r="26" spans="1:4">
      <c r="B26" s="26" t="s">
        <v>109</v>
      </c>
      <c r="C26" s="26" t="s">
        <v>385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2026-04-26T09:09:06Z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