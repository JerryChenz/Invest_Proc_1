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37EF913-7A83-463A-BE73-C584A6A77B7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F3" i="7"/>
  <c r="C36" i="5"/>
  <c r="H7" i="7"/>
  <c r="C7" i="7"/>
  <c r="F7" i="7" s="1"/>
  <c r="D7" i="7"/>
  <c r="E13" i="7"/>
  <c r="E8" i="7"/>
  <c r="H8" i="7"/>
  <c r="C8" i="7"/>
  <c r="D8" i="7"/>
  <c r="D4" i="7"/>
  <c r="D5" i="7"/>
  <c r="D6" i="7"/>
  <c r="D13" i="7"/>
  <c r="H13" i="7"/>
  <c r="H4" i="7"/>
  <c r="H5" i="7"/>
  <c r="H6" i="7"/>
  <c r="C13" i="7"/>
  <c r="C4" i="7"/>
  <c r="C5" i="7"/>
  <c r="C6" i="7"/>
  <c r="F8" i="7" l="1"/>
  <c r="F13" i="7"/>
  <c r="F15" i="7" s="1"/>
  <c r="F6" i="7"/>
  <c r="F5" i="7" l="1"/>
  <c r="F4" i="7"/>
  <c r="C31" i="5"/>
  <c r="F10" i="7" l="1"/>
  <c r="E60" i="5"/>
  <c r="G7" i="7" l="1"/>
  <c r="G8" i="7"/>
  <c r="G6" i="7"/>
  <c r="G13" i="7"/>
  <c r="G15" i="7"/>
  <c r="E61" i="5"/>
  <c r="C16" i="2"/>
  <c r="C10" i="5" s="1"/>
  <c r="C11" i="5"/>
  <c r="E6" i="2"/>
  <c r="E5" i="2"/>
  <c r="E4" i="2"/>
  <c r="E36" i="5" l="1"/>
  <c r="C35" i="5" s="1"/>
  <c r="C64" i="5" s="1"/>
  <c r="C65" i="5" s="1"/>
  <c r="H15" i="7"/>
  <c r="H3" i="7"/>
  <c r="H10" i="7" s="1"/>
  <c r="D112" i="5"/>
  <c r="G4" i="7" l="1"/>
  <c r="G3" i="7"/>
  <c r="G5" i="7"/>
  <c r="G10" i="7" l="1"/>
</calcChain>
</file>

<file path=xl/sharedStrings.xml><?xml version="1.0" encoding="utf-8"?>
<sst xmlns="http://schemas.openxmlformats.org/spreadsheetml/2006/main" count="346" uniqueCount="289">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</sst>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6" t="s">
        <v>151</v>
      </c>
      <c r="C39" s="96"/>
      <c r="D39" s="96"/>
      <c r="E39" s="96"/>
    </row>
    <row r="40" spans="1:5" ht="46.5" customHeight="1">
      <c r="B40" s="96" t="s">
        <v>217</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0.1736230538411308</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200" zoomScaleNormal="100" workbookViewId="0">
      <pane xSplit="3" ySplit="2" topLeftCell="D3" activePane="bottomRight" state="frozen"/>
      <selection pane="topRight" activeCell="D1" sqref="D1"/>
      <selection pane="bottomLeft" activeCell="A5" sqref="A5"/>
      <selection pane="bottomRight" activeCell="C11" sqref="C1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269</v>
      </c>
      <c r="C3" s="11" t="s">
        <v>270</v>
      </c>
      <c r="D3" s="2">
        <v>18.02</v>
      </c>
      <c r="E3" s="12" t="s">
        <v>153</v>
      </c>
      <c r="F3" s="15">
        <v>0.24575458373695858</v>
      </c>
      <c r="G3" s="15">
        <f>F3 - Portfolio_Mgmt!$C$10</f>
        <v>0.12835458373695857</v>
      </c>
      <c r="H3" s="15">
        <f>F3 - Portfolio_Mgmt!$C$11</f>
        <v>0.21125458373695857</v>
      </c>
      <c r="I3" s="15">
        <v>0.20067059096648768</v>
      </c>
      <c r="J3" s="2">
        <v>13.866581705951457</v>
      </c>
      <c r="K3" s="2">
        <v>29.52120136499342</v>
      </c>
      <c r="L3" s="85">
        <v>27.404139099193518</v>
      </c>
      <c r="M3" s="2">
        <v>19.232476254906675</v>
      </c>
      <c r="N3" s="2">
        <v>24.53727226895592</v>
      </c>
      <c r="O3" s="4">
        <v>0.1143595556078882</v>
      </c>
      <c r="P3" s="4">
        <v>7.7691453940066588E-2</v>
      </c>
      <c r="Q3" s="4">
        <v>0.16035109536268838</v>
      </c>
      <c r="R3" s="4">
        <v>0.31929962351402291</v>
      </c>
      <c r="S3" s="94">
        <v>0.35631048934895165</v>
      </c>
      <c r="T3" s="93">
        <v>1.4094345614568822</v>
      </c>
      <c r="U3" s="15">
        <v>0.12260820136742831</v>
      </c>
      <c r="V3" s="90">
        <v>0.75207444874659302</v>
      </c>
      <c r="W3" s="85">
        <v>-0.45662101839454683</v>
      </c>
      <c r="X3" s="13" t="s">
        <v>218</v>
      </c>
      <c r="Y3" s="11" t="s">
        <v>154</v>
      </c>
      <c r="Z3" s="14">
        <v>45900</v>
      </c>
      <c r="AA3" s="16" t="s">
        <v>283</v>
      </c>
    </row>
    <row r="4" spans="1:27">
      <c r="B4" s="11" t="s">
        <v>286</v>
      </c>
      <c r="C4" s="11" t="s">
        <v>287</v>
      </c>
      <c r="D4" s="2">
        <v>4.7699999999999996</v>
      </c>
      <c r="E4" s="12" t="s">
        <v>153</v>
      </c>
      <c r="F4" s="15">
        <v>0.24490337465633627</v>
      </c>
      <c r="G4" s="15">
        <f>F4 - Portfolio_Mgmt!$C$10</f>
        <v>0.12750337465633627</v>
      </c>
      <c r="H4" s="15">
        <f>F4 - Portfolio_Mgmt!$C$11</f>
        <v>0.21040337465633627</v>
      </c>
      <c r="I4" s="15">
        <v>0.19997553728062298</v>
      </c>
      <c r="J4" s="2">
        <v>3.6842744866555242</v>
      </c>
      <c r="K4" s="2">
        <v>7.3435158840237307</v>
      </c>
      <c r="L4" s="85">
        <v>7.1854983407438189</v>
      </c>
      <c r="M4" s="2">
        <v>5.0747876562592333</v>
      </c>
      <c r="N4" s="2">
        <v>6.4457168628532333</v>
      </c>
      <c r="O4" s="4">
        <v>7.7456422294441302E-2</v>
      </c>
      <c r="P4" s="4">
        <v>0.10272536687631029</v>
      </c>
      <c r="Q4" s="4">
        <v>7.0642585231402863E-2</v>
      </c>
      <c r="R4" s="4">
        <v>9.3055202992623556E-2</v>
      </c>
      <c r="S4" s="94">
        <v>0.62627525695225639</v>
      </c>
      <c r="T4" s="93">
        <v>1.2121620122817016</v>
      </c>
      <c r="U4" s="15">
        <v>1.1610019159010268E-2</v>
      </c>
      <c r="V4" s="90">
        <v>0.16381589511191816</v>
      </c>
      <c r="W4" s="85">
        <v>3.7980767021052162</v>
      </c>
      <c r="X4" s="13" t="s">
        <v>288</v>
      </c>
      <c r="Y4" s="11" t="s">
        <v>154</v>
      </c>
      <c r="Z4" s="14">
        <v>45900</v>
      </c>
      <c r="AA4" s="16" t="s">
        <v>283</v>
      </c>
    </row>
    <row r="5" spans="1:27">
      <c r="B5" s="11" t="s">
        <v>231</v>
      </c>
      <c r="C5" s="11" t="s">
        <v>255</v>
      </c>
      <c r="D5" s="2">
        <v>1.17</v>
      </c>
      <c r="E5" s="12" t="s">
        <v>153</v>
      </c>
      <c r="F5" s="15">
        <v>0.21780608938756418</v>
      </c>
      <c r="G5" s="15">
        <f>F5 - Portfolio_Mgmt!$C$10</f>
        <v>0.10040608938756418</v>
      </c>
      <c r="H5" s="15">
        <f>F5 - Portfolio_Mgmt!$C$11</f>
        <v>0.18330608938756418</v>
      </c>
      <c r="I5" s="15">
        <v>0.17784928365887112</v>
      </c>
      <c r="J5" s="2">
        <v>0.82648230361166808</v>
      </c>
      <c r="K5" s="2">
        <v>2.1131011468081908</v>
      </c>
      <c r="L5" s="85">
        <v>1.7009631025661165</v>
      </c>
      <c r="M5" s="2">
        <v>1.1711712249606363</v>
      </c>
      <c r="N5" s="2">
        <v>1.514587208466269</v>
      </c>
      <c r="O5" s="4">
        <v>8.1945779867836892E-3</v>
      </c>
      <c r="P5" s="4">
        <v>0</v>
      </c>
      <c r="Q5" s="4">
        <v>3.7288355461672987E-3</v>
      </c>
      <c r="R5" s="4">
        <v>2.8327145387125552E-2</v>
      </c>
      <c r="S5" s="94">
        <v>0.11998888979909481</v>
      </c>
      <c r="T5" s="93">
        <v>1.0970574812713703</v>
      </c>
      <c r="U5" s="15">
        <v>1.4790654865358754E-2</v>
      </c>
      <c r="V5" s="90">
        <v>3.4432102574884196</v>
      </c>
      <c r="W5" s="85">
        <v>2.0258239687205015</v>
      </c>
      <c r="X5" s="13" t="s">
        <v>256</v>
      </c>
      <c r="Y5" s="11" t="s">
        <v>257</v>
      </c>
      <c r="Z5" s="14">
        <v>45900</v>
      </c>
      <c r="AA5" s="16" t="s">
        <v>283</v>
      </c>
    </row>
    <row r="6" spans="1:27">
      <c r="B6" s="11" t="s">
        <v>258</v>
      </c>
      <c r="C6" s="11" t="s">
        <v>259</v>
      </c>
      <c r="D6" s="2">
        <v>2.0299999999999998</v>
      </c>
      <c r="E6" s="12" t="s">
        <v>153</v>
      </c>
      <c r="F6" s="15">
        <v>0.21600826601499645</v>
      </c>
      <c r="G6" s="15">
        <f>F6 - Portfolio_Mgmt!$C$10</f>
        <v>9.8608266014996449E-2</v>
      </c>
      <c r="H6" s="15">
        <f>F6 - Portfolio_Mgmt!$C$11</f>
        <v>0.18150826601499645</v>
      </c>
      <c r="I6" s="15">
        <v>0.12150458809401821</v>
      </c>
      <c r="J6" s="2">
        <v>1.4488589639218394</v>
      </c>
      <c r="K6" s="2">
        <v>3.2806387620728756</v>
      </c>
      <c r="L6" s="85">
        <v>2.9008374202606571</v>
      </c>
      <c r="M6" s="2">
        <v>2.0233106954301752</v>
      </c>
      <c r="N6" s="2">
        <v>2.5926922410368149</v>
      </c>
      <c r="O6" s="4">
        <v>6.6258609918589978E-2</v>
      </c>
      <c r="P6" s="4">
        <v>4.9261083743842374E-2</v>
      </c>
      <c r="Q6" s="4">
        <v>4.7832973362251327E-2</v>
      </c>
      <c r="R6" s="4">
        <v>7.8104812973574481E-2</v>
      </c>
      <c r="S6" s="94">
        <v>0.49619793491400876</v>
      </c>
      <c r="T6" s="93">
        <v>1.2342258232843137</v>
      </c>
      <c r="U6" s="15">
        <v>0.10863424600069688</v>
      </c>
      <c r="V6" s="90">
        <v>2.2824569622635926</v>
      </c>
      <c r="W6" s="85">
        <v>1.840499083973639</v>
      </c>
      <c r="X6" s="13" t="s">
        <v>260</v>
      </c>
      <c r="Y6" s="11" t="s">
        <v>154</v>
      </c>
      <c r="Z6" s="14">
        <v>45900</v>
      </c>
      <c r="AA6" s="16" t="s">
        <v>283</v>
      </c>
    </row>
    <row r="7" spans="1:27">
      <c r="B7" s="11" t="s">
        <v>220</v>
      </c>
      <c r="C7" s="11" t="s">
        <v>251</v>
      </c>
      <c r="D7" s="2">
        <v>15.38</v>
      </c>
      <c r="E7" s="12" t="s">
        <v>153</v>
      </c>
      <c r="F7" s="15">
        <v>0.21373811354538863</v>
      </c>
      <c r="G7" s="15">
        <f>F7 - Portfolio_Mgmt!$C$10</f>
        <v>9.6338113545388626E-2</v>
      </c>
      <c r="H7" s="15">
        <f>F7 - Portfolio_Mgmt!$C$11</f>
        <v>0.17923811354538863</v>
      </c>
      <c r="I7" s="15">
        <v>0</v>
      </c>
      <c r="J7" s="2">
        <v>10.871378635061616</v>
      </c>
      <c r="K7" s="2">
        <v>25.520824123902685</v>
      </c>
      <c r="L7" s="85">
        <v>21.93919176085128</v>
      </c>
      <c r="M7" s="2">
        <v>15.245367993390117</v>
      </c>
      <c r="N7" s="2">
        <v>19.587375702508393</v>
      </c>
      <c r="O7" s="4">
        <v>6.6312129738699072E-2</v>
      </c>
      <c r="P7" s="4">
        <v>3.4901781237674637E-2</v>
      </c>
      <c r="Q7" s="4">
        <v>0.12359739530931171</v>
      </c>
      <c r="R7" s="4">
        <v>0.12331979726761945</v>
      </c>
      <c r="S7" s="94">
        <v>0.73266920679685343</v>
      </c>
      <c r="T7" s="93">
        <v>1.3679448142367923</v>
      </c>
      <c r="U7" s="15">
        <v>7.4171010848313429E-2</v>
      </c>
      <c r="V7" s="90">
        <v>0.60402076709908736</v>
      </c>
      <c r="W7" s="85">
        <v>4.5928700193456109</v>
      </c>
      <c r="X7" s="13" t="s">
        <v>239</v>
      </c>
      <c r="Y7" s="11" t="s">
        <v>154</v>
      </c>
      <c r="Z7" s="14">
        <v>45900</v>
      </c>
      <c r="AA7" s="16" t="s">
        <v>283</v>
      </c>
    </row>
    <row r="8" spans="1:27">
      <c r="B8" s="11" t="s">
        <v>237</v>
      </c>
      <c r="C8" s="11" t="s">
        <v>238</v>
      </c>
      <c r="D8" s="2">
        <v>52.4</v>
      </c>
      <c r="E8" s="12" t="s">
        <v>153</v>
      </c>
      <c r="F8" s="15">
        <v>0.19100768813891844</v>
      </c>
      <c r="G8" s="15">
        <f>F8 - Portfolio_Mgmt!$C$10</f>
        <v>7.3607688138918437E-2</v>
      </c>
      <c r="H8" s="15">
        <f>F8 - Portfolio_Mgmt!$C$11</f>
        <v>0.15650768813891844</v>
      </c>
      <c r="I8" s="15">
        <v>0</v>
      </c>
      <c r="J8" s="2">
        <v>35.875570978847591</v>
      </c>
      <c r="K8" s="2">
        <v>70.138192526876139</v>
      </c>
      <c r="L8" s="85">
        <v>69.706870785214804</v>
      </c>
      <c r="M8" s="2">
        <v>49.319369733057123</v>
      </c>
      <c r="N8" s="2">
        <v>62.563297129021713</v>
      </c>
      <c r="O8" s="4">
        <v>0.10134128082746005</v>
      </c>
      <c r="P8" s="4">
        <v>9.7223377862595425E-2</v>
      </c>
      <c r="Q8" s="4">
        <v>0.32755394896836565</v>
      </c>
      <c r="R8" s="4">
        <v>8.9976704126159421E-2</v>
      </c>
      <c r="S8" s="94">
        <v>1.5891874956485419</v>
      </c>
      <c r="T8" s="93">
        <v>2.2907496012759174</v>
      </c>
      <c r="U8" s="15">
        <v>0.24768740031897937</v>
      </c>
      <c r="V8" s="90">
        <v>0.73855199466278643</v>
      </c>
      <c r="W8" s="85">
        <v>-2.6706362922905709</v>
      </c>
      <c r="X8" s="13" t="s">
        <v>239</v>
      </c>
      <c r="Y8" s="11" t="s">
        <v>154</v>
      </c>
      <c r="Z8" s="14">
        <v>45808</v>
      </c>
      <c r="AA8" s="16" t="s">
        <v>283</v>
      </c>
    </row>
    <row r="9" spans="1:27">
      <c r="B9" s="11" t="s">
        <v>246</v>
      </c>
      <c r="C9" s="11" t="s">
        <v>247</v>
      </c>
      <c r="D9" s="2">
        <v>3.57</v>
      </c>
      <c r="E9" s="12" t="s">
        <v>153</v>
      </c>
      <c r="F9" s="15">
        <v>0.1671769416467408</v>
      </c>
      <c r="G9" s="15">
        <f>F9 - Portfolio_Mgmt!$C$10</f>
        <v>4.9776941646740791E-2</v>
      </c>
      <c r="H9" s="15">
        <f>F9 - Portfolio_Mgmt!$C$11</f>
        <v>0.13267694164674079</v>
      </c>
      <c r="I9" s="15">
        <v>0</v>
      </c>
      <c r="J9" s="2">
        <v>2.2556276815093281</v>
      </c>
      <c r="K9" s="2">
        <v>5.2246962590200807</v>
      </c>
      <c r="L9" s="85">
        <v>4.5385417708791076</v>
      </c>
      <c r="M9" s="2">
        <v>3.1582019073444916</v>
      </c>
      <c r="N9" s="2">
        <v>4.0536685441183486</v>
      </c>
      <c r="O9" s="4">
        <v>7.9541327003833207E-2</v>
      </c>
      <c r="P9" s="4">
        <v>3.5854341736694682E-2</v>
      </c>
      <c r="Q9" s="4">
        <v>0.10112859174992994</v>
      </c>
      <c r="R9" s="4">
        <v>5.8835781303360896E-2</v>
      </c>
      <c r="S9" s="94">
        <v>1.2277297326073906</v>
      </c>
      <c r="T9" s="93">
        <v>1.4000052396569989</v>
      </c>
      <c r="U9" s="15">
        <v>0.10646655543311496</v>
      </c>
      <c r="V9" s="90">
        <v>0.9804830051022897</v>
      </c>
      <c r="W9" s="85">
        <v>1.6698226477450393</v>
      </c>
      <c r="X9" s="13" t="s">
        <v>248</v>
      </c>
      <c r="Y9" s="11" t="s">
        <v>154</v>
      </c>
      <c r="Z9" s="14">
        <v>45808</v>
      </c>
      <c r="AA9" s="16" t="s">
        <v>283</v>
      </c>
    </row>
    <row r="10" spans="1:27">
      <c r="B10" s="11" t="s">
        <v>264</v>
      </c>
      <c r="C10" s="11" t="s">
        <v>275</v>
      </c>
      <c r="D10" s="2">
        <v>22.26</v>
      </c>
      <c r="E10" s="12" t="s">
        <v>265</v>
      </c>
      <c r="F10" s="15">
        <v>0.16639888307370398</v>
      </c>
      <c r="G10" s="15">
        <f>F10 - Portfolio_Mgmt!$C$10</f>
        <v>4.899888307370398E-2</v>
      </c>
      <c r="H10" s="15">
        <f>F10 - Portfolio_Mgmt!$C$11</f>
        <v>0.13189888307370398</v>
      </c>
      <c r="I10" s="15">
        <v>0</v>
      </c>
      <c r="J10" s="2">
        <v>13.980827278242025</v>
      </c>
      <c r="K10" s="2">
        <v>33.230161875234657</v>
      </c>
      <c r="L10" s="85">
        <v>28.292642107173183</v>
      </c>
      <c r="M10" s="2">
        <v>19.634697914672664</v>
      </c>
      <c r="N10" s="2">
        <v>25.250185101195886</v>
      </c>
      <c r="O10" s="4">
        <v>0.20480510095858911</v>
      </c>
      <c r="P10" s="4">
        <v>2.6666666666666665E-2</v>
      </c>
      <c r="Q10" s="4">
        <v>0.18752610102828118</v>
      </c>
      <c r="R10" s="4">
        <v>0.23497655430253014</v>
      </c>
      <c r="S10" s="94">
        <v>0.32112750263435197</v>
      </c>
      <c r="T10" s="93">
        <v>2.4851905363915479</v>
      </c>
      <c r="U10" s="15">
        <v>0.95241105291674188</v>
      </c>
      <c r="V10" s="90">
        <v>4.0148803043206254</v>
      </c>
      <c r="W10" s="85">
        <v>-38.360607814419353</v>
      </c>
      <c r="X10" s="16" t="s">
        <v>266</v>
      </c>
      <c r="Y10" s="11" t="s">
        <v>154</v>
      </c>
      <c r="Z10" s="14">
        <v>45900</v>
      </c>
      <c r="AA10" s="16" t="s">
        <v>284</v>
      </c>
    </row>
    <row r="11" spans="1:27">
      <c r="B11" s="11" t="s">
        <v>243</v>
      </c>
      <c r="C11" s="11" t="s">
        <v>244</v>
      </c>
      <c r="D11" s="2">
        <v>6.59</v>
      </c>
      <c r="E11" s="12" t="s">
        <v>153</v>
      </c>
      <c r="F11" s="15">
        <v>0.15986725492343101</v>
      </c>
      <c r="G11" s="15">
        <f>F11 - Portfolio_Mgmt!$C$10</f>
        <v>4.2467254923431008E-2</v>
      </c>
      <c r="H11" s="15">
        <f>F11 - Portfolio_Mgmt!$C$11</f>
        <v>0.12536725492343101</v>
      </c>
      <c r="I11" s="15">
        <v>0</v>
      </c>
      <c r="J11" s="2">
        <v>4.1483607464656584</v>
      </c>
      <c r="K11" s="2">
        <v>8.7337053049208091</v>
      </c>
      <c r="L11" s="85">
        <v>8.1795634684500804</v>
      </c>
      <c r="M11" s="2">
        <v>5.7467469506156803</v>
      </c>
      <c r="N11" s="2">
        <v>7.3261986911069652</v>
      </c>
      <c r="O11" s="4">
        <v>0.11916216687151983</v>
      </c>
      <c r="P11" s="4">
        <v>6.7062141184216842E-2</v>
      </c>
      <c r="Q11" s="4">
        <v>0.12477871842229639</v>
      </c>
      <c r="R11" s="4">
        <v>7.7304831872868032E-2</v>
      </c>
      <c r="S11" s="94">
        <v>1.0025080757150273</v>
      </c>
      <c r="T11" s="93">
        <v>1.6100746083165727</v>
      </c>
      <c r="U11" s="15">
        <v>0.16360901428944893</v>
      </c>
      <c r="V11" s="90">
        <v>1.1309485990394448</v>
      </c>
      <c r="W11" s="85">
        <v>-3.8656307442856082</v>
      </c>
      <c r="X11" s="13" t="s">
        <v>218</v>
      </c>
      <c r="Y11" s="11" t="s">
        <v>245</v>
      </c>
      <c r="Z11" s="14">
        <v>45900</v>
      </c>
      <c r="AA11" s="16" t="s">
        <v>283</v>
      </c>
    </row>
    <row r="12" spans="1:27">
      <c r="B12" s="11" t="s">
        <v>267</v>
      </c>
      <c r="C12" s="11" t="s">
        <v>276</v>
      </c>
      <c r="D12" s="2">
        <v>26.83</v>
      </c>
      <c r="E12" s="12" t="s">
        <v>265</v>
      </c>
      <c r="F12" s="15">
        <v>0.15868521802257218</v>
      </c>
      <c r="G12" s="15">
        <f>F12 - Portfolio_Mgmt!$C$10</f>
        <v>4.1285218022572179E-2</v>
      </c>
      <c r="H12" s="15">
        <f>F12 - Portfolio_Mgmt!$C$11</f>
        <v>0.12418521802257218</v>
      </c>
      <c r="I12" s="15">
        <v>0</v>
      </c>
      <c r="J12" s="2">
        <v>16.7846939344021</v>
      </c>
      <c r="K12" s="2">
        <v>36.134621832566509</v>
      </c>
      <c r="L12" s="85">
        <v>33.247786953152008</v>
      </c>
      <c r="M12" s="2">
        <v>23.307997499907511</v>
      </c>
      <c r="N12" s="2">
        <v>29.760030747653474</v>
      </c>
      <c r="O12" s="4">
        <v>9.4639113208460593E-2</v>
      </c>
      <c r="P12" s="4">
        <v>5.9634737234439066E-2</v>
      </c>
      <c r="Q12" s="4">
        <v>8.3350635997632802E-2</v>
      </c>
      <c r="R12" s="4">
        <v>0.15660042549334799</v>
      </c>
      <c r="S12" s="94">
        <v>0.29736257886212014</v>
      </c>
      <c r="T12" s="93">
        <v>1.7899036999493159</v>
      </c>
      <c r="U12" s="15">
        <v>0.40281804358844397</v>
      </c>
      <c r="V12" s="90">
        <v>3.955391512509995</v>
      </c>
      <c r="W12" s="85">
        <v>-26.938493611476797</v>
      </c>
      <c r="X12" s="13" t="s">
        <v>268</v>
      </c>
      <c r="Y12" s="11" t="s">
        <v>154</v>
      </c>
      <c r="Z12" s="14">
        <v>45900</v>
      </c>
      <c r="AA12" s="16" t="s">
        <v>284</v>
      </c>
    </row>
    <row r="13" spans="1:27">
      <c r="B13" s="11" t="s">
        <v>252</v>
      </c>
      <c r="C13" s="11" t="s">
        <v>253</v>
      </c>
      <c r="D13" s="2">
        <v>14.56</v>
      </c>
      <c r="E13" s="12" t="s">
        <v>153</v>
      </c>
      <c r="F13" s="15">
        <v>0.13818607365353253</v>
      </c>
      <c r="G13" s="15">
        <f>F13 - Portfolio_Mgmt!$C$10</f>
        <v>2.0786073653532522E-2</v>
      </c>
      <c r="H13" s="15">
        <f>F13 - Portfolio_Mgmt!$C$11</f>
        <v>0.10368607365353252</v>
      </c>
      <c r="I13" s="15">
        <v>0</v>
      </c>
      <c r="J13" s="2">
        <v>8.6613624430221918</v>
      </c>
      <c r="K13" s="2">
        <v>18.578130996470513</v>
      </c>
      <c r="L13" s="2">
        <v>17.143704806858679</v>
      </c>
      <c r="M13" s="2">
        <v>12.0227602836017</v>
      </c>
      <c r="N13" s="2">
        <v>15.34692294697688</v>
      </c>
      <c r="O13" s="4">
        <v>0.10651371248327496</v>
      </c>
      <c r="P13" s="4">
        <v>5.7813803571428568E-2</v>
      </c>
      <c r="Q13" s="4">
        <v>0.2641791486468546</v>
      </c>
      <c r="R13" s="4">
        <v>0.11373705195881134</v>
      </c>
      <c r="S13" s="94">
        <v>0.70652858717908329</v>
      </c>
      <c r="T13" s="93">
        <v>3.2875080906148866</v>
      </c>
      <c r="U13" s="15">
        <v>1.5035598705501618</v>
      </c>
      <c r="V13" s="90">
        <v>4.1998196571663646</v>
      </c>
      <c r="W13" s="85">
        <v>-12.258886884853043</v>
      </c>
      <c r="X13" s="13" t="s">
        <v>239</v>
      </c>
      <c r="Y13" s="11" t="s">
        <v>254</v>
      </c>
      <c r="Z13" s="14">
        <v>45900</v>
      </c>
      <c r="AA13" s="16" t="s">
        <v>284</v>
      </c>
    </row>
    <row r="14" spans="1:27">
      <c r="B14" s="11" t="s">
        <v>155</v>
      </c>
      <c r="C14" s="11" t="s">
        <v>234</v>
      </c>
      <c r="D14" s="2">
        <v>7.87</v>
      </c>
      <c r="E14" s="12" t="s">
        <v>153</v>
      </c>
      <c r="F14" s="15">
        <v>0.12945329536321593</v>
      </c>
      <c r="G14" s="15">
        <f>F14 - Portfolio_Mgmt!$C$10</f>
        <v>1.2053295363215921E-2</v>
      </c>
      <c r="H14" s="15">
        <f>F14 - Portfolio_Mgmt!$C$11</f>
        <v>9.4953295363215923E-2</v>
      </c>
      <c r="I14" s="15">
        <v>0</v>
      </c>
      <c r="J14" s="2">
        <v>4.6237469150396135</v>
      </c>
      <c r="K14" s="2">
        <v>9.3641570609339322</v>
      </c>
      <c r="L14" s="2">
        <v>9.0460821298724845</v>
      </c>
      <c r="M14" s="2">
        <v>6.3792496771334868</v>
      </c>
      <c r="N14" s="2">
        <v>8.1111667082917602</v>
      </c>
      <c r="O14" s="4">
        <v>3.9250110798254766E-2</v>
      </c>
      <c r="P14" s="4">
        <v>7.3697585768742052E-2</v>
      </c>
      <c r="Q14" s="4">
        <v>2.0056091670558843E-2</v>
      </c>
      <c r="R14" s="4">
        <v>0.38237459335905039</v>
      </c>
      <c r="S14" s="94">
        <v>4.8426484563194767E-2</v>
      </c>
      <c r="T14" s="93">
        <v>1.0831144117242246</v>
      </c>
      <c r="U14" s="15">
        <v>1.8509098960546238E-2</v>
      </c>
      <c r="V14" s="90">
        <v>1.1933697905849452</v>
      </c>
      <c r="W14" s="85">
        <v>11.511512740854835</v>
      </c>
      <c r="X14" s="13" t="s">
        <v>236</v>
      </c>
      <c r="Y14" s="11" t="s">
        <v>235</v>
      </c>
      <c r="Z14" s="14">
        <v>45900</v>
      </c>
      <c r="AA14" s="16" t="s">
        <v>283</v>
      </c>
    </row>
    <row r="15" spans="1:27">
      <c r="B15" s="11" t="s">
        <v>249</v>
      </c>
      <c r="C15" s="11" t="s">
        <v>250</v>
      </c>
      <c r="D15" s="2">
        <v>18.579999999999998</v>
      </c>
      <c r="E15" s="12" t="s">
        <v>153</v>
      </c>
      <c r="F15" s="15">
        <v>0.12689127154201651</v>
      </c>
      <c r="G15" s="15">
        <f>F15 - Portfolio_Mgmt!$C$10</f>
        <v>9.4912715420165106E-3</v>
      </c>
      <c r="H15" s="15">
        <f>F15 - Portfolio_Mgmt!$C$11</f>
        <v>9.2391271542016512E-2</v>
      </c>
      <c r="I15" s="15">
        <v>0</v>
      </c>
      <c r="J15" s="2">
        <v>10.846357673848024</v>
      </c>
      <c r="K15" s="2">
        <v>21.968758226348868</v>
      </c>
      <c r="L15" s="2">
        <v>21.220699139526428</v>
      </c>
      <c r="M15" s="2">
        <v>14.964572530067358</v>
      </c>
      <c r="N15" s="2">
        <v>19.027476031641555</v>
      </c>
      <c r="O15" s="4">
        <v>9.3002476822907951E-2</v>
      </c>
      <c r="P15" s="4">
        <v>7.3196986006458575E-2</v>
      </c>
      <c r="Q15" s="4">
        <v>0.10515362778966494</v>
      </c>
      <c r="R15" s="4">
        <v>0.11295218450174714</v>
      </c>
      <c r="S15" s="94">
        <v>0.71055479556740742</v>
      </c>
      <c r="T15" s="93">
        <v>1.3101832741522048</v>
      </c>
      <c r="U15" s="15">
        <v>0.15818859882129041</v>
      </c>
      <c r="V15" s="90">
        <v>1.4550387206421544</v>
      </c>
      <c r="W15" s="85">
        <v>5.8696003638854428</v>
      </c>
      <c r="X15" s="13" t="s">
        <v>248</v>
      </c>
      <c r="Y15" s="11" t="s">
        <v>154</v>
      </c>
      <c r="Z15" s="14">
        <v>45808</v>
      </c>
      <c r="AA15" s="16" t="s">
        <v>283</v>
      </c>
    </row>
    <row r="16" spans="1:27">
      <c r="B16" s="11" t="s">
        <v>240</v>
      </c>
      <c r="C16" s="11" t="s">
        <v>241</v>
      </c>
      <c r="D16" s="2">
        <v>56.2</v>
      </c>
      <c r="E16" s="12" t="s">
        <v>153</v>
      </c>
      <c r="F16" s="15">
        <v>0.12284128937562033</v>
      </c>
      <c r="G16" s="15">
        <f>F16 - Portfolio_Mgmt!$C$10</f>
        <v>5.4412893756203284E-3</v>
      </c>
      <c r="H16" s="15">
        <f>F16 - Portfolio_Mgmt!$C$11</f>
        <v>8.834128937562033E-2</v>
      </c>
      <c r="I16" s="15">
        <v>0</v>
      </c>
      <c r="J16" s="2">
        <v>31.791673568802036</v>
      </c>
      <c r="K16" s="2">
        <v>72.726567915428205</v>
      </c>
      <c r="L16" s="2">
        <v>63.79348363059632</v>
      </c>
      <c r="M16" s="2">
        <v>44.448730860821776</v>
      </c>
      <c r="N16" s="2">
        <v>56.999499293397136</v>
      </c>
      <c r="O16" s="4">
        <v>4.0901499189031076E-2</v>
      </c>
      <c r="P16" s="4">
        <v>3.5932127233873762E-2</v>
      </c>
      <c r="Q16" s="4">
        <v>0.13507781163429464</v>
      </c>
      <c r="R16" s="4">
        <v>0.12563744371205277</v>
      </c>
      <c r="S16" s="94">
        <v>0.62432788948992113</v>
      </c>
      <c r="T16" s="93">
        <v>1.7220755031358876</v>
      </c>
      <c r="U16" s="15">
        <v>9.5579625064196368E-3</v>
      </c>
      <c r="V16" s="90">
        <v>7.3592411949940734E-2</v>
      </c>
      <c r="W16" s="85">
        <v>1.3540662140633235</v>
      </c>
      <c r="X16" s="13" t="s">
        <v>242</v>
      </c>
      <c r="Y16" s="11" t="s">
        <v>154</v>
      </c>
      <c r="Z16" s="14">
        <v>45900</v>
      </c>
      <c r="AA16" s="16" t="s">
        <v>284</v>
      </c>
    </row>
    <row r="17" spans="2:27">
      <c r="B17" s="11" t="s">
        <v>261</v>
      </c>
      <c r="C17" s="11" t="s">
        <v>262</v>
      </c>
      <c r="D17" s="2">
        <v>2.9</v>
      </c>
      <c r="E17" s="12" t="s">
        <v>153</v>
      </c>
      <c r="F17" s="15">
        <v>3.041077862713748E-2</v>
      </c>
      <c r="G17" s="15">
        <f>F17 - Portfolio_Mgmt!$C$10</f>
        <v>-8.6989221372862524E-2</v>
      </c>
      <c r="H17" s="15">
        <f>F17 - Portfolio_Mgmt!$C$11</f>
        <v>-4.0892213728625226E-3</v>
      </c>
      <c r="I17" s="15">
        <v>0</v>
      </c>
      <c r="J17" s="2">
        <v>1.2910677968758453</v>
      </c>
      <c r="K17" s="2">
        <v>2.8264287693891328</v>
      </c>
      <c r="L17" s="2">
        <v>2.5663812666837837</v>
      </c>
      <c r="M17" s="2">
        <v>1.7961402741518186</v>
      </c>
      <c r="N17" s="2">
        <v>2.2960454041163745</v>
      </c>
      <c r="O17" s="4">
        <v>2.8933513645903502E-2</v>
      </c>
      <c r="P17" s="4">
        <v>3.8615209587199384E-2</v>
      </c>
      <c r="Q17" s="4">
        <v>4.3345853811756846E-2</v>
      </c>
      <c r="R17" s="4">
        <v>8.4133179425632934E-2</v>
      </c>
      <c r="S17" s="94">
        <v>0.42808280043619051</v>
      </c>
      <c r="T17" s="93">
        <v>1.2035176992971439</v>
      </c>
      <c r="U17" s="15">
        <v>1.0763175939415467E-2</v>
      </c>
      <c r="V17" s="90">
        <v>0.29882156160837919</v>
      </c>
      <c r="W17" s="85">
        <v>1.9050916765621435</v>
      </c>
      <c r="X17" s="13" t="s">
        <v>263</v>
      </c>
      <c r="Y17" s="11" t="s">
        <v>257</v>
      </c>
      <c r="Z17" s="14">
        <v>45900</v>
      </c>
      <c r="AA17" s="11" t="s">
        <v>283</v>
      </c>
    </row>
    <row r="18" spans="2:27">
      <c r="B18" s="11"/>
      <c r="C18" s="11"/>
      <c r="E18" s="12"/>
      <c r="O18" s="4"/>
      <c r="P18" s="4"/>
      <c r="Q18" s="4"/>
      <c r="R18" s="4"/>
      <c r="X18" s="13"/>
      <c r="Y18" s="11"/>
      <c r="Z18" s="14"/>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4.5100000000000001E-2</v>
      </c>
      <c r="D4" s="34">
        <v>7.4999999999999997E-2</v>
      </c>
      <c r="E4" s="35">
        <f>D4-C4</f>
        <v>2.9899999999999996E-2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209" zoomScaleNormal="100" workbookViewId="0">
      <selection activeCell="B7" sqref="B7"/>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F3/$F$10</f>
        <v>0.36363261725495927</v>
      </c>
      <c r="H3" s="89">
        <f>Portfolio_Mgmt!E61</f>
        <v>0.3</v>
      </c>
    </row>
    <row r="4" spans="1:8">
      <c r="B4" s="77" t="s">
        <v>231</v>
      </c>
      <c r="C4" s="74">
        <f>VLOOKUP(B4,Opportunities!B$3:E$30,3,FALSE)</f>
        <v>1.17</v>
      </c>
      <c r="D4" s="73" t="str">
        <f>VLOOKUP(B4,Opportunities!B$3:E$30,4,FALSE)</f>
        <v>HKD</v>
      </c>
      <c r="E4" s="70">
        <v>60000</v>
      </c>
      <c r="F4" s="75">
        <f>E4*C4</f>
        <v>70200</v>
      </c>
      <c r="G4" s="72">
        <f t="shared" si="0"/>
        <v>8.879544875512195E-2</v>
      </c>
      <c r="H4" s="72">
        <f>VLOOKUP(B4,Opportunities!B$3:I$30,8,FALSE)</f>
        <v>0.17784928365887112</v>
      </c>
    </row>
    <row r="5" spans="1:8">
      <c r="B5" s="77" t="s">
        <v>219</v>
      </c>
      <c r="C5" s="74">
        <f>VLOOKUP(B5,Opportunities!B$3:E$30,3,FALSE)</f>
        <v>6.59</v>
      </c>
      <c r="D5" s="73" t="str">
        <f>VLOOKUP(B5,Opportunities!B$3:E$30,4,FALSE)</f>
        <v>HKD</v>
      </c>
      <c r="E5" s="70">
        <v>18000</v>
      </c>
      <c r="F5" s="75">
        <f>E5*C5</f>
        <v>118620</v>
      </c>
      <c r="G5" s="72">
        <f t="shared" si="0"/>
        <v>0.15004154033237274</v>
      </c>
      <c r="H5" s="72">
        <f>VLOOKUP(B5,Opportunities!B$3:I$30,8,FALSE)</f>
        <v>0</v>
      </c>
    </row>
    <row r="6" spans="1:8">
      <c r="B6" s="77" t="s">
        <v>220</v>
      </c>
      <c r="C6" s="74">
        <f>VLOOKUP(B6,Opportunities!B$3:E$30,3,FALSE)</f>
        <v>15.38</v>
      </c>
      <c r="D6" s="73" t="str">
        <f>VLOOKUP(B6,Opportunities!B$3:E$30,4,FALSE)</f>
        <v>HKD</v>
      </c>
      <c r="E6" s="70">
        <v>9000</v>
      </c>
      <c r="F6" s="75">
        <f>C6*E6</f>
        <v>138420</v>
      </c>
      <c r="G6" s="72">
        <f t="shared" si="0"/>
        <v>0.17508641049407381</v>
      </c>
      <c r="H6" s="72">
        <f>VLOOKUP(B6,Opportunities!B$3:I$30,8,FALSE)</f>
        <v>0</v>
      </c>
    </row>
    <row r="7" spans="1:8">
      <c r="B7" s="77" t="s">
        <v>269</v>
      </c>
      <c r="C7" s="74">
        <f>VLOOKUP(B7,Opportunities!B$3:E$30,3,FALSE)</f>
        <v>18.02</v>
      </c>
      <c r="D7" s="73" t="str">
        <f>VLOOKUP(B7,Opportunities!B$3:E$30,4,FALSE)</f>
        <v>HKD</v>
      </c>
      <c r="E7" s="70">
        <v>3000</v>
      </c>
      <c r="F7" s="75">
        <f>C7*E7</f>
        <v>54060</v>
      </c>
      <c r="G7" s="72">
        <f t="shared" si="0"/>
        <v>6.8380084896038362E-2</v>
      </c>
      <c r="H7" s="72">
        <f>VLOOKUP(B7,Opportunities!B$3:I$30,8,FALSE)</f>
        <v>0.20067059096648768</v>
      </c>
    </row>
    <row r="8" spans="1:8">
      <c r="B8" s="77" t="s">
        <v>258</v>
      </c>
      <c r="C8" s="74">
        <f>VLOOKUP(B8,Opportunities!B$3:E$30,3,FALSE)</f>
        <v>2.0299999999999998</v>
      </c>
      <c r="D8" s="73" t="str">
        <f>VLOOKUP(B8,Opportunities!B$3:E$30,4,FALSE)</f>
        <v>HKD</v>
      </c>
      <c r="E8" s="70">
        <f>2000*30</f>
        <v>60000</v>
      </c>
      <c r="F8" s="75">
        <f>C8*E8</f>
        <v>121799.99999999999</v>
      </c>
      <c r="G8" s="72">
        <f t="shared" si="0"/>
        <v>0.1540638982674338</v>
      </c>
      <c r="H8" s="72">
        <f>VLOOKUP(B8,Opportunities!B$3:I$30,8,FALSE)</f>
        <v>0.12150458809401821</v>
      </c>
    </row>
    <row r="9" spans="1:8">
      <c r="B9" s="66"/>
      <c r="C9" s="69"/>
      <c r="D9" s="66"/>
      <c r="H9" s="88"/>
    </row>
    <row r="10" spans="1:8" ht="13.15">
      <c r="B10" s="78"/>
      <c r="C10" s="79"/>
      <c r="D10" s="78"/>
      <c r="E10" s="80" t="s">
        <v>223</v>
      </c>
      <c r="F10" s="80">
        <f>SUM(F3:F8)</f>
        <v>790581.06</v>
      </c>
      <c r="G10" s="81">
        <f>SUM(G3:G8)</f>
        <v>1</v>
      </c>
      <c r="H10" s="87">
        <f>SUM(H3:H8)</f>
        <v>0.80002446271937699</v>
      </c>
    </row>
    <row r="11" spans="1:8">
      <c r="B11" s="66"/>
      <c r="C11" s="69"/>
      <c r="D11" s="66"/>
      <c r="E11" s="70"/>
      <c r="F11" s="70"/>
    </row>
    <row r="12" spans="1:8" ht="13.15">
      <c r="A12" s="62"/>
      <c r="B12" s="63" t="s">
        <v>221</v>
      </c>
    </row>
    <row r="13" spans="1:8">
      <c r="B13" s="77" t="s">
        <v>231</v>
      </c>
      <c r="C13" s="74">
        <f>VLOOKUP(B13,Opportunities!B$3:E$30,3,FALSE)</f>
        <v>1.17</v>
      </c>
      <c r="D13" s="73" t="str">
        <f>VLOOKUP(B13,Opportunities!B$3:E$30,4,FALSE)</f>
        <v>HKD</v>
      </c>
      <c r="E13" s="70">
        <f>60000-E4</f>
        <v>0</v>
      </c>
      <c r="F13" s="75">
        <f>-C13*E13</f>
        <v>0</v>
      </c>
      <c r="G13" s="72">
        <f>-F13/$F$10</f>
        <v>0</v>
      </c>
      <c r="H13" s="72">
        <f>VLOOKUP(B13,Opportunities!B$3:I$30,8,FALSE)</f>
        <v>0.17784928365887112</v>
      </c>
    </row>
    <row r="14" spans="1:8">
      <c r="G14" s="86"/>
      <c r="H14" s="86"/>
    </row>
    <row r="15" spans="1:8" ht="13.15">
      <c r="B15" s="82" t="s">
        <v>222</v>
      </c>
      <c r="C15" s="83" t="s">
        <v>215</v>
      </c>
      <c r="D15" s="84" t="s">
        <v>153</v>
      </c>
      <c r="E15" s="83" t="s">
        <v>215</v>
      </c>
      <c r="F15" s="80">
        <f>F3+SUM(F13:F13)</f>
        <v>287481.06</v>
      </c>
      <c r="G15" s="87">
        <f t="shared" ref="G15" si="1">F15/$F$10</f>
        <v>0.36363261725495927</v>
      </c>
      <c r="H15" s="87">
        <f>Portfolio_Mgmt!E61</f>
        <v>0.3</v>
      </c>
    </row>
    <row r="17" spans="2:6">
      <c r="B17" s="66"/>
      <c r="C17" s="69"/>
      <c r="D17" s="66"/>
      <c r="E17" s="70"/>
      <c r="F17" s="70"/>
    </row>
    <row r="27" spans="2:6">
      <c r="B27" s="66"/>
      <c r="C27" s="69"/>
      <c r="D27" s="66"/>
      <c r="E27" s="70"/>
      <c r="F27"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7"/>
      <c r="D32" s="66"/>
      <c r="E32" s="68"/>
      <c r="F32"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2025-05-28T12:12:30Z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