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FAD0604-2C58-4778-9887-B42699A08D5E}" xr6:coauthVersionLast="47" xr6:coauthVersionMax="47" xr10:uidLastSave="{00000000-0000-0000-0000-000000000000}"/>
  <bookViews>
    <workbookView xWindow="1470" yWindow="1470" windowWidth="12690" windowHeight="7643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G3" i="1"/>
  <c r="G4" i="1"/>
  <c r="G5" i="1"/>
  <c r="G6" i="1"/>
  <c r="G7" i="1"/>
  <c r="G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<sst xmlns="http://schemas.openxmlformats.org/spreadsheetml/2006/main" count="409" uniqueCount="354">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</sst>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4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7" sqref="M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</v>
      </c>
      <c r="E3" s="12" t="s">
        <v>136</v>
      </c>
      <c r="F3" s="15">
        <v>0.31835640522615205</v>
      </c>
      <c r="G3" s="15">
        <f>F3 - Portfolio_Mgmt!$C$10</f>
        <v>0.20095640522615205</v>
      </c>
      <c r="H3" s="15">
        <f>F3 - Portfolio_Mgmt!$C$11</f>
        <v>0.28385640522615208</v>
      </c>
      <c r="I3" s="15">
        <v>9.294332019334961E-2</v>
      </c>
      <c r="J3" s="2">
        <v>3.8188783901347723</v>
      </c>
      <c r="K3" s="2">
        <v>6.3916758660206225</v>
      </c>
      <c r="L3" s="74">
        <v>5.99240940096663</v>
      </c>
      <c r="M3" s="2">
        <v>4.4388645542531986</v>
      </c>
      <c r="N3" s="2">
        <v>5.5291995109884606</v>
      </c>
      <c r="O3" s="4">
        <v>7.8099478553586621E-2</v>
      </c>
      <c r="P3" s="4">
        <v>6.0449999999999997E-2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1.2421288153621801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187</v>
      </c>
      <c r="C4" s="11" t="s">
        <v>347</v>
      </c>
      <c r="D4" s="2">
        <v>2.77</v>
      </c>
      <c r="E4" s="12" t="s">
        <v>136</v>
      </c>
      <c r="F4" s="15">
        <v>0.27634123244537412</v>
      </c>
      <c r="G4" s="15">
        <f>F4 - Portfolio_Mgmt!$C$10</f>
        <v>0.15894123244537411</v>
      </c>
      <c r="H4" s="15">
        <f>F4 - Portfolio_Mgmt!$C$11</f>
        <v>0.24184123244537412</v>
      </c>
      <c r="I4" s="15">
        <v>0.13812855897366835</v>
      </c>
      <c r="J4" s="2">
        <v>2.4868849907177504</v>
      </c>
      <c r="K4" s="2">
        <v>3.8978478955831006</v>
      </c>
      <c r="L4" s="74">
        <v>3.8751564232605564</v>
      </c>
      <c r="M4" s="2">
        <v>2.8834226531731844</v>
      </c>
      <c r="N4" s="2">
        <v>3.5796953464126804</v>
      </c>
      <c r="O4" s="4">
        <v>5.8072004513674329E-2</v>
      </c>
      <c r="P4" s="4">
        <v>9.7472924187725643E-2</v>
      </c>
      <c r="Q4" s="4">
        <v>7.6203822690338374E-2</v>
      </c>
      <c r="R4" s="4">
        <v>0.40688947062135006</v>
      </c>
      <c r="S4" s="82">
        <v>0.1542519195864642</v>
      </c>
      <c r="T4" s="81">
        <v>1.2141426890285656</v>
      </c>
      <c r="U4" s="15">
        <v>2.3107986944995245E-3</v>
      </c>
      <c r="V4" s="79">
        <v>3.0499352531108609E-2</v>
      </c>
      <c r="W4" s="74">
        <v>0.79833937207218564</v>
      </c>
      <c r="X4" s="13" t="s">
        <v>348</v>
      </c>
      <c r="Y4" s="11" t="s">
        <v>343</v>
      </c>
      <c r="Z4" s="14">
        <v>46081</v>
      </c>
      <c r="AA4" s="16" t="s">
        <v>185</v>
      </c>
    </row>
    <row r="5" spans="1:27">
      <c r="B5" s="11" t="s">
        <v>174</v>
      </c>
      <c r="C5" s="11" t="s">
        <v>351</v>
      </c>
      <c r="D5" s="2">
        <v>18.95</v>
      </c>
      <c r="E5" s="12" t="s">
        <v>136</v>
      </c>
      <c r="F5" s="15">
        <v>0.27478567176237034</v>
      </c>
      <c r="G5" s="15">
        <f>F5 - Portfolio_Mgmt!$C$10</f>
        <v>0.15738567176237034</v>
      </c>
      <c r="H5" s="15">
        <f>F5 - Portfolio_Mgmt!$C$11</f>
        <v>0.24028567176237034</v>
      </c>
      <c r="I5" s="15">
        <v>6.8040003034659333E-2</v>
      </c>
      <c r="J5" s="2">
        <v>16.949249820474805</v>
      </c>
      <c r="K5" s="2">
        <v>27.929007797815331</v>
      </c>
      <c r="L5" s="74">
        <v>26.550916630807556</v>
      </c>
      <c r="M5" s="2">
        <v>19.688964990601811</v>
      </c>
      <c r="N5" s="2">
        <v>24.505329384665963</v>
      </c>
      <c r="O5" s="4">
        <v>0.10895362450263159</v>
      </c>
      <c r="P5" s="4">
        <v>6.6490765171503957E-2</v>
      </c>
      <c r="Q5" s="4">
        <v>0.15221111315630581</v>
      </c>
      <c r="R5" s="4">
        <v>0.31883877399167454</v>
      </c>
      <c r="S5" s="82">
        <v>0.33635251399294164</v>
      </c>
      <c r="T5" s="81">
        <v>1.419320754716981</v>
      </c>
      <c r="U5" s="15">
        <v>9.2018392262565404E-2</v>
      </c>
      <c r="V5" s="79">
        <v>0.59368016036854909</v>
      </c>
      <c r="W5" s="74">
        <v>0.4496426503525397</v>
      </c>
      <c r="X5" s="13" t="s">
        <v>352</v>
      </c>
      <c r="Y5" s="11" t="s">
        <v>353</v>
      </c>
      <c r="Z5" s="14">
        <v>46081</v>
      </c>
      <c r="AA5" s="16" t="s">
        <v>346</v>
      </c>
    </row>
    <row r="6" spans="1:27">
      <c r="B6" s="11" t="s">
        <v>160</v>
      </c>
      <c r="C6" s="11" t="s">
        <v>349</v>
      </c>
      <c r="D6" s="2">
        <v>17.55</v>
      </c>
      <c r="E6" s="12" t="s">
        <v>136</v>
      </c>
      <c r="F6" s="15">
        <v>0.21582419395404981</v>
      </c>
      <c r="G6" s="15">
        <f>F6 - Portfolio_Mgmt!$C$10</f>
        <v>9.8424193954049805E-2</v>
      </c>
      <c r="H6" s="15">
        <f>F6 - Portfolio_Mgmt!$C$11</f>
        <v>0.18132419395404981</v>
      </c>
      <c r="I6" s="15">
        <v>0</v>
      </c>
      <c r="J6" s="2">
        <v>14.274180152908317</v>
      </c>
      <c r="K6" s="2">
        <v>24.757450100761879</v>
      </c>
      <c r="L6" s="74">
        <v>22.487364557556596</v>
      </c>
      <c r="M6" s="2">
        <v>16.615163914783555</v>
      </c>
      <c r="N6" s="2">
        <v>20.735712383989576</v>
      </c>
      <c r="O6" s="4">
        <v>5.4445093232667406E-2</v>
      </c>
      <c r="P6" s="4">
        <v>3.0484166282682409E-2</v>
      </c>
      <c r="Q6" s="4">
        <v>0.11088651378188913</v>
      </c>
      <c r="R6" s="4">
        <v>0.1151513603793259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5.4523784259193837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344</v>
      </c>
      <c r="C7" s="11" t="s">
        <v>345</v>
      </c>
      <c r="D7" s="2">
        <v>2.93</v>
      </c>
      <c r="E7" s="12" t="s">
        <v>136</v>
      </c>
      <c r="F7" s="15">
        <v>9.5641708584119842E-2</v>
      </c>
      <c r="G7" s="15">
        <f>F7 - Portfolio_Mgmt!$C$10</f>
        <v>-2.1758291415880163E-2</v>
      </c>
      <c r="H7" s="15">
        <f>F7 - Portfolio_Mgmt!$C$11</f>
        <v>6.1141708584119839E-2</v>
      </c>
      <c r="I7" s="15">
        <v>0</v>
      </c>
      <c r="J7" s="2">
        <v>1.9521294639279505</v>
      </c>
      <c r="K7" s="2">
        <v>3.18363594800869</v>
      </c>
      <c r="L7" s="74">
        <v>3.0546045266076063</v>
      </c>
      <c r="M7" s="2">
        <v>2.2667750067255619</v>
      </c>
      <c r="N7" s="2">
        <v>2.8197778639909221</v>
      </c>
      <c r="O7" s="4">
        <v>5.5814414866273775E-2</v>
      </c>
      <c r="P7" s="4">
        <v>5.4334470989761095E-2</v>
      </c>
      <c r="Q7" s="4">
        <v>0.12416948697308672</v>
      </c>
      <c r="R7" s="4">
        <v>0.41544958439449353</v>
      </c>
      <c r="S7" s="82">
        <v>0.20090947033127624</v>
      </c>
      <c r="T7" s="81">
        <v>1.4876341835211095</v>
      </c>
      <c r="U7" s="15">
        <v>2.7705347980559972E-2</v>
      </c>
      <c r="V7" s="79">
        <v>0.22047955497162566</v>
      </c>
      <c r="W7" s="74">
        <v>0.40754104210450359</v>
      </c>
      <c r="X7" s="13" t="s">
        <v>173</v>
      </c>
      <c r="Y7" s="11" t="s">
        <v>343</v>
      </c>
      <c r="Z7" s="14">
        <v>46081</v>
      </c>
      <c r="AA7" s="16" t="s">
        <v>185</v>
      </c>
    </row>
    <row r="8" spans="1:27">
      <c r="B8" s="11" t="s">
        <v>339</v>
      </c>
      <c r="C8" s="11" t="s">
        <v>340</v>
      </c>
      <c r="D8" s="2">
        <v>6.5</v>
      </c>
      <c r="E8" s="12" t="s">
        <v>136</v>
      </c>
      <c r="F8" s="15">
        <v>8.2639604252926629E-2</v>
      </c>
      <c r="G8" s="15">
        <f>F8 - Portfolio_Mgmt!$C$10</f>
        <v>-3.4760395747073375E-2</v>
      </c>
      <c r="H8" s="15">
        <f>F8 - Portfolio_Mgmt!$C$11</f>
        <v>4.8139604252926627E-2</v>
      </c>
      <c r="I8" s="15">
        <v>0</v>
      </c>
      <c r="J8" s="2">
        <v>4.2390395011406845</v>
      </c>
      <c r="K8" s="2">
        <v>6.7856494908288969</v>
      </c>
      <c r="L8" s="74">
        <v>6.6199592402379013</v>
      </c>
      <c r="M8" s="2">
        <v>4.918815674130494</v>
      </c>
      <c r="N8" s="2">
        <v>6.1130184841162611</v>
      </c>
      <c r="O8" s="4">
        <v>6.1063666265514203E-2</v>
      </c>
      <c r="P8" s="4">
        <v>6.1538461538461542E-2</v>
      </c>
      <c r="Q8" s="4">
        <v>0.1167471410506614</v>
      </c>
      <c r="R8" s="4">
        <v>3.9086921133773919E-2</v>
      </c>
      <c r="S8" s="82">
        <v>1.3708738209065539</v>
      </c>
      <c r="T8" s="81">
        <v>2.1787997096988563</v>
      </c>
      <c r="U8" s="15">
        <v>0.77760119734648436</v>
      </c>
      <c r="V8" s="79">
        <v>5.3475400925918697</v>
      </c>
      <c r="W8" s="74">
        <v>-2.5047246524922007</v>
      </c>
      <c r="X8" s="13" t="s">
        <v>173</v>
      </c>
      <c r="Y8" s="11" t="s">
        <v>172</v>
      </c>
      <c r="Z8" s="14">
        <v>45991</v>
      </c>
      <c r="AA8" s="16" t="s">
        <v>185</v>
      </c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>
        <f>F3/$F$8</f>
        <v>0.67940199491551057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>
        <f>VLOOKUP(B4,Opportunities!B$3:E$30,3,FALSE)</f>
        <v>17.55</v>
      </c>
      <c r="D4" s="62" t="str">
        <f>VLOOKUP(B4,Opportunities!B$3:E$30,4,FALSE)</f>
        <v>HKD</v>
      </c>
      <c r="E4" s="59">
        <v>4500</v>
      </c>
      <c r="F4" s="64">
        <f>C4*E4</f>
        <v>78975</v>
      </c>
      <c r="G4" s="61">
        <f>F4/$F$8</f>
        <v>7.4168370418301155E-2</v>
      </c>
      <c r="H4" s="61">
        <f>VLOOKUP(B4,Opportunities!B$3:I$30,8,FALSE)</f>
        <v>0</v>
      </c>
      <c r="I4" s="84">
        <f>VLOOKUP(B4,Opportunities!B$3:N$30,12,FALSE)</f>
        <v>16.615163914783555</v>
      </c>
      <c r="J4" s="84">
        <f>VLOOKUP(B4,Opportunities!B$3:N$30,9,FALSE)</f>
        <v>14.274180152908317</v>
      </c>
      <c r="K4" s="84">
        <f>VLOOKUP(B4,Opportunities!B$3:N$30,11,FALSE)</f>
        <v>22.487364557556596</v>
      </c>
      <c r="L4" s="84">
        <f>VLOOKUP(B4,Opportunities!B$3:N$30,13,FALSE)</f>
        <v>20.735712383989576</v>
      </c>
    </row>
    <row r="5" spans="1:12">
      <c r="B5" s="66" t="s">
        <v>174</v>
      </c>
      <c r="C5" s="63">
        <f>VLOOKUP(B5,Opportunities!B$3:E$30,3,FALSE)</f>
        <v>18.95</v>
      </c>
      <c r="D5" s="62" t="str">
        <f>VLOOKUP(B5,Opportunities!B$3:E$30,4,FALSE)</f>
        <v>HKD</v>
      </c>
      <c r="E5" s="59">
        <v>8000</v>
      </c>
      <c r="F5" s="64">
        <f>C5*E5</f>
        <v>151600</v>
      </c>
      <c r="G5" s="61">
        <f>F5/$F$8</f>
        <v>0.14237321880866674</v>
      </c>
      <c r="H5" s="61">
        <f>VLOOKUP(B5,Opportunities!B$3:I$30,8,FALSE)</f>
        <v>6.8040003034659333E-2</v>
      </c>
      <c r="I5" s="84">
        <f>VLOOKUP(B5,Opportunities!B$3:N$30,12,FALSE)</f>
        <v>19.688964990601811</v>
      </c>
      <c r="J5" s="84">
        <f>VLOOKUP(B5,Opportunities!B$3:N$30,9,FALSE)</f>
        <v>16.949249820474805</v>
      </c>
      <c r="K5" s="84">
        <f>VLOOKUP(B5,Opportunities!B$3:N$30,11,FALSE)</f>
        <v>26.550916630807556</v>
      </c>
      <c r="L5" s="84">
        <f>VLOOKUP(B5,Opportunities!B$3:N$30,13,FALSE)</f>
        <v>24.505329384665963</v>
      </c>
    </row>
    <row r="6" spans="1:12">
      <c r="B6" s="66" t="s">
        <v>187</v>
      </c>
      <c r="C6" s="63">
        <f>VLOOKUP(B6,Opportunities!B$3:E$30,3,FALSE)</f>
        <v>2.77</v>
      </c>
      <c r="D6" s="62" t="str">
        <f>VLOOKUP(B6,Opportunities!B$3:E$30,4,FALSE)</f>
        <v>HKD</v>
      </c>
      <c r="E6" s="59">
        <v>40000</v>
      </c>
      <c r="F6" s="64">
        <f>C6*E6</f>
        <v>110800</v>
      </c>
      <c r="G6" s="61">
        <f t="shared" ref="G6" si="0">F6/$F$8</f>
        <v>0.10405641585752159</v>
      </c>
      <c r="H6" s="61">
        <f>VLOOKUP(B6,Opportunities!B$3:I$30,8,FALSE)</f>
        <v>0.13812855897366835</v>
      </c>
      <c r="I6" s="84">
        <f>VLOOKUP(B6,Opportunities!B$3:N$30,12,FALSE)</f>
        <v>2.8834226531731844</v>
      </c>
      <c r="J6" s="84">
        <f>VLOOKUP(B6,Opportunities!B$3:N$30,9,FALSE)</f>
        <v>2.4868849907177504</v>
      </c>
      <c r="K6" s="84">
        <f>VLOOKUP(B6,Opportunities!B$3:N$30,11,FALSE)</f>
        <v>3.8751564232605564</v>
      </c>
      <c r="L6" s="84">
        <f>VLOOKUP(B6,Opportunities!B$3:N$30,13,FALSE)</f>
        <v>3.5796953464126804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>
        <f>SUM(F3:F6)</f>
        <v>1064807</v>
      </c>
      <c r="G8" s="70">
        <f>SUM(G3:G6)</f>
        <v>1</v>
      </c>
      <c r="H8" s="76">
        <f>SUM(H3:H6)</f>
        <v>0.65616856200832774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>
        <f>VLOOKUP(B11,Opportunities!B$3:E$30,3,FALSE)</f>
        <v>17.55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16.615163914783555</v>
      </c>
      <c r="J11" s="84">
        <f>VLOOKUP(B11,Opportunities!B$3:N$30,9,FALSE)</f>
        <v>14.274180152908317</v>
      </c>
      <c r="K11" s="84">
        <f>VLOOKUP(B11,Opportunities!B$3:N$30,11,FALSE)</f>
        <v>22.487364557556596</v>
      </c>
      <c r="L11" s="84">
        <f>VLOOKUP(B11,Opportunities!B$3:N$30,13,FALSE)</f>
        <v>20.735712383989576</v>
      </c>
    </row>
    <row r="12" spans="1:12">
      <c r="B12" s="66" t="s">
        <v>174</v>
      </c>
      <c r="C12" s="63">
        <f>VLOOKUP(B12,Opportunities!B$3:E$30,3,FALSE)</f>
        <v>18.95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6.8040003034659333E-2</v>
      </c>
      <c r="I12" s="84">
        <f>VLOOKUP(B12,Opportunities!B$3:N$30,12,FALSE)</f>
        <v>19.688964990601811</v>
      </c>
      <c r="J12" s="84">
        <f>VLOOKUP(B12,Opportunities!B$3:N$30,9,FALSE)</f>
        <v>16.949249820474805</v>
      </c>
      <c r="K12" s="84">
        <f>VLOOKUP(B12,Opportunities!B$3:N$30,11,FALSE)</f>
        <v>26.550916630807556</v>
      </c>
      <c r="L12" s="84">
        <f>VLOOKUP(B12,Opportunities!B$3:N$30,13,FALSE)</f>
        <v>24.505329384665963</v>
      </c>
    </row>
    <row r="13" spans="1:12">
      <c r="B13" s="66" t="s">
        <v>187</v>
      </c>
      <c r="C13" s="63">
        <f>VLOOKUP(B13,Opportunities!B$3:E$30,3,FALSE)</f>
        <v>2.77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0.13812855897366835</v>
      </c>
      <c r="I13" s="84">
        <f>VLOOKUP(B13,Opportunities!B$3:N$30,12,FALSE)</f>
        <v>2.8834226531731844</v>
      </c>
      <c r="J13" s="84">
        <f>VLOOKUP(B13,Opportunities!B$3:N$30,9,FALSE)</f>
        <v>2.4868849907177504</v>
      </c>
      <c r="K13" s="84">
        <f>VLOOKUP(B13,Opportunities!B$3:N$30,11,FALSE)</f>
        <v>3.8751564232605564</v>
      </c>
      <c r="L13" s="84">
        <f>VLOOKUP(B13,Opportunities!B$3:N$30,13,FALSE)</f>
        <v>3.5796953464126804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>
        <f>F3+SUM(F11:F13)</f>
        <v>723432</v>
      </c>
      <c r="G15" s="76">
        <f t="shared" ref="G15" si="1">F15/$F$8</f>
        <v>0.67940199491551057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2025-10-02T07:44:35Z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