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F69E5BB-9D5C-4E7B-BEB0-CA9BD9AB1BF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s="1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<sst xmlns="http://schemas.openxmlformats.org/spreadsheetml/2006/main" count="467" uniqueCount="387">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</sst>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zoomScaleNormal="100" workbookViewId="0">
      <selection activeCell="D20" sqref="D2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10.210000000000001</v>
      </c>
      <c r="E3" s="12" t="s">
        <v>135</v>
      </c>
      <c r="F3" s="15">
        <v>0.23583181729627789</v>
      </c>
      <c r="G3" s="15">
        <f>F3 - Portfolio_Mgmt!$C$10</f>
        <v>0.11843181729627789</v>
      </c>
      <c r="H3" s="15">
        <f>F3 - Portfolio_Mgmt!$C$11</f>
        <v>0.20133181729627789</v>
      </c>
      <c r="I3" s="15">
        <v>0.11020413073686143</v>
      </c>
      <c r="J3" s="2">
        <v>8.9376103585030844</v>
      </c>
      <c r="K3" s="2">
        <v>17.030649042042409</v>
      </c>
      <c r="L3" s="71">
        <v>15.360344850049612</v>
      </c>
      <c r="M3" s="2">
        <v>11.089797041998329</v>
      </c>
      <c r="N3" s="2">
        <v>13.643215370062471</v>
      </c>
      <c r="O3" s="4">
        <v>9.7134079068640064E-2</v>
      </c>
      <c r="P3" s="4">
        <v>5.8309562374772562E-2</v>
      </c>
      <c r="Q3" s="4">
        <v>0.10095649280255321</v>
      </c>
      <c r="R3" s="4">
        <v>0.12639619218259082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1.7203273567126307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331</v>
      </c>
      <c r="C4" s="11" t="s">
        <v>332</v>
      </c>
      <c r="D4" s="2">
        <v>4.09</v>
      </c>
      <c r="E4" s="12" t="s">
        <v>135</v>
      </c>
      <c r="F4" s="15">
        <v>0.21221443999201767</v>
      </c>
      <c r="G4" s="15">
        <f>F4 - Portfolio_Mgmt!$C$10</f>
        <v>9.4814439992017663E-2</v>
      </c>
      <c r="H4" s="15">
        <f>F4 - Portfolio_Mgmt!$C$11</f>
        <v>0.17771443999201766</v>
      </c>
      <c r="I4" s="15">
        <v>8.7813248923326731E-2</v>
      </c>
      <c r="J4" s="2">
        <v>3.389605047238744</v>
      </c>
      <c r="K4" s="2">
        <v>6.3953088514136374</v>
      </c>
      <c r="L4" s="71">
        <v>5.815727566361458</v>
      </c>
      <c r="M4" s="2">
        <v>4.2027893682625965</v>
      </c>
      <c r="N4" s="2">
        <v>5.1672715216422498</v>
      </c>
      <c r="O4" s="4">
        <v>0.10596534712555475</v>
      </c>
      <c r="P4" s="4">
        <v>5.9119804400977992E-2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1.2528021205471123</v>
      </c>
      <c r="X4" s="13" t="s">
        <v>171</v>
      </c>
      <c r="Y4" s="11" t="s">
        <v>341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2.94</v>
      </c>
      <c r="E5" s="12" t="s">
        <v>135</v>
      </c>
      <c r="F5" s="15">
        <v>0.19163605709269163</v>
      </c>
      <c r="G5" s="15">
        <f>F5 - Portfolio_Mgmt!$C$10</f>
        <v>7.4236057092691626E-2</v>
      </c>
      <c r="H5" s="15">
        <f>F5 - Portfolio_Mgmt!$C$11</f>
        <v>0.15713605709269163</v>
      </c>
      <c r="I5" s="15">
        <v>0.1273848270013489</v>
      </c>
      <c r="J5" s="2">
        <v>2.3372346420267727</v>
      </c>
      <c r="K5" s="2">
        <v>3.9996891347551768</v>
      </c>
      <c r="L5" s="71">
        <v>3.9475005072198974</v>
      </c>
      <c r="M5" s="2">
        <v>2.87837081868983</v>
      </c>
      <c r="N5" s="2">
        <v>3.5182216001675917</v>
      </c>
      <c r="O5" s="4">
        <v>6.8653789216395852E-2</v>
      </c>
      <c r="P5" s="4">
        <v>9.1836734693877556E-2</v>
      </c>
      <c r="Q5" s="4">
        <v>9.4872184280479305E-2</v>
      </c>
      <c r="R5" s="4">
        <v>0.41717445526566538</v>
      </c>
      <c r="S5" s="79">
        <v>0.18730590235499223</v>
      </c>
      <c r="T5" s="78">
        <v>1.2141426890285656</v>
      </c>
      <c r="U5" s="15">
        <v>2.3107986944995245E-3</v>
      </c>
      <c r="V5" s="76">
        <v>2.4486769298072242E-2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342</v>
      </c>
      <c r="C6" s="11" t="s">
        <v>343</v>
      </c>
      <c r="D6" s="2">
        <v>7.32</v>
      </c>
      <c r="E6" s="12" t="s">
        <v>135</v>
      </c>
      <c r="F6" s="15">
        <v>0.18724698382166341</v>
      </c>
      <c r="G6" s="15">
        <f>F6 - Portfolio_Mgmt!$C$10</f>
        <v>6.9846983821663405E-2</v>
      </c>
      <c r="H6" s="15">
        <f>F6 - Portfolio_Mgmt!$C$11</f>
        <v>0.15274698382166341</v>
      </c>
      <c r="I6" s="15">
        <v>5.7847683561009847E-2</v>
      </c>
      <c r="J6" s="2">
        <v>5.6991401181052872</v>
      </c>
      <c r="K6" s="2">
        <v>11.122900248521553</v>
      </c>
      <c r="L6" s="71">
        <v>9.8348355993800531</v>
      </c>
      <c r="M6" s="2">
        <v>7.0840645546679992</v>
      </c>
      <c r="N6" s="2">
        <v>8.7284377992508748</v>
      </c>
      <c r="O6" s="4">
        <v>9.4746087355540271E-2</v>
      </c>
      <c r="P6" s="4">
        <v>4.2807051807172564E-2</v>
      </c>
      <c r="Q6" s="4">
        <v>0.17171958142938717</v>
      </c>
      <c r="R6" s="4">
        <v>8.3605951699643036E-2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-2.9094672884005179</v>
      </c>
      <c r="X6" s="13" t="s">
        <v>344</v>
      </c>
      <c r="Y6" s="11" t="s">
        <v>170</v>
      </c>
      <c r="Z6" s="14">
        <v>46081</v>
      </c>
      <c r="AA6" s="16" t="s">
        <v>334</v>
      </c>
    </row>
    <row r="7" spans="1:27">
      <c r="B7" s="11" t="s">
        <v>378</v>
      </c>
      <c r="C7" s="11" t="s">
        <v>379</v>
      </c>
      <c r="D7" s="2">
        <v>0.45500000000000002</v>
      </c>
      <c r="E7" s="12" t="s">
        <v>135</v>
      </c>
      <c r="F7" s="15">
        <v>0.17578932314043633</v>
      </c>
      <c r="G7" s="15">
        <f>F7 - Portfolio_Mgmt!$C$10</f>
        <v>5.8389323140436322E-2</v>
      </c>
      <c r="H7" s="15">
        <f>F7 - Portfolio_Mgmt!$C$11</f>
        <v>0.14128932314043632</v>
      </c>
      <c r="I7" s="15">
        <v>4.1189236876635511E-2</v>
      </c>
      <c r="J7" s="2">
        <v>0.34596446048294099</v>
      </c>
      <c r="K7" s="2">
        <v>0.64353187540368983</v>
      </c>
      <c r="L7" s="71">
        <v>0.5921828686703039</v>
      </c>
      <c r="M7" s="2">
        <v>0.42852326926431716</v>
      </c>
      <c r="N7" s="2">
        <v>0.52639844433224525</v>
      </c>
      <c r="O7" s="4">
        <v>0.11666383567322229</v>
      </c>
      <c r="P7" s="4">
        <v>5.9340659340659338E-2</v>
      </c>
      <c r="Q7" s="4">
        <v>3.931859133292645E-2</v>
      </c>
      <c r="R7" s="4">
        <v>1.9127481481925439E-2</v>
      </c>
      <c r="S7" s="79">
        <v>1.4656521003611329</v>
      </c>
      <c r="T7" s="78">
        <v>1.4025206525126881</v>
      </c>
      <c r="U7" s="15">
        <v>0.16239287772638675</v>
      </c>
      <c r="V7" s="76">
        <v>3.5496550732945478</v>
      </c>
      <c r="W7" s="71">
        <v>0.58520292877759506</v>
      </c>
      <c r="X7" s="13" t="s">
        <v>380</v>
      </c>
      <c r="Y7" s="11" t="s">
        <v>381</v>
      </c>
      <c r="Z7" s="14">
        <v>46081</v>
      </c>
      <c r="AA7" s="16" t="s">
        <v>334</v>
      </c>
    </row>
    <row r="8" spans="1:27">
      <c r="B8" s="11" t="s">
        <v>158</v>
      </c>
      <c r="C8" s="11" t="s">
        <v>337</v>
      </c>
      <c r="D8" s="2">
        <v>17.28</v>
      </c>
      <c r="E8" s="12" t="s">
        <v>135</v>
      </c>
      <c r="F8" s="15">
        <v>0.15480217170360733</v>
      </c>
      <c r="G8" s="15">
        <f>F8 - Portfolio_Mgmt!$C$10</f>
        <v>3.7402171703607323E-2</v>
      </c>
      <c r="H8" s="15">
        <f>F8 - Portfolio_Mgmt!$C$11</f>
        <v>0.12030217170360732</v>
      </c>
      <c r="I8" s="15">
        <v>8.3406426445244777E-3</v>
      </c>
      <c r="J8" s="2">
        <v>12.381204544549536</v>
      </c>
      <c r="K8" s="2">
        <v>24.760957654912691</v>
      </c>
      <c r="L8" s="71">
        <v>21.457007695824469</v>
      </c>
      <c r="M8" s="2">
        <v>15.418404352826338</v>
      </c>
      <c r="N8" s="2">
        <v>19.027412977816841</v>
      </c>
      <c r="O8" s="4">
        <v>5.5770722805284313E-2</v>
      </c>
      <c r="P8" s="4">
        <v>3.0696712138260637E-2</v>
      </c>
      <c r="Q8" s="4">
        <v>0.1108860801432847</v>
      </c>
      <c r="R8" s="4">
        <v>0.11515091006238916</v>
      </c>
      <c r="S8" s="79">
        <v>0.71131521233544359</v>
      </c>
      <c r="T8" s="78">
        <v>1.3537783359692717</v>
      </c>
      <c r="U8" s="15">
        <v>6.5417684980282262E-2</v>
      </c>
      <c r="V8" s="76">
        <v>0.5742845428370501</v>
      </c>
      <c r="W8" s="71">
        <v>5.4992293629589604</v>
      </c>
      <c r="X8" s="13" t="s">
        <v>338</v>
      </c>
      <c r="Y8" s="11" t="s">
        <v>333</v>
      </c>
      <c r="Z8" s="14">
        <v>46081</v>
      </c>
      <c r="AA8" s="16" t="s">
        <v>183</v>
      </c>
    </row>
    <row r="9" spans="1:27">
      <c r="B9" s="11" t="s">
        <v>346</v>
      </c>
      <c r="C9" s="11" t="s">
        <v>347</v>
      </c>
      <c r="D9" s="2">
        <v>101.8</v>
      </c>
      <c r="E9" s="12" t="s">
        <v>135</v>
      </c>
      <c r="F9" s="15">
        <v>0.14660983515935919</v>
      </c>
      <c r="G9" s="15">
        <f>F9 - Portfolio_Mgmt!$C$10</f>
        <v>2.9209835159359182E-2</v>
      </c>
      <c r="H9" s="15">
        <f>F9 - Portfolio_Mgmt!$C$11</f>
        <v>0.11210983515935918</v>
      </c>
      <c r="I9" s="15">
        <v>0</v>
      </c>
      <c r="J9" s="2">
        <v>70.718824333507271</v>
      </c>
      <c r="K9" s="2">
        <v>153.45984880371074</v>
      </c>
      <c r="L9" s="71">
        <v>124.39498251862229</v>
      </c>
      <c r="M9" s="2">
        <v>88.641067901060396</v>
      </c>
      <c r="N9" s="2">
        <v>109.99394154053989</v>
      </c>
      <c r="O9" s="4">
        <v>2.369888023979656E-2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3.5136858858294961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172</v>
      </c>
      <c r="C10" s="11" t="s">
        <v>339</v>
      </c>
      <c r="D10" s="2">
        <v>20.9</v>
      </c>
      <c r="E10" s="12" t="s">
        <v>135</v>
      </c>
      <c r="F10" s="15">
        <v>0.11837646149718206</v>
      </c>
      <c r="G10" s="15">
        <f>F10 - Portfolio_Mgmt!$C$10</f>
        <v>9.7646149718205733E-4</v>
      </c>
      <c r="H10" s="15">
        <f>F10 - Portfolio_Mgmt!$C$11</f>
        <v>8.3876461497182059E-2</v>
      </c>
      <c r="I10" s="15">
        <v>0</v>
      </c>
      <c r="J10" s="2">
        <v>13.821911646185468</v>
      </c>
      <c r="K10" s="2">
        <v>24.99036809282217</v>
      </c>
      <c r="L10" s="71">
        <v>23.548855036097457</v>
      </c>
      <c r="M10" s="2">
        <v>17.085914630062824</v>
      </c>
      <c r="N10" s="2">
        <v>20.951985994478498</v>
      </c>
      <c r="O10" s="4">
        <v>0.11288455234683129</v>
      </c>
      <c r="P10" s="4">
        <v>6.0287081339712924E-2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0.45350631825237431</v>
      </c>
      <c r="X10" s="16" t="s">
        <v>340</v>
      </c>
      <c r="Y10" s="11" t="s">
        <v>341</v>
      </c>
      <c r="Z10" s="14">
        <v>46081</v>
      </c>
      <c r="AA10" s="16" t="s">
        <v>183</v>
      </c>
    </row>
    <row r="11" spans="1:27">
      <c r="B11" s="11" t="s">
        <v>382</v>
      </c>
      <c r="C11" s="11" t="s">
        <v>383</v>
      </c>
      <c r="D11" s="2">
        <v>6.52</v>
      </c>
      <c r="E11" s="12" t="s">
        <v>135</v>
      </c>
      <c r="F11" s="15">
        <v>9.6784854223797762E-2</v>
      </c>
      <c r="G11" s="15">
        <f>F11 - Portfolio_Mgmt!$C$10</f>
        <v>-2.0615145776202243E-2</v>
      </c>
      <c r="H11" s="15">
        <f>F11 - Portfolio_Mgmt!$C$11</f>
        <v>6.2284854223797759E-2</v>
      </c>
      <c r="I11" s="15">
        <v>0</v>
      </c>
      <c r="J11" s="2">
        <v>4.0476647681399474</v>
      </c>
      <c r="K11" s="2">
        <v>7.7113225084207642</v>
      </c>
      <c r="L11" s="71">
        <v>6.9561608977513227</v>
      </c>
      <c r="M11" s="2">
        <v>5.0222745724316873</v>
      </c>
      <c r="N11" s="2">
        <v>6.1785733958029958</v>
      </c>
      <c r="O11" s="4">
        <v>4.8084488232806893E-2</v>
      </c>
      <c r="P11" s="4">
        <v>4.141104294478528E-2</v>
      </c>
      <c r="Q11" s="4">
        <v>0.15129103990745271</v>
      </c>
      <c r="R11" s="4">
        <v>7.6740113341060609E-2</v>
      </c>
      <c r="S11" s="79">
        <v>1.1106245684847842</v>
      </c>
      <c r="T11" s="78">
        <v>1.775102743966247</v>
      </c>
      <c r="U11" s="15">
        <v>0.17709797868255178</v>
      </c>
      <c r="V11" s="76">
        <v>1.1002434563583587</v>
      </c>
      <c r="W11" s="71">
        <v>-0.16671611581654458</v>
      </c>
      <c r="X11" s="13" t="s">
        <v>171</v>
      </c>
      <c r="Y11" s="11" t="s">
        <v>349</v>
      </c>
      <c r="Z11" s="14">
        <v>46081</v>
      </c>
      <c r="AA11" s="16" t="s">
        <v>183</v>
      </c>
    </row>
    <row r="12" spans="1:27">
      <c r="B12" s="11" t="s">
        <v>329</v>
      </c>
      <c r="C12" s="11" t="s">
        <v>330</v>
      </c>
      <c r="D12" s="2">
        <v>5.41</v>
      </c>
      <c r="E12" s="12" t="s">
        <v>135</v>
      </c>
      <c r="F12" s="15">
        <v>2.7406762407438955E-2</v>
      </c>
      <c r="G12" s="15">
        <f>F12 - Portfolio_Mgmt!$C$10</f>
        <v>-8.9993237592561046E-2</v>
      </c>
      <c r="H12" s="15">
        <f>F12 - Portfolio_Mgmt!$C$11</f>
        <v>-7.0932375925610476E-3</v>
      </c>
      <c r="I12" s="15">
        <v>0</v>
      </c>
      <c r="J12" s="2">
        <v>2.8469337559046011</v>
      </c>
      <c r="K12" s="2">
        <v>4.7880739782573478</v>
      </c>
      <c r="L12" s="71">
        <v>4.7955574838842381</v>
      </c>
      <c r="M12" s="2">
        <v>3.502075881620625</v>
      </c>
      <c r="N12" s="2">
        <v>4.2763128805182129</v>
      </c>
      <c r="O12" s="4">
        <v>7.2650090260270667E-2</v>
      </c>
      <c r="P12" s="4">
        <v>6.4695009242144177E-2</v>
      </c>
      <c r="Q12" s="4">
        <v>0.11650199885998448</v>
      </c>
      <c r="R12" s="4">
        <v>3.7319724555354143E-2</v>
      </c>
      <c r="S12" s="79">
        <v>1.4327738230803833</v>
      </c>
      <c r="T12" s="78">
        <v>2.1787997096988563</v>
      </c>
      <c r="U12" s="15">
        <v>0.77760119734648436</v>
      </c>
      <c r="V12" s="76">
        <v>5.3604060658726853</v>
      </c>
      <c r="W12" s="71">
        <v>-2.5047246524922007</v>
      </c>
      <c r="X12" s="13" t="s">
        <v>171</v>
      </c>
      <c r="Y12" s="11" t="s">
        <v>170</v>
      </c>
      <c r="Z12" s="14">
        <v>45991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7.0000000000000007E-2</v>
      </c>
      <c r="E4" s="35">
        <f>D4-C4</f>
        <v>2.820000000000001E-2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0.6134550531773878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17.28</v>
      </c>
      <c r="E4" s="59" t="str">
        <f>VLOOKUP(B4,Opportunities!B$3:E$30,4,FALSE)</f>
        <v>HKD</v>
      </c>
      <c r="F4" s="57">
        <v>4500</v>
      </c>
      <c r="G4" s="61">
        <f t="shared" ref="G4:G10" si="1">D4*F4</f>
        <v>77760</v>
      </c>
      <c r="H4" s="58">
        <f t="shared" si="0"/>
        <v>6.5443913572963308E-2</v>
      </c>
      <c r="I4" s="58">
        <f>VLOOKUP(B4,Opportunities!B$3:I$30,8,FALSE)</f>
        <v>8.3406426445244777E-3</v>
      </c>
      <c r="J4" s="81">
        <f>VLOOKUP(B4,Opportunities!B$3:N$30,12,FALSE)</f>
        <v>15.418404352826338</v>
      </c>
      <c r="K4" s="81">
        <f>VLOOKUP(B4,Opportunities!B$3:N$30,9,FALSE)</f>
        <v>12.381204544549536</v>
      </c>
      <c r="L4" s="81">
        <f>VLOOKUP(B4,Opportunities!B$3:N$30,11,FALSE)</f>
        <v>21.457007695824469</v>
      </c>
      <c r="M4" s="81">
        <f>VLOOKUP(B4,Opportunities!B$3:N$30,13,FALSE)</f>
        <v>19.027412977816841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20.9</v>
      </c>
      <c r="E5" s="59" t="str">
        <f>VLOOKUP(B5,Opportunities!B$3:E$30,4,FALSE)</f>
        <v>HKD</v>
      </c>
      <c r="F5" s="57">
        <v>4000</v>
      </c>
      <c r="G5" s="61">
        <f t="shared" si="1"/>
        <v>83600</v>
      </c>
      <c r="H5" s="58">
        <f t="shared" si="0"/>
        <v>7.0358940003854592E-2</v>
      </c>
      <c r="I5" s="58">
        <f>VLOOKUP(B5,Opportunities!B$3:I$30,8,FALSE)</f>
        <v>0</v>
      </c>
      <c r="J5" s="81">
        <f>VLOOKUP(B5,Opportunities!B$3:N$30,12,FALSE)</f>
        <v>17.085914630062824</v>
      </c>
      <c r="K5" s="81">
        <f>VLOOKUP(B5,Opportunities!B$3:N$30,9,FALSE)</f>
        <v>13.821911646185468</v>
      </c>
      <c r="L5" s="81">
        <f>VLOOKUP(B5,Opportunities!B$3:N$30,11,FALSE)</f>
        <v>23.548855036097457</v>
      </c>
      <c r="M5" s="81">
        <f>VLOOKUP(B5,Opportunities!B$3:N$30,13,FALSE)</f>
        <v>20.951985994478498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2.94</v>
      </c>
      <c r="E6" s="59" t="str">
        <f>VLOOKUP(B6,Opportunities!B$3:E$30,4,FALSE)</f>
        <v>HKD</v>
      </c>
      <c r="F6" s="57">
        <v>40000</v>
      </c>
      <c r="G6" s="61">
        <f t="shared" si="1"/>
        <v>117600</v>
      </c>
      <c r="H6" s="58">
        <f t="shared" si="0"/>
        <v>9.8973819909728464E-2</v>
      </c>
      <c r="I6" s="58">
        <f>VLOOKUP(B6,Opportunities!B$3:I$30,8,FALSE)</f>
        <v>0.1273848270013489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342</v>
      </c>
      <c r="C7" s="62" t="str">
        <f>VLOOKUP(B7,Opportunities!B$3:E$30,2,FALSE)</f>
        <v>昆仑能源</v>
      </c>
      <c r="D7" s="60">
        <f>VLOOKUP(B7,Opportunities!B$3:E$30,3,FALSE)</f>
        <v>7.32</v>
      </c>
      <c r="E7" s="59" t="str">
        <f>VLOOKUP(B7,Opportunities!B$3:E$30,4,FALSE)</f>
        <v>HKD</v>
      </c>
      <c r="F7" s="57">
        <v>8000</v>
      </c>
      <c r="G7" s="61">
        <f t="shared" si="1"/>
        <v>58560</v>
      </c>
      <c r="H7" s="58">
        <f t="shared" si="0"/>
        <v>4.928492256729336E-2</v>
      </c>
      <c r="I7" s="58">
        <f>VLOOKUP(B7,Opportunities!B$3:I$30,8,FALSE)</f>
        <v>5.7847683561009847E-2</v>
      </c>
      <c r="J7" s="81">
        <f>VLOOKUP(B7,Opportunities!B$3:N$30,12,FALSE)</f>
        <v>7.0840645546679992</v>
      </c>
      <c r="K7" s="81">
        <f>VLOOKUP(B7,Opportunities!B$3:N$30,9,FALSE)</f>
        <v>5.6991401181052872</v>
      </c>
      <c r="L7" s="81">
        <f>VLOOKUP(B7,Opportunities!B$3:N$30,11,FALSE)</f>
        <v>9.8348355993800531</v>
      </c>
      <c r="M7" s="81">
        <f>VLOOKUP(B7,Opportunities!B$3:N$30,13,FALSE)</f>
        <v>8.7284377992508748</v>
      </c>
    </row>
    <row r="8" spans="1:13">
      <c r="B8" s="63" t="s">
        <v>384</v>
      </c>
      <c r="C8" s="62" t="str">
        <f>VLOOKUP(B8,Opportunities!B$3:E$30,2,FALSE)</f>
        <v>新华文轩</v>
      </c>
      <c r="D8" s="60">
        <f>VLOOKUP(B8,Opportunities!B$3:E$30,3,FALSE)</f>
        <v>10.210000000000001</v>
      </c>
      <c r="E8" s="59" t="str">
        <f>VLOOKUP(B8,Opportunities!B$3:E$30,4,FALSE)</f>
        <v>HKD</v>
      </c>
      <c r="F8" s="57">
        <v>5000</v>
      </c>
      <c r="G8" s="61">
        <f t="shared" si="1"/>
        <v>51050.000000000007</v>
      </c>
      <c r="H8" s="58">
        <f t="shared" si="0"/>
        <v>4.2964400564554757E-2</v>
      </c>
      <c r="I8" s="58">
        <f>VLOOKUP(B8,Opportunities!B$3:I$30,8,FALSE)</f>
        <v>0.11020413073686143</v>
      </c>
      <c r="J8" s="81">
        <f>VLOOKUP(B8,Opportunities!B$3:N$30,12,FALSE)</f>
        <v>11.089797041998329</v>
      </c>
      <c r="K8" s="81">
        <f>VLOOKUP(B8,Opportunities!B$3:N$30,9,FALSE)</f>
        <v>8.9376103585030844</v>
      </c>
      <c r="L8" s="81">
        <f>VLOOKUP(B8,Opportunities!B$3:N$30,11,FALSE)</f>
        <v>15.360344850049612</v>
      </c>
      <c r="M8" s="81">
        <f>VLOOKUP(B8,Opportunities!B$3:N$30,13,FALSE)</f>
        <v>13.643215370062471</v>
      </c>
    </row>
    <row r="9" spans="1:13">
      <c r="B9" s="63" t="s">
        <v>329</v>
      </c>
      <c r="C9" s="62" t="str">
        <f>VLOOKUP(B9,Opportunities!B$3:E$30,2,FALSE)</f>
        <v>大家乐集团</v>
      </c>
      <c r="D9" s="60">
        <f>VLOOKUP(B9,Opportunities!B$3:E$30,3,FALSE)</f>
        <v>5.41</v>
      </c>
      <c r="E9" s="59" t="str">
        <f>VLOOKUP(B9,Opportunities!B$3:E$30,4,FALSE)</f>
        <v>HKD</v>
      </c>
      <c r="F9" s="57">
        <v>4000</v>
      </c>
      <c r="G9" s="61">
        <f t="shared" si="1"/>
        <v>21640</v>
      </c>
      <c r="H9" s="58">
        <f t="shared" si="0"/>
        <v>1.8212529445973843E-2</v>
      </c>
      <c r="I9" s="58">
        <f>VLOOKUP(B9,Opportunities!B$3:I$30,8,FALSE)</f>
        <v>0</v>
      </c>
      <c r="J9" s="81">
        <f>VLOOKUP(B9,Opportunities!B$3:N$30,12,FALSE)</f>
        <v>3.502075881620625</v>
      </c>
      <c r="K9" s="81">
        <f>VLOOKUP(B9,Opportunities!B$3:N$30,9,FALSE)</f>
        <v>2.8469337559046011</v>
      </c>
      <c r="L9" s="81">
        <f>VLOOKUP(B9,Opportunities!B$3:N$30,11,FALSE)</f>
        <v>4.7955574838842381</v>
      </c>
      <c r="M9" s="81">
        <f>VLOOKUP(B9,Opportunities!B$3:N$30,13,FALSE)</f>
        <v>4.2763128805182129</v>
      </c>
    </row>
    <row r="10" spans="1:13">
      <c r="B10" s="63" t="s">
        <v>331</v>
      </c>
      <c r="C10" s="62" t="str">
        <f>VLOOKUP(B10,Opportunities!B$3:E$30,2,FALSE)</f>
        <v>中国飞鹤</v>
      </c>
      <c r="D10" s="60">
        <f>VLOOKUP(B10,Opportunities!B$3:E$30,3,FALSE)</f>
        <v>4.09</v>
      </c>
      <c r="E10" s="59" t="str">
        <f>VLOOKUP(B10,Opportunities!B$3:E$30,4,FALSE)</f>
        <v>HKD</v>
      </c>
      <c r="F10" s="57">
        <v>12000</v>
      </c>
      <c r="G10" s="61">
        <f t="shared" si="1"/>
        <v>49080</v>
      </c>
      <c r="H10" s="58">
        <f t="shared" ref="H10" si="2">G10/$G$12</f>
        <v>4.1306420758243818E-2</v>
      </c>
      <c r="I10" s="58">
        <f>VLOOKUP(B10,Opportunities!B$3:I$30,8,FALSE)</f>
        <v>8.7813248923326731E-2</v>
      </c>
      <c r="J10" s="81">
        <f>VLOOKUP(B10,Opportunities!B$3:N$30,12,FALSE)</f>
        <v>4.2027893682625965</v>
      </c>
      <c r="K10" s="81">
        <f>VLOOKUP(B10,Opportunities!B$3:N$30,9,FALSE)</f>
        <v>3.389605047238744</v>
      </c>
      <c r="L10" s="81">
        <f>VLOOKUP(B10,Opportunities!B$3:N$30,11,FALSE)</f>
        <v>5.815727566361458</v>
      </c>
      <c r="M10" s="81">
        <f>VLOOKUP(B10,Opportunities!B$3:N$30,13,FALSE)</f>
        <v>5.1672715216422498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1188193</v>
      </c>
      <c r="H12" s="67">
        <f>SUM(H3:H10)</f>
        <v>0.99999999999999989</v>
      </c>
      <c r="I12" s="73">
        <f>SUM(I3:I10)</f>
        <v>0.84159053286707142</v>
      </c>
      <c r="J12" s="82" t="s">
        <v>189</v>
      </c>
      <c r="K12" s="82" t="s">
        <v>189</v>
      </c>
      <c r="L12" s="82" t="s">
        <v>189</v>
      </c>
      <c r="M12" s="82" t="s">
        <v>189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17.28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8.3406426445244777E-3</v>
      </c>
      <c r="J15" s="81">
        <f>VLOOKUP(B15,Opportunities!B$3:N$30,12,FALSE)</f>
        <v>15.418404352826338</v>
      </c>
      <c r="K15" s="81">
        <f>VLOOKUP(B15,Opportunities!B$3:N$30,9,FALSE)</f>
        <v>12.381204544549536</v>
      </c>
      <c r="L15" s="81">
        <f>VLOOKUP(B15,Opportunities!B$3:N$30,11,FALSE)</f>
        <v>21.457007695824469</v>
      </c>
      <c r="M15" s="81">
        <f>VLOOKUP(B15,Opportunities!B$3:N$30,13,FALSE)</f>
        <v>19.027412977816841</v>
      </c>
    </row>
    <row r="16" spans="1:13">
      <c r="B16" s="63" t="s">
        <v>172</v>
      </c>
      <c r="C16" s="62" t="str">
        <f>VLOOKUP(B16,Opportunities!B$3:E$30,2,FALSE)</f>
        <v>中国海油</v>
      </c>
      <c r="D16" s="60">
        <f>VLOOKUP(B16,Opportunities!B$3:E$30,3,FALSE)</f>
        <v>20.9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17.085914630062824</v>
      </c>
      <c r="K16" s="81">
        <f>VLOOKUP(B16,Opportunities!B$3:N$30,9,FALSE)</f>
        <v>13.821911646185468</v>
      </c>
      <c r="L16" s="81">
        <f>VLOOKUP(B16,Opportunities!B$3:N$30,11,FALSE)</f>
        <v>23.548855036097457</v>
      </c>
      <c r="M16" s="81">
        <f>VLOOKUP(B16,Opportunities!B$3:N$30,13,FALSE)</f>
        <v>20.951985994478498</v>
      </c>
    </row>
    <row r="17" spans="1:13">
      <c r="B17" s="63" t="s">
        <v>185</v>
      </c>
      <c r="C17" s="62" t="str">
        <f>VLOOKUP(B17,Opportunities!B$3:E$30,2,FALSE)</f>
        <v>首钢资源</v>
      </c>
      <c r="D17" s="60">
        <f>VLOOKUP(B17,Opportunities!B$3:E$30,3,FALSE)</f>
        <v>2.94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0.1273848270013489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331</v>
      </c>
      <c r="C18" s="62" t="str">
        <f>VLOOKUP(B18,Opportunities!B$3:E$30,2,FALSE)</f>
        <v>中国飞鹤</v>
      </c>
      <c r="D18" s="60">
        <f>VLOOKUP(B18,Opportunities!B$3:E$30,3,FALSE)</f>
        <v>4.09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8.7813248923326731E-2</v>
      </c>
      <c r="J18" s="81">
        <f>VLOOKUP(B18,Opportunities!B$3:N$30,12,FALSE)</f>
        <v>4.2027893682625965</v>
      </c>
      <c r="K18" s="81">
        <f>VLOOKUP(B18,Opportunities!B$3:N$30,9,FALSE)</f>
        <v>3.389605047238744</v>
      </c>
      <c r="L18" s="81">
        <f>VLOOKUP(B18,Opportunities!B$3:N$30,11,FALSE)</f>
        <v>5.815727566361458</v>
      </c>
      <c r="M18" s="81">
        <f>VLOOKUP(B18,Opportunities!B$3:N$30,13,FALSE)</f>
        <v>5.1672715216422498</v>
      </c>
    </row>
    <row r="19" spans="1:13">
      <c r="B19" s="63" t="s">
        <v>384</v>
      </c>
      <c r="C19" s="62" t="str">
        <f>VLOOKUP(B19,Opportunities!B$3:E$30,2,FALSE)</f>
        <v>新华文轩</v>
      </c>
      <c r="D19" s="60">
        <f>VLOOKUP(B19,Opportunities!B$3:E$30,3,FALSE)</f>
        <v>10.210000000000001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0.11020413073686143</v>
      </c>
      <c r="J19" s="81">
        <f>VLOOKUP(B19,Opportunities!B$3:N$30,12,FALSE)</f>
        <v>11.089797041998329</v>
      </c>
      <c r="K19" s="81">
        <f>VLOOKUP(B19,Opportunities!B$3:N$30,9,FALSE)</f>
        <v>8.9376103585030844</v>
      </c>
      <c r="L19" s="81">
        <f>VLOOKUP(B19,Opportunities!B$3:N$30,11,FALSE)</f>
        <v>15.360344850049612</v>
      </c>
      <c r="M19" s="81">
        <f>VLOOKUP(B19,Opportunities!B$3:N$30,13,FALSE)</f>
        <v>13.643215370062471</v>
      </c>
    </row>
    <row r="20" spans="1:13">
      <c r="B20" s="63" t="s">
        <v>342</v>
      </c>
      <c r="C20" s="62" t="str">
        <f>VLOOKUP(B20,Opportunities!B$3:E$30,2,FALSE)</f>
        <v>昆仑能源</v>
      </c>
      <c r="D20" s="60">
        <f>VLOOKUP(B20,Opportunities!B$3:E$30,3,FALSE)</f>
        <v>7.32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5.7847683561009847E-2</v>
      </c>
      <c r="J20" s="81">
        <f>VLOOKUP(B20,Opportunities!B$3:N$30,12,FALSE)</f>
        <v>7.0840645546679992</v>
      </c>
      <c r="K20" s="81">
        <f>VLOOKUP(B20,Opportunities!B$3:N$30,9,FALSE)</f>
        <v>5.6991401181052872</v>
      </c>
      <c r="L20" s="81">
        <f>VLOOKUP(B20,Opportunities!B$3:N$30,11,FALSE)</f>
        <v>9.8348355993800531</v>
      </c>
      <c r="M20" s="81">
        <f>VLOOKUP(B20,Opportunities!B$3:N$30,13,FALSE)</f>
        <v>8.7284377992508748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0.6134550531773878</v>
      </c>
      <c r="I23" s="73">
        <f>Portfolio_Mgmt!E73</f>
        <v>0.45</v>
      </c>
      <c r="J23" s="82" t="s">
        <v>189</v>
      </c>
      <c r="K23" s="82" t="s">
        <v>189</v>
      </c>
      <c r="L23" s="82" t="s">
        <v>189</v>
      </c>
      <c r="M23" s="82" t="s">
        <v>189</v>
      </c>
    </row>
    <row r="25" spans="1:13" ht="13.15">
      <c r="A25" s="49"/>
      <c r="B25" s="50" t="s">
        <v>190</v>
      </c>
      <c r="C25" s="115"/>
      <c r="D25" s="56"/>
      <c r="E25" s="53"/>
      <c r="F25" s="57"/>
      <c r="G25" s="57"/>
    </row>
    <row r="26" spans="1:13" ht="13.15">
      <c r="C26" s="84" t="s">
        <v>191</v>
      </c>
      <c r="D26" s="84" t="s">
        <v>194</v>
      </c>
      <c r="F26" s="84" t="s">
        <v>195</v>
      </c>
    </row>
    <row r="27" spans="1:13" ht="14.25">
      <c r="B27" s="83" t="s">
        <v>192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2025-12-11T08:16:25Z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