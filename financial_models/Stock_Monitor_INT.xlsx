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08810E06-F6A4-4D5A-8152-0A90C7DF71A5}"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9" i="7"/>
  <c r="C9" i="7"/>
  <c r="F9" i="7" s="1"/>
  <c r="D9" i="7"/>
  <c r="F3" i="7"/>
  <c r="C36" i="5"/>
  <c r="H7" i="7"/>
  <c r="C7" i="7"/>
  <c r="F7" i="7" s="1"/>
  <c r="D7" i="7"/>
  <c r="E14" i="7"/>
  <c r="E8" i="7"/>
  <c r="H8" i="7"/>
  <c r="C8" i="7"/>
  <c r="D8" i="7"/>
  <c r="D4" i="7"/>
  <c r="D5" i="7"/>
  <c r="D6" i="7"/>
  <c r="D14" i="7"/>
  <c r="H14" i="7"/>
  <c r="H4" i="7"/>
  <c r="H5" i="7"/>
  <c r="H6" i="7"/>
  <c r="C14" i="7"/>
  <c r="C4" i="7"/>
  <c r="C5" i="7"/>
  <c r="C6" i="7"/>
  <c r="H11" i="7" l="1"/>
  <c r="F8" i="7"/>
  <c r="F14" i="7"/>
  <c r="F16" i="7" s="1"/>
  <c r="F6" i="7"/>
  <c r="F5" i="7" l="1"/>
  <c r="F4" i="7"/>
  <c r="F11" i="7" s="1"/>
  <c r="G9" i="7" s="1"/>
  <c r="C31" i="5"/>
  <c r="E60" i="5" l="1"/>
  <c r="G7" i="7" l="1"/>
  <c r="G8" i="7"/>
  <c r="G6" i="7"/>
  <c r="G14" i="7"/>
  <c r="G16" i="7"/>
  <c r="E61" i="5"/>
  <c r="C16" i="2"/>
  <c r="C10" i="5" s="1"/>
  <c r="C11" i="5"/>
  <c r="E6" i="2"/>
  <c r="E5" i="2"/>
  <c r="E4" i="2"/>
  <c r="E36" i="5" l="1"/>
  <c r="C35" i="5" s="1"/>
  <c r="C64" i="5" s="1"/>
  <c r="C65" i="5" s="1"/>
  <c r="H16" i="7"/>
  <c r="H3" i="7"/>
  <c r="D112" i="5"/>
  <c r="G4" i="7" l="1"/>
  <c r="G3" i="7"/>
  <c r="G5" i="7"/>
  <c r="G11" i="7" l="1"/>
</calcChain>
</file>

<file path=xl/sharedStrings.xml><?xml version="1.0" encoding="utf-8"?>
<sst xmlns="http://schemas.openxmlformats.org/spreadsheetml/2006/main" count="353" uniqueCount="292">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</sst>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6" t="s">
        <v>151</v>
      </c>
      <c r="C39" s="96"/>
      <c r="D39" s="96"/>
      <c r="E39" s="96"/>
    </row>
    <row r="40" spans="1:5" ht="46.5" customHeight="1">
      <c r="B40" s="96" t="s">
        <v>217</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0.18072202198857248</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60" zoomScaleNormal="100" workbookViewId="0">
      <pane xSplit="3" ySplit="2" topLeftCell="D3" activePane="bottomRight" state="frozen"/>
      <selection pane="topRight" activeCell="D1" sqref="D1"/>
      <selection pane="bottomLeft" activeCell="A5" sqref="A5"/>
      <selection pane="bottomRight" activeCell="A5" sqref="A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289</v>
      </c>
      <c r="C3" s="11" t="s">
        <v>290</v>
      </c>
      <c r="D3" s="2">
        <v>2.64</v>
      </c>
      <c r="E3" s="12" t="s">
        <v>153</v>
      </c>
      <c r="F3" s="15">
        <v>0.27545168163665656</v>
      </c>
      <c r="G3" s="15">
        <f>F3 - Portfolio_Mgmt!$C$10</f>
        <v>0.15805168163665656</v>
      </c>
      <c r="H3" s="15">
        <f>F3 - Portfolio_Mgmt!$C$11</f>
        <v>0.24095168163665656</v>
      </c>
      <c r="I3" s="15">
        <v>0.22491971826618662</v>
      </c>
      <c r="J3" s="2">
        <v>2.04628374152326</v>
      </c>
      <c r="K3" s="2">
        <v>4.3070025867398245</v>
      </c>
      <c r="L3" s="85">
        <v>4.1921666116857068</v>
      </c>
      <c r="M3" s="2">
        <v>2.9845684147240434</v>
      </c>
      <c r="N3" s="2">
        <v>3.7861887489891468</v>
      </c>
      <c r="O3" s="4">
        <v>8.1234663007527477E-2</v>
      </c>
      <c r="P3" s="4">
        <v>0.11363636363636363</v>
      </c>
      <c r="Q3" s="4">
        <v>0.10048924474005361</v>
      </c>
      <c r="R3" s="4">
        <v>0.42143224397986156</v>
      </c>
      <c r="S3" s="94">
        <v>0.19639123104483397</v>
      </c>
      <c r="T3" s="93">
        <v>1.2141426890285656</v>
      </c>
      <c r="U3" s="15">
        <v>2.3107986944995245E-3</v>
      </c>
      <c r="V3" s="90">
        <v>2.3228129203780753E-2</v>
      </c>
      <c r="W3" s="85">
        <v>0.79833937207218564</v>
      </c>
      <c r="X3" s="13" t="s">
        <v>291</v>
      </c>
      <c r="Y3" s="11" t="s">
        <v>154</v>
      </c>
      <c r="Z3" s="14">
        <v>45900</v>
      </c>
      <c r="AA3" s="16" t="s">
        <v>283</v>
      </c>
    </row>
    <row r="4" spans="1:27">
      <c r="B4" s="11" t="s">
        <v>269</v>
      </c>
      <c r="C4" s="11" t="s">
        <v>270</v>
      </c>
      <c r="D4" s="2">
        <v>18.100000000000001</v>
      </c>
      <c r="E4" s="12" t="s">
        <v>153</v>
      </c>
      <c r="F4" s="15">
        <v>0.24410471793158006</v>
      </c>
      <c r="G4" s="15">
        <f>F4 - Portfolio_Mgmt!$C$10</f>
        <v>0.12670471793158006</v>
      </c>
      <c r="H4" s="15">
        <f>F4 - Portfolio_Mgmt!$C$11</f>
        <v>0.20960471793158006</v>
      </c>
      <c r="I4" s="15">
        <v>0.19932339515371258</v>
      </c>
      <c r="J4" s="2">
        <v>13.875920456626506</v>
      </c>
      <c r="K4" s="2">
        <v>29.545078131229026</v>
      </c>
      <c r="L4" s="85">
        <v>27.423358954540578</v>
      </c>
      <c r="M4" s="2">
        <v>19.24570978213394</v>
      </c>
      <c r="N4" s="2">
        <v>24.554386189306875</v>
      </c>
      <c r="O4" s="4">
        <v>0.11394618427541929</v>
      </c>
      <c r="P4" s="4">
        <v>7.7348066298342524E-2</v>
      </c>
      <c r="Q4" s="4">
        <v>0.16035109536268838</v>
      </c>
      <c r="R4" s="4">
        <v>0.31929962351402291</v>
      </c>
      <c r="S4" s="94">
        <v>0.35631048934895165</v>
      </c>
      <c r="T4" s="93">
        <v>1.4094345614568822</v>
      </c>
      <c r="U4" s="15">
        <v>0.12260820136742831</v>
      </c>
      <c r="V4" s="90">
        <v>0.75207444874659302</v>
      </c>
      <c r="W4" s="85">
        <v>-0.45699033376148168</v>
      </c>
      <c r="X4" s="13" t="s">
        <v>218</v>
      </c>
      <c r="Y4" s="11" t="s">
        <v>154</v>
      </c>
      <c r="Z4" s="14">
        <v>45900</v>
      </c>
      <c r="AA4" s="16" t="s">
        <v>283</v>
      </c>
    </row>
    <row r="5" spans="1:27">
      <c r="B5" s="11" t="s">
        <v>286</v>
      </c>
      <c r="C5" s="11" t="s">
        <v>287</v>
      </c>
      <c r="D5" s="2">
        <v>4.8</v>
      </c>
      <c r="E5" s="12" t="s">
        <v>153</v>
      </c>
      <c r="F5" s="15">
        <v>0.21916863827977018</v>
      </c>
      <c r="G5" s="15">
        <f>F5 - Portfolio_Mgmt!$C$10</f>
        <v>0.10176863827977017</v>
      </c>
      <c r="H5" s="15">
        <f>F5 - Portfolio_Mgmt!$C$11</f>
        <v>0.18466863827977018</v>
      </c>
      <c r="I5" s="15">
        <v>0.1789618712137481</v>
      </c>
      <c r="J5" s="2">
        <v>3.4769479145113666</v>
      </c>
      <c r="K5" s="2">
        <v>7.3642693066239637</v>
      </c>
      <c r="L5" s="85">
        <v>6.8641356814360206</v>
      </c>
      <c r="M5" s="2">
        <v>4.8197379854720408</v>
      </c>
      <c r="N5" s="2">
        <v>6.1469536878205542</v>
      </c>
      <c r="O5" s="4">
        <v>7.6958777988434396E-2</v>
      </c>
      <c r="P5" s="4">
        <v>7.4999999999999997E-2</v>
      </c>
      <c r="Q5" s="4">
        <v>7.0630420943605887E-2</v>
      </c>
      <c r="R5" s="4">
        <v>9.3039179367971361E-2</v>
      </c>
      <c r="S5" s="94">
        <v>0.62627525695225639</v>
      </c>
      <c r="T5" s="93">
        <v>1.2121620122817016</v>
      </c>
      <c r="U5" s="15">
        <v>1.1610019159010268E-2</v>
      </c>
      <c r="V5" s="90">
        <v>0.16381589511191816</v>
      </c>
      <c r="W5" s="85">
        <v>3.7980767021052162</v>
      </c>
      <c r="X5" s="13" t="s">
        <v>288</v>
      </c>
      <c r="Y5" s="11" t="s">
        <v>154</v>
      </c>
      <c r="Z5" s="14">
        <v>45900</v>
      </c>
      <c r="AA5" s="16" t="s">
        <v>283</v>
      </c>
    </row>
    <row r="6" spans="1:27">
      <c r="B6" s="11" t="s">
        <v>258</v>
      </c>
      <c r="C6" s="11" t="s">
        <v>259</v>
      </c>
      <c r="D6" s="2">
        <v>2.0499999999999998</v>
      </c>
      <c r="E6" s="12" t="s">
        <v>153</v>
      </c>
      <c r="F6" s="15">
        <v>0.21218961030269456</v>
      </c>
      <c r="G6" s="15">
        <f>F6 - Portfolio_Mgmt!$C$10</f>
        <v>9.478961030269456E-2</v>
      </c>
      <c r="H6" s="15">
        <f>F6 - Portfolio_Mgmt!$C$11</f>
        <v>0.17768961030269456</v>
      </c>
      <c r="I6" s="15">
        <v>9.679501536635271E-2</v>
      </c>
      <c r="J6" s="2">
        <v>1.4498967627253201</v>
      </c>
      <c r="K6" s="2">
        <v>3.2832921447674694</v>
      </c>
      <c r="L6" s="85">
        <v>2.9029732887056241</v>
      </c>
      <c r="M6" s="2">
        <v>2.0247813138458675</v>
      </c>
      <c r="N6" s="2">
        <v>2.5945940806598107</v>
      </c>
      <c r="O6" s="4">
        <v>6.5665251632033794E-2</v>
      </c>
      <c r="P6" s="4">
        <v>4.8780487804878057E-2</v>
      </c>
      <c r="Q6" s="4">
        <v>4.7832973362251327E-2</v>
      </c>
      <c r="R6" s="4">
        <v>7.8104812973574481E-2</v>
      </c>
      <c r="S6" s="94">
        <v>0.49619793491400876</v>
      </c>
      <c r="T6" s="93">
        <v>1.2342258232843137</v>
      </c>
      <c r="U6" s="15">
        <v>0.10863424600069688</v>
      </c>
      <c r="V6" s="90">
        <v>2.2824569622635926</v>
      </c>
      <c r="W6" s="85">
        <v>1.841987680790603</v>
      </c>
      <c r="X6" s="13" t="s">
        <v>260</v>
      </c>
      <c r="Y6" s="11" t="s">
        <v>154</v>
      </c>
      <c r="Z6" s="14">
        <v>45900</v>
      </c>
      <c r="AA6" s="16" t="s">
        <v>283</v>
      </c>
    </row>
    <row r="7" spans="1:27">
      <c r="B7" s="11" t="s">
        <v>220</v>
      </c>
      <c r="C7" s="11" t="s">
        <v>251</v>
      </c>
      <c r="D7" s="2">
        <v>15.5</v>
      </c>
      <c r="E7" s="12" t="s">
        <v>153</v>
      </c>
      <c r="F7" s="15">
        <v>0.21079867997820578</v>
      </c>
      <c r="G7" s="15">
        <f>F7 - Portfolio_Mgmt!$C$10</f>
        <v>9.3398679978205779E-2</v>
      </c>
      <c r="H7" s="15">
        <f>F7 - Portfolio_Mgmt!$C$11</f>
        <v>0.17629867997820578</v>
      </c>
      <c r="I7" s="15">
        <v>0</v>
      </c>
      <c r="J7" s="2">
        <v>10.878753004194323</v>
      </c>
      <c r="K7" s="2">
        <v>25.541516585377398</v>
      </c>
      <c r="L7" s="85">
        <v>21.954720256034221</v>
      </c>
      <c r="M7" s="2">
        <v>15.255947168842157</v>
      </c>
      <c r="N7" s="2">
        <v>19.601160640657675</v>
      </c>
      <c r="O7" s="4">
        <v>6.585187337666204E-2</v>
      </c>
      <c r="P7" s="4">
        <v>3.4603586496533091E-2</v>
      </c>
      <c r="Q7" s="4">
        <v>0.12359722601584175</v>
      </c>
      <c r="R7" s="4">
        <v>0.12331962835438028</v>
      </c>
      <c r="S7" s="94">
        <v>0.73266920679685343</v>
      </c>
      <c r="T7" s="93">
        <v>1.3679448142367923</v>
      </c>
      <c r="U7" s="15">
        <v>7.4171010848313429E-2</v>
      </c>
      <c r="V7" s="90">
        <v>0.60402076709908736</v>
      </c>
      <c r="W7" s="85">
        <v>4.5965847355066032</v>
      </c>
      <c r="X7" s="13" t="s">
        <v>239</v>
      </c>
      <c r="Y7" s="11" t="s">
        <v>154</v>
      </c>
      <c r="Z7" s="14">
        <v>45900</v>
      </c>
      <c r="AA7" s="16" t="s">
        <v>283</v>
      </c>
    </row>
    <row r="8" spans="1:27">
      <c r="B8" s="11" t="s">
        <v>231</v>
      </c>
      <c r="C8" s="11" t="s">
        <v>255</v>
      </c>
      <c r="D8" s="2">
        <v>1.25</v>
      </c>
      <c r="E8" s="12" t="s">
        <v>153</v>
      </c>
      <c r="F8" s="15">
        <v>0.19125140052612388</v>
      </c>
      <c r="G8" s="15">
        <f>F8 - Portfolio_Mgmt!$C$10</f>
        <v>7.3851400526123878E-2</v>
      </c>
      <c r="H8" s="15">
        <f>F8 - Portfolio_Mgmt!$C$11</f>
        <v>0.15675140052612388</v>
      </c>
      <c r="I8" s="15">
        <v>0</v>
      </c>
      <c r="J8" s="2">
        <v>0.82648230361166808</v>
      </c>
      <c r="K8" s="2">
        <v>2.1131011468081908</v>
      </c>
      <c r="L8" s="85">
        <v>1.7009631025661165</v>
      </c>
      <c r="M8" s="2">
        <v>1.1711712249606363</v>
      </c>
      <c r="N8" s="2">
        <v>1.514587208466269</v>
      </c>
      <c r="O8" s="4">
        <v>7.6701249956295323E-3</v>
      </c>
      <c r="P8" s="4">
        <v>0</v>
      </c>
      <c r="Q8" s="4">
        <v>3.7288355461672987E-3</v>
      </c>
      <c r="R8" s="4">
        <v>2.8327145387125552E-2</v>
      </c>
      <c r="S8" s="94">
        <v>0.11998888979909481</v>
      </c>
      <c r="T8" s="93">
        <v>1.0970574812713703</v>
      </c>
      <c r="U8" s="15">
        <v>1.4790654865358754E-2</v>
      </c>
      <c r="V8" s="90">
        <v>3.4432102574884196</v>
      </c>
      <c r="W8" s="85">
        <v>2.0258239687205015</v>
      </c>
      <c r="X8" s="13" t="s">
        <v>256</v>
      </c>
      <c r="Y8" s="11" t="s">
        <v>257</v>
      </c>
      <c r="Z8" s="14">
        <v>45900</v>
      </c>
      <c r="AA8" s="16" t="s">
        <v>283</v>
      </c>
    </row>
    <row r="9" spans="1:27">
      <c r="B9" s="11" t="s">
        <v>237</v>
      </c>
      <c r="C9" s="11" t="s">
        <v>238</v>
      </c>
      <c r="D9" s="2">
        <v>52.55</v>
      </c>
      <c r="E9" s="12" t="s">
        <v>153</v>
      </c>
      <c r="F9" s="15">
        <v>0.18981547625425343</v>
      </c>
      <c r="G9" s="15">
        <f>F9 - Portfolio_Mgmt!$C$10</f>
        <v>7.241547625425343E-2</v>
      </c>
      <c r="H9" s="15">
        <f>F9 - Portfolio_Mgmt!$C$11</f>
        <v>0.15531547625425343</v>
      </c>
      <c r="I9" s="15">
        <v>0</v>
      </c>
      <c r="J9" s="2">
        <v>35.878658850730474</v>
      </c>
      <c r="K9" s="2">
        <v>70.144159497199382</v>
      </c>
      <c r="L9" s="85">
        <v>69.712857200256082</v>
      </c>
      <c r="M9" s="2">
        <v>49.323609816134791</v>
      </c>
      <c r="N9" s="2">
        <v>62.568671751438011</v>
      </c>
      <c r="O9" s="4">
        <v>0.10106103495557962</v>
      </c>
      <c r="P9" s="4">
        <v>9.6954519505233122E-2</v>
      </c>
      <c r="Q9" s="4">
        <v>0.32755394896836565</v>
      </c>
      <c r="R9" s="4">
        <v>8.9976704126159421E-2</v>
      </c>
      <c r="S9" s="94">
        <v>1.5891874956485419</v>
      </c>
      <c r="T9" s="93">
        <v>2.2907496012759174</v>
      </c>
      <c r="U9" s="15">
        <v>0.24768740031897937</v>
      </c>
      <c r="V9" s="90">
        <v>0.73855199466278643</v>
      </c>
      <c r="W9" s="85">
        <v>-2.6708748119334</v>
      </c>
      <c r="X9" s="13" t="s">
        <v>239</v>
      </c>
      <c r="Y9" s="11" t="s">
        <v>154</v>
      </c>
      <c r="Z9" s="14">
        <v>45808</v>
      </c>
      <c r="AA9" s="16" t="s">
        <v>283</v>
      </c>
    </row>
    <row r="10" spans="1:27">
      <c r="B10" s="11" t="s">
        <v>246</v>
      </c>
      <c r="C10" s="11" t="s">
        <v>247</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248</v>
      </c>
      <c r="Y10" s="11" t="s">
        <v>154</v>
      </c>
      <c r="Z10" s="14">
        <v>45808</v>
      </c>
      <c r="AA10" s="16" t="s">
        <v>283</v>
      </c>
    </row>
    <row r="11" spans="1:27">
      <c r="B11" s="11" t="s">
        <v>264</v>
      </c>
      <c r="C11" s="11" t="s">
        <v>275</v>
      </c>
      <c r="D11" s="2">
        <v>22.39</v>
      </c>
      <c r="E11" s="12" t="s">
        <v>265</v>
      </c>
      <c r="F11" s="15">
        <v>0.16408685106900212</v>
      </c>
      <c r="G11" s="15">
        <f>F11 - Portfolio_Mgmt!$C$10</f>
        <v>4.6686851069002111E-2</v>
      </c>
      <c r="H11" s="15">
        <f>F11 - Portfolio_Mgmt!$C$11</f>
        <v>0.12958685106900211</v>
      </c>
      <c r="I11" s="15">
        <v>0</v>
      </c>
      <c r="J11" s="2">
        <v>13.980827278242025</v>
      </c>
      <c r="K11" s="2">
        <v>33.230161875234657</v>
      </c>
      <c r="L11" s="85">
        <v>28.292642107173183</v>
      </c>
      <c r="M11" s="2">
        <v>19.634697914672664</v>
      </c>
      <c r="N11" s="2">
        <v>25.250185101195886</v>
      </c>
      <c r="O11" s="4">
        <v>0.20361596906378715</v>
      </c>
      <c r="P11" s="4">
        <v>2.651183564091112E-2</v>
      </c>
      <c r="Q11" s="4">
        <v>0.18752610102828118</v>
      </c>
      <c r="R11" s="4">
        <v>0.23497655430253014</v>
      </c>
      <c r="S11" s="94">
        <v>0.32112750263435197</v>
      </c>
      <c r="T11" s="93">
        <v>2.4851905363915479</v>
      </c>
      <c r="U11" s="15">
        <v>0.95241105291674188</v>
      </c>
      <c r="V11" s="90">
        <v>4.0148803043206254</v>
      </c>
      <c r="W11" s="85">
        <v>-38.360607814419353</v>
      </c>
      <c r="X11" s="13" t="s">
        <v>266</v>
      </c>
      <c r="Y11" s="11" t="s">
        <v>154</v>
      </c>
      <c r="Z11" s="14">
        <v>45900</v>
      </c>
      <c r="AA11" s="16" t="s">
        <v>284</v>
      </c>
    </row>
    <row r="12" spans="1:27">
      <c r="B12" s="11" t="s">
        <v>267</v>
      </c>
      <c r="C12" s="11" t="s">
        <v>276</v>
      </c>
      <c r="D12" s="2">
        <v>26.54</v>
      </c>
      <c r="E12" s="12" t="s">
        <v>265</v>
      </c>
      <c r="F12" s="15">
        <v>0.16310852165257561</v>
      </c>
      <c r="G12" s="15">
        <f>F12 - Portfolio_Mgmt!$C$10</f>
        <v>4.5708521652575607E-2</v>
      </c>
      <c r="H12" s="15">
        <f>F12 - Portfolio_Mgmt!$C$11</f>
        <v>0.12860852165257561</v>
      </c>
      <c r="I12" s="15">
        <v>0</v>
      </c>
      <c r="J12" s="2">
        <v>16.7846939344021</v>
      </c>
      <c r="K12" s="2">
        <v>36.134621832566509</v>
      </c>
      <c r="L12" s="85">
        <v>33.247786953152008</v>
      </c>
      <c r="M12" s="2">
        <v>23.307997499907511</v>
      </c>
      <c r="N12" s="2">
        <v>29.760030747653474</v>
      </c>
      <c r="O12" s="4">
        <v>9.5673225598455078E-2</v>
      </c>
      <c r="P12" s="4">
        <v>6.0286360211002268E-2</v>
      </c>
      <c r="Q12" s="4">
        <v>8.3350635997632802E-2</v>
      </c>
      <c r="R12" s="4">
        <v>0.15660042549334799</v>
      </c>
      <c r="S12" s="94">
        <v>0.29736257886212014</v>
      </c>
      <c r="T12" s="93">
        <v>1.7899036999493159</v>
      </c>
      <c r="U12" s="15">
        <v>0.40281804358844397</v>
      </c>
      <c r="V12" s="90">
        <v>3.955391512509995</v>
      </c>
      <c r="W12" s="85">
        <v>-26.938493611476797</v>
      </c>
      <c r="X12" s="13" t="s">
        <v>268</v>
      </c>
      <c r="Y12" s="11" t="s">
        <v>154</v>
      </c>
      <c r="Z12" s="14">
        <v>45900</v>
      </c>
      <c r="AA12" s="16" t="s">
        <v>284</v>
      </c>
    </row>
    <row r="13" spans="1:27">
      <c r="B13" s="11" t="s">
        <v>243</v>
      </c>
      <c r="C13" s="11" t="s">
        <v>244</v>
      </c>
      <c r="D13" s="2">
        <v>6.64</v>
      </c>
      <c r="E13" s="12" t="s">
        <v>153</v>
      </c>
      <c r="F13" s="15">
        <v>0.1570591354519415</v>
      </c>
      <c r="G13" s="15">
        <f>F13 - Portfolio_Mgmt!$C$10</f>
        <v>3.9659135451941496E-2</v>
      </c>
      <c r="H13" s="15">
        <f>F13 - Portfolio_Mgmt!$C$11</f>
        <v>0.1225591354519415</v>
      </c>
      <c r="I13" s="15">
        <v>0</v>
      </c>
      <c r="J13" s="2">
        <v>4.1511235708949075</v>
      </c>
      <c r="K13" s="2">
        <v>8.7407691312657469</v>
      </c>
      <c r="L13" s="2">
        <v>8.1852495701276187</v>
      </c>
      <c r="M13" s="2">
        <v>5.7506620259379408</v>
      </c>
      <c r="N13" s="2">
        <v>7.3312617620541509</v>
      </c>
      <c r="O13" s="4">
        <v>0.11836051409238811</v>
      </c>
      <c r="P13" s="4">
        <v>6.6557155181323643E-2</v>
      </c>
      <c r="Q13" s="4">
        <v>0.12477871842229639</v>
      </c>
      <c r="R13" s="4">
        <v>7.7304831872868032E-2</v>
      </c>
      <c r="S13" s="94">
        <v>1.0025080757150273</v>
      </c>
      <c r="T13" s="93">
        <v>1.6100746083165727</v>
      </c>
      <c r="U13" s="15">
        <v>0.16360901428944893</v>
      </c>
      <c r="V13" s="90">
        <v>1.1309485990394448</v>
      </c>
      <c r="W13" s="85">
        <v>-3.8687572688634297</v>
      </c>
      <c r="X13" s="13" t="s">
        <v>218</v>
      </c>
      <c r="Y13" s="11" t="s">
        <v>245</v>
      </c>
      <c r="Z13" s="14">
        <v>45900</v>
      </c>
      <c r="AA13" s="16" t="s">
        <v>283</v>
      </c>
    </row>
    <row r="14" spans="1:27">
      <c r="B14" s="11" t="s">
        <v>155</v>
      </c>
      <c r="C14" s="11" t="s">
        <v>234</v>
      </c>
      <c r="D14" s="2">
        <v>7.86</v>
      </c>
      <c r="E14" s="12" t="s">
        <v>153</v>
      </c>
      <c r="F14" s="15">
        <v>0.12996415853126697</v>
      </c>
      <c r="G14" s="15">
        <f>F14 - Portfolio_Mgmt!$C$10</f>
        <v>1.2564158531266967E-2</v>
      </c>
      <c r="H14" s="15">
        <f>F14 - Portfolio_Mgmt!$C$11</f>
        <v>9.5464158531266968E-2</v>
      </c>
      <c r="I14" s="15">
        <v>0</v>
      </c>
      <c r="J14" s="2">
        <v>4.6237469150396135</v>
      </c>
      <c r="K14" s="2">
        <v>9.3641570609339322</v>
      </c>
      <c r="L14" s="2">
        <v>9.0460821298724845</v>
      </c>
      <c r="M14" s="2">
        <v>6.3792496771334868</v>
      </c>
      <c r="N14" s="2">
        <v>8.1111667082917602</v>
      </c>
      <c r="O14" s="4">
        <v>3.9300047325987915E-2</v>
      </c>
      <c r="P14" s="4">
        <v>7.3791348600508899E-2</v>
      </c>
      <c r="Q14" s="4">
        <v>2.0056091670558843E-2</v>
      </c>
      <c r="R14" s="4">
        <v>0.38237459335905039</v>
      </c>
      <c r="S14" s="94">
        <v>4.8426484563194767E-2</v>
      </c>
      <c r="T14" s="93">
        <v>1.0831144117242246</v>
      </c>
      <c r="U14" s="15">
        <v>1.8509098960546238E-2</v>
      </c>
      <c r="V14" s="90">
        <v>1.1933697905849452</v>
      </c>
      <c r="W14" s="85">
        <v>11.511512740854835</v>
      </c>
      <c r="X14" s="13" t="s">
        <v>236</v>
      </c>
      <c r="Y14" s="11" t="s">
        <v>235</v>
      </c>
      <c r="Z14" s="14">
        <v>45900</v>
      </c>
      <c r="AA14" s="16" t="s">
        <v>283</v>
      </c>
    </row>
    <row r="15" spans="1:27">
      <c r="B15" s="11" t="s">
        <v>240</v>
      </c>
      <c r="C15" s="11" t="s">
        <v>241</v>
      </c>
      <c r="D15" s="2">
        <v>55.7</v>
      </c>
      <c r="E15" s="12" t="s">
        <v>153</v>
      </c>
      <c r="F15" s="15">
        <v>0.1265578747543481</v>
      </c>
      <c r="G15" s="15">
        <f>F15 - Portfolio_Mgmt!$C$10</f>
        <v>9.1578747543480943E-3</v>
      </c>
      <c r="H15" s="15">
        <f>F15 - Portfolio_Mgmt!$C$11</f>
        <v>9.2057874754348096E-2</v>
      </c>
      <c r="I15" s="15">
        <v>0</v>
      </c>
      <c r="J15" s="2">
        <v>31.812012762488649</v>
      </c>
      <c r="K15" s="2">
        <v>72.78548487909373</v>
      </c>
      <c r="L15" s="2">
        <v>63.836665508265639</v>
      </c>
      <c r="M15" s="2">
        <v>44.478038994425319</v>
      </c>
      <c r="N15" s="2">
        <v>57.037791366731767</v>
      </c>
      <c r="O15" s="4">
        <v>4.1301899197097425E-2</v>
      </c>
      <c r="P15" s="4">
        <v>3.6225378638610764E-2</v>
      </c>
      <c r="Q15" s="4">
        <v>0.13507738533336583</v>
      </c>
      <c r="R15" s="4">
        <v>0.1256370472046005</v>
      </c>
      <c r="S15" s="94">
        <v>0.62432788948992113</v>
      </c>
      <c r="T15" s="93">
        <v>1.7220755031358876</v>
      </c>
      <c r="U15" s="15">
        <v>9.5579625064196368E-3</v>
      </c>
      <c r="V15" s="90">
        <v>7.3592411949940734E-2</v>
      </c>
      <c r="W15" s="85">
        <v>1.3551613836690923</v>
      </c>
      <c r="X15" s="13" t="s">
        <v>242</v>
      </c>
      <c r="Y15" s="11" t="s">
        <v>154</v>
      </c>
      <c r="Z15" s="14">
        <v>45900</v>
      </c>
      <c r="AA15" s="16" t="s">
        <v>284</v>
      </c>
    </row>
    <row r="16" spans="1:27">
      <c r="B16" s="11" t="s">
        <v>249</v>
      </c>
      <c r="C16" s="11" t="s">
        <v>250</v>
      </c>
      <c r="D16" s="2">
        <v>18.62</v>
      </c>
      <c r="E16" s="12" t="s">
        <v>153</v>
      </c>
      <c r="F16" s="15">
        <v>0.12602995700348663</v>
      </c>
      <c r="G16" s="15">
        <f>F16 - Portfolio_Mgmt!$C$10</f>
        <v>8.6299570034866213E-3</v>
      </c>
      <c r="H16" s="15">
        <f>F16 - Portfolio_Mgmt!$C$11</f>
        <v>9.1529957003486623E-2</v>
      </c>
      <c r="I16" s="15">
        <v>0</v>
      </c>
      <c r="J16" s="2">
        <v>10.846357673848024</v>
      </c>
      <c r="K16" s="2">
        <v>21.968758226348868</v>
      </c>
      <c r="L16" s="2">
        <v>21.220699139526428</v>
      </c>
      <c r="M16" s="2">
        <v>14.964572530067358</v>
      </c>
      <c r="N16" s="2">
        <v>19.027476031641555</v>
      </c>
      <c r="O16" s="4">
        <v>9.2802686324899533E-2</v>
      </c>
      <c r="P16" s="4">
        <v>7.3039742212674549E-2</v>
      </c>
      <c r="Q16" s="4">
        <v>0.10515362778966494</v>
      </c>
      <c r="R16" s="4">
        <v>0.11295218450174714</v>
      </c>
      <c r="S16" s="94">
        <v>0.71055479556740742</v>
      </c>
      <c r="T16" s="93">
        <v>1.3101832741522048</v>
      </c>
      <c r="U16" s="15">
        <v>0.15818859882129041</v>
      </c>
      <c r="V16" s="90">
        <v>1.4550387206421544</v>
      </c>
      <c r="W16" s="85">
        <v>5.8696003638854428</v>
      </c>
      <c r="X16" s="13" t="s">
        <v>248</v>
      </c>
      <c r="Y16" s="11" t="s">
        <v>154</v>
      </c>
      <c r="Z16" s="14">
        <v>45808</v>
      </c>
      <c r="AA16" s="16" t="s">
        <v>283</v>
      </c>
    </row>
    <row r="17" spans="2:27">
      <c r="B17" s="11" t="s">
        <v>252</v>
      </c>
      <c r="C17" s="11" t="s">
        <v>253</v>
      </c>
      <c r="D17" s="2">
        <v>15.14</v>
      </c>
      <c r="E17" s="12" t="s">
        <v>153</v>
      </c>
      <c r="F17" s="15">
        <v>0.12275560809989616</v>
      </c>
      <c r="G17" s="15">
        <f>F17 - Portfolio_Mgmt!$C$10</f>
        <v>5.3556080998961586E-3</v>
      </c>
      <c r="H17" s="15">
        <f>F17 - Portfolio_Mgmt!$C$11</f>
        <v>8.825560809989616E-2</v>
      </c>
      <c r="I17" s="15">
        <v>0</v>
      </c>
      <c r="J17" s="2">
        <v>8.662122382554001</v>
      </c>
      <c r="K17" s="2">
        <v>18.579755413588099</v>
      </c>
      <c r="L17" s="2">
        <v>17.145207906111892</v>
      </c>
      <c r="M17" s="2">
        <v>12.023814754326169</v>
      </c>
      <c r="N17" s="2">
        <v>15.348268644331508</v>
      </c>
      <c r="O17" s="4">
        <v>0.10244246386130672</v>
      </c>
      <c r="P17" s="4">
        <v>5.5603973579920737E-2</v>
      </c>
      <c r="Q17" s="4">
        <v>0.26417926142745851</v>
      </c>
      <c r="R17" s="4">
        <v>0.11373710051424606</v>
      </c>
      <c r="S17" s="94">
        <v>0.70652858717908329</v>
      </c>
      <c r="T17" s="93">
        <v>3.2875080906148866</v>
      </c>
      <c r="U17" s="15">
        <v>1.5035598705501618</v>
      </c>
      <c r="V17" s="90">
        <v>4.1998196571663646</v>
      </c>
      <c r="W17" s="85">
        <v>-12.259981749522447</v>
      </c>
      <c r="X17" s="13" t="s">
        <v>239</v>
      </c>
      <c r="Y17" s="11" t="s">
        <v>254</v>
      </c>
      <c r="Z17" s="14">
        <v>45900</v>
      </c>
      <c r="AA17" s="11" t="s">
        <v>284</v>
      </c>
    </row>
    <row r="18" spans="2:27">
      <c r="B18" s="11" t="s">
        <v>261</v>
      </c>
      <c r="C18" s="11" t="s">
        <v>262</v>
      </c>
      <c r="D18" s="2">
        <v>2.86</v>
      </c>
      <c r="E18" s="12" t="s">
        <v>153</v>
      </c>
      <c r="F18" s="15">
        <v>3.5608010923772193E-2</v>
      </c>
      <c r="G18" s="15">
        <f>F18 - Portfolio_Mgmt!$C$10</f>
        <v>-8.1791989076227811E-2</v>
      </c>
      <c r="H18" s="15">
        <f>F18 - Portfolio_Mgmt!$C$11</f>
        <v>1.1080109237721902E-3</v>
      </c>
      <c r="I18" s="15">
        <v>0</v>
      </c>
      <c r="J18" s="2">
        <v>1.2918253411350418</v>
      </c>
      <c r="K18" s="2">
        <v>2.8287490772476169</v>
      </c>
      <c r="L18" s="2">
        <v>2.5680136764259354</v>
      </c>
      <c r="M18" s="2">
        <v>1.7972407277206337</v>
      </c>
      <c r="N18" s="2">
        <v>2.2974901692211653</v>
      </c>
      <c r="O18" s="4">
        <v>2.9361517518953897E-2</v>
      </c>
      <c r="P18" s="4">
        <v>3.9123639224541581E-2</v>
      </c>
      <c r="Q18" s="4">
        <v>4.3345278969645192E-2</v>
      </c>
      <c r="R18" s="4">
        <v>8.4132063671984808E-2</v>
      </c>
      <c r="S18" s="94">
        <v>0.42808280043619051</v>
      </c>
      <c r="T18" s="93">
        <v>1.2035176992971439</v>
      </c>
      <c r="U18" s="15">
        <v>1.0763175939415467E-2</v>
      </c>
      <c r="V18" s="90">
        <v>0.29882156160837919</v>
      </c>
      <c r="W18" s="85">
        <v>1.9066325159086281</v>
      </c>
      <c r="X18" s="13" t="s">
        <v>263</v>
      </c>
      <c r="Y18" s="11" t="s">
        <v>257</v>
      </c>
      <c r="Z18" s="14">
        <v>45900</v>
      </c>
      <c r="AA18" s="11" t="s">
        <v>283</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128" zoomScaleNormal="100" workbookViewId="0">
      <selection activeCell="A9" sqref="A9"/>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F3/$F$11</f>
        <v>0.33949067092570712</v>
      </c>
      <c r="H3" s="89">
        <f>Portfolio_Mgmt!E61</f>
        <v>0.3</v>
      </c>
    </row>
    <row r="4" spans="1:8">
      <c r="B4" s="77" t="s">
        <v>231</v>
      </c>
      <c r="C4" s="74">
        <f>VLOOKUP(B4,Opportunities!B$3:E$30,3,FALSE)</f>
        <v>1.25</v>
      </c>
      <c r="D4" s="73" t="str">
        <f>VLOOKUP(B4,Opportunities!B$3:E$30,4,FALSE)</f>
        <v>HKD</v>
      </c>
      <c r="E4" s="70">
        <v>60000</v>
      </c>
      <c r="F4" s="75">
        <f>E4*C4</f>
        <v>75000</v>
      </c>
      <c r="G4" s="72">
        <f t="shared" si="0"/>
        <v>8.856861846630186E-2</v>
      </c>
      <c r="H4" s="72">
        <f>VLOOKUP(B4,Opportunities!B$3:I$30,8,FALSE)</f>
        <v>0</v>
      </c>
    </row>
    <row r="5" spans="1:8">
      <c r="B5" s="77" t="s">
        <v>219</v>
      </c>
      <c r="C5" s="74">
        <f>VLOOKUP(B5,Opportunities!B$3:E$30,3,FALSE)</f>
        <v>6.64</v>
      </c>
      <c r="D5" s="73" t="str">
        <f>VLOOKUP(B5,Opportunities!B$3:E$30,4,FALSE)</f>
        <v>HKD</v>
      </c>
      <c r="E5" s="70">
        <v>18000</v>
      </c>
      <c r="F5" s="75">
        <f>E5*C5</f>
        <v>119520</v>
      </c>
      <c r="G5" s="72">
        <f t="shared" si="0"/>
        <v>0.14114295038789865</v>
      </c>
      <c r="H5" s="72">
        <f>VLOOKUP(B5,Opportunities!B$3:I$30,8,FALSE)</f>
        <v>0</v>
      </c>
    </row>
    <row r="6" spans="1:8">
      <c r="B6" s="77" t="s">
        <v>220</v>
      </c>
      <c r="C6" s="74">
        <f>VLOOKUP(B6,Opportunities!B$3:E$30,3,FALSE)</f>
        <v>15.5</v>
      </c>
      <c r="D6" s="73" t="str">
        <f>VLOOKUP(B6,Opportunities!B$3:E$30,4,FALSE)</f>
        <v>HKD</v>
      </c>
      <c r="E6" s="70">
        <v>9000</v>
      </c>
      <c r="F6" s="75">
        <f>C6*E6</f>
        <v>139500</v>
      </c>
      <c r="G6" s="72">
        <f t="shared" si="0"/>
        <v>0.16473763034732147</v>
      </c>
      <c r="H6" s="72">
        <f>VLOOKUP(B6,Opportunities!B$3:I$30,8,FALSE)</f>
        <v>0</v>
      </c>
    </row>
    <row r="7" spans="1:8">
      <c r="B7" s="77" t="s">
        <v>269</v>
      </c>
      <c r="C7" s="74">
        <f>VLOOKUP(B7,Opportunities!B$3:E$30,3,FALSE)</f>
        <v>18.100000000000001</v>
      </c>
      <c r="D7" s="73" t="str">
        <f>VLOOKUP(B7,Opportunities!B$3:E$30,4,FALSE)</f>
        <v>HKD</v>
      </c>
      <c r="E7" s="70">
        <v>3000</v>
      </c>
      <c r="F7" s="75">
        <f>C7*E7</f>
        <v>54300.000000000007</v>
      </c>
      <c r="G7" s="72">
        <f t="shared" si="0"/>
        <v>6.4123679769602565E-2</v>
      </c>
      <c r="H7" s="72">
        <f>VLOOKUP(B7,Opportunities!B$3:I$30,8,FALSE)</f>
        <v>0.19932339515371258</v>
      </c>
    </row>
    <row r="8" spans="1:8">
      <c r="B8" s="77" t="s">
        <v>258</v>
      </c>
      <c r="C8" s="74">
        <f>VLOOKUP(B8,Opportunities!B$3:E$30,3,FALSE)</f>
        <v>2.0499999999999998</v>
      </c>
      <c r="D8" s="73" t="str">
        <f>VLOOKUP(B8,Opportunities!B$3:E$30,4,FALSE)</f>
        <v>HKD</v>
      </c>
      <c r="E8" s="70">
        <f>2000*30</f>
        <v>60000</v>
      </c>
      <c r="F8" s="75">
        <f>C8*E8</f>
        <v>122999.99999999999</v>
      </c>
      <c r="G8" s="72">
        <f t="shared" si="0"/>
        <v>0.14525253428473506</v>
      </c>
      <c r="H8" s="72">
        <f>VLOOKUP(B8,Opportunities!B$3:I$30,8,FALSE)</f>
        <v>9.679501536635271E-2</v>
      </c>
    </row>
    <row r="9" spans="1:8">
      <c r="B9" s="77" t="s">
        <v>286</v>
      </c>
      <c r="C9" s="74">
        <f>VLOOKUP(B9,Opportunities!B$3:E$30,3,FALSE)</f>
        <v>4.8</v>
      </c>
      <c r="D9" s="73" t="str">
        <f>VLOOKUP(B9,Opportunities!B$3:E$30,4,FALSE)</f>
        <v>HKD</v>
      </c>
      <c r="E9" s="70">
        <v>10000</v>
      </c>
      <c r="F9" s="75">
        <f>C9*E9</f>
        <v>48000</v>
      </c>
      <c r="G9" s="72">
        <f t="shared" ref="G9" si="1">F9/$F$11</f>
        <v>5.6683915818433198E-2</v>
      </c>
      <c r="H9" s="72">
        <f>VLOOKUP(B9,Opportunities!B$3:I$30,8,FALSE)</f>
        <v>0.1789618712137481</v>
      </c>
    </row>
    <row r="10" spans="1:8">
      <c r="B10" s="66"/>
      <c r="C10" s="69"/>
      <c r="D10" s="66"/>
      <c r="H10" s="88"/>
    </row>
    <row r="11" spans="1:8" ht="13.15">
      <c r="B11" s="78"/>
      <c r="C11" s="79"/>
      <c r="D11" s="78"/>
      <c r="E11" s="80" t="s">
        <v>223</v>
      </c>
      <c r="F11" s="80">
        <f>SUM(F3:F9)</f>
        <v>846801.06</v>
      </c>
      <c r="G11" s="81">
        <f>SUM(G3:G9)</f>
        <v>1</v>
      </c>
      <c r="H11" s="87">
        <f>SUM(H3:H9)</f>
        <v>0.77508028173381338</v>
      </c>
    </row>
    <row r="12" spans="1:8">
      <c r="B12" s="66"/>
      <c r="C12" s="69"/>
      <c r="D12" s="66"/>
      <c r="E12" s="70"/>
      <c r="F12" s="70"/>
    </row>
    <row r="13" spans="1:8" ht="13.15">
      <c r="A13" s="62"/>
      <c r="B13" s="63" t="s">
        <v>221</v>
      </c>
    </row>
    <row r="14" spans="1:8">
      <c r="B14" s="77" t="s">
        <v>231</v>
      </c>
      <c r="C14" s="74">
        <f>VLOOKUP(B14,Opportunities!B$3:E$30,3,FALSE)</f>
        <v>1.25</v>
      </c>
      <c r="D14" s="73" t="str">
        <f>VLOOKUP(B14,Opportunities!B$3:E$30,4,FALSE)</f>
        <v>HKD</v>
      </c>
      <c r="E14" s="70">
        <f>60000-E4</f>
        <v>0</v>
      </c>
      <c r="F14" s="75">
        <f>-C14*E14</f>
        <v>0</v>
      </c>
      <c r="G14" s="72">
        <f>-F14/$F$11</f>
        <v>0</v>
      </c>
      <c r="H14" s="72">
        <f>VLOOKUP(B14,Opportunities!B$3:I$30,8,FALSE)</f>
        <v>0</v>
      </c>
    </row>
    <row r="15" spans="1:8">
      <c r="G15" s="86"/>
      <c r="H15" s="86"/>
    </row>
    <row r="16" spans="1:8" ht="13.15">
      <c r="B16" s="82" t="s">
        <v>222</v>
      </c>
      <c r="C16" s="83" t="s">
        <v>215</v>
      </c>
      <c r="D16" s="84" t="s">
        <v>153</v>
      </c>
      <c r="E16" s="83" t="s">
        <v>215</v>
      </c>
      <c r="F16" s="80">
        <f>F3+SUM(F14:F14)</f>
        <v>287481.06</v>
      </c>
      <c r="G16" s="87">
        <f t="shared" ref="G16" si="2">F16/$F$11</f>
        <v>0.33949067092570712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2025-05-30T01:21:35Z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