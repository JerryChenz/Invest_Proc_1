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9CC385F-7DF4-48BE-8B28-9BC90553E542}" xr6:coauthVersionLast="47" xr6:coauthVersionMax="47" xr10:uidLastSave="{00000000-0000-0000-0000-000000000000}"/>
  <bookViews>
    <workbookView xWindow="2205" yWindow="2205" windowWidth="12690" windowHeight="7642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E37" i="10" s="1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C10" i="10" l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<sst xmlns="http://schemas.openxmlformats.org/spreadsheetml/2006/main" count="472" uniqueCount="384">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</sst>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7" sqref="D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2.62</v>
      </c>
      <c r="E3" s="12" t="s">
        <v>136</v>
      </c>
      <c r="F3" s="15">
        <v>0.28412064787572122</v>
      </c>
      <c r="G3" s="15">
        <f>F3 - Portfolio_Mgmt!$C$10</f>
        <v>0.16672064787572122</v>
      </c>
      <c r="H3" s="15">
        <f>F3 - Portfolio_Mgmt!$C$11</f>
        <v>0.24962064787572122</v>
      </c>
      <c r="I3" s="15">
        <v>0.14803684368711717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8.1854774938882657E-2</v>
      </c>
      <c r="P3" s="4">
        <v>0.10305343511450382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18.48</v>
      </c>
      <c r="E4" s="12" t="s">
        <v>136</v>
      </c>
      <c r="F4" s="15">
        <v>0.21411097317787098</v>
      </c>
      <c r="G4" s="15">
        <f>F4 - Portfolio_Mgmt!$C$10</f>
        <v>9.6710973177870974E-2</v>
      </c>
      <c r="H4" s="15">
        <f>F4 - Portfolio_Mgmt!$C$11</f>
        <v>0.17961097317787098</v>
      </c>
      <c r="I4" s="15">
        <v>0</v>
      </c>
      <c r="J4" s="2">
        <v>13.690399406380415</v>
      </c>
      <c r="K4" s="2">
        <v>28.426166439473217</v>
      </c>
      <c r="L4" s="74">
        <v>26.158605558331796</v>
      </c>
      <c r="M4" s="2">
        <v>17.013717217010289</v>
      </c>
      <c r="N4" s="2">
        <v>23.414630167743713</v>
      </c>
      <c r="O4" s="4">
        <v>0.11192329451589259</v>
      </c>
      <c r="P4" s="4">
        <v>6.8181818181818177E-2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-0.45830131655344852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2.09</v>
      </c>
      <c r="E5" s="12" t="s">
        <v>136</v>
      </c>
      <c r="F5" s="15">
        <v>0.20030135117692249</v>
      </c>
      <c r="G5" s="15">
        <f>F5 - Portfolio_Mgmt!$C$10</f>
        <v>8.2901351176922489E-2</v>
      </c>
      <c r="H5" s="15">
        <f>F5 - Portfolio_Mgmt!$C$11</f>
        <v>0.16580135117692249</v>
      </c>
      <c r="I5" s="15">
        <v>0</v>
      </c>
      <c r="J5" s="2">
        <v>1.4884211964451517</v>
      </c>
      <c r="K5" s="2">
        <v>3.2865493012037406</v>
      </c>
      <c r="L5" s="74">
        <v>2.8795899138068273</v>
      </c>
      <c r="M5" s="2">
        <v>1.8583932422163152</v>
      </c>
      <c r="N5" s="2">
        <v>2.5728026501277963</v>
      </c>
      <c r="O5" s="4">
        <v>6.4593271130501187E-2</v>
      </c>
      <c r="P5" s="4">
        <v>4.3062200956937809E-2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1.847271849785284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163</v>
      </c>
      <c r="C6" s="11" t="s">
        <v>192</v>
      </c>
      <c r="D6" s="2">
        <v>16.059999999999999</v>
      </c>
      <c r="E6" s="12" t="s">
        <v>136</v>
      </c>
      <c r="F6" s="15">
        <v>0.19429460282998035</v>
      </c>
      <c r="G6" s="15">
        <f>F6 - Portfolio_Mgmt!$C$10</f>
        <v>7.6894602829980341E-2</v>
      </c>
      <c r="H6" s="15">
        <f>F6 - Portfolio_Mgmt!$C$11</f>
        <v>0.15979460282998034</v>
      </c>
      <c r="I6" s="15">
        <v>0</v>
      </c>
      <c r="J6" s="2">
        <v>11.227295744788556</v>
      </c>
      <c r="K6" s="2">
        <v>25.614969962478749</v>
      </c>
      <c r="L6" s="74">
        <v>21.870775784192187</v>
      </c>
      <c r="M6" s="2">
        <v>14.054438736197564</v>
      </c>
      <c r="N6" s="2">
        <v>19.521076392227982</v>
      </c>
      <c r="O6" s="4">
        <v>6.3737683986989854E-2</v>
      </c>
      <c r="P6" s="4">
        <v>2.9971307501085964E-2</v>
      </c>
      <c r="Q6" s="4">
        <v>0.12359662726710156</v>
      </c>
      <c r="R6" s="4">
        <v>0.12331903095042149</v>
      </c>
      <c r="S6" s="82">
        <v>0.73266920679685343</v>
      </c>
      <c r="T6" s="81">
        <v>1.3679448142367923</v>
      </c>
      <c r="U6" s="15">
        <v>7.4171010848313429E-2</v>
      </c>
      <c r="V6" s="79">
        <v>0.60402076709908736</v>
      </c>
      <c r="W6" s="74">
        <v>4.6097711052060806</v>
      </c>
      <c r="X6" s="13" t="s">
        <v>181</v>
      </c>
      <c r="Y6" s="11" t="s">
        <v>137</v>
      </c>
      <c r="Z6" s="14">
        <v>45900</v>
      </c>
      <c r="AA6" s="16" t="s">
        <v>224</v>
      </c>
    </row>
    <row r="7" spans="1:27">
      <c r="B7" s="11" t="s">
        <v>187</v>
      </c>
      <c r="C7" s="11" t="s">
        <v>188</v>
      </c>
      <c r="D7" s="2">
        <v>3.36</v>
      </c>
      <c r="E7" s="12" t="s">
        <v>136</v>
      </c>
      <c r="F7" s="15">
        <v>0.19174161382063715</v>
      </c>
      <c r="G7" s="15">
        <f>F7 - Portfolio_Mgmt!$C$10</f>
        <v>7.4341613820637142E-2</v>
      </c>
      <c r="H7" s="15">
        <f>F7 - Portfolio_Mgmt!$C$11</f>
        <v>0.15724161382063714</v>
      </c>
      <c r="I7" s="15">
        <v>0</v>
      </c>
      <c r="J7" s="2">
        <v>2.3406091587746096</v>
      </c>
      <c r="K7" s="2">
        <v>5.2246962590200807</v>
      </c>
      <c r="L7" s="74">
        <v>4.5385417708791076</v>
      </c>
      <c r="M7" s="2">
        <v>2.9249004846182811</v>
      </c>
      <c r="N7" s="2">
        <v>4.0536685441183486</v>
      </c>
      <c r="O7" s="4">
        <v>8.4512659941572782E-2</v>
      </c>
      <c r="P7" s="4">
        <v>3.8095238095238099E-2</v>
      </c>
      <c r="Q7" s="4">
        <v>0.10112859174992994</v>
      </c>
      <c r="R7" s="4">
        <v>5.8835781303360896E-2</v>
      </c>
      <c r="S7" s="82">
        <v>1.2277297326073906</v>
      </c>
      <c r="T7" s="81">
        <v>1.4000052396569989</v>
      </c>
      <c r="U7" s="15">
        <v>0.10646655543311496</v>
      </c>
      <c r="V7" s="79">
        <v>0.9804830051022897</v>
      </c>
      <c r="W7" s="74">
        <v>1.6698226477450393</v>
      </c>
      <c r="X7" s="13" t="s">
        <v>189</v>
      </c>
      <c r="Y7" s="11" t="s">
        <v>137</v>
      </c>
      <c r="Z7" s="14">
        <v>45808</v>
      </c>
      <c r="AA7" s="16" t="s">
        <v>224</v>
      </c>
    </row>
    <row r="8" spans="1:27">
      <c r="B8" s="11" t="s">
        <v>179</v>
      </c>
      <c r="C8" s="11" t="s">
        <v>180</v>
      </c>
      <c r="D8" s="2">
        <v>54.5</v>
      </c>
      <c r="E8" s="12" t="s">
        <v>136</v>
      </c>
      <c r="F8" s="15">
        <v>0.17485380762373404</v>
      </c>
      <c r="G8" s="15">
        <f>F8 - Portfolio_Mgmt!$C$10</f>
        <v>5.7453807623734032E-2</v>
      </c>
      <c r="H8" s="15">
        <f>F8 - Portfolio_Mgmt!$C$11</f>
        <v>0.14035380762373403</v>
      </c>
      <c r="I8" s="15">
        <v>0</v>
      </c>
      <c r="J8" s="2">
        <v>37.201125927160788</v>
      </c>
      <c r="K8" s="2">
        <v>70.239623803038228</v>
      </c>
      <c r="L8" s="74">
        <v>69.808634029638228</v>
      </c>
      <c r="M8" s="2">
        <v>45.922259867155574</v>
      </c>
      <c r="N8" s="2">
        <v>62.654660535566777</v>
      </c>
      <c r="O8" s="4">
        <v>9.758432535457888E-2</v>
      </c>
      <c r="P8" s="4">
        <v>9.3619082568807341E-2</v>
      </c>
      <c r="Q8" s="4">
        <v>0.32755394896836565</v>
      </c>
      <c r="R8" s="4">
        <v>8.9976704126159421E-2</v>
      </c>
      <c r="S8" s="82">
        <v>1.5891874956485419</v>
      </c>
      <c r="T8" s="81">
        <v>2.2907496012759174</v>
      </c>
      <c r="U8" s="15">
        <v>0.24768740031897937</v>
      </c>
      <c r="V8" s="79">
        <v>0.73855199466278643</v>
      </c>
      <c r="W8" s="74">
        <v>-2.6746911262186694</v>
      </c>
      <c r="X8" s="13" t="s">
        <v>184</v>
      </c>
      <c r="Y8" s="11" t="s">
        <v>137</v>
      </c>
      <c r="Z8" s="14">
        <v>45808</v>
      </c>
      <c r="AA8" s="16" t="s">
        <v>224</v>
      </c>
    </row>
    <row r="9" spans="1:27">
      <c r="B9" s="11" t="s">
        <v>182</v>
      </c>
      <c r="C9" s="11" t="s">
        <v>183</v>
      </c>
      <c r="D9" s="2">
        <v>51.65</v>
      </c>
      <c r="E9" s="12" t="s">
        <v>136</v>
      </c>
      <c r="F9" s="15">
        <v>0.15365436483225703</v>
      </c>
      <c r="G9" s="15">
        <f>F9 - Portfolio_Mgmt!$C$10</f>
        <v>3.6254364832257024E-2</v>
      </c>
      <c r="H9" s="15">
        <f>F9 - Portfolio_Mgmt!$C$11</f>
        <v>0.11915436483225703</v>
      </c>
      <c r="I9" s="15">
        <v>0</v>
      </c>
      <c r="J9" s="2">
        <v>32.738960825033416</v>
      </c>
      <c r="K9" s="2">
        <v>72.994626259159944</v>
      </c>
      <c r="L9" s="74">
        <v>63.466785229591949</v>
      </c>
      <c r="M9" s="2">
        <v>40.907898189660102</v>
      </c>
      <c r="N9" s="2">
        <v>56.688359127048017</v>
      </c>
      <c r="O9" s="4">
        <v>4.4667730587526086E-2</v>
      </c>
      <c r="P9" s="4">
        <v>3.5058733366232039E-2</v>
      </c>
      <c r="Q9" s="4">
        <v>0.13507587761340403</v>
      </c>
      <c r="R9" s="4">
        <v>0.12563564485672751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1.3590489784891073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205</v>
      </c>
      <c r="C10" s="11" t="s">
        <v>216</v>
      </c>
      <c r="D10" s="2">
        <v>23.19</v>
      </c>
      <c r="E10" s="12" t="s">
        <v>206</v>
      </c>
      <c r="F10" s="15">
        <v>0.14338543608856869</v>
      </c>
      <c r="G10" s="15">
        <f>F10 - Portfolio_Mgmt!$C$10</f>
        <v>2.5985436088568681E-2</v>
      </c>
      <c r="H10" s="15">
        <f>F10 - Portfolio_Mgmt!$C$11</f>
        <v>0.10888543608856868</v>
      </c>
      <c r="I10" s="15">
        <v>0</v>
      </c>
      <c r="J10" s="2">
        <v>14.210808951982788</v>
      </c>
      <c r="K10" s="2">
        <v>33.230161875234657</v>
      </c>
      <c r="L10" s="74">
        <v>27.829540483416785</v>
      </c>
      <c r="M10" s="2">
        <v>17.824937920120146</v>
      </c>
      <c r="N10" s="2">
        <v>24.820548736528732</v>
      </c>
      <c r="O10" s="4">
        <v>0.19659170104951246</v>
      </c>
      <c r="P10" s="4">
        <v>1.7918068132815868E-2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208</v>
      </c>
      <c r="C11" s="11" t="s">
        <v>217</v>
      </c>
      <c r="D11" s="2">
        <v>27.58</v>
      </c>
      <c r="E11" s="12" t="s">
        <v>206</v>
      </c>
      <c r="F11" s="15">
        <v>0.13151997849611874</v>
      </c>
      <c r="G11" s="15">
        <f>F11 - Portfolio_Mgmt!$C$10</f>
        <v>1.4119978496118735E-2</v>
      </c>
      <c r="H11" s="15">
        <f>F11 - Portfolio_Mgmt!$C$11</f>
        <v>9.7019978496118736E-2</v>
      </c>
      <c r="I11" s="15">
        <v>0</v>
      </c>
      <c r="J11" s="2">
        <v>16.586017104127016</v>
      </c>
      <c r="K11" s="2">
        <v>36.134621832566509</v>
      </c>
      <c r="L11" s="74">
        <v>31.999534598013469</v>
      </c>
      <c r="M11" s="2">
        <v>20.68716637827405</v>
      </c>
      <c r="N11" s="2">
        <v>28.601981247202922</v>
      </c>
      <c r="O11" s="4">
        <v>9.2065533262617752E-2</v>
      </c>
      <c r="P11" s="4">
        <v>4.060913705583756E-2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185</v>
      </c>
      <c r="C12" s="11" t="s">
        <v>186</v>
      </c>
      <c r="D12" s="2">
        <v>7.11</v>
      </c>
      <c r="E12" s="12" t="s">
        <v>136</v>
      </c>
      <c r="F12" s="15">
        <v>0.13010660472150359</v>
      </c>
      <c r="G12" s="15">
        <f>F12 - Portfolio_Mgmt!$C$10</f>
        <v>1.2706604721503589E-2</v>
      </c>
      <c r="H12" s="15">
        <f>F12 - Portfolio_Mgmt!$C$11</f>
        <v>9.5606604721503591E-2</v>
      </c>
      <c r="I12" s="15">
        <v>0</v>
      </c>
      <c r="J12" s="2">
        <v>4.2945799832628708</v>
      </c>
      <c r="K12" s="2">
        <v>8.906683879875807</v>
      </c>
      <c r="L12" s="74">
        <v>8.2038768934316177</v>
      </c>
      <c r="M12" s="2">
        <v>5.3366214783741404</v>
      </c>
      <c r="N12" s="2">
        <v>7.3435604180472041</v>
      </c>
      <c r="O12" s="4">
        <v>0.11085350065765666</v>
      </c>
      <c r="P12" s="4">
        <v>5.5941710177720122E-2</v>
      </c>
      <c r="Q12" s="4">
        <v>0.12477871842229639</v>
      </c>
      <c r="R12" s="4">
        <v>7.7304831872868032E-2</v>
      </c>
      <c r="S12" s="82">
        <v>1.0025080757150273</v>
      </c>
      <c r="T12" s="81">
        <v>1.6100746083165727</v>
      </c>
      <c r="U12" s="15">
        <v>0.16360901428944893</v>
      </c>
      <c r="V12" s="79">
        <v>1.1309485990394448</v>
      </c>
      <c r="W12" s="74">
        <v>-3.8798556966223496</v>
      </c>
      <c r="X12" s="13" t="s">
        <v>162</v>
      </c>
      <c r="Y12" s="11" t="s">
        <v>137</v>
      </c>
      <c r="Z12" s="14">
        <v>45900</v>
      </c>
      <c r="AA12" s="16" t="s">
        <v>224</v>
      </c>
    </row>
    <row r="13" spans="1:27">
      <c r="B13" s="11" t="s">
        <v>227</v>
      </c>
      <c r="C13" s="11" t="s">
        <v>228</v>
      </c>
      <c r="D13" s="2">
        <v>6.11</v>
      </c>
      <c r="E13" s="12" t="s">
        <v>136</v>
      </c>
      <c r="F13" s="15">
        <v>0.11976827260606249</v>
      </c>
      <c r="G13" s="15">
        <f>F13 - Portfolio_Mgmt!$C$10</f>
        <v>2.3682726060624826E-3</v>
      </c>
      <c r="H13" s="15">
        <f>F13 - Portfolio_Mgmt!$C$11</f>
        <v>8.5268272606062484E-2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6.0458614458999194E-2</v>
      </c>
      <c r="P13" s="4">
        <v>5.8919803600654658E-2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15.92</v>
      </c>
      <c r="E14" s="12" t="s">
        <v>136</v>
      </c>
      <c r="F14" s="15">
        <v>0.10373898220335698</v>
      </c>
      <c r="G14" s="15">
        <f>F14 - Portfolio_Mgmt!$C$10</f>
        <v>-1.3661017796643027E-2</v>
      </c>
      <c r="H14" s="15">
        <f>F14 - Portfolio_Mgmt!$C$11</f>
        <v>6.9238982203356975E-2</v>
      </c>
      <c r="I14" s="15">
        <v>0</v>
      </c>
      <c r="J14" s="2">
        <v>8.9918646611970701</v>
      </c>
      <c r="K14" s="2">
        <v>18.605745241392746</v>
      </c>
      <c r="L14" s="2">
        <v>17.169256813104958</v>
      </c>
      <c r="M14" s="2">
        <v>11.171769385673086</v>
      </c>
      <c r="N14" s="2">
        <v>15.369799195571282</v>
      </c>
      <c r="O14" s="4">
        <v>9.7563247896364294E-2</v>
      </c>
      <c r="P14" s="4">
        <v>5.2955216080402011E-2</v>
      </c>
      <c r="Q14" s="4">
        <v>0.26418106591712082</v>
      </c>
      <c r="R14" s="4">
        <v>0.11373787740120148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-12.277499584232929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8.7200000000000006</v>
      </c>
      <c r="E15" s="12" t="s">
        <v>136</v>
      </c>
      <c r="F15" s="15">
        <v>8.9068896077627135E-2</v>
      </c>
      <c r="G15" s="15">
        <f>F15 - Portfolio_Mgmt!$C$10</f>
        <v>-2.8331103922372869E-2</v>
      </c>
      <c r="H15" s="15">
        <f>F15 - Portfolio_Mgmt!$C$11</f>
        <v>5.4568896077627133E-2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3.5424125227323973E-2</v>
      </c>
      <c r="P15" s="4">
        <v>6.6513761467889898E-2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21.45</v>
      </c>
      <c r="E16" s="12" t="s">
        <v>136</v>
      </c>
      <c r="F16" s="15">
        <v>7.0919153298945492E-2</v>
      </c>
      <c r="G16" s="15">
        <f>F16 - Portfolio_Mgmt!$C$10</f>
        <v>-4.6480846701054512E-2</v>
      </c>
      <c r="H16" s="15">
        <f>F16 - Portfolio_Mgmt!$C$11</f>
        <v>3.6419153298945489E-2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8.0558788781800908E-2</v>
      </c>
      <c r="P16" s="4">
        <v>6.340326340326341E-2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2.72</v>
      </c>
      <c r="E17" s="12" t="s">
        <v>136</v>
      </c>
      <c r="F17" s="15">
        <v>5.460109819850012E-2</v>
      </c>
      <c r="G17" s="15">
        <f>F17 - Portfolio_Mgmt!$C$10</f>
        <v>-6.2798901801499885E-2</v>
      </c>
      <c r="H17" s="15">
        <f>F17 - Portfolio_Mgmt!$C$11</f>
        <v>2.0101098198500117E-2</v>
      </c>
      <c r="I17" s="15">
        <v>0</v>
      </c>
      <c r="J17" s="2">
        <v>1.3422857060677627</v>
      </c>
      <c r="K17" s="2">
        <v>2.8369856250516934</v>
      </c>
      <c r="L17" s="2">
        <v>2.5738114104903036</v>
      </c>
      <c r="M17" s="2">
        <v>1.6703281776458434</v>
      </c>
      <c r="N17" s="2">
        <v>2.3026215875645466</v>
      </c>
      <c r="O17" s="4">
        <v>3.0959885591301278E-2</v>
      </c>
      <c r="P17" s="4">
        <v>4.1019681476648452E-2</v>
      </c>
      <c r="Q17" s="4">
        <v>4.334324589660208E-2</v>
      </c>
      <c r="R17" s="4">
        <v>8.4128117529872481E-2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1.9121021336101376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2.29</v>
      </c>
      <c r="E18" s="12" t="s">
        <v>136</v>
      </c>
      <c r="F18" s="15">
        <v>-2.6442512721052136E-2</v>
      </c>
      <c r="G18" s="15">
        <f>F18 - Portfolio_Mgmt!$C$10</f>
        <v>-0.14384251272105214</v>
      </c>
      <c r="H18" s="15">
        <f>F18 - Portfolio_Mgmt!$C$11</f>
        <v>-6.0942512721052139E-2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4.186749451762845E-3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4.4999999999999998E-2</v>
      </c>
      <c r="D4" s="34">
        <v>7.4999999999999997E-2</v>
      </c>
      <c r="E4" s="35">
        <f>D4-C4</f>
        <v>0.03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0.43649496333177623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7.11</v>
      </c>
      <c r="D4" s="62" t="str">
        <f>VLOOKUP(B4,Opportunities!B$3:E$30,4,FALSE)</f>
        <v>HKD</v>
      </c>
      <c r="E4" s="59">
        <v>10000</v>
      </c>
      <c r="F4" s="64">
        <f>E4*C4</f>
        <v>71100</v>
      </c>
      <c r="G4" s="61">
        <f>F4/$F$10</f>
        <v>7.5683267420587688E-2</v>
      </c>
      <c r="H4" s="61">
        <f>VLOOKUP(B4,Opportunities!B$3:I$30,8,FALSE)</f>
        <v>0</v>
      </c>
      <c r="I4" s="84">
        <f>VLOOKUP(B4,Opportunities!B$3:N$30,12,FALSE)</f>
        <v>5.3366214783741404</v>
      </c>
      <c r="J4" s="84">
        <f>VLOOKUP(B4,Opportunities!B$3:N$30,9,FALSE)</f>
        <v>4.2945799832628708</v>
      </c>
      <c r="K4" s="84">
        <f>VLOOKUP(B4,Opportunities!B$3:N$30,11,FALSE)</f>
        <v>8.2038768934316177</v>
      </c>
      <c r="L4" s="84">
        <f>VLOOKUP(B4,Opportunities!B$3:N$30,13,FALSE)</f>
        <v>7.3435604180472041</v>
      </c>
    </row>
    <row r="5" spans="1:12">
      <c r="B5" s="66" t="s">
        <v>163</v>
      </c>
      <c r="C5" s="63">
        <f>VLOOKUP(B5,Opportunities!B$3:E$30,3,FALSE)</f>
        <v>16.059999999999999</v>
      </c>
      <c r="D5" s="62" t="str">
        <f>VLOOKUP(B5,Opportunities!B$3:E$30,4,FALSE)</f>
        <v>HKD</v>
      </c>
      <c r="E5" s="59">
        <v>9000</v>
      </c>
      <c r="F5" s="64">
        <f>C5*E5</f>
        <v>144540</v>
      </c>
      <c r="G5" s="61">
        <f>F5/$F$10</f>
        <v>0.15385737655375167</v>
      </c>
      <c r="H5" s="61">
        <f>VLOOKUP(B5,Opportunities!B$3:I$30,8,FALSE)</f>
        <v>0</v>
      </c>
      <c r="I5" s="84">
        <f>VLOOKUP(B5,Opportunities!B$3:N$30,12,FALSE)</f>
        <v>14.054438736197564</v>
      </c>
      <c r="J5" s="84">
        <f>VLOOKUP(B5,Opportunities!B$3:N$30,9,FALSE)</f>
        <v>11.227295744788556</v>
      </c>
      <c r="K5" s="84">
        <f>VLOOKUP(B5,Opportunities!B$3:N$30,11,FALSE)</f>
        <v>21.870775784192187</v>
      </c>
      <c r="L5" s="84">
        <f>VLOOKUP(B5,Opportunities!B$3:N$30,13,FALSE)</f>
        <v>19.521076392227982</v>
      </c>
    </row>
    <row r="6" spans="1:12">
      <c r="B6" s="66" t="s">
        <v>210</v>
      </c>
      <c r="C6" s="63">
        <f>VLOOKUP(B6,Opportunities!B$3:E$30,3,FALSE)</f>
        <v>18.48</v>
      </c>
      <c r="D6" s="62" t="str">
        <f>VLOOKUP(B6,Opportunities!B$3:E$30,4,FALSE)</f>
        <v>HKD</v>
      </c>
      <c r="E6" s="59">
        <v>8000</v>
      </c>
      <c r="F6" s="64">
        <f>C6*E6</f>
        <v>147840</v>
      </c>
      <c r="G6" s="61">
        <f>F6/$F$10</f>
        <v>0.15737010204584645</v>
      </c>
      <c r="H6" s="61">
        <f>VLOOKUP(B6,Opportunities!B$3:I$30,8,FALSE)</f>
        <v>0</v>
      </c>
      <c r="I6" s="84">
        <f>VLOOKUP(B6,Opportunities!B$3:N$30,12,FALSE)</f>
        <v>17.013717217010289</v>
      </c>
      <c r="J6" s="84">
        <f>VLOOKUP(B6,Opportunities!B$3:N$30,9,FALSE)</f>
        <v>13.690399406380415</v>
      </c>
      <c r="K6" s="84">
        <f>VLOOKUP(B6,Opportunities!B$3:N$30,11,FALSE)</f>
        <v>26.158605558331796</v>
      </c>
      <c r="L6" s="84">
        <f>VLOOKUP(B6,Opportunities!B$3:N$30,13,FALSE)</f>
        <v>23.414630167743713</v>
      </c>
    </row>
    <row r="7" spans="1:12">
      <c r="B7" s="66" t="s">
        <v>227</v>
      </c>
      <c r="C7" s="63">
        <f>VLOOKUP(B7,Opportunities!B$3:E$30,3,FALSE)</f>
        <v>6.11</v>
      </c>
      <c r="D7" s="62" t="str">
        <f>VLOOKUP(B7,Opportunities!B$3:E$30,4,FALSE)</f>
        <v>HKD</v>
      </c>
      <c r="E7" s="59">
        <v>10000</v>
      </c>
      <c r="F7" s="64">
        <f>C7*E7</f>
        <v>61100</v>
      </c>
      <c r="G7" s="61">
        <f t="shared" ref="G7" si="0">F7/$F$10</f>
        <v>6.5038644717270153E-2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2.62</v>
      </c>
      <c r="D8" s="62" t="str">
        <f>VLOOKUP(B8,Opportunities!B$3:E$30,4,FALSE)</f>
        <v>HKD</v>
      </c>
      <c r="E8" s="59">
        <v>40000</v>
      </c>
      <c r="F8" s="64">
        <f>C8*E8</f>
        <v>104800</v>
      </c>
      <c r="G8" s="61">
        <f t="shared" ref="G8" si="1">F8/$F$10</f>
        <v>0.11155564593076778</v>
      </c>
      <c r="H8" s="61">
        <f>VLOOKUP(B8,Opportunities!B$3:I$30,8,FALSE)</f>
        <v>0.14803684368711717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939441.47</v>
      </c>
      <c r="G10" s="70">
        <f>SUM(G3:G8)</f>
        <v>1</v>
      </c>
      <c r="H10" s="76">
        <f>SUM(H3:H8)</f>
        <v>0.59803684368711718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2.62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0.14803684368711717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7.11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5.3366214783741404</v>
      </c>
      <c r="J14" s="84">
        <f>VLOOKUP(B14,Opportunities!B$3:N$30,9,FALSE)</f>
        <v>4.2945799832628708</v>
      </c>
      <c r="K14" s="84">
        <f>VLOOKUP(B14,Opportunities!B$3:N$30,11,FALSE)</f>
        <v>8.2038768934316177</v>
      </c>
      <c r="L14" s="84">
        <f>VLOOKUP(B14,Opportunities!B$3:N$30,13,FALSE)</f>
        <v>7.3435604180472041</v>
      </c>
    </row>
    <row r="15" spans="1:12">
      <c r="B15" s="66" t="s">
        <v>227</v>
      </c>
      <c r="C15" s="63">
        <f>VLOOKUP(B15,Opportunities!B$3:E$30,3,FALSE)</f>
        <v>6.11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18.48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17.013717217010289</v>
      </c>
      <c r="J16" s="84">
        <f>VLOOKUP(B16,Opportunities!B$3:N$30,9,FALSE)</f>
        <v>13.690399406380415</v>
      </c>
      <c r="K16" s="84">
        <f>VLOOKUP(B16,Opportunities!B$3:N$30,11,FALSE)</f>
        <v>26.158605558331796</v>
      </c>
      <c r="L16" s="84">
        <f>VLOOKUP(B16,Opportunities!B$3:N$30,13,FALSE)</f>
        <v>23.414630167743713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0.43649496333177623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237</v>
      </c>
      <c r="C20" s="58"/>
      <c r="D20" s="55"/>
      <c r="E20" s="59"/>
      <c r="F20" s="59"/>
    </row>
    <row r="21" spans="1:12" ht="13.15">
      <c r="C21" s="87" t="s">
        <v>238</v>
      </c>
      <c r="D21" s="87" t="s">
        <v>241</v>
      </c>
      <c r="E21" s="87" t="s">
        <v>242</v>
      </c>
    </row>
    <row r="22" spans="1:12" ht="14.25">
      <c r="B22" s="86" t="s">
        <v>239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240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243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2025-07-17T02:14:45Z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