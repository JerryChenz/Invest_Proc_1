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FAE6BCF-B04B-43EC-893D-95E9095BECB0}" xr6:coauthVersionLast="47" xr6:coauthVersionMax="47" xr10:uidLastSave="{00000000-0000-0000-0000-000000000000}"/>
  <bookViews>
    <workbookView xWindow="-98" yWindow="-98" windowWidth="17115" windowHeight="10755" firstSheet="1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<sst xmlns="http://schemas.openxmlformats.org/spreadsheetml/2006/main" count="475" uniqueCount="387">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</sst>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9" sqref="D1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384</v>
      </c>
      <c r="C3" s="11" t="s">
        <v>385</v>
      </c>
      <c r="D3" s="2">
        <v>7.3</v>
      </c>
      <c r="E3" s="12" t="s">
        <v>136</v>
      </c>
      <c r="F3" s="15">
        <v>0.24954400255547804</v>
      </c>
      <c r="G3" s="15">
        <f>F3 - Portfolio_Mgmt!$C$10</f>
        <v>0.13214400255547804</v>
      </c>
      <c r="H3" s="15">
        <f>F3 - Portfolio_Mgmt!$C$11</f>
        <v>0.21504400255547804</v>
      </c>
      <c r="I3" s="15">
        <v>0</v>
      </c>
      <c r="J3" s="2">
        <v>5.8392146276413683</v>
      </c>
      <c r="K3" s="2">
        <v>12.930692140739255</v>
      </c>
      <c r="L3" s="74">
        <v>11.303668039799444</v>
      </c>
      <c r="M3" s="2">
        <v>7.2922950234277151</v>
      </c>
      <c r="N3" s="2">
        <v>10.098505157895211</v>
      </c>
      <c r="O3" s="4">
        <v>0.12465571601983087</v>
      </c>
      <c r="P3" s="4">
        <v>4.7143824905205467E-2</v>
      </c>
      <c r="Q3" s="4">
        <v>0.20035914473808938</v>
      </c>
      <c r="R3" s="4">
        <v>9.7688828884786888E-2</v>
      </c>
      <c r="S3" s="82">
        <v>1.2706604365715879</v>
      </c>
      <c r="T3" s="81">
        <v>1.6141160578600777</v>
      </c>
      <c r="U3" s="15">
        <v>0.27330444081724548</v>
      </c>
      <c r="V3" s="79">
        <v>1.3936222417470483</v>
      </c>
      <c r="W3" s="74">
        <v>-3.1825109862640586</v>
      </c>
      <c r="X3" s="13" t="s">
        <v>201</v>
      </c>
      <c r="Y3" s="11" t="s">
        <v>137</v>
      </c>
      <c r="Z3" s="14">
        <v>45900</v>
      </c>
      <c r="AA3" s="16" t="s">
        <v>225</v>
      </c>
    </row>
    <row r="4" spans="1:27">
      <c r="B4" s="11" t="s">
        <v>230</v>
      </c>
      <c r="C4" s="11" t="s">
        <v>231</v>
      </c>
      <c r="D4" s="2">
        <v>2.85</v>
      </c>
      <c r="E4" s="12" t="s">
        <v>136</v>
      </c>
      <c r="F4" s="15">
        <v>0.24586217328235493</v>
      </c>
      <c r="G4" s="15">
        <f>F4 - Portfolio_Mgmt!$C$10</f>
        <v>0.12846217328235493</v>
      </c>
      <c r="H4" s="15">
        <f>F4 - Portfolio_Mgmt!$C$11</f>
        <v>0.21136217328235493</v>
      </c>
      <c r="I4" s="15">
        <v>0</v>
      </c>
      <c r="J4" s="2">
        <v>2.2811221378505544</v>
      </c>
      <c r="K4" s="2">
        <v>4.4858408799140586</v>
      </c>
      <c r="L4" s="74">
        <v>4.3130669791905083</v>
      </c>
      <c r="M4" s="2">
        <v>2.823790530515998</v>
      </c>
      <c r="N4" s="2">
        <v>3.8666759160925035</v>
      </c>
      <c r="O4" s="4">
        <v>7.5248950996446518E-2</v>
      </c>
      <c r="P4" s="4">
        <v>9.4736842105263161E-2</v>
      </c>
      <c r="Q4" s="4">
        <v>0.10048924474005361</v>
      </c>
      <c r="R4" s="4">
        <v>0.42143224397986156</v>
      </c>
      <c r="S4" s="82">
        <v>0.19639123104483397</v>
      </c>
      <c r="T4" s="81">
        <v>1.2141426890285656</v>
      </c>
      <c r="U4" s="15">
        <v>2.3107986944995245E-3</v>
      </c>
      <c r="V4" s="79">
        <v>2.3228129203780753E-2</v>
      </c>
      <c r="W4" s="74">
        <v>0.79833937207218564</v>
      </c>
      <c r="X4" s="13" t="s">
        <v>232</v>
      </c>
      <c r="Y4" s="11" t="s">
        <v>137</v>
      </c>
      <c r="Z4" s="14">
        <v>45900</v>
      </c>
      <c r="AA4" s="16" t="s">
        <v>224</v>
      </c>
    </row>
    <row r="5" spans="1:27">
      <c r="B5" s="11" t="s">
        <v>210</v>
      </c>
      <c r="C5" s="11" t="s">
        <v>211</v>
      </c>
      <c r="D5" s="2">
        <v>18.989999999999998</v>
      </c>
      <c r="E5" s="12" t="s">
        <v>136</v>
      </c>
      <c r="F5" s="15">
        <v>0.20131348231099344</v>
      </c>
      <c r="G5" s="15">
        <f>F5 - Portfolio_Mgmt!$C$10</f>
        <v>8.3913482310993437E-2</v>
      </c>
      <c r="H5" s="15">
        <f>F5 - Portfolio_Mgmt!$C$11</f>
        <v>0.16681348231099344</v>
      </c>
      <c r="I5" s="15">
        <v>0</v>
      </c>
      <c r="J5" s="2">
        <v>13.651542037569781</v>
      </c>
      <c r="K5" s="2">
        <v>28.330562740685753</v>
      </c>
      <c r="L5" s="74">
        <v>26.081648350508612</v>
      </c>
      <c r="M5" s="2">
        <v>16.964768123231107</v>
      </c>
      <c r="N5" s="2">
        <v>23.346105223027141</v>
      </c>
      <c r="O5" s="4">
        <v>0.10855114132993851</v>
      </c>
      <c r="P5" s="4">
        <v>6.6350710900473939E-2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-0.45675994441257362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3.49</v>
      </c>
      <c r="E6" s="12" t="s">
        <v>136</v>
      </c>
      <c r="F6" s="15">
        <v>0.17629740085363355</v>
      </c>
      <c r="G6" s="15">
        <f>F6 - Portfolio_Mgmt!$C$10</f>
        <v>5.8897400853633541E-2</v>
      </c>
      <c r="H6" s="15">
        <f>F6 - Portfolio_Mgmt!$C$11</f>
        <v>0.14179740085363354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8.1364623897903873E-2</v>
      </c>
      <c r="P6" s="4">
        <v>3.6676217765042977E-2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225</v>
      </c>
    </row>
    <row r="7" spans="1:27">
      <c r="B7" s="11" t="s">
        <v>182</v>
      </c>
      <c r="C7" s="11" t="s">
        <v>183</v>
      </c>
      <c r="D7" s="2">
        <v>51.4</v>
      </c>
      <c r="E7" s="12" t="s">
        <v>136</v>
      </c>
      <c r="F7" s="15">
        <v>0.1544531861959566</v>
      </c>
      <c r="G7" s="15">
        <f>F7 - Portfolio_Mgmt!$C$10</f>
        <v>3.70531861959566E-2</v>
      </c>
      <c r="H7" s="15">
        <f>F7 - Portfolio_Mgmt!$C$11</f>
        <v>0.1199531861959566</v>
      </c>
      <c r="I7" s="15">
        <v>0</v>
      </c>
      <c r="J7" s="2">
        <v>32.649381456851764</v>
      </c>
      <c r="K7" s="2">
        <v>72.748730814373388</v>
      </c>
      <c r="L7" s="74">
        <v>63.284739944864143</v>
      </c>
      <c r="M7" s="2">
        <v>40.793927673149753</v>
      </c>
      <c r="N7" s="2">
        <v>56.526853538246677</v>
      </c>
      <c r="O7" s="4">
        <v>4.4734644904206797E-2</v>
      </c>
      <c r="P7" s="4">
        <v>3.5348136364086111E-2</v>
      </c>
      <c r="Q7" s="4">
        <v>0.13507765119102985</v>
      </c>
      <c r="R7" s="4">
        <v>0.12563729448190603</v>
      </c>
      <c r="S7" s="82">
        <v>0.62432788948992113</v>
      </c>
      <c r="T7" s="81">
        <v>1.7220755031358876</v>
      </c>
      <c r="U7" s="15">
        <v>9.5579625064196368E-3</v>
      </c>
      <c r="V7" s="79">
        <v>7.3592411949940734E-2</v>
      </c>
      <c r="W7" s="74">
        <v>1.3544781859605564</v>
      </c>
      <c r="X7" s="13" t="s">
        <v>181</v>
      </c>
      <c r="Y7" s="11" t="s">
        <v>137</v>
      </c>
      <c r="Z7" s="14">
        <v>45900</v>
      </c>
      <c r="AA7" s="16" t="s">
        <v>225</v>
      </c>
    </row>
    <row r="8" spans="1:27">
      <c r="B8" s="11" t="s">
        <v>205</v>
      </c>
      <c r="C8" s="11" t="s">
        <v>216</v>
      </c>
      <c r="D8" s="2">
        <v>23.08</v>
      </c>
      <c r="E8" s="12" t="s">
        <v>206</v>
      </c>
      <c r="F8" s="15">
        <v>0.14057728631389366</v>
      </c>
      <c r="G8" s="15">
        <f>F8 - Portfolio_Mgmt!$C$10</f>
        <v>2.3177286313893652E-2</v>
      </c>
      <c r="H8" s="15">
        <f>F8 - Portfolio_Mgmt!$C$11</f>
        <v>0.10607728631389365</v>
      </c>
      <c r="I8" s="15">
        <v>0</v>
      </c>
      <c r="J8" s="2">
        <v>14.005438973829049</v>
      </c>
      <c r="K8" s="2">
        <v>33.245001875234657</v>
      </c>
      <c r="L8" s="74">
        <v>27.517314961638828</v>
      </c>
      <c r="M8" s="2">
        <v>17.589207488120145</v>
      </c>
      <c r="N8" s="2">
        <v>24.530440005494061</v>
      </c>
      <c r="O8" s="4">
        <v>0.19752866322955784</v>
      </c>
      <c r="P8" s="4">
        <v>1.2602426343154245E-2</v>
      </c>
      <c r="Q8" s="4">
        <v>0.18752610102828118</v>
      </c>
      <c r="R8" s="4">
        <v>0.23497655430253014</v>
      </c>
      <c r="S8" s="82">
        <v>0.32112750263435197</v>
      </c>
      <c r="T8" s="81">
        <v>2.4851905363915479</v>
      </c>
      <c r="U8" s="15">
        <v>0.95241105291674188</v>
      </c>
      <c r="V8" s="79">
        <v>4.0148803043206254</v>
      </c>
      <c r="W8" s="74">
        <v>-38.360607814419353</v>
      </c>
      <c r="X8" s="13" t="s">
        <v>207</v>
      </c>
      <c r="Y8" s="11" t="s">
        <v>137</v>
      </c>
      <c r="Z8" s="14">
        <v>45900</v>
      </c>
      <c r="AA8" s="16" t="s">
        <v>225</v>
      </c>
    </row>
    <row r="9" spans="1:27">
      <c r="B9" s="11" t="s">
        <v>199</v>
      </c>
      <c r="C9" s="11" t="s">
        <v>200</v>
      </c>
      <c r="D9" s="2">
        <v>2.44</v>
      </c>
      <c r="E9" s="12" t="s">
        <v>136</v>
      </c>
      <c r="F9" s="15">
        <v>0.13674601721193014</v>
      </c>
      <c r="G9" s="15">
        <f>F9 - Portfolio_Mgmt!$C$10</f>
        <v>1.9346017211930133E-2</v>
      </c>
      <c r="H9" s="15">
        <f>F9 - Portfolio_Mgmt!$C$11</f>
        <v>0.10224601721193013</v>
      </c>
      <c r="I9" s="15">
        <v>0</v>
      </c>
      <c r="J9" s="2">
        <v>1.4839286223731911</v>
      </c>
      <c r="K9" s="2">
        <v>3.2754958842714408</v>
      </c>
      <c r="L9" s="74">
        <v>2.8706923490179759</v>
      </c>
      <c r="M9" s="2">
        <v>1.8527338927469776</v>
      </c>
      <c r="N9" s="2">
        <v>2.5648799986632449</v>
      </c>
      <c r="O9" s="4">
        <v>5.5141762705461346E-2</v>
      </c>
      <c r="P9" s="4">
        <v>3.6885245901639351E-2</v>
      </c>
      <c r="Q9" s="4">
        <v>4.7832973362251327E-2</v>
      </c>
      <c r="R9" s="4">
        <v>7.8104812973574481E-2</v>
      </c>
      <c r="S9" s="82">
        <v>0.49619793491400876</v>
      </c>
      <c r="T9" s="81">
        <v>1.2342258232843137</v>
      </c>
      <c r="U9" s="15">
        <v>0.10863424600069688</v>
      </c>
      <c r="V9" s="79">
        <v>2.2824569622635926</v>
      </c>
      <c r="W9" s="74">
        <v>1.8410590520842123</v>
      </c>
      <c r="X9" s="13" t="s">
        <v>386</v>
      </c>
      <c r="Y9" s="11" t="s">
        <v>137</v>
      </c>
      <c r="Z9" s="14">
        <v>45900</v>
      </c>
      <c r="AA9" s="16" t="s">
        <v>225</v>
      </c>
    </row>
    <row r="10" spans="1:27">
      <c r="B10" s="11" t="s">
        <v>208</v>
      </c>
      <c r="C10" s="11" t="s">
        <v>217</v>
      </c>
      <c r="D10" s="2">
        <v>27.69</v>
      </c>
      <c r="E10" s="12" t="s">
        <v>206</v>
      </c>
      <c r="F10" s="15">
        <v>0.11918981781769999</v>
      </c>
      <c r="G10" s="15">
        <f>F10 - Portfolio_Mgmt!$C$10</f>
        <v>1.7898178176999902E-3</v>
      </c>
      <c r="H10" s="15">
        <f>F10 - Portfolio_Mgmt!$C$11</f>
        <v>8.4689817817699992E-2</v>
      </c>
      <c r="I10" s="15">
        <v>0</v>
      </c>
      <c r="J10" s="2">
        <v>16.032459211529339</v>
      </c>
      <c r="K10" s="2">
        <v>36.174621832566501</v>
      </c>
      <c r="L10" s="74">
        <v>31.157956372196864</v>
      </c>
      <c r="M10" s="2">
        <v>20.051774378274047</v>
      </c>
      <c r="N10" s="2">
        <v>27.820017012608126</v>
      </c>
      <c r="O10" s="4">
        <v>9.1699798027554985E-2</v>
      </c>
      <c r="P10" s="4">
        <v>2.831347056699169E-2</v>
      </c>
      <c r="Q10" s="4">
        <v>8.3350635997632802E-2</v>
      </c>
      <c r="R10" s="4">
        <v>0.15660042549334799</v>
      </c>
      <c r="S10" s="82">
        <v>0.29736257886212014</v>
      </c>
      <c r="T10" s="81">
        <v>1.7899036999493159</v>
      </c>
      <c r="U10" s="15">
        <v>0.40281804358844397</v>
      </c>
      <c r="V10" s="79">
        <v>3.955391512509995</v>
      </c>
      <c r="W10" s="74">
        <v>-26.938493611476797</v>
      </c>
      <c r="X10" s="16" t="s">
        <v>209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179</v>
      </c>
      <c r="C11" s="11" t="s">
        <v>180</v>
      </c>
      <c r="D11" s="2">
        <v>62.55</v>
      </c>
      <c r="E11" s="12" t="s">
        <v>136</v>
      </c>
      <c r="F11" s="15">
        <v>0.11566790135718907</v>
      </c>
      <c r="G11" s="15">
        <f>F11 - Portfolio_Mgmt!$C$10</f>
        <v>-1.7320986428109308E-3</v>
      </c>
      <c r="H11" s="15">
        <f>F11 - Portfolio_Mgmt!$C$11</f>
        <v>8.1167901357189071E-2</v>
      </c>
      <c r="I11" s="15">
        <v>0</v>
      </c>
      <c r="J11" s="2">
        <v>36.978231974966072</v>
      </c>
      <c r="K11" s="2">
        <v>69.823572795407159</v>
      </c>
      <c r="L11" s="74">
        <v>69.391240697121745</v>
      </c>
      <c r="M11" s="2">
        <v>45.647324311248468</v>
      </c>
      <c r="N11" s="2">
        <v>62.27992388066815</v>
      </c>
      <c r="O11" s="4">
        <v>8.4496918129615628E-2</v>
      </c>
      <c r="P11" s="4">
        <v>8.1063469224620308E-2</v>
      </c>
      <c r="Q11" s="4">
        <v>0.32755394896836565</v>
      </c>
      <c r="R11" s="4">
        <v>8.9976704126159421E-2</v>
      </c>
      <c r="S11" s="82">
        <v>1.5891874956485419</v>
      </c>
      <c r="T11" s="81">
        <v>2.2907496012759174</v>
      </c>
      <c r="U11" s="15">
        <v>0.24768740031897937</v>
      </c>
      <c r="V11" s="79">
        <v>0.73855199466278643</v>
      </c>
      <c r="W11" s="74">
        <v>-2.6580628996899964</v>
      </c>
      <c r="X11" s="13" t="s">
        <v>184</v>
      </c>
      <c r="Y11" s="11" t="s">
        <v>137</v>
      </c>
      <c r="Z11" s="14">
        <v>45808</v>
      </c>
      <c r="AA11" s="16" t="s">
        <v>224</v>
      </c>
    </row>
    <row r="12" spans="1:27">
      <c r="B12" s="11" t="s">
        <v>185</v>
      </c>
      <c r="C12" s="11" t="s">
        <v>186</v>
      </c>
      <c r="D12" s="2">
        <v>7.43</v>
      </c>
      <c r="E12" s="12" t="s">
        <v>136</v>
      </c>
      <c r="F12" s="15">
        <v>0.11169827423308609</v>
      </c>
      <c r="G12" s="15">
        <f>F12 - Portfolio_Mgmt!$C$10</f>
        <v>-5.7017257669139121E-3</v>
      </c>
      <c r="H12" s="15">
        <f>F12 - Portfolio_Mgmt!$C$11</f>
        <v>7.7198274233086089E-2</v>
      </c>
      <c r="I12" s="15">
        <v>0</v>
      </c>
      <c r="J12" s="2">
        <v>4.2824049226145409</v>
      </c>
      <c r="K12" s="2">
        <v>8.8767286650331734</v>
      </c>
      <c r="L12" s="74">
        <v>8.1797641266321079</v>
      </c>
      <c r="M12" s="2">
        <v>5.3212844083747122</v>
      </c>
      <c r="N12" s="2">
        <v>7.3220897064837551</v>
      </c>
      <c r="O12" s="4">
        <v>0.10572242249363412</v>
      </c>
      <c r="P12" s="4">
        <v>5.353237676495156E-2</v>
      </c>
      <c r="Q12" s="4">
        <v>0.12477871842229639</v>
      </c>
      <c r="R12" s="4">
        <v>7.7304831872868032E-2</v>
      </c>
      <c r="S12" s="82">
        <v>1.0025080757150273</v>
      </c>
      <c r="T12" s="81">
        <v>1.6100746083165727</v>
      </c>
      <c r="U12" s="15">
        <v>0.16360901428944893</v>
      </c>
      <c r="V12" s="79">
        <v>1.1309485990394448</v>
      </c>
      <c r="W12" s="74">
        <v>-3.8668068545933503</v>
      </c>
      <c r="X12" s="13" t="s">
        <v>162</v>
      </c>
      <c r="Y12" s="11" t="s">
        <v>137</v>
      </c>
      <c r="Z12" s="14">
        <v>45900</v>
      </c>
      <c r="AA12" s="16" t="s">
        <v>224</v>
      </c>
    </row>
    <row r="13" spans="1:27">
      <c r="B13" s="11" t="s">
        <v>163</v>
      </c>
      <c r="C13" s="11" t="s">
        <v>192</v>
      </c>
      <c r="D13" s="2">
        <v>19.96</v>
      </c>
      <c r="E13" s="12" t="s">
        <v>136</v>
      </c>
      <c r="F13" s="15">
        <v>0.10784694601095901</v>
      </c>
      <c r="G13" s="15">
        <f>F13 - Portfolio_Mgmt!$C$10</f>
        <v>-9.5530539890409938E-3</v>
      </c>
      <c r="H13" s="15">
        <f>F13 - Portfolio_Mgmt!$C$11</f>
        <v>7.3346946010959008E-2</v>
      </c>
      <c r="I13" s="15">
        <v>0</v>
      </c>
      <c r="J13" s="2">
        <v>11.194949270408962</v>
      </c>
      <c r="K13" s="2">
        <v>25.528608043915849</v>
      </c>
      <c r="L13" s="2">
        <v>21.805481922573541</v>
      </c>
      <c r="M13" s="2">
        <v>14.013392100199573</v>
      </c>
      <c r="N13" s="2">
        <v>19.463094421218518</v>
      </c>
      <c r="O13" s="4">
        <v>5.1111739782199246E-2</v>
      </c>
      <c r="P13" s="4">
        <v>2.4196568898931552E-2</v>
      </c>
      <c r="Q13" s="4">
        <v>0.12359733159376433</v>
      </c>
      <c r="R13" s="4">
        <v>0.12331973369517631</v>
      </c>
      <c r="S13" s="82">
        <v>0.73266920679685343</v>
      </c>
      <c r="T13" s="81">
        <v>1.3679448142367923</v>
      </c>
      <c r="U13" s="15">
        <v>7.4171010848313429E-2</v>
      </c>
      <c r="V13" s="79">
        <v>0.60402076709908736</v>
      </c>
      <c r="W13" s="74">
        <v>4.5942673907266878</v>
      </c>
      <c r="X13" s="13" t="s">
        <v>181</v>
      </c>
      <c r="Y13" s="11" t="s">
        <v>137</v>
      </c>
      <c r="Z13" s="14">
        <v>45900</v>
      </c>
      <c r="AA13" s="16" t="s">
        <v>224</v>
      </c>
    </row>
    <row r="14" spans="1:27">
      <c r="B14" s="11" t="s">
        <v>202</v>
      </c>
      <c r="C14" s="11" t="s">
        <v>203</v>
      </c>
      <c r="D14" s="2">
        <v>2.5299999999999998</v>
      </c>
      <c r="E14" s="12" t="s">
        <v>136</v>
      </c>
      <c r="F14" s="15">
        <v>8.0431025128283151E-2</v>
      </c>
      <c r="G14" s="15">
        <f>F14 - Portfolio_Mgmt!$C$10</f>
        <v>-3.6968974871716853E-2</v>
      </c>
      <c r="H14" s="15">
        <f>F14 - Portfolio_Mgmt!$C$11</f>
        <v>4.5931025128283148E-2</v>
      </c>
      <c r="I14" s="15">
        <v>0</v>
      </c>
      <c r="J14" s="2">
        <v>1.3389882338181611</v>
      </c>
      <c r="K14" s="2">
        <v>2.8273016037205356</v>
      </c>
      <c r="L14" s="2">
        <v>2.5669952885032106</v>
      </c>
      <c r="M14" s="2">
        <v>1.6661049132944348</v>
      </c>
      <c r="N14" s="2">
        <v>2.2965888425459395</v>
      </c>
      <c r="O14" s="4">
        <v>3.3174821833615253E-2</v>
      </c>
      <c r="P14" s="4">
        <v>4.424903052499525E-2</v>
      </c>
      <c r="Q14" s="4">
        <v>4.3345637463306975E-2</v>
      </c>
      <c r="R14" s="4">
        <v>8.4132759498895981E-2</v>
      </c>
      <c r="S14" s="82">
        <v>0.42808280043619051</v>
      </c>
      <c r="T14" s="81">
        <v>1.2035176992971439</v>
      </c>
      <c r="U14" s="15">
        <v>1.0763175939415467E-2</v>
      </c>
      <c r="V14" s="79">
        <v>0.29882156160837919</v>
      </c>
      <c r="W14" s="74">
        <v>1.9056712968379061</v>
      </c>
      <c r="X14" s="13" t="s">
        <v>204</v>
      </c>
      <c r="Y14" s="11" t="s">
        <v>198</v>
      </c>
      <c r="Z14" s="14">
        <v>45900</v>
      </c>
      <c r="AA14" s="16" t="s">
        <v>224</v>
      </c>
    </row>
    <row r="15" spans="1:27">
      <c r="B15" s="11" t="s">
        <v>227</v>
      </c>
      <c r="C15" s="11" t="s">
        <v>228</v>
      </c>
      <c r="D15" s="2">
        <v>6.79</v>
      </c>
      <c r="E15" s="12" t="s">
        <v>136</v>
      </c>
      <c r="F15" s="15">
        <v>7.9094291023440677E-2</v>
      </c>
      <c r="G15" s="15">
        <f>F15 - Portfolio_Mgmt!$C$10</f>
        <v>-3.8305708976559327E-2</v>
      </c>
      <c r="H15" s="15">
        <f>F15 - Portfolio_Mgmt!$C$11</f>
        <v>4.4594291023440674E-2</v>
      </c>
      <c r="I15" s="15">
        <v>0</v>
      </c>
      <c r="J15" s="2">
        <v>3.6036658259915511</v>
      </c>
      <c r="K15" s="2">
        <v>7.3642693066239637</v>
      </c>
      <c r="L15" s="2">
        <v>6.8641356814360206</v>
      </c>
      <c r="M15" s="2">
        <v>4.4732258849914697</v>
      </c>
      <c r="N15" s="2">
        <v>6.1469536878205542</v>
      </c>
      <c r="O15" s="4">
        <v>5.4403848946168641E-2</v>
      </c>
      <c r="P15" s="4">
        <v>5.3019145802650956E-2</v>
      </c>
      <c r="Q15" s="4">
        <v>7.0630420943605887E-2</v>
      </c>
      <c r="R15" s="4">
        <v>9.3039179367971361E-2</v>
      </c>
      <c r="S15" s="82">
        <v>0.62627525695225639</v>
      </c>
      <c r="T15" s="81">
        <v>1.2121620122817016</v>
      </c>
      <c r="U15" s="15">
        <v>1.1610019159010268E-2</v>
      </c>
      <c r="V15" s="79">
        <v>0.16381589511191816</v>
      </c>
      <c r="W15" s="74">
        <v>3.7980767021052162</v>
      </c>
      <c r="X15" s="13" t="s">
        <v>229</v>
      </c>
      <c r="Y15" s="11" t="s">
        <v>137</v>
      </c>
      <c r="Z15" s="14">
        <v>45900</v>
      </c>
      <c r="AA15" s="16" t="s">
        <v>224</v>
      </c>
    </row>
    <row r="16" spans="1:27">
      <c r="B16" s="11" t="s">
        <v>193</v>
      </c>
      <c r="C16" s="11" t="s">
        <v>194</v>
      </c>
      <c r="D16" s="2">
        <v>17.13</v>
      </c>
      <c r="E16" s="12" t="s">
        <v>136</v>
      </c>
      <c r="F16" s="15">
        <v>7.3563331343034832E-2</v>
      </c>
      <c r="G16" s="15">
        <f>F16 - Portfolio_Mgmt!$C$10</f>
        <v>-4.3836668656965172E-2</v>
      </c>
      <c r="H16" s="15">
        <f>F16 - Portfolio_Mgmt!$C$11</f>
        <v>3.9063331343034829E-2</v>
      </c>
      <c r="I16" s="15">
        <v>0</v>
      </c>
      <c r="J16" s="2">
        <v>8.9369455477255411</v>
      </c>
      <c r="K16" s="2">
        <v>18.492492200785229</v>
      </c>
      <c r="L16" s="2">
        <v>17.064462913573077</v>
      </c>
      <c r="M16" s="2">
        <v>11.103553162642037</v>
      </c>
      <c r="N16" s="2">
        <v>15.275979159179897</v>
      </c>
      <c r="O16" s="4">
        <v>9.0105045183971139E-2</v>
      </c>
      <c r="P16" s="4">
        <v>4.8908693520140108E-2</v>
      </c>
      <c r="Q16" s="4">
        <v>0.26417320349787793</v>
      </c>
      <c r="R16" s="4">
        <v>0.11373449239375283</v>
      </c>
      <c r="S16" s="82">
        <v>0.70652858717908329</v>
      </c>
      <c r="T16" s="81">
        <v>3.2875080906148866</v>
      </c>
      <c r="U16" s="15">
        <v>1.5035598705501618</v>
      </c>
      <c r="V16" s="79">
        <v>4.1998196571663646</v>
      </c>
      <c r="W16" s="74">
        <v>-12.201171875851539</v>
      </c>
      <c r="X16" s="13" t="s">
        <v>181</v>
      </c>
      <c r="Y16" s="11" t="s">
        <v>195</v>
      </c>
      <c r="Z16" s="14">
        <v>45900</v>
      </c>
      <c r="AA16" s="16" t="s">
        <v>225</v>
      </c>
    </row>
    <row r="17" spans="2:27">
      <c r="B17" s="11" t="s">
        <v>138</v>
      </c>
      <c r="C17" s="11" t="s">
        <v>176</v>
      </c>
      <c r="D17" s="2">
        <v>9.32</v>
      </c>
      <c r="E17" s="12" t="s">
        <v>136</v>
      </c>
      <c r="F17" s="15">
        <v>6.3714570509945112E-2</v>
      </c>
      <c r="G17" s="15">
        <f>F17 - Portfolio_Mgmt!$C$10</f>
        <v>-5.3685429490054892E-2</v>
      </c>
      <c r="H17" s="15">
        <f>F17 - Portfolio_Mgmt!$C$11</f>
        <v>2.9214570509945109E-2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3.3143602144019846E-2</v>
      </c>
      <c r="P17" s="4">
        <v>6.2231759656652355E-2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190</v>
      </c>
      <c r="C18" s="11" t="s">
        <v>191</v>
      </c>
      <c r="D18" s="2">
        <v>24.88</v>
      </c>
      <c r="E18" s="12" t="s">
        <v>136</v>
      </c>
      <c r="F18" s="15">
        <v>1.6287017753852551E-2</v>
      </c>
      <c r="G18" s="15">
        <f>F18 - Portfolio_Mgmt!$C$10</f>
        <v>-0.10111298224614745</v>
      </c>
      <c r="H18" s="15">
        <f>F18 - Portfolio_Mgmt!$C$11</f>
        <v>-1.8212982246147452E-2</v>
      </c>
      <c r="I18" s="15">
        <v>0</v>
      </c>
      <c r="J18" s="2">
        <v>11.235424773194682</v>
      </c>
      <c r="K18" s="2">
        <v>21.968758226348868</v>
      </c>
      <c r="L18" s="2">
        <v>21.220699139526428</v>
      </c>
      <c r="M18" s="2">
        <v>13.902724211890622</v>
      </c>
      <c r="N18" s="2">
        <v>19.027476031641555</v>
      </c>
      <c r="O18" s="4">
        <v>6.9452814283345238E-2</v>
      </c>
      <c r="P18" s="4">
        <v>5.4662379421221874E-2</v>
      </c>
      <c r="Q18" s="4">
        <v>0.10515362778966494</v>
      </c>
      <c r="R18" s="4">
        <v>0.11295218450174714</v>
      </c>
      <c r="S18" s="82">
        <v>0.71055479556740742</v>
      </c>
      <c r="T18" s="81">
        <v>1.3101832741522048</v>
      </c>
      <c r="U18" s="15">
        <v>0.15818859882129041</v>
      </c>
      <c r="V18" s="79">
        <v>1.4550387206421544</v>
      </c>
      <c r="W18" s="74">
        <v>5.8696003638854428</v>
      </c>
      <c r="X18" s="13" t="s">
        <v>189</v>
      </c>
      <c r="Y18" s="11" t="s">
        <v>137</v>
      </c>
      <c r="Z18" s="14">
        <v>45808</v>
      </c>
      <c r="AA18" s="11" t="s">
        <v>224</v>
      </c>
    </row>
    <row r="19" spans="2:27">
      <c r="B19" s="11" t="s">
        <v>173</v>
      </c>
      <c r="C19" s="11" t="s">
        <v>196</v>
      </c>
      <c r="D19" s="2">
        <v>2.2400000000000002</v>
      </c>
      <c r="E19" s="12" t="s">
        <v>136</v>
      </c>
      <c r="F19" s="15">
        <v>-1.9252019650804364E-2</v>
      </c>
      <c r="G19" s="15">
        <f>F19 - Portfolio_Mgmt!$C$10</f>
        <v>-0.13665201965080437</v>
      </c>
      <c r="H19" s="15">
        <f>F19 - Portfolio_Mgmt!$C$11</f>
        <v>-5.3752019650804367E-2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4.2802036805968365E-3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0.61885111275355176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19.96</v>
      </c>
      <c r="D4" s="62" t="str">
        <f>VLOOKUP(B4,Opportunities!B$3:E$30,4,FALSE)</f>
        <v>HKD</v>
      </c>
      <c r="E4" s="59">
        <v>9000</v>
      </c>
      <c r="F4" s="64">
        <f>C4*E4</f>
        <v>179640</v>
      </c>
      <c r="G4" s="61">
        <f>F4/$F$8</f>
        <v>0.15367085489036708</v>
      </c>
      <c r="H4" s="61">
        <f>VLOOKUP(B4,Opportunities!B$3:I$30,8,FALSE)</f>
        <v>0</v>
      </c>
      <c r="I4" s="84">
        <f>VLOOKUP(B4,Opportunities!B$3:N$30,12,FALSE)</f>
        <v>14.013392100199573</v>
      </c>
      <c r="J4" s="84">
        <f>VLOOKUP(B4,Opportunities!B$3:N$30,9,FALSE)</f>
        <v>11.194949270408962</v>
      </c>
      <c r="K4" s="84">
        <f>VLOOKUP(B4,Opportunities!B$3:N$30,11,FALSE)</f>
        <v>21.805481922573541</v>
      </c>
      <c r="L4" s="84">
        <f>VLOOKUP(B4,Opportunities!B$3:N$30,13,FALSE)</f>
        <v>19.463094421218518</v>
      </c>
    </row>
    <row r="5" spans="1:12">
      <c r="B5" s="66" t="s">
        <v>210</v>
      </c>
      <c r="C5" s="63">
        <f>VLOOKUP(B5,Opportunities!B$3:E$30,3,FALSE)</f>
        <v>18.989999999999998</v>
      </c>
      <c r="D5" s="62" t="str">
        <f>VLOOKUP(B5,Opportunities!B$3:E$30,4,FALSE)</f>
        <v>HKD</v>
      </c>
      <c r="E5" s="59">
        <v>8000</v>
      </c>
      <c r="F5" s="64">
        <f>C5*E5</f>
        <v>151920</v>
      </c>
      <c r="G5" s="61">
        <f>F5/$F$8</f>
        <v>0.12995811776299582</v>
      </c>
      <c r="H5" s="61">
        <f>VLOOKUP(B5,Opportunities!B$3:I$30,8,FALSE)</f>
        <v>0</v>
      </c>
      <c r="I5" s="84">
        <f>VLOOKUP(B5,Opportunities!B$3:N$30,12,FALSE)</f>
        <v>16.964768123231107</v>
      </c>
      <c r="J5" s="84">
        <f>VLOOKUP(B5,Opportunities!B$3:N$30,9,FALSE)</f>
        <v>13.651542037569781</v>
      </c>
      <c r="K5" s="84">
        <f>VLOOKUP(B5,Opportunities!B$3:N$30,11,FALSE)</f>
        <v>26.081648350508612</v>
      </c>
      <c r="L5" s="84">
        <f>VLOOKUP(B5,Opportunities!B$3:N$30,13,FALSE)</f>
        <v>23.346105223027141</v>
      </c>
    </row>
    <row r="6" spans="1:12">
      <c r="B6" s="66" t="s">
        <v>230</v>
      </c>
      <c r="C6" s="63">
        <f>VLOOKUP(B6,Opportunities!B$3:E$30,3,FALSE)</f>
        <v>2.85</v>
      </c>
      <c r="D6" s="62" t="str">
        <f>VLOOKUP(B6,Opportunities!B$3:E$30,4,FALSE)</f>
        <v>HKD</v>
      </c>
      <c r="E6" s="59">
        <v>40000</v>
      </c>
      <c r="F6" s="64">
        <f>C6*E6</f>
        <v>114000</v>
      </c>
      <c r="G6" s="61">
        <f t="shared" ref="G6" si="0">F6/$F$8</f>
        <v>9.751991459308533E-2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1168992</v>
      </c>
      <c r="G8" s="70">
        <f>SUM(G3:G6)</f>
        <v>0.99999999999999989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19.96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14.013392100199573</v>
      </c>
      <c r="J11" s="84">
        <f>VLOOKUP(B11,Opportunities!B$3:N$30,9,FALSE)</f>
        <v>11.194949270408962</v>
      </c>
      <c r="K11" s="84">
        <f>VLOOKUP(B11,Opportunities!B$3:N$30,11,FALSE)</f>
        <v>21.805481922573541</v>
      </c>
      <c r="L11" s="84">
        <f>VLOOKUP(B11,Opportunities!B$3:N$30,13,FALSE)</f>
        <v>19.463094421218518</v>
      </c>
    </row>
    <row r="12" spans="1:12">
      <c r="B12" s="66" t="s">
        <v>210</v>
      </c>
      <c r="C12" s="63">
        <f>VLOOKUP(B12,Opportunities!B$3:E$30,3,FALSE)</f>
        <v>18.989999999999998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16.964768123231107</v>
      </c>
      <c r="J12" s="84">
        <f>VLOOKUP(B12,Opportunities!B$3:N$30,9,FALSE)</f>
        <v>13.651542037569781</v>
      </c>
      <c r="K12" s="84">
        <f>VLOOKUP(B12,Opportunities!B$3:N$30,11,FALSE)</f>
        <v>26.081648350508612</v>
      </c>
      <c r="L12" s="84">
        <f>VLOOKUP(B12,Opportunities!B$3:N$30,13,FALSE)</f>
        <v>23.346105223027141</v>
      </c>
    </row>
    <row r="13" spans="1:12">
      <c r="B13" s="66" t="s">
        <v>230</v>
      </c>
      <c r="C13" s="63">
        <f>VLOOKUP(B13,Opportunities!B$3:E$30,3,FALSE)</f>
        <v>2.85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0.61885111275355176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2025-08-26T09:12:49Z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