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B985BEB0-4537-4C75-B980-B0E0A6BCF706}" xr6:coauthVersionLast="47" xr6:coauthVersionMax="47" xr10:uidLastSave="{00000000-0000-0000-0000-000000000000}"/>
  <bookViews>
    <workbookView xWindow="-28920" yWindow="6150" windowWidth="29040" windowHeight="15720" firstSheet="1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G3" i="7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<sst xmlns="http://schemas.openxmlformats.org/spreadsheetml/2006/main" count="467" uniqueCount="382">
  <si>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</si>
  <si>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</si>
  <si>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</si>
  <si>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</si>
  <si>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</si>
  <si>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</si>
  <si>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</si>
  <si>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</si>
  <si>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</si>
  <si>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</si>
  <si>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</si>
  <si>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</si>
  <si>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</si>
  <si>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</si>
  <si>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</si>
  <si>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</si>
  <si>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</si>
  <si>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</si>
  <si>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</si>
  <si>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</si>
  <si>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</si>
  <si>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</si>
  <si>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</si>
  <si>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</si>
  <si>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</si>
  <si>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</si>
  <si>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</si>
  <si>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</si>
  <si>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</si>
  <si>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</si>
  <si>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</si>
  <si>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</si>
  <si>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</si>
  <si>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</si>
  <si>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</si>
  <si>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</si>
  <si>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</si>
  <si>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</si>
  <si>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</si>
  <si>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</si>
  <si>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</si>
  <si>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</si>
  <si>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</si>
  <si>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</si>
  <si>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</si>
  <si>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</si>
  <si>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</si>
  <si>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</si>
  <si>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</si>
  <si>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</si>
  <si>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</si>
  <si>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</si>
  <si>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</si>
  <si>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</si>
  <si>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</si>
  <si>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</si>
  <si>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</si>
  <si>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</si>
  <si>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</si>
  <si>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</si>
  <si>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</si>
  <si>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</si>
  <si>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</si>
  <si>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</si>
  <si>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</si>
  <si>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</si>
  <si>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</si>
  <si>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</si>
  <si>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</si>
  <si>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</si>
  <si>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</si>
  <si>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</si>
  <si>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</si>
  <si>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</si>
  <si>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</si>
  <si>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</si>
  <si>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</si>
  <si>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</si>
  <si>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</si>
  <si>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</si>
  <si>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</si>
  <si>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</si>
  <si>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</si>
  <si>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</si>
  <si>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</si>
  <si>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</si>
  <si>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</si>
  <si>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</si>
  <si>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</si>
  <si>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</si>
  <si>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</si>
  <si>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</si>
  <si>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</si>
  <si>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</si>
  <si>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</si>
  <si>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</si>
  <si>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</si>
  <si>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</si>
  <si>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</si>
  <si>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</si>
  <si>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</si>
  <si>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</si>
  <si>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</si>
  <si>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</si>
  <si>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</si>
  <si>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</si>
  <si>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</si>
  <si>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</si>
  <si>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</si>
  <si>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</si>
  <si>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</si>
  <si>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</si>
  <si>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</si>
  <si>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</si>
  <si>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</si>
  <si>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</si>
  <si>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</si>
  <si>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</si>
  <si>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</si>
  <si>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</si>
  <si>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</si>
  <si>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</si>
  <si>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</si>
  <si>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</si>
  <si>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</si>
  <si>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</si>
  <si>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</si>
  <si>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</si>
  <si>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</si>
  <si>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</si>
  <si>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</si>
  <si>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</si>
  <si>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</si>
  <si>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</si>
  <si>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</si>
  <si>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</si>
  <si>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</si>
  <si>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</si>
  <si>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</si>
  <si>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</si>
  <si>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</si>
  <si>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</si>
  <si>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</si>
  <si>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</si>
  <si>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</si>
  <si>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</si>
  <si>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</si>
  <si>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</si>
  <si>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</si>
  <si>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</si>
  <si>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</si>
  <si>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</si>
  <si>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</si>
  <si>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</si>
  <si>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</si>
  <si>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</si>
  <si>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</si>
  <si>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</si>
  <si>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</si>
  <si>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</si>
  <si>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</si>
  <si>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</si>
  <si>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</si>
  <si>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</si>
  <si>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</si>
  <si>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</si>
  <si>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</si>
  <si>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</si>
  <si>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</si>
  <si>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</si>
  <si>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</si>
  <si>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</si>
  <si>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</si>
  <si>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</si>
  <si>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</si>
  <si>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</si>
  <si>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</si>
  <si>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</si>
  <si>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</si>
  <si>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</si>
  <si>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</si>
  <si>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</si>
  <si>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</si>
  <si>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</si>
  <si>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</si>
  <si>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</si>
  <si>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</si>
  <si>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</si>
  <si>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</si>
  <si>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</si>
  <si>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</si>
  <si>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</si>
  <si>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</si>
  <si>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</si>
  <si>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</si>
  <si>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</si>
  <si>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</si>
  <si>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</si>
  <si>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</si>
  <si>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</si>
  <si>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</si>
  <si>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</si>
  <si>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</si>
  <si>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</si>
  <si>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</si>
  <si>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</si>
  <si>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</si>
  <si>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</si>
  <si>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</si>
  <si>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</si>
  <si>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</si>
  <si>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</si>
  <si>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</si>
  <si>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</si>
  <si>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</si>
  <si>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</si>
  <si>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</si>
  <si>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</si>
  <si>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</si>
  <si>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</si>
  <si>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</si>
  <si>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</si>
  <si>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</si>
  <si>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</si>
  <si>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</si>
  <si>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</si>
  <si>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</si>
  <si>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</si>
  <si>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</si>
  <si>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</si>
  <si>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</si>
  <si>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</si>
  <si>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</si>
  <si>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</si>
  <si>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</si>
  <si>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</si>
  <si>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</si>
  <si>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</si>
  <si>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</si>
  <si>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</si>
  <si>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</si>
  <si>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</si>
  <si>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</si>
  <si>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</si>
  <si>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</si>
  <si>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</si>
  <si>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</si>
  <si>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</si>
  <si>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</si>
  <si>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</si>
  <si>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</si>
  <si>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</si>
  <si>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</si>
  <si>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</si>
  <si>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</si>
  <si>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</si>
  <si>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</si>
  <si>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</si>
  <si>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</si>
  <si>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</si>
  <si>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</si>
  <si>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</si>
  <si>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</si>
  <si>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</si>
  <si>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</si>
  <si>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</si>
  <si>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</si>
  <si>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</si>
  <si>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</si>
  <si>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</si>
  <si>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</si>
  <si>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</si>
  <si>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</si>
  <si>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</si>
  <si>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</si>
  <si>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</si>
  <si>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</si>
  <si>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</si>
  <si>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</si>
  <si>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</si>
  <si>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</si>
  <si>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</si>
  <si>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</si>
  <si>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</si>
  <si>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</si>
  <si>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</si>
  <si>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</si>
  <si>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</si>
  <si>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</si>
  <si>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</si>
  <si>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</si>
  <si>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</si>
  <si>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</si>
  <si>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</si>
  <si>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</si>
  <si>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</si>
  <si>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</si>
  <si>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</si>
  <si>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</si>
  <si>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</si>
  <si>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</si>
  <si>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</si>
  <si>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</si>
  <si>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</si>
  <si>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</si>
  <si>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</si>
  <si>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</si>
  <si>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</si>
  <si>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</si>
  <si>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</si>
  <si>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</si>
  <si>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</si>
  <si>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</si>
  <si>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</si>
  <si>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</si>
  <si>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</si>
  <si>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</si>
  <si>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</si>
  <si>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</si>
  <si>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</si>
  <si>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</si>
  <si>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</si>
  <si>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</si>
  <si>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</si>
  <si>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</si>
  <si>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</si>
  <si>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</si>
  <si>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</si>
  <si>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</si>
  <si>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</si>
  <si>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</si>
  <si>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</si>
  <si>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</si>
  <si>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</si>
  <si>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</si>
  <si>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</si>
  <si>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</si>
  <si>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</si>
  <si>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</si>
  <si>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</si>
  <si>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</si>
  <si>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</si>
  <si>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</si>
  <si>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</si>
  <si>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</si>
  <si>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</si>
  <si>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</si>
  <si>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</si>
  <si>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</si>
  <si>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</si>
  <si>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</si>
  <si>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</si>
  <si>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</si>
  <si>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</si>
  <si>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</si>
  <si>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</si>
  <si>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</si>
  <si>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</si>
  <si>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</si>
  <si>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</si>
  <si>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</si>
  <si>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</si>
  <si>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</si>
  <si>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</si>
  <si>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</si>
  <si>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</si>
  <si>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</si>
  <si>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</si>
  <si>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</si>
  <si>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</si>
  <si>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</si>
  <si>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</si>
  <si>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</si>
  <si>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</si>
  <si>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</si>
  <si>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</si>
  <si>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</si>
  <si>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3690.HK</t>
  </si>
  <si>
    <t>美团</t>
  </si>
  <si>
    <t>TMT_01</t>
  </si>
  <si>
    <t>0151.HK</t>
  </si>
  <si>
    <t>中國旺旺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</si>
</sst>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zoomScaleNormal="100" workbookViewId="0">
      <selection activeCell="C19" sqref="C1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135</v>
      </c>
    </row>
    <row r="2" spans="1:5">
      <c r="A2" s="21" t="s">
        <v>49</v>
      </c>
      <c r="B2" s="21"/>
      <c r="C2" s="21"/>
      <c r="D2" s="21"/>
      <c r="E2" s="21"/>
    </row>
    <row r="4" spans="1:5" ht="24.5" customHeight="1">
      <c r="B4" s="143" t="s">
        <v>147</v>
      </c>
      <c r="C4" s="143"/>
      <c r="D4" s="143"/>
      <c r="E4" s="143"/>
    </row>
    <row r="6" spans="1:5">
      <c r="A6" s="20" t="s">
        <v>58</v>
      </c>
      <c r="B6" s="19" t="s">
        <v>141</v>
      </c>
      <c r="C6" s="47"/>
    </row>
    <row r="7" spans="1:5">
      <c r="B7" s="143" t="s">
        <v>206</v>
      </c>
      <c r="C7" s="143"/>
      <c r="D7" s="143"/>
      <c r="E7" s="143"/>
    </row>
    <row r="9" spans="1:5">
      <c r="B9" s="23" t="s">
        <v>51</v>
      </c>
    </row>
    <row r="10" spans="1:5">
      <c r="B10" s="1" t="s">
        <v>56</v>
      </c>
      <c r="C10" s="135">
        <f>Market_Yield!C16</f>
        <v>0.1174</v>
      </c>
    </row>
    <row r="11" spans="1:5">
      <c r="B11" s="1" t="s">
        <v>48</v>
      </c>
      <c r="C11" s="135">
        <f>Market_Yield!C6</f>
        <v>3.4500000000000003E-2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3" t="s">
        <v>351</v>
      </c>
      <c r="C14" s="143"/>
      <c r="D14" s="143"/>
      <c r="E14" s="143"/>
    </row>
    <row r="15" spans="1:5">
      <c r="C15" s="4"/>
    </row>
    <row r="16" spans="1:5">
      <c r="B16" s="23" t="s">
        <v>52</v>
      </c>
      <c r="C16" s="4"/>
    </row>
    <row r="17" spans="1:5">
      <c r="B17" s="1" t="s">
        <v>143</v>
      </c>
      <c r="C17" s="4" t="s">
        <v>144</v>
      </c>
    </row>
    <row r="18" spans="1:5">
      <c r="B18" s="1" t="s">
        <v>131</v>
      </c>
      <c r="C18" s="24" t="s">
        <v>129</v>
      </c>
    </row>
    <row r="19" spans="1:5">
      <c r="B19" s="1" t="s">
        <v>132</v>
      </c>
      <c r="C19" s="24" t="s">
        <v>130</v>
      </c>
    </row>
    <row r="21" spans="1:5">
      <c r="B21" s="23" t="s">
        <v>53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142</v>
      </c>
    </row>
    <row r="26" spans="1:5">
      <c r="A26" s="25" t="s">
        <v>59</v>
      </c>
      <c r="B26" s="19" t="s">
        <v>140</v>
      </c>
      <c r="C26" s="47"/>
    </row>
    <row r="27" spans="1:5">
      <c r="A27" s="18"/>
      <c r="B27" s="144" t="s">
        <v>208</v>
      </c>
      <c r="C27" s="143"/>
      <c r="D27" s="143"/>
      <c r="E27" s="143"/>
    </row>
    <row r="28" spans="1:5">
      <c r="A28" s="18"/>
    </row>
    <row r="29" spans="1:5">
      <c r="A29" s="18"/>
      <c r="B29" s="43" t="s">
        <v>133</v>
      </c>
      <c r="C29" s="43" t="s">
        <v>128</v>
      </c>
    </row>
    <row r="30" spans="1:5">
      <c r="B30" s="26" t="s">
        <v>73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60</v>
      </c>
      <c r="B33" s="19" t="s">
        <v>11</v>
      </c>
      <c r="C33" s="47"/>
    </row>
    <row r="34" spans="1:5">
      <c r="A34" s="20"/>
    </row>
    <row r="35" spans="1:5">
      <c r="A35" s="20"/>
      <c r="B35" s="43" t="s">
        <v>349</v>
      </c>
      <c r="C35" s="43" t="s">
        <v>128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-0.65</v>
      </c>
    </row>
    <row r="40" spans="1:5">
      <c r="B40" s="20" t="s">
        <v>216</v>
      </c>
    </row>
    <row r="41" spans="1:5">
      <c r="B41" s="143" t="s">
        <v>215</v>
      </c>
      <c r="C41" s="143"/>
      <c r="D41" s="143"/>
      <c r="E41" s="143"/>
    </row>
    <row r="43" spans="1:5">
      <c r="A43" s="20" t="s">
        <v>60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4" t="s">
        <v>354</v>
      </c>
      <c r="C50" s="143"/>
      <c r="D50" s="143"/>
      <c r="E50" s="143"/>
    </row>
    <row r="51" spans="1:5">
      <c r="B51" s="144" t="s">
        <v>228</v>
      </c>
      <c r="C51" s="144"/>
      <c r="D51" s="144"/>
      <c r="E51" s="144"/>
    </row>
    <row r="53" spans="1:5">
      <c r="A53" s="21" t="s">
        <v>136</v>
      </c>
      <c r="B53" s="21"/>
      <c r="C53" s="21"/>
      <c r="D53" s="21"/>
      <c r="E53" s="21"/>
    </row>
    <row r="55" spans="1:5">
      <c r="B55" s="143" t="s">
        <v>217</v>
      </c>
      <c r="C55" s="143"/>
      <c r="D55" s="143"/>
      <c r="E55" s="143"/>
    </row>
    <row r="57" spans="1:5">
      <c r="B57" s="23" t="s">
        <v>75</v>
      </c>
    </row>
    <row r="59" spans="1:5">
      <c r="B59" s="43" t="s">
        <v>76</v>
      </c>
      <c r="C59" s="43" t="s">
        <v>139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148</v>
      </c>
      <c r="E62" s="44"/>
    </row>
    <row r="64" spans="1:5">
      <c r="B64" s="23" t="s">
        <v>74</v>
      </c>
    </row>
    <row r="66" spans="1:5">
      <c r="B66" s="43" t="s">
        <v>77</v>
      </c>
      <c r="C66" s="43" t="s">
        <v>78</v>
      </c>
      <c r="D66" s="43" t="s">
        <v>79</v>
      </c>
      <c r="E66" s="43" t="s">
        <v>80</v>
      </c>
    </row>
    <row r="67" spans="1:5">
      <c r="B67" s="26" t="s">
        <v>61</v>
      </c>
      <c r="C67" s="26" t="s">
        <v>65</v>
      </c>
      <c r="D67" s="26" t="s">
        <v>66</v>
      </c>
      <c r="E67" s="40">
        <v>1</v>
      </c>
    </row>
    <row r="68" spans="1:5">
      <c r="B68" s="26" t="s">
        <v>62</v>
      </c>
      <c r="C68" s="26" t="s">
        <v>63</v>
      </c>
      <c r="D68" s="26" t="s">
        <v>67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167</v>
      </c>
      <c r="D70" s="26" t="s">
        <v>168</v>
      </c>
      <c r="E70" s="40">
        <v>2</v>
      </c>
    </row>
    <row r="71" spans="1:5">
      <c r="B71" s="26" t="s">
        <v>198</v>
      </c>
      <c r="C71" s="26" t="s">
        <v>64</v>
      </c>
      <c r="D71" s="26" t="s">
        <v>68</v>
      </c>
      <c r="E71" s="40">
        <v>0</v>
      </c>
    </row>
    <row r="72" spans="1:5">
      <c r="D72" s="27" t="s">
        <v>69</v>
      </c>
      <c r="E72" s="39">
        <f>SUM(E67:E71)</f>
        <v>4</v>
      </c>
    </row>
    <row r="73" spans="1:5" ht="12" thickBot="1">
      <c r="D73" s="41" t="s">
        <v>138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70</v>
      </c>
      <c r="B79" s="21"/>
      <c r="C79" s="21"/>
      <c r="D79" s="21"/>
      <c r="E79" s="21"/>
    </row>
    <row r="81" spans="1:5">
      <c r="B81" s="143" t="s">
        <v>137</v>
      </c>
      <c r="C81" s="143"/>
      <c r="D81" s="143"/>
      <c r="E81" s="143"/>
    </row>
    <row r="83" spans="1:5">
      <c r="A83" s="28" t="s">
        <v>58</v>
      </c>
      <c r="B83" s="20" t="s">
        <v>221</v>
      </c>
    </row>
    <row r="84" spans="1:5">
      <c r="B84" s="24" t="s">
        <v>149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71</v>
      </c>
      <c r="B97" s="21"/>
      <c r="C97" s="21"/>
      <c r="D97" s="21"/>
      <c r="E97" s="21"/>
    </row>
    <row r="99" spans="1:5">
      <c r="B99" s="20" t="s">
        <v>72</v>
      </c>
    </row>
    <row r="100" spans="1:5">
      <c r="B100" s="24" t="s">
        <v>81</v>
      </c>
    </row>
    <row r="101" spans="1:5">
      <c r="B101" s="24" t="s">
        <v>82</v>
      </c>
    </row>
    <row r="102" spans="1:5">
      <c r="B102" s="24" t="s">
        <v>146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P10" sqref="P10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83</v>
      </c>
      <c r="H1" s="148"/>
      <c r="I1" s="148"/>
      <c r="J1" s="150" t="s">
        <v>4</v>
      </c>
      <c r="K1" s="150"/>
      <c r="L1" s="150"/>
      <c r="M1" s="149" t="s">
        <v>166</v>
      </c>
      <c r="N1" s="149"/>
      <c r="O1" s="145" t="s">
        <v>7</v>
      </c>
      <c r="P1" s="145"/>
      <c r="Q1" s="152" t="s">
        <v>180</v>
      </c>
      <c r="R1" s="152"/>
      <c r="S1" s="152"/>
      <c r="T1" s="152"/>
      <c r="U1" s="151" t="s">
        <v>176</v>
      </c>
      <c r="V1" s="151"/>
      <c r="W1" s="151"/>
      <c r="X1" s="146" t="s">
        <v>47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54</v>
      </c>
      <c r="H2" s="7" t="s">
        <v>55</v>
      </c>
      <c r="I2" s="7" t="s">
        <v>145</v>
      </c>
      <c r="J2" s="8" t="s">
        <v>184</v>
      </c>
      <c r="K2" s="8" t="s">
        <v>9</v>
      </c>
      <c r="L2" s="8" t="s">
        <v>172</v>
      </c>
      <c r="M2" s="8" t="s">
        <v>165</v>
      </c>
      <c r="N2" s="8" t="s">
        <v>171</v>
      </c>
      <c r="O2" s="7" t="s">
        <v>10</v>
      </c>
      <c r="P2" s="7" t="s">
        <v>6</v>
      </c>
      <c r="Q2" s="7" t="s">
        <v>177</v>
      </c>
      <c r="R2" s="7" t="s">
        <v>182</v>
      </c>
      <c r="S2" s="7" t="s">
        <v>178</v>
      </c>
      <c r="T2" s="7" t="s">
        <v>179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175</v>
      </c>
      <c r="Z2" s="9" t="s">
        <v>8</v>
      </c>
      <c r="AA2" s="10" t="s">
        <v>46</v>
      </c>
    </row>
    <row r="3" spans="1:27">
      <c r="B3" s="11" t="s">
        <v>360</v>
      </c>
      <c r="C3" s="11" t="s">
        <v>365</v>
      </c>
      <c r="D3" s="2">
        <v>10.75</v>
      </c>
      <c r="E3" s="12" t="s">
        <v>134</v>
      </c>
      <c r="F3" s="15">
        <v>0.24857571240316154</v>
      </c>
      <c r="G3" s="15">
        <f>F3 - Portfolio_Mgmt!$C$10</f>
        <v>0.13117571240316153</v>
      </c>
      <c r="H3" s="15">
        <f>F3 - Portfolio_Mgmt!$C$11</f>
        <v>0.21407571240316153</v>
      </c>
      <c r="I3" s="15">
        <v>0.12047621822249902</v>
      </c>
      <c r="J3" s="2">
        <v>9.6880750598555032</v>
      </c>
      <c r="K3" s="2">
        <v>18.622133071257309</v>
      </c>
      <c r="L3" s="71">
        <v>16.674764592822669</v>
      </c>
      <c r="M3" s="2">
        <v>12.028683972910242</v>
      </c>
      <c r="N3" s="2">
        <v>14.806423709871549</v>
      </c>
      <c r="O3" s="4">
        <v>9.3700487507701824E-2</v>
      </c>
      <c r="P3" s="4">
        <v>5.6247892394309815E-2</v>
      </c>
      <c r="Q3" s="4">
        <v>0.10095732097034157</v>
      </c>
      <c r="R3" s="4">
        <v>0.12639722903769574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1.7472710845216537</v>
      </c>
      <c r="X3" s="13" t="s">
        <v>366</v>
      </c>
      <c r="Y3" s="11" t="s">
        <v>361</v>
      </c>
      <c r="Z3" s="14">
        <v>46173</v>
      </c>
      <c r="AA3" s="16" t="s">
        <v>367</v>
      </c>
    </row>
    <row r="4" spans="1:27">
      <c r="B4" s="11" t="s">
        <v>329</v>
      </c>
      <c r="C4" s="11" t="s">
        <v>368</v>
      </c>
      <c r="D4" s="2">
        <v>3.97</v>
      </c>
      <c r="E4" s="12" t="s">
        <v>134</v>
      </c>
      <c r="F4" s="15">
        <v>0.23134838175364006</v>
      </c>
      <c r="G4" s="15">
        <f>F4 - Portfolio_Mgmt!$C$10</f>
        <v>0.11394838175364005</v>
      </c>
      <c r="H4" s="15">
        <f>F4 - Portfolio_Mgmt!$C$11</f>
        <v>0.19684838175364006</v>
      </c>
      <c r="I4" s="15">
        <v>0.10631363595028843</v>
      </c>
      <c r="J4" s="2">
        <v>3.4405239565560359</v>
      </c>
      <c r="K4" s="2">
        <v>6.5058028846321605</v>
      </c>
      <c r="L4" s="71">
        <v>5.9052943386330199</v>
      </c>
      <c r="M4" s="2">
        <v>4.2666126365476638</v>
      </c>
      <c r="N4" s="2">
        <v>5.2464692683177487</v>
      </c>
      <c r="O4" s="4">
        <v>0.11087812180242319</v>
      </c>
      <c r="P4" s="4">
        <v>6.0906801007556667E-2</v>
      </c>
      <c r="Q4" s="4">
        <v>0.17911384235321903</v>
      </c>
      <c r="R4" s="4">
        <v>0.23440332981639808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1.2724234787745901</v>
      </c>
      <c r="X4" s="13" t="s">
        <v>169</v>
      </c>
      <c r="Y4" s="11" t="s">
        <v>361</v>
      </c>
      <c r="Z4" s="14">
        <v>46081</v>
      </c>
      <c r="AA4" s="16" t="s">
        <v>367</v>
      </c>
    </row>
    <row r="5" spans="1:27">
      <c r="B5" s="11" t="s">
        <v>362</v>
      </c>
      <c r="C5" s="11" t="s">
        <v>363</v>
      </c>
      <c r="D5" s="2">
        <v>6.82</v>
      </c>
      <c r="E5" s="12" t="s">
        <v>134</v>
      </c>
      <c r="F5" s="15">
        <v>0.18954671847205182</v>
      </c>
      <c r="G5" s="15">
        <f>F5 - Portfolio_Mgmt!$C$10</f>
        <v>7.2146718472051813E-2</v>
      </c>
      <c r="H5" s="15">
        <f>F5 - Portfolio_Mgmt!$C$11</f>
        <v>0.15504671847205181</v>
      </c>
      <c r="I5" s="15">
        <v>0.12188902281768035</v>
      </c>
      <c r="J5" s="2">
        <v>5.3141281403824898</v>
      </c>
      <c r="K5" s="2">
        <v>10.967807599967429</v>
      </c>
      <c r="L5" s="71">
        <v>9.2614927891107719</v>
      </c>
      <c r="M5" s="2">
        <v>6.6339642861251669</v>
      </c>
      <c r="N5" s="2">
        <v>8.2038797297466814</v>
      </c>
      <c r="O5" s="4">
        <v>6.7310869559827818E-2</v>
      </c>
      <c r="P5" s="4">
        <v>2.0821114369501462E-2</v>
      </c>
      <c r="Q5" s="4">
        <v>0.3</v>
      </c>
      <c r="R5" s="4">
        <v>0.15217050538089463</v>
      </c>
      <c r="S5" s="79">
        <v>1.1106245684847842</v>
      </c>
      <c r="T5" s="78">
        <v>1.775102743966247</v>
      </c>
      <c r="U5" s="15">
        <v>0.17709797868255178</v>
      </c>
      <c r="V5" s="76">
        <v>0.82178780749892033</v>
      </c>
      <c r="W5" s="71">
        <v>-0.16650139591844174</v>
      </c>
      <c r="X5" s="13" t="s">
        <v>169</v>
      </c>
      <c r="Y5" s="11" t="s">
        <v>364</v>
      </c>
      <c r="Z5" s="14">
        <v>46081</v>
      </c>
      <c r="AA5" s="16" t="s">
        <v>181</v>
      </c>
    </row>
    <row r="6" spans="1:27">
      <c r="B6" s="11" t="s">
        <v>327</v>
      </c>
      <c r="C6" s="11" t="s">
        <v>328</v>
      </c>
      <c r="D6" s="2">
        <v>4.58</v>
      </c>
      <c r="E6" s="12" t="s">
        <v>134</v>
      </c>
      <c r="F6" s="15">
        <v>0.18268278943543581</v>
      </c>
      <c r="G6" s="15">
        <f>F6 - Portfolio_Mgmt!$C$10</f>
        <v>6.5282789435435806E-2</v>
      </c>
      <c r="H6" s="15">
        <f>F6 - Portfolio_Mgmt!$C$11</f>
        <v>0.14818278943543581</v>
      </c>
      <c r="I6" s="15">
        <v>0.10293279251291566</v>
      </c>
      <c r="J6" s="2">
        <v>3.5453162653105039</v>
      </c>
      <c r="K6" s="2">
        <v>6.5021029196761031</v>
      </c>
      <c r="L6" s="71">
        <v>6.0543353749158966</v>
      </c>
      <c r="M6" s="2">
        <v>4.3869285024051887</v>
      </c>
      <c r="N6" s="2">
        <v>5.3842307819113344</v>
      </c>
      <c r="O6" s="4">
        <v>8.8192833766867609E-2</v>
      </c>
      <c r="P6" s="4">
        <v>6.5502183406113551E-2</v>
      </c>
      <c r="Q6" s="4">
        <v>0.18</v>
      </c>
      <c r="R6" s="4">
        <v>5.5599077391744495E-2</v>
      </c>
      <c r="S6" s="79">
        <v>1.4798367611150316</v>
      </c>
      <c r="T6" s="78">
        <v>2.187716833659914</v>
      </c>
      <c r="U6" s="15">
        <v>0.76701287002940366</v>
      </c>
      <c r="V6" s="76">
        <v>5.0983946232940358</v>
      </c>
      <c r="W6" s="71">
        <v>-2.4800067209187837</v>
      </c>
      <c r="X6" s="13" t="s">
        <v>169</v>
      </c>
      <c r="Y6" s="11" t="s">
        <v>361</v>
      </c>
      <c r="Z6" s="14">
        <v>46173</v>
      </c>
      <c r="AA6" s="16" t="s">
        <v>181</v>
      </c>
    </row>
    <row r="7" spans="1:27">
      <c r="B7" s="11" t="s">
        <v>183</v>
      </c>
      <c r="C7" s="11" t="s">
        <v>371</v>
      </c>
      <c r="D7" s="2">
        <v>3.34</v>
      </c>
      <c r="E7" s="12" t="s">
        <v>134</v>
      </c>
      <c r="F7" s="15">
        <v>0.17332440890895257</v>
      </c>
      <c r="G7" s="15">
        <f>F7 - Portfolio_Mgmt!$C$10</f>
        <v>5.5924408908952561E-2</v>
      </c>
      <c r="H7" s="15">
        <f>F7 - Portfolio_Mgmt!$C$11</f>
        <v>0.13882440890895256</v>
      </c>
      <c r="I7" s="15">
        <v>7.462536362155528E-2</v>
      </c>
      <c r="J7" s="2">
        <v>2.5385815935033342</v>
      </c>
      <c r="K7" s="2">
        <v>4.4366120194593153</v>
      </c>
      <c r="L7" s="71">
        <v>4.3016714192105461</v>
      </c>
      <c r="M7" s="2">
        <v>3.1307450481218235</v>
      </c>
      <c r="N7" s="2">
        <v>3.8313906187252909</v>
      </c>
      <c r="O7" s="4">
        <v>7.2702044338182559E-2</v>
      </c>
      <c r="P7" s="4">
        <v>8.0838323353293426E-2</v>
      </c>
      <c r="Q7" s="4">
        <v>0.11354054587062024</v>
      </c>
      <c r="R7" s="4">
        <v>0.4243739445166862</v>
      </c>
      <c r="S7" s="79">
        <v>0.22035988512352028</v>
      </c>
      <c r="T7" s="78">
        <v>1.2141426890285656</v>
      </c>
      <c r="U7" s="15">
        <v>2.3107986944995245E-3</v>
      </c>
      <c r="V7" s="76">
        <v>2.0454423835375664E-2</v>
      </c>
      <c r="W7" s="71">
        <v>0.79833937207218564</v>
      </c>
      <c r="X7" s="13" t="s">
        <v>372</v>
      </c>
      <c r="Y7" s="11" t="s">
        <v>361</v>
      </c>
      <c r="Z7" s="14">
        <v>46081</v>
      </c>
      <c r="AA7" s="16" t="s">
        <v>181</v>
      </c>
    </row>
    <row r="8" spans="1:27">
      <c r="B8" s="11" t="s">
        <v>330</v>
      </c>
      <c r="C8" s="11" t="s">
        <v>369</v>
      </c>
      <c r="D8" s="2">
        <v>7.99</v>
      </c>
      <c r="E8" s="12" t="s">
        <v>134</v>
      </c>
      <c r="F8" s="15">
        <v>0.16181148869247997</v>
      </c>
      <c r="G8" s="15">
        <f>F8 - Portfolio_Mgmt!$C$10</f>
        <v>4.4411488692479961E-2</v>
      </c>
      <c r="H8" s="15">
        <f>F8 - Portfolio_Mgmt!$C$11</f>
        <v>0.12731148869247996</v>
      </c>
      <c r="I8" s="15">
        <v>1.7617315634907472E-2</v>
      </c>
      <c r="J8" s="2">
        <v>5.841570685953223</v>
      </c>
      <c r="K8" s="2">
        <v>11.412487419243361</v>
      </c>
      <c r="L8" s="71">
        <v>10.082396375345272</v>
      </c>
      <c r="M8" s="2">
        <v>7.2616608233908151</v>
      </c>
      <c r="N8" s="2">
        <v>8.947842609026468</v>
      </c>
      <c r="O8" s="4">
        <v>8.8160935933878568E-2</v>
      </c>
      <c r="P8" s="4">
        <v>3.9831697433212902E-2</v>
      </c>
      <c r="Q8" s="4">
        <v>0.17171984066369478</v>
      </c>
      <c r="R8" s="4">
        <v>8.3606077914317095E-2</v>
      </c>
      <c r="S8" s="79">
        <v>1.3282158707615834</v>
      </c>
      <c r="T8" s="78">
        <v>1.5463719418456539</v>
      </c>
      <c r="U8" s="15">
        <v>0.22428295339746124</v>
      </c>
      <c r="V8" s="76">
        <v>1.2715557492373779</v>
      </c>
      <c r="W8" s="71">
        <v>-2.955035298687652</v>
      </c>
      <c r="X8" s="13" t="s">
        <v>370</v>
      </c>
      <c r="Y8" s="11" t="s">
        <v>364</v>
      </c>
      <c r="Z8" s="14">
        <v>46081</v>
      </c>
      <c r="AA8" s="16" t="s">
        <v>367</v>
      </c>
    </row>
    <row r="9" spans="1:27">
      <c r="B9" s="11" t="s">
        <v>380</v>
      </c>
      <c r="C9" s="11" t="s">
        <v>381</v>
      </c>
      <c r="D9" s="2">
        <v>4.6900000000000004</v>
      </c>
      <c r="E9" s="12" t="s">
        <v>134</v>
      </c>
      <c r="F9" s="15">
        <v>0.15262981708994752</v>
      </c>
      <c r="G9" s="15">
        <f>F9 - Portfolio_Mgmt!$C$10</f>
        <v>3.5229817089947518E-2</v>
      </c>
      <c r="H9" s="15">
        <f>F9 - Portfolio_Mgmt!$C$11</f>
        <v>0.11812981708994752</v>
      </c>
      <c r="I9" s="15">
        <v>0</v>
      </c>
      <c r="J9" s="2">
        <v>3.3455729956390798</v>
      </c>
      <c r="K9" s="2">
        <v>6.6277455556474951</v>
      </c>
      <c r="L9" s="71">
        <v>5.7883592149489207</v>
      </c>
      <c r="M9" s="2">
        <v>4.1632581103676909</v>
      </c>
      <c r="N9" s="2">
        <v>5.1345919269174427</v>
      </c>
      <c r="O9" s="4">
        <v>6.6142428861876476E-2</v>
      </c>
      <c r="P9" s="4">
        <v>3.3944562899786777E-2</v>
      </c>
      <c r="Q9" s="4">
        <v>0.27382509866113364</v>
      </c>
      <c r="R9" s="4">
        <v>0.20764453215246689</v>
      </c>
      <c r="S9" s="79">
        <v>0.86056930273853416</v>
      </c>
      <c r="T9" s="78">
        <v>1.532381509863507</v>
      </c>
      <c r="U9" s="15">
        <v>0.27351475277205878</v>
      </c>
      <c r="V9" s="76">
        <v>0.94608729427783522</v>
      </c>
      <c r="W9" s="71">
        <v>0.59749676752244707</v>
      </c>
      <c r="X9" s="13" t="s">
        <v>169</v>
      </c>
      <c r="Y9" s="11" t="s">
        <v>364</v>
      </c>
      <c r="Z9" s="14">
        <v>46173</v>
      </c>
      <c r="AA9" s="16" t="s">
        <v>367</v>
      </c>
    </row>
    <row r="10" spans="1:27">
      <c r="B10" s="11" t="s">
        <v>377</v>
      </c>
      <c r="C10" s="11" t="s">
        <v>378</v>
      </c>
      <c r="D10" s="2">
        <v>97</v>
      </c>
      <c r="E10" s="12" t="s">
        <v>134</v>
      </c>
      <c r="F10" s="15">
        <v>0.14315708491628415</v>
      </c>
      <c r="G10" s="15">
        <f>F10 - Portfolio_Mgmt!$C$10</f>
        <v>2.5757084916284145E-2</v>
      </c>
      <c r="H10" s="15">
        <f>F10 - Portfolio_Mgmt!$C$11</f>
        <v>0.10865708491628415</v>
      </c>
      <c r="I10" s="15">
        <v>0</v>
      </c>
      <c r="J10" s="2">
        <v>66.777435624643843</v>
      </c>
      <c r="K10" s="2">
        <v>144.90703530547711</v>
      </c>
      <c r="L10" s="71">
        <v>117.46204798303134</v>
      </c>
      <c r="M10" s="2">
        <v>83.700814616882113</v>
      </c>
      <c r="N10" s="2">
        <v>103.86362357616365</v>
      </c>
      <c r="O10" s="4">
        <v>1.2654232410871777E-2</v>
      </c>
      <c r="P10" s="4">
        <v>0</v>
      </c>
      <c r="Q10" s="4">
        <v>0.25</v>
      </c>
      <c r="R10" s="4">
        <v>0.13647968218259099</v>
      </c>
      <c r="S10" s="79">
        <v>1.022390799101176</v>
      </c>
      <c r="T10" s="78">
        <v>1.7916578376478161</v>
      </c>
      <c r="U10" s="15">
        <v>0.27660377540313014</v>
      </c>
      <c r="V10" s="76">
        <v>3.1316510969641755</v>
      </c>
      <c r="W10" s="71">
        <v>3.5687171540034233</v>
      </c>
      <c r="X10" s="16" t="s">
        <v>379</v>
      </c>
      <c r="Y10" s="11" t="s">
        <v>364</v>
      </c>
      <c r="Z10" s="14">
        <v>46081</v>
      </c>
      <c r="AA10" s="16" t="s">
        <v>367</v>
      </c>
    </row>
    <row r="11" spans="1:27">
      <c r="B11" s="11" t="s">
        <v>157</v>
      </c>
      <c r="C11" s="11" t="s">
        <v>373</v>
      </c>
      <c r="D11" s="2">
        <v>21.3</v>
      </c>
      <c r="E11" s="12" t="s">
        <v>134</v>
      </c>
      <c r="F11" s="15">
        <v>0.11496847164980739</v>
      </c>
      <c r="G11" s="15">
        <f>F11 - Portfolio_Mgmt!$C$10</f>
        <v>-2.4315283501926133E-3</v>
      </c>
      <c r="H11" s="15">
        <f>F11 - Portfolio_Mgmt!$C$11</f>
        <v>8.0468471649807388E-2</v>
      </c>
      <c r="I11" s="15">
        <v>0</v>
      </c>
      <c r="J11" s="2">
        <v>13.752733796744232</v>
      </c>
      <c r="K11" s="2">
        <v>27.769655576511969</v>
      </c>
      <c r="L11" s="71">
        <v>23.874498413507318</v>
      </c>
      <c r="M11" s="2">
        <v>17.139070461237182</v>
      </c>
      <c r="N11" s="2">
        <v>21.164194311953938</v>
      </c>
      <c r="O11" s="4">
        <v>5.2612079486870633E-2</v>
      </c>
      <c r="P11" s="4">
        <v>2.4519228558988346E-2</v>
      </c>
      <c r="Q11" s="4">
        <v>0.2</v>
      </c>
      <c r="R11" s="4">
        <v>0.13430424833028851</v>
      </c>
      <c r="S11" s="79">
        <v>1.1000000000000001</v>
      </c>
      <c r="T11" s="78">
        <v>1.3537783359692717</v>
      </c>
      <c r="U11" s="15">
        <v>6.5417684980282262E-2</v>
      </c>
      <c r="V11" s="76">
        <v>0.50358953318926281</v>
      </c>
      <c r="W11" s="71">
        <v>5.5853581677685806</v>
      </c>
      <c r="X11" s="13" t="s">
        <v>374</v>
      </c>
      <c r="Y11" s="11" t="s">
        <v>364</v>
      </c>
      <c r="Z11" s="14">
        <v>46081</v>
      </c>
      <c r="AA11" s="16" t="s">
        <v>181</v>
      </c>
    </row>
    <row r="12" spans="1:27">
      <c r="B12" s="11" t="s">
        <v>170</v>
      </c>
      <c r="C12" s="11" t="s">
        <v>375</v>
      </c>
      <c r="D12" s="2">
        <v>22.74</v>
      </c>
      <c r="E12" s="12" t="s">
        <v>134</v>
      </c>
      <c r="F12" s="15">
        <v>9.3801985612468525E-2</v>
      </c>
      <c r="G12" s="15">
        <f>F12 - Portfolio_Mgmt!$C$10</f>
        <v>-2.359801438753148E-2</v>
      </c>
      <c r="H12" s="15">
        <f>F12 - Portfolio_Mgmt!$C$11</f>
        <v>5.9301985612468522E-2</v>
      </c>
      <c r="I12" s="15">
        <v>0</v>
      </c>
      <c r="J12" s="2">
        <v>14.108625339881018</v>
      </c>
      <c r="K12" s="2">
        <v>25.612536808141513</v>
      </c>
      <c r="L12" s="71">
        <v>24.053186736337686</v>
      </c>
      <c r="M12" s="2">
        <v>17.445290061294216</v>
      </c>
      <c r="N12" s="2">
        <v>21.397931887392307</v>
      </c>
      <c r="O12" s="4">
        <v>0.10556854382417974</v>
      </c>
      <c r="P12" s="4">
        <v>5.5408970976253302E-2</v>
      </c>
      <c r="Q12" s="4">
        <v>0.17275816461101692</v>
      </c>
      <c r="R12" s="4">
        <v>0.32389125963769955</v>
      </c>
      <c r="S12" s="79">
        <v>0.37580175109499292</v>
      </c>
      <c r="T12" s="78">
        <v>1.419320754716981</v>
      </c>
      <c r="U12" s="15">
        <v>9.2018392262565404E-2</v>
      </c>
      <c r="V12" s="76">
        <v>0.52808720739977155</v>
      </c>
      <c r="W12" s="71">
        <v>0.46060912386142633</v>
      </c>
      <c r="X12" s="13" t="s">
        <v>376</v>
      </c>
      <c r="Y12" s="11" t="s">
        <v>361</v>
      </c>
      <c r="Z12" s="14">
        <v>46081</v>
      </c>
      <c r="AA12" s="16" t="s">
        <v>181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4" t="s">
        <v>234</v>
      </c>
      <c r="C4" s="143"/>
      <c r="D4" s="143"/>
      <c r="E4" s="143"/>
    </row>
    <row r="6" spans="1:5">
      <c r="A6" s="20" t="s">
        <v>58</v>
      </c>
      <c r="B6" s="19" t="s">
        <v>235</v>
      </c>
      <c r="C6" s="47"/>
    </row>
    <row r="7" spans="1:5">
      <c r="B7" s="144" t="s">
        <v>325</v>
      </c>
      <c r="C7" s="143"/>
      <c r="D7" s="143"/>
      <c r="E7" s="143"/>
    </row>
    <row r="9" spans="1:5">
      <c r="B9" s="23" t="s">
        <v>236</v>
      </c>
    </row>
    <row r="10" spans="1:5">
      <c r="B10" s="1" t="s">
        <v>237</v>
      </c>
      <c r="C10" s="105">
        <f>benchmark</f>
        <v>0.1174</v>
      </c>
    </row>
    <row r="11" spans="1:5">
      <c r="B11" s="1" t="s">
        <v>238</v>
      </c>
      <c r="C11" s="105">
        <f>Cash_Yield</f>
        <v>3.4500000000000003E-2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59</v>
      </c>
      <c r="B23" s="19" t="s">
        <v>251</v>
      </c>
      <c r="C23" s="47"/>
    </row>
    <row r="24" spans="1:5">
      <c r="A24" s="18"/>
      <c r="B24" s="144" t="s">
        <v>250</v>
      </c>
      <c r="C24" s="143"/>
      <c r="D24" s="143"/>
      <c r="E24" s="143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60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0.29465259038036606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0.20075184365903009</v>
      </c>
      <c r="D33" s="96" t="s">
        <v>266</v>
      </c>
      <c r="E33" s="97">
        <f>(C32*C33+(1-C32)*C34)/(2*C33)</f>
        <v>3.6621760332915154</v>
      </c>
    </row>
    <row r="34" spans="1:5" ht="12" thickBot="1">
      <c r="B34" s="98" t="s">
        <v>262</v>
      </c>
      <c r="C34" s="99">
        <f>E32+C33</f>
        <v>2.0007518436590295</v>
      </c>
      <c r="D34" s="100" t="s">
        <v>267</v>
      </c>
      <c r="E34" s="101">
        <f>-C33/C34</f>
        <v>-0.10033820250885769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3" t="s">
        <v>270</v>
      </c>
      <c r="C40" s="143"/>
      <c r="D40" s="143"/>
      <c r="E40" s="143"/>
    </row>
    <row r="41" spans="1:5">
      <c r="B41" s="144" t="s">
        <v>271</v>
      </c>
      <c r="C41" s="143"/>
      <c r="D41" s="143"/>
      <c r="E41" s="143"/>
    </row>
    <row r="42" spans="1:5">
      <c r="B42" s="144" t="s">
        <v>272</v>
      </c>
      <c r="C42" s="143"/>
      <c r="D42" s="143"/>
      <c r="E42" s="143"/>
    </row>
    <row r="43" spans="1:5">
      <c r="B43" s="144" t="s">
        <v>273</v>
      </c>
      <c r="C43" s="144"/>
      <c r="D43" s="144"/>
      <c r="E43" s="144"/>
    </row>
    <row r="44" spans="1:5" ht="34.35" customHeight="1">
      <c r="B44" s="143" t="s">
        <v>324</v>
      </c>
      <c r="C44" s="143"/>
      <c r="D44" s="143"/>
      <c r="E44" s="143"/>
    </row>
    <row r="46" spans="1:5">
      <c r="A46" s="21" t="s">
        <v>274</v>
      </c>
      <c r="B46" s="21"/>
      <c r="C46" s="21"/>
      <c r="D46" s="21"/>
      <c r="E46" s="21"/>
    </row>
    <row r="48" spans="1:5">
      <c r="B48" s="143" t="s">
        <v>275</v>
      </c>
      <c r="C48" s="143"/>
      <c r="D48" s="143"/>
      <c r="E48" s="143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3" t="s">
        <v>307</v>
      </c>
      <c r="C74" s="143"/>
      <c r="D74" s="143"/>
      <c r="E74" s="143"/>
    </row>
    <row r="76" spans="1:5">
      <c r="A76" s="28" t="s">
        <v>58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11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-0.65</v>
      </c>
    </row>
    <row r="12" spans="1:4">
      <c r="B12" s="119" t="s">
        <v>216</v>
      </c>
    </row>
    <row r="13" spans="1:4">
      <c r="B13" s="153" t="s">
        <v>342</v>
      </c>
      <c r="C13" s="153"/>
      <c r="D13" s="153"/>
    </row>
    <row r="14" spans="1:4">
      <c r="B14" s="154" t="s">
        <v>343</v>
      </c>
      <c r="C14" s="155"/>
      <c r="D14" s="155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337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339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127</v>
      </c>
    </row>
    <row r="2" spans="1:5">
      <c r="A2" s="31"/>
      <c r="B2" s="32" t="s">
        <v>12</v>
      </c>
      <c r="C2" s="18"/>
      <c r="D2" s="22"/>
      <c r="E2" s="18"/>
    </row>
    <row r="3" spans="1:5">
      <c r="C3" s="28" t="s">
        <v>13</v>
      </c>
      <c r="D3" s="28" t="s">
        <v>14</v>
      </c>
      <c r="E3" s="28" t="s">
        <v>15</v>
      </c>
    </row>
    <row r="4" spans="1:5">
      <c r="B4" s="33" t="s">
        <v>16</v>
      </c>
      <c r="C4" s="34">
        <v>4.2999999999999997E-2</v>
      </c>
      <c r="D4" s="34">
        <v>6.7500000000000004E-2</v>
      </c>
      <c r="E4" s="35">
        <f>D4-C4</f>
        <v>2.4500000000000008E-2</v>
      </c>
    </row>
    <row r="5" spans="1: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19</v>
      </c>
    </row>
    <row r="9" spans="1:5">
      <c r="B9" s="1" t="s">
        <v>50</v>
      </c>
      <c r="C9" s="28" t="s">
        <v>20</v>
      </c>
    </row>
    <row r="10" spans="1:5">
      <c r="B10" s="26" t="s">
        <v>21</v>
      </c>
      <c r="C10" s="34">
        <v>9.9400000000000002E-2</v>
      </c>
    </row>
    <row r="11" spans="1:5">
      <c r="B11" s="26" t="s">
        <v>22</v>
      </c>
      <c r="C11" s="34">
        <v>0.1174</v>
      </c>
    </row>
    <row r="12" spans="1:5">
      <c r="B12" s="26" t="s">
        <v>23</v>
      </c>
      <c r="C12" s="34">
        <v>3.4500000000000003E-2</v>
      </c>
    </row>
    <row r="13" spans="1:5">
      <c r="B13" s="26" t="s">
        <v>24</v>
      </c>
      <c r="C13" s="34">
        <v>3.3099999999999997E-2</v>
      </c>
    </row>
    <row r="14" spans="1:5">
      <c r="B14" s="26" t="s">
        <v>25</v>
      </c>
      <c r="C14" s="34">
        <v>4.2299999999999997E-2</v>
      </c>
    </row>
    <row r="15" spans="1:5">
      <c r="B15" s="26" t="s">
        <v>26</v>
      </c>
      <c r="C15" s="34">
        <v>5.1200000000000002E-2</v>
      </c>
    </row>
    <row r="16" spans="1:5">
      <c r="B16" s="36" t="s">
        <v>57</v>
      </c>
      <c r="C16" s="37">
        <f>MAX(Portfolio_Mgmt!C12,C10:C15)</f>
        <v>0.1174</v>
      </c>
    </row>
    <row r="18" spans="1:5">
      <c r="A18" s="31"/>
      <c r="B18" s="32" t="s">
        <v>27</v>
      </c>
      <c r="C18" s="18"/>
      <c r="D18" s="22"/>
      <c r="E18" s="18"/>
    </row>
    <row r="19" spans="1:5">
      <c r="B19" s="18" t="s">
        <v>28</v>
      </c>
      <c r="C19" s="38" t="s">
        <v>29</v>
      </c>
    </row>
    <row r="20" spans="1:5">
      <c r="B20" s="1" t="s">
        <v>30</v>
      </c>
      <c r="C20" s="38" t="s">
        <v>31</v>
      </c>
    </row>
    <row r="21" spans="1:5">
      <c r="B21" s="1" t="s">
        <v>32</v>
      </c>
      <c r="C21" s="38" t="s">
        <v>33</v>
      </c>
    </row>
    <row r="22" spans="1:5">
      <c r="C22" s="38"/>
    </row>
    <row r="23" spans="1:5">
      <c r="B23" s="1" t="s">
        <v>34</v>
      </c>
      <c r="C23" s="38" t="s">
        <v>35</v>
      </c>
    </row>
    <row r="24" spans="1:5">
      <c r="B24" s="1" t="s">
        <v>36</v>
      </c>
      <c r="C24" s="38" t="s">
        <v>37</v>
      </c>
    </row>
    <row r="25" spans="1:5">
      <c r="C25" s="38"/>
    </row>
    <row r="26" spans="1:5">
      <c r="B26" s="1" t="s">
        <v>38</v>
      </c>
      <c r="C26" s="38" t="s">
        <v>39</v>
      </c>
    </row>
    <row r="27" spans="1:5">
      <c r="B27" s="1" t="s">
        <v>40</v>
      </c>
      <c r="C27" s="38" t="s">
        <v>41</v>
      </c>
    </row>
    <row r="28" spans="1:5">
      <c r="C28" s="38"/>
    </row>
    <row r="29" spans="1:5">
      <c r="B29" s="1" t="s">
        <v>42</v>
      </c>
      <c r="C29" s="38" t="s">
        <v>43</v>
      </c>
    </row>
    <row r="31" spans="1:5">
      <c r="B31" s="1" t="s">
        <v>44</v>
      </c>
      <c r="C31" s="38" t="s">
        <v>45</v>
      </c>
    </row>
    <row r="34" spans="1:5">
      <c r="A34" s="31"/>
      <c r="B34" s="32" t="s">
        <v>358</v>
      </c>
    </row>
    <row r="35" spans="1:5" ht="223.15" customHeight="1">
      <c r="B35" s="156" t="s">
        <v>359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9" sqref="M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150</v>
      </c>
      <c r="C1" s="115"/>
    </row>
    <row r="2" spans="1:13" ht="29.75" customHeight="1">
      <c r="B2" s="52" t="s">
        <v>2</v>
      </c>
      <c r="C2" s="52" t="s">
        <v>331</v>
      </c>
      <c r="D2" s="52" t="s">
        <v>153</v>
      </c>
      <c r="E2" s="52" t="s">
        <v>152</v>
      </c>
      <c r="F2" s="52" t="s">
        <v>151</v>
      </c>
      <c r="G2" s="52" t="s">
        <v>156</v>
      </c>
      <c r="H2" s="52" t="s">
        <v>161</v>
      </c>
      <c r="I2" s="52" t="s">
        <v>145</v>
      </c>
      <c r="J2" s="52" t="s">
        <v>165</v>
      </c>
      <c r="K2" s="52" t="s">
        <v>184</v>
      </c>
      <c r="L2" s="52" t="s">
        <v>185</v>
      </c>
      <c r="M2" s="52" t="s">
        <v>186</v>
      </c>
    </row>
    <row r="3" spans="1:13">
      <c r="B3" s="62" t="s">
        <v>24</v>
      </c>
      <c r="C3" s="62"/>
      <c r="D3" s="60" t="s">
        <v>155</v>
      </c>
      <c r="E3" s="59" t="s">
        <v>154</v>
      </c>
      <c r="F3" s="61" t="s">
        <v>155</v>
      </c>
      <c r="G3" s="57">
        <f>683820+45083</f>
        <v>728903</v>
      </c>
      <c r="H3" s="58">
        <f t="shared" ref="H3:H9" si="0">G3/$G$12</f>
        <v>0.59118953593150703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157</v>
      </c>
      <c r="C4" s="62" t="str">
        <f>VLOOKUP(B4,Opportunities!B$3:E$30,2,FALSE)</f>
        <v>李宁</v>
      </c>
      <c r="D4" s="60">
        <f>VLOOKUP(B4,Opportunities!B$3:E$30,3,FALSE)</f>
        <v>21.3</v>
      </c>
      <c r="E4" s="59" t="str">
        <f>VLOOKUP(B4,Opportunities!B$3:E$30,4,FALSE)</f>
        <v>HKD</v>
      </c>
      <c r="F4" s="57">
        <v>4500</v>
      </c>
      <c r="G4" s="61">
        <f t="shared" ref="G4:G10" si="1">D4*F4</f>
        <v>95850</v>
      </c>
      <c r="H4" s="58">
        <f t="shared" si="0"/>
        <v>7.7740820135237393E-2</v>
      </c>
      <c r="I4" s="58">
        <f>VLOOKUP(B4,Opportunities!B$3:I$30,8,FALSE)</f>
        <v>0</v>
      </c>
      <c r="J4" s="81">
        <f>VLOOKUP(B4,Opportunities!B$3:N$30,12,FALSE)</f>
        <v>17.139070461237182</v>
      </c>
      <c r="K4" s="81">
        <f>VLOOKUP(B4,Opportunities!B$3:N$30,9,FALSE)</f>
        <v>13.752733796744232</v>
      </c>
      <c r="L4" s="81">
        <f>VLOOKUP(B4,Opportunities!B$3:N$30,11,FALSE)</f>
        <v>23.874498413507318</v>
      </c>
      <c r="M4" s="81">
        <f>VLOOKUP(B4,Opportunities!B$3:N$30,13,FALSE)</f>
        <v>21.164194311953938</v>
      </c>
    </row>
    <row r="5" spans="1:13">
      <c r="B5" s="63" t="s">
        <v>170</v>
      </c>
      <c r="C5" s="62" t="str">
        <f>VLOOKUP(B5,Opportunities!B$3:E$30,2,FALSE)</f>
        <v>中国海油</v>
      </c>
      <c r="D5" s="60">
        <f>VLOOKUP(B5,Opportunities!B$3:E$30,3,FALSE)</f>
        <v>22.74</v>
      </c>
      <c r="E5" s="59" t="str">
        <f>VLOOKUP(B5,Opportunities!B$3:E$30,4,FALSE)</f>
        <v>HKD</v>
      </c>
      <c r="F5" s="57">
        <v>4000</v>
      </c>
      <c r="G5" s="61">
        <f t="shared" si="1"/>
        <v>90960</v>
      </c>
      <c r="H5" s="58">
        <f t="shared" si="0"/>
        <v>7.3774700046960809E-2</v>
      </c>
      <c r="I5" s="58">
        <f>VLOOKUP(B5,Opportunities!B$3:I$30,8,FALSE)</f>
        <v>0</v>
      </c>
      <c r="J5" s="81">
        <f>VLOOKUP(B5,Opportunities!B$3:N$30,12,FALSE)</f>
        <v>17.445290061294216</v>
      </c>
      <c r="K5" s="81">
        <f>VLOOKUP(B5,Opportunities!B$3:N$30,9,FALSE)</f>
        <v>14.108625339881018</v>
      </c>
      <c r="L5" s="81">
        <f>VLOOKUP(B5,Opportunities!B$3:N$30,11,FALSE)</f>
        <v>24.053186736337686</v>
      </c>
      <c r="M5" s="81">
        <f>VLOOKUP(B5,Opportunities!B$3:N$30,13,FALSE)</f>
        <v>21.397931887392307</v>
      </c>
    </row>
    <row r="6" spans="1:13">
      <c r="B6" s="63" t="s">
        <v>183</v>
      </c>
      <c r="C6" s="62" t="str">
        <f>VLOOKUP(B6,Opportunities!B$3:E$30,2,FALSE)</f>
        <v>首钢资源</v>
      </c>
      <c r="D6" s="60">
        <f>VLOOKUP(B6,Opportunities!B$3:E$30,3,FALSE)</f>
        <v>3.34</v>
      </c>
      <c r="E6" s="59" t="str">
        <f>VLOOKUP(B6,Opportunities!B$3:E$30,4,FALSE)</f>
        <v>HKD</v>
      </c>
      <c r="F6" s="57">
        <v>40000</v>
      </c>
      <c r="G6" s="61">
        <f t="shared" si="1"/>
        <v>133600</v>
      </c>
      <c r="H6" s="58">
        <f t="shared" si="0"/>
        <v>0.10835861836273047</v>
      </c>
      <c r="I6" s="58">
        <f>VLOOKUP(B6,Opportunities!B$3:I$30,8,FALSE)</f>
        <v>7.462536362155528E-2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330</v>
      </c>
      <c r="C7" s="62" t="str">
        <f>VLOOKUP(B7,Opportunities!B$3:E$30,2,FALSE)</f>
        <v>昆仑能源</v>
      </c>
      <c r="D7" s="60">
        <f>VLOOKUP(B7,Opportunities!B$3:E$30,3,FALSE)</f>
        <v>7.99</v>
      </c>
      <c r="E7" s="59" t="str">
        <f>VLOOKUP(B7,Opportunities!B$3:E$30,4,FALSE)</f>
        <v>HKD</v>
      </c>
      <c r="F7" s="57">
        <v>8000</v>
      </c>
      <c r="G7" s="61">
        <f t="shared" si="1"/>
        <v>63920</v>
      </c>
      <c r="H7" s="58">
        <f t="shared" si="0"/>
        <v>5.1843434773545895E-2</v>
      </c>
      <c r="I7" s="58">
        <f>VLOOKUP(B7,Opportunities!B$3:I$30,8,FALSE)</f>
        <v>1.7617315634907472E-2</v>
      </c>
      <c r="J7" s="81">
        <f>VLOOKUP(B7,Opportunities!B$3:N$30,12,FALSE)</f>
        <v>7.2616608233908151</v>
      </c>
      <c r="K7" s="81">
        <f>VLOOKUP(B7,Opportunities!B$3:N$30,9,FALSE)</f>
        <v>5.841570685953223</v>
      </c>
      <c r="L7" s="81">
        <f>VLOOKUP(B7,Opportunities!B$3:N$30,11,FALSE)</f>
        <v>10.082396375345272</v>
      </c>
      <c r="M7" s="81">
        <f>VLOOKUP(B7,Opportunities!B$3:N$30,13,FALSE)</f>
        <v>8.947842609026468</v>
      </c>
    </row>
    <row r="8" spans="1:13">
      <c r="B8" s="63" t="s">
        <v>360</v>
      </c>
      <c r="C8" s="62" t="str">
        <f>VLOOKUP(B8,Opportunities!B$3:E$30,2,FALSE)</f>
        <v>新华文轩</v>
      </c>
      <c r="D8" s="60">
        <f>VLOOKUP(B8,Opportunities!B$3:E$30,3,FALSE)</f>
        <v>10.75</v>
      </c>
      <c r="E8" s="59" t="str">
        <f>VLOOKUP(B8,Opportunities!B$3:E$30,4,FALSE)</f>
        <v>HKD</v>
      </c>
      <c r="F8" s="57">
        <v>5000</v>
      </c>
      <c r="G8" s="61">
        <f t="shared" si="1"/>
        <v>53750</v>
      </c>
      <c r="H8" s="58">
        <f t="shared" si="0"/>
        <v>4.3594878270933855E-2</v>
      </c>
      <c r="I8" s="58">
        <f>VLOOKUP(B8,Opportunities!B$3:I$30,8,FALSE)</f>
        <v>0.12047621822249902</v>
      </c>
      <c r="J8" s="81">
        <f>VLOOKUP(B8,Opportunities!B$3:N$30,12,FALSE)</f>
        <v>12.028683972910242</v>
      </c>
      <c r="K8" s="81">
        <f>VLOOKUP(B8,Opportunities!B$3:N$30,9,FALSE)</f>
        <v>9.6880750598555032</v>
      </c>
      <c r="L8" s="81">
        <f>VLOOKUP(B8,Opportunities!B$3:N$30,11,FALSE)</f>
        <v>16.674764592822669</v>
      </c>
      <c r="M8" s="81">
        <f>VLOOKUP(B8,Opportunities!B$3:N$30,13,FALSE)</f>
        <v>14.806423709871549</v>
      </c>
    </row>
    <row r="9" spans="1:13">
      <c r="B9" s="63" t="s">
        <v>327</v>
      </c>
      <c r="C9" s="62" t="str">
        <f>VLOOKUP(B9,Opportunities!B$3:E$30,2,FALSE)</f>
        <v>大家乐集团</v>
      </c>
      <c r="D9" s="60">
        <f>VLOOKUP(B9,Opportunities!B$3:E$30,3,FALSE)</f>
        <v>4.58</v>
      </c>
      <c r="E9" s="59" t="str">
        <f>VLOOKUP(B9,Opportunities!B$3:E$30,4,FALSE)</f>
        <v>HKD</v>
      </c>
      <c r="F9" s="57">
        <v>4000</v>
      </c>
      <c r="G9" s="61">
        <f t="shared" si="1"/>
        <v>18320</v>
      </c>
      <c r="H9" s="58">
        <f t="shared" si="0"/>
        <v>1.4858756649739688E-2</v>
      </c>
      <c r="I9" s="58">
        <f>VLOOKUP(B9,Opportunities!B$3:I$30,8,FALSE)</f>
        <v>0.10293279251291566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329</v>
      </c>
      <c r="C10" s="62" t="str">
        <f>VLOOKUP(B10,Opportunities!B$3:E$30,2,FALSE)</f>
        <v>中国飞鹤</v>
      </c>
      <c r="D10" s="60">
        <f>VLOOKUP(B10,Opportunities!B$3:E$30,3,FALSE)</f>
        <v>3.97</v>
      </c>
      <c r="E10" s="59" t="str">
        <f>VLOOKUP(B10,Opportunities!B$3:E$30,4,FALSE)</f>
        <v>HKD</v>
      </c>
      <c r="F10" s="57">
        <v>12000</v>
      </c>
      <c r="G10" s="61">
        <f t="shared" si="1"/>
        <v>47640</v>
      </c>
      <c r="H10" s="58">
        <f t="shared" ref="H10" si="2">G10/$G$12</f>
        <v>3.863925582934491E-2</v>
      </c>
      <c r="I10" s="58">
        <f>VLOOKUP(B10,Opportunities!B$3:I$30,8,FALSE)</f>
        <v>0.10631363595028843</v>
      </c>
      <c r="J10" s="81">
        <f>VLOOKUP(B10,Opportunities!B$3:N$30,12,FALSE)</f>
        <v>4.2666126365476638</v>
      </c>
      <c r="K10" s="81">
        <f>VLOOKUP(B10,Opportunities!B$3:N$30,9,FALSE)</f>
        <v>3.4405239565560359</v>
      </c>
      <c r="L10" s="81">
        <f>VLOOKUP(B10,Opportunities!B$3:N$30,11,FALSE)</f>
        <v>5.9052943386330199</v>
      </c>
      <c r="M10" s="81">
        <f>VLOOKUP(B10,Opportunities!B$3:N$30,13,FALSE)</f>
        <v>5.2464692683177487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160</v>
      </c>
      <c r="G12" s="66">
        <f>SUM(G3:G10)</f>
        <v>1232943</v>
      </c>
      <c r="H12" s="67">
        <f>SUM(H3:H10)</f>
        <v>1</v>
      </c>
      <c r="I12" s="73">
        <f>SUM(I3:I10)</f>
        <v>0.8719653259421658</v>
      </c>
      <c r="J12" s="82" t="s">
        <v>187</v>
      </c>
      <c r="K12" s="82" t="s">
        <v>187</v>
      </c>
      <c r="L12" s="82" t="s">
        <v>187</v>
      </c>
      <c r="M12" s="82" t="s">
        <v>187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158</v>
      </c>
      <c r="C14" s="115"/>
    </row>
    <row r="15" spans="1:13">
      <c r="B15" s="63" t="s">
        <v>157</v>
      </c>
      <c r="C15" s="62" t="str">
        <f>VLOOKUP(B15,Opportunities!B$3:E$30,2,FALSE)</f>
        <v>李宁</v>
      </c>
      <c r="D15" s="60">
        <f>VLOOKUP(B15,Opportunities!B$3:E$30,3,FALSE)</f>
        <v>21.3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17.139070461237182</v>
      </c>
      <c r="K15" s="81">
        <f>VLOOKUP(B15,Opportunities!B$3:N$30,9,FALSE)</f>
        <v>13.752733796744232</v>
      </c>
      <c r="L15" s="81">
        <f>VLOOKUP(B15,Opportunities!B$3:N$30,11,FALSE)</f>
        <v>23.874498413507318</v>
      </c>
      <c r="M15" s="81">
        <f>VLOOKUP(B15,Opportunities!B$3:N$30,13,FALSE)</f>
        <v>21.164194311953938</v>
      </c>
    </row>
    <row r="16" spans="1:13">
      <c r="B16" s="63" t="s">
        <v>170</v>
      </c>
      <c r="C16" s="62" t="str">
        <f>VLOOKUP(B16,Opportunities!B$3:E$30,2,FALSE)</f>
        <v>中国海油</v>
      </c>
      <c r="D16" s="60">
        <f>VLOOKUP(B16,Opportunities!B$3:E$30,3,FALSE)</f>
        <v>22.74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17.445290061294216</v>
      </c>
      <c r="K16" s="81">
        <f>VLOOKUP(B16,Opportunities!B$3:N$30,9,FALSE)</f>
        <v>14.108625339881018</v>
      </c>
      <c r="L16" s="81">
        <f>VLOOKUP(B16,Opportunities!B$3:N$30,11,FALSE)</f>
        <v>24.053186736337686</v>
      </c>
      <c r="M16" s="81">
        <f>VLOOKUP(B16,Opportunities!B$3:N$30,13,FALSE)</f>
        <v>21.397931887392307</v>
      </c>
    </row>
    <row r="17" spans="1:13">
      <c r="B17" s="63" t="s">
        <v>183</v>
      </c>
      <c r="C17" s="62" t="str">
        <f>VLOOKUP(B17,Opportunities!B$3:E$30,2,FALSE)</f>
        <v>首钢资源</v>
      </c>
      <c r="D17" s="60">
        <f>VLOOKUP(B17,Opportunities!B$3:E$30,3,FALSE)</f>
        <v>3.34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7.462536362155528E-2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329</v>
      </c>
      <c r="C18" s="62" t="str">
        <f>VLOOKUP(B18,Opportunities!B$3:E$30,2,FALSE)</f>
        <v>中国飞鹤</v>
      </c>
      <c r="D18" s="60">
        <f>VLOOKUP(B18,Opportunities!B$3:E$30,3,FALSE)</f>
        <v>3.97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0.10631363595028843</v>
      </c>
      <c r="J18" s="81">
        <f>VLOOKUP(B18,Opportunities!B$3:N$30,12,FALSE)</f>
        <v>4.2666126365476638</v>
      </c>
      <c r="K18" s="81">
        <f>VLOOKUP(B18,Opportunities!B$3:N$30,9,FALSE)</f>
        <v>3.4405239565560359</v>
      </c>
      <c r="L18" s="81">
        <f>VLOOKUP(B18,Opportunities!B$3:N$30,11,FALSE)</f>
        <v>5.9052943386330199</v>
      </c>
      <c r="M18" s="81">
        <f>VLOOKUP(B18,Opportunities!B$3:N$30,13,FALSE)</f>
        <v>5.2464692683177487</v>
      </c>
    </row>
    <row r="19" spans="1:13">
      <c r="B19" s="63" t="s">
        <v>360</v>
      </c>
      <c r="C19" s="62" t="str">
        <f>VLOOKUP(B19,Opportunities!B$3:E$30,2,FALSE)</f>
        <v>新华文轩</v>
      </c>
      <c r="D19" s="60">
        <f>VLOOKUP(B19,Opportunities!B$3:E$30,3,FALSE)</f>
        <v>10.75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0.12047621822249902</v>
      </c>
      <c r="J19" s="81">
        <f>VLOOKUP(B19,Opportunities!B$3:N$30,12,FALSE)</f>
        <v>12.028683972910242</v>
      </c>
      <c r="K19" s="81">
        <f>VLOOKUP(B19,Opportunities!B$3:N$30,9,FALSE)</f>
        <v>9.6880750598555032</v>
      </c>
      <c r="L19" s="81">
        <f>VLOOKUP(B19,Opportunities!B$3:N$30,11,FALSE)</f>
        <v>16.674764592822669</v>
      </c>
      <c r="M19" s="81">
        <f>VLOOKUP(B19,Opportunities!B$3:N$30,13,FALSE)</f>
        <v>14.806423709871549</v>
      </c>
    </row>
    <row r="20" spans="1:13">
      <c r="B20" s="63" t="s">
        <v>330</v>
      </c>
      <c r="C20" s="62" t="str">
        <f>VLOOKUP(B20,Opportunities!B$3:E$30,2,FALSE)</f>
        <v>昆仑能源</v>
      </c>
      <c r="D20" s="60">
        <f>VLOOKUP(B20,Opportunities!B$3:E$30,3,FALSE)</f>
        <v>7.99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1.7617315634907472E-2</v>
      </c>
      <c r="J20" s="81">
        <f>VLOOKUP(B20,Opportunities!B$3:N$30,12,FALSE)</f>
        <v>7.2616608233908151</v>
      </c>
      <c r="K20" s="81">
        <f>VLOOKUP(B20,Opportunities!B$3:N$30,9,FALSE)</f>
        <v>5.841570685953223</v>
      </c>
      <c r="L20" s="81">
        <f>VLOOKUP(B20,Opportunities!B$3:N$30,11,FALSE)</f>
        <v>10.082396375345272</v>
      </c>
      <c r="M20" s="81">
        <f>VLOOKUP(B20,Opportunities!B$3:N$30,13,FALSE)</f>
        <v>8.947842609026468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159</v>
      </c>
      <c r="C23" s="68"/>
      <c r="D23" s="69" t="s">
        <v>155</v>
      </c>
      <c r="E23" s="70" t="s">
        <v>134</v>
      </c>
      <c r="F23" s="69" t="s">
        <v>155</v>
      </c>
      <c r="G23" s="66">
        <f>G3+SUM(G15:G20)</f>
        <v>728903</v>
      </c>
      <c r="H23" s="73">
        <f t="shared" ref="H23" si="5">G23/$G$12</f>
        <v>0.59118953593150703</v>
      </c>
      <c r="I23" s="73">
        <f>Portfolio_Mgmt!E73</f>
        <v>0.45</v>
      </c>
      <c r="J23" s="82" t="s">
        <v>187</v>
      </c>
      <c r="K23" s="82" t="s">
        <v>187</v>
      </c>
      <c r="L23" s="82" t="s">
        <v>187</v>
      </c>
      <c r="M23" s="82" t="s">
        <v>187</v>
      </c>
    </row>
    <row r="25" spans="1:13" ht="13.15">
      <c r="A25" s="49"/>
      <c r="B25" s="50" t="s">
        <v>188</v>
      </c>
      <c r="C25" s="115"/>
      <c r="D25" s="56"/>
      <c r="E25" s="53"/>
      <c r="F25" s="57"/>
      <c r="G25" s="57"/>
    </row>
    <row r="26" spans="1:13" ht="13.15">
      <c r="C26" s="84" t="s">
        <v>189</v>
      </c>
      <c r="D26" s="84" t="s">
        <v>192</v>
      </c>
      <c r="F26" s="84" t="s">
        <v>193</v>
      </c>
    </row>
    <row r="27" spans="1:13" ht="14.25">
      <c r="B27" s="83" t="s">
        <v>190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191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194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84</v>
      </c>
    </row>
    <row r="2" spans="1:4">
      <c r="A2" s="5"/>
      <c r="B2" s="6" t="s">
        <v>85</v>
      </c>
    </row>
    <row r="3" spans="1:4">
      <c r="B3" s="157" t="s">
        <v>86</v>
      </c>
      <c r="C3" s="157"/>
      <c r="D3" s="157"/>
    </row>
    <row r="5" spans="1:4">
      <c r="B5" s="158" t="s">
        <v>88</v>
      </c>
      <c r="C5" s="159"/>
      <c r="D5" s="159"/>
    </row>
    <row r="6" spans="1:4">
      <c r="B6" s="158" t="s">
        <v>89</v>
      </c>
      <c r="C6" s="159"/>
      <c r="D6" s="159"/>
    </row>
    <row r="8" spans="1:4">
      <c r="B8" s="1" t="s">
        <v>87</v>
      </c>
    </row>
    <row r="10" spans="1:4">
      <c r="A10" s="5"/>
      <c r="B10" s="6" t="s">
        <v>90</v>
      </c>
    </row>
    <row r="11" spans="1:4">
      <c r="B11" s="157" t="s">
        <v>91</v>
      </c>
      <c r="C11" s="157"/>
      <c r="D11" s="157"/>
    </row>
    <row r="12" spans="1:4">
      <c r="B12" s="157" t="s">
        <v>92</v>
      </c>
      <c r="C12" s="157"/>
      <c r="D12" s="157"/>
    </row>
    <row r="14" spans="1:4">
      <c r="B14" s="23" t="s">
        <v>124</v>
      </c>
    </row>
    <row r="16" spans="1:4" ht="12.4">
      <c r="B16" s="30" t="s">
        <v>101</v>
      </c>
      <c r="C16" s="30" t="s">
        <v>102</v>
      </c>
    </row>
    <row r="17" spans="1:4">
      <c r="B17" s="26" t="s">
        <v>93</v>
      </c>
      <c r="C17" s="26" t="s">
        <v>97</v>
      </c>
    </row>
    <row r="18" spans="1:4">
      <c r="B18" s="26" t="s">
        <v>94</v>
      </c>
      <c r="C18" s="26" t="s">
        <v>98</v>
      </c>
    </row>
    <row r="19" spans="1:4">
      <c r="B19" s="26" t="s">
        <v>95</v>
      </c>
      <c r="C19" s="26" t="s">
        <v>99</v>
      </c>
    </row>
    <row r="20" spans="1:4">
      <c r="B20" s="26" t="s">
        <v>96</v>
      </c>
      <c r="C20" s="26" t="s">
        <v>100</v>
      </c>
    </row>
    <row r="21" spans="1:4">
      <c r="B21" s="26" t="s">
        <v>116</v>
      </c>
      <c r="C21" s="26" t="s">
        <v>117</v>
      </c>
    </row>
    <row r="22" spans="1:4">
      <c r="B22" s="26" t="s">
        <v>118</v>
      </c>
      <c r="C22" s="26" t="s">
        <v>119</v>
      </c>
    </row>
    <row r="23" spans="1:4">
      <c r="B23" s="26" t="s">
        <v>120</v>
      </c>
      <c r="C23" s="26" t="s">
        <v>121</v>
      </c>
    </row>
    <row r="24" spans="1:4">
      <c r="B24" s="26" t="s">
        <v>125</v>
      </c>
      <c r="C24" s="26" t="s">
        <v>126</v>
      </c>
    </row>
    <row r="25" spans="1:4">
      <c r="B25" s="26" t="s">
        <v>122</v>
      </c>
      <c r="C25" s="26" t="s">
        <v>123</v>
      </c>
    </row>
    <row r="27" spans="1:4">
      <c r="A27" s="5"/>
      <c r="B27" s="6" t="s">
        <v>103</v>
      </c>
    </row>
    <row r="28" spans="1:4">
      <c r="B28" s="157" t="s">
        <v>104</v>
      </c>
      <c r="C28" s="157"/>
      <c r="D28" s="157"/>
    </row>
    <row r="29" spans="1:4">
      <c r="B29" s="157" t="s">
        <v>105</v>
      </c>
      <c r="C29" s="157"/>
      <c r="D29" s="157"/>
    </row>
    <row r="31" spans="1:4">
      <c r="A31" s="5"/>
      <c r="B31" s="6" t="s">
        <v>106</v>
      </c>
    </row>
    <row r="32" spans="1:4">
      <c r="A32" s="28" t="s">
        <v>58</v>
      </c>
      <c r="B32" s="23" t="s">
        <v>107</v>
      </c>
    </row>
    <row r="33" spans="1:2">
      <c r="B33" s="1" t="s">
        <v>108</v>
      </c>
    </row>
    <row r="35" spans="1:2">
      <c r="A35" s="28" t="s">
        <v>110</v>
      </c>
      <c r="B35" s="23" t="s">
        <v>109</v>
      </c>
    </row>
    <row r="36" spans="1:2">
      <c r="B36" s="1" t="s">
        <v>111</v>
      </c>
    </row>
    <row r="38" spans="1:2">
      <c r="A38" s="5"/>
      <c r="B38" s="6" t="s">
        <v>112</v>
      </c>
    </row>
    <row r="39" spans="1:2">
      <c r="B39" s="24" t="s">
        <v>113</v>
      </c>
    </row>
    <row r="40" spans="1:2">
      <c r="B40" s="1" t="s">
        <v>114</v>
      </c>
    </row>
    <row r="41" spans="1:2">
      <c r="B41" s="1" t="s">
        <v>115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2026-01-22T10:13:42Z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