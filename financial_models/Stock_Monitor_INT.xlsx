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3038208-8DE9-486D-AD63-2016B8FC90E0}" xr6:coauthVersionLast="47" xr6:coauthVersionMax="47" xr10:uidLastSave="{00000000-0000-0000-0000-000000000000}"/>
  <bookViews>
    <workbookView xWindow="368" yWindow="368" windowWidth="12689" windowHeight="7642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<sst xmlns="http://schemas.openxmlformats.org/spreadsheetml/2006/main" count="495" uniqueCount="394">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</sst>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O11" sqref="O11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338</v>
      </c>
      <c r="C3" s="11" t="s">
        <v>349</v>
      </c>
      <c r="D3" s="2">
        <v>10.43</v>
      </c>
      <c r="E3" s="12" t="s">
        <v>118</v>
      </c>
      <c r="F3" s="15">
        <v>0.27218843617683613</v>
      </c>
      <c r="G3" s="15">
        <v>0.13689677076397846</v>
      </c>
      <c r="H3" s="2">
        <v>9.8028150809015404</v>
      </c>
      <c r="I3" s="2">
        <v>19.06625573474069</v>
      </c>
      <c r="J3" s="71">
        <v>17.072691224039026</v>
      </c>
      <c r="K3" s="2">
        <v>12.338004434456417</v>
      </c>
      <c r="L3" s="2">
        <v>15.159773039792789</v>
      </c>
      <c r="M3" s="4">
        <v>9.8894966541624926E-2</v>
      </c>
      <c r="N3" s="4">
        <v>5.9365311601150522E-2</v>
      </c>
      <c r="O3" s="4">
        <v>0.10095861021083608</v>
      </c>
      <c r="P3" s="4">
        <v>0.12639884314972349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1.7892154168801495</v>
      </c>
      <c r="V3" s="13" t="s">
        <v>350</v>
      </c>
      <c r="W3" s="11" t="s">
        <v>351</v>
      </c>
      <c r="X3" s="14">
        <v>46173</v>
      </c>
      <c r="Y3" s="16" t="s">
        <v>352</v>
      </c>
    </row>
    <row r="4" spans="1:25">
      <c r="B4" s="11" t="s">
        <v>360</v>
      </c>
      <c r="C4" s="11" t="s">
        <v>361</v>
      </c>
      <c r="D4" s="2">
        <v>68.150000000000006</v>
      </c>
      <c r="E4" s="12" t="s">
        <v>118</v>
      </c>
      <c r="F4" s="15">
        <v>0.2489613119835678</v>
      </c>
      <c r="G4" s="15">
        <v>8.0513452716428457E-2</v>
      </c>
      <c r="H4" s="2">
        <v>60.960171518787703</v>
      </c>
      <c r="I4" s="2">
        <v>108.4748928267766</v>
      </c>
      <c r="J4" s="71">
        <v>104.59596042370794</v>
      </c>
      <c r="K4" s="2">
        <v>76.213331496977204</v>
      </c>
      <c r="L4" s="2">
        <v>93.141949716997189</v>
      </c>
      <c r="M4" s="4">
        <v>0.13320492005460882</v>
      </c>
      <c r="N4" s="4">
        <v>9.3611151870873072E-2</v>
      </c>
      <c r="O4" s="4">
        <v>0.08</v>
      </c>
      <c r="P4" s="4">
        <v>0.16758448420991445</v>
      </c>
      <c r="Q4" s="79">
        <v>0.26833431587768736</v>
      </c>
      <c r="R4" s="78">
        <v>1.7790164507082717</v>
      </c>
      <c r="S4" s="15">
        <v>0.29042568125650897</v>
      </c>
      <c r="T4" s="76">
        <v>2.3236948196964886</v>
      </c>
      <c r="U4" s="71">
        <v>-19.268291436673934</v>
      </c>
      <c r="V4" s="13" t="s">
        <v>354</v>
      </c>
      <c r="W4" s="11" t="s">
        <v>351</v>
      </c>
      <c r="X4" s="14">
        <v>46081</v>
      </c>
      <c r="Y4" s="16" t="s">
        <v>340</v>
      </c>
    </row>
    <row r="5" spans="1:25">
      <c r="B5" s="11" t="s">
        <v>307</v>
      </c>
      <c r="C5" s="11" t="s">
        <v>362</v>
      </c>
      <c r="D5" s="2">
        <v>4.04</v>
      </c>
      <c r="E5" s="12" t="s">
        <v>118</v>
      </c>
      <c r="F5" s="15">
        <v>0.2349409336025767</v>
      </c>
      <c r="G5" s="15">
        <v>7.2962133050273867E-2</v>
      </c>
      <c r="H5" s="2">
        <v>3.4947017610502455</v>
      </c>
      <c r="I5" s="2">
        <v>6.4808597690273908</v>
      </c>
      <c r="J5" s="71">
        <v>6.0371156176035647</v>
      </c>
      <c r="K5" s="2">
        <v>4.3824419959649257</v>
      </c>
      <c r="L5" s="2">
        <v>5.3690045329034906</v>
      </c>
      <c r="M5" s="4">
        <v>9.998098481491427E-2</v>
      </c>
      <c r="N5" s="4">
        <v>7.4257425742574268E-2</v>
      </c>
      <c r="O5" s="4">
        <v>0.18</v>
      </c>
      <c r="P5" s="4">
        <v>5.5599077391744495E-2</v>
      </c>
      <c r="Q5" s="79">
        <v>1.4798367611150316</v>
      </c>
      <c r="R5" s="78">
        <v>2.187716833659914</v>
      </c>
      <c r="S5" s="15">
        <v>0.76701287002940366</v>
      </c>
      <c r="T5" s="76">
        <v>5.0983946232940358</v>
      </c>
      <c r="U5" s="71">
        <v>-2.4800067209187837</v>
      </c>
      <c r="V5" s="13" t="s">
        <v>354</v>
      </c>
      <c r="W5" s="11" t="s">
        <v>351</v>
      </c>
      <c r="X5" s="14">
        <v>46173</v>
      </c>
      <c r="Y5" s="16" t="s">
        <v>340</v>
      </c>
    </row>
    <row r="6" spans="1:25">
      <c r="B6" s="11" t="s">
        <v>355</v>
      </c>
      <c r="C6" s="11" t="s">
        <v>356</v>
      </c>
      <c r="D6" s="2">
        <v>6.31</v>
      </c>
      <c r="E6" s="12" t="s">
        <v>118</v>
      </c>
      <c r="F6" s="15">
        <v>0.23162697095356335</v>
      </c>
      <c r="G6" s="15">
        <v>0.10655988541989256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7.4663488725091723E-2</v>
      </c>
      <c r="N6" s="4">
        <v>2.2503961965134708E-2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354</v>
      </c>
      <c r="W6" s="11" t="s">
        <v>339</v>
      </c>
      <c r="X6" s="14">
        <v>46081</v>
      </c>
      <c r="Y6" s="16" t="s">
        <v>352</v>
      </c>
    </row>
    <row r="7" spans="1:25">
      <c r="B7" s="11" t="s">
        <v>375</v>
      </c>
      <c r="C7" s="11" t="s">
        <v>376</v>
      </c>
      <c r="D7" s="2">
        <v>39.78</v>
      </c>
      <c r="E7" s="12" t="s">
        <v>118</v>
      </c>
      <c r="F7" s="15">
        <v>0.21817681151921156</v>
      </c>
      <c r="G7" s="15">
        <v>9.3934613188240187E-2</v>
      </c>
      <c r="H7" s="2">
        <v>32.750090772701142</v>
      </c>
      <c r="I7" s="2">
        <v>71.385369427624425</v>
      </c>
      <c r="J7" s="71">
        <v>58.236137335922287</v>
      </c>
      <c r="K7" s="2">
        <v>41.610098048393759</v>
      </c>
      <c r="L7" s="2">
        <v>51.508795090334246</v>
      </c>
      <c r="M7" s="4">
        <v>5.9403498095395614E-2</v>
      </c>
      <c r="N7" s="4">
        <v>3.5696329813976867E-3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11.533008174197606</v>
      </c>
      <c r="V7" s="13" t="s">
        <v>359</v>
      </c>
      <c r="W7" s="11" t="s">
        <v>339</v>
      </c>
      <c r="X7" s="14">
        <v>46265</v>
      </c>
      <c r="Y7" s="16" t="s">
        <v>352</v>
      </c>
    </row>
    <row r="8" spans="1:25">
      <c r="B8" s="11" t="s">
        <v>364</v>
      </c>
      <c r="C8" s="11" t="s">
        <v>365</v>
      </c>
      <c r="D8" s="2">
        <v>37.32</v>
      </c>
      <c r="E8" s="12" t="s">
        <v>118</v>
      </c>
      <c r="F8" s="15">
        <v>0.20876224716042108</v>
      </c>
      <c r="G8" s="15">
        <v>8.4105498702185574E-2</v>
      </c>
      <c r="H8" s="2">
        <v>30.209529268890915</v>
      </c>
      <c r="I8" s="2">
        <v>60.657445823753349</v>
      </c>
      <c r="J8" s="71">
        <v>52.909499259786841</v>
      </c>
      <c r="K8" s="2">
        <v>38.118752953560964</v>
      </c>
      <c r="L8" s="2">
        <v>46.931224688832756</v>
      </c>
      <c r="M8" s="4">
        <v>7.8404174954051026E-2</v>
      </c>
      <c r="N8" s="4">
        <v>3.8365541264737409E-2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-6.3105866937561945</v>
      </c>
      <c r="V8" s="13" t="s">
        <v>354</v>
      </c>
      <c r="W8" s="11" t="s">
        <v>339</v>
      </c>
      <c r="X8" s="14">
        <v>46081</v>
      </c>
      <c r="Y8" s="16" t="s">
        <v>352</v>
      </c>
    </row>
    <row r="9" spans="1:25">
      <c r="B9" s="11" t="s">
        <v>309</v>
      </c>
      <c r="C9" s="11" t="s">
        <v>341</v>
      </c>
      <c r="D9" s="2">
        <v>7.48</v>
      </c>
      <c r="E9" s="12" t="s">
        <v>118</v>
      </c>
      <c r="F9" s="15">
        <v>0.19828344583128332</v>
      </c>
      <c r="G9" s="15">
        <v>4.8028497718691908E-2</v>
      </c>
      <c r="H9" s="2">
        <v>5.9107945523053775</v>
      </c>
      <c r="I9" s="2">
        <v>11.685693868800916</v>
      </c>
      <c r="J9" s="71">
        <v>10.323816614829907</v>
      </c>
      <c r="K9" s="2">
        <v>7.4490464808477519</v>
      </c>
      <c r="L9" s="2">
        <v>9.1620982566711078</v>
      </c>
      <c r="M9" s="4">
        <v>9.6433052232672747E-2</v>
      </c>
      <c r="N9" s="4">
        <v>4.3568874144385025E-2</v>
      </c>
      <c r="O9" s="4">
        <v>0.17172024422366369</v>
      </c>
      <c r="P9" s="4">
        <v>8.3606274397531113E-2</v>
      </c>
      <c r="Q9" s="79">
        <v>1.3282158707615834</v>
      </c>
      <c r="R9" s="78">
        <v>1.5463719418456539</v>
      </c>
      <c r="S9" s="15">
        <v>0.22428295339746124</v>
      </c>
      <c r="T9" s="76">
        <v>1.2715557492373779</v>
      </c>
      <c r="U9" s="71">
        <v>-3.0259727644290795</v>
      </c>
      <c r="V9" s="13" t="s">
        <v>342</v>
      </c>
      <c r="W9" s="11" t="s">
        <v>339</v>
      </c>
      <c r="X9" s="14">
        <v>46081</v>
      </c>
      <c r="Y9" s="16" t="s">
        <v>340</v>
      </c>
    </row>
    <row r="10" spans="1:25">
      <c r="B10" s="11" t="s">
        <v>357</v>
      </c>
      <c r="C10" s="11" t="s">
        <v>358</v>
      </c>
      <c r="D10" s="2">
        <v>81.599999999999994</v>
      </c>
      <c r="E10" s="12" t="s">
        <v>118</v>
      </c>
      <c r="F10" s="15">
        <v>0.19418340784105451</v>
      </c>
      <c r="G10" s="15">
        <v>6.6961217269349838E-2</v>
      </c>
      <c r="H10" s="2">
        <v>64.022801490847712</v>
      </c>
      <c r="I10" s="2">
        <v>122.37990487539246</v>
      </c>
      <c r="J10" s="71">
        <v>111.16878398555279</v>
      </c>
      <c r="K10" s="2">
        <v>80.471495876963232</v>
      </c>
      <c r="L10" s="2">
        <v>98.7692036355254</v>
      </c>
      <c r="M10" s="4">
        <v>6.7381369466030488E-2</v>
      </c>
      <c r="N10" s="4">
        <v>5.6139705882352953E-2</v>
      </c>
      <c r="O10" s="4">
        <v>9.6671315574961933E-2</v>
      </c>
      <c r="P10" s="4">
        <v>0.13321568275625476</v>
      </c>
      <c r="Q10" s="79">
        <v>0.48913824057450628</v>
      </c>
      <c r="R10" s="78">
        <v>1.4835789300471205</v>
      </c>
      <c r="S10" s="15">
        <v>6.4100114768294941E-2</v>
      </c>
      <c r="T10" s="76">
        <v>0.67756727799881356</v>
      </c>
      <c r="U10" s="71">
        <v>1.477820766410519</v>
      </c>
      <c r="V10" s="16" t="s">
        <v>359</v>
      </c>
      <c r="W10" s="11" t="s">
        <v>339</v>
      </c>
      <c r="X10" s="14">
        <v>46081</v>
      </c>
      <c r="Y10" s="16" t="s">
        <v>352</v>
      </c>
    </row>
    <row r="11" spans="1:25">
      <c r="B11" s="11" t="s">
        <v>392</v>
      </c>
      <c r="C11" s="11" t="s">
        <v>393</v>
      </c>
      <c r="D11" s="2">
        <v>4.5599999999999996</v>
      </c>
      <c r="E11" s="12" t="s">
        <v>118</v>
      </c>
      <c r="F11" s="15">
        <v>0.19114376894438945</v>
      </c>
      <c r="G11" s="15">
        <v>6.3050465040028467E-2</v>
      </c>
      <c r="H11" s="2">
        <v>3.5553084779461672</v>
      </c>
      <c r="I11" s="2">
        <v>6.7137627260477304</v>
      </c>
      <c r="J11" s="71">
        <v>6.1605980250885715</v>
      </c>
      <c r="K11" s="2">
        <v>4.4645617627591028</v>
      </c>
      <c r="L11" s="2">
        <v>5.4756250697632325</v>
      </c>
      <c r="M11" s="4">
        <v>8.884068624954182E-2</v>
      </c>
      <c r="N11" s="4">
        <v>6.0307017543859656E-2</v>
      </c>
      <c r="O11" s="4">
        <v>0.1295637371655913</v>
      </c>
      <c r="P11" s="4">
        <v>9.3411700585940893E-2</v>
      </c>
      <c r="Q11" s="79">
        <v>0.83739806126750682</v>
      </c>
      <c r="R11" s="78">
        <v>1.6563428477446216</v>
      </c>
      <c r="S11" s="15">
        <v>0.26559156004843115</v>
      </c>
      <c r="T11" s="76">
        <v>1.8420735448323682</v>
      </c>
      <c r="U11" s="71">
        <v>0.86592882895853629</v>
      </c>
      <c r="V11" s="13" t="s">
        <v>354</v>
      </c>
      <c r="W11" s="11" t="s">
        <v>339</v>
      </c>
      <c r="X11" s="14">
        <v>46265</v>
      </c>
      <c r="Y11" s="16" t="s">
        <v>352</v>
      </c>
    </row>
    <row r="12" spans="1:25">
      <c r="B12" s="11" t="s">
        <v>366</v>
      </c>
      <c r="C12" s="11" t="s">
        <v>367</v>
      </c>
      <c r="D12" s="2">
        <v>4.5</v>
      </c>
      <c r="E12" s="12" t="s">
        <v>118</v>
      </c>
      <c r="F12" s="15">
        <v>0.16910116369269609</v>
      </c>
      <c r="G12" s="15">
        <v>2.0269290450615828E-2</v>
      </c>
      <c r="H12" s="2">
        <v>3.3058505032532972</v>
      </c>
      <c r="I12" s="2">
        <v>6.6277455556474951</v>
      </c>
      <c r="J12" s="71">
        <v>5.7883592149489207</v>
      </c>
      <c r="K12" s="2">
        <v>4.170852752110819</v>
      </c>
      <c r="L12" s="2">
        <v>5.1345919269174427</v>
      </c>
      <c r="M12" s="4">
        <v>6.8935109191600161E-2</v>
      </c>
      <c r="N12" s="4">
        <v>3.5377777777777779E-2</v>
      </c>
      <c r="O12" s="4">
        <v>0.27382509866113364</v>
      </c>
      <c r="P12" s="4">
        <v>0.20764453215246689</v>
      </c>
      <c r="Q12" s="79">
        <v>0.86056930273853416</v>
      </c>
      <c r="R12" s="78">
        <v>1.532381509863507</v>
      </c>
      <c r="S12" s="15">
        <v>0.27351475277205878</v>
      </c>
      <c r="T12" s="76">
        <v>0.94608729427783522</v>
      </c>
      <c r="U12" s="71">
        <v>0.59749676752244707</v>
      </c>
      <c r="V12" s="13" t="s">
        <v>354</v>
      </c>
      <c r="W12" s="11" t="s">
        <v>339</v>
      </c>
      <c r="X12" s="14">
        <v>46173</v>
      </c>
      <c r="Y12" s="16" t="s">
        <v>340</v>
      </c>
    </row>
    <row r="13" spans="1:25">
      <c r="B13" s="11" t="s">
        <v>343</v>
      </c>
      <c r="C13" s="11" t="s">
        <v>363</v>
      </c>
      <c r="D13" s="2">
        <v>123.8</v>
      </c>
      <c r="E13" s="12" t="s">
        <v>118</v>
      </c>
      <c r="F13" s="15">
        <v>0.15407571518642044</v>
      </c>
      <c r="G13" s="15">
        <v>2.705746084250163E-3</v>
      </c>
      <c r="H13" s="2">
        <v>87.420337507961847</v>
      </c>
      <c r="I13" s="2">
        <v>178.05758150499221</v>
      </c>
      <c r="J13" s="2">
        <v>153.50341046965582</v>
      </c>
      <c r="K13" s="2">
        <v>110.43633188946309</v>
      </c>
      <c r="L13" s="2">
        <v>136.09285907082813</v>
      </c>
      <c r="M13" s="4">
        <v>-9.3718808776768019E-3</v>
      </c>
      <c r="N13" s="4">
        <v>2.8352180936995153E-2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-67.772445043115709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308</v>
      </c>
      <c r="C14" s="11" t="s">
        <v>353</v>
      </c>
      <c r="D14" s="2">
        <v>3.41</v>
      </c>
      <c r="E14" s="12" t="s">
        <v>118</v>
      </c>
      <c r="F14" s="15">
        <v>0.14959493895633427</v>
      </c>
      <c r="G14" s="15">
        <v>0</v>
      </c>
      <c r="H14" s="2">
        <v>2.4151844392434101</v>
      </c>
      <c r="I14" s="2">
        <v>4.3413782130177729</v>
      </c>
      <c r="J14" s="2">
        <v>4.1508056480261777</v>
      </c>
      <c r="K14" s="2">
        <v>3.0217188732741738</v>
      </c>
      <c r="L14" s="2">
        <v>3.6950953900404855</v>
      </c>
      <c r="M14" s="4">
        <v>7.1707094426247342E-2</v>
      </c>
      <c r="N14" s="4">
        <v>7.0909090909090908E-2</v>
      </c>
      <c r="O14" s="4">
        <v>0.10655464759808782</v>
      </c>
      <c r="P14" s="4">
        <v>0.15367027669312136</v>
      </c>
      <c r="Q14" s="79">
        <v>0.53211669431065411</v>
      </c>
      <c r="R14" s="78">
        <v>1.3030936828713586</v>
      </c>
      <c r="S14" s="15">
        <v>3.2740324747196639E-2</v>
      </c>
      <c r="T14" s="76">
        <v>0.3030737490948841</v>
      </c>
      <c r="U14" s="71">
        <v>1.0946226468213243</v>
      </c>
      <c r="V14" s="13" t="s">
        <v>354</v>
      </c>
      <c r="W14" s="11" t="s">
        <v>351</v>
      </c>
      <c r="X14" s="14">
        <v>46265</v>
      </c>
      <c r="Y14" s="16" t="s">
        <v>340</v>
      </c>
    </row>
    <row r="15" spans="1:25">
      <c r="B15" s="11" t="s">
        <v>141</v>
      </c>
      <c r="C15" s="11" t="s">
        <v>368</v>
      </c>
      <c r="D15" s="2">
        <v>21.06</v>
      </c>
      <c r="E15" s="12" t="s">
        <v>118</v>
      </c>
      <c r="F15" s="15">
        <v>0.12731988678370984</v>
      </c>
      <c r="G15" s="15">
        <v>0</v>
      </c>
      <c r="H15" s="2">
        <v>13.870527661563905</v>
      </c>
      <c r="I15" s="2">
        <v>28.438584200898383</v>
      </c>
      <c r="J15" s="2">
        <v>24.384749838581879</v>
      </c>
      <c r="K15" s="2">
        <v>17.531853914597534</v>
      </c>
      <c r="L15" s="2">
        <v>21.614117729175781</v>
      </c>
      <c r="M15" s="4">
        <v>5.4488526186830831E-2</v>
      </c>
      <c r="N15" s="4">
        <v>2.4217298606886647E-2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5.7194381748181229</v>
      </c>
      <c r="V15" s="13" t="s">
        <v>369</v>
      </c>
      <c r="W15" s="11" t="s">
        <v>339</v>
      </c>
      <c r="X15" s="14">
        <v>46081</v>
      </c>
      <c r="Y15" s="16" t="s">
        <v>352</v>
      </c>
    </row>
    <row r="16" spans="1:25">
      <c r="B16" s="11" t="s">
        <v>152</v>
      </c>
      <c r="C16" s="11" t="s">
        <v>373</v>
      </c>
      <c r="D16" s="2">
        <v>26.7</v>
      </c>
      <c r="E16" s="12" t="s">
        <v>118</v>
      </c>
      <c r="F16" s="15">
        <v>4.1529049213135751E-2</v>
      </c>
      <c r="G16" s="15">
        <v>0</v>
      </c>
      <c r="H16" s="2">
        <v>14.226118221081023</v>
      </c>
      <c r="I16" s="2">
        <v>26.227381731715013</v>
      </c>
      <c r="J16" s="2">
        <v>24.55158175051119</v>
      </c>
      <c r="K16" s="2">
        <v>17.832049613261002</v>
      </c>
      <c r="L16" s="2">
        <v>21.838628376456004</v>
      </c>
      <c r="M16" s="4">
        <v>9.2069560888832599E-2</v>
      </c>
      <c r="N16" s="4">
        <v>4.7191011235955059E-2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0.4716663332147697</v>
      </c>
      <c r="V16" s="13" t="s">
        <v>374</v>
      </c>
      <c r="W16" s="11" t="s">
        <v>351</v>
      </c>
      <c r="X16" s="14">
        <v>46081</v>
      </c>
      <c r="Y16" s="16" t="s">
        <v>352</v>
      </c>
    </row>
    <row r="17" spans="2:25">
      <c r="B17" s="11" t="s">
        <v>370</v>
      </c>
      <c r="C17" s="11" t="s">
        <v>371</v>
      </c>
      <c r="D17" s="2">
        <v>88.75</v>
      </c>
      <c r="E17" s="12" t="s">
        <v>118</v>
      </c>
      <c r="F17" s="15">
        <v>2.9450669682109021E-2</v>
      </c>
      <c r="G17" s="15">
        <v>0</v>
      </c>
      <c r="H17" s="2">
        <v>44.071205101499011</v>
      </c>
      <c r="I17" s="2">
        <v>96.824437607993346</v>
      </c>
      <c r="J17" s="2">
        <v>78.486159849067462</v>
      </c>
      <c r="K17" s="2">
        <v>56.032660652773927</v>
      </c>
      <c r="L17" s="2">
        <v>69.399921953342542</v>
      </c>
      <c r="M17" s="4">
        <v>1.416255211175821E-2</v>
      </c>
      <c r="N17" s="4">
        <v>0</v>
      </c>
      <c r="O17" s="4">
        <v>0.15</v>
      </c>
      <c r="P17" s="4">
        <v>8.1887809309554582E-2</v>
      </c>
      <c r="Q17" s="79">
        <v>1.022390799101176</v>
      </c>
      <c r="R17" s="78">
        <v>1.7916578376478161</v>
      </c>
      <c r="S17" s="15">
        <v>0.27660377540313014</v>
      </c>
      <c r="T17" s="76">
        <v>3.1316510969641755</v>
      </c>
      <c r="U17" s="71">
        <v>3.6543864355058777</v>
      </c>
      <c r="V17" s="13" t="s">
        <v>372</v>
      </c>
      <c r="W17" s="11" t="s">
        <v>339</v>
      </c>
      <c r="X17" s="14">
        <v>46081</v>
      </c>
      <c r="Y17" s="11" t="s">
        <v>340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4.2599999999999999E-2</v>
      </c>
      <c r="D4" s="34">
        <v>6.7500000000000004E-2</v>
      </c>
      <c r="E4" s="35">
        <f>D4-C4</f>
        <v>2.4900000000000005E-2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0.43078500369912759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6.31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63099.999999999993</v>
      </c>
      <c r="H4" s="58">
        <f t="shared" si="0"/>
        <v>4.7393898880497519E-2</v>
      </c>
      <c r="I4" s="58">
        <f>VLOOKUP(B4,Opportunities!B$3:H$30,6,FALSE)</f>
        <v>0.10655988541989256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123.8</v>
      </c>
      <c r="E5" s="59" t="str">
        <f>VLOOKUP(B5,Opportunities!B$3:E$30,4,FALSE)</f>
        <v>HKD</v>
      </c>
      <c r="F5" s="57">
        <v>2500</v>
      </c>
      <c r="G5" s="61">
        <f t="shared" si="1"/>
        <v>309500</v>
      </c>
      <c r="H5" s="58">
        <f t="shared" si="0"/>
        <v>0.23246294300339118</v>
      </c>
      <c r="I5" s="58">
        <f>VLOOKUP(B5,Opportunities!B$3:H$30,6,FALSE)</f>
        <v>2.705746084250163E-3</v>
      </c>
      <c r="J5" s="81">
        <f>VLOOKUP(B5,Opportunities!B$3:L$30,10,FALSE)</f>
        <v>110.43633188946309</v>
      </c>
      <c r="K5" s="81">
        <f>VLOOKUP(B5,Opportunities!B$3:L$30,7,FALSE)</f>
        <v>87.420337507961847</v>
      </c>
      <c r="L5" s="81">
        <f>VLOOKUP(B5,Opportunities!B$3:L$30,9,FALSE)</f>
        <v>153.50341046965582</v>
      </c>
      <c r="M5" s="81">
        <f>VLOOKUP(B5,Opportunities!B$3:L$30,11,FALSE)</f>
        <v>136.09285907082813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7.48</v>
      </c>
      <c r="E6" s="59" t="str">
        <f>VLOOKUP(B6,Opportunities!B$3:E$30,4,FALSE)</f>
        <v>HKD</v>
      </c>
      <c r="F6" s="57">
        <v>8000</v>
      </c>
      <c r="G6" s="61">
        <f t="shared" si="1"/>
        <v>59840</v>
      </c>
      <c r="H6" s="58">
        <f t="shared" si="0"/>
        <v>4.4945339286988462E-2</v>
      </c>
      <c r="I6" s="58">
        <f>VLOOKUP(B6,Opportunities!B$3:H$30,6,FALSE)</f>
        <v>4.8028497718691908E-2</v>
      </c>
      <c r="J6" s="81">
        <f>VLOOKUP(B6,Opportunities!B$3:L$30,10,FALSE)</f>
        <v>7.4490464808477519</v>
      </c>
      <c r="K6" s="81">
        <f>VLOOKUP(B6,Opportunities!B$3:L$30,7,FALSE)</f>
        <v>5.9107945523053775</v>
      </c>
      <c r="L6" s="81">
        <f>VLOOKUP(B6,Opportunities!B$3:L$30,9,FALSE)</f>
        <v>10.323816614829907</v>
      </c>
      <c r="M6" s="81">
        <f>VLOOKUP(B6,Opportunities!B$3:L$30,11,FALSE)</f>
        <v>9.1620982566711078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10.43</v>
      </c>
      <c r="E7" s="59" t="str">
        <f>VLOOKUP(B7,Opportunities!B$3:E$30,4,FALSE)</f>
        <v>HKD</v>
      </c>
      <c r="F7" s="57">
        <v>15000</v>
      </c>
      <c r="G7" s="61">
        <f t="shared" si="1"/>
        <v>156450</v>
      </c>
      <c r="H7" s="58">
        <f t="shared" si="0"/>
        <v>0.11750832773143959</v>
      </c>
      <c r="I7" s="58">
        <f>VLOOKUP(B7,Opportunities!B$3:H$30,6,FALSE)</f>
        <v>0.13689677076397846</v>
      </c>
      <c r="J7" s="81">
        <f>VLOOKUP(B7,Opportunities!B$3:L$30,10,FALSE)</f>
        <v>12.338004434456417</v>
      </c>
      <c r="K7" s="81">
        <f>VLOOKUP(B7,Opportunities!B$3:L$30,7,FALSE)</f>
        <v>9.8028150809015404</v>
      </c>
      <c r="L7" s="81">
        <f>VLOOKUP(B7,Opportunities!B$3:L$30,9,FALSE)</f>
        <v>17.072691224039026</v>
      </c>
      <c r="M7" s="81">
        <f>VLOOKUP(B7,Opportunities!B$3:L$30,11,FALSE)</f>
        <v>15.159773039792789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4.04</v>
      </c>
      <c r="E8" s="59" t="str">
        <f>VLOOKUP(B8,Opportunities!B$3:E$30,4,FALSE)</f>
        <v>HKD</v>
      </c>
      <c r="F8" s="57">
        <v>12000</v>
      </c>
      <c r="G8" s="61">
        <f t="shared" si="1"/>
        <v>48480</v>
      </c>
      <c r="H8" s="58">
        <f t="shared" si="0"/>
        <v>3.6412935304699204E-2</v>
      </c>
      <c r="I8" s="58">
        <f>VLOOKUP(B8,Opportunities!B$3:H$30,6,FALSE)</f>
        <v>7.2962133050273867E-2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377</v>
      </c>
      <c r="C9" s="62" t="str">
        <f>VLOOKUP(B9,Opportunities!B$3:E$30,2,FALSE)</f>
        <v>腾讯音乐</v>
      </c>
      <c r="D9" s="60">
        <f>VLOOKUP(B9,Opportunities!B$3:E$30,3,FALSE)</f>
        <v>39.78</v>
      </c>
      <c r="E9" s="59" t="str">
        <f>VLOOKUP(B9,Opportunities!B$3:E$30,4,FALSE)</f>
        <v>HKD</v>
      </c>
      <c r="F9" s="57">
        <v>2000</v>
      </c>
      <c r="G9" s="61">
        <f t="shared" ref="G9" si="2">D9*F9</f>
        <v>79560</v>
      </c>
      <c r="H9" s="58">
        <f t="shared" si="0"/>
        <v>5.9756871552018746E-2</v>
      </c>
      <c r="I9" s="58">
        <f>VLOOKUP(B9,Opportunities!B$3:H$30,6,FALSE)</f>
        <v>9.3934613188240187E-2</v>
      </c>
      <c r="J9" s="81">
        <f>VLOOKUP(B9,Opportunities!B$3:L$30,10,FALSE)</f>
        <v>41.610098048393759</v>
      </c>
      <c r="K9" s="81">
        <f>VLOOKUP(B9,Opportunities!B$3:L$30,7,FALSE)</f>
        <v>32.750090772701142</v>
      </c>
      <c r="L9" s="81">
        <f>VLOOKUP(B9,Opportunities!B$3:L$30,9,FALSE)</f>
        <v>58.236137335922287</v>
      </c>
      <c r="M9" s="81">
        <f>VLOOKUP(B9,Opportunities!B$3:L$30,11,FALSE)</f>
        <v>51.508795090334246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3.41</v>
      </c>
      <c r="E10" s="59" t="str">
        <f>VLOOKUP(B10,Opportunities!B$3:E$30,4,FALSE)</f>
        <v>HKD</v>
      </c>
      <c r="F10" s="57">
        <v>12000</v>
      </c>
      <c r="G10" s="61">
        <f t="shared" si="1"/>
        <v>40920</v>
      </c>
      <c r="H10" s="58">
        <f t="shared" ref="H10" si="3">G10/$G$12</f>
        <v>3.0734680541837697E-2</v>
      </c>
      <c r="I10" s="58">
        <f>VLOOKUP(B10,Opportunities!B$3:H$30,6,FALSE)</f>
        <v>0</v>
      </c>
      <c r="J10" s="81">
        <f>VLOOKUP(B10,Opportunities!B$3:L$30,10,FALSE)</f>
        <v>3.0217188732741738</v>
      </c>
      <c r="K10" s="81">
        <f>VLOOKUP(B10,Opportunities!B$3:L$30,7,FALSE)</f>
        <v>2.4151844392434101</v>
      </c>
      <c r="L10" s="81">
        <f>VLOOKUP(B10,Opportunities!B$3:L$30,9,FALSE)</f>
        <v>4.1508056480261777</v>
      </c>
      <c r="M10" s="81">
        <f>VLOOKUP(B10,Opportunities!B$3:L$30,11,FALSE)</f>
        <v>3.6950953900404855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1331395</v>
      </c>
      <c r="H12" s="67">
        <f>SUM(H3:H10)</f>
        <v>0.99999999999999989</v>
      </c>
      <c r="I12" s="73">
        <f>SUM(I3:I10)</f>
        <v>0.91108764622532701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123.8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2.705746084250163E-3</v>
      </c>
      <c r="J15" s="81">
        <f>VLOOKUP(B15,Opportunities!B$3:L$30,10,FALSE)</f>
        <v>110.43633188946309</v>
      </c>
      <c r="K15" s="81">
        <f>VLOOKUP(B15,Opportunities!B$3:L$30,7,FALSE)</f>
        <v>87.420337507961847</v>
      </c>
      <c r="L15" s="81">
        <f>VLOOKUP(B15,Opportunities!B$3:L$30,9,FALSE)</f>
        <v>153.50341046965582</v>
      </c>
      <c r="M15" s="81">
        <f>VLOOKUP(B15,Opportunities!B$3:L$30,11,FALSE)</f>
        <v>136.09285907082813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26.7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17.832049613261002</v>
      </c>
      <c r="K16" s="81">
        <f>VLOOKUP(B16,Opportunities!B$3:L$30,7,FALSE)</f>
        <v>14.226118221081023</v>
      </c>
      <c r="L16" s="81">
        <f>VLOOKUP(B16,Opportunities!B$3:L$30,9,FALSE)</f>
        <v>24.55158175051119</v>
      </c>
      <c r="M16" s="81">
        <f>VLOOKUP(B16,Opportunities!B$3:L$30,11,FALSE)</f>
        <v>21.838628376456004</v>
      </c>
    </row>
    <row r="17" spans="1:13">
      <c r="B17" s="63" t="s">
        <v>377</v>
      </c>
      <c r="C17" s="62" t="str">
        <f>VLOOKUP(B17,Opportunities!B$3:E$30,2,FALSE)</f>
        <v>腾讯音乐</v>
      </c>
      <c r="D17" s="60">
        <f>VLOOKUP(B17,Opportunities!B$3:E$30,3,FALSE)</f>
        <v>39.78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9.3934613188240187E-2</v>
      </c>
      <c r="J17" s="81">
        <f>VLOOKUP(B17,Opportunities!B$3:L$30,10,FALSE)</f>
        <v>41.610098048393759</v>
      </c>
      <c r="K17" s="81">
        <f>VLOOKUP(B17,Opportunities!B$3:L$30,7,FALSE)</f>
        <v>32.750090772701142</v>
      </c>
      <c r="L17" s="81">
        <f>VLOOKUP(B17,Opportunities!B$3:L$30,9,FALSE)</f>
        <v>58.236137335922287</v>
      </c>
      <c r="M17" s="81">
        <f>VLOOKUP(B17,Opportunities!B$3:L$30,11,FALSE)</f>
        <v>51.508795090334246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10.43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0.13689677076397846</v>
      </c>
      <c r="J18" s="81">
        <f>VLOOKUP(B18,Opportunities!B$3:L$30,10,FALSE)</f>
        <v>12.338004434456417</v>
      </c>
      <c r="K18" s="81">
        <f>VLOOKUP(B18,Opportunities!B$3:L$30,7,FALSE)</f>
        <v>9.8028150809015404</v>
      </c>
      <c r="L18" s="81">
        <f>VLOOKUP(B18,Opportunities!B$3:L$30,9,FALSE)</f>
        <v>17.072691224039026</v>
      </c>
      <c r="M18" s="81">
        <f>VLOOKUP(B18,Opportunities!B$3:L$30,11,FALSE)</f>
        <v>15.159773039792789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7.48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4.8028497718691908E-2</v>
      </c>
      <c r="J19" s="81">
        <f>VLOOKUP(B19,Opportunities!B$3:L$30,10,FALSE)</f>
        <v>7.4490464808477519</v>
      </c>
      <c r="K19" s="81">
        <f>VLOOKUP(B19,Opportunities!B$3:L$30,7,FALSE)</f>
        <v>5.9107945523053775</v>
      </c>
      <c r="L19" s="81">
        <f>VLOOKUP(B19,Opportunities!B$3:L$30,9,FALSE)</f>
        <v>10.323816614829907</v>
      </c>
      <c r="M19" s="81">
        <f>VLOOKUP(B19,Opportunities!B$3:L$30,11,FALSE)</f>
        <v>9.1620982566711078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0.43078500369912759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391</v>
      </c>
    </row>
    <row r="15" spans="1:4" ht="12.4">
      <c r="B15" s="30" t="s">
        <v>90</v>
      </c>
      <c r="C15" s="30" t="s">
        <v>91</v>
      </c>
    </row>
    <row r="16" spans="1:4">
      <c r="B16" s="26" t="s">
        <v>378</v>
      </c>
      <c r="C16" s="26" t="s">
        <v>379</v>
      </c>
    </row>
    <row r="17" spans="1:4">
      <c r="B17" s="26" t="s">
        <v>381</v>
      </c>
      <c r="C17" s="26" t="s">
        <v>380</v>
      </c>
    </row>
    <row r="18" spans="1:4">
      <c r="B18" s="26" t="s">
        <v>382</v>
      </c>
      <c r="C18" s="26" t="s">
        <v>383</v>
      </c>
    </row>
    <row r="19" spans="1:4">
      <c r="B19" s="26" t="s">
        <v>384</v>
      </c>
      <c r="C19" s="26" t="s">
        <v>385</v>
      </c>
    </row>
    <row r="20" spans="1:4">
      <c r="B20" s="26" t="s">
        <v>87</v>
      </c>
      <c r="C20" s="26" t="s">
        <v>88</v>
      </c>
    </row>
    <row r="21" spans="1:4">
      <c r="B21" s="26" t="s">
        <v>386</v>
      </c>
      <c r="C21" s="26" t="s">
        <v>89</v>
      </c>
    </row>
    <row r="22" spans="1:4">
      <c r="B22" s="26" t="s">
        <v>388</v>
      </c>
      <c r="C22" s="26" t="s">
        <v>105</v>
      </c>
    </row>
    <row r="23" spans="1:4">
      <c r="B23" s="26" t="s">
        <v>389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390</v>
      </c>
      <c r="C25" s="26" t="s">
        <v>110</v>
      </c>
    </row>
    <row r="26" spans="1:4">
      <c r="B26" s="26" t="s">
        <v>109</v>
      </c>
      <c r="C26" s="26" t="s">
        <v>387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2026-04-16T10:14:02Z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