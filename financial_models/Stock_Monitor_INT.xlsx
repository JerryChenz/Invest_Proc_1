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AD2B694-5EF0-4A99-BF2C-C886BC0025B9}" xr6:coauthVersionLast="47" xr6:coauthVersionMax="47" xr10:uidLastSave="{00000000-0000-0000-0000-000000000000}"/>
  <bookViews>
    <workbookView xWindow="-98" yWindow="-98" windowWidth="17115" windowHeight="10755" firstSheet="2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G3" i="1"/>
  <c r="G4" i="1"/>
  <c r="G5" i="1"/>
  <c r="G6" i="1"/>
  <c r="G7" i="1"/>
  <c r="G8" i="1"/>
  <c r="G9" i="1"/>
  <c r="G10" i="1"/>
  <c r="G11" i="1"/>
  <c r="G12" i="1"/>
  <c r="G13" i="1"/>
  <c r="G14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<sst xmlns="http://schemas.openxmlformats.org/spreadsheetml/2006/main" count="479" uniqueCount="386">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</sst>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3" sqref="D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10.95</v>
      </c>
      <c r="E3" s="12" t="s">
        <v>134</v>
      </c>
      <c r="F3" s="15">
        <v>0.24287943240318183</v>
      </c>
      <c r="G3" s="15">
        <f>F3 - Portfolio_Mgmt!$C$10</f>
        <v>0.12547943240318182</v>
      </c>
      <c r="H3" s="15">
        <f>F3 - Portfolio_Mgmt!$C$11</f>
        <v>0.20837943240318182</v>
      </c>
      <c r="I3" s="15">
        <v>0.1160217416107123</v>
      </c>
      <c r="J3" s="2">
        <v>9.7394682442313947</v>
      </c>
      <c r="K3" s="2">
        <v>18.720846944904633</v>
      </c>
      <c r="L3" s="71">
        <v>16.763209598655944</v>
      </c>
      <c r="M3" s="2">
        <v>12.092490125323778</v>
      </c>
      <c r="N3" s="2">
        <v>14.884960723570439</v>
      </c>
      <c r="O3" s="4">
        <v>9.2480103236264211E-2</v>
      </c>
      <c r="P3" s="4">
        <v>5.5515136459820903E-2</v>
      </c>
      <c r="Q3" s="4">
        <v>0.10095760749186936</v>
      </c>
      <c r="R3" s="4">
        <v>0.12639758775885457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1.7565928163789464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380</v>
      </c>
      <c r="C4" s="11" t="s">
        <v>381</v>
      </c>
      <c r="D4" s="2">
        <v>106.9</v>
      </c>
      <c r="E4" s="12" t="s">
        <v>134</v>
      </c>
      <c r="F4" s="15">
        <v>0.23628140529661751</v>
      </c>
      <c r="G4" s="15">
        <f>F4 - Portfolio_Mgmt!$C$10</f>
        <v>0.1188814052966175</v>
      </c>
      <c r="H4" s="15">
        <f>F4 - Portfolio_Mgmt!$C$11</f>
        <v>0.20178140529661751</v>
      </c>
      <c r="I4" s="15">
        <v>0.22117180217688462</v>
      </c>
      <c r="J4" s="2">
        <v>93.416293503700757</v>
      </c>
      <c r="K4" s="2">
        <v>188.77592640327265</v>
      </c>
      <c r="L4" s="71">
        <v>162.19173081301534</v>
      </c>
      <c r="M4" s="2">
        <v>116.42530015283373</v>
      </c>
      <c r="N4" s="2">
        <v>143.77534417258781</v>
      </c>
      <c r="O4" s="4">
        <v>8.0186671380633401E-2</v>
      </c>
      <c r="P4" s="4">
        <v>3.2834424695977547E-2</v>
      </c>
      <c r="Q4" s="4">
        <v>0.15</v>
      </c>
      <c r="R4" s="4">
        <v>3.9404773307997187E-2</v>
      </c>
      <c r="S4" s="79">
        <v>1.6240671367246462</v>
      </c>
      <c r="T4" s="78">
        <v>2.3438965902371725</v>
      </c>
      <c r="U4" s="15">
        <v>0.36820511135930623</v>
      </c>
      <c r="V4" s="76">
        <v>2.8852377432054559</v>
      </c>
      <c r="W4" s="71">
        <v>-64.961856275499628</v>
      </c>
      <c r="X4" s="13" t="s">
        <v>169</v>
      </c>
      <c r="Y4" s="11" t="s">
        <v>364</v>
      </c>
      <c r="Z4" s="14">
        <v>46173</v>
      </c>
      <c r="AA4" s="16" t="s">
        <v>181</v>
      </c>
    </row>
    <row r="5" spans="1:27">
      <c r="B5" s="11" t="s">
        <v>329</v>
      </c>
      <c r="C5" s="11" t="s">
        <v>368</v>
      </c>
      <c r="D5" s="2">
        <v>4.01</v>
      </c>
      <c r="E5" s="12" t="s">
        <v>134</v>
      </c>
      <c r="F5" s="15">
        <v>0.22904713269514385</v>
      </c>
      <c r="G5" s="15">
        <f>F5 - Portfolio_Mgmt!$C$10</f>
        <v>0.11164713269514384</v>
      </c>
      <c r="H5" s="15">
        <f>F5 - Portfolio_Mgmt!$C$11</f>
        <v>0.19454713269514384</v>
      </c>
      <c r="I5" s="15">
        <v>0.10425601974925761</v>
      </c>
      <c r="J5" s="2">
        <v>3.456518707541953</v>
      </c>
      <c r="K5" s="2">
        <v>6.5405114942716001</v>
      </c>
      <c r="L5" s="71">
        <v>5.9334292346530617</v>
      </c>
      <c r="M5" s="2">
        <v>4.2866609309242349</v>
      </c>
      <c r="N5" s="2">
        <v>5.2713470250039114</v>
      </c>
      <c r="O5" s="4">
        <v>0.11035774236038434</v>
      </c>
      <c r="P5" s="4">
        <v>6.0299251870324193E-2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1.2792118876157443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382</v>
      </c>
      <c r="C6" s="11" t="s">
        <v>383</v>
      </c>
      <c r="D6" s="2">
        <v>80.2</v>
      </c>
      <c r="E6" s="12" t="s">
        <v>134</v>
      </c>
      <c r="F6" s="15">
        <v>0.19464980730215867</v>
      </c>
      <c r="G6" s="15">
        <f>F6 - Portfolio_Mgmt!$C$10</f>
        <v>7.7249807302158663E-2</v>
      </c>
      <c r="H6" s="15">
        <f>F6 - Portfolio_Mgmt!$C$11</f>
        <v>0.16014980730215866</v>
      </c>
      <c r="I6" s="15">
        <v>0.1351005348508581</v>
      </c>
      <c r="J6" s="2">
        <v>63.75055159112771</v>
      </c>
      <c r="K6" s="2">
        <v>120.14856330049892</v>
      </c>
      <c r="L6" s="71">
        <v>109.36005226604621</v>
      </c>
      <c r="M6" s="2">
        <v>79.038334241572628</v>
      </c>
      <c r="N6" s="2">
        <v>97.169866371354445</v>
      </c>
      <c r="O6" s="4">
        <v>6.7307598366971477E-2</v>
      </c>
      <c r="P6" s="4">
        <v>5.7119700748129679E-2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1.4508757959949072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384</v>
      </c>
      <c r="C7" s="11" t="s">
        <v>385</v>
      </c>
      <c r="D7" s="2">
        <v>79.25</v>
      </c>
      <c r="E7" s="12" t="s">
        <v>134</v>
      </c>
      <c r="F7" s="15">
        <v>0.1824311310893896</v>
      </c>
      <c r="G7" s="15">
        <f>F7 - Portfolio_Mgmt!$C$10</f>
        <v>6.5031131089389599E-2</v>
      </c>
      <c r="H7" s="15">
        <f>F7 - Portfolio_Mgmt!$C$11</f>
        <v>0.1479311310893896</v>
      </c>
      <c r="I7" s="15">
        <v>0.10221019264071091</v>
      </c>
      <c r="J7" s="2">
        <v>61.523546596203801</v>
      </c>
      <c r="K7" s="2">
        <v>108.17412129431614</v>
      </c>
      <c r="L7" s="71">
        <v>104.35215417852928</v>
      </c>
      <c r="M7" s="2">
        <v>75.905950539003555</v>
      </c>
      <c r="N7" s="2">
        <v>92.926368595183177</v>
      </c>
      <c r="O7" s="4">
        <v>0.11423021701460993</v>
      </c>
      <c r="P7" s="4">
        <v>8.0499684542586755E-2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-19.214865677106165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>
      <c r="B8" s="11" t="s">
        <v>183</v>
      </c>
      <c r="C8" s="11" t="s">
        <v>371</v>
      </c>
      <c r="D8" s="2">
        <v>3.28</v>
      </c>
      <c r="E8" s="12" t="s">
        <v>134</v>
      </c>
      <c r="F8" s="15">
        <v>0.18093833485412103</v>
      </c>
      <c r="G8" s="15">
        <f>F8 - Portfolio_Mgmt!$C$10</f>
        <v>6.3538334854121026E-2</v>
      </c>
      <c r="H8" s="15">
        <f>F8 - Portfolio_Mgmt!$C$11</f>
        <v>0.14643833485412103</v>
      </c>
      <c r="I8" s="15">
        <v>9.7881812415135577E-2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7.403195978339322E-2</v>
      </c>
      <c r="P8" s="4">
        <v>8.2317073170731711E-2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372</v>
      </c>
      <c r="Y8" s="11" t="s">
        <v>361</v>
      </c>
      <c r="Z8" s="14">
        <v>46081</v>
      </c>
      <c r="AA8" s="16" t="s">
        <v>181</v>
      </c>
    </row>
    <row r="9" spans="1:27">
      <c r="B9" s="11" t="s">
        <v>327</v>
      </c>
      <c r="C9" s="11" t="s">
        <v>328</v>
      </c>
      <c r="D9" s="2">
        <v>4.71</v>
      </c>
      <c r="E9" s="12" t="s">
        <v>134</v>
      </c>
      <c r="F9" s="15">
        <v>0.17109898945021842</v>
      </c>
      <c r="G9" s="15">
        <f>F9 - Portfolio_Mgmt!$C$10</f>
        <v>5.3698989450218421E-2</v>
      </c>
      <c r="H9" s="15">
        <f>F9 - Portfolio_Mgmt!$C$11</f>
        <v>0.13659898945021842</v>
      </c>
      <c r="I9" s="15">
        <v>6.7430620943927266E-2</v>
      </c>
      <c r="J9" s="2">
        <v>3.5453162653105039</v>
      </c>
      <c r="K9" s="2">
        <v>6.5021029196761031</v>
      </c>
      <c r="L9" s="71">
        <v>6.0543353749158966</v>
      </c>
      <c r="M9" s="2">
        <v>4.3869285024051887</v>
      </c>
      <c r="N9" s="2">
        <v>5.3842307819113344</v>
      </c>
      <c r="O9" s="4">
        <v>8.5758636656529441E-2</v>
      </c>
      <c r="P9" s="4">
        <v>6.369426751592358E-2</v>
      </c>
      <c r="Q9" s="4">
        <v>0.18</v>
      </c>
      <c r="R9" s="4">
        <v>5.5599077391744495E-2</v>
      </c>
      <c r="S9" s="79">
        <v>1.4798367611150316</v>
      </c>
      <c r="T9" s="78">
        <v>2.187716833659914</v>
      </c>
      <c r="U9" s="15">
        <v>0.76701287002940366</v>
      </c>
      <c r="V9" s="76">
        <v>5.0983946232940358</v>
      </c>
      <c r="W9" s="71">
        <v>-2.4800067209187837</v>
      </c>
      <c r="X9" s="13" t="s">
        <v>169</v>
      </c>
      <c r="Y9" s="11" t="s">
        <v>361</v>
      </c>
      <c r="Z9" s="14">
        <v>46173</v>
      </c>
      <c r="AA9" s="16" t="s">
        <v>181</v>
      </c>
    </row>
    <row r="10" spans="1:27">
      <c r="B10" s="11" t="s">
        <v>362</v>
      </c>
      <c r="C10" s="11" t="s">
        <v>363</v>
      </c>
      <c r="D10" s="2">
        <v>7.24</v>
      </c>
      <c r="E10" s="12" t="s">
        <v>134</v>
      </c>
      <c r="F10" s="15">
        <v>0.16569989622717521</v>
      </c>
      <c r="G10" s="15">
        <f>F10 - Portfolio_Mgmt!$C$10</f>
        <v>4.8299896227175204E-2</v>
      </c>
      <c r="H10" s="15">
        <f>F10 - Portfolio_Mgmt!$C$11</f>
        <v>0.13119989622717521</v>
      </c>
      <c r="I10" s="15">
        <v>4.9159776190912975E-2</v>
      </c>
      <c r="J10" s="2">
        <v>5.3141281403824898</v>
      </c>
      <c r="K10" s="2">
        <v>10.967807599967429</v>
      </c>
      <c r="L10" s="71">
        <v>9.2614927891107719</v>
      </c>
      <c r="M10" s="2">
        <v>6.6339642861251669</v>
      </c>
      <c r="N10" s="2">
        <v>8.2038797297466814</v>
      </c>
      <c r="O10" s="4">
        <v>6.340609535884334E-2</v>
      </c>
      <c r="P10" s="4">
        <v>1.9613259668508284E-2</v>
      </c>
      <c r="Q10" s="4">
        <v>0.3</v>
      </c>
      <c r="R10" s="4">
        <v>0.15217050538089463</v>
      </c>
      <c r="S10" s="79">
        <v>1.1106245684847842</v>
      </c>
      <c r="T10" s="78">
        <v>1.775102743966247</v>
      </c>
      <c r="U10" s="15">
        <v>0.17709797868255178</v>
      </c>
      <c r="V10" s="76">
        <v>0.82178780749892033</v>
      </c>
      <c r="W10" s="71">
        <v>-0.16650139591844174</v>
      </c>
      <c r="X10" s="16" t="s">
        <v>169</v>
      </c>
      <c r="Y10" s="11" t="s">
        <v>364</v>
      </c>
      <c r="Z10" s="14">
        <v>46081</v>
      </c>
      <c r="AA10" s="16" t="s">
        <v>181</v>
      </c>
    </row>
    <row r="11" spans="1:27">
      <c r="B11" s="11" t="s">
        <v>330</v>
      </c>
      <c r="C11" s="11" t="s">
        <v>369</v>
      </c>
      <c r="D11" s="2">
        <v>8.16</v>
      </c>
      <c r="E11" s="12" t="s">
        <v>134</v>
      </c>
      <c r="F11" s="15">
        <v>0.15552554401310734</v>
      </c>
      <c r="G11" s="15">
        <f>F11 - Portfolio_Mgmt!$C$10</f>
        <v>3.8125544013107332E-2</v>
      </c>
      <c r="H11" s="15">
        <f>F11 - Portfolio_Mgmt!$C$11</f>
        <v>0.12102554401310733</v>
      </c>
      <c r="I11" s="15">
        <v>5.6149102037013048E-3</v>
      </c>
      <c r="J11" s="2">
        <v>5.8726594435178239</v>
      </c>
      <c r="K11" s="2">
        <v>11.473208042407888</v>
      </c>
      <c r="L11" s="71">
        <v>10.136052232131016</v>
      </c>
      <c r="M11" s="2">
        <v>7.3003064941992424</v>
      </c>
      <c r="N11" s="2">
        <v>8.9954611037261465</v>
      </c>
      <c r="O11" s="4">
        <v>8.6784889246317262E-2</v>
      </c>
      <c r="P11" s="4">
        <v>3.9209946288689797E-2</v>
      </c>
      <c r="Q11" s="4">
        <v>0.17171993035108774</v>
      </c>
      <c r="R11" s="4">
        <v>8.3606121580856355E-2</v>
      </c>
      <c r="S11" s="79">
        <v>1.3282158707615834</v>
      </c>
      <c r="T11" s="78">
        <v>1.5463719418456539</v>
      </c>
      <c r="U11" s="15">
        <v>0.22428295339746124</v>
      </c>
      <c r="V11" s="76">
        <v>1.2715557492373779</v>
      </c>
      <c r="W11" s="71">
        <v>-2.9708004807061839</v>
      </c>
      <c r="X11" s="13" t="s">
        <v>370</v>
      </c>
      <c r="Y11" s="11" t="s">
        <v>364</v>
      </c>
      <c r="Z11" s="14">
        <v>46081</v>
      </c>
      <c r="AA11" s="16" t="s">
        <v>367</v>
      </c>
    </row>
    <row r="12" spans="1:27">
      <c r="B12" s="11" t="s">
        <v>378</v>
      </c>
      <c r="C12" s="11" t="s">
        <v>379</v>
      </c>
      <c r="D12" s="2">
        <v>4.96</v>
      </c>
      <c r="E12" s="12" t="s">
        <v>134</v>
      </c>
      <c r="F12" s="15">
        <v>0.13072214847287472</v>
      </c>
      <c r="G12" s="15">
        <f>F12 - Portfolio_Mgmt!$C$10</f>
        <v>1.3322148472874717E-2</v>
      </c>
      <c r="H12" s="15">
        <f>F12 - Portfolio_Mgmt!$C$11</f>
        <v>9.6222148472874719E-2</v>
      </c>
      <c r="I12" s="15">
        <v>0</v>
      </c>
      <c r="J12" s="2">
        <v>3.3455729956390798</v>
      </c>
      <c r="K12" s="2">
        <v>6.6277455556474951</v>
      </c>
      <c r="L12" s="71">
        <v>5.7883592149489207</v>
      </c>
      <c r="M12" s="2">
        <v>4.1632581103676909</v>
      </c>
      <c r="N12" s="2">
        <v>5.1345919269174427</v>
      </c>
      <c r="O12" s="4">
        <v>6.254193374237918E-2</v>
      </c>
      <c r="P12" s="4">
        <v>3.2096774193548387E-2</v>
      </c>
      <c r="Q12" s="4">
        <v>0.27382509866113364</v>
      </c>
      <c r="R12" s="4">
        <v>0.20764453215246689</v>
      </c>
      <c r="S12" s="79">
        <v>0.86056930273853416</v>
      </c>
      <c r="T12" s="78">
        <v>1.532381509863507</v>
      </c>
      <c r="U12" s="15">
        <v>0.27351475277205878</v>
      </c>
      <c r="V12" s="76">
        <v>0.94608729427783522</v>
      </c>
      <c r="W12" s="71">
        <v>0.59749676752244707</v>
      </c>
      <c r="X12" s="13" t="s">
        <v>169</v>
      </c>
      <c r="Y12" s="11" t="s">
        <v>364</v>
      </c>
      <c r="Z12" s="14">
        <v>46173</v>
      </c>
      <c r="AA12" s="16" t="s">
        <v>367</v>
      </c>
    </row>
    <row r="13" spans="1:27">
      <c r="B13" s="11" t="s">
        <v>157</v>
      </c>
      <c r="C13" s="11" t="s">
        <v>373</v>
      </c>
      <c r="D13" s="2">
        <v>21.32</v>
      </c>
      <c r="E13" s="12" t="s">
        <v>134</v>
      </c>
      <c r="F13" s="15">
        <v>0.11640086422797918</v>
      </c>
      <c r="G13" s="15">
        <f>F13 - Portfolio_Mgmt!$C$10</f>
        <v>-9.9913577202082049E-4</v>
      </c>
      <c r="H13" s="15">
        <f>F13 - Portfolio_Mgmt!$C$11</f>
        <v>8.1900864227979181E-2</v>
      </c>
      <c r="I13" s="15">
        <v>0</v>
      </c>
      <c r="J13" s="2">
        <v>13.816170725571997</v>
      </c>
      <c r="K13" s="2">
        <v>27.918318647720319</v>
      </c>
      <c r="L13" s="2">
        <v>23.987764966328253</v>
      </c>
      <c r="M13" s="2">
        <v>17.219109620266018</v>
      </c>
      <c r="N13" s="2">
        <v>21.264063629520557</v>
      </c>
      <c r="O13" s="4">
        <v>5.2843038421237054E-2</v>
      </c>
      <c r="P13" s="4">
        <v>2.4366232987030677E-2</v>
      </c>
      <c r="Q13" s="4">
        <v>0.2</v>
      </c>
      <c r="R13" s="4">
        <v>0.13430424833028851</v>
      </c>
      <c r="S13" s="79">
        <v>1.1000000000000001</v>
      </c>
      <c r="T13" s="78">
        <v>1.3537783359692717</v>
      </c>
      <c r="U13" s="15">
        <v>6.5417684980282262E-2</v>
      </c>
      <c r="V13" s="76">
        <v>0.50358953318926281</v>
      </c>
      <c r="W13" s="71">
        <v>5.6151561834446273</v>
      </c>
      <c r="X13" s="13" t="s">
        <v>374</v>
      </c>
      <c r="Y13" s="11" t="s">
        <v>364</v>
      </c>
      <c r="Z13" s="14">
        <v>46081</v>
      </c>
      <c r="AA13" s="16" t="s">
        <v>181</v>
      </c>
    </row>
    <row r="14" spans="1:27">
      <c r="B14" s="11" t="s">
        <v>170</v>
      </c>
      <c r="C14" s="11" t="s">
        <v>375</v>
      </c>
      <c r="D14" s="2">
        <v>24.02</v>
      </c>
      <c r="E14" s="12" t="s">
        <v>134</v>
      </c>
      <c r="F14" s="15">
        <v>7.4745186159857119E-2</v>
      </c>
      <c r="G14" s="15">
        <f>F14 - Portfolio_Mgmt!$C$10</f>
        <v>-4.2654813840142886E-2</v>
      </c>
      <c r="H14" s="15">
        <f>F14 - Portfolio_Mgmt!$C$11</f>
        <v>4.0245186159857116E-2</v>
      </c>
      <c r="I14" s="15">
        <v>0</v>
      </c>
      <c r="J14" s="2">
        <v>14.17159468519143</v>
      </c>
      <c r="K14" s="2">
        <v>25.749180287465105</v>
      </c>
      <c r="L14" s="2">
        <v>24.163950322736653</v>
      </c>
      <c r="M14" s="2">
        <v>17.524217702780767</v>
      </c>
      <c r="N14" s="2">
        <v>21.495872521335194</v>
      </c>
      <c r="O14" s="4">
        <v>0.10047610726126499</v>
      </c>
      <c r="P14" s="4">
        <v>5.2456286427976687E-2</v>
      </c>
      <c r="Q14" s="4">
        <v>0.17275816461101692</v>
      </c>
      <c r="R14" s="4">
        <v>0.32389125963769955</v>
      </c>
      <c r="S14" s="79">
        <v>0.37580175109499292</v>
      </c>
      <c r="T14" s="78">
        <v>1.419320754716981</v>
      </c>
      <c r="U14" s="15">
        <v>9.2018392262565404E-2</v>
      </c>
      <c r="V14" s="76">
        <v>0.52808720739977155</v>
      </c>
      <c r="W14" s="71">
        <v>0.46306648424568186</v>
      </c>
      <c r="X14" s="13" t="s">
        <v>376</v>
      </c>
      <c r="Y14" s="11" t="s">
        <v>361</v>
      </c>
      <c r="Z14" s="14">
        <v>46081</v>
      </c>
      <c r="AA14" s="16" t="s">
        <v>181</v>
      </c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4.2900000000000001E-2</v>
      </c>
      <c r="D4" s="34">
        <v>6.7500000000000004E-2</v>
      </c>
      <c r="E4" s="35">
        <f>D4-C4</f>
        <v>2.4600000000000004E-2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C9" sqref="C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805319</v>
      </c>
      <c r="H3" s="58">
        <f t="shared" ref="H3:H9" si="0">G3/$G$12</f>
        <v>0.60878081157268571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21.32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17.219109620266018</v>
      </c>
      <c r="K4" s="81">
        <f>VLOOKUP(B4,Opportunities!B$3:N$30,9,FALSE)</f>
        <v>13.816170725571997</v>
      </c>
      <c r="L4" s="81">
        <f>VLOOKUP(B4,Opportunities!B$3:N$30,11,FALSE)</f>
        <v>23.987764966328253</v>
      </c>
      <c r="M4" s="81">
        <f>VLOOKUP(B4,Opportunities!B$3:N$30,13,FALSE)</f>
        <v>21.264063629520557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106.9</v>
      </c>
      <c r="E5" s="59" t="str">
        <f>VLOOKUP(B5,Opportunities!B$3:E$30,4,FALSE)</f>
        <v>HKD</v>
      </c>
      <c r="F5" s="57">
        <v>1000</v>
      </c>
      <c r="G5" s="61">
        <f t="shared" si="1"/>
        <v>106900</v>
      </c>
      <c r="H5" s="58">
        <f t="shared" si="0"/>
        <v>8.081104352079127E-2</v>
      </c>
      <c r="I5" s="58">
        <f>VLOOKUP(B5,Opportunities!B$3:I$30,8,FALSE)</f>
        <v>0.22117180217688462</v>
      </c>
      <c r="J5" s="81">
        <f>VLOOKUP(B5,Opportunities!B$3:N$30,12,FALSE)</f>
        <v>116.42530015283373</v>
      </c>
      <c r="K5" s="81">
        <f>VLOOKUP(B5,Opportunities!B$3:N$30,9,FALSE)</f>
        <v>93.416293503700757</v>
      </c>
      <c r="L5" s="81">
        <f>VLOOKUP(B5,Opportunities!B$3:N$30,11,FALSE)</f>
        <v>162.19173081301534</v>
      </c>
      <c r="M5" s="81">
        <f>VLOOKUP(B5,Opportunities!B$3:N$30,13,FALSE)</f>
        <v>143.77534417258781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3.28</v>
      </c>
      <c r="E6" s="59" t="str">
        <f>VLOOKUP(B6,Opportunities!B$3:E$30,4,FALSE)</f>
        <v>HKD</v>
      </c>
      <c r="F6" s="57">
        <v>40000</v>
      </c>
      <c r="G6" s="61">
        <f t="shared" si="1"/>
        <v>131200</v>
      </c>
      <c r="H6" s="58">
        <f t="shared" si="0"/>
        <v>9.9180625911392095E-2</v>
      </c>
      <c r="I6" s="58">
        <f>VLOOKUP(B6,Opportunities!B$3:I$30,8,FALSE)</f>
        <v>9.7881812415135577E-2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8.16</v>
      </c>
      <c r="E7" s="59" t="str">
        <f>VLOOKUP(B7,Opportunities!B$3:E$30,4,FALSE)</f>
        <v>HKD</v>
      </c>
      <c r="F7" s="57">
        <v>8000</v>
      </c>
      <c r="G7" s="61">
        <f t="shared" si="1"/>
        <v>65280</v>
      </c>
      <c r="H7" s="58">
        <f t="shared" si="0"/>
        <v>4.9348408990058504E-2</v>
      </c>
      <c r="I7" s="58">
        <f>VLOOKUP(B7,Opportunities!B$3:I$30,8,FALSE)</f>
        <v>5.6149102037013048E-3</v>
      </c>
      <c r="J7" s="81">
        <f>VLOOKUP(B7,Opportunities!B$3:N$30,12,FALSE)</f>
        <v>7.3003064941992424</v>
      </c>
      <c r="K7" s="81">
        <f>VLOOKUP(B7,Opportunities!B$3:N$30,9,FALSE)</f>
        <v>5.8726594435178239</v>
      </c>
      <c r="L7" s="81">
        <f>VLOOKUP(B7,Opportunities!B$3:N$30,11,FALSE)</f>
        <v>10.136052232131016</v>
      </c>
      <c r="M7" s="81">
        <f>VLOOKUP(B7,Opportunities!B$3:N$30,13,FALSE)</f>
        <v>8.9954611037261465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10.95</v>
      </c>
      <c r="E8" s="59" t="str">
        <f>VLOOKUP(B8,Opportunities!B$3:E$30,4,FALSE)</f>
        <v>HKD</v>
      </c>
      <c r="F8" s="57">
        <v>10000</v>
      </c>
      <c r="G8" s="61">
        <f t="shared" si="1"/>
        <v>109500</v>
      </c>
      <c r="H8" s="58">
        <f t="shared" si="0"/>
        <v>8.2776513241596295E-2</v>
      </c>
      <c r="I8" s="58">
        <f>VLOOKUP(B8,Opportunities!B$3:I$30,8,FALSE)</f>
        <v>0.1160217416107123</v>
      </c>
      <c r="J8" s="81">
        <f>VLOOKUP(B8,Opportunities!B$3:N$30,12,FALSE)</f>
        <v>12.092490125323778</v>
      </c>
      <c r="K8" s="81">
        <f>VLOOKUP(B8,Opportunities!B$3:N$30,9,FALSE)</f>
        <v>9.7394682442313947</v>
      </c>
      <c r="L8" s="81">
        <f>VLOOKUP(B8,Opportunities!B$3:N$30,11,FALSE)</f>
        <v>16.763209598655944</v>
      </c>
      <c r="M8" s="81">
        <f>VLOOKUP(B8,Opportunities!B$3:N$30,13,FALSE)</f>
        <v>14.884960723570439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4.71</v>
      </c>
      <c r="E9" s="59" t="str">
        <f>VLOOKUP(B9,Opportunities!B$3:E$30,4,FALSE)</f>
        <v>HKD</v>
      </c>
      <c r="F9" s="57">
        <v>12000</v>
      </c>
      <c r="G9" s="61">
        <f t="shared" si="1"/>
        <v>56520</v>
      </c>
      <c r="H9" s="58">
        <f t="shared" si="0"/>
        <v>4.27262879307308E-2</v>
      </c>
      <c r="I9" s="58">
        <f>VLOOKUP(B9,Opportunities!B$3:I$30,8,FALSE)</f>
        <v>6.7430620943927266E-2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4.01</v>
      </c>
      <c r="E10" s="59" t="str">
        <f>VLOOKUP(B10,Opportunities!B$3:E$30,4,FALSE)</f>
        <v>HKD</v>
      </c>
      <c r="F10" s="57">
        <v>12000</v>
      </c>
      <c r="G10" s="61">
        <f t="shared" si="1"/>
        <v>48120</v>
      </c>
      <c r="H10" s="58">
        <f t="shared" ref="H10" si="2">G10/$G$12</f>
        <v>3.6376308832745327E-2</v>
      </c>
      <c r="I10" s="58">
        <f>VLOOKUP(B10,Opportunities!B$3:I$30,8,FALSE)</f>
        <v>0.10425601974925761</v>
      </c>
      <c r="J10" s="81">
        <f>VLOOKUP(B10,Opportunities!B$3:N$30,12,FALSE)</f>
        <v>4.2866609309242349</v>
      </c>
      <c r="K10" s="81">
        <f>VLOOKUP(B10,Opportunities!B$3:N$30,9,FALSE)</f>
        <v>3.456518707541953</v>
      </c>
      <c r="L10" s="81">
        <f>VLOOKUP(B10,Opportunities!B$3:N$30,11,FALSE)</f>
        <v>5.9334292346530617</v>
      </c>
      <c r="M10" s="81">
        <f>VLOOKUP(B10,Opportunities!B$3:N$30,13,FALSE)</f>
        <v>5.2713470250039114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1322839</v>
      </c>
      <c r="H12" s="67">
        <f>SUM(H3:H10)</f>
        <v>1</v>
      </c>
      <c r="I12" s="73">
        <f>SUM(I3:I10)</f>
        <v>1.0623769070996187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21.32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17.219109620266018</v>
      </c>
      <c r="K15" s="81">
        <f>VLOOKUP(B15,Opportunities!B$3:N$30,9,FALSE)</f>
        <v>13.816170725571997</v>
      </c>
      <c r="L15" s="81">
        <f>VLOOKUP(B15,Opportunities!B$3:N$30,11,FALSE)</f>
        <v>23.987764966328253</v>
      </c>
      <c r="M15" s="81">
        <f>VLOOKUP(B15,Opportunities!B$3:N$30,13,FALSE)</f>
        <v>21.264063629520557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24.02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17.524217702780767</v>
      </c>
      <c r="K16" s="81">
        <f>VLOOKUP(B16,Opportunities!B$3:N$30,9,FALSE)</f>
        <v>14.17159468519143</v>
      </c>
      <c r="L16" s="81">
        <f>VLOOKUP(B16,Opportunities!B$3:N$30,11,FALSE)</f>
        <v>24.163950322736653</v>
      </c>
      <c r="M16" s="81">
        <f>VLOOKUP(B16,Opportunities!B$3:N$30,13,FALSE)</f>
        <v>21.495872521335194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3.28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9.7881812415135577E-2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4.01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0.10425601974925761</v>
      </c>
      <c r="J18" s="81">
        <f>VLOOKUP(B18,Opportunities!B$3:N$30,12,FALSE)</f>
        <v>4.2866609309242349</v>
      </c>
      <c r="K18" s="81">
        <f>VLOOKUP(B18,Opportunities!B$3:N$30,9,FALSE)</f>
        <v>3.456518707541953</v>
      </c>
      <c r="L18" s="81">
        <f>VLOOKUP(B18,Opportunities!B$3:N$30,11,FALSE)</f>
        <v>5.9334292346530617</v>
      </c>
      <c r="M18" s="81">
        <f>VLOOKUP(B18,Opportunities!B$3:N$30,13,FALSE)</f>
        <v>5.2713470250039114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10.95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0.1160217416107123</v>
      </c>
      <c r="J19" s="81">
        <f>VLOOKUP(B19,Opportunities!B$3:N$30,12,FALSE)</f>
        <v>12.092490125323778</v>
      </c>
      <c r="K19" s="81">
        <f>VLOOKUP(B19,Opportunities!B$3:N$30,9,FALSE)</f>
        <v>9.7394682442313947</v>
      </c>
      <c r="L19" s="81">
        <f>VLOOKUP(B19,Opportunities!B$3:N$30,11,FALSE)</f>
        <v>16.763209598655944</v>
      </c>
      <c r="M19" s="81">
        <f>VLOOKUP(B19,Opportunities!B$3:N$30,13,FALSE)</f>
        <v>14.884960723570439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8.16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5.6149102037013048E-3</v>
      </c>
      <c r="J20" s="81">
        <f>VLOOKUP(B20,Opportunities!B$3:N$30,12,FALSE)</f>
        <v>7.3003064941992424</v>
      </c>
      <c r="K20" s="81">
        <f>VLOOKUP(B20,Opportunities!B$3:N$30,9,FALSE)</f>
        <v>5.8726594435178239</v>
      </c>
      <c r="L20" s="81">
        <f>VLOOKUP(B20,Opportunities!B$3:N$30,11,FALSE)</f>
        <v>10.136052232131016</v>
      </c>
      <c r="M20" s="81">
        <f>VLOOKUP(B20,Opportunities!B$3:N$30,13,FALSE)</f>
        <v>8.9954611037261465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805319</v>
      </c>
      <c r="H23" s="73">
        <f t="shared" ref="H23" si="5">G23/$G$12</f>
        <v>0.60878081157268571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2026-02-06T08:39:16Z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