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CC67150-5E4E-4AEB-B3E5-2018974BFB5B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G3" i="1"/>
  <c r="G4" i="1"/>
  <c r="G5" i="1"/>
  <c r="G6" i="1"/>
  <c r="G7" i="1"/>
  <c r="G8" i="1"/>
  <c r="G9" i="1"/>
  <c r="D24" i="11"/>
  <c r="C24" i="11"/>
  <c r="C19" i="11"/>
  <c r="E47" i="5"/>
  <c r="D47" i="5" s="1"/>
  <c r="C47" i="5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C10" i="5"/>
  <c r="C11" i="5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<sst xmlns="http://schemas.openxmlformats.org/spreadsheetml/2006/main" count="443" uniqueCount="376">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</sst>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28" zoomScale="83" workbookViewId="0">
      <selection activeCell="B51" sqref="B51:E51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0.6</v>
      </c>
    </row>
    <row r="38" spans="1:5">
      <c r="B38" s="26" t="s">
        <v>363</v>
      </c>
      <c r="C38" s="138">
        <v>-0.75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0.25992104989487319</v>
      </c>
      <c r="D46" s="137">
        <f>E46*-C$38</f>
        <v>1</v>
      </c>
      <c r="E46" s="139">
        <f>(1-C$37)/(C$37-C$31)</f>
        <v>1.3333333333333335</v>
      </c>
    </row>
    <row r="47" spans="1:5">
      <c r="B47" s="26" t="str">
        <f>"Target "&amp;C$31/2*100&amp;"% Allocation"</f>
        <v>Target 15% Allocation</v>
      </c>
      <c r="C47" s="142">
        <f>(1+D47)^(1/C$36)-1</f>
        <v>0.1856311014966876</v>
      </c>
      <c r="D47" s="137">
        <f>E47*-C$38</f>
        <v>0.66666666666666674</v>
      </c>
      <c r="E47" s="139">
        <f>(1-C$37)/(C$37-C$31/2)</f>
        <v>0.88888888888888906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7" sqref="I3:I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331</v>
      </c>
      <c r="C3" s="11" t="s">
        <v>332</v>
      </c>
      <c r="D3" s="2">
        <v>3.86</v>
      </c>
      <c r="E3" s="12" t="s">
        <v>135</v>
      </c>
      <c r="F3" s="15">
        <v>0.23693142690237817</v>
      </c>
      <c r="G3" s="15">
        <f>F3 - Portfolio_Mgmt!$C$10</f>
        <v>0.11953142690237817</v>
      </c>
      <c r="H3" s="15">
        <f>F3 - Portfolio_Mgmt!$C$11</f>
        <v>0.20243142690237817</v>
      </c>
      <c r="I3" s="15">
        <v>0.13193358004746955</v>
      </c>
      <c r="J3" s="2">
        <v>3.6622525809857533</v>
      </c>
      <c r="K3" s="2">
        <v>6.3942226777410154</v>
      </c>
      <c r="L3" s="71">
        <v>5.8148471109454567</v>
      </c>
      <c r="M3" s="2">
        <v>4.3575669853197114</v>
      </c>
      <c r="N3" s="2">
        <v>5.1664929953737788</v>
      </c>
      <c r="O3" s="4">
        <v>8.096435013791442E-2</v>
      </c>
      <c r="P3" s="4">
        <v>6.2642487046632125E-2</v>
      </c>
      <c r="Q3" s="4">
        <v>0.13051754934484086</v>
      </c>
      <c r="R3" s="4">
        <v>0.21350770384328224</v>
      </c>
      <c r="S3" s="79">
        <v>0.48960240415119827</v>
      </c>
      <c r="T3" s="78">
        <v>1.2485669045200241</v>
      </c>
      <c r="U3" s="15">
        <v>3.1120102042901991E-2</v>
      </c>
      <c r="V3" s="76">
        <v>0.2356683101838101</v>
      </c>
      <c r="W3" s="71">
        <v>1.2426237510084042</v>
      </c>
      <c r="X3" s="13" t="s">
        <v>171</v>
      </c>
      <c r="Y3" s="11" t="s">
        <v>333</v>
      </c>
      <c r="Z3" s="14">
        <v>46081</v>
      </c>
      <c r="AA3" s="16" t="s">
        <v>334</v>
      </c>
    </row>
    <row r="4" spans="1:27">
      <c r="B4" s="11" t="s">
        <v>185</v>
      </c>
      <c r="C4" s="11" t="s">
        <v>335</v>
      </c>
      <c r="D4" s="2">
        <v>2.75</v>
      </c>
      <c r="E4" s="12" t="s">
        <v>135</v>
      </c>
      <c r="F4" s="15">
        <v>0.21161685845549613</v>
      </c>
      <c r="G4" s="15">
        <f>F4 - Portfolio_Mgmt!$C$10</f>
        <v>9.4216858455496127E-2</v>
      </c>
      <c r="H4" s="15">
        <f>F4 - Portfolio_Mgmt!$C$11</f>
        <v>0.17711685845549613</v>
      </c>
      <c r="I4" s="15">
        <v>0.21472877572710236</v>
      </c>
      <c r="J4" s="2">
        <v>2.4683124315430653</v>
      </c>
      <c r="K4" s="2">
        <v>3.8978478955831006</v>
      </c>
      <c r="L4" s="71">
        <v>3.864947713995857</v>
      </c>
      <c r="M4" s="2">
        <v>2.9205077954237963</v>
      </c>
      <c r="N4" s="2">
        <v>3.4452258335534998</v>
      </c>
      <c r="O4" s="4">
        <v>5.849434636468287E-2</v>
      </c>
      <c r="P4" s="4">
        <v>9.818181818181819E-2</v>
      </c>
      <c r="Q4" s="4">
        <v>7.6203822690338374E-2</v>
      </c>
      <c r="R4" s="4">
        <v>0.40688947062135006</v>
      </c>
      <c r="S4" s="79">
        <v>0.1542519195864642</v>
      </c>
      <c r="T4" s="78">
        <v>1.2141426890285656</v>
      </c>
      <c r="U4" s="15">
        <v>2.3107986944995245E-3</v>
      </c>
      <c r="V4" s="76">
        <v>3.0499352531108609E-2</v>
      </c>
      <c r="W4" s="71">
        <v>0.79833937207218564</v>
      </c>
      <c r="X4" s="13" t="s">
        <v>336</v>
      </c>
      <c r="Y4" s="11" t="s">
        <v>333</v>
      </c>
      <c r="Z4" s="14">
        <v>46081</v>
      </c>
      <c r="AA4" s="16" t="s">
        <v>183</v>
      </c>
    </row>
    <row r="5" spans="1:27">
      <c r="B5" s="11" t="s">
        <v>342</v>
      </c>
      <c r="C5" s="11" t="s">
        <v>343</v>
      </c>
      <c r="D5" s="2">
        <v>6.84</v>
      </c>
      <c r="E5" s="12" t="s">
        <v>135</v>
      </c>
      <c r="F5" s="15">
        <v>0.19782971533072102</v>
      </c>
      <c r="G5" s="15">
        <f>F5 - Portfolio_Mgmt!$C$10</f>
        <v>8.0429715330721019E-2</v>
      </c>
      <c r="H5" s="15">
        <f>F5 - Portfolio_Mgmt!$C$11</f>
        <v>0.16332971533072102</v>
      </c>
      <c r="I5" s="15">
        <v>9.1272785801231368E-2</v>
      </c>
      <c r="J5" s="2">
        <v>5.9111173133359962</v>
      </c>
      <c r="K5" s="2">
        <v>10.626479869807531</v>
      </c>
      <c r="L5" s="71">
        <v>9.4257853004312064</v>
      </c>
      <c r="M5" s="2">
        <v>7.045607229296043</v>
      </c>
      <c r="N5" s="2">
        <v>8.3664813588459364</v>
      </c>
      <c r="O5" s="4">
        <v>0.10057098457632623</v>
      </c>
      <c r="P5" s="4">
        <v>4.5438864301315787E-2</v>
      </c>
      <c r="Q5" s="4">
        <v>0.17171944695436511</v>
      </c>
      <c r="R5" s="4">
        <v>8.3605886227131956E-2</v>
      </c>
      <c r="S5" s="79">
        <v>1.3282158707615834</v>
      </c>
      <c r="T5" s="78">
        <v>1.5463719418456539</v>
      </c>
      <c r="U5" s="15">
        <v>0.22428295339746124</v>
      </c>
      <c r="V5" s="76">
        <v>1.2715557492373779</v>
      </c>
      <c r="W5" s="71">
        <v>-2.8858293708583673</v>
      </c>
      <c r="X5" s="13" t="s">
        <v>344</v>
      </c>
      <c r="Y5" s="11" t="s">
        <v>170</v>
      </c>
      <c r="Z5" s="14">
        <v>46081</v>
      </c>
      <c r="AA5" s="16" t="s">
        <v>334</v>
      </c>
    </row>
    <row r="6" spans="1:27">
      <c r="B6" s="11" t="s">
        <v>172</v>
      </c>
      <c r="C6" s="11" t="s">
        <v>339</v>
      </c>
      <c r="D6" s="2">
        <v>18.48</v>
      </c>
      <c r="E6" s="12" t="s">
        <v>135</v>
      </c>
      <c r="F6" s="15">
        <v>0.16507556698738923</v>
      </c>
      <c r="G6" s="15">
        <f>F6 - Portfolio_Mgmt!$C$10</f>
        <v>4.7675566987389228E-2</v>
      </c>
      <c r="H6" s="15">
        <f>F6 - Portfolio_Mgmt!$C$11</f>
        <v>0.13057556698738923</v>
      </c>
      <c r="I6" s="15">
        <v>8.4070530744347199E-2</v>
      </c>
      <c r="J6" s="2">
        <v>14.8174800601385</v>
      </c>
      <c r="K6" s="2">
        <v>24.787334271929527</v>
      </c>
      <c r="L6" s="71">
        <v>23.384275253193238</v>
      </c>
      <c r="M6" s="2">
        <v>17.587462834169418</v>
      </c>
      <c r="N6" s="2">
        <v>20.806459393220191</v>
      </c>
      <c r="O6" s="4">
        <v>0.12662982444479665</v>
      </c>
      <c r="P6" s="4">
        <v>6.8181818181818177E-2</v>
      </c>
      <c r="Q6" s="4">
        <v>0.17244225698759846</v>
      </c>
      <c r="R6" s="4">
        <v>0.32385684070512349</v>
      </c>
      <c r="S6" s="79">
        <v>0.37515442207937094</v>
      </c>
      <c r="T6" s="78">
        <v>1.419320754716981</v>
      </c>
      <c r="U6" s="15">
        <v>9.2018392262565404E-2</v>
      </c>
      <c r="V6" s="76">
        <v>0.52904635366009978</v>
      </c>
      <c r="W6" s="71">
        <v>0.44982181387645909</v>
      </c>
      <c r="X6" s="13" t="s">
        <v>340</v>
      </c>
      <c r="Y6" s="11" t="s">
        <v>341</v>
      </c>
      <c r="Z6" s="14">
        <v>46081</v>
      </c>
      <c r="AA6" s="16" t="s">
        <v>183</v>
      </c>
    </row>
    <row r="7" spans="1:27">
      <c r="B7" s="11" t="s">
        <v>158</v>
      </c>
      <c r="C7" s="11" t="s">
        <v>337</v>
      </c>
      <c r="D7" s="2">
        <v>17.27</v>
      </c>
      <c r="E7" s="12" t="s">
        <v>135</v>
      </c>
      <c r="F7" s="15">
        <v>0.15535076181866403</v>
      </c>
      <c r="G7" s="15">
        <f>F7 - Portfolio_Mgmt!$C$10</f>
        <v>3.7950761818664025E-2</v>
      </c>
      <c r="H7" s="15">
        <f>F7 - Portfolio_Mgmt!$C$11</f>
        <v>0.12085076181866403</v>
      </c>
      <c r="I7" s="15">
        <v>4.6701774622555405E-2</v>
      </c>
      <c r="J7" s="2">
        <v>13.412418868379266</v>
      </c>
      <c r="K7" s="2">
        <v>24.767351320305323</v>
      </c>
      <c r="L7" s="71">
        <v>21.473540781072693</v>
      </c>
      <c r="M7" s="2">
        <v>16.012769476039846</v>
      </c>
      <c r="N7" s="2">
        <v>19.042478087573112</v>
      </c>
      <c r="O7" s="4">
        <v>5.5349851895068199E-2</v>
      </c>
      <c r="P7" s="4">
        <v>3.0966070035261056E-2</v>
      </c>
      <c r="Q7" s="4">
        <v>0.11088649350876995</v>
      </c>
      <c r="R7" s="4">
        <v>0.11515133932647489</v>
      </c>
      <c r="S7" s="79">
        <v>0.71131521233544359</v>
      </c>
      <c r="T7" s="78">
        <v>1.3537783359692717</v>
      </c>
      <c r="U7" s="15">
        <v>6.5417684980282262E-2</v>
      </c>
      <c r="V7" s="76">
        <v>0.5742845428370501</v>
      </c>
      <c r="W7" s="71">
        <v>5.4545509674515618</v>
      </c>
      <c r="X7" s="13" t="s">
        <v>338</v>
      </c>
      <c r="Y7" s="11" t="s">
        <v>333</v>
      </c>
      <c r="Z7" s="14">
        <v>46081</v>
      </c>
      <c r="AA7" s="16" t="s">
        <v>183</v>
      </c>
    </row>
    <row r="8" spans="1:27">
      <c r="B8" s="11" t="s">
        <v>329</v>
      </c>
      <c r="C8" s="11" t="s">
        <v>330</v>
      </c>
      <c r="D8" s="2">
        <v>6.51</v>
      </c>
      <c r="E8" s="12" t="s">
        <v>135</v>
      </c>
      <c r="F8" s="15">
        <v>0.1207769498377638</v>
      </c>
      <c r="G8" s="15">
        <f>F8 - Portfolio_Mgmt!$C$10</f>
        <v>3.376949837763793E-3</v>
      </c>
      <c r="H8" s="15">
        <f>F8 - Portfolio_Mgmt!$C$11</f>
        <v>8.6276949837763794E-2</v>
      </c>
      <c r="I8" s="15">
        <v>0</v>
      </c>
      <c r="J8" s="2">
        <v>4.6766451060685625</v>
      </c>
      <c r="K8" s="2">
        <v>7.8143613713918958</v>
      </c>
      <c r="L8" s="71">
        <v>7.3792932677079612</v>
      </c>
      <c r="M8" s="2">
        <v>5.5505413533150421</v>
      </c>
      <c r="N8" s="2">
        <v>6.5660659780940076</v>
      </c>
      <c r="O8" s="4">
        <v>6.0969866470943525E-2</v>
      </c>
      <c r="P8" s="4">
        <v>6.1443932411674354E-2</v>
      </c>
      <c r="Q8" s="4">
        <v>0.1167471410506614</v>
      </c>
      <c r="R8" s="4">
        <v>3.9086921133773919E-2</v>
      </c>
      <c r="S8" s="79">
        <v>1.3708738209065539</v>
      </c>
      <c r="T8" s="78">
        <v>2.1787997096988563</v>
      </c>
      <c r="U8" s="15">
        <v>0.77760119734648436</v>
      </c>
      <c r="V8" s="76">
        <v>5.3475400925918697</v>
      </c>
      <c r="W8" s="71">
        <v>-2.5047246524922007</v>
      </c>
      <c r="X8" s="13" t="s">
        <v>171</v>
      </c>
      <c r="Y8" s="11" t="s">
        <v>170</v>
      </c>
      <c r="Z8" s="14">
        <v>45991</v>
      </c>
      <c r="AA8" s="16" t="s">
        <v>183</v>
      </c>
    </row>
    <row r="9" spans="1:27">
      <c r="B9" s="11" t="s">
        <v>346</v>
      </c>
      <c r="C9" s="11" t="s">
        <v>347</v>
      </c>
      <c r="D9" s="2">
        <v>103.1</v>
      </c>
      <c r="E9" s="12" t="s">
        <v>135</v>
      </c>
      <c r="F9" s="15">
        <v>0.11568178250361126</v>
      </c>
      <c r="G9" s="15">
        <f>F9 - Portfolio_Mgmt!$C$10</f>
        <v>-1.7182174963887437E-3</v>
      </c>
      <c r="H9" s="15">
        <f>F9 - Portfolio_Mgmt!$C$11</f>
        <v>8.1181782503611258E-2</v>
      </c>
      <c r="I9" s="15">
        <v>0</v>
      </c>
      <c r="J9" s="2">
        <v>71.589560265034251</v>
      </c>
      <c r="K9" s="2">
        <v>143.1791205300685</v>
      </c>
      <c r="L9" s="71">
        <v>116.06139543478365</v>
      </c>
      <c r="M9" s="2">
        <v>85.907472318041115</v>
      </c>
      <c r="N9" s="2">
        <v>102.6251227026457</v>
      </c>
      <c r="O9" s="4">
        <v>2.3209944901686781E-2</v>
      </c>
      <c r="P9" s="4">
        <v>0</v>
      </c>
      <c r="Q9" s="4">
        <v>0.14667015235144401</v>
      </c>
      <c r="R9" s="4">
        <v>8.0069983114389093E-2</v>
      </c>
      <c r="S9" s="79">
        <v>1.022390799101176</v>
      </c>
      <c r="T9" s="78">
        <v>1.7916578376478161</v>
      </c>
      <c r="U9" s="15">
        <v>0.27660377540313014</v>
      </c>
      <c r="V9" s="76">
        <v>1.7116972700897226</v>
      </c>
      <c r="W9" s="71">
        <v>3.4851390045604114</v>
      </c>
      <c r="X9" s="13" t="s">
        <v>348</v>
      </c>
      <c r="Y9" s="11" t="s">
        <v>349</v>
      </c>
      <c r="Z9" s="14">
        <v>46081</v>
      </c>
      <c r="AA9" s="16" t="s">
        <v>334</v>
      </c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0.25992104989487319</v>
      </c>
      <c r="D32" s="93" t="s">
        <v>322</v>
      </c>
      <c r="E32" s="108">
        <f>Portfolio_Mgmt!E46</f>
        <v>1.3333333333333335</v>
      </c>
    </row>
    <row r="33" spans="1:5">
      <c r="B33" s="95" t="s">
        <v>263</v>
      </c>
      <c r="C33" s="109">
        <f>Portfolio_Mgmt!C47</f>
        <v>0.1856311014966876</v>
      </c>
      <c r="D33" s="96" t="s">
        <v>268</v>
      </c>
      <c r="E33" s="97">
        <f>(C32*C33+(1-C32)*C34)/(2*C33)</f>
        <v>3.1578841732809266</v>
      </c>
    </row>
    <row r="34" spans="1:5" ht="12" thickBot="1">
      <c r="B34" s="98" t="s">
        <v>264</v>
      </c>
      <c r="C34" s="99">
        <f>E32+C33</f>
        <v>1.5189644348300211</v>
      </c>
      <c r="D34" s="100" t="s">
        <v>269</v>
      </c>
      <c r="E34" s="101">
        <f>-C33/C34</f>
        <v>-0.12220898477946296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-0.75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355</v>
      </c>
      <c r="C19" s="141">
        <f>Portfolio_Mgmt!C47</f>
        <v>0.1856311014966876</v>
      </c>
      <c r="D19" s="140">
        <f xml:space="preserve"> (1 + C19) ^ C$7-1</f>
        <v>0.66666666666666652</v>
      </c>
      <c r="E19" s="129">
        <f>-D19/C$10</f>
        <v>0.88888888888888873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357</v>
      </c>
      <c r="C24" s="130">
        <f>(E19*C$8-(1-C$8))/E19</f>
        <v>0.14999999999999986</v>
      </c>
      <c r="D24" s="130">
        <f>C24/2</f>
        <v>7.4999999999999928E-2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7" sqref="C17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4.1799999999999997E-2</v>
      </c>
      <c r="D4" s="34">
        <v>7.2499999999999995E-2</v>
      </c>
      <c r="E4" s="35">
        <f>D4-C4</f>
        <v>3.0699999999999998E-2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>
        <f>G3/$G$9</f>
        <v>0.69911398886142051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17.27</v>
      </c>
      <c r="E4" s="59" t="str">
        <f>VLOOKUP(B4,Opportunities!B$3:E$30,4,FALSE)</f>
        <v>HKD</v>
      </c>
      <c r="F4" s="57">
        <v>4500</v>
      </c>
      <c r="G4" s="61">
        <f>D4*F4</f>
        <v>77715</v>
      </c>
      <c r="H4" s="58">
        <f>G4/$G$9</f>
        <v>6.9685614446617403E-2</v>
      </c>
      <c r="I4" s="58">
        <f>VLOOKUP(B4,Opportunities!B$3:I$30,8,FALSE)</f>
        <v>4.6701774622555405E-2</v>
      </c>
      <c r="J4" s="81">
        <f>VLOOKUP(B4,Opportunities!B$3:N$30,12,FALSE)</f>
        <v>16.012769476039846</v>
      </c>
      <c r="K4" s="81">
        <f>VLOOKUP(B4,Opportunities!B$3:N$30,9,FALSE)</f>
        <v>13.412418868379266</v>
      </c>
      <c r="L4" s="81">
        <f>VLOOKUP(B4,Opportunities!B$3:N$30,11,FALSE)</f>
        <v>21.473540781072693</v>
      </c>
      <c r="M4" s="81">
        <f>VLOOKUP(B4,Opportunities!B$3:N$30,13,FALSE)</f>
        <v>19.042478087573112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18.48</v>
      </c>
      <c r="E5" s="59" t="str">
        <f>VLOOKUP(B5,Opportunities!B$3:E$30,4,FALSE)</f>
        <v>HKD</v>
      </c>
      <c r="F5" s="57">
        <v>8000</v>
      </c>
      <c r="G5" s="61">
        <f>D5*F5</f>
        <v>147840</v>
      </c>
      <c r="H5" s="58">
        <f>G5/$G$9</f>
        <v>0.13256541516808745</v>
      </c>
      <c r="I5" s="58">
        <f>VLOOKUP(B5,Opportunities!B$3:I$30,8,FALSE)</f>
        <v>8.4070530744347199E-2</v>
      </c>
      <c r="J5" s="81">
        <f>VLOOKUP(B5,Opportunities!B$3:N$30,12,FALSE)</f>
        <v>17.587462834169418</v>
      </c>
      <c r="K5" s="81">
        <f>VLOOKUP(B5,Opportunities!B$3:N$30,9,FALSE)</f>
        <v>14.8174800601385</v>
      </c>
      <c r="L5" s="81">
        <f>VLOOKUP(B5,Opportunities!B$3:N$30,11,FALSE)</f>
        <v>23.384275253193238</v>
      </c>
      <c r="M5" s="81">
        <f>VLOOKUP(B5,Opportunities!B$3:N$30,13,FALSE)</f>
        <v>20.806459393220191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2.75</v>
      </c>
      <c r="E6" s="59" t="str">
        <f>VLOOKUP(B6,Opportunities!B$3:E$30,4,FALSE)</f>
        <v>HKD</v>
      </c>
      <c r="F6" s="57">
        <v>40000</v>
      </c>
      <c r="G6" s="61">
        <f>D6*F6</f>
        <v>110000</v>
      </c>
      <c r="H6" s="58">
        <f t="shared" ref="H6" si="0">G6/$G$9</f>
        <v>9.8634981523874593E-2</v>
      </c>
      <c r="I6" s="58">
        <f>VLOOKUP(B6,Opportunities!B$3:I$30,8,FALSE)</f>
        <v>0.21472877572710236</v>
      </c>
      <c r="J6" s="81">
        <f>VLOOKUP(B6,Opportunities!B$3:N$30,12,FALSE)</f>
        <v>2.9205077954237963</v>
      </c>
      <c r="K6" s="81">
        <f>VLOOKUP(B6,Opportunities!B$3:N$30,9,FALSE)</f>
        <v>2.4683124315430653</v>
      </c>
      <c r="L6" s="81">
        <f>VLOOKUP(B6,Opportunities!B$3:N$30,11,FALSE)</f>
        <v>3.864947713995857</v>
      </c>
      <c r="M6" s="81">
        <f>VLOOKUP(B6,Opportunities!B$3:N$30,13,FALSE)</f>
        <v>3.4452258335534998</v>
      </c>
    </row>
    <row r="7" spans="1:13">
      <c r="B7" s="63" t="s">
        <v>331</v>
      </c>
      <c r="C7" s="62" t="str">
        <f>VLOOKUP(B7,Opportunities!B$3:E$30,2,FALSE)</f>
        <v>中国飞鹤</v>
      </c>
      <c r="D7" s="60">
        <f>VLOOKUP(B7,Opportunities!B$3:E$30,3,FALSE)</f>
        <v>3.86</v>
      </c>
      <c r="E7" s="59" t="str">
        <f>VLOOKUP(B7,Opportunities!B$3:E$30,4,FALSE)</f>
        <v>HKD</v>
      </c>
      <c r="F7" s="57">
        <v>9000</v>
      </c>
      <c r="G7" s="61">
        <f>D7*F7</f>
        <v>34740</v>
      </c>
      <c r="H7" s="58">
        <f t="shared" ref="H7" si="1">G7/$G$9</f>
        <v>3.1150720528540031E-2</v>
      </c>
      <c r="I7" s="58">
        <f>VLOOKUP(B7,Opportunities!B$3:I$30,8,FALSE)</f>
        <v>0.13193358004746955</v>
      </c>
      <c r="J7" s="81">
        <f>VLOOKUP(B7,Opportunities!B$3:N$30,12,FALSE)</f>
        <v>4.3575669853197114</v>
      </c>
      <c r="K7" s="81">
        <f>VLOOKUP(B7,Opportunities!B$3:N$30,9,FALSE)</f>
        <v>3.6622525809857533</v>
      </c>
      <c r="L7" s="81">
        <f>VLOOKUP(B7,Opportunities!B$3:N$30,11,FALSE)</f>
        <v>5.8148471109454567</v>
      </c>
      <c r="M7" s="81">
        <f>VLOOKUP(B7,Opportunities!B$3:N$30,13,FALSE)</f>
        <v>5.1664929953737788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>
        <f>SUM(G3:G6)</f>
        <v>1115223</v>
      </c>
      <c r="H9" s="67">
        <f>SUM(H3:H6)</f>
        <v>0.99999999999999989</v>
      </c>
      <c r="I9" s="73">
        <f>SUM(I3:I6)</f>
        <v>0.79550108109400497</v>
      </c>
      <c r="J9" s="82" t="s">
        <v>189</v>
      </c>
      <c r="K9" s="82" t="s">
        <v>189</v>
      </c>
      <c r="L9" s="82" t="s">
        <v>189</v>
      </c>
      <c r="M9" s="82" t="s">
        <v>189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str">
        <f>VLOOKUP(B12,Opportunities!B$3:E$30,2,FALSE)</f>
        <v>李宁</v>
      </c>
      <c r="D12" s="60">
        <f>VLOOKUP(B12,Opportunities!B$3:E$30,3,FALSE)</f>
        <v>17.27</v>
      </c>
      <c r="E12" s="59" t="str">
        <f>VLOOKUP(B12,Opportunities!B$3:E$30,4,FALSE)</f>
        <v>HKD</v>
      </c>
      <c r="F12" s="57">
        <v>0</v>
      </c>
      <c r="G12" s="61">
        <f>-D12*F12</f>
        <v>0</v>
      </c>
      <c r="H12" s="58">
        <f>-G12/$G$9</f>
        <v>0</v>
      </c>
      <c r="I12" s="58">
        <f>VLOOKUP(B12,Opportunities!B$3:I$30,8,FALSE)</f>
        <v>4.6701774622555405E-2</v>
      </c>
      <c r="J12" s="81">
        <f>VLOOKUP(B12,Opportunities!B$3:N$30,12,FALSE)</f>
        <v>16.012769476039846</v>
      </c>
      <c r="K12" s="81">
        <f>VLOOKUP(B12,Opportunities!B$3:N$30,9,FALSE)</f>
        <v>13.412418868379266</v>
      </c>
      <c r="L12" s="81">
        <f>VLOOKUP(B12,Opportunities!B$3:N$30,11,FALSE)</f>
        <v>21.473540781072693</v>
      </c>
      <c r="M12" s="81">
        <f>VLOOKUP(B12,Opportunities!B$3:N$30,13,FALSE)</f>
        <v>19.042478087573112</v>
      </c>
    </row>
    <row r="13" spans="1:13">
      <c r="B13" s="63" t="s">
        <v>172</v>
      </c>
      <c r="C13" s="62" t="str">
        <f>VLOOKUP(B13,Opportunities!B$3:E$30,2,FALSE)</f>
        <v>中国海油</v>
      </c>
      <c r="D13" s="60">
        <f>VLOOKUP(B13,Opportunities!B$3:E$30,3,FALSE)</f>
        <v>18.48</v>
      </c>
      <c r="E13" s="59" t="str">
        <f>VLOOKUP(B13,Opportunities!B$3:E$30,4,FALSE)</f>
        <v>HKD</v>
      </c>
      <c r="F13" s="57">
        <v>0</v>
      </c>
      <c r="G13" s="61">
        <f>-D13*F13</f>
        <v>0</v>
      </c>
      <c r="H13" s="58">
        <f>-G13/$G$9</f>
        <v>0</v>
      </c>
      <c r="I13" s="58">
        <f>VLOOKUP(B13,Opportunities!B$3:I$30,8,FALSE)</f>
        <v>8.4070530744347199E-2</v>
      </c>
      <c r="J13" s="81">
        <f>VLOOKUP(B13,Opportunities!B$3:N$30,12,FALSE)</f>
        <v>17.587462834169418</v>
      </c>
      <c r="K13" s="81">
        <f>VLOOKUP(B13,Opportunities!B$3:N$30,9,FALSE)</f>
        <v>14.8174800601385</v>
      </c>
      <c r="L13" s="81">
        <f>VLOOKUP(B13,Opportunities!B$3:N$30,11,FALSE)</f>
        <v>23.384275253193238</v>
      </c>
      <c r="M13" s="81">
        <f>VLOOKUP(B13,Opportunities!B$3:N$30,13,FALSE)</f>
        <v>20.806459393220191</v>
      </c>
    </row>
    <row r="14" spans="1:13">
      <c r="B14" s="63" t="s">
        <v>185</v>
      </c>
      <c r="C14" s="62" t="str">
        <f>VLOOKUP(B14,Opportunities!B$3:E$30,2,FALSE)</f>
        <v>首钢资源</v>
      </c>
      <c r="D14" s="60">
        <f>VLOOKUP(B14,Opportunities!B$3:E$30,3,FALSE)</f>
        <v>2.75</v>
      </c>
      <c r="E14" s="59" t="str">
        <f>VLOOKUP(B14,Opportunities!B$3:E$30,4,FALSE)</f>
        <v>HKD</v>
      </c>
      <c r="F14" s="57">
        <v>0</v>
      </c>
      <c r="G14" s="61">
        <f>-D14*F14</f>
        <v>0</v>
      </c>
      <c r="H14" s="58">
        <f>-G14/$G$9</f>
        <v>0</v>
      </c>
      <c r="I14" s="58">
        <f>VLOOKUP(B14,Opportunities!B$3:I$30,8,FALSE)</f>
        <v>0.21472877572710236</v>
      </c>
      <c r="J14" s="81">
        <f>VLOOKUP(B14,Opportunities!B$3:N$30,12,FALSE)</f>
        <v>2.9205077954237963</v>
      </c>
      <c r="K14" s="81">
        <f>VLOOKUP(B14,Opportunities!B$3:N$30,9,FALSE)</f>
        <v>2.4683124315430653</v>
      </c>
      <c r="L14" s="81">
        <f>VLOOKUP(B14,Opportunities!B$3:N$30,11,FALSE)</f>
        <v>3.864947713995857</v>
      </c>
      <c r="M14" s="81">
        <f>VLOOKUP(B14,Opportunities!B$3:N$30,13,FALSE)</f>
        <v>3.4452258335534998</v>
      </c>
    </row>
    <row r="15" spans="1:13">
      <c r="B15" s="63" t="s">
        <v>331</v>
      </c>
      <c r="C15" s="62" t="str">
        <f>VLOOKUP(B15,Opportunities!B$3:E$30,2,FALSE)</f>
        <v>中国飞鹤</v>
      </c>
      <c r="D15" s="60">
        <f>VLOOKUP(B15,Opportunities!B$3:E$30,3,FALSE)</f>
        <v>3.86</v>
      </c>
      <c r="E15" s="59" t="str">
        <f>VLOOKUP(B15,Opportunities!B$3:E$30,4,FALSE)</f>
        <v>HKD</v>
      </c>
      <c r="F15" s="57">
        <v>3000</v>
      </c>
      <c r="G15" s="61">
        <f>-D15*F15</f>
        <v>-11580</v>
      </c>
      <c r="H15" s="58">
        <f>-G15/$G$9</f>
        <v>1.0383573509513345E-2</v>
      </c>
      <c r="I15" s="58">
        <f>VLOOKUP(B15,Opportunities!B$3:I$30,8,FALSE)</f>
        <v>0.13193358004746955</v>
      </c>
      <c r="J15" s="81">
        <f>VLOOKUP(B15,Opportunities!B$3:N$30,12,FALSE)</f>
        <v>4.3575669853197114</v>
      </c>
      <c r="K15" s="81">
        <f>VLOOKUP(B15,Opportunities!B$3:N$30,9,FALSE)</f>
        <v>3.6622525809857533</v>
      </c>
      <c r="L15" s="81">
        <f>VLOOKUP(B15,Opportunities!B$3:N$30,11,FALSE)</f>
        <v>5.8148471109454567</v>
      </c>
      <c r="M15" s="81">
        <f>VLOOKUP(B15,Opportunities!B$3:N$30,13,FALSE)</f>
        <v>5.1664929953737788</v>
      </c>
    </row>
    <row r="16" spans="1:13">
      <c r="B16" s="63" t="s">
        <v>342</v>
      </c>
      <c r="C16" s="62" t="str">
        <f>VLOOKUP(B16,Opportunities!B$3:E$30,2,FALSE)</f>
        <v>昆仑能源</v>
      </c>
      <c r="D16" s="60">
        <f>VLOOKUP(B16,Opportunities!B$3:E$30,3,FALSE)</f>
        <v>6.84</v>
      </c>
      <c r="E16" s="59" t="str">
        <f>VLOOKUP(B16,Opportunities!B$3:E$30,4,FALSE)</f>
        <v>HKD</v>
      </c>
      <c r="F16" s="57">
        <v>8000</v>
      </c>
      <c r="G16" s="61">
        <f>-D16*F16</f>
        <v>-54720</v>
      </c>
      <c r="H16" s="58">
        <f>-G16/$G$9</f>
        <v>4.9066419899876527E-2</v>
      </c>
      <c r="I16" s="58">
        <f>VLOOKUP(B16,Opportunities!B$3:I$30,8,FALSE)</f>
        <v>9.1272785801231368E-2</v>
      </c>
      <c r="J16" s="81">
        <f>VLOOKUP(B16,Opportunities!B$3:N$30,12,FALSE)</f>
        <v>7.045607229296043</v>
      </c>
      <c r="K16" s="81">
        <f>VLOOKUP(B16,Opportunities!B$3:N$30,9,FALSE)</f>
        <v>5.9111173133359962</v>
      </c>
      <c r="L16" s="81">
        <f>VLOOKUP(B16,Opportunities!B$3:N$30,11,FALSE)</f>
        <v>9.4257853004312064</v>
      </c>
      <c r="M16" s="81">
        <f>VLOOKUP(B16,Opportunities!B$3:N$30,13,FALSE)</f>
        <v>8.3664813588459364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>
        <f>G3+SUM(G12:G16)</f>
        <v>713368</v>
      </c>
      <c r="H18" s="73">
        <f t="shared" ref="H18" si="2">G18/$G$9</f>
        <v>0.63966399545203068</v>
      </c>
      <c r="I18" s="73">
        <f>Portfolio_Mgmt!E73</f>
        <v>0.45</v>
      </c>
      <c r="J18" s="82" t="s">
        <v>189</v>
      </c>
      <c r="K18" s="82" t="s">
        <v>189</v>
      </c>
      <c r="L18" s="82" t="s">
        <v>189</v>
      </c>
      <c r="M18" s="82" t="s">
        <v>189</v>
      </c>
    </row>
    <row r="20" spans="1:13" ht="13.15">
      <c r="A20" s="49"/>
      <c r="B20" s="50" t="s">
        <v>190</v>
      </c>
      <c r="C20" s="115"/>
      <c r="D20" s="56"/>
      <c r="E20" s="53"/>
      <c r="F20" s="57"/>
      <c r="G20" s="57"/>
    </row>
    <row r="21" spans="1:13" ht="13.15">
      <c r="C21" s="84" t="s">
        <v>191</v>
      </c>
      <c r="D21" s="84" t="s">
        <v>194</v>
      </c>
      <c r="F21" s="84" t="s">
        <v>195</v>
      </c>
    </row>
    <row r="22" spans="1:13" ht="14.25">
      <c r="B22" s="83" t="s">
        <v>192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193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196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6" t="s">
        <v>87</v>
      </c>
      <c r="C3" s="156"/>
      <c r="D3" s="156"/>
    </row>
    <row r="5" spans="1:4">
      <c r="B5" s="157" t="s">
        <v>89</v>
      </c>
      <c r="C5" s="158"/>
      <c r="D5" s="158"/>
    </row>
    <row r="6" spans="1:4">
      <c r="B6" s="157" t="s">
        <v>90</v>
      </c>
      <c r="C6" s="158"/>
      <c r="D6" s="158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6" t="s">
        <v>92</v>
      </c>
      <c r="C11" s="156"/>
      <c r="D11" s="156"/>
    </row>
    <row r="12" spans="1:4">
      <c r="B12" s="156" t="s">
        <v>93</v>
      </c>
      <c r="C12" s="156"/>
      <c r="D12" s="156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6" t="s">
        <v>105</v>
      </c>
      <c r="C28" s="156"/>
      <c r="D28" s="156"/>
    </row>
    <row r="29" spans="1:4">
      <c r="B29" s="156" t="s">
        <v>106</v>
      </c>
      <c r="C29" s="156"/>
      <c r="D29" s="156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2025-10-08T03:54:25Z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