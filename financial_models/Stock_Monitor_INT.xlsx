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5755CE09-E1D6-414D-BC3B-C72F7A9BA9A3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E64" i="10"/>
  <c r="E63" i="10"/>
  <c r="E62" i="10"/>
  <c r="E61" i="10"/>
  <c r="E60" i="10"/>
  <c r="C55" i="10"/>
  <c r="C54" i="10"/>
  <c r="C53" i="10"/>
  <c r="E37" i="10"/>
  <c r="E32" i="10"/>
  <c r="C37" i="10"/>
  <c r="C35" i="10"/>
  <c r="C36" i="10" s="1"/>
  <c r="E36" i="10" s="1"/>
  <c r="C33" i="10"/>
  <c r="C32" i="10"/>
  <c r="C28" i="10"/>
  <c r="C27" i="10"/>
  <c r="C11" i="10"/>
  <c r="C10" i="10"/>
  <c r="B80" i="10"/>
  <c r="B83" i="10"/>
  <c r="B83" i="5"/>
  <c r="B80" i="5"/>
  <c r="E65" i="10" l="1"/>
  <c r="E66" i="10" s="1"/>
  <c r="C34" i="10"/>
  <c r="E35" i="10"/>
  <c r="E33" i="10"/>
  <c r="E34" i="10"/>
  <c r="C32" i="5"/>
  <c r="C34" i="5"/>
  <c r="E34" i="5" s="1"/>
  <c r="C36" i="5"/>
  <c r="E36" i="5" s="1"/>
  <c r="F3" i="7"/>
  <c r="E22" i="7"/>
  <c r="C23" i="7" s="1"/>
  <c r="E23" i="7" s="1"/>
  <c r="E25" i="7" s="1"/>
  <c r="H8" i="7"/>
  <c r="I8" i="7"/>
  <c r="J8" i="7"/>
  <c r="K8" i="7"/>
  <c r="L8" i="7"/>
  <c r="C8" i="7"/>
  <c r="D8" i="7"/>
  <c r="H16" i="7"/>
  <c r="I16" i="7"/>
  <c r="J16" i="7"/>
  <c r="K16" i="7"/>
  <c r="L16" i="7"/>
  <c r="C16" i="7"/>
  <c r="F16" i="7" s="1"/>
  <c r="D16" i="7"/>
  <c r="H15" i="7"/>
  <c r="I15" i="7"/>
  <c r="J15" i="7"/>
  <c r="K15" i="7"/>
  <c r="L15" i="7"/>
  <c r="C15" i="7"/>
  <c r="F15" i="7" s="1"/>
  <c r="D15" i="7"/>
  <c r="C13" i="7"/>
  <c r="D13" i="7"/>
  <c r="H13" i="7"/>
  <c r="I13" i="7"/>
  <c r="J13" i="7"/>
  <c r="K13" i="7"/>
  <c r="L13" i="7"/>
  <c r="I14" i="7"/>
  <c r="J14" i="7"/>
  <c r="K14" i="7"/>
  <c r="L14" i="7"/>
  <c r="H14" i="7"/>
  <c r="C14" i="7"/>
  <c r="F14" i="7" s="1"/>
  <c r="D14" i="7"/>
  <c r="I4" i="7"/>
  <c r="J4" i="7"/>
  <c r="K4" i="7"/>
  <c r="L4" i="7"/>
  <c r="I5" i="7"/>
  <c r="J5" i="7"/>
  <c r="K5" i="7"/>
  <c r="L5" i="7"/>
  <c r="I6" i="7"/>
  <c r="J6" i="7"/>
  <c r="K6" i="7"/>
  <c r="L6" i="7"/>
  <c r="I7" i="7"/>
  <c r="J7" i="7"/>
  <c r="K7" i="7"/>
  <c r="L7" i="7"/>
  <c r="H7" i="7"/>
  <c r="C7" i="7"/>
  <c r="F7" i="7" s="1"/>
  <c r="D7" i="7"/>
  <c r="E37" i="5"/>
  <c r="H6" i="7"/>
  <c r="C6" i="7"/>
  <c r="F6" i="7" s="1"/>
  <c r="D6" i="7"/>
  <c r="D4" i="7"/>
  <c r="D5" i="7"/>
  <c r="H4" i="7"/>
  <c r="H5" i="7"/>
  <c r="C4" i="7"/>
  <c r="C5" i="7"/>
  <c r="E35" i="5" l="1"/>
  <c r="E33" i="5"/>
  <c r="F8" i="7"/>
  <c r="F13" i="7"/>
  <c r="F18" i="7" s="1"/>
  <c r="F5" i="7"/>
  <c r="F4" i="7" l="1"/>
  <c r="F10" i="7" s="1"/>
  <c r="G8" i="7" s="1"/>
  <c r="G16" i="7" l="1"/>
  <c r="E65" i="5"/>
  <c r="E66" i="5" s="1"/>
  <c r="G14" i="7" l="1"/>
  <c r="G15" i="7"/>
  <c r="G7" i="7"/>
  <c r="G13" i="7"/>
  <c r="G6" i="7"/>
  <c r="G5" i="7"/>
  <c r="G18" i="7"/>
  <c r="C16" i="2"/>
  <c r="C10" i="5" s="1"/>
  <c r="C11" i="5"/>
  <c r="E6" i="2"/>
  <c r="E5" i="2"/>
  <c r="E4" i="2"/>
  <c r="H18" i="7" l="1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<sst xmlns="http://schemas.openxmlformats.org/spreadsheetml/2006/main" count="478" uniqueCount="386">
  <si>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</si>
  <si>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</si>
  <si>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</si>
  <si>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</si>
  <si>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</si>
  <si>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</si>
  <si>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</si>
  <si>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</si>
  <si>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</si>
  <si>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</si>
  <si>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</si>
  <si>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</si>
  <si>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</si>
  <si>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</si>
  <si>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</si>
  <si>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</si>
  <si>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</si>
  <si>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</si>
  <si>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</si>
  <si>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</si>
  <si>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</si>
  <si>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</si>
  <si>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</si>
  <si>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</si>
  <si>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</si>
  <si>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</si>
  <si>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</si>
  <si>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</si>
  <si>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</si>
  <si>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</si>
  <si>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</si>
  <si>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</si>
  <si>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</si>
  <si>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</si>
  <si>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</si>
  <si>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</si>
  <si>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</si>
  <si>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</si>
  <si>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</si>
  <si>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</si>
  <si>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</si>
  <si>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</si>
  <si>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</si>
  <si>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</si>
  <si>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</si>
  <si>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</si>
  <si>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</si>
  <si>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</si>
  <si>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</si>
  <si>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</si>
  <si>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</si>
  <si>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</si>
  <si>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</si>
  <si>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</si>
  <si>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</si>
  <si>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</si>
  <si>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</si>
  <si>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</si>
  <si>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</si>
  <si>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</si>
  <si>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</si>
  <si>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</si>
  <si>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</si>
  <si>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</si>
  <si>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</si>
  <si>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</si>
  <si>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</si>
  <si>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</si>
  <si>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</si>
  <si>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</si>
  <si>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</si>
  <si>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</si>
  <si>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</si>
  <si>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</si>
  <si>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</si>
  <si>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</si>
  <si>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</si>
  <si>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</si>
  <si>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</si>
  <si>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</si>
  <si>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</si>
  <si>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</si>
  <si>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</si>
  <si>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</si>
  <si>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</si>
  <si>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</si>
  <si>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</si>
  <si>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</si>
  <si>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</si>
  <si>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</si>
  <si>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</si>
  <si>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</si>
  <si>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</si>
  <si>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</si>
  <si>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</si>
  <si>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</si>
  <si>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</si>
  <si>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</si>
  <si>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</si>
  <si>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</si>
  <si>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</si>
  <si>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</si>
  <si>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</si>
  <si>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</si>
  <si>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</si>
  <si>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</si>
  <si>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</si>
  <si>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</si>
  <si>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</si>
  <si>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</si>
  <si>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</si>
  <si>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</si>
  <si>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</si>
  <si>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</si>
  <si>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</si>
  <si>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</si>
  <si>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</si>
  <si>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</si>
  <si>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</si>
  <si>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</si>
  <si>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</si>
  <si>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</si>
  <si>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</si>
  <si>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</si>
  <si>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</si>
  <si>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</si>
  <si>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</si>
  <si>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</si>
  <si>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</si>
  <si>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</si>
  <si>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</si>
  <si>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</si>
  <si>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</si>
  <si>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</si>
  <si>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</si>
  <si>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</si>
  <si>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</si>
  <si>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 xml:space="preserve">Low Growth </t>
  </si>
  <si>
    <t>0083.HK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</si>
  <si>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</si>
  <si>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</si>
  <si>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</si>
  <si>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</si>
  <si>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</si>
  <si>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</si>
  <si>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</si>
  <si>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</si>
  <si>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</si>
  <si>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</si>
  <si>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</si>
  <si>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</si>
  <si>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</si>
  <si>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</si>
  <si>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</si>
  <si>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</si>
  <si>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</si>
  <si>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</si>
  <si>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</si>
  <si>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</si>
  <si>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</si>
  <si>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</si>
  <si>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</si>
  <si>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ENG_01</t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</si>
  <si>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</si>
  <si>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</si>
  <si>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</si>
  <si>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</si>
  <si>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</si>
  <si>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</si>
  <si>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</si>
  <si>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</si>
  <si>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</si>
  <si>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</si>
  <si>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9959.HK</t>
  </si>
  <si>
    <t>Expansion expected</t>
  </si>
  <si>
    <t>Recession expected</t>
  </si>
  <si>
    <t>SINO LAND</t>
  </si>
  <si>
    <t>Negative Growth Asset Play</t>
  </si>
  <si>
    <t>RES_01</t>
  </si>
  <si>
    <t>0303.HK</t>
  </si>
  <si>
    <t>偉易達</t>
  </si>
  <si>
    <t>CNS_02</t>
  </si>
  <si>
    <t>0168.HK</t>
  </si>
  <si>
    <t>青島啤酒股份</t>
  </si>
  <si>
    <t>CNS_03</t>
  </si>
  <si>
    <t>0857.HK</t>
  </si>
  <si>
    <t>中国石油股份</t>
  </si>
  <si>
    <t>0398.HK</t>
  </si>
  <si>
    <t>東方表行集團</t>
  </si>
  <si>
    <t>CNS_05</t>
  </si>
  <si>
    <t>0590.HK</t>
  </si>
  <si>
    <t>六福珠宝</t>
  </si>
  <si>
    <t>李宁</t>
  </si>
  <si>
    <t>1910.HK</t>
  </si>
  <si>
    <t>新秀麗</t>
  </si>
  <si>
    <t xml:space="preserve">High Growth </t>
  </si>
  <si>
    <t>聯易融科技</t>
  </si>
  <si>
    <t>FIN_03</t>
  </si>
  <si>
    <t>Low Growth Asset Play</t>
  </si>
  <si>
    <t>3983.HK</t>
  </si>
  <si>
    <t>中海石油化学</t>
  </si>
  <si>
    <t>ENG_02</t>
  </si>
  <si>
    <t>6601.HK</t>
  </si>
  <si>
    <t>朝云集团</t>
  </si>
  <si>
    <t>CNS_04</t>
  </si>
  <si>
    <t>SIRI</t>
  </si>
  <si>
    <t>USD</t>
  </si>
  <si>
    <t>TMT_05</t>
  </si>
  <si>
    <t>KHC</t>
  </si>
  <si>
    <t>CNS_01</t>
  </si>
  <si>
    <t>0883.HK</t>
  </si>
  <si>
    <t>中国海油</t>
  </si>
  <si>
    <t>Exit 
Price</t>
  </si>
  <si>
    <t>Sell 
Price</t>
  </si>
  <si>
    <t>Market  Yield</t>
  </si>
  <si>
    <t>CCY</t>
  </si>
  <si>
    <t>Sirius XM</t>
  </si>
  <si>
    <t>The Kraft Heinz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</si>
  <si>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</si>
  <si>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</si>
  <si>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</si>
  <si>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</si>
  <si>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</si>
  <si>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</si>
  <si>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</si>
  <si>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</si>
  <si>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</si>
  <si>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0327.HK</t>
  </si>
  <si>
    <t>百富环球</t>
  </si>
  <si>
    <t>IND_02</t>
  </si>
  <si>
    <t>0639.HK</t>
  </si>
  <si>
    <t>首钢资源</t>
  </si>
  <si>
    <t>MAT_01</t>
  </si>
  <si>
    <t>Target Price</t>
  </si>
  <si>
    <t>Exit Price</t>
  </si>
  <si>
    <t>Sell Price</t>
  </si>
  <si>
    <t>nm</t>
  </si>
  <si>
    <t>1913.HK</t>
  </si>
  <si>
    <t>PRADA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</si>
  <si>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</si>
  <si>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</si>
  <si>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</si>
  <si>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</si>
  <si>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</si>
  <si>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</si>
  <si>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</si>
  <si>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</si>
  <si>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</si>
  <si>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</si>
  <si>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</si>
  <si>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</si>
  <si>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</si>
  <si>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</si>
  <si>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</si>
  <si>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</si>
  <si>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</si>
  <si>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</si>
  <si>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</si>
  <si>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</si>
  <si>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</si>
  <si>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</si>
  <si>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</si>
  <si>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</si>
  <si>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</si>
  <si>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</si>
  <si>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</si>
  <si>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</si>
  <si>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</si>
  <si>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</si>
  <si>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</si>
  <si>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</si>
  <si>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</si>
  <si>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</si>
  <si>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</si>
  <si>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</si>
  <si>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</si>
  <si>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</si>
  <si>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</si>
  <si>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</si>
  <si>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</si>
  <si>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</si>
  <si>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</si>
  <si>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</si>
  <si>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</si>
  <si>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</si>
  <si>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</si>
  <si>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</si>
  <si>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</si>
  <si>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</si>
  <si>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</si>
  <si>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</si>
  <si>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</si>
  <si>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</si>
  <si>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</si>
  <si>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</si>
  <si>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</si>
  <si>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</si>
  <si>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</si>
  <si>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</si>
  <si>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</si>
  <si>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</si>
  <si>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</si>
  <si>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</si>
  <si>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</si>
  <si>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</si>
  <si>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</si>
  <si>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</si>
  <si>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</si>
  <si>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</si>
  <si>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</si>
  <si>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</si>
  <si>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</si>
  <si>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</si>
  <si>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</si>
  <si>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</si>
  <si>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</si>
  <si>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</si>
  <si>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</si>
  <si>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</si>
  <si>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</si>
  <si>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</si>
  <si>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</si>
  <si>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</si>
  <si>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</si>
  <si>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</si>
  <si>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</si>
  <si>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</si>
  <si>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</si>
  <si>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</si>
  <si>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</si>
  <si>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</si>
  <si>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</si>
  <si>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</si>
  <si>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</si>
  <si>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</si>
  <si>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</si>
  <si>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</si>
  <si>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</si>
  <si>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</si>
  <si>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</si>
  <si>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</si>
  <si>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</si>
  <si>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</si>
  <si>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</si>
  <si>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</si>
  <si>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</si>
  <si>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</si>
  <si>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</si>
  <si>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</si>
  <si>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</si>
  <si>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</si>
  <si>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</si>
  <si>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</si>
  <si>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</si>
  <si>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</si>
  <si>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</si>
  <si>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</si>
  <si>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</si>
  <si>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</si>
  <si>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</si>
  <si>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</si>
  <si>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</si>
  <si>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</si>
  <si>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</si>
  <si>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</si>
  <si>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</si>
  <si>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</si>
  <si>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</si>
  <si>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</si>
  <si>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</si>
  <si>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</si>
  <si>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</si>
  <si>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</si>
  <si>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</si>
  <si>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</si>
  <si>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</si>
  <si>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</si>
  <si>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</si>
  <si>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r>
      <t xml:space="preserve">- </t>
    </r>
    <r>
      <rPr>
        <b/>
        <sz val="9"/>
        <color theme="1"/>
        <rFont val="Arial"/>
        <family val="2"/>
      </rPr>
      <t>估值变动：</t>
    </r>
    <r>
      <rPr>
        <sz val="9"/>
        <color theme="1"/>
        <rFont val="Arial"/>
        <family val="2"/>
      </rPr>
      <t>估值模型输出的市场年化回报发生实质性变化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</si>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</sst>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35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35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2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166" fontId="32" fillId="0" borderId="7" xfId="0" applyNumberFormat="1" applyFont="1" applyBorder="1" applyAlignment="1">
      <alignment horizontal="right"/>
    </xf>
    <xf numFmtId="10" fontId="32" fillId="0" borderId="7" xfId="0" applyNumberFormat="1" applyFont="1" applyBorder="1" applyAlignment="1">
      <alignment horizontal="right"/>
    </xf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tabSelected="1" zoomScale="105" workbookViewId="0">
      <selection activeCell="D13" sqref="D13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291</v>
      </c>
    </row>
    <row r="2" spans="1:5">
      <c r="A2" s="21" t="s">
        <v>292</v>
      </c>
      <c r="B2" s="21"/>
      <c r="C2" s="21"/>
      <c r="D2" s="21"/>
      <c r="E2" s="21"/>
    </row>
    <row r="4" spans="1:5">
      <c r="B4" s="122" t="s">
        <v>293</v>
      </c>
      <c r="C4" s="123"/>
      <c r="D4" s="123"/>
      <c r="E4" s="123"/>
    </row>
    <row r="6" spans="1:5">
      <c r="A6" s="20" t="s">
        <v>60</v>
      </c>
      <c r="B6" s="19" t="s">
        <v>294</v>
      </c>
      <c r="C6" s="49"/>
    </row>
    <row r="7" spans="1:5">
      <c r="B7" s="122" t="s">
        <v>385</v>
      </c>
      <c r="C7" s="123"/>
      <c r="D7" s="123"/>
      <c r="E7" s="123"/>
    </row>
    <row r="9" spans="1:5">
      <c r="B9" s="23" t="s">
        <v>295</v>
      </c>
    </row>
    <row r="10" spans="1:5">
      <c r="B10" s="1" t="s">
        <v>296</v>
      </c>
      <c r="C10" s="112">
        <f>benchmark</f>
        <v>0.1174</v>
      </c>
    </row>
    <row r="11" spans="1:5">
      <c r="B11" s="1" t="s">
        <v>297</v>
      </c>
      <c r="C11" s="112">
        <f>Cash_Yield</f>
        <v>3.4500000000000003E-2</v>
      </c>
    </row>
    <row r="12" spans="1:5">
      <c r="C12" s="4"/>
    </row>
    <row r="13" spans="1:5">
      <c r="B13" s="23" t="s">
        <v>298</v>
      </c>
      <c r="C13" s="4"/>
    </row>
    <row r="14" spans="1:5">
      <c r="B14" s="1" t="s">
        <v>299</v>
      </c>
      <c r="C14" s="4" t="s">
        <v>302</v>
      </c>
    </row>
    <row r="15" spans="1:5">
      <c r="B15" s="1" t="s">
        <v>300</v>
      </c>
      <c r="C15" s="24" t="s">
        <v>303</v>
      </c>
    </row>
    <row r="16" spans="1:5">
      <c r="B16" s="1" t="s">
        <v>301</v>
      </c>
      <c r="C16" s="24" t="s">
        <v>304</v>
      </c>
    </row>
    <row r="18" spans="1:5">
      <c r="B18" s="23" t="s">
        <v>305</v>
      </c>
    </row>
    <row r="19" spans="1:5">
      <c r="B19" s="24" t="s">
        <v>306</v>
      </c>
    </row>
    <row r="20" spans="1:5">
      <c r="B20" s="24" t="s">
        <v>307</v>
      </c>
    </row>
    <row r="21" spans="1:5">
      <c r="B21" s="24" t="s">
        <v>308</v>
      </c>
    </row>
    <row r="23" spans="1:5">
      <c r="A23" s="25" t="s">
        <v>61</v>
      </c>
      <c r="B23" s="19" t="s">
        <v>310</v>
      </c>
      <c r="C23" s="49"/>
    </row>
    <row r="24" spans="1:5">
      <c r="A24" s="18"/>
      <c r="B24" s="122" t="s">
        <v>309</v>
      </c>
      <c r="C24" s="123"/>
      <c r="D24" s="123"/>
      <c r="E24" s="123"/>
    </row>
    <row r="25" spans="1:5">
      <c r="A25" s="18"/>
    </row>
    <row r="26" spans="1:5">
      <c r="A26" s="18"/>
      <c r="B26" s="43" t="s">
        <v>311</v>
      </c>
      <c r="C26" s="43" t="s">
        <v>312</v>
      </c>
    </row>
    <row r="27" spans="1:5">
      <c r="B27" s="26" t="s">
        <v>313</v>
      </c>
      <c r="C27" s="113">
        <f>Portfolio_Mgmt!C27</f>
        <v>6</v>
      </c>
    </row>
    <row r="28" spans="1:5">
      <c r="B28" s="26" t="s">
        <v>314</v>
      </c>
      <c r="C28" s="114">
        <f>Portfolio_Mgmt!C28</f>
        <v>0.3</v>
      </c>
    </row>
    <row r="30" spans="1:5">
      <c r="A30" s="20" t="s">
        <v>62</v>
      </c>
      <c r="B30" s="95" t="s">
        <v>315</v>
      </c>
      <c r="C30" s="49"/>
    </row>
    <row r="31" spans="1:5">
      <c r="A31" s="20"/>
      <c r="B31" s="43" t="s">
        <v>316</v>
      </c>
      <c r="C31" s="43" t="s">
        <v>317</v>
      </c>
      <c r="D31" s="43" t="s">
        <v>318</v>
      </c>
      <c r="E31" s="43" t="s">
        <v>317</v>
      </c>
    </row>
    <row r="32" spans="1:5" ht="12" thickBot="1">
      <c r="A32" s="20"/>
      <c r="B32" s="96" t="s">
        <v>319</v>
      </c>
      <c r="C32" s="115">
        <f>Portfolio_Mgmt!C32</f>
        <v>0.6</v>
      </c>
      <c r="D32" s="96" t="s">
        <v>380</v>
      </c>
      <c r="E32" s="115">
        <f>Portfolio_Mgmt!E32</f>
        <v>-0.5</v>
      </c>
    </row>
    <row r="33" spans="1:5">
      <c r="B33" s="99" t="s">
        <v>320</v>
      </c>
      <c r="C33" s="116">
        <f>Portfolio_Mgmt!C33</f>
        <v>0.35</v>
      </c>
      <c r="D33" s="101" t="s">
        <v>325</v>
      </c>
      <c r="E33" s="102">
        <f>(C32*C33+(1-C32)*C34)/(2*C33)</f>
        <v>0.21428571428571425</v>
      </c>
    </row>
    <row r="34" spans="1:5" ht="12" thickBot="1">
      <c r="B34" s="103" t="s">
        <v>321</v>
      </c>
      <c r="C34" s="104">
        <f>E32+C33</f>
        <v>-0.15000000000000002</v>
      </c>
      <c r="D34" s="105" t="s">
        <v>326</v>
      </c>
      <c r="E34" s="106">
        <f>-C33/C34</f>
        <v>2.333333333333333</v>
      </c>
    </row>
    <row r="35" spans="1:5">
      <c r="B35" s="99" t="s">
        <v>322</v>
      </c>
      <c r="C35" s="116">
        <f>Portfolio_Mgmt!C35</f>
        <v>0.25</v>
      </c>
      <c r="D35" s="101" t="s">
        <v>325</v>
      </c>
      <c r="E35" s="102">
        <f>(C32*C35+(1-C32)*C36)/(2*C35)</f>
        <v>9.9999999999999978E-2</v>
      </c>
    </row>
    <row r="36" spans="1:5" ht="12" thickBot="1">
      <c r="B36" s="103" t="s">
        <v>323</v>
      </c>
      <c r="C36" s="104">
        <f>E32+C35</f>
        <v>-0.25</v>
      </c>
      <c r="D36" s="105" t="s">
        <v>326</v>
      </c>
      <c r="E36" s="106">
        <f>-C35/C36</f>
        <v>1</v>
      </c>
    </row>
    <row r="37" spans="1:5">
      <c r="B37" s="107" t="s">
        <v>324</v>
      </c>
      <c r="C37" s="117">
        <f>Portfolio_Mgmt!C37</f>
        <v>3</v>
      </c>
      <c r="D37" s="98" t="s">
        <v>327</v>
      </c>
      <c r="E37" s="118">
        <f>Portfolio_Mgmt!E37</f>
        <v>7.4999999999999997E-2</v>
      </c>
    </row>
    <row r="38" spans="1:5">
      <c r="C38" s="93"/>
    </row>
    <row r="39" spans="1:5">
      <c r="B39" s="20" t="s">
        <v>328</v>
      </c>
    </row>
    <row r="40" spans="1:5">
      <c r="B40" s="123" t="s">
        <v>329</v>
      </c>
      <c r="C40" s="123"/>
      <c r="D40" s="123"/>
      <c r="E40" s="123"/>
    </row>
    <row r="41" spans="1:5">
      <c r="B41" s="122" t="s">
        <v>330</v>
      </c>
      <c r="C41" s="123"/>
      <c r="D41" s="123"/>
      <c r="E41" s="123"/>
    </row>
    <row r="42" spans="1:5">
      <c r="B42" s="122" t="s">
        <v>331</v>
      </c>
      <c r="C42" s="123"/>
      <c r="D42" s="123"/>
      <c r="E42" s="123"/>
    </row>
    <row r="43" spans="1:5">
      <c r="B43" s="122" t="s">
        <v>332</v>
      </c>
      <c r="C43" s="122"/>
      <c r="D43" s="122"/>
      <c r="E43" s="122"/>
    </row>
    <row r="44" spans="1:5" ht="34.35" customHeight="1">
      <c r="B44" s="123" t="s">
        <v>384</v>
      </c>
      <c r="C44" s="123"/>
      <c r="D44" s="123"/>
      <c r="E44" s="123"/>
    </row>
    <row r="46" spans="1:5">
      <c r="A46" s="21" t="s">
        <v>333</v>
      </c>
      <c r="B46" s="21"/>
      <c r="C46" s="21"/>
      <c r="D46" s="21"/>
      <c r="E46" s="21"/>
    </row>
    <row r="48" spans="1:5">
      <c r="B48" s="123" t="s">
        <v>334</v>
      </c>
      <c r="C48" s="123"/>
      <c r="D48" s="123"/>
      <c r="E48" s="123"/>
    </row>
    <row r="50" spans="2:5">
      <c r="B50" s="23" t="s">
        <v>335</v>
      </c>
    </row>
    <row r="52" spans="2:5">
      <c r="B52" s="43" t="s">
        <v>336</v>
      </c>
      <c r="C52" s="43" t="s">
        <v>337</v>
      </c>
      <c r="D52" s="47"/>
      <c r="E52" s="47"/>
    </row>
    <row r="53" spans="2:5">
      <c r="B53" s="26" t="s">
        <v>338</v>
      </c>
      <c r="C53" s="119">
        <f>Portfolio_Mgmt!C53</f>
        <v>0.45</v>
      </c>
      <c r="D53" s="48"/>
      <c r="E53" s="46"/>
    </row>
    <row r="54" spans="2:5">
      <c r="B54" s="26" t="s">
        <v>339</v>
      </c>
      <c r="C54" s="119">
        <f>Portfolio_Mgmt!C54</f>
        <v>0.3</v>
      </c>
      <c r="D54" s="48"/>
      <c r="E54" s="46"/>
    </row>
    <row r="55" spans="2:5">
      <c r="B55" s="26" t="s">
        <v>340</v>
      </c>
      <c r="C55" s="119">
        <f>Portfolio_Mgmt!C55</f>
        <v>0.15</v>
      </c>
      <c r="D55" s="121" t="s">
        <v>382</v>
      </c>
      <c r="E55" s="46"/>
    </row>
    <row r="57" spans="2:5">
      <c r="B57" s="23" t="s">
        <v>341</v>
      </c>
    </row>
    <row r="59" spans="2:5">
      <c r="B59" s="43" t="s">
        <v>318</v>
      </c>
      <c r="C59" s="43" t="s">
        <v>342</v>
      </c>
      <c r="D59" s="43" t="s">
        <v>343</v>
      </c>
      <c r="E59" s="43" t="s">
        <v>344</v>
      </c>
    </row>
    <row r="60" spans="2:5">
      <c r="B60" s="26" t="s">
        <v>345</v>
      </c>
      <c r="C60" s="26" t="s">
        <v>350</v>
      </c>
      <c r="D60" s="26" t="s">
        <v>351</v>
      </c>
      <c r="E60" s="120">
        <f>Portfolio_Mgmt!E60</f>
        <v>1</v>
      </c>
    </row>
    <row r="61" spans="2:5">
      <c r="B61" s="26" t="s">
        <v>346</v>
      </c>
      <c r="C61" s="26" t="s">
        <v>352</v>
      </c>
      <c r="D61" s="26" t="s">
        <v>353</v>
      </c>
      <c r="E61" s="120">
        <f>Portfolio_Mgmt!E61</f>
        <v>1</v>
      </c>
    </row>
    <row r="62" spans="2:5">
      <c r="B62" s="26" t="s">
        <v>347</v>
      </c>
      <c r="C62" s="26" t="s">
        <v>354</v>
      </c>
      <c r="D62" s="26" t="s">
        <v>355</v>
      </c>
      <c r="E62" s="120">
        <f>Portfolio_Mgmt!E62</f>
        <v>0</v>
      </c>
    </row>
    <row r="63" spans="2:5">
      <c r="B63" s="26" t="s">
        <v>348</v>
      </c>
      <c r="C63" s="26" t="s">
        <v>356</v>
      </c>
      <c r="D63" s="26" t="s">
        <v>357</v>
      </c>
      <c r="E63" s="120">
        <f>Portfolio_Mgmt!E63</f>
        <v>2</v>
      </c>
    </row>
    <row r="64" spans="2:5">
      <c r="B64" s="26" t="s">
        <v>349</v>
      </c>
      <c r="C64" s="26" t="s">
        <v>358</v>
      </c>
      <c r="D64" s="26" t="s">
        <v>359</v>
      </c>
      <c r="E64" s="120">
        <f>Portfolio_Mgmt!E64</f>
        <v>0</v>
      </c>
    </row>
    <row r="65" spans="1:5">
      <c r="D65" s="27" t="s">
        <v>360</v>
      </c>
      <c r="E65" s="39">
        <f>SUM(E60:E64)</f>
        <v>4</v>
      </c>
    </row>
    <row r="66" spans="1:5" ht="12" thickBot="1">
      <c r="D66" s="41" t="s">
        <v>361</v>
      </c>
      <c r="E66" s="42">
        <f>IF(E65&lt;=4,C53,IF(E65&gt;=8,C55,C54))</f>
        <v>0.45</v>
      </c>
    </row>
    <row r="67" spans="1:5" ht="12" thickTop="1"/>
    <row r="68" spans="1:5">
      <c r="B68" s="1" t="s">
        <v>362</v>
      </c>
    </row>
    <row r="69" spans="1:5">
      <c r="B69" s="1" t="s">
        <v>363</v>
      </c>
    </row>
    <row r="70" spans="1:5">
      <c r="B70" s="1" t="s">
        <v>364</v>
      </c>
    </row>
    <row r="72" spans="1:5">
      <c r="A72" s="21" t="s">
        <v>365</v>
      </c>
      <c r="B72" s="21"/>
      <c r="C72" s="21"/>
      <c r="D72" s="21"/>
      <c r="E72" s="21"/>
    </row>
    <row r="74" spans="1:5">
      <c r="B74" s="123" t="s">
        <v>366</v>
      </c>
      <c r="C74" s="123"/>
      <c r="D74" s="123"/>
      <c r="E74" s="123"/>
    </row>
    <row r="76" spans="1:5">
      <c r="A76" s="28" t="s">
        <v>60</v>
      </c>
      <c r="B76" s="20" t="s">
        <v>368</v>
      </c>
    </row>
    <row r="77" spans="1:5">
      <c r="B77" s="24" t="s">
        <v>367</v>
      </c>
    </row>
    <row r="79" spans="1:5">
      <c r="A79" s="28" t="s">
        <v>256</v>
      </c>
      <c r="B79" s="20" t="s">
        <v>369</v>
      </c>
    </row>
    <row r="80" spans="1:5">
      <c r="B80" s="1" t="str">
        <f>B19</f>
        <v>- 仅当ERB&gt;0且市场价格≤入场价格时具备配置资格</v>
      </c>
    </row>
    <row r="81" spans="1:5">
      <c r="B81" s="111" t="s">
        <v>370</v>
      </c>
      <c r="C81" s="94" t="s">
        <v>381</v>
      </c>
    </row>
    <row r="82" spans="1:5">
      <c r="B82" s="111" t="s">
        <v>371</v>
      </c>
      <c r="C82" s="94" t="s">
        <v>247</v>
      </c>
    </row>
    <row r="83" spans="1:5">
      <c r="B83" s="110" t="str">
        <f>B20</f>
        <v xml:space="preserve">- 未入选标的获得正常配置额的50%	</v>
      </c>
    </row>
    <row r="85" spans="1:5">
      <c r="B85" s="20" t="s">
        <v>372</v>
      </c>
    </row>
    <row r="86" spans="1:5">
      <c r="B86" s="1" t="s">
        <v>383</v>
      </c>
    </row>
    <row r="87" spans="1:5">
      <c r="B87" s="1" t="s">
        <v>373</v>
      </c>
    </row>
    <row r="88" spans="1:5">
      <c r="B88" s="1" t="s">
        <v>374</v>
      </c>
    </row>
    <row r="90" spans="1:5">
      <c r="A90" s="21" t="s">
        <v>379</v>
      </c>
      <c r="B90" s="21"/>
      <c r="C90" s="21"/>
      <c r="D90" s="21"/>
      <c r="E90" s="21"/>
    </row>
    <row r="92" spans="1:5">
      <c r="B92" s="20" t="s">
        <v>375</v>
      </c>
    </row>
    <row r="93" spans="1:5">
      <c r="B93" s="24" t="s">
        <v>376</v>
      </c>
    </row>
    <row r="94" spans="1:5">
      <c r="B94" s="24" t="s">
        <v>377</v>
      </c>
    </row>
    <row r="95" spans="1:5">
      <c r="B95" s="24" t="s">
        <v>378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zoomScale="105" workbookViewId="0">
      <selection activeCell="C10" sqref="C10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139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23" t="s">
        <v>151</v>
      </c>
      <c r="C4" s="123"/>
      <c r="D4" s="123"/>
      <c r="E4" s="123"/>
    </row>
    <row r="6" spans="1:5">
      <c r="A6" s="20" t="s">
        <v>60</v>
      </c>
      <c r="B6" s="19" t="s">
        <v>145</v>
      </c>
      <c r="C6" s="49"/>
    </row>
    <row r="7" spans="1:5">
      <c r="B7" s="123" t="s">
        <v>257</v>
      </c>
      <c r="C7" s="123"/>
      <c r="D7" s="123"/>
      <c r="E7" s="123"/>
    </row>
    <row r="9" spans="1:5">
      <c r="B9" s="23" t="s">
        <v>53</v>
      </c>
    </row>
    <row r="10" spans="1:5">
      <c r="B10" s="1" t="s">
        <v>58</v>
      </c>
      <c r="C10" s="80">
        <f>Market_Yield!C16</f>
        <v>0.1174</v>
      </c>
    </row>
    <row r="11" spans="1:5">
      <c r="B11" s="1" t="s">
        <v>50</v>
      </c>
      <c r="C11" s="80">
        <f>Market_Yield!C6</f>
        <v>3.4500000000000003E-2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147</v>
      </c>
      <c r="C14" s="4" t="s">
        <v>148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289</v>
      </c>
    </row>
    <row r="20" spans="1:5">
      <c r="B20" s="24" t="s">
        <v>258</v>
      </c>
    </row>
    <row r="21" spans="1:5">
      <c r="B21" s="24" t="s">
        <v>146</v>
      </c>
    </row>
    <row r="23" spans="1:5">
      <c r="A23" s="25" t="s">
        <v>61</v>
      </c>
      <c r="B23" s="19" t="s">
        <v>144</v>
      </c>
      <c r="C23" s="49"/>
    </row>
    <row r="24" spans="1:5">
      <c r="A24" s="18"/>
      <c r="B24" s="122" t="s">
        <v>259</v>
      </c>
      <c r="C24" s="123"/>
      <c r="D24" s="123"/>
      <c r="E24" s="123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6</v>
      </c>
    </row>
    <row r="28" spans="1:5">
      <c r="B28" s="26" t="s">
        <v>246</v>
      </c>
      <c r="C28" s="45">
        <v>0.3</v>
      </c>
    </row>
    <row r="30" spans="1:5">
      <c r="A30" s="20" t="s">
        <v>62</v>
      </c>
      <c r="B30" s="95" t="s">
        <v>12</v>
      </c>
      <c r="C30" s="49"/>
    </row>
    <row r="31" spans="1:5">
      <c r="A31" s="20"/>
      <c r="B31" s="43" t="s">
        <v>260</v>
      </c>
      <c r="C31" s="43" t="s">
        <v>261</v>
      </c>
      <c r="D31" s="43" t="s">
        <v>262</v>
      </c>
      <c r="E31" s="43" t="s">
        <v>261</v>
      </c>
    </row>
    <row r="32" spans="1:5" ht="12" thickBot="1">
      <c r="A32" s="20"/>
      <c r="B32" s="96" t="s">
        <v>263</v>
      </c>
      <c r="C32" s="97">
        <f>3/5</f>
        <v>0.6</v>
      </c>
      <c r="D32" s="96" t="s">
        <v>284</v>
      </c>
      <c r="E32" s="97">
        <v>-0.5</v>
      </c>
    </row>
    <row r="33" spans="1:5">
      <c r="B33" s="99" t="s">
        <v>266</v>
      </c>
      <c r="C33" s="100">
        <v>0.35</v>
      </c>
      <c r="D33" s="101" t="s">
        <v>269</v>
      </c>
      <c r="E33" s="102">
        <f>(C32*C33+(1-C32)*C34)/(2*C33)</f>
        <v>0.21428571428571425</v>
      </c>
    </row>
    <row r="34" spans="1:5" ht="12" thickBot="1">
      <c r="B34" s="103" t="s">
        <v>265</v>
      </c>
      <c r="C34" s="104">
        <f>E32+C33</f>
        <v>-0.15000000000000002</v>
      </c>
      <c r="D34" s="105" t="s">
        <v>270</v>
      </c>
      <c r="E34" s="106">
        <f>-C33/C34</f>
        <v>2.333333333333333</v>
      </c>
    </row>
    <row r="35" spans="1:5">
      <c r="B35" s="99" t="s">
        <v>264</v>
      </c>
      <c r="C35" s="100">
        <v>0.25</v>
      </c>
      <c r="D35" s="101" t="s">
        <v>269</v>
      </c>
      <c r="E35" s="102">
        <f>(C32*C35+(1-C32)*C36)/(2*C35)</f>
        <v>9.9999999999999978E-2</v>
      </c>
    </row>
    <row r="36" spans="1:5" ht="12" thickBot="1">
      <c r="B36" s="103" t="s">
        <v>267</v>
      </c>
      <c r="C36" s="104">
        <f>E32+C35</f>
        <v>-0.25</v>
      </c>
      <c r="D36" s="105" t="s">
        <v>270</v>
      </c>
      <c r="E36" s="106">
        <f>-C35/C36</f>
        <v>1</v>
      </c>
    </row>
    <row r="37" spans="1:5">
      <c r="B37" s="107" t="s">
        <v>268</v>
      </c>
      <c r="C37" s="108">
        <v>3</v>
      </c>
      <c r="D37" s="98" t="s">
        <v>13</v>
      </c>
      <c r="E37" s="109">
        <f>MAX(6%,Market_Yield!C4:D4,Market_Yield!C6:D6)</f>
        <v>7.4999999999999997E-2</v>
      </c>
    </row>
    <row r="38" spans="1:5">
      <c r="C38" s="93"/>
    </row>
    <row r="39" spans="1:5">
      <c r="B39" s="20" t="s">
        <v>272</v>
      </c>
    </row>
    <row r="40" spans="1:5">
      <c r="B40" s="123" t="s">
        <v>271</v>
      </c>
      <c r="C40" s="123"/>
      <c r="D40" s="123"/>
      <c r="E40" s="123"/>
    </row>
    <row r="41" spans="1:5">
      <c r="B41" s="122" t="s">
        <v>287</v>
      </c>
      <c r="C41" s="123"/>
      <c r="D41" s="123"/>
      <c r="E41" s="123"/>
    </row>
    <row r="42" spans="1:5">
      <c r="B42" s="122" t="s">
        <v>285</v>
      </c>
      <c r="C42" s="123"/>
      <c r="D42" s="123"/>
      <c r="E42" s="123"/>
    </row>
    <row r="43" spans="1:5">
      <c r="B43" s="122" t="s">
        <v>286</v>
      </c>
      <c r="C43" s="122"/>
      <c r="D43" s="122"/>
      <c r="E43" s="122"/>
    </row>
    <row r="44" spans="1:5" ht="46.5" customHeight="1">
      <c r="B44" s="123" t="s">
        <v>161</v>
      </c>
      <c r="C44" s="123"/>
      <c r="D44" s="123"/>
      <c r="E44" s="123"/>
    </row>
    <row r="46" spans="1:5">
      <c r="A46" s="21" t="s">
        <v>140</v>
      </c>
      <c r="B46" s="21"/>
      <c r="C46" s="21"/>
      <c r="D46" s="21"/>
      <c r="E46" s="21"/>
    </row>
    <row r="48" spans="1:5">
      <c r="B48" s="123" t="s">
        <v>273</v>
      </c>
      <c r="C48" s="123"/>
      <c r="D48" s="123"/>
      <c r="E48" s="123"/>
    </row>
    <row r="50" spans="2:5">
      <c r="B50" s="23" t="s">
        <v>77</v>
      </c>
    </row>
    <row r="52" spans="2:5">
      <c r="B52" s="43" t="s">
        <v>78</v>
      </c>
      <c r="C52" s="43" t="s">
        <v>143</v>
      </c>
      <c r="D52" s="47"/>
      <c r="E52" s="47"/>
    </row>
    <row r="53" spans="2:5">
      <c r="B53" s="26" t="s">
        <v>255</v>
      </c>
      <c r="C53" s="29">
        <v>0.45</v>
      </c>
      <c r="D53" s="48"/>
      <c r="E53" s="46"/>
    </row>
    <row r="54" spans="2:5">
      <c r="B54" s="26" t="s">
        <v>254</v>
      </c>
      <c r="C54" s="29">
        <v>0.3</v>
      </c>
      <c r="D54" s="48"/>
      <c r="E54" s="46"/>
    </row>
    <row r="55" spans="2:5">
      <c r="B55" s="26" t="s">
        <v>253</v>
      </c>
      <c r="C55" s="29">
        <v>0.15</v>
      </c>
      <c r="D55" s="50" t="s">
        <v>152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1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250</v>
      </c>
      <c r="C62" s="26" t="s">
        <v>251</v>
      </c>
      <c r="D62" s="26" t="s">
        <v>252</v>
      </c>
      <c r="E62" s="40">
        <v>0</v>
      </c>
    </row>
    <row r="63" spans="2:5">
      <c r="B63" s="26" t="s">
        <v>248</v>
      </c>
      <c r="C63" s="26" t="s">
        <v>174</v>
      </c>
      <c r="D63" s="26" t="s">
        <v>175</v>
      </c>
      <c r="E63" s="40">
        <v>2</v>
      </c>
    </row>
    <row r="64" spans="2:5">
      <c r="B64" s="26" t="s">
        <v>249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4</v>
      </c>
    </row>
    <row r="66" spans="1:5" ht="12" thickBot="1">
      <c r="D66" s="41" t="s">
        <v>142</v>
      </c>
      <c r="E66" s="42">
        <f>IF(E65&lt;=4,C53,IF(E65&gt;=8,C55,C54))</f>
        <v>0.45</v>
      </c>
    </row>
    <row r="67" spans="1:5" ht="12" thickTop="1"/>
    <row r="68" spans="1:5">
      <c r="B68" s="1" t="s">
        <v>275</v>
      </c>
    </row>
    <row r="69" spans="1:5">
      <c r="B69" s="1" t="s">
        <v>288</v>
      </c>
    </row>
    <row r="70" spans="1:5">
      <c r="B70" s="1" t="s">
        <v>274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23" t="s">
        <v>141</v>
      </c>
      <c r="C74" s="123"/>
      <c r="D74" s="123"/>
      <c r="E74" s="123"/>
    </row>
    <row r="76" spans="1:5">
      <c r="A76" s="28" t="s">
        <v>60</v>
      </c>
      <c r="B76" s="20" t="s">
        <v>277</v>
      </c>
    </row>
    <row r="77" spans="1:5">
      <c r="B77" s="24" t="s">
        <v>153</v>
      </c>
    </row>
    <row r="79" spans="1:5">
      <c r="A79" s="28" t="s">
        <v>256</v>
      </c>
      <c r="B79" s="20" t="s">
        <v>276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11" t="s">
        <v>280</v>
      </c>
      <c r="C81" s="94" t="s">
        <v>290</v>
      </c>
    </row>
    <row r="82" spans="1:5">
      <c r="B82" s="111" t="s">
        <v>279</v>
      </c>
      <c r="C82" s="94" t="s">
        <v>247</v>
      </c>
    </row>
    <row r="83" spans="1:5">
      <c r="B83" s="110" t="str">
        <f>B20</f>
        <v>- Non-selected investments receive 50% of normal allocation.</v>
      </c>
    </row>
    <row r="85" spans="1:5">
      <c r="B85" s="20" t="s">
        <v>278</v>
      </c>
    </row>
    <row r="86" spans="1:5">
      <c r="B86" s="1" t="s">
        <v>281</v>
      </c>
    </row>
    <row r="87" spans="1:5">
      <c r="B87" s="1" t="s">
        <v>283</v>
      </c>
    </row>
    <row r="88" spans="1:5">
      <c r="B88" s="1" t="s">
        <v>282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150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D10" sqref="D10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6" t="s">
        <v>1</v>
      </c>
      <c r="E1" s="126"/>
      <c r="F1" s="126"/>
      <c r="G1" s="127" t="s">
        <v>85</v>
      </c>
      <c r="H1" s="127"/>
      <c r="I1" s="127"/>
      <c r="J1" s="129" t="s">
        <v>4</v>
      </c>
      <c r="K1" s="129"/>
      <c r="L1" s="129"/>
      <c r="M1" s="128" t="s">
        <v>172</v>
      </c>
      <c r="N1" s="128"/>
      <c r="O1" s="124" t="s">
        <v>8</v>
      </c>
      <c r="P1" s="124"/>
      <c r="Q1" s="131" t="s">
        <v>223</v>
      </c>
      <c r="R1" s="131"/>
      <c r="S1" s="131"/>
      <c r="T1" s="131"/>
      <c r="U1" s="130" t="s">
        <v>219</v>
      </c>
      <c r="V1" s="130"/>
      <c r="W1" s="130"/>
      <c r="X1" s="125" t="s">
        <v>49</v>
      </c>
      <c r="Y1" s="125"/>
      <c r="Z1" s="125"/>
      <c r="AA1" s="125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215</v>
      </c>
      <c r="F2" s="7" t="s">
        <v>214</v>
      </c>
      <c r="G2" s="7" t="s">
        <v>56</v>
      </c>
      <c r="H2" s="7" t="s">
        <v>57</v>
      </c>
      <c r="I2" s="7" t="s">
        <v>149</v>
      </c>
      <c r="J2" s="8" t="s">
        <v>7</v>
      </c>
      <c r="K2" s="8" t="s">
        <v>10</v>
      </c>
      <c r="L2" s="8" t="s">
        <v>213</v>
      </c>
      <c r="M2" s="8" t="s">
        <v>171</v>
      </c>
      <c r="N2" s="8" t="s">
        <v>212</v>
      </c>
      <c r="O2" s="7" t="s">
        <v>11</v>
      </c>
      <c r="P2" s="7" t="s">
        <v>6</v>
      </c>
      <c r="Q2" s="7" t="s">
        <v>220</v>
      </c>
      <c r="R2" s="7" t="s">
        <v>226</v>
      </c>
      <c r="S2" s="7" t="s">
        <v>221</v>
      </c>
      <c r="T2" s="7" t="s">
        <v>222</v>
      </c>
      <c r="U2" s="7" t="s">
        <v>168</v>
      </c>
      <c r="V2" s="7" t="s">
        <v>170</v>
      </c>
      <c r="W2" s="7" t="s">
        <v>169</v>
      </c>
      <c r="X2" s="7" t="s">
        <v>5</v>
      </c>
      <c r="Y2" s="7" t="s">
        <v>218</v>
      </c>
      <c r="Z2" s="9" t="s">
        <v>9</v>
      </c>
      <c r="AA2" s="10" t="s">
        <v>48</v>
      </c>
    </row>
    <row r="3" spans="1:27">
      <c r="B3" s="11" t="s">
        <v>230</v>
      </c>
      <c r="C3" s="11" t="s">
        <v>231</v>
      </c>
      <c r="D3" s="2">
        <v>2.89</v>
      </c>
      <c r="E3" s="12" t="s">
        <v>136</v>
      </c>
      <c r="F3" s="15">
        <v>0.23964880679790124</v>
      </c>
      <c r="G3" s="15">
        <f>F3 - Portfolio_Mgmt!$C$10</f>
        <v>0.12224880679790123</v>
      </c>
      <c r="H3" s="15">
        <f>F3 - Portfolio_Mgmt!$C$11</f>
        <v>0.20514880679790123</v>
      </c>
      <c r="I3" s="15">
        <v>0</v>
      </c>
      <c r="J3" s="2">
        <v>2.2811221378505544</v>
      </c>
      <c r="K3" s="2">
        <v>4.4858408799140586</v>
      </c>
      <c r="L3" s="74">
        <v>4.3130669791905083</v>
      </c>
      <c r="M3" s="2">
        <v>2.823790530515998</v>
      </c>
      <c r="N3" s="2">
        <v>3.8666759160925035</v>
      </c>
      <c r="O3" s="4">
        <v>7.4207443024177352E-2</v>
      </c>
      <c r="P3" s="4">
        <v>9.3425605536332182E-2</v>
      </c>
      <c r="Q3" s="4">
        <v>0.10048924474005361</v>
      </c>
      <c r="R3" s="4">
        <v>0.42143224397986156</v>
      </c>
      <c r="S3" s="82">
        <v>0.19639123104483397</v>
      </c>
      <c r="T3" s="81">
        <v>1.2141426890285656</v>
      </c>
      <c r="U3" s="15">
        <v>2.3107986944995245E-3</v>
      </c>
      <c r="V3" s="79">
        <v>2.3228129203780753E-2</v>
      </c>
      <c r="W3" s="74">
        <v>0.79833937207218564</v>
      </c>
      <c r="X3" s="13" t="s">
        <v>232</v>
      </c>
      <c r="Y3" s="11" t="s">
        <v>137</v>
      </c>
      <c r="Z3" s="14">
        <v>45900</v>
      </c>
      <c r="AA3" s="16" t="s">
        <v>224</v>
      </c>
    </row>
    <row r="4" spans="1:27">
      <c r="B4" s="11" t="s">
        <v>210</v>
      </c>
      <c r="C4" s="11" t="s">
        <v>211</v>
      </c>
      <c r="D4" s="2">
        <v>18.2</v>
      </c>
      <c r="E4" s="12" t="s">
        <v>136</v>
      </c>
      <c r="F4" s="15">
        <v>0.22092798252212109</v>
      </c>
      <c r="G4" s="15">
        <f>F4 - Portfolio_Mgmt!$C$10</f>
        <v>0.10352798252212109</v>
      </c>
      <c r="H4" s="15">
        <f>F4 - Portfolio_Mgmt!$C$11</f>
        <v>0.18642798252212109</v>
      </c>
      <c r="I4" s="15">
        <v>0</v>
      </c>
      <c r="J4" s="2">
        <v>13.698988026881199</v>
      </c>
      <c r="K4" s="2">
        <v>28.447297666637834</v>
      </c>
      <c r="L4" s="74">
        <v>26.175615362984662</v>
      </c>
      <c r="M4" s="2">
        <v>17.024536405318571</v>
      </c>
      <c r="N4" s="2">
        <v>23.42977619443111</v>
      </c>
      <c r="O4" s="4">
        <v>0.11372967205162803</v>
      </c>
      <c r="P4" s="4">
        <v>6.9230769230769235E-2</v>
      </c>
      <c r="Q4" s="4">
        <v>0.16035109536268838</v>
      </c>
      <c r="R4" s="4">
        <v>0.31929962351402291</v>
      </c>
      <c r="S4" s="82">
        <v>0.35631048934895165</v>
      </c>
      <c r="T4" s="81">
        <v>1.4094345614568822</v>
      </c>
      <c r="U4" s="15">
        <v>0.12260820136742831</v>
      </c>
      <c r="V4" s="79">
        <v>0.75207444874659302</v>
      </c>
      <c r="W4" s="74">
        <v>-0.45864200509653968</v>
      </c>
      <c r="X4" s="13" t="s">
        <v>162</v>
      </c>
      <c r="Y4" s="11" t="s">
        <v>137</v>
      </c>
      <c r="Z4" s="14">
        <v>45900</v>
      </c>
      <c r="AA4" s="16" t="s">
        <v>224</v>
      </c>
    </row>
    <row r="5" spans="1:27">
      <c r="B5" s="11" t="s">
        <v>199</v>
      </c>
      <c r="C5" s="11" t="s">
        <v>200</v>
      </c>
      <c r="D5" s="2">
        <v>2.1</v>
      </c>
      <c r="E5" s="12" t="s">
        <v>136</v>
      </c>
      <c r="F5" s="15">
        <v>0.19860573984702246</v>
      </c>
      <c r="G5" s="15">
        <f>F5 - Portfolio_Mgmt!$C$10</f>
        <v>8.1205739847022451E-2</v>
      </c>
      <c r="H5" s="15">
        <f>F5 - Portfolio_Mgmt!$C$11</f>
        <v>0.16410573984702245</v>
      </c>
      <c r="I5" s="15">
        <v>0</v>
      </c>
      <c r="J5" s="2">
        <v>1.4894141873489817</v>
      </c>
      <c r="K5" s="2">
        <v>3.2889924311987513</v>
      </c>
      <c r="L5" s="74">
        <v>2.8815565371189971</v>
      </c>
      <c r="M5" s="2">
        <v>1.8596441247737607</v>
      </c>
      <c r="N5" s="2">
        <v>2.5745537889432066</v>
      </c>
      <c r="O5" s="4">
        <v>6.4333472327497268E-2</v>
      </c>
      <c r="P5" s="4">
        <v>4.2857142857142858E-2</v>
      </c>
      <c r="Q5" s="4">
        <v>4.7832973362251327E-2</v>
      </c>
      <c r="R5" s="4">
        <v>7.8104812973574481E-2</v>
      </c>
      <c r="S5" s="82">
        <v>0.49619793491400876</v>
      </c>
      <c r="T5" s="81">
        <v>1.2342258232843137</v>
      </c>
      <c r="U5" s="15">
        <v>0.10863424600069688</v>
      </c>
      <c r="V5" s="79">
        <v>2.2824569622635926</v>
      </c>
      <c r="W5" s="74">
        <v>1.8486450606674381</v>
      </c>
      <c r="X5" s="13" t="s">
        <v>201</v>
      </c>
      <c r="Y5" s="11" t="s">
        <v>137</v>
      </c>
      <c r="Z5" s="14">
        <v>45900</v>
      </c>
      <c r="AA5" s="16" t="s">
        <v>224</v>
      </c>
    </row>
    <row r="6" spans="1:27">
      <c r="B6" s="11" t="s">
        <v>187</v>
      </c>
      <c r="C6" s="11" t="s">
        <v>188</v>
      </c>
      <c r="D6" s="2">
        <v>3.41</v>
      </c>
      <c r="E6" s="12" t="s">
        <v>136</v>
      </c>
      <c r="F6" s="15">
        <v>0.18570680150592267</v>
      </c>
      <c r="G6" s="15">
        <f>F6 - Portfolio_Mgmt!$C$10</f>
        <v>6.8306801505922665E-2</v>
      </c>
      <c r="H6" s="15">
        <f>F6 - Portfolio_Mgmt!$C$11</f>
        <v>0.15120680150592267</v>
      </c>
      <c r="I6" s="15">
        <v>0</v>
      </c>
      <c r="J6" s="2">
        <v>2.3406091587746096</v>
      </c>
      <c r="K6" s="2">
        <v>5.2246962590200807</v>
      </c>
      <c r="L6" s="74">
        <v>4.5385417708791076</v>
      </c>
      <c r="M6" s="2">
        <v>2.9249004846182811</v>
      </c>
      <c r="N6" s="2">
        <v>4.0536685441183486</v>
      </c>
      <c r="O6" s="4">
        <v>8.3273471379379613E-2</v>
      </c>
      <c r="P6" s="4">
        <v>3.7536656891495601E-2</v>
      </c>
      <c r="Q6" s="4">
        <v>0.10112859174992994</v>
      </c>
      <c r="R6" s="4">
        <v>5.8835781303360896E-2</v>
      </c>
      <c r="S6" s="82">
        <v>1.2277297326073906</v>
      </c>
      <c r="T6" s="81">
        <v>1.4000052396569989</v>
      </c>
      <c r="U6" s="15">
        <v>0.10646655543311496</v>
      </c>
      <c r="V6" s="79">
        <v>0.9804830051022897</v>
      </c>
      <c r="W6" s="74">
        <v>1.6698226477450393</v>
      </c>
      <c r="X6" s="13" t="s">
        <v>189</v>
      </c>
      <c r="Y6" s="11" t="s">
        <v>137</v>
      </c>
      <c r="Z6" s="14">
        <v>45808</v>
      </c>
      <c r="AA6" s="16" t="s">
        <v>224</v>
      </c>
    </row>
    <row r="7" spans="1:27">
      <c r="B7" s="11" t="s">
        <v>163</v>
      </c>
      <c r="C7" s="11" t="s">
        <v>192</v>
      </c>
      <c r="D7" s="2">
        <v>16.88</v>
      </c>
      <c r="E7" s="12" t="s">
        <v>136</v>
      </c>
      <c r="F7" s="15">
        <v>0.17442775003592481</v>
      </c>
      <c r="G7" s="15">
        <f>F7 - Portfolio_Mgmt!$C$10</f>
        <v>5.7027750035924807E-2</v>
      </c>
      <c r="H7" s="15">
        <f>F7 - Portfolio_Mgmt!$C$11</f>
        <v>0.13992775003592481</v>
      </c>
      <c r="I7" s="15">
        <v>0</v>
      </c>
      <c r="J7" s="2">
        <v>11.234447764747291</v>
      </c>
      <c r="K7" s="2">
        <v>25.634058484603624</v>
      </c>
      <c r="L7" s="74">
        <v>21.885211477816092</v>
      </c>
      <c r="M7" s="2">
        <v>14.063514124899044</v>
      </c>
      <c r="N7" s="2">
        <v>19.533895666275793</v>
      </c>
      <c r="O7" s="4">
        <v>6.0686425121373247E-2</v>
      </c>
      <c r="P7" s="4">
        <v>2.8494173577652365E-2</v>
      </c>
      <c r="Q7" s="4">
        <v>0.12359647222903739</v>
      </c>
      <c r="R7" s="4">
        <v>0.12331887626057067</v>
      </c>
      <c r="S7" s="82">
        <v>0.73266920679685343</v>
      </c>
      <c r="T7" s="81">
        <v>1.3679448142367923</v>
      </c>
      <c r="U7" s="15">
        <v>7.4171010848313429E-2</v>
      </c>
      <c r="V7" s="79">
        <v>0.60402076709908736</v>
      </c>
      <c r="W7" s="74">
        <v>4.6131978817504447</v>
      </c>
      <c r="X7" s="13" t="s">
        <v>181</v>
      </c>
      <c r="Y7" s="11" t="s">
        <v>137</v>
      </c>
      <c r="Z7" s="14">
        <v>45900</v>
      </c>
      <c r="AA7" s="16" t="s">
        <v>224</v>
      </c>
    </row>
    <row r="8" spans="1:27">
      <c r="B8" s="11" t="s">
        <v>208</v>
      </c>
      <c r="C8" s="11" t="s">
        <v>217</v>
      </c>
      <c r="D8" s="2">
        <v>26.08</v>
      </c>
      <c r="E8" s="12" t="s">
        <v>206</v>
      </c>
      <c r="F8" s="15">
        <v>0.15359057924232244</v>
      </c>
      <c r="G8" s="15">
        <f>F8 - Portfolio_Mgmt!$C$10</f>
        <v>3.619057924232244E-2</v>
      </c>
      <c r="H8" s="15">
        <f>F8 - Portfolio_Mgmt!$C$11</f>
        <v>0.11909057924232244</v>
      </c>
      <c r="I8" s="15">
        <v>0</v>
      </c>
      <c r="J8" s="2">
        <v>16.586017104127016</v>
      </c>
      <c r="K8" s="2">
        <v>36.134621832566509</v>
      </c>
      <c r="L8" s="74">
        <v>31.999534598013469</v>
      </c>
      <c r="M8" s="2">
        <v>20.68716637827405</v>
      </c>
      <c r="N8" s="2">
        <v>28.601981247202922</v>
      </c>
      <c r="O8" s="4">
        <v>9.7360713473274449E-2</v>
      </c>
      <c r="P8" s="4">
        <v>4.2944785276073615E-2</v>
      </c>
      <c r="Q8" s="4">
        <v>8.3350635997632802E-2</v>
      </c>
      <c r="R8" s="4">
        <v>0.15660042549334799</v>
      </c>
      <c r="S8" s="82">
        <v>0.29736257886212014</v>
      </c>
      <c r="T8" s="81">
        <v>1.7899036999493159</v>
      </c>
      <c r="U8" s="15">
        <v>0.40281804358844397</v>
      </c>
      <c r="V8" s="79">
        <v>3.955391512509995</v>
      </c>
      <c r="W8" s="74">
        <v>-26.938493611476797</v>
      </c>
      <c r="X8" s="13" t="s">
        <v>209</v>
      </c>
      <c r="Y8" s="11" t="s">
        <v>137</v>
      </c>
      <c r="Z8" s="14">
        <v>45900</v>
      </c>
      <c r="AA8" s="16" t="s">
        <v>225</v>
      </c>
    </row>
    <row r="9" spans="1:27">
      <c r="B9" s="11" t="s">
        <v>182</v>
      </c>
      <c r="C9" s="11" t="s">
        <v>183</v>
      </c>
      <c r="D9" s="2">
        <v>52.25</v>
      </c>
      <c r="E9" s="12" t="s">
        <v>136</v>
      </c>
      <c r="F9" s="15">
        <v>0.14933668490992003</v>
      </c>
      <c r="G9" s="15">
        <f>F9 - Portfolio_Mgmt!$C$10</f>
        <v>3.1936684909920021E-2</v>
      </c>
      <c r="H9" s="15">
        <f>F9 - Portfolio_Mgmt!$C$11</f>
        <v>0.11483668490992002</v>
      </c>
      <c r="I9" s="15">
        <v>0</v>
      </c>
      <c r="J9" s="2">
        <v>32.758769897283052</v>
      </c>
      <c r="K9" s="2">
        <v>73.048976379170256</v>
      </c>
      <c r="L9" s="74">
        <v>63.507037000800509</v>
      </c>
      <c r="M9" s="2">
        <v>40.933099842045515</v>
      </c>
      <c r="N9" s="2">
        <v>56.724069980270599</v>
      </c>
      <c r="O9" s="4">
        <v>4.4187488948884704E-2</v>
      </c>
      <c r="P9" s="4">
        <v>3.4630401756121532E-2</v>
      </c>
      <c r="Q9" s="4">
        <v>0.13507548720926868</v>
      </c>
      <c r="R9" s="4">
        <v>0.12563528173730035</v>
      </c>
      <c r="S9" s="82">
        <v>0.62432788948992113</v>
      </c>
      <c r="T9" s="81">
        <v>1.7220755031358876</v>
      </c>
      <c r="U9" s="15">
        <v>9.5579625064196368E-3</v>
      </c>
      <c r="V9" s="79">
        <v>7.3592411949940734E-2</v>
      </c>
      <c r="W9" s="74">
        <v>1.360059257970635</v>
      </c>
      <c r="X9" s="13" t="s">
        <v>181</v>
      </c>
      <c r="Y9" s="11" t="s">
        <v>137</v>
      </c>
      <c r="Z9" s="14">
        <v>45900</v>
      </c>
      <c r="AA9" s="16" t="s">
        <v>225</v>
      </c>
    </row>
    <row r="10" spans="1:27">
      <c r="B10" s="11" t="s">
        <v>179</v>
      </c>
      <c r="C10" s="11" t="s">
        <v>180</v>
      </c>
      <c r="D10" s="2">
        <v>58.3</v>
      </c>
      <c r="E10" s="12" t="s">
        <v>136</v>
      </c>
      <c r="F10" s="15">
        <v>0.1466901748533127</v>
      </c>
      <c r="G10" s="15">
        <f>F10 - Portfolio_Mgmt!$C$10</f>
        <v>2.92901748533127E-2</v>
      </c>
      <c r="H10" s="15">
        <f>F10 - Portfolio_Mgmt!$C$11</f>
        <v>0.1121901748533127</v>
      </c>
      <c r="I10" s="15">
        <v>0</v>
      </c>
      <c r="J10" s="2">
        <v>37.202039211211847</v>
      </c>
      <c r="K10" s="2">
        <v>70.241328399285351</v>
      </c>
      <c r="L10" s="74">
        <v>69.810344230750275</v>
      </c>
      <c r="M10" s="2">
        <v>45.923386380434096</v>
      </c>
      <c r="N10" s="2">
        <v>62.656195961049164</v>
      </c>
      <c r="O10" s="4">
        <v>9.1226093275877107E-2</v>
      </c>
      <c r="P10" s="4">
        <v>8.7519210977701559E-2</v>
      </c>
      <c r="Q10" s="4">
        <v>0.32755394896836565</v>
      </c>
      <c r="R10" s="4">
        <v>8.9976704126159421E-2</v>
      </c>
      <c r="S10" s="82">
        <v>1.5891874956485419</v>
      </c>
      <c r="T10" s="81">
        <v>2.2907496012759174</v>
      </c>
      <c r="U10" s="15">
        <v>0.24768740031897937</v>
      </c>
      <c r="V10" s="79">
        <v>0.73855199466278643</v>
      </c>
      <c r="W10" s="74">
        <v>-2.6747592746880491</v>
      </c>
      <c r="X10" s="16" t="s">
        <v>184</v>
      </c>
      <c r="Y10" s="11" t="s">
        <v>137</v>
      </c>
      <c r="Z10" s="14">
        <v>45808</v>
      </c>
      <c r="AA10" s="16" t="s">
        <v>224</v>
      </c>
    </row>
    <row r="11" spans="1:27">
      <c r="B11" s="11" t="s">
        <v>185</v>
      </c>
      <c r="C11" s="11" t="s">
        <v>186</v>
      </c>
      <c r="D11" s="2">
        <v>6.85</v>
      </c>
      <c r="E11" s="12" t="s">
        <v>136</v>
      </c>
      <c r="F11" s="15">
        <v>0.14520386496127191</v>
      </c>
      <c r="G11" s="15">
        <f>F11 - Portfolio_Mgmt!$C$10</f>
        <v>2.7803864961271907E-2</v>
      </c>
      <c r="H11" s="15">
        <f>F11 - Portfolio_Mgmt!$C$11</f>
        <v>0.11070386496127191</v>
      </c>
      <c r="I11" s="15">
        <v>0</v>
      </c>
      <c r="J11" s="2">
        <v>4.2972710294835261</v>
      </c>
      <c r="K11" s="2">
        <v>8.9133048627209526</v>
      </c>
      <c r="L11" s="74">
        <v>8.2092065235533589</v>
      </c>
      <c r="M11" s="2">
        <v>5.3400114215908552</v>
      </c>
      <c r="N11" s="2">
        <v>7.3483060763134347</v>
      </c>
      <c r="O11" s="4">
        <v>0.11514661201345497</v>
      </c>
      <c r="P11" s="4">
        <v>5.8065045162567899E-2</v>
      </c>
      <c r="Q11" s="4">
        <v>0.12477871842229639</v>
      </c>
      <c r="R11" s="4">
        <v>7.7304831872868032E-2</v>
      </c>
      <c r="S11" s="82">
        <v>1.0025080757150273</v>
      </c>
      <c r="T11" s="81">
        <v>1.6100746083165727</v>
      </c>
      <c r="U11" s="15">
        <v>0.16360901428944893</v>
      </c>
      <c r="V11" s="79">
        <v>1.1309485990394448</v>
      </c>
      <c r="W11" s="74">
        <v>-3.8827398742080192</v>
      </c>
      <c r="X11" s="13" t="s">
        <v>162</v>
      </c>
      <c r="Y11" s="11" t="s">
        <v>137</v>
      </c>
      <c r="Z11" s="14">
        <v>45900</v>
      </c>
      <c r="AA11" s="16" t="s">
        <v>224</v>
      </c>
    </row>
    <row r="12" spans="1:27">
      <c r="B12" s="11" t="s">
        <v>205</v>
      </c>
      <c r="C12" s="11" t="s">
        <v>216</v>
      </c>
      <c r="D12" s="2">
        <v>23.62</v>
      </c>
      <c r="E12" s="12" t="s">
        <v>206</v>
      </c>
      <c r="F12" s="15">
        <v>0.13629894782965968</v>
      </c>
      <c r="G12" s="15">
        <f>F12 - Portfolio_Mgmt!$C$10</f>
        <v>1.8898947829659674E-2</v>
      </c>
      <c r="H12" s="15">
        <f>F12 - Portfolio_Mgmt!$C$11</f>
        <v>0.10179894782965968</v>
      </c>
      <c r="I12" s="15">
        <v>0</v>
      </c>
      <c r="J12" s="2">
        <v>14.210808951982788</v>
      </c>
      <c r="K12" s="2">
        <v>33.230161875234657</v>
      </c>
      <c r="L12" s="74">
        <v>27.829540483416785</v>
      </c>
      <c r="M12" s="2">
        <v>17.824937920120146</v>
      </c>
      <c r="N12" s="2">
        <v>24.820548736528732</v>
      </c>
      <c r="O12" s="4">
        <v>0.19301276661042313</v>
      </c>
      <c r="P12" s="4">
        <v>1.7591871295512276E-2</v>
      </c>
      <c r="Q12" s="4">
        <v>0.18752610102828118</v>
      </c>
      <c r="R12" s="4">
        <v>0.23497655430253014</v>
      </c>
      <c r="S12" s="82">
        <v>0.32112750263435197</v>
      </c>
      <c r="T12" s="81">
        <v>2.4851905363915479</v>
      </c>
      <c r="U12" s="15">
        <v>0.95241105291674188</v>
      </c>
      <c r="V12" s="79">
        <v>4.0148803043206254</v>
      </c>
      <c r="W12" s="74">
        <v>-38.360607814419353</v>
      </c>
      <c r="X12" s="13" t="s">
        <v>207</v>
      </c>
      <c r="Y12" s="11" t="s">
        <v>137</v>
      </c>
      <c r="Z12" s="14">
        <v>45900</v>
      </c>
      <c r="AA12" s="16" t="s">
        <v>225</v>
      </c>
    </row>
    <row r="13" spans="1:27">
      <c r="B13" s="11" t="s">
        <v>227</v>
      </c>
      <c r="C13" s="11" t="s">
        <v>228</v>
      </c>
      <c r="D13" s="2">
        <v>6.09</v>
      </c>
      <c r="E13" s="12" t="s">
        <v>136</v>
      </c>
      <c r="F13" s="15">
        <v>0.12105828462833323</v>
      </c>
      <c r="G13" s="15">
        <f>F13 - Portfolio_Mgmt!$C$10</f>
        <v>3.6582846283332304E-3</v>
      </c>
      <c r="H13" s="15">
        <f>F13 - Portfolio_Mgmt!$C$11</f>
        <v>8.6558284628333232E-2</v>
      </c>
      <c r="I13" s="15">
        <v>0</v>
      </c>
      <c r="J13" s="2">
        <v>3.6036658259915511</v>
      </c>
      <c r="K13" s="2">
        <v>7.3642693066239637</v>
      </c>
      <c r="L13" s="2">
        <v>6.8641356814360206</v>
      </c>
      <c r="M13" s="2">
        <v>4.4732258849914697</v>
      </c>
      <c r="N13" s="2">
        <v>6.1469536878205542</v>
      </c>
      <c r="O13" s="4">
        <v>6.0657164916992627E-2</v>
      </c>
      <c r="P13" s="4">
        <v>5.9113300492610835E-2</v>
      </c>
      <c r="Q13" s="4">
        <v>7.0630420943605887E-2</v>
      </c>
      <c r="R13" s="4">
        <v>9.3039179367971361E-2</v>
      </c>
      <c r="S13" s="82">
        <v>0.62627525695225639</v>
      </c>
      <c r="T13" s="81">
        <v>1.2121620122817016</v>
      </c>
      <c r="U13" s="15">
        <v>1.1610019159010268E-2</v>
      </c>
      <c r="V13" s="79">
        <v>0.16381589511191816</v>
      </c>
      <c r="W13" s="74">
        <v>3.7980767021052162</v>
      </c>
      <c r="X13" s="13" t="s">
        <v>229</v>
      </c>
      <c r="Y13" s="11" t="s">
        <v>137</v>
      </c>
      <c r="Z13" s="14">
        <v>45900</v>
      </c>
      <c r="AA13" s="16" t="s">
        <v>224</v>
      </c>
    </row>
    <row r="14" spans="1:27">
      <c r="B14" s="11" t="s">
        <v>193</v>
      </c>
      <c r="C14" s="11" t="s">
        <v>194</v>
      </c>
      <c r="D14" s="2">
        <v>15.96</v>
      </c>
      <c r="E14" s="12" t="s">
        <v>136</v>
      </c>
      <c r="F14" s="15">
        <v>0.10278083671448512</v>
      </c>
      <c r="G14" s="15">
        <f>F14 - Portfolio_Mgmt!$C$10</f>
        <v>-1.461916328551488E-2</v>
      </c>
      <c r="H14" s="15">
        <f>F14 - Portfolio_Mgmt!$C$11</f>
        <v>6.8280836714485121E-2</v>
      </c>
      <c r="I14" s="15">
        <v>0</v>
      </c>
      <c r="J14" s="2">
        <v>8.9920897142455836</v>
      </c>
      <c r="K14" s="2">
        <v>18.606209330986982</v>
      </c>
      <c r="L14" s="2">
        <v>17.169686246221929</v>
      </c>
      <c r="M14" s="2">
        <v>11.172048928505335</v>
      </c>
      <c r="N14" s="2">
        <v>15.370183659326386</v>
      </c>
      <c r="O14" s="4">
        <v>9.7321221340685909E-2</v>
      </c>
      <c r="P14" s="4">
        <v>5.2823842105263155E-2</v>
      </c>
      <c r="Q14" s="4">
        <v>0.26418109814015051</v>
      </c>
      <c r="R14" s="4">
        <v>0.11373789127418284</v>
      </c>
      <c r="S14" s="82">
        <v>0.70652858717908329</v>
      </c>
      <c r="T14" s="81">
        <v>3.2875080906148866</v>
      </c>
      <c r="U14" s="15">
        <v>1.5035598705501618</v>
      </c>
      <c r="V14" s="79">
        <v>4.1998196571663646</v>
      </c>
      <c r="W14" s="74">
        <v>-12.277812402709904</v>
      </c>
      <c r="X14" s="13" t="s">
        <v>181</v>
      </c>
      <c r="Y14" s="11" t="s">
        <v>195</v>
      </c>
      <c r="Z14" s="14">
        <v>45900</v>
      </c>
      <c r="AA14" s="16" t="s">
        <v>225</v>
      </c>
    </row>
    <row r="15" spans="1:27">
      <c r="B15" s="11" t="s">
        <v>138</v>
      </c>
      <c r="C15" s="11" t="s">
        <v>176</v>
      </c>
      <c r="D15" s="2">
        <v>8.65</v>
      </c>
      <c r="E15" s="12" t="s">
        <v>136</v>
      </c>
      <c r="F15" s="15">
        <v>9.2184508771591345E-2</v>
      </c>
      <c r="G15" s="15">
        <f>F15 - Portfolio_Mgmt!$C$10</f>
        <v>-2.521549122840866E-2</v>
      </c>
      <c r="H15" s="15">
        <f>F15 - Portfolio_Mgmt!$C$11</f>
        <v>5.7684508771591342E-2</v>
      </c>
      <c r="I15" s="15">
        <v>0</v>
      </c>
      <c r="J15" s="2">
        <v>4.7895979519113672</v>
      </c>
      <c r="K15" s="2">
        <v>9.3641570609339322</v>
      </c>
      <c r="L15" s="2">
        <v>9.0460821298724845</v>
      </c>
      <c r="M15" s="2">
        <v>5.9266084151981735</v>
      </c>
      <c r="N15" s="2">
        <v>8.1111667082917602</v>
      </c>
      <c r="O15" s="4">
        <v>3.5710794448816759E-2</v>
      </c>
      <c r="P15" s="4">
        <v>6.7052023121387277E-2</v>
      </c>
      <c r="Q15" s="4">
        <v>2.0056091670558843E-2</v>
      </c>
      <c r="R15" s="4">
        <v>0.38237459335905039</v>
      </c>
      <c r="S15" s="82">
        <v>4.8426484563194767E-2</v>
      </c>
      <c r="T15" s="81">
        <v>1.0831144117242246</v>
      </c>
      <c r="U15" s="15">
        <v>1.8509098960546238E-2</v>
      </c>
      <c r="V15" s="79">
        <v>1.1933697905849452</v>
      </c>
      <c r="W15" s="74">
        <v>11.511512740854835</v>
      </c>
      <c r="X15" s="13" t="s">
        <v>178</v>
      </c>
      <c r="Y15" s="11" t="s">
        <v>177</v>
      </c>
      <c r="Z15" s="14">
        <v>45900</v>
      </c>
      <c r="AA15" s="16" t="s">
        <v>224</v>
      </c>
    </row>
    <row r="16" spans="1:27">
      <c r="B16" s="11" t="s">
        <v>190</v>
      </c>
      <c r="C16" s="11" t="s">
        <v>191</v>
      </c>
      <c r="D16" s="2">
        <v>21.35</v>
      </c>
      <c r="E16" s="12" t="s">
        <v>136</v>
      </c>
      <c r="F16" s="15">
        <v>7.2691369724356525E-2</v>
      </c>
      <c r="G16" s="15">
        <f>F16 - Portfolio_Mgmt!$C$10</f>
        <v>-4.4708630275643479E-2</v>
      </c>
      <c r="H16" s="15">
        <f>F16 - Portfolio_Mgmt!$C$11</f>
        <v>3.8191369724356522E-2</v>
      </c>
      <c r="I16" s="15">
        <v>0</v>
      </c>
      <c r="J16" s="2">
        <v>11.235424773194682</v>
      </c>
      <c r="K16" s="2">
        <v>21.968758226348868</v>
      </c>
      <c r="L16" s="2">
        <v>21.220699139526428</v>
      </c>
      <c r="M16" s="2">
        <v>13.902724211890622</v>
      </c>
      <c r="N16" s="2">
        <v>19.027476031641555</v>
      </c>
      <c r="O16" s="4">
        <v>8.0936113319420577E-2</v>
      </c>
      <c r="P16" s="4">
        <v>6.3700234192037478E-2</v>
      </c>
      <c r="Q16" s="4">
        <v>0.10515362778966494</v>
      </c>
      <c r="R16" s="4">
        <v>0.11295218450174714</v>
      </c>
      <c r="S16" s="82">
        <v>0.71055479556740742</v>
      </c>
      <c r="T16" s="81">
        <v>1.3101832741522048</v>
      </c>
      <c r="U16" s="15">
        <v>0.15818859882129041</v>
      </c>
      <c r="V16" s="79">
        <v>1.4550387206421544</v>
      </c>
      <c r="W16" s="74">
        <v>5.8696003638854428</v>
      </c>
      <c r="X16" s="13" t="s">
        <v>189</v>
      </c>
      <c r="Y16" s="11" t="s">
        <v>137</v>
      </c>
      <c r="Z16" s="14">
        <v>45808</v>
      </c>
      <c r="AA16" s="16" t="s">
        <v>224</v>
      </c>
    </row>
    <row r="17" spans="2:27">
      <c r="B17" s="11" t="s">
        <v>202</v>
      </c>
      <c r="C17" s="11" t="s">
        <v>203</v>
      </c>
      <c r="D17" s="2">
        <v>2.64</v>
      </c>
      <c r="E17" s="12" t="s">
        <v>136</v>
      </c>
      <c r="F17" s="15">
        <v>6.5789609786349956E-2</v>
      </c>
      <c r="G17" s="15">
        <f>F17 - Portfolio_Mgmt!$C$10</f>
        <v>-5.1610390213650048E-2</v>
      </c>
      <c r="H17" s="15">
        <f>F17 - Portfolio_Mgmt!$C$11</f>
        <v>3.1289609786349953E-2</v>
      </c>
      <c r="I17" s="15">
        <v>0</v>
      </c>
      <c r="J17" s="2">
        <v>1.3430151234881984</v>
      </c>
      <c r="K17" s="2">
        <v>2.8391260783731758</v>
      </c>
      <c r="L17" s="2">
        <v>2.5753188618501053</v>
      </c>
      <c r="M17" s="2">
        <v>1.6712623097942694</v>
      </c>
      <c r="N17" s="2">
        <v>2.303955825415815</v>
      </c>
      <c r="O17" s="4">
        <v>3.192138836769904E-2</v>
      </c>
      <c r="P17" s="4">
        <v>4.2231308538872941E-2</v>
      </c>
      <c r="Q17" s="4">
        <v>4.3342719459237303E-2</v>
      </c>
      <c r="R17" s="4">
        <v>8.4127095728584192E-2</v>
      </c>
      <c r="S17" s="82">
        <v>0.42808280043619051</v>
      </c>
      <c r="T17" s="81">
        <v>1.2035176992971439</v>
      </c>
      <c r="U17" s="15">
        <v>1.0763175939415467E-2</v>
      </c>
      <c r="V17" s="79">
        <v>0.29882156160837919</v>
      </c>
      <c r="W17" s="74">
        <v>1.9135235375350492</v>
      </c>
      <c r="X17" s="13" t="s">
        <v>204</v>
      </c>
      <c r="Y17" s="11" t="s">
        <v>198</v>
      </c>
      <c r="Z17" s="14">
        <v>45900</v>
      </c>
      <c r="AA17" s="11" t="s">
        <v>224</v>
      </c>
    </row>
    <row r="18" spans="2:27">
      <c r="B18" s="11" t="s">
        <v>173</v>
      </c>
      <c r="C18" s="11" t="s">
        <v>196</v>
      </c>
      <c r="D18" s="2">
        <v>2.0699999999999998</v>
      </c>
      <c r="E18" s="12" t="s">
        <v>136</v>
      </c>
      <c r="F18" s="15">
        <v>6.8929809946252085E-3</v>
      </c>
      <c r="G18" s="15">
        <f>F18 - Portfolio_Mgmt!$C$10</f>
        <v>-0.1105070190053748</v>
      </c>
      <c r="H18" s="15">
        <f>F18 - Portfolio_Mgmt!$C$11</f>
        <v>-2.7607019005374794E-2</v>
      </c>
      <c r="I18" s="15">
        <v>0</v>
      </c>
      <c r="J18" s="2">
        <v>0.8588532832629947</v>
      </c>
      <c r="K18" s="2">
        <v>2.1131011468081908</v>
      </c>
      <c r="L18" s="2">
        <v>1.7009631025661165</v>
      </c>
      <c r="M18" s="2">
        <v>1.0819077871657936</v>
      </c>
      <c r="N18" s="2">
        <v>1.514587208466269</v>
      </c>
      <c r="O18" s="4">
        <v>4.6317179925299112E-3</v>
      </c>
      <c r="P18" s="4">
        <v>0</v>
      </c>
      <c r="Q18" s="4">
        <v>3.7288355461672987E-3</v>
      </c>
      <c r="R18" s="4">
        <v>2.8327145387125552E-2</v>
      </c>
      <c r="S18" s="82">
        <v>0.11998888979909481</v>
      </c>
      <c r="T18" s="81">
        <v>1.0970574812713703</v>
      </c>
      <c r="U18" s="15">
        <v>1.4790654865358754E-2</v>
      </c>
      <c r="V18" s="79">
        <v>3.4432102574884196</v>
      </c>
      <c r="W18" s="74">
        <v>2.0258239687205015</v>
      </c>
      <c r="X18" s="13" t="s">
        <v>197</v>
      </c>
      <c r="Y18" s="11" t="s">
        <v>198</v>
      </c>
      <c r="Z18" s="14">
        <v>45900</v>
      </c>
      <c r="AA18" s="11" t="s">
        <v>224</v>
      </c>
    </row>
    <row r="19" spans="2:27">
      <c r="B19" s="11" t="s">
        <v>237</v>
      </c>
      <c r="C19" s="11" t="s">
        <v>238</v>
      </c>
      <c r="D19" s="2">
        <v>49.75</v>
      </c>
      <c r="E19" s="12" t="s">
        <v>136</v>
      </c>
      <c r="F19" s="15">
        <v>-8.7863363504127934E-2</v>
      </c>
      <c r="G19" s="15">
        <f>F19 - Portfolio_Mgmt!$C$10</f>
        <v>-0.20526336350412794</v>
      </c>
      <c r="H19" s="15">
        <f>F19 - Portfolio_Mgmt!$C$11</f>
        <v>-0.12236336350412794</v>
      </c>
      <c r="I19" s="15">
        <v>0</v>
      </c>
      <c r="J19" s="2">
        <v>16.223409128699366</v>
      </c>
      <c r="K19" s="2">
        <v>33.603574001709504</v>
      </c>
      <c r="L19" s="2">
        <v>30.983588908941798</v>
      </c>
      <c r="M19" s="2">
        <v>20.157986592872707</v>
      </c>
      <c r="N19" s="2">
        <v>27.735461202647695</v>
      </c>
      <c r="O19" s="4">
        <v>5.0230367458535846E-2</v>
      </c>
      <c r="P19" s="4">
        <v>3.0407742647638188E-2</v>
      </c>
      <c r="Q19" s="4">
        <v>0.21039827332068567</v>
      </c>
      <c r="R19" s="4">
        <v>0.21042753223383909</v>
      </c>
      <c r="S19" s="82">
        <v>0.51682300464832642</v>
      </c>
      <c r="T19" s="81">
        <v>1.9346293526540752</v>
      </c>
      <c r="U19" s="15">
        <v>0.19606600851240996</v>
      </c>
      <c r="V19" s="79">
        <v>0.84886197155458731</v>
      </c>
      <c r="W19" s="74">
        <v>-5.9947946277551081</v>
      </c>
      <c r="X19" s="13" t="s">
        <v>204</v>
      </c>
      <c r="Y19" s="11" t="s">
        <v>137</v>
      </c>
      <c r="Z19" s="14">
        <v>45900</v>
      </c>
      <c r="AA19" s="11" t="s">
        <v>224</v>
      </c>
    </row>
    <row r="20" spans="2:27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7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7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7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7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7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7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7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7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7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7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7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7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C16" sqref="C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4.3499999999999997E-2</v>
      </c>
      <c r="D4" s="34">
        <v>7.4999999999999997E-2</v>
      </c>
      <c r="E4" s="35">
        <f>D4-C4</f>
        <v>3.15E-2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35"/>
  <sheetViews>
    <sheetView showGridLines="0" zoomScaleNormal="100" workbookViewId="0">
      <selection activeCell="C19" sqref="C19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154</v>
      </c>
    </row>
    <row r="2" spans="1:12" ht="29.75" customHeight="1">
      <c r="B2" s="54" t="s">
        <v>2</v>
      </c>
      <c r="C2" s="54" t="s">
        <v>157</v>
      </c>
      <c r="D2" s="54" t="s">
        <v>156</v>
      </c>
      <c r="E2" s="54" t="s">
        <v>155</v>
      </c>
      <c r="F2" s="54" t="s">
        <v>160</v>
      </c>
      <c r="G2" s="54" t="s">
        <v>167</v>
      </c>
      <c r="H2" s="54" t="s">
        <v>149</v>
      </c>
      <c r="I2" s="54" t="s">
        <v>171</v>
      </c>
      <c r="J2" s="54" t="s">
        <v>233</v>
      </c>
      <c r="K2" s="54" t="s">
        <v>234</v>
      </c>
      <c r="L2" s="54" t="s">
        <v>235</v>
      </c>
    </row>
    <row r="3" spans="1:12">
      <c r="B3" s="65" t="s">
        <v>26</v>
      </c>
      <c r="C3" s="63" t="s">
        <v>159</v>
      </c>
      <c r="D3" s="62" t="s">
        <v>158</v>
      </c>
      <c r="E3" s="64" t="s">
        <v>159</v>
      </c>
      <c r="F3" s="59">
        <f>118725.1+291336.37</f>
        <v>410061.47</v>
      </c>
      <c r="G3" s="61">
        <f>F3/$F$10</f>
        <v>0.43047391001632646</v>
      </c>
      <c r="H3" s="78">
        <f>Portfolio_Mgmt!E66</f>
        <v>0.45</v>
      </c>
      <c r="I3" s="83" t="s">
        <v>236</v>
      </c>
      <c r="J3" s="83" t="s">
        <v>236</v>
      </c>
      <c r="K3" s="83" t="s">
        <v>236</v>
      </c>
      <c r="L3" s="83" t="s">
        <v>236</v>
      </c>
    </row>
    <row r="4" spans="1:12">
      <c r="B4" s="66" t="s">
        <v>185</v>
      </c>
      <c r="C4" s="63">
        <f>VLOOKUP(B4,Opportunities!B$3:E$30,3,FALSE)</f>
        <v>6.85</v>
      </c>
      <c r="D4" s="62" t="str">
        <f>VLOOKUP(B4,Opportunities!B$3:E$30,4,FALSE)</f>
        <v>HKD</v>
      </c>
      <c r="E4" s="59">
        <v>10000</v>
      </c>
      <c r="F4" s="64">
        <f>E4*C4</f>
        <v>68500</v>
      </c>
      <c r="G4" s="61">
        <f>F4/$F$10</f>
        <v>7.1909859846423424E-2</v>
      </c>
      <c r="H4" s="61">
        <f>VLOOKUP(B4,Opportunities!B$3:I$30,8,FALSE)</f>
        <v>0</v>
      </c>
      <c r="I4" s="84">
        <f>VLOOKUP(B4,Opportunities!B$3:N$30,12,FALSE)</f>
        <v>5.3400114215908552</v>
      </c>
      <c r="J4" s="84">
        <f>VLOOKUP(B4,Opportunities!B$3:N$30,9,FALSE)</f>
        <v>4.2972710294835261</v>
      </c>
      <c r="K4" s="84">
        <f>VLOOKUP(B4,Opportunities!B$3:N$30,11,FALSE)</f>
        <v>8.2092065235533589</v>
      </c>
      <c r="L4" s="84">
        <f>VLOOKUP(B4,Opportunities!B$3:N$30,13,FALSE)</f>
        <v>7.3483060763134347</v>
      </c>
    </row>
    <row r="5" spans="1:12">
      <c r="B5" s="66" t="s">
        <v>163</v>
      </c>
      <c r="C5" s="63">
        <f>VLOOKUP(B5,Opportunities!B$3:E$30,3,FALSE)</f>
        <v>16.88</v>
      </c>
      <c r="D5" s="62" t="str">
        <f>VLOOKUP(B5,Opportunities!B$3:E$30,4,FALSE)</f>
        <v>HKD</v>
      </c>
      <c r="E5" s="59">
        <v>9000</v>
      </c>
      <c r="F5" s="64">
        <f>C5*E5</f>
        <v>151920</v>
      </c>
      <c r="G5" s="61">
        <f>F5/$F$10</f>
        <v>0.15948242201268098</v>
      </c>
      <c r="H5" s="61">
        <f>VLOOKUP(B5,Opportunities!B$3:I$30,8,FALSE)</f>
        <v>0</v>
      </c>
      <c r="I5" s="84">
        <f>VLOOKUP(B5,Opportunities!B$3:N$30,12,FALSE)</f>
        <v>14.063514124899044</v>
      </c>
      <c r="J5" s="84">
        <f>VLOOKUP(B5,Opportunities!B$3:N$30,9,FALSE)</f>
        <v>11.234447764747291</v>
      </c>
      <c r="K5" s="84">
        <f>VLOOKUP(B5,Opportunities!B$3:N$30,11,FALSE)</f>
        <v>21.885211477816092</v>
      </c>
      <c r="L5" s="84">
        <f>VLOOKUP(B5,Opportunities!B$3:N$30,13,FALSE)</f>
        <v>19.533895666275793</v>
      </c>
    </row>
    <row r="6" spans="1:12">
      <c r="B6" s="66" t="s">
        <v>210</v>
      </c>
      <c r="C6" s="63">
        <f>VLOOKUP(B6,Opportunities!B$3:E$30,3,FALSE)</f>
        <v>18.2</v>
      </c>
      <c r="D6" s="62" t="str">
        <f>VLOOKUP(B6,Opportunities!B$3:E$30,4,FALSE)</f>
        <v>HKD</v>
      </c>
      <c r="E6" s="59">
        <v>8000</v>
      </c>
      <c r="F6" s="64">
        <f>C6*E6</f>
        <v>145600</v>
      </c>
      <c r="G6" s="61">
        <f>F6/$F$10</f>
        <v>0.15284781888524454</v>
      </c>
      <c r="H6" s="61">
        <f>VLOOKUP(B6,Opportunities!B$3:I$30,8,FALSE)</f>
        <v>0</v>
      </c>
      <c r="I6" s="84">
        <f>VLOOKUP(B6,Opportunities!B$3:N$30,12,FALSE)</f>
        <v>17.024536405318571</v>
      </c>
      <c r="J6" s="84">
        <f>VLOOKUP(B6,Opportunities!B$3:N$30,9,FALSE)</f>
        <v>13.698988026881199</v>
      </c>
      <c r="K6" s="84">
        <f>VLOOKUP(B6,Opportunities!B$3:N$30,11,FALSE)</f>
        <v>26.175615362984662</v>
      </c>
      <c r="L6" s="84">
        <f>VLOOKUP(B6,Opportunities!B$3:N$30,13,FALSE)</f>
        <v>23.42977619443111</v>
      </c>
    </row>
    <row r="7" spans="1:12">
      <c r="B7" s="66" t="s">
        <v>227</v>
      </c>
      <c r="C7" s="63">
        <f>VLOOKUP(B7,Opportunities!B$3:E$30,3,FALSE)</f>
        <v>6.09</v>
      </c>
      <c r="D7" s="62" t="str">
        <f>VLOOKUP(B7,Opportunities!B$3:E$30,4,FALSE)</f>
        <v>HKD</v>
      </c>
      <c r="E7" s="59">
        <v>10000</v>
      </c>
      <c r="F7" s="64">
        <f>C7*E7</f>
        <v>60900</v>
      </c>
      <c r="G7" s="61">
        <f t="shared" ref="G7" si="0">F7/$F$10</f>
        <v>6.3931539629885931E-2</v>
      </c>
      <c r="H7" s="61">
        <f>VLOOKUP(B7,Opportunities!B$3:I$30,8,FALSE)</f>
        <v>0</v>
      </c>
      <c r="I7" s="84">
        <f>VLOOKUP(B7,Opportunities!B$3:N$30,12,FALSE)</f>
        <v>4.4732258849914697</v>
      </c>
      <c r="J7" s="84">
        <f>VLOOKUP(B7,Opportunities!B$3:N$30,9,FALSE)</f>
        <v>3.6036658259915511</v>
      </c>
      <c r="K7" s="84">
        <f>VLOOKUP(B7,Opportunities!B$3:N$30,11,FALSE)</f>
        <v>6.8641356814360206</v>
      </c>
      <c r="L7" s="84">
        <f>VLOOKUP(B7,Opportunities!B$3:N$30,13,FALSE)</f>
        <v>6.1469536878205542</v>
      </c>
    </row>
    <row r="8" spans="1:12">
      <c r="B8" s="66" t="s">
        <v>230</v>
      </c>
      <c r="C8" s="63">
        <f>VLOOKUP(B8,Opportunities!B$3:E$30,3,FALSE)</f>
        <v>2.89</v>
      </c>
      <c r="D8" s="62" t="str">
        <f>VLOOKUP(B8,Opportunities!B$3:E$30,4,FALSE)</f>
        <v>HKD</v>
      </c>
      <c r="E8" s="59">
        <v>40000</v>
      </c>
      <c r="F8" s="64">
        <f>C8*E8</f>
        <v>115600</v>
      </c>
      <c r="G8" s="61">
        <f t="shared" ref="G8" si="1">F8/$F$10</f>
        <v>0.12135444960943866</v>
      </c>
      <c r="H8" s="61">
        <f>VLOOKUP(B8,Opportunities!B$3:I$30,8,FALSE)</f>
        <v>0</v>
      </c>
      <c r="I8" s="84">
        <f>VLOOKUP(B8,Opportunities!B$3:N$30,12,FALSE)</f>
        <v>2.823790530515998</v>
      </c>
      <c r="J8" s="84">
        <f>VLOOKUP(B8,Opportunities!B$3:N$30,9,FALSE)</f>
        <v>2.2811221378505544</v>
      </c>
      <c r="K8" s="84">
        <f>VLOOKUP(B8,Opportunities!B$3:N$30,11,FALSE)</f>
        <v>4.3130669791905083</v>
      </c>
      <c r="L8" s="84">
        <f>VLOOKUP(B8,Opportunities!B$3:N$30,13,FALSE)</f>
        <v>3.8666759160925035</v>
      </c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166</v>
      </c>
      <c r="F10" s="69">
        <f>SUM(F3:F8)</f>
        <v>952581.47</v>
      </c>
      <c r="G10" s="70">
        <f>SUM(G3:G8)</f>
        <v>1.0000000000000002</v>
      </c>
      <c r="H10" s="76">
        <f>SUM(H3:H8)</f>
        <v>0.45</v>
      </c>
      <c r="I10" s="85" t="s">
        <v>236</v>
      </c>
      <c r="J10" s="85" t="s">
        <v>236</v>
      </c>
      <c r="K10" s="85" t="s">
        <v>236</v>
      </c>
      <c r="L10" s="85" t="s">
        <v>236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164</v>
      </c>
    </row>
    <row r="13" spans="1:12">
      <c r="B13" s="66" t="s">
        <v>230</v>
      </c>
      <c r="C13" s="63">
        <f>VLOOKUP(B13,Opportunities!B$3:E$30,3,FALSE)</f>
        <v>2.89</v>
      </c>
      <c r="D13" s="62" t="str">
        <f>VLOOKUP(B13,Opportunities!B$3:E$30,4,FALSE)</f>
        <v>HKD</v>
      </c>
      <c r="E13" s="59">
        <v>0</v>
      </c>
      <c r="F13" s="64">
        <f>-C13*E13</f>
        <v>0</v>
      </c>
      <c r="G13" s="61">
        <f>-F13/$F$10</f>
        <v>0</v>
      </c>
      <c r="H13" s="61">
        <f>VLOOKUP(B13,Opportunities!B$3:I$30,8,FALSE)</f>
        <v>0</v>
      </c>
      <c r="I13" s="84">
        <f>VLOOKUP(B13,Opportunities!B$3:N$30,12,FALSE)</f>
        <v>2.823790530515998</v>
      </c>
      <c r="J13" s="84">
        <f>VLOOKUP(B13,Opportunities!B$3:N$30,9,FALSE)</f>
        <v>2.2811221378505544</v>
      </c>
      <c r="K13" s="84">
        <f>VLOOKUP(B13,Opportunities!B$3:N$30,11,FALSE)</f>
        <v>4.3130669791905083</v>
      </c>
      <c r="L13" s="84">
        <f>VLOOKUP(B13,Opportunities!B$3:N$30,13,FALSE)</f>
        <v>3.8666759160925035</v>
      </c>
    </row>
    <row r="14" spans="1:12">
      <c r="B14" s="66" t="s">
        <v>185</v>
      </c>
      <c r="C14" s="63">
        <f>VLOOKUP(B14,Opportunities!B$3:E$30,3,FALSE)</f>
        <v>6.85</v>
      </c>
      <c r="D14" s="62" t="str">
        <f>VLOOKUP(B14,Opportunities!B$3:E$30,4,FALSE)</f>
        <v>HKD</v>
      </c>
      <c r="E14" s="59">
        <v>0</v>
      </c>
      <c r="F14" s="64">
        <f>-C14*E14</f>
        <v>0</v>
      </c>
      <c r="G14" s="61">
        <f>-F14/$F$10</f>
        <v>0</v>
      </c>
      <c r="H14" s="61">
        <f>VLOOKUP(B14,Opportunities!B$3:I$30,8,FALSE)</f>
        <v>0</v>
      </c>
      <c r="I14" s="84">
        <f>VLOOKUP(B14,Opportunities!B$3:N$30,12,FALSE)</f>
        <v>5.3400114215908552</v>
      </c>
      <c r="J14" s="84">
        <f>VLOOKUP(B14,Opportunities!B$3:N$30,9,FALSE)</f>
        <v>4.2972710294835261</v>
      </c>
      <c r="K14" s="84">
        <f>VLOOKUP(B14,Opportunities!B$3:N$30,11,FALSE)</f>
        <v>8.2092065235533589</v>
      </c>
      <c r="L14" s="84">
        <f>VLOOKUP(B14,Opportunities!B$3:N$30,13,FALSE)</f>
        <v>7.3483060763134347</v>
      </c>
    </row>
    <row r="15" spans="1:12">
      <c r="B15" s="66" t="s">
        <v>227</v>
      </c>
      <c r="C15" s="63">
        <f>VLOOKUP(B15,Opportunities!B$3:E$30,3,FALSE)</f>
        <v>6.09</v>
      </c>
      <c r="D15" s="62" t="str">
        <f>VLOOKUP(B15,Opportunities!B$3:E$30,4,FALSE)</f>
        <v>HKD</v>
      </c>
      <c r="E15" s="59">
        <v>0</v>
      </c>
      <c r="F15" s="64">
        <f>-C15*E15</f>
        <v>0</v>
      </c>
      <c r="G15" s="61">
        <f>-F15/$F$10</f>
        <v>0</v>
      </c>
      <c r="H15" s="61">
        <f>VLOOKUP(B15,Opportunities!B$3:I$30,8,FALSE)</f>
        <v>0</v>
      </c>
      <c r="I15" s="84">
        <f>VLOOKUP(B15,Opportunities!B$3:N$30,12,FALSE)</f>
        <v>4.4732258849914697</v>
      </c>
      <c r="J15" s="84">
        <f>VLOOKUP(B15,Opportunities!B$3:N$30,9,FALSE)</f>
        <v>3.6036658259915511</v>
      </c>
      <c r="K15" s="84">
        <f>VLOOKUP(B15,Opportunities!B$3:N$30,11,FALSE)</f>
        <v>6.8641356814360206</v>
      </c>
      <c r="L15" s="84">
        <f>VLOOKUP(B15,Opportunities!B$3:N$30,13,FALSE)</f>
        <v>6.1469536878205542</v>
      </c>
    </row>
    <row r="16" spans="1:12">
      <c r="B16" s="66" t="s">
        <v>210</v>
      </c>
      <c r="C16" s="63">
        <f>VLOOKUP(B16,Opportunities!B$3:E$30,3,FALSE)</f>
        <v>18.2</v>
      </c>
      <c r="D16" s="62" t="str">
        <f>VLOOKUP(B16,Opportunities!B$3:E$30,4,FALSE)</f>
        <v>HKD</v>
      </c>
      <c r="E16" s="59">
        <v>0</v>
      </c>
      <c r="F16" s="64">
        <f>-C16*E16</f>
        <v>0</v>
      </c>
      <c r="G16" s="61">
        <f>-F16/$F$10</f>
        <v>0</v>
      </c>
      <c r="H16" s="61">
        <f>VLOOKUP(B16,Opportunities!B$3:I$30,8,FALSE)</f>
        <v>0</v>
      </c>
      <c r="I16" s="84">
        <f>VLOOKUP(B16,Opportunities!B$3:N$30,12,FALSE)</f>
        <v>17.024536405318571</v>
      </c>
      <c r="J16" s="84">
        <f>VLOOKUP(B16,Opportunities!B$3:N$30,9,FALSE)</f>
        <v>13.698988026881199</v>
      </c>
      <c r="K16" s="84">
        <f>VLOOKUP(B16,Opportunities!B$3:N$30,11,FALSE)</f>
        <v>26.175615362984662</v>
      </c>
      <c r="L16" s="84">
        <f>VLOOKUP(B16,Opportunities!B$3:N$30,13,FALSE)</f>
        <v>23.42977619443111</v>
      </c>
    </row>
    <row r="17" spans="1:12">
      <c r="G17" s="75"/>
      <c r="H17" s="75"/>
    </row>
    <row r="18" spans="1:12" ht="13.15">
      <c r="B18" s="71" t="s">
        <v>165</v>
      </c>
      <c r="C18" s="72" t="s">
        <v>159</v>
      </c>
      <c r="D18" s="73" t="s">
        <v>136</v>
      </c>
      <c r="E18" s="72" t="s">
        <v>159</v>
      </c>
      <c r="F18" s="69">
        <f>F3+SUM(F13:F16)</f>
        <v>410061.47</v>
      </c>
      <c r="G18" s="76">
        <f t="shared" ref="G18" si="2">F18/$F$10</f>
        <v>0.43047391001632646</v>
      </c>
      <c r="H18" s="76">
        <f>Portfolio_Mgmt!E66</f>
        <v>0.45</v>
      </c>
      <c r="I18" s="85" t="s">
        <v>236</v>
      </c>
      <c r="J18" s="85" t="s">
        <v>236</v>
      </c>
      <c r="K18" s="85" t="s">
        <v>236</v>
      </c>
      <c r="L18" s="85" t="s">
        <v>236</v>
      </c>
    </row>
    <row r="20" spans="1:12" ht="13.15">
      <c r="A20" s="51"/>
      <c r="B20" s="52" t="s">
        <v>239</v>
      </c>
      <c r="C20" s="58"/>
      <c r="D20" s="55"/>
      <c r="E20" s="59"/>
      <c r="F20" s="59"/>
    </row>
    <row r="21" spans="1:12" ht="13.15">
      <c r="C21" s="87" t="s">
        <v>240</v>
      </c>
      <c r="D21" s="87" t="s">
        <v>243</v>
      </c>
      <c r="E21" s="87" t="s">
        <v>244</v>
      </c>
    </row>
    <row r="22" spans="1:12" ht="14.25">
      <c r="B22" s="86" t="s">
        <v>241</v>
      </c>
      <c r="C22" s="91">
        <v>200000</v>
      </c>
      <c r="D22" s="92">
        <v>7.8629699999999998</v>
      </c>
      <c r="E22" s="89">
        <f>C22/D22</f>
        <v>25435.681428264383</v>
      </c>
    </row>
    <row r="23" spans="1:12" ht="14.25">
      <c r="B23" s="86" t="s">
        <v>242</v>
      </c>
      <c r="C23" s="89">
        <f>E22</f>
        <v>25435.681428264383</v>
      </c>
      <c r="D23" s="92">
        <v>7.8387000000000002</v>
      </c>
      <c r="E23" s="88">
        <f>C23*D23</f>
        <v>199382.67601173601</v>
      </c>
    </row>
    <row r="24" spans="1:12" ht="14.25">
      <c r="C24"/>
      <c r="D24"/>
      <c r="E24"/>
    </row>
    <row r="25" spans="1:12" ht="14.25">
      <c r="C25"/>
      <c r="D25" s="90" t="s">
        <v>245</v>
      </c>
      <c r="E25" s="88">
        <f>C22-E23</f>
        <v>617.32398826399003</v>
      </c>
    </row>
    <row r="30" spans="1:12">
      <c r="B30" s="55"/>
      <c r="C30" s="58"/>
      <c r="D30" s="55"/>
      <c r="E30" s="59"/>
      <c r="F30" s="59"/>
    </row>
    <row r="31" spans="1:12">
      <c r="B31" s="55"/>
      <c r="C31" s="58"/>
      <c r="D31" s="55"/>
      <c r="E31" s="59"/>
      <c r="F31" s="59"/>
    </row>
    <row r="32" spans="1:12">
      <c r="B32" s="55"/>
      <c r="C32" s="58"/>
      <c r="D32" s="55"/>
      <c r="E32" s="59"/>
      <c r="F32" s="59"/>
    </row>
    <row r="33" spans="2:6">
      <c r="B33" s="55"/>
      <c r="C33" s="58"/>
      <c r="D33" s="55"/>
      <c r="E33" s="59"/>
      <c r="F33" s="59"/>
    </row>
    <row r="34" spans="2:6">
      <c r="B34" s="55"/>
      <c r="C34" s="58"/>
      <c r="D34" s="55"/>
      <c r="E34" s="59"/>
      <c r="F34" s="59"/>
    </row>
    <row r="35" spans="2:6">
      <c r="B35" s="55"/>
      <c r="C35" s="56"/>
      <c r="D35" s="55"/>
      <c r="E35" s="57"/>
      <c r="F35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32" t="s">
        <v>88</v>
      </c>
      <c r="C3" s="132"/>
      <c r="D3" s="132"/>
    </row>
    <row r="5" spans="1:4">
      <c r="B5" s="133" t="s">
        <v>90</v>
      </c>
      <c r="C5" s="134"/>
      <c r="D5" s="134"/>
    </row>
    <row r="6" spans="1:4">
      <c r="B6" s="133" t="s">
        <v>91</v>
      </c>
      <c r="C6" s="134"/>
      <c r="D6" s="134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32" t="s">
        <v>93</v>
      </c>
      <c r="C11" s="132"/>
      <c r="D11" s="132"/>
    </row>
    <row r="12" spans="1:4">
      <c r="B12" s="132" t="s">
        <v>94</v>
      </c>
      <c r="C12" s="132"/>
      <c r="D12" s="132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32" t="s">
        <v>106</v>
      </c>
      <c r="C28" s="132"/>
      <c r="D28" s="132"/>
    </row>
    <row r="29" spans="1:4">
      <c r="B29" s="132" t="s">
        <v>107</v>
      </c>
      <c r="C29" s="132"/>
      <c r="D29" s="132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2025-07-09T03:11:14Z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