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3B6CC5A-1B8B-4E6A-8CE0-1DF7ABBAE1EC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<sst xmlns="http://schemas.openxmlformats.org/spreadsheetml/2006/main" count="491" uniqueCount="391">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</sst>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7" sqref="I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10.24</v>
      </c>
      <c r="E3" s="12" t="s">
        <v>133</v>
      </c>
      <c r="F3" s="15">
        <v>0.27578917146221404</v>
      </c>
      <c r="G3" s="15">
        <f>F3 - Portfolio_Mgmt!$C$10</f>
        <v>0.15838917146221404</v>
      </c>
      <c r="H3" s="15">
        <f>F3 - Portfolio_Mgmt!$C$11</f>
        <v>0.24128917146221404</v>
      </c>
      <c r="I3" s="15">
        <v>0.13914595226368215</v>
      </c>
      <c r="J3" s="2">
        <v>9.8179117646325125</v>
      </c>
      <c r="K3" s="2">
        <v>18.871516475625789</v>
      </c>
      <c r="L3" s="71">
        <v>16.898206602204244</v>
      </c>
      <c r="M3" s="2">
        <v>12.189879995459769</v>
      </c>
      <c r="N3" s="2">
        <v>15.004834818316843</v>
      </c>
      <c r="O3" s="4">
        <v>9.9693826795341958E-2</v>
      </c>
      <c r="P3" s="4">
        <v>5.984520949423313E-2</v>
      </c>
      <c r="Q3" s="4">
        <v>0.10095804485482354</v>
      </c>
      <c r="R3" s="4">
        <v>0.12639813533148192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1.7708220445096323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3.86</v>
      </c>
      <c r="E4" s="12" t="s">
        <v>133</v>
      </c>
      <c r="F4" s="15">
        <v>0.24862389926671352</v>
      </c>
      <c r="G4" s="15">
        <f>F4 - Portfolio_Mgmt!$C$10</f>
        <v>0.13122389926671352</v>
      </c>
      <c r="H4" s="15">
        <f>F4 - Portfolio_Mgmt!$C$11</f>
        <v>0.21412389926671352</v>
      </c>
      <c r="I4" s="15">
        <v>0.12051300466752067</v>
      </c>
      <c r="J4" s="2">
        <v>3.4809340162159597</v>
      </c>
      <c r="K4" s="2">
        <v>6.5934927140941948</v>
      </c>
      <c r="L4" s="71">
        <v>5.976375959578335</v>
      </c>
      <c r="M4" s="2">
        <v>4.3172638015798857</v>
      </c>
      <c r="N4" s="2">
        <v>5.3093218649463578</v>
      </c>
      <c r="O4" s="4">
        <v>0.1155749442661194</v>
      </c>
      <c r="P4" s="4">
        <v>6.2642487046632125E-2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1.2895741056589058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361</v>
      </c>
      <c r="C5" s="11" t="s">
        <v>362</v>
      </c>
      <c r="D5" s="2">
        <v>6.42</v>
      </c>
      <c r="E5" s="12" t="s">
        <v>133</v>
      </c>
      <c r="F5" s="15">
        <v>0.2141750898751657</v>
      </c>
      <c r="G5" s="15">
        <f>F5 - Portfolio_Mgmt!$C$10</f>
        <v>9.6775089875165698E-2</v>
      </c>
      <c r="H5" s="15">
        <f>F5 - Portfolio_Mgmt!$C$11</f>
        <v>0.1796750898751657</v>
      </c>
      <c r="I5" s="15">
        <v>0.1797293042641494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7.1504693208415224E-2</v>
      </c>
      <c r="P5" s="4">
        <v>2.2118380062305293E-2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168</v>
      </c>
      <c r="Y5" s="11" t="s">
        <v>363</v>
      </c>
      <c r="Z5" s="14">
        <v>46081</v>
      </c>
      <c r="AA5" s="16" t="s">
        <v>180</v>
      </c>
    </row>
    <row r="6" spans="1:27">
      <c r="B6" s="11" t="s">
        <v>379</v>
      </c>
      <c r="C6" s="11" t="s">
        <v>380</v>
      </c>
      <c r="D6" s="2">
        <v>109.6</v>
      </c>
      <c r="E6" s="12" t="s">
        <v>133</v>
      </c>
      <c r="F6" s="15">
        <v>0.19916464749874935</v>
      </c>
      <c r="G6" s="15">
        <f>F6 - Portfolio_Mgmt!$C$10</f>
        <v>8.1764647498749343E-2</v>
      </c>
      <c r="H6" s="15">
        <f>F6 - Portfolio_Mgmt!$C$11</f>
        <v>0.16466464749874934</v>
      </c>
      <c r="I6" s="15">
        <v>0.14621409715809369</v>
      </c>
      <c r="J6" s="2">
        <v>87.633436125920596</v>
      </c>
      <c r="K6" s="2">
        <v>176.2271258934897</v>
      </c>
      <c r="L6" s="71">
        <v>152.01963803296314</v>
      </c>
      <c r="M6" s="2">
        <v>109.17689552624429</v>
      </c>
      <c r="N6" s="2">
        <v>134.78086098733144</v>
      </c>
      <c r="O6" s="4">
        <v>-1.0477294187879734E-2</v>
      </c>
      <c r="P6" s="4">
        <v>3.2025547445255473E-2</v>
      </c>
      <c r="Q6" s="4">
        <v>0.15</v>
      </c>
      <c r="R6" s="4">
        <v>3.3662787366748527E-2</v>
      </c>
      <c r="S6" s="79">
        <v>1.883030950761003</v>
      </c>
      <c r="T6" s="78">
        <v>2.3663758624563029</v>
      </c>
      <c r="U6" s="15">
        <v>0.36286306559603515</v>
      </c>
      <c r="V6" s="76">
        <v>22.317734925377231</v>
      </c>
      <c r="W6" s="71">
        <v>-67.075735297392598</v>
      </c>
      <c r="X6" s="13" t="s">
        <v>168</v>
      </c>
      <c r="Y6" s="11" t="s">
        <v>363</v>
      </c>
      <c r="Z6" s="14">
        <v>46265</v>
      </c>
      <c r="AA6" s="16" t="s">
        <v>180</v>
      </c>
    </row>
    <row r="7" spans="1:27">
      <c r="B7" s="11" t="s">
        <v>381</v>
      </c>
      <c r="C7" s="11" t="s">
        <v>382</v>
      </c>
      <c r="D7" s="2">
        <v>79.95</v>
      </c>
      <c r="E7" s="12" t="s">
        <v>133</v>
      </c>
      <c r="F7" s="15">
        <v>0.19891673811808264</v>
      </c>
      <c r="G7" s="15">
        <f>F7 - Portfolio_Mgmt!$C$10</f>
        <v>8.1516738118082632E-2</v>
      </c>
      <c r="H7" s="15">
        <f>F7 - Portfolio_Mgmt!$C$11</f>
        <v>0.16441673811808263</v>
      </c>
      <c r="I7" s="15">
        <v>0.14561719930158237</v>
      </c>
      <c r="J7" s="2">
        <v>64.199058449083594</v>
      </c>
      <c r="K7" s="2">
        <v>121.12182318226319</v>
      </c>
      <c r="L7" s="71">
        <v>110.14897944746811</v>
      </c>
      <c r="M7" s="2">
        <v>79.600506014432852</v>
      </c>
      <c r="N7" s="2">
        <v>97.867460506713343</v>
      </c>
      <c r="O7" s="4">
        <v>6.8064994251226946E-2</v>
      </c>
      <c r="P7" s="4">
        <v>5.7298311444652909E-2</v>
      </c>
      <c r="Q7" s="4">
        <v>9.6671315574961933E-2</v>
      </c>
      <c r="R7" s="4">
        <v>0.13321568275625476</v>
      </c>
      <c r="S7" s="79">
        <v>0.48913824057450628</v>
      </c>
      <c r="T7" s="78">
        <v>1.4835789300471205</v>
      </c>
      <c r="U7" s="15">
        <v>6.4100114768294941E-2</v>
      </c>
      <c r="V7" s="76">
        <v>0.67756727799881356</v>
      </c>
      <c r="W7" s="71">
        <v>1.4626285724482797</v>
      </c>
      <c r="X7" s="13" t="s">
        <v>376</v>
      </c>
      <c r="Y7" s="11" t="s">
        <v>363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4.42</v>
      </c>
      <c r="E8" s="12" t="s">
        <v>133</v>
      </c>
      <c r="F8" s="15">
        <v>0.19757953331620517</v>
      </c>
      <c r="G8" s="15">
        <f>F8 - Portfolio_Mgmt!$C$10</f>
        <v>8.017953331620517E-2</v>
      </c>
      <c r="H8" s="15">
        <f>F8 - Portfolio_Mgmt!$C$11</f>
        <v>0.16307953331620517</v>
      </c>
      <c r="I8" s="15">
        <v>0.14237123017463013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9.1385334536708968E-2</v>
      </c>
      <c r="P8" s="4">
        <v>6.7873303167420823E-2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360</v>
      </c>
      <c r="Z8" s="14">
        <v>46173</v>
      </c>
      <c r="AA8" s="16" t="s">
        <v>180</v>
      </c>
    </row>
    <row r="9" spans="1:27">
      <c r="B9" s="11" t="s">
        <v>383</v>
      </c>
      <c r="C9" s="11" t="s">
        <v>384</v>
      </c>
      <c r="D9" s="2">
        <v>76.849999999999994</v>
      </c>
      <c r="E9" s="12" t="s">
        <v>133</v>
      </c>
      <c r="F9" s="15">
        <v>0.19611470151787844</v>
      </c>
      <c r="G9" s="15">
        <f>F9 - Portfolio_Mgmt!$C$10</f>
        <v>7.8714701517878433E-2</v>
      </c>
      <c r="H9" s="15">
        <f>F9 - Portfolio_Mgmt!$C$11</f>
        <v>0.16161470151787843</v>
      </c>
      <c r="I9" s="15">
        <v>0.13876364257269133</v>
      </c>
      <c r="J9" s="2">
        <v>61.615434534050976</v>
      </c>
      <c r="K9" s="2">
        <v>108.3735181194445</v>
      </c>
      <c r="L9" s="71">
        <v>104.51378580249782</v>
      </c>
      <c r="M9" s="2">
        <v>76.021125600449537</v>
      </c>
      <c r="N9" s="2">
        <v>93.069288341928086</v>
      </c>
      <c r="O9" s="4">
        <v>0.11801472450402546</v>
      </c>
      <c r="P9" s="4">
        <v>8.3013662979830843E-2</v>
      </c>
      <c r="Q9" s="4">
        <v>0.08</v>
      </c>
      <c r="R9" s="4">
        <v>0.16758448420991445</v>
      </c>
      <c r="S9" s="79">
        <v>0.26833431587768736</v>
      </c>
      <c r="T9" s="78">
        <v>1.7790164507082717</v>
      </c>
      <c r="U9" s="15">
        <v>0.29042568125650897</v>
      </c>
      <c r="V9" s="76">
        <v>2.3236948196964886</v>
      </c>
      <c r="W9" s="71">
        <v>-19.250284344394053</v>
      </c>
      <c r="X9" s="13" t="s">
        <v>168</v>
      </c>
      <c r="Y9" s="11" t="s">
        <v>360</v>
      </c>
      <c r="Z9" s="14">
        <v>46081</v>
      </c>
      <c r="AA9" s="16" t="s">
        <v>180</v>
      </c>
    </row>
    <row r="10" spans="1:27">
      <c r="B10" s="11" t="s">
        <v>182</v>
      </c>
      <c r="C10" s="11" t="s">
        <v>370</v>
      </c>
      <c r="D10" s="2">
        <v>3.26</v>
      </c>
      <c r="E10" s="12" t="s">
        <v>133</v>
      </c>
      <c r="F10" s="15">
        <v>0.18351961306072165</v>
      </c>
      <c r="G10" s="15">
        <f>F10 - Portfolio_Mgmt!$C$10</f>
        <v>6.6119613060721644E-2</v>
      </c>
      <c r="H10" s="15">
        <f>F10 - Portfolio_Mgmt!$C$11</f>
        <v>0.14901961306072165</v>
      </c>
      <c r="I10" s="15">
        <v>0.10532111216376838</v>
      </c>
      <c r="J10" s="2">
        <v>2.5385815935033342</v>
      </c>
      <c r="K10" s="2">
        <v>4.4366120194593153</v>
      </c>
      <c r="L10" s="71">
        <v>4.3016714192105461</v>
      </c>
      <c r="M10" s="2">
        <v>3.1307450481218235</v>
      </c>
      <c r="N10" s="2">
        <v>3.8313906187252909</v>
      </c>
      <c r="O10" s="4">
        <v>7.4486143585745318E-2</v>
      </c>
      <c r="P10" s="4">
        <v>8.282208588957056E-2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371</v>
      </c>
      <c r="Y10" s="11" t="s">
        <v>360</v>
      </c>
      <c r="Z10" s="14">
        <v>46081</v>
      </c>
      <c r="AA10" s="16" t="s">
        <v>180</v>
      </c>
    </row>
    <row r="11" spans="1:27">
      <c r="B11" s="11" t="s">
        <v>385</v>
      </c>
      <c r="C11" s="11" t="s">
        <v>386</v>
      </c>
      <c r="D11" s="2">
        <v>39.08</v>
      </c>
      <c r="E11" s="12" t="s">
        <v>133</v>
      </c>
      <c r="F11" s="15">
        <v>0.17728647760600449</v>
      </c>
      <c r="G11" s="15">
        <f>F11 - Portfolio_Mgmt!$C$10</f>
        <v>5.988647760600449E-2</v>
      </c>
      <c r="H11" s="15">
        <f>F11 - Portfolio_Mgmt!$C$11</f>
        <v>0.14278647760600449</v>
      </c>
      <c r="I11" s="15">
        <v>8.69806949726009E-2</v>
      </c>
      <c r="J11" s="2">
        <v>29.654922420493129</v>
      </c>
      <c r="K11" s="2">
        <v>58.665813884830634</v>
      </c>
      <c r="L11" s="71">
        <v>51.295076841433527</v>
      </c>
      <c r="M11" s="2">
        <v>36.898907751306695</v>
      </c>
      <c r="N11" s="2">
        <v>45.503701797549674</v>
      </c>
      <c r="O11" s="4">
        <v>7.2414785776831567E-2</v>
      </c>
      <c r="P11" s="4">
        <v>3.6637717502558856E-2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-6.1033843323322685</v>
      </c>
      <c r="X11" s="13" t="s">
        <v>168</v>
      </c>
      <c r="Y11" s="11" t="s">
        <v>363</v>
      </c>
      <c r="Z11" s="14">
        <v>46081</v>
      </c>
      <c r="AA11" s="16" t="s">
        <v>180</v>
      </c>
    </row>
    <row r="12" spans="1:27">
      <c r="B12" s="11" t="s">
        <v>156</v>
      </c>
      <c r="C12" s="11" t="s">
        <v>372</v>
      </c>
      <c r="D12" s="2">
        <v>19.239999999999998</v>
      </c>
      <c r="E12" s="12" t="s">
        <v>133</v>
      </c>
      <c r="F12" s="15">
        <v>0.15894701081954382</v>
      </c>
      <c r="G12" s="15">
        <f>F12 - Portfolio_Mgmt!$C$10</f>
        <v>4.1547010819543817E-2</v>
      </c>
      <c r="H12" s="15">
        <f>F12 - Portfolio_Mgmt!$C$11</f>
        <v>0.12444701081954382</v>
      </c>
      <c r="I12" s="15">
        <v>2.4534363988249156E-2</v>
      </c>
      <c r="J12" s="2">
        <v>13.913107460311938</v>
      </c>
      <c r="K12" s="2">
        <v>28.145246517693014</v>
      </c>
      <c r="L12" s="71">
        <v>24.160808535554985</v>
      </c>
      <c r="M12" s="2">
        <v>17.34140437982434</v>
      </c>
      <c r="N12" s="2">
        <v>21.416645647646398</v>
      </c>
      <c r="O12" s="4">
        <v>5.9029944191022192E-2</v>
      </c>
      <c r="P12" s="4">
        <v>2.6783461698030038E-2</v>
      </c>
      <c r="Q12" s="4">
        <v>0.2</v>
      </c>
      <c r="R12" s="4">
        <v>0.13430424833028851</v>
      </c>
      <c r="S12" s="79">
        <v>1.1000000000000001</v>
      </c>
      <c r="T12" s="78">
        <v>1.3537783359692717</v>
      </c>
      <c r="U12" s="15">
        <v>6.5417684980282262E-2</v>
      </c>
      <c r="V12" s="76">
        <v>0.50358953318926281</v>
      </c>
      <c r="W12" s="71">
        <v>5.660641589953558</v>
      </c>
      <c r="X12" s="13" t="s">
        <v>373</v>
      </c>
      <c r="Y12" s="11" t="s">
        <v>363</v>
      </c>
      <c r="Z12" s="14">
        <v>46081</v>
      </c>
      <c r="AA12" s="16" t="s">
        <v>180</v>
      </c>
    </row>
    <row r="13" spans="1:27">
      <c r="B13" s="11" t="s">
        <v>377</v>
      </c>
      <c r="C13" s="11" t="s">
        <v>378</v>
      </c>
      <c r="D13" s="2">
        <v>4.7</v>
      </c>
      <c r="E13" s="12" t="s">
        <v>133</v>
      </c>
      <c r="F13" s="15">
        <v>0.15178809681138061</v>
      </c>
      <c r="G13" s="15">
        <f>F13 - Portfolio_Mgmt!$C$10</f>
        <v>3.4388096811380608E-2</v>
      </c>
      <c r="H13" s="15">
        <f>F13 - Portfolio_Mgmt!$C$11</f>
        <v>0.11728809681138061</v>
      </c>
      <c r="I13" s="15">
        <v>0</v>
      </c>
      <c r="J13" s="2">
        <v>3.3455729956390798</v>
      </c>
      <c r="K13" s="2">
        <v>6.6277455556474951</v>
      </c>
      <c r="L13" s="2">
        <v>5.7883592149489207</v>
      </c>
      <c r="M13" s="2">
        <v>4.1632581103676909</v>
      </c>
      <c r="N13" s="2">
        <v>5.1345919269174427</v>
      </c>
      <c r="O13" s="4">
        <v>6.6001700289829934E-2</v>
      </c>
      <c r="P13" s="4">
        <v>3.3872340425531916E-2</v>
      </c>
      <c r="Q13" s="4">
        <v>0.27382509866113364</v>
      </c>
      <c r="R13" s="4">
        <v>0.20764453215246689</v>
      </c>
      <c r="S13" s="79">
        <v>0.86056930273853416</v>
      </c>
      <c r="T13" s="78">
        <v>1.532381509863507</v>
      </c>
      <c r="U13" s="15">
        <v>0.27351475277205878</v>
      </c>
      <c r="V13" s="76">
        <v>0.94608729427783522</v>
      </c>
      <c r="W13" s="71">
        <v>0.59749676752244707</v>
      </c>
      <c r="X13" s="13" t="s">
        <v>168</v>
      </c>
      <c r="Y13" s="11" t="s">
        <v>363</v>
      </c>
      <c r="Z13" s="14">
        <v>46173</v>
      </c>
      <c r="AA13" s="16" t="s">
        <v>366</v>
      </c>
    </row>
    <row r="14" spans="1:27">
      <c r="B14" s="11" t="s">
        <v>329</v>
      </c>
      <c r="C14" s="11" t="s">
        <v>368</v>
      </c>
      <c r="D14" s="2">
        <v>8.48</v>
      </c>
      <c r="E14" s="12" t="s">
        <v>133</v>
      </c>
      <c r="F14" s="15">
        <v>0.14348321026675903</v>
      </c>
      <c r="G14" s="15">
        <f>F14 - Portfolio_Mgmt!$C$10</f>
        <v>2.6083210266759027E-2</v>
      </c>
      <c r="H14" s="15">
        <f>F14 - Portfolio_Mgmt!$C$11</f>
        <v>0.10898321026675903</v>
      </c>
      <c r="I14" s="15">
        <v>0</v>
      </c>
      <c r="J14" s="2">
        <v>5.9201135541413894</v>
      </c>
      <c r="K14" s="2">
        <v>11.565892114927928</v>
      </c>
      <c r="L14" s="2">
        <v>10.217952879128763</v>
      </c>
      <c r="M14" s="2">
        <v>7.359295517229226</v>
      </c>
      <c r="N14" s="2">
        <v>9.0681462910750366</v>
      </c>
      <c r="O14" s="4">
        <v>8.4186602469182206E-2</v>
      </c>
      <c r="P14" s="4">
        <v>3.8035959060686936E-2</v>
      </c>
      <c r="Q14" s="4">
        <v>0.17172006725508737</v>
      </c>
      <c r="R14" s="4">
        <v>8.3606188235975626E-2</v>
      </c>
      <c r="S14" s="79">
        <v>1.3282158707615834</v>
      </c>
      <c r="T14" s="78">
        <v>1.5463719418456539</v>
      </c>
      <c r="U14" s="15">
        <v>0.22428295339746124</v>
      </c>
      <c r="V14" s="76">
        <v>1.2715557492373779</v>
      </c>
      <c r="W14" s="71">
        <v>-2.9948653620927872</v>
      </c>
      <c r="X14" s="13" t="s">
        <v>369</v>
      </c>
      <c r="Y14" s="11" t="s">
        <v>363</v>
      </c>
      <c r="Z14" s="14">
        <v>46081</v>
      </c>
      <c r="AA14" s="16" t="s">
        <v>366</v>
      </c>
    </row>
    <row r="15" spans="1:27">
      <c r="B15" s="11" t="s">
        <v>387</v>
      </c>
      <c r="C15" s="11" t="s">
        <v>388</v>
      </c>
      <c r="D15" s="2">
        <v>75.95</v>
      </c>
      <c r="E15" s="12" t="s">
        <v>133</v>
      </c>
      <c r="F15" s="15">
        <v>8.0578936519141428E-2</v>
      </c>
      <c r="G15" s="15">
        <f>F15 - Portfolio_Mgmt!$C$10</f>
        <v>-3.6821063480858576E-2</v>
      </c>
      <c r="H15" s="15">
        <f>F15 - Portfolio_Mgmt!$C$11</f>
        <v>4.6078936519141425E-2</v>
      </c>
      <c r="I15" s="15">
        <v>0</v>
      </c>
      <c r="J15" s="2">
        <v>44.160861528155777</v>
      </c>
      <c r="K15" s="2">
        <v>95.829069516098016</v>
      </c>
      <c r="L15" s="2">
        <v>77.679311690698114</v>
      </c>
      <c r="M15" s="2">
        <v>55.352531128432091</v>
      </c>
      <c r="N15" s="2">
        <v>68.686481528601249</v>
      </c>
      <c r="O15" s="4">
        <v>1.6379264363197085E-2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3.616818857080228</v>
      </c>
      <c r="X15" s="13" t="s">
        <v>389</v>
      </c>
      <c r="Y15" s="11" t="s">
        <v>363</v>
      </c>
      <c r="Z15" s="14">
        <v>46081</v>
      </c>
      <c r="AA15" s="16" t="s">
        <v>366</v>
      </c>
    </row>
    <row r="16" spans="1:27">
      <c r="B16" s="11" t="s">
        <v>169</v>
      </c>
      <c r="C16" s="11" t="s">
        <v>374</v>
      </c>
      <c r="D16" s="2">
        <v>29.76</v>
      </c>
      <c r="E16" s="12" t="s">
        <v>133</v>
      </c>
      <c r="F16" s="15">
        <v>-2.6017774628754901E-4</v>
      </c>
      <c r="G16" s="15">
        <f>F16 - Portfolio_Mgmt!$C$10</f>
        <v>-0.11766017774628755</v>
      </c>
      <c r="H16" s="15">
        <f>F16 - Portfolio_Mgmt!$C$11</f>
        <v>-3.4760177746287549E-2</v>
      </c>
      <c r="I16" s="15">
        <v>0</v>
      </c>
      <c r="J16" s="2">
        <v>14.267714718826676</v>
      </c>
      <c r="K16" s="2">
        <v>25.957760760453592</v>
      </c>
      <c r="L16" s="2">
        <v>24.333026237338366</v>
      </c>
      <c r="M16" s="2">
        <v>17.644697398369786</v>
      </c>
      <c r="N16" s="2">
        <v>21.645374743129636</v>
      </c>
      <c r="O16" s="4">
        <v>8.1753563981851879E-2</v>
      </c>
      <c r="P16" s="4">
        <v>4.2338709677419352E-2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0.46681754059896308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4.2699999999999995E-2</v>
      </c>
      <c r="D4" s="34">
        <v>6.7500000000000004E-2</v>
      </c>
      <c r="E4" s="35">
        <f>D4-C4</f>
        <v>2.480000000000001E-2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0.45526560308752934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19.239999999999998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2.4534363988249156E-2</v>
      </c>
      <c r="J4" s="81">
        <f>VLOOKUP(B4,Opportunities!B$3:N$30,12,FALSE)</f>
        <v>17.34140437982434</v>
      </c>
      <c r="K4" s="81">
        <f>VLOOKUP(B4,Opportunities!B$3:N$30,9,FALSE)</f>
        <v>13.913107460311938</v>
      </c>
      <c r="L4" s="81">
        <f>VLOOKUP(B4,Opportunities!B$3:N$30,11,FALSE)</f>
        <v>24.160808535554985</v>
      </c>
      <c r="M4" s="81">
        <f>VLOOKUP(B4,Opportunities!B$3:N$30,13,FALSE)</f>
        <v>21.416645647646398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109.6</v>
      </c>
      <c r="E5" s="59" t="str">
        <f>VLOOKUP(B5,Opportunities!B$3:E$30,4,FALSE)</f>
        <v>HKD</v>
      </c>
      <c r="F5" s="57">
        <v>2500</v>
      </c>
      <c r="G5" s="61">
        <f t="shared" si="1"/>
        <v>274000</v>
      </c>
      <c r="H5" s="58">
        <f t="shared" si="0"/>
        <v>0.20581525752070734</v>
      </c>
      <c r="I5" s="58">
        <f>VLOOKUP(B5,Opportunities!B$3:I$30,8,FALSE)</f>
        <v>0.14621409715809369</v>
      </c>
      <c r="J5" s="81">
        <f>VLOOKUP(B5,Opportunities!B$3:N$30,12,FALSE)</f>
        <v>109.17689552624429</v>
      </c>
      <c r="K5" s="81">
        <f>VLOOKUP(B5,Opportunities!B$3:N$30,9,FALSE)</f>
        <v>87.633436125920596</v>
      </c>
      <c r="L5" s="81">
        <f>VLOOKUP(B5,Opportunities!B$3:N$30,11,FALSE)</f>
        <v>152.01963803296314</v>
      </c>
      <c r="M5" s="81">
        <f>VLOOKUP(B5,Opportunities!B$3:N$30,13,FALSE)</f>
        <v>134.78086098733144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3.26</v>
      </c>
      <c r="E6" s="59" t="str">
        <f>VLOOKUP(B6,Opportunities!B$3:E$30,4,FALSE)</f>
        <v>HKD</v>
      </c>
      <c r="F6" s="57">
        <v>40000</v>
      </c>
      <c r="G6" s="61">
        <f t="shared" si="1"/>
        <v>130399.99999999999</v>
      </c>
      <c r="H6" s="58">
        <f t="shared" si="0"/>
        <v>9.7950034966059252E-2</v>
      </c>
      <c r="I6" s="58">
        <f>VLOOKUP(B6,Opportunities!B$3:I$30,8,FALSE)</f>
        <v>0.10532111216376838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8.48</v>
      </c>
      <c r="E7" s="59" t="str">
        <f>VLOOKUP(B7,Opportunities!B$3:E$30,4,FALSE)</f>
        <v>HKD</v>
      </c>
      <c r="F7" s="57">
        <v>8000</v>
      </c>
      <c r="G7" s="61">
        <f t="shared" si="1"/>
        <v>67840</v>
      </c>
      <c r="H7" s="58">
        <f t="shared" si="0"/>
        <v>5.0958055000747397E-2</v>
      </c>
      <c r="I7" s="58">
        <f>VLOOKUP(B7,Opportunities!B$3:I$30,8,FALSE)</f>
        <v>0</v>
      </c>
      <c r="J7" s="81">
        <f>VLOOKUP(B7,Opportunities!B$3:N$30,12,FALSE)</f>
        <v>7.359295517229226</v>
      </c>
      <c r="K7" s="81">
        <f>VLOOKUP(B7,Opportunities!B$3:N$30,9,FALSE)</f>
        <v>5.9201135541413894</v>
      </c>
      <c r="L7" s="81">
        <f>VLOOKUP(B7,Opportunities!B$3:N$30,11,FALSE)</f>
        <v>10.217952879128763</v>
      </c>
      <c r="M7" s="81">
        <f>VLOOKUP(B7,Opportunities!B$3:N$30,13,FALSE)</f>
        <v>9.0681462910750366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10.24</v>
      </c>
      <c r="E8" s="59" t="str">
        <f>VLOOKUP(B8,Opportunities!B$3:E$30,4,FALSE)</f>
        <v>HKD</v>
      </c>
      <c r="F8" s="57">
        <v>15000</v>
      </c>
      <c r="G8" s="61">
        <f t="shared" si="1"/>
        <v>153600</v>
      </c>
      <c r="H8" s="58">
        <f t="shared" si="0"/>
        <v>0.11537672830357901</v>
      </c>
      <c r="I8" s="58">
        <f>VLOOKUP(B8,Opportunities!B$3:I$30,8,FALSE)</f>
        <v>0.13914595226368215</v>
      </c>
      <c r="J8" s="81">
        <f>VLOOKUP(B8,Opportunities!B$3:N$30,12,FALSE)</f>
        <v>12.189879995459769</v>
      </c>
      <c r="K8" s="81">
        <f>VLOOKUP(B8,Opportunities!B$3:N$30,9,FALSE)</f>
        <v>9.8179117646325125</v>
      </c>
      <c r="L8" s="81">
        <f>VLOOKUP(B8,Opportunities!B$3:N$30,11,FALSE)</f>
        <v>16.898206602204244</v>
      </c>
      <c r="M8" s="81">
        <f>VLOOKUP(B8,Opportunities!B$3:N$30,13,FALSE)</f>
        <v>15.004834818316843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4.42</v>
      </c>
      <c r="E9" s="59" t="str">
        <f>VLOOKUP(B9,Opportunities!B$3:E$30,4,FALSE)</f>
        <v>HKD</v>
      </c>
      <c r="F9" s="57">
        <v>12000</v>
      </c>
      <c r="G9" s="61">
        <f t="shared" si="1"/>
        <v>53040</v>
      </c>
      <c r="H9" s="58">
        <f t="shared" si="0"/>
        <v>3.9841026492329623E-2</v>
      </c>
      <c r="I9" s="58">
        <f>VLOOKUP(B9,Opportunities!B$3:I$30,8,FALSE)</f>
        <v>0.14237123017463013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3.86</v>
      </c>
      <c r="E10" s="59" t="str">
        <f>VLOOKUP(B10,Opportunities!B$3:E$30,4,FALSE)</f>
        <v>HKD</v>
      </c>
      <c r="F10" s="57">
        <v>12000</v>
      </c>
      <c r="G10" s="61">
        <f t="shared" si="1"/>
        <v>46320</v>
      </c>
      <c r="H10" s="58">
        <f t="shared" ref="H10" si="2">G10/$G$12</f>
        <v>3.4793294629048045E-2</v>
      </c>
      <c r="I10" s="58">
        <f>VLOOKUP(B10,Opportunities!B$3:I$30,8,FALSE)</f>
        <v>0.12051300466752067</v>
      </c>
      <c r="J10" s="81">
        <f>VLOOKUP(B10,Opportunities!B$3:N$30,12,FALSE)</f>
        <v>4.3172638015798857</v>
      </c>
      <c r="K10" s="81">
        <f>VLOOKUP(B10,Opportunities!B$3:N$30,9,FALSE)</f>
        <v>3.4809340162159597</v>
      </c>
      <c r="L10" s="81">
        <f>VLOOKUP(B10,Opportunities!B$3:N$30,11,FALSE)</f>
        <v>5.976375959578335</v>
      </c>
      <c r="M10" s="81">
        <f>VLOOKUP(B10,Opportunities!B$3:N$30,13,FALSE)</f>
        <v>5.3093218649463578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1331291</v>
      </c>
      <c r="H12" s="67">
        <f>SUM(H3:H10)</f>
        <v>0.99999999999999989</v>
      </c>
      <c r="I12" s="73">
        <f>SUM(I3:I10)</f>
        <v>1.1280997604159442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109.6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0.14621409715809369</v>
      </c>
      <c r="J15" s="81">
        <f>VLOOKUP(B15,Opportunities!B$3:N$30,12,FALSE)</f>
        <v>109.17689552624429</v>
      </c>
      <c r="K15" s="81">
        <f>VLOOKUP(B15,Opportunities!B$3:N$30,9,FALSE)</f>
        <v>87.633436125920596</v>
      </c>
      <c r="L15" s="81">
        <f>VLOOKUP(B15,Opportunities!B$3:N$30,11,FALSE)</f>
        <v>152.01963803296314</v>
      </c>
      <c r="M15" s="81">
        <f>VLOOKUP(B15,Opportunities!B$3:N$30,13,FALSE)</f>
        <v>134.78086098733144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29.76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17.644697398369786</v>
      </c>
      <c r="K16" s="81">
        <f>VLOOKUP(B16,Opportunities!B$3:N$30,9,FALSE)</f>
        <v>14.267714718826676</v>
      </c>
      <c r="L16" s="81">
        <f>VLOOKUP(B16,Opportunities!B$3:N$30,11,FALSE)</f>
        <v>24.333026237338366</v>
      </c>
      <c r="M16" s="81">
        <f>VLOOKUP(B16,Opportunities!B$3:N$30,13,FALSE)</f>
        <v>21.645374743129636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3.26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0.10532111216376838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3.86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0.12051300466752067</v>
      </c>
      <c r="J18" s="81">
        <f>VLOOKUP(B18,Opportunities!B$3:N$30,12,FALSE)</f>
        <v>4.3172638015798857</v>
      </c>
      <c r="K18" s="81">
        <f>VLOOKUP(B18,Opportunities!B$3:N$30,9,FALSE)</f>
        <v>3.4809340162159597</v>
      </c>
      <c r="L18" s="81">
        <f>VLOOKUP(B18,Opportunities!B$3:N$30,11,FALSE)</f>
        <v>5.976375959578335</v>
      </c>
      <c r="M18" s="81">
        <f>VLOOKUP(B18,Opportunities!B$3:N$30,13,FALSE)</f>
        <v>5.3093218649463578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10.24</v>
      </c>
      <c r="E19" s="59" t="str">
        <f>VLOOKUP(B19,Opportunities!B$3:E$30,4,FALSE)</f>
        <v>HKD</v>
      </c>
      <c r="F19" s="57">
        <v>5000</v>
      </c>
      <c r="G19" s="61">
        <f t="shared" si="3"/>
        <v>-51200</v>
      </c>
      <c r="H19" s="58">
        <f t="shared" si="4"/>
        <v>3.8458909434526338E-2</v>
      </c>
      <c r="I19" s="58">
        <f>VLOOKUP(B19,Opportunities!B$3:I$30,8,FALSE)</f>
        <v>0.13914595226368215</v>
      </c>
      <c r="J19" s="81">
        <f>VLOOKUP(B19,Opportunities!B$3:N$30,12,FALSE)</f>
        <v>12.189879995459769</v>
      </c>
      <c r="K19" s="81">
        <f>VLOOKUP(B19,Opportunities!B$3:N$30,9,FALSE)</f>
        <v>9.8179117646325125</v>
      </c>
      <c r="L19" s="81">
        <f>VLOOKUP(B19,Opportunities!B$3:N$30,11,FALSE)</f>
        <v>16.898206602204244</v>
      </c>
      <c r="M19" s="81">
        <f>VLOOKUP(B19,Opportunities!B$3:N$30,13,FALSE)</f>
        <v>15.004834818316843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8.48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7.359295517229226</v>
      </c>
      <c r="K20" s="81">
        <f>VLOOKUP(B20,Opportunities!B$3:N$30,9,FALSE)</f>
        <v>5.9201135541413894</v>
      </c>
      <c r="L20" s="81">
        <f>VLOOKUP(B20,Opportunities!B$3:N$30,11,FALSE)</f>
        <v>10.217952879128763</v>
      </c>
      <c r="M20" s="81">
        <f>VLOOKUP(B20,Opportunities!B$3:N$30,13,FALSE)</f>
        <v>9.0681462910750366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554891</v>
      </c>
      <c r="H23" s="73">
        <f t="shared" ref="H23" si="5">G23/$G$12</f>
        <v>0.41680669365300299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2026-03-15T03:02:38Z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