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AD768C4-130B-47FD-A6BF-BA507BFC9E28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16" i="7" l="1"/>
  <c r="H16" i="7" s="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H3" i="1"/>
  <c r="H4" i="1"/>
  <c r="H5" i="1"/>
  <c r="H6" i="1"/>
  <c r="H7" i="1"/>
  <c r="H8" i="1"/>
  <c r="H9" i="1"/>
  <c r="G3" i="1"/>
  <c r="G4" i="1"/>
  <c r="G5" i="1"/>
  <c r="G6" i="1"/>
  <c r="G7" i="1"/>
  <c r="G8" i="1"/>
  <c r="G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G18" i="7" l="1"/>
  <c r="E65" i="10"/>
  <c r="E66" i="10" s="1"/>
  <c r="C34" i="10"/>
  <c r="E35" i="10"/>
  <c r="E33" i="10"/>
  <c r="E34" i="10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5" l="1"/>
  <c r="E33" i="5"/>
  <c r="G6" i="7"/>
  <c r="G12" i="7"/>
  <c r="G4" i="7"/>
  <c r="G9" i="7" l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<sst xmlns="http://schemas.openxmlformats.org/spreadsheetml/2006/main" count="419" uniqueCount="358">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</sst>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8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  <xf numFmtId="0" fontId="23" fillId="0" borderId="0" xfId="1" applyFont="1" applyBorder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B19" sqref="B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F3" activePane="bottomRight" state="frozen"/>
      <selection pane="topRight" activeCell="D1" sqref="D1"/>
      <selection pane="bottomLeft" activeCell="A5" sqref="A5"/>
      <selection pane="bottomRight" activeCell="O7" sqref="O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</v>
      </c>
      <c r="E3" s="12" t="s">
        <v>136</v>
      </c>
      <c r="F3" s="15">
        <v>0.31839626623399109</v>
      </c>
      <c r="G3" s="15">
        <f>F3 - Portfolio_Mgmt!$C$10</f>
        <v>0.20099626623399108</v>
      </c>
      <c r="H3" s="15">
        <f>F3 - Portfolio_Mgmt!$C$11</f>
        <v>0.28389626623399111</v>
      </c>
      <c r="I3" s="15">
        <v>9.2962982602142877E-2</v>
      </c>
      <c r="J3" s="2">
        <v>3.8191037816760249</v>
      </c>
      <c r="K3" s="2">
        <v>6.3920866421045561</v>
      </c>
      <c r="L3" s="74">
        <v>5.9927665179863672</v>
      </c>
      <c r="M3" s="2">
        <v>4.4391274509469163</v>
      </c>
      <c r="N3" s="2">
        <v>5.529528504866235</v>
      </c>
      <c r="O3" s="4">
        <v>7.8104497800280309E-2</v>
      </c>
      <c r="P3" s="4">
        <v>6.0449999999999997E-2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1.2422086436922164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187</v>
      </c>
      <c r="C4" s="11" t="s">
        <v>347</v>
      </c>
      <c r="D4" s="2">
        <v>2.76</v>
      </c>
      <c r="E4" s="12" t="s">
        <v>136</v>
      </c>
      <c r="F4" s="15">
        <v>0.27874323625388697</v>
      </c>
      <c r="G4" s="15">
        <f>F4 - Portfolio_Mgmt!$C$10</f>
        <v>0.16134323625388697</v>
      </c>
      <c r="H4" s="15">
        <f>F4 - Portfolio_Mgmt!$C$11</f>
        <v>0.24424323625388697</v>
      </c>
      <c r="I4" s="15">
        <v>0.14124690039503859</v>
      </c>
      <c r="J4" s="2">
        <v>2.4868849907177504</v>
      </c>
      <c r="K4" s="2">
        <v>3.8978478955831006</v>
      </c>
      <c r="L4" s="74">
        <v>3.8751564232605564</v>
      </c>
      <c r="M4" s="2">
        <v>2.8834226531731844</v>
      </c>
      <c r="N4" s="2">
        <v>3.5796953464126804</v>
      </c>
      <c r="O4" s="4">
        <v>5.8282410327129677E-2</v>
      </c>
      <c r="P4" s="4">
        <v>9.7826086956521757E-2</v>
      </c>
      <c r="Q4" s="4">
        <v>7.6203822690338374E-2</v>
      </c>
      <c r="R4" s="4">
        <v>0.40688947062135006</v>
      </c>
      <c r="S4" s="82">
        <v>0.1542519195864642</v>
      </c>
      <c r="T4" s="81">
        <v>1.2141426890285656</v>
      </c>
      <c r="U4" s="15">
        <v>2.3107986944995245E-3</v>
      </c>
      <c r="V4" s="79">
        <v>3.0499352531108609E-2</v>
      </c>
      <c r="W4" s="74">
        <v>0.79833937207218564</v>
      </c>
      <c r="X4" s="13" t="s">
        <v>348</v>
      </c>
      <c r="Y4" s="11" t="s">
        <v>343</v>
      </c>
      <c r="Z4" s="14">
        <v>46081</v>
      </c>
      <c r="AA4" s="16" t="s">
        <v>185</v>
      </c>
    </row>
    <row r="5" spans="1:27">
      <c r="B5" s="11" t="s">
        <v>354</v>
      </c>
      <c r="C5" s="11" t="s">
        <v>355</v>
      </c>
      <c r="D5" s="2">
        <v>6.93</v>
      </c>
      <c r="E5" s="12" t="s">
        <v>136</v>
      </c>
      <c r="F5" s="15">
        <v>0.27869234727094133</v>
      </c>
      <c r="G5" s="15">
        <f>F5 - Portfolio_Mgmt!$C$10</f>
        <v>0.16129234727094133</v>
      </c>
      <c r="H5" s="15">
        <f>F5 - Portfolio_Mgmt!$C$11</f>
        <v>0.24419234727094133</v>
      </c>
      <c r="I5" s="15">
        <v>7.0590696193783151E-2</v>
      </c>
      <c r="J5" s="2">
        <v>6.2293992812020962</v>
      </c>
      <c r="K5" s="2">
        <v>10.622939875291571</v>
      </c>
      <c r="L5" s="74">
        <v>9.795088262511122</v>
      </c>
      <c r="M5" s="2">
        <v>7.2460866491938063</v>
      </c>
      <c r="N5" s="2">
        <v>9.0348931565705026</v>
      </c>
      <c r="O5" s="4">
        <v>9.923170093318405E-2</v>
      </c>
      <c r="P5" s="4">
        <v>4.4833767136363646E-2</v>
      </c>
      <c r="Q5" s="4">
        <v>0.17171944147003235</v>
      </c>
      <c r="R5" s="4">
        <v>8.3605883556948063E-2</v>
      </c>
      <c r="S5" s="82">
        <v>1.3282158707615834</v>
      </c>
      <c r="T5" s="81">
        <v>1.5463719418456539</v>
      </c>
      <c r="U5" s="15">
        <v>0.22428295339746124</v>
      </c>
      <c r="V5" s="79">
        <v>1.2715557492373779</v>
      </c>
      <c r="W5" s="74">
        <v>-2.8848653389990528</v>
      </c>
      <c r="X5" s="13" t="s">
        <v>356</v>
      </c>
      <c r="Y5" s="11" t="s">
        <v>172</v>
      </c>
      <c r="Z5" s="14">
        <v>46081</v>
      </c>
      <c r="AA5" s="16" t="s">
        <v>346</v>
      </c>
    </row>
    <row r="6" spans="1:27">
      <c r="B6" s="11" t="s">
        <v>160</v>
      </c>
      <c r="C6" s="11" t="s">
        <v>349</v>
      </c>
      <c r="D6" s="2">
        <v>17.54</v>
      </c>
      <c r="E6" s="12" t="s">
        <v>136</v>
      </c>
      <c r="F6" s="15">
        <v>0.21621122949086341</v>
      </c>
      <c r="G6" s="15">
        <f>F6 - Portfolio_Mgmt!$C$10</f>
        <v>9.8811229490863406E-2</v>
      </c>
      <c r="H6" s="15">
        <f>F6 - Portfolio_Mgmt!$C$11</f>
        <v>0.18171122949086341</v>
      </c>
      <c r="I6" s="15">
        <v>0</v>
      </c>
      <c r="J6" s="2">
        <v>14.275012074111741</v>
      </c>
      <c r="K6" s="2">
        <v>24.759047071655985</v>
      </c>
      <c r="L6" s="74">
        <v>22.488690972449341</v>
      </c>
      <c r="M6" s="2">
        <v>16.616136468036103</v>
      </c>
      <c r="N6" s="2">
        <v>20.736933106699055</v>
      </c>
      <c r="O6" s="4">
        <v>5.4479633194551222E-2</v>
      </c>
      <c r="P6" s="4">
        <v>3.0499585953387209E-2</v>
      </c>
      <c r="Q6" s="4">
        <v>0.11088651051093852</v>
      </c>
      <c r="R6" s="4">
        <v>0.11515135698257006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5.4527288358439288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174</v>
      </c>
      <c r="C7" s="11" t="s">
        <v>351</v>
      </c>
      <c r="D7" s="2">
        <v>18.93</v>
      </c>
      <c r="E7" s="12" t="s">
        <v>136</v>
      </c>
      <c r="F7" s="15">
        <v>0.20658861131127162</v>
      </c>
      <c r="G7" s="15">
        <f>F7 - Portfolio_Mgmt!$C$10</f>
        <v>8.9188611311271621E-2</v>
      </c>
      <c r="H7" s="15">
        <f>F7 - Portfolio_Mgmt!$C$11</f>
        <v>0.17208861131127162</v>
      </c>
      <c r="I7" s="15">
        <v>0</v>
      </c>
      <c r="J7" s="2">
        <v>15.220880047372711</v>
      </c>
      <c r="K7" s="2">
        <v>24.779053886336769</v>
      </c>
      <c r="L7" s="74">
        <v>23.81243647781681</v>
      </c>
      <c r="M7" s="2">
        <v>17.672994487255533</v>
      </c>
      <c r="N7" s="2">
        <v>21.982505898396969</v>
      </c>
      <c r="O7" s="4">
        <v>0.1235783107377391</v>
      </c>
      <c r="P7" s="4">
        <v>6.6561014263074481E-2</v>
      </c>
      <c r="Q7" s="4">
        <v>0.17244225698759846</v>
      </c>
      <c r="R7" s="4">
        <v>0.32385684070512349</v>
      </c>
      <c r="S7" s="82">
        <v>0.37515442207937094</v>
      </c>
      <c r="T7" s="81">
        <v>1.419320754716981</v>
      </c>
      <c r="U7" s="15">
        <v>9.2018392262565404E-2</v>
      </c>
      <c r="V7" s="79">
        <v>0.52904635366009978</v>
      </c>
      <c r="W7" s="74">
        <v>0.44967154769510737</v>
      </c>
      <c r="X7" s="13" t="s">
        <v>352</v>
      </c>
      <c r="Y7" s="11" t="s">
        <v>353</v>
      </c>
      <c r="Z7" s="14">
        <v>46081</v>
      </c>
      <c r="AA7" s="16" t="s">
        <v>185</v>
      </c>
    </row>
    <row r="8" spans="1:27">
      <c r="B8" s="11" t="s">
        <v>344</v>
      </c>
      <c r="C8" s="11" t="s">
        <v>345</v>
      </c>
      <c r="D8" s="2">
        <v>2.94</v>
      </c>
      <c r="E8" s="12" t="s">
        <v>136</v>
      </c>
      <c r="F8" s="15">
        <v>9.3762070644753601E-2</v>
      </c>
      <c r="G8" s="15">
        <f>F8 - Portfolio_Mgmt!$C$10</f>
        <v>-2.3637929355246404E-2</v>
      </c>
      <c r="H8" s="15">
        <f>F8 - Portfolio_Mgmt!$C$11</f>
        <v>5.9262070644753598E-2</v>
      </c>
      <c r="I8" s="15">
        <v>0</v>
      </c>
      <c r="J8" s="2">
        <v>1.9522417294164001</v>
      </c>
      <c r="K8" s="2">
        <v>3.1838405518613895</v>
      </c>
      <c r="L8" s="74">
        <v>3.0547824033656759</v>
      </c>
      <c r="M8" s="2">
        <v>2.2669059531912894</v>
      </c>
      <c r="N8" s="2">
        <v>2.8199417328663015</v>
      </c>
      <c r="O8" s="4">
        <v>5.5628144761574079E-2</v>
      </c>
      <c r="P8" s="4">
        <v>5.4149659863945585E-2</v>
      </c>
      <c r="Q8" s="4">
        <v>0.12416948697308672</v>
      </c>
      <c r="R8" s="4">
        <v>0.41544958439449353</v>
      </c>
      <c r="S8" s="82">
        <v>0.20090947033127624</v>
      </c>
      <c r="T8" s="81">
        <v>1.4876341835211095</v>
      </c>
      <c r="U8" s="15">
        <v>2.7705347980559972E-2</v>
      </c>
      <c r="V8" s="79">
        <v>0.22047955497162566</v>
      </c>
      <c r="W8" s="74">
        <v>0.40756723368818643</v>
      </c>
      <c r="X8" s="13" t="s">
        <v>173</v>
      </c>
      <c r="Y8" s="11" t="s">
        <v>343</v>
      </c>
      <c r="Z8" s="14">
        <v>46081</v>
      </c>
      <c r="AA8" s="16" t="s">
        <v>185</v>
      </c>
    </row>
    <row r="9" spans="1:27">
      <c r="B9" s="11" t="s">
        <v>339</v>
      </c>
      <c r="C9" s="11" t="s">
        <v>340</v>
      </c>
      <c r="D9" s="2">
        <v>6.5</v>
      </c>
      <c r="E9" s="12" t="s">
        <v>136</v>
      </c>
      <c r="F9" s="15">
        <v>8.2639604252926629E-2</v>
      </c>
      <c r="G9" s="15">
        <f>F9 - Portfolio_Mgmt!$C$10</f>
        <v>-3.4760395747073375E-2</v>
      </c>
      <c r="H9" s="15">
        <f>F9 - Portfolio_Mgmt!$C$11</f>
        <v>4.8139604252926627E-2</v>
      </c>
      <c r="I9" s="15">
        <v>0</v>
      </c>
      <c r="J9" s="2">
        <v>4.2390395011406845</v>
      </c>
      <c r="K9" s="2">
        <v>6.7856494908288969</v>
      </c>
      <c r="L9" s="74">
        <v>6.6199592402379013</v>
      </c>
      <c r="M9" s="2">
        <v>4.918815674130494</v>
      </c>
      <c r="N9" s="2">
        <v>6.1130184841162611</v>
      </c>
      <c r="O9" s="4">
        <v>6.1063666265514203E-2</v>
      </c>
      <c r="P9" s="4">
        <v>6.1538461538461542E-2</v>
      </c>
      <c r="Q9" s="4">
        <v>0.1167471410506614</v>
      </c>
      <c r="R9" s="4">
        <v>3.9086921133773919E-2</v>
      </c>
      <c r="S9" s="82">
        <v>1.3708738209065539</v>
      </c>
      <c r="T9" s="81">
        <v>2.1787997096988563</v>
      </c>
      <c r="U9" s="15">
        <v>0.77760119734648436</v>
      </c>
      <c r="V9" s="79">
        <v>5.3475400925918697</v>
      </c>
      <c r="W9" s="74">
        <v>-2.5047246524922007</v>
      </c>
      <c r="X9" s="13" t="s">
        <v>173</v>
      </c>
      <c r="Y9" s="11" t="s">
        <v>172</v>
      </c>
      <c r="Z9" s="14">
        <v>45991</v>
      </c>
      <c r="AA9" s="16" t="s">
        <v>185</v>
      </c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35"/>
    </row>
    <row r="2" spans="1:13" ht="29.75" customHeight="1">
      <c r="B2" s="54" t="s">
        <v>2</v>
      </c>
      <c r="C2" s="54" t="s">
        <v>357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5" t="s">
        <v>26</v>
      </c>
      <c r="C3" s="65"/>
      <c r="D3" s="63" t="s">
        <v>157</v>
      </c>
      <c r="E3" s="62" t="s">
        <v>156</v>
      </c>
      <c r="F3" s="64" t="s">
        <v>157</v>
      </c>
      <c r="G3" s="59">
        <f>764909+14759</f>
        <v>779668</v>
      </c>
      <c r="H3" s="61">
        <f>G3/$G$9</f>
        <v>0.69586001188820801</v>
      </c>
      <c r="I3" s="78">
        <f>Portfolio_Mgmt!E66</f>
        <v>0.45</v>
      </c>
      <c r="J3" s="83" t="s">
        <v>191</v>
      </c>
      <c r="K3" s="83" t="s">
        <v>191</v>
      </c>
      <c r="L3" s="83" t="s">
        <v>191</v>
      </c>
      <c r="M3" s="83" t="s">
        <v>191</v>
      </c>
    </row>
    <row r="4" spans="1:13">
      <c r="B4" s="66" t="s">
        <v>160</v>
      </c>
      <c r="C4" s="65" t="str">
        <f>VLOOKUP(B4,Opportunities!B$3:E$30,2,FALSE)</f>
        <v>李宁</v>
      </c>
      <c r="D4" s="63">
        <f>VLOOKUP(B4,Opportunities!B$3:E$30,3,FALSE)</f>
        <v>17.54</v>
      </c>
      <c r="E4" s="62" t="str">
        <f>VLOOKUP(B4,Opportunities!B$3:E$30,4,FALSE)</f>
        <v>HKD</v>
      </c>
      <c r="F4" s="59">
        <v>4500</v>
      </c>
      <c r="G4" s="64">
        <f>D4*F4</f>
        <v>78930</v>
      </c>
      <c r="H4" s="61">
        <f>G4/$G$9</f>
        <v>7.0445664998866508E-2</v>
      </c>
      <c r="I4" s="61">
        <f>VLOOKUP(B4,Opportunities!B$3:I$30,8,FALSE)</f>
        <v>0</v>
      </c>
      <c r="J4" s="84">
        <f>VLOOKUP(B4,Opportunities!B$3:N$30,12,FALSE)</f>
        <v>16.616136468036103</v>
      </c>
      <c r="K4" s="84">
        <f>VLOOKUP(B4,Opportunities!B$3:N$30,9,FALSE)</f>
        <v>14.275012074111741</v>
      </c>
      <c r="L4" s="84">
        <f>VLOOKUP(B4,Opportunities!B$3:N$30,11,FALSE)</f>
        <v>22.488690972449341</v>
      </c>
      <c r="M4" s="84">
        <f>VLOOKUP(B4,Opportunities!B$3:N$30,13,FALSE)</f>
        <v>20.736933106699055</v>
      </c>
    </row>
    <row r="5" spans="1:13">
      <c r="B5" s="66" t="s">
        <v>174</v>
      </c>
      <c r="C5" s="65" t="str">
        <f>VLOOKUP(B5,Opportunities!B$3:E$30,2,FALSE)</f>
        <v>中国海油</v>
      </c>
      <c r="D5" s="63">
        <f>VLOOKUP(B5,Opportunities!B$3:E$30,3,FALSE)</f>
        <v>18.93</v>
      </c>
      <c r="E5" s="62" t="str">
        <f>VLOOKUP(B5,Opportunities!B$3:E$30,4,FALSE)</f>
        <v>HKD</v>
      </c>
      <c r="F5" s="59">
        <v>8000</v>
      </c>
      <c r="G5" s="64">
        <f>D5*F5</f>
        <v>151440</v>
      </c>
      <c r="H5" s="61">
        <f>G5/$G$9</f>
        <v>0.13516142794157285</v>
      </c>
      <c r="I5" s="61">
        <f>VLOOKUP(B5,Opportunities!B$3:I$30,8,FALSE)</f>
        <v>0</v>
      </c>
      <c r="J5" s="84">
        <f>VLOOKUP(B5,Opportunities!B$3:N$30,12,FALSE)</f>
        <v>17.672994487255533</v>
      </c>
      <c r="K5" s="84">
        <f>VLOOKUP(B5,Opportunities!B$3:N$30,9,FALSE)</f>
        <v>15.220880047372711</v>
      </c>
      <c r="L5" s="84">
        <f>VLOOKUP(B5,Opportunities!B$3:N$30,11,FALSE)</f>
        <v>23.81243647781681</v>
      </c>
      <c r="M5" s="84">
        <f>VLOOKUP(B5,Opportunities!B$3:N$30,13,FALSE)</f>
        <v>21.982505898396969</v>
      </c>
    </row>
    <row r="6" spans="1:13">
      <c r="B6" s="66" t="s">
        <v>187</v>
      </c>
      <c r="C6" s="65" t="str">
        <f>VLOOKUP(B6,Opportunities!B$3:E$30,2,FALSE)</f>
        <v>首钢资源</v>
      </c>
      <c r="D6" s="63">
        <f>VLOOKUP(B6,Opportunities!B$3:E$30,3,FALSE)</f>
        <v>2.76</v>
      </c>
      <c r="E6" s="62" t="str">
        <f>VLOOKUP(B6,Opportunities!B$3:E$30,4,FALSE)</f>
        <v>HKD</v>
      </c>
      <c r="F6" s="59">
        <v>40000</v>
      </c>
      <c r="G6" s="64">
        <f>D6*F6</f>
        <v>110399.99999999999</v>
      </c>
      <c r="H6" s="61">
        <f t="shared" ref="H6" si="0">G6/$G$9</f>
        <v>9.8532895171352622E-2</v>
      </c>
      <c r="I6" s="61">
        <f>VLOOKUP(B6,Opportunities!B$3:I$30,8,FALSE)</f>
        <v>0.14124690039503859</v>
      </c>
      <c r="J6" s="84">
        <f>VLOOKUP(B6,Opportunities!B$3:N$30,12,FALSE)</f>
        <v>2.8834226531731844</v>
      </c>
      <c r="K6" s="84">
        <f>VLOOKUP(B6,Opportunities!B$3:N$30,9,FALSE)</f>
        <v>2.4868849907177504</v>
      </c>
      <c r="L6" s="84">
        <f>VLOOKUP(B6,Opportunities!B$3:N$30,11,FALSE)</f>
        <v>3.8751564232605564</v>
      </c>
      <c r="M6" s="84">
        <f>VLOOKUP(B6,Opportunities!B$3:N$30,13,FALSE)</f>
        <v>3.5796953464126804</v>
      </c>
    </row>
    <row r="7" spans="1:13">
      <c r="B7" s="66" t="s">
        <v>341</v>
      </c>
      <c r="C7" s="65" t="str">
        <f>VLOOKUP(B7,Opportunities!B$3:E$30,2,FALSE)</f>
        <v>中国飞鹤</v>
      </c>
      <c r="D7" s="63">
        <f>VLOOKUP(B7,Opportunities!B$3:E$30,3,FALSE)</f>
        <v>4</v>
      </c>
      <c r="E7" s="62" t="str">
        <f>VLOOKUP(B7,Opportunities!B$3:E$30,4,FALSE)</f>
        <v>HKD</v>
      </c>
      <c r="F7" s="59">
        <v>9000</v>
      </c>
      <c r="G7" s="64">
        <f>D7*F7</f>
        <v>36000</v>
      </c>
      <c r="H7" s="61">
        <f t="shared" ref="H7" si="1">G7/$G$9</f>
        <v>3.2130291903701945E-2</v>
      </c>
      <c r="I7" s="61">
        <f>VLOOKUP(B7,Opportunities!B$3:I$30,8,FALSE)</f>
        <v>9.2962982602142877E-2</v>
      </c>
      <c r="J7" s="84">
        <f>VLOOKUP(B7,Opportunities!B$3:N$30,12,FALSE)</f>
        <v>4.4391274509469163</v>
      </c>
      <c r="K7" s="84">
        <f>VLOOKUP(B7,Opportunities!B$3:N$30,9,FALSE)</f>
        <v>3.8191037816760249</v>
      </c>
      <c r="L7" s="84">
        <f>VLOOKUP(B7,Opportunities!B$3:N$30,11,FALSE)</f>
        <v>5.9927665179863672</v>
      </c>
      <c r="M7" s="84">
        <f>VLOOKUP(B7,Opportunities!B$3:N$30,13,FALSE)</f>
        <v>5.529528504866235</v>
      </c>
    </row>
    <row r="8" spans="1:13">
      <c r="B8" s="55"/>
      <c r="C8" s="55"/>
      <c r="D8" s="58"/>
      <c r="E8" s="55"/>
      <c r="I8" s="77"/>
    </row>
    <row r="9" spans="1:13" ht="13.15">
      <c r="B9" s="67"/>
      <c r="C9" s="67"/>
      <c r="D9" s="68"/>
      <c r="E9" s="67"/>
      <c r="F9" s="69" t="s">
        <v>163</v>
      </c>
      <c r="G9" s="69">
        <f>SUM(G3:G6)</f>
        <v>1120438</v>
      </c>
      <c r="H9" s="70">
        <f>SUM(H3:H6)</f>
        <v>1</v>
      </c>
      <c r="I9" s="76">
        <f>SUM(I3:I6)</f>
        <v>0.59124690039503858</v>
      </c>
      <c r="J9" s="85" t="s">
        <v>191</v>
      </c>
      <c r="K9" s="85" t="s">
        <v>191</v>
      </c>
      <c r="L9" s="85" t="s">
        <v>191</v>
      </c>
      <c r="M9" s="85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35"/>
    </row>
    <row r="12" spans="1:13">
      <c r="B12" s="66" t="s">
        <v>160</v>
      </c>
      <c r="C12" s="65" t="str">
        <f>VLOOKUP(B12,Opportunities!B$3:E$30,2,FALSE)</f>
        <v>李宁</v>
      </c>
      <c r="D12" s="63">
        <f>VLOOKUP(B12,Opportunities!B$3:E$30,3,FALSE)</f>
        <v>17.54</v>
      </c>
      <c r="E12" s="62" t="str">
        <f>VLOOKUP(B12,Opportunities!B$3:E$30,4,FALSE)</f>
        <v>HKD</v>
      </c>
      <c r="F12" s="59">
        <v>0</v>
      </c>
      <c r="G12" s="64">
        <f>-D12*F12</f>
        <v>0</v>
      </c>
      <c r="H12" s="61">
        <f>-G12/$G$9</f>
        <v>0</v>
      </c>
      <c r="I12" s="61">
        <f>VLOOKUP(B12,Opportunities!B$3:I$30,8,FALSE)</f>
        <v>0</v>
      </c>
      <c r="J12" s="84">
        <f>VLOOKUP(B12,Opportunities!B$3:N$30,12,FALSE)</f>
        <v>16.616136468036103</v>
      </c>
      <c r="K12" s="84">
        <f>VLOOKUP(B12,Opportunities!B$3:N$30,9,FALSE)</f>
        <v>14.275012074111741</v>
      </c>
      <c r="L12" s="84">
        <f>VLOOKUP(B12,Opportunities!B$3:N$30,11,FALSE)</f>
        <v>22.488690972449341</v>
      </c>
      <c r="M12" s="84">
        <f>VLOOKUP(B12,Opportunities!B$3:N$30,13,FALSE)</f>
        <v>20.736933106699055</v>
      </c>
    </row>
    <row r="13" spans="1:13">
      <c r="B13" s="66" t="s">
        <v>174</v>
      </c>
      <c r="C13" s="65" t="str">
        <f>VLOOKUP(B13,Opportunities!B$3:E$30,2,FALSE)</f>
        <v>中国海油</v>
      </c>
      <c r="D13" s="63">
        <f>VLOOKUP(B13,Opportunities!B$3:E$30,3,FALSE)</f>
        <v>18.93</v>
      </c>
      <c r="E13" s="62" t="str">
        <f>VLOOKUP(B13,Opportunities!B$3:E$30,4,FALSE)</f>
        <v>HKD</v>
      </c>
      <c r="F13" s="59">
        <v>0</v>
      </c>
      <c r="G13" s="64">
        <f>-D13*F13</f>
        <v>0</v>
      </c>
      <c r="H13" s="61">
        <f>-G13/$G$9</f>
        <v>0</v>
      </c>
      <c r="I13" s="61">
        <f>VLOOKUP(B13,Opportunities!B$3:I$30,8,FALSE)</f>
        <v>0</v>
      </c>
      <c r="J13" s="84">
        <f>VLOOKUP(B13,Opportunities!B$3:N$30,12,FALSE)</f>
        <v>17.672994487255533</v>
      </c>
      <c r="K13" s="84">
        <f>VLOOKUP(B13,Opportunities!B$3:N$30,9,FALSE)</f>
        <v>15.220880047372711</v>
      </c>
      <c r="L13" s="84">
        <f>VLOOKUP(B13,Opportunities!B$3:N$30,11,FALSE)</f>
        <v>23.81243647781681</v>
      </c>
      <c r="M13" s="84">
        <f>VLOOKUP(B13,Opportunities!B$3:N$30,13,FALSE)</f>
        <v>21.982505898396969</v>
      </c>
    </row>
    <row r="14" spans="1:13">
      <c r="B14" s="66" t="s">
        <v>187</v>
      </c>
      <c r="C14" s="65" t="str">
        <f>VLOOKUP(B14,Opportunities!B$3:E$30,2,FALSE)</f>
        <v>首钢资源</v>
      </c>
      <c r="D14" s="63">
        <f>VLOOKUP(B14,Opportunities!B$3:E$30,3,FALSE)</f>
        <v>2.76</v>
      </c>
      <c r="E14" s="62" t="str">
        <f>VLOOKUP(B14,Opportunities!B$3:E$30,4,FALSE)</f>
        <v>HKD</v>
      </c>
      <c r="F14" s="59">
        <v>0</v>
      </c>
      <c r="G14" s="64">
        <f>-D14*F14</f>
        <v>0</v>
      </c>
      <c r="H14" s="61">
        <f>-G14/$G$9</f>
        <v>0</v>
      </c>
      <c r="I14" s="61">
        <f>VLOOKUP(B14,Opportunities!B$3:I$30,8,FALSE)</f>
        <v>0.14124690039503859</v>
      </c>
      <c r="J14" s="84">
        <f>VLOOKUP(B14,Opportunities!B$3:N$30,12,FALSE)</f>
        <v>2.8834226531731844</v>
      </c>
      <c r="K14" s="84">
        <f>VLOOKUP(B14,Opportunities!B$3:N$30,9,FALSE)</f>
        <v>2.4868849907177504</v>
      </c>
      <c r="L14" s="84">
        <f>VLOOKUP(B14,Opportunities!B$3:N$30,11,FALSE)</f>
        <v>3.8751564232605564</v>
      </c>
      <c r="M14" s="84">
        <f>VLOOKUP(B14,Opportunities!B$3:N$30,13,FALSE)</f>
        <v>3.5796953464126804</v>
      </c>
    </row>
    <row r="15" spans="1:13">
      <c r="B15" s="66" t="s">
        <v>341</v>
      </c>
      <c r="C15" s="65" t="str">
        <f>VLOOKUP(B15,Opportunities!B$3:E$30,2,FALSE)</f>
        <v>中国飞鹤</v>
      </c>
      <c r="D15" s="63">
        <f>VLOOKUP(B15,Opportunities!B$3:E$30,3,FALSE)</f>
        <v>4</v>
      </c>
      <c r="E15" s="62" t="str">
        <f>VLOOKUP(B15,Opportunities!B$3:E$30,4,FALSE)</f>
        <v>HKD</v>
      </c>
      <c r="F15" s="59">
        <v>3000</v>
      </c>
      <c r="G15" s="64">
        <f>-D15*F15</f>
        <v>-12000</v>
      </c>
      <c r="H15" s="61">
        <f>-G15/$G$9</f>
        <v>1.0710097301233982E-2</v>
      </c>
      <c r="I15" s="61">
        <f>VLOOKUP(B15,Opportunities!B$3:I$30,8,FALSE)</f>
        <v>9.2962982602142877E-2</v>
      </c>
      <c r="J15" s="84">
        <f>VLOOKUP(B15,Opportunities!B$3:N$30,12,FALSE)</f>
        <v>4.4391274509469163</v>
      </c>
      <c r="K15" s="84">
        <f>VLOOKUP(B15,Opportunities!B$3:N$30,9,FALSE)</f>
        <v>3.8191037816760249</v>
      </c>
      <c r="L15" s="84">
        <f>VLOOKUP(B15,Opportunities!B$3:N$30,11,FALSE)</f>
        <v>5.9927665179863672</v>
      </c>
      <c r="M15" s="84">
        <f>VLOOKUP(B15,Opportunities!B$3:N$30,13,FALSE)</f>
        <v>5.529528504866235</v>
      </c>
    </row>
    <row r="16" spans="1:13">
      <c r="B16" s="66" t="s">
        <v>354</v>
      </c>
      <c r="C16" s="65" t="str">
        <f>VLOOKUP(B16,Opportunities!B$3:E$30,2,FALSE)</f>
        <v>昆仑能源</v>
      </c>
      <c r="D16" s="63">
        <f>VLOOKUP(B16,Opportunities!B$3:E$30,3,FALSE)</f>
        <v>6.93</v>
      </c>
      <c r="E16" s="62" t="str">
        <f>VLOOKUP(B16,Opportunities!B$3:E$30,4,FALSE)</f>
        <v>HKD</v>
      </c>
      <c r="F16" s="59">
        <v>8000</v>
      </c>
      <c r="G16" s="64">
        <f>-D16*F16</f>
        <v>-55440</v>
      </c>
      <c r="H16" s="61">
        <f>-G16/$G$9</f>
        <v>4.9480649531700997E-2</v>
      </c>
      <c r="I16" s="61">
        <f>VLOOKUP(B16,Opportunities!B$3:I$30,8,FALSE)</f>
        <v>7.0590696193783151E-2</v>
      </c>
      <c r="J16" s="84">
        <f>VLOOKUP(B16,Opportunities!B$3:N$30,12,FALSE)</f>
        <v>7.2460866491938063</v>
      </c>
      <c r="K16" s="84">
        <f>VLOOKUP(B16,Opportunities!B$3:N$30,9,FALSE)</f>
        <v>6.2293992812020962</v>
      </c>
      <c r="L16" s="84">
        <f>VLOOKUP(B16,Opportunities!B$3:N$30,11,FALSE)</f>
        <v>9.795088262511122</v>
      </c>
      <c r="M16" s="84">
        <f>VLOOKUP(B16,Opportunities!B$3:N$30,13,FALSE)</f>
        <v>9.0348931565705026</v>
      </c>
    </row>
    <row r="17" spans="1:13">
      <c r="H17" s="75"/>
      <c r="I17" s="75"/>
    </row>
    <row r="18" spans="1:13" ht="13.15">
      <c r="B18" s="71" t="s">
        <v>162</v>
      </c>
      <c r="C18" s="71"/>
      <c r="D18" s="72" t="s">
        <v>157</v>
      </c>
      <c r="E18" s="73" t="s">
        <v>136</v>
      </c>
      <c r="F18" s="72" t="s">
        <v>157</v>
      </c>
      <c r="G18" s="69">
        <f>G3+SUM(G12:G16)</f>
        <v>712228</v>
      </c>
      <c r="H18" s="76">
        <f t="shared" ref="H18" si="2">G18/$G$9</f>
        <v>0.63566926505527299</v>
      </c>
      <c r="I18" s="76">
        <f>Portfolio_Mgmt!E66</f>
        <v>0.45</v>
      </c>
      <c r="J18" s="85" t="s">
        <v>191</v>
      </c>
      <c r="K18" s="85" t="s">
        <v>191</v>
      </c>
      <c r="L18" s="85" t="s">
        <v>191</v>
      </c>
      <c r="M18" s="85" t="s">
        <v>191</v>
      </c>
    </row>
    <row r="20" spans="1:13" ht="13.15">
      <c r="A20" s="51"/>
      <c r="B20" s="52" t="s">
        <v>192</v>
      </c>
      <c r="C20" s="135"/>
      <c r="D20" s="58"/>
      <c r="E20" s="55"/>
      <c r="F20" s="59"/>
      <c r="G20" s="59"/>
    </row>
    <row r="21" spans="1:13" ht="13.15">
      <c r="C21" s="87" t="s">
        <v>193</v>
      </c>
      <c r="D21" s="87" t="s">
        <v>196</v>
      </c>
      <c r="F21" s="87" t="s">
        <v>197</v>
      </c>
    </row>
    <row r="22" spans="1:13" ht="14.25">
      <c r="B22" s="86" t="s">
        <v>194</v>
      </c>
      <c r="C22" s="91">
        <v>200000</v>
      </c>
      <c r="D22" s="92">
        <v>7.8629699999999998</v>
      </c>
      <c r="F22" s="136">
        <f>C22/D22</f>
        <v>25435.681428264383</v>
      </c>
    </row>
    <row r="23" spans="1:13" ht="14.25">
      <c r="B23" s="86" t="s">
        <v>195</v>
      </c>
      <c r="C23" s="89">
        <f>F22</f>
        <v>25435.681428264383</v>
      </c>
      <c r="D23" s="92">
        <v>7.8387000000000002</v>
      </c>
      <c r="F23" s="137">
        <f>C23*D23</f>
        <v>199382.67601173601</v>
      </c>
    </row>
    <row r="24" spans="1:13" ht="14.25">
      <c r="C24"/>
      <c r="D24"/>
      <c r="F24"/>
    </row>
    <row r="25" spans="1:13" ht="14.25">
      <c r="C25"/>
      <c r="E25" s="90" t="s">
        <v>198</v>
      </c>
      <c r="F25" s="88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2025-10-03T00:56:11Z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