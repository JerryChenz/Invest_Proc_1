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98A6F36C-4CF7-4C2D-B8C6-C90AB13343DC}" xr6:coauthVersionLast="47" xr6:coauthVersionMax="47" xr10:uidLastSave="{00000000-0000-0000-0000-000000000000}"/>
  <bookViews>
    <workbookView xWindow="-28920" yWindow="6150" windowWidth="29040" windowHeight="15720" firstSheet="2" activeTab="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I12" i="7" l="1"/>
  <c r="C32" i="10"/>
  <c r="G6" i="7"/>
  <c r="G15" i="7"/>
  <c r="G23" i="7" s="1"/>
  <c r="G4" i="7"/>
  <c r="G12" i="7" l="1"/>
  <c r="H7" i="7" s="1"/>
  <c r="E33" i="10"/>
  <c r="H8" i="7" l="1"/>
  <c r="H9" i="7"/>
  <c r="H20" i="7"/>
  <c r="H19" i="7"/>
  <c r="H6" i="7"/>
  <c r="H18" i="7"/>
  <c r="H10" i="7"/>
  <c r="H17" i="7"/>
  <c r="E72" i="5"/>
  <c r="E73" i="5" s="1"/>
  <c r="H16" i="7" l="1"/>
  <c r="H15" i="7"/>
  <c r="H5" i="7"/>
  <c r="H4" i="7"/>
  <c r="H23" i="7"/>
  <c r="C10" i="5"/>
  <c r="C11" i="5"/>
  <c r="E6" i="2"/>
  <c r="E5" i="2"/>
  <c r="E4" i="2"/>
  <c r="C11" i="10" l="1"/>
  <c r="C10" i="10"/>
  <c r="I23" i="7"/>
  <c r="I3" i="7"/>
  <c r="H3" i="7" l="1"/>
  <c r="H12" i="7" s="1"/>
</calcChain>
</file>

<file path=xl/sharedStrings.xml><?xml version="1.0" encoding="utf-8"?>
<sst xmlns="http://schemas.openxmlformats.org/spreadsheetml/2006/main" count="491" uniqueCount="391">
  <si>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</si>
  <si>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</si>
  <si>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</si>
  <si>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</si>
  <si>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</si>
  <si>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</si>
  <si>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</si>
  <si>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</si>
  <si>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</si>
  <si>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</si>
  <si>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</si>
  <si>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</si>
  <si>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</si>
  <si>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</si>
  <si>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</si>
  <si>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</si>
  <si>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</si>
  <si>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</si>
  <si>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</si>
  <si>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</si>
  <si>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</si>
  <si>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</si>
  <si>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</si>
  <si>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</si>
  <si>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</si>
  <si>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</si>
  <si>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</si>
  <si>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</si>
  <si>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</si>
  <si>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</si>
  <si>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</si>
  <si>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</si>
  <si>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</si>
  <si>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</si>
  <si>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</si>
  <si>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</si>
  <si>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</si>
  <si>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</si>
  <si>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</si>
  <si>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</si>
  <si>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</si>
  <si>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</si>
  <si>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</si>
  <si>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</si>
  <si>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</si>
  <si>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</si>
  <si>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</si>
  <si>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</si>
  <si>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</si>
  <si>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</si>
  <si>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</si>
  <si>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</si>
  <si>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</si>
  <si>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</si>
  <si>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</si>
  <si>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</si>
  <si>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</si>
  <si>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</si>
  <si>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</si>
  <si>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</si>
  <si>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</si>
  <si>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</si>
  <si>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</si>
  <si>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</si>
  <si>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</si>
  <si>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</si>
  <si>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</si>
  <si>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</si>
  <si>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</si>
  <si>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</si>
  <si>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</si>
  <si>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</si>
  <si>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</si>
  <si>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</si>
  <si>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</si>
  <si>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</si>
  <si>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</si>
  <si>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</si>
  <si>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</si>
  <si>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</si>
  <si>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</si>
  <si>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</si>
  <si>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</si>
  <si>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</si>
  <si>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</si>
  <si>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</si>
  <si>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</si>
  <si>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</si>
  <si>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</si>
  <si>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</si>
  <si>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</si>
  <si>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</si>
  <si>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</si>
  <si>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</si>
  <si>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</si>
  <si>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</si>
  <si>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</si>
  <si>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</si>
  <si>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</si>
  <si>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</si>
  <si>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</si>
  <si>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</si>
  <si>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</si>
  <si>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</si>
  <si>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</si>
  <si>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</si>
  <si>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</si>
  <si>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</si>
  <si>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</si>
  <si>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</si>
  <si>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</si>
  <si>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</si>
  <si>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</si>
  <si>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</si>
  <si>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</si>
  <si>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</si>
  <si>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</si>
  <si>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</si>
  <si>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</si>
  <si>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</si>
  <si>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</si>
  <si>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</si>
  <si>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</si>
  <si>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</si>
  <si>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</si>
  <si>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</si>
  <si>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</si>
  <si>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</si>
  <si>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</si>
  <si>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</si>
  <si>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</si>
  <si>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</si>
  <si>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</si>
  <si>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</si>
  <si>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</si>
  <si>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</si>
  <si>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</si>
  <si>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</si>
  <si>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</si>
  <si>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</si>
  <si>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</si>
  <si>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</si>
  <si>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</si>
  <si>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</si>
  <si>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</si>
  <si>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</si>
  <si>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</si>
  <si>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</si>
  <si>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</si>
  <si>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</si>
  <si>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</si>
  <si>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</si>
  <si>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</si>
  <si>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</si>
  <si>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</si>
  <si>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</si>
  <si>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</si>
  <si>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</si>
  <si>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</si>
  <si>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</si>
  <si>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</si>
  <si>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</si>
  <si>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</si>
  <si>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</si>
  <si>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</si>
  <si>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</si>
  <si>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</si>
  <si>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</si>
  <si>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</si>
  <si>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</si>
  <si>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</si>
  <si>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</si>
  <si>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</si>
  <si>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</si>
  <si>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</si>
  <si>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</si>
  <si>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</si>
  <si>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</si>
  <si>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</si>
  <si>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</si>
  <si>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</si>
  <si>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</si>
  <si>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</si>
  <si>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</si>
  <si>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</si>
  <si>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</si>
  <si>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</si>
  <si>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</si>
  <si>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</si>
  <si>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</si>
  <si>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</si>
  <si>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</si>
  <si>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</si>
  <si>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</si>
  <si>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</si>
  <si>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</si>
  <si>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</si>
  <si>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</si>
  <si>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</si>
  <si>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</si>
  <si>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</si>
  <si>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</si>
  <si>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</si>
  <si>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</si>
  <si>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</si>
  <si>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</si>
  <si>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</si>
  <si>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</si>
  <si>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</si>
  <si>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</si>
  <si>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</si>
  <si>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</si>
  <si>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</si>
  <si>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</si>
  <si>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</si>
  <si>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</si>
  <si>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</si>
  <si>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</si>
  <si>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</si>
  <si>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</si>
  <si>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</si>
  <si>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</si>
  <si>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</si>
  <si>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</si>
  <si>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</si>
  <si>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</si>
  <si>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</si>
  <si>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</si>
  <si>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</si>
  <si>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</si>
  <si>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</si>
  <si>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</si>
  <si>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</si>
  <si>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</si>
  <si>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</si>
  <si>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</si>
  <si>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</si>
  <si>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</si>
  <si>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</si>
  <si>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</si>
  <si>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</si>
  <si>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</si>
  <si>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</si>
  <si>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</si>
  <si>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</si>
  <si>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</si>
  <si>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</si>
  <si>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</si>
  <si>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</si>
  <si>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</si>
  <si>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</si>
  <si>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</si>
  <si>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</si>
  <si>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</si>
  <si>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</si>
  <si>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</si>
  <si>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</si>
  <si>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</si>
  <si>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</si>
  <si>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</si>
  <si>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</si>
  <si>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</si>
  <si>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</si>
  <si>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</si>
  <si>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</si>
  <si>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</si>
  <si>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</si>
  <si>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</si>
  <si>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</si>
  <si>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</si>
  <si>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</si>
  <si>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</si>
  <si>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</si>
  <si>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</si>
  <si>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</si>
  <si>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</si>
  <si>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</si>
  <si>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</si>
  <si>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</si>
  <si>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</si>
  <si>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</si>
  <si>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</si>
  <si>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</si>
  <si>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</si>
  <si>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</si>
  <si>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</si>
  <si>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</si>
  <si>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</si>
  <si>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</si>
  <si>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</si>
  <si>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</si>
  <si>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</si>
  <si>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</si>
  <si>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</si>
  <si>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</si>
  <si>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</si>
  <si>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</si>
  <si>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</si>
  <si>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</si>
  <si>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</si>
  <si>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</si>
  <si>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</si>
  <si>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</si>
  <si>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</si>
  <si>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</si>
  <si>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</si>
  <si>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</si>
  <si>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</si>
  <si>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</si>
  <si>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</si>
  <si>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</si>
  <si>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</si>
  <si>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</si>
  <si>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</si>
  <si>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</si>
  <si>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</si>
  <si>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</si>
  <si>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</si>
  <si>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</si>
  <si>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</si>
  <si>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</si>
  <si>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</si>
  <si>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</si>
  <si>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</si>
  <si>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</si>
  <si>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</si>
  <si>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</si>
  <si>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</si>
  <si>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</si>
  <si>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</si>
  <si>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</si>
  <si>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</si>
  <si>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</si>
  <si>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</si>
  <si>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</si>
  <si>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</si>
  <si>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</si>
  <si>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</si>
  <si>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</si>
  <si>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</si>
  <si>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</si>
  <si>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</si>
  <si>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</si>
  <si>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</si>
  <si>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</si>
  <si>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</si>
  <si>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</si>
  <si>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</si>
  <si>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</si>
  <si>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</si>
  <si>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</si>
  <si>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</si>
  <si>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</si>
  <si>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</si>
  <si>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</si>
  <si>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</si>
  <si>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</si>
  <si>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</si>
  <si>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</si>
  <si>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</si>
  <si>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</si>
  <si>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Lower than Inflation rate</t>
  </si>
  <si>
    <t>0345.HK</t>
  </si>
  <si>
    <t>维他奶</t>
  </si>
  <si>
    <t>Low growth</t>
  </si>
  <si>
    <t>新华文轩</t>
  </si>
  <si>
    <t>CNS_04</t>
  </si>
  <si>
    <t>N</t>
  </si>
  <si>
    <t>中国飞鹤</t>
  </si>
  <si>
    <t>昆仑能源</t>
  </si>
  <si>
    <t>ENG_02</t>
  </si>
  <si>
    <t>首钢资源</t>
  </si>
  <si>
    <t>MAT_01</t>
  </si>
  <si>
    <t>李宁</t>
  </si>
  <si>
    <t>CNS_02</t>
  </si>
  <si>
    <t>中国海油</t>
  </si>
  <si>
    <t>ENG_01</t>
  </si>
  <si>
    <t>TMT_01</t>
  </si>
  <si>
    <t>0151.HK</t>
  </si>
  <si>
    <t>中國旺旺</t>
  </si>
  <si>
    <t>9618.HK</t>
  </si>
  <si>
    <t>京东集团</t>
  </si>
  <si>
    <t>0941.HK</t>
  </si>
  <si>
    <t>中国移动</t>
  </si>
  <si>
    <t>9898.HK</t>
  </si>
  <si>
    <t>微博</t>
  </si>
  <si>
    <t>1913.HK</t>
  </si>
  <si>
    <t>Prada S.p.A.</t>
  </si>
  <si>
    <t>3690.HK</t>
  </si>
  <si>
    <t>美团</t>
  </si>
  <si>
    <t>TMT_02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</si>
</sst>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55" zoomScaleNormal="100" workbookViewId="0">
      <selection activeCell="E69" sqref="E6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135</v>
      </c>
    </row>
    <row r="2" spans="1:5">
      <c r="A2" s="21" t="s">
        <v>49</v>
      </c>
      <c r="B2" s="21"/>
      <c r="C2" s="21"/>
      <c r="D2" s="21"/>
      <c r="E2" s="21"/>
    </row>
    <row r="4" spans="1:5" ht="24.5" customHeight="1">
      <c r="B4" s="143" t="s">
        <v>147</v>
      </c>
      <c r="C4" s="143"/>
      <c r="D4" s="143"/>
      <c r="E4" s="143"/>
    </row>
    <row r="6" spans="1:5">
      <c r="A6" s="20" t="s">
        <v>58</v>
      </c>
      <c r="B6" s="19" t="s">
        <v>141</v>
      </c>
      <c r="C6" s="47"/>
    </row>
    <row r="7" spans="1:5">
      <c r="B7" s="143" t="s">
        <v>206</v>
      </c>
      <c r="C7" s="143"/>
      <c r="D7" s="143"/>
      <c r="E7" s="143"/>
    </row>
    <row r="9" spans="1:5">
      <c r="B9" s="23" t="s">
        <v>51</v>
      </c>
    </row>
    <row r="10" spans="1:5">
      <c r="B10" s="1" t="s">
        <v>56</v>
      </c>
      <c r="C10" s="135">
        <f>Market_Yield!C16</f>
        <v>0.1174</v>
      </c>
    </row>
    <row r="11" spans="1:5">
      <c r="B11" s="1" t="s">
        <v>48</v>
      </c>
      <c r="C11" s="135">
        <f>Market_Yield!C6</f>
        <v>3.4500000000000003E-2</v>
      </c>
    </row>
    <row r="12" spans="1:5">
      <c r="B12" s="1" t="s">
        <v>350</v>
      </c>
      <c r="C12" s="77">
        <v>7.2499999999999995E-2</v>
      </c>
    </row>
    <row r="13" spans="1:5">
      <c r="C13" s="4"/>
    </row>
    <row r="14" spans="1:5" ht="46.5" customHeight="1">
      <c r="B14" s="143" t="s">
        <v>351</v>
      </c>
      <c r="C14" s="143"/>
      <c r="D14" s="143"/>
      <c r="E14" s="143"/>
    </row>
    <row r="15" spans="1:5">
      <c r="C15" s="4"/>
    </row>
    <row r="16" spans="1:5">
      <c r="B16" s="23" t="s">
        <v>52</v>
      </c>
      <c r="C16" s="4"/>
    </row>
    <row r="17" spans="1:5">
      <c r="B17" s="1" t="s">
        <v>143</v>
      </c>
      <c r="C17" s="4" t="s">
        <v>144</v>
      </c>
    </row>
    <row r="18" spans="1:5">
      <c r="B18" s="1" t="s">
        <v>131</v>
      </c>
      <c r="C18" s="24" t="s">
        <v>129</v>
      </c>
    </row>
    <row r="19" spans="1:5">
      <c r="B19" s="1" t="s">
        <v>132</v>
      </c>
      <c r="C19" s="24" t="s">
        <v>130</v>
      </c>
    </row>
    <row r="21" spans="1:5">
      <c r="B21" s="23" t="s">
        <v>53</v>
      </c>
    </row>
    <row r="22" spans="1:5">
      <c r="B22" s="24" t="s">
        <v>230</v>
      </c>
    </row>
    <row r="23" spans="1:5">
      <c r="B23" s="24" t="s">
        <v>207</v>
      </c>
    </row>
    <row r="24" spans="1:5">
      <c r="B24" s="24" t="s">
        <v>142</v>
      </c>
    </row>
    <row r="26" spans="1:5">
      <c r="A26" s="25" t="s">
        <v>59</v>
      </c>
      <c r="B26" s="19" t="s">
        <v>140</v>
      </c>
      <c r="C26" s="47"/>
    </row>
    <row r="27" spans="1:5">
      <c r="A27" s="18"/>
      <c r="B27" s="144" t="s">
        <v>208</v>
      </c>
      <c r="C27" s="143"/>
      <c r="D27" s="143"/>
      <c r="E27" s="143"/>
    </row>
    <row r="28" spans="1:5">
      <c r="A28" s="18"/>
    </row>
    <row r="29" spans="1:5">
      <c r="A29" s="18"/>
      <c r="B29" s="43" t="s">
        <v>133</v>
      </c>
      <c r="C29" s="43" t="s">
        <v>128</v>
      </c>
    </row>
    <row r="30" spans="1:5">
      <c r="B30" s="26" t="s">
        <v>73</v>
      </c>
      <c r="C30" s="133">
        <v>6</v>
      </c>
    </row>
    <row r="31" spans="1:5">
      <c r="B31" s="26" t="s">
        <v>195</v>
      </c>
      <c r="C31" s="134">
        <v>0.3</v>
      </c>
    </row>
    <row r="33" spans="1:5">
      <c r="A33" s="20" t="s">
        <v>60</v>
      </c>
      <c r="B33" s="19" t="s">
        <v>11</v>
      </c>
      <c r="C33" s="47"/>
    </row>
    <row r="34" spans="1:5">
      <c r="A34" s="20"/>
    </row>
    <row r="35" spans="1:5">
      <c r="A35" s="20"/>
      <c r="B35" s="43" t="s">
        <v>349</v>
      </c>
      <c r="C35" s="43" t="s">
        <v>128</v>
      </c>
    </row>
    <row r="36" spans="1:5">
      <c r="B36" s="131" t="s">
        <v>213</v>
      </c>
      <c r="C36" s="132">
        <v>3</v>
      </c>
    </row>
    <row r="37" spans="1:5">
      <c r="B37" s="26" t="s">
        <v>212</v>
      </c>
      <c r="C37" s="136">
        <v>0.55000000000000004</v>
      </c>
    </row>
    <row r="38" spans="1:5">
      <c r="B38" s="26" t="s">
        <v>345</v>
      </c>
      <c r="C38" s="138">
        <v>-0.65</v>
      </c>
    </row>
    <row r="40" spans="1:5">
      <c r="B40" s="20" t="s">
        <v>216</v>
      </c>
    </row>
    <row r="41" spans="1:5">
      <c r="B41" s="143" t="s">
        <v>215</v>
      </c>
      <c r="C41" s="143"/>
      <c r="D41" s="143"/>
      <c r="E41" s="143"/>
    </row>
    <row r="43" spans="1:5">
      <c r="A43" s="20" t="s">
        <v>60</v>
      </c>
      <c r="B43" s="19" t="s">
        <v>357</v>
      </c>
    </row>
    <row r="45" spans="1:5">
      <c r="B45" s="43" t="s">
        <v>209</v>
      </c>
      <c r="C45" s="43" t="s">
        <v>346</v>
      </c>
      <c r="D45" s="43" t="s">
        <v>353</v>
      </c>
      <c r="E45" s="43" t="s">
        <v>352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216</v>
      </c>
    </row>
    <row r="50" spans="1:5">
      <c r="B50" s="144" t="s">
        <v>354</v>
      </c>
      <c r="C50" s="143"/>
      <c r="D50" s="143"/>
      <c r="E50" s="143"/>
    </row>
    <row r="51" spans="1:5">
      <c r="B51" s="144" t="s">
        <v>228</v>
      </c>
      <c r="C51" s="144"/>
      <c r="D51" s="144"/>
      <c r="E51" s="144"/>
    </row>
    <row r="53" spans="1:5">
      <c r="A53" s="21" t="s">
        <v>136</v>
      </c>
      <c r="B53" s="21"/>
      <c r="C53" s="21"/>
      <c r="D53" s="21"/>
      <c r="E53" s="21"/>
    </row>
    <row r="55" spans="1:5">
      <c r="B55" s="143" t="s">
        <v>217</v>
      </c>
      <c r="C55" s="143"/>
      <c r="D55" s="143"/>
      <c r="E55" s="143"/>
    </row>
    <row r="57" spans="1:5">
      <c r="B57" s="23" t="s">
        <v>75</v>
      </c>
    </row>
    <row r="59" spans="1:5">
      <c r="B59" s="43" t="s">
        <v>76</v>
      </c>
      <c r="C59" s="43" t="s">
        <v>139</v>
      </c>
      <c r="D59" s="45"/>
      <c r="E59" s="45"/>
    </row>
    <row r="60" spans="1:5">
      <c r="B60" s="26" t="s">
        <v>204</v>
      </c>
      <c r="C60" s="29">
        <v>0.45</v>
      </c>
      <c r="D60" s="46"/>
      <c r="E60" s="44"/>
    </row>
    <row r="61" spans="1:5">
      <c r="B61" s="26" t="s">
        <v>203</v>
      </c>
      <c r="C61" s="29">
        <v>0.3</v>
      </c>
      <c r="D61" s="46"/>
      <c r="E61" s="44"/>
    </row>
    <row r="62" spans="1:5">
      <c r="B62" s="26" t="s">
        <v>202</v>
      </c>
      <c r="C62" s="29">
        <v>0.15</v>
      </c>
      <c r="D62" s="48" t="s">
        <v>148</v>
      </c>
      <c r="E62" s="44"/>
    </row>
    <row r="64" spans="1:5">
      <c r="B64" s="23" t="s">
        <v>74</v>
      </c>
    </row>
    <row r="66" spans="1:5">
      <c r="B66" s="43" t="s">
        <v>77</v>
      </c>
      <c r="C66" s="43" t="s">
        <v>78</v>
      </c>
      <c r="D66" s="43" t="s">
        <v>79</v>
      </c>
      <c r="E66" s="43" t="s">
        <v>80</v>
      </c>
    </row>
    <row r="67" spans="1:5">
      <c r="B67" s="26" t="s">
        <v>61</v>
      </c>
      <c r="C67" s="26" t="s">
        <v>65</v>
      </c>
      <c r="D67" s="26" t="s">
        <v>66</v>
      </c>
      <c r="E67" s="40">
        <v>1</v>
      </c>
    </row>
    <row r="68" spans="1:5">
      <c r="B68" s="26" t="s">
        <v>62</v>
      </c>
      <c r="C68" s="26" t="s">
        <v>63</v>
      </c>
      <c r="D68" s="26" t="s">
        <v>67</v>
      </c>
      <c r="E68" s="40">
        <v>1</v>
      </c>
    </row>
    <row r="69" spans="1:5">
      <c r="B69" s="26" t="s">
        <v>199</v>
      </c>
      <c r="C69" s="26" t="s">
        <v>200</v>
      </c>
      <c r="D69" s="26" t="s">
        <v>201</v>
      </c>
      <c r="E69" s="40">
        <v>0</v>
      </c>
    </row>
    <row r="70" spans="1:5">
      <c r="B70" s="26" t="s">
        <v>197</v>
      </c>
      <c r="C70" s="26" t="s">
        <v>167</v>
      </c>
      <c r="D70" s="26" t="s">
        <v>168</v>
      </c>
      <c r="E70" s="40">
        <v>2</v>
      </c>
    </row>
    <row r="71" spans="1:5">
      <c r="B71" s="26" t="s">
        <v>198</v>
      </c>
      <c r="C71" s="26" t="s">
        <v>64</v>
      </c>
      <c r="D71" s="26" t="s">
        <v>68</v>
      </c>
      <c r="E71" s="40">
        <v>0</v>
      </c>
    </row>
    <row r="72" spans="1:5">
      <c r="D72" s="27" t="s">
        <v>69</v>
      </c>
      <c r="E72" s="39">
        <f>SUM(E67:E71)</f>
        <v>4</v>
      </c>
    </row>
    <row r="73" spans="1:5" ht="12" thickBot="1">
      <c r="D73" s="41" t="s">
        <v>138</v>
      </c>
      <c r="E73" s="42">
        <f>IF(E72&lt;=4,C60,IF(E72&gt;=8,C62,C61))</f>
        <v>0.45</v>
      </c>
    </row>
    <row r="74" spans="1:5" ht="12" thickTop="1"/>
    <row r="75" spans="1:5">
      <c r="B75" s="1" t="s">
        <v>219</v>
      </c>
    </row>
    <row r="76" spans="1:5">
      <c r="B76" s="1" t="s">
        <v>229</v>
      </c>
    </row>
    <row r="77" spans="1:5">
      <c r="B77" s="1" t="s">
        <v>218</v>
      </c>
    </row>
    <row r="79" spans="1:5">
      <c r="A79" s="21" t="s">
        <v>70</v>
      </c>
      <c r="B79" s="21"/>
      <c r="C79" s="21"/>
      <c r="D79" s="21"/>
      <c r="E79" s="21"/>
    </row>
    <row r="81" spans="1:5">
      <c r="B81" s="143" t="s">
        <v>137</v>
      </c>
      <c r="C81" s="143"/>
      <c r="D81" s="143"/>
      <c r="E81" s="143"/>
    </row>
    <row r="83" spans="1:5">
      <c r="A83" s="28" t="s">
        <v>58</v>
      </c>
      <c r="B83" s="20" t="s">
        <v>221</v>
      </c>
    </row>
    <row r="84" spans="1:5">
      <c r="B84" s="24" t="s">
        <v>149</v>
      </c>
    </row>
    <row r="86" spans="1:5">
      <c r="A86" s="28" t="s">
        <v>205</v>
      </c>
      <c r="B86" s="20" t="s">
        <v>220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224</v>
      </c>
      <c r="C88" s="91" t="s">
        <v>231</v>
      </c>
    </row>
    <row r="89" spans="1:5">
      <c r="B89" s="104" t="s">
        <v>223</v>
      </c>
      <c r="C89" s="91" t="s">
        <v>196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222</v>
      </c>
    </row>
    <row r="93" spans="1:5">
      <c r="B93" s="1" t="s">
        <v>225</v>
      </c>
    </row>
    <row r="94" spans="1:5">
      <c r="B94" s="1" t="s">
        <v>227</v>
      </c>
    </row>
    <row r="95" spans="1:5">
      <c r="B95" s="1" t="s">
        <v>226</v>
      </c>
    </row>
    <row r="97" spans="1:5">
      <c r="A97" s="21" t="s">
        <v>71</v>
      </c>
      <c r="B97" s="21"/>
      <c r="C97" s="21"/>
      <c r="D97" s="21"/>
      <c r="E97" s="21"/>
    </row>
    <row r="99" spans="1:5">
      <c r="B99" s="20" t="s">
        <v>72</v>
      </c>
    </row>
    <row r="100" spans="1:5">
      <c r="B100" s="24" t="s">
        <v>81</v>
      </c>
    </row>
    <row r="101" spans="1:5">
      <c r="B101" s="24" t="s">
        <v>82</v>
      </c>
    </row>
    <row r="102" spans="1:5">
      <c r="B102" s="24" t="s">
        <v>146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3" sqref="D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83</v>
      </c>
      <c r="H1" s="148"/>
      <c r="I1" s="148"/>
      <c r="J1" s="150" t="s">
        <v>4</v>
      </c>
      <c r="K1" s="150"/>
      <c r="L1" s="150"/>
      <c r="M1" s="149" t="s">
        <v>166</v>
      </c>
      <c r="N1" s="149"/>
      <c r="O1" s="145" t="s">
        <v>7</v>
      </c>
      <c r="P1" s="145"/>
      <c r="Q1" s="152" t="s">
        <v>180</v>
      </c>
      <c r="R1" s="152"/>
      <c r="S1" s="152"/>
      <c r="T1" s="152"/>
      <c r="U1" s="151" t="s">
        <v>176</v>
      </c>
      <c r="V1" s="151"/>
      <c r="W1" s="151"/>
      <c r="X1" s="146" t="s">
        <v>47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174</v>
      </c>
      <c r="F2" s="7" t="s">
        <v>173</v>
      </c>
      <c r="G2" s="7" t="s">
        <v>54</v>
      </c>
      <c r="H2" s="7" t="s">
        <v>55</v>
      </c>
      <c r="I2" s="7" t="s">
        <v>145</v>
      </c>
      <c r="J2" s="8" t="s">
        <v>184</v>
      </c>
      <c r="K2" s="8" t="s">
        <v>9</v>
      </c>
      <c r="L2" s="8" t="s">
        <v>172</v>
      </c>
      <c r="M2" s="8" t="s">
        <v>165</v>
      </c>
      <c r="N2" s="8" t="s">
        <v>171</v>
      </c>
      <c r="O2" s="7" t="s">
        <v>10</v>
      </c>
      <c r="P2" s="7" t="s">
        <v>6</v>
      </c>
      <c r="Q2" s="7" t="s">
        <v>177</v>
      </c>
      <c r="R2" s="7" t="s">
        <v>182</v>
      </c>
      <c r="S2" s="7" t="s">
        <v>178</v>
      </c>
      <c r="T2" s="7" t="s">
        <v>179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175</v>
      </c>
      <c r="Z2" s="9" t="s">
        <v>8</v>
      </c>
      <c r="AA2" s="10" t="s">
        <v>46</v>
      </c>
    </row>
    <row r="3" spans="1:27">
      <c r="B3" s="11" t="s">
        <v>360</v>
      </c>
      <c r="C3" s="11" t="s">
        <v>365</v>
      </c>
      <c r="D3" s="2">
        <v>10.95</v>
      </c>
      <c r="E3" s="12" t="s">
        <v>134</v>
      </c>
      <c r="F3" s="15">
        <v>0.24545588146687553</v>
      </c>
      <c r="G3" s="15">
        <f>F3 - Portfolio_Mgmt!$C$10</f>
        <v>0.12805588146687552</v>
      </c>
      <c r="H3" s="15">
        <f>F3 - Portfolio_Mgmt!$C$11</f>
        <v>0.21095588146687552</v>
      </c>
      <c r="I3" s="15">
        <v>0.11806286085401296</v>
      </c>
      <c r="J3" s="2">
        <v>9.7976182257555031</v>
      </c>
      <c r="K3" s="2">
        <v>18.832538056736045</v>
      </c>
      <c r="L3" s="71">
        <v>16.863282559379705</v>
      </c>
      <c r="M3" s="2">
        <v>12.164684995831331</v>
      </c>
      <c r="N3" s="2">
        <v>14.973823103048371</v>
      </c>
      <c r="O3" s="4">
        <v>9.3035741095274432E-2</v>
      </c>
      <c r="P3" s="4">
        <v>5.5848492991565024E-2</v>
      </c>
      <c r="Q3" s="4">
        <v>0.10095793170403848</v>
      </c>
      <c r="R3" s="4">
        <v>0.12639799366819729</v>
      </c>
      <c r="S3" s="79">
        <v>0.49405373744838704</v>
      </c>
      <c r="T3" s="78">
        <v>1.6166874809837415</v>
      </c>
      <c r="U3" s="15">
        <v>1.8343761526547521E-2</v>
      </c>
      <c r="V3" s="76">
        <v>0.18140013622570431</v>
      </c>
      <c r="W3" s="71">
        <v>1.7671407808855011</v>
      </c>
      <c r="X3" s="13" t="s">
        <v>366</v>
      </c>
      <c r="Y3" s="11" t="s">
        <v>361</v>
      </c>
      <c r="Z3" s="14">
        <v>46173</v>
      </c>
      <c r="AA3" s="16" t="s">
        <v>367</v>
      </c>
    </row>
    <row r="4" spans="1:27">
      <c r="B4" s="11" t="s">
        <v>329</v>
      </c>
      <c r="C4" s="11" t="s">
        <v>368</v>
      </c>
      <c r="D4" s="2">
        <v>3.92</v>
      </c>
      <c r="E4" s="12" t="s">
        <v>134</v>
      </c>
      <c r="F4" s="15">
        <v>0.24111512969803736</v>
      </c>
      <c r="G4" s="15">
        <f>F4 - Portfolio_Mgmt!$C$10</f>
        <v>0.12371512969803736</v>
      </c>
      <c r="H4" s="15">
        <f>F4 - Portfolio_Mgmt!$C$11</f>
        <v>0.20661512969803736</v>
      </c>
      <c r="I4" s="15">
        <v>0.11459814493629858</v>
      </c>
      <c r="J4" s="2">
        <v>3.4746174973670048</v>
      </c>
      <c r="K4" s="2">
        <v>6.579785868191963</v>
      </c>
      <c r="L4" s="71">
        <v>5.9652651519652338</v>
      </c>
      <c r="M4" s="2">
        <v>4.309346489867405</v>
      </c>
      <c r="N4" s="2">
        <v>5.2994973406904808</v>
      </c>
      <c r="O4" s="4">
        <v>0.11356935516747675</v>
      </c>
      <c r="P4" s="4">
        <v>6.1683673469387752E-2</v>
      </c>
      <c r="Q4" s="4">
        <v>0.17911384235321903</v>
      </c>
      <c r="R4" s="4">
        <v>0.23440332981639808</v>
      </c>
      <c r="S4" s="79">
        <v>0.61200300518899786</v>
      </c>
      <c r="T4" s="78">
        <v>1.2485669045200241</v>
      </c>
      <c r="U4" s="15">
        <v>3.1120102042901991E-2</v>
      </c>
      <c r="V4" s="76">
        <v>0.1723700558857961</v>
      </c>
      <c r="W4" s="71">
        <v>1.2868932816537482</v>
      </c>
      <c r="X4" s="13" t="s">
        <v>169</v>
      </c>
      <c r="Y4" s="11" t="s">
        <v>361</v>
      </c>
      <c r="Z4" s="14">
        <v>46081</v>
      </c>
      <c r="AA4" s="16" t="s">
        <v>367</v>
      </c>
    </row>
    <row r="5" spans="1:27">
      <c r="B5" s="11" t="s">
        <v>380</v>
      </c>
      <c r="C5" s="11" t="s">
        <v>381</v>
      </c>
      <c r="D5" s="2">
        <v>108.4</v>
      </c>
      <c r="E5" s="12" t="s">
        <v>134</v>
      </c>
      <c r="F5" s="15">
        <v>0.23276346821133451</v>
      </c>
      <c r="G5" s="15">
        <f>F5 - Portfolio_Mgmt!$C$10</f>
        <v>0.1153634682113345</v>
      </c>
      <c r="H5" s="15">
        <f>F5 - Portfolio_Mgmt!$C$11</f>
        <v>0.1982634682113345</v>
      </c>
      <c r="I5" s="15">
        <v>0.21511637641971776</v>
      </c>
      <c r="J5" s="2">
        <v>93.938670968979238</v>
      </c>
      <c r="K5" s="2">
        <v>189.90948550292694</v>
      </c>
      <c r="L5" s="71">
        <v>163.11059698866035</v>
      </c>
      <c r="M5" s="2">
        <v>117.08006353169542</v>
      </c>
      <c r="N5" s="2">
        <v>144.58783443836151</v>
      </c>
      <c r="O5" s="4">
        <v>7.9551918170658015E-2</v>
      </c>
      <c r="P5" s="4">
        <v>3.2380073800738006E-2</v>
      </c>
      <c r="Q5" s="4">
        <v>0.15</v>
      </c>
      <c r="R5" s="4">
        <v>3.9404773307997187E-2</v>
      </c>
      <c r="S5" s="79">
        <v>1.6240671367246462</v>
      </c>
      <c r="T5" s="78">
        <v>2.3438965902371725</v>
      </c>
      <c r="U5" s="15">
        <v>0.36820511135930623</v>
      </c>
      <c r="V5" s="76">
        <v>2.8852377432054559</v>
      </c>
      <c r="W5" s="71">
        <v>-65.351938341123912</v>
      </c>
      <c r="X5" s="13" t="s">
        <v>169</v>
      </c>
      <c r="Y5" s="11" t="s">
        <v>364</v>
      </c>
      <c r="Z5" s="14">
        <v>46173</v>
      </c>
      <c r="AA5" s="16" t="s">
        <v>181</v>
      </c>
    </row>
    <row r="6" spans="1:27">
      <c r="B6" s="11" t="s">
        <v>382</v>
      </c>
      <c r="C6" s="11" t="s">
        <v>383</v>
      </c>
      <c r="D6" s="2">
        <v>78.2</v>
      </c>
      <c r="E6" s="12" t="s">
        <v>134</v>
      </c>
      <c r="F6" s="15">
        <v>0.20744728707916196</v>
      </c>
      <c r="G6" s="15">
        <f>F6 - Portfolio_Mgmt!$C$10</f>
        <v>9.0047287079161958E-2</v>
      </c>
      <c r="H6" s="15">
        <f>F6 - Portfolio_Mgmt!$C$11</f>
        <v>0.17294728707916196</v>
      </c>
      <c r="I6" s="15">
        <v>0.16532005022104238</v>
      </c>
      <c r="J6" s="2">
        <v>64.083024609004411</v>
      </c>
      <c r="K6" s="2">
        <v>120.87002974929135</v>
      </c>
      <c r="L6" s="71">
        <v>109.94487498667915</v>
      </c>
      <c r="M6" s="2">
        <v>79.455065764340816</v>
      </c>
      <c r="N6" s="2">
        <v>97.686984946737908</v>
      </c>
      <c r="O6" s="4">
        <v>6.9443524836715065E-2</v>
      </c>
      <c r="P6" s="4">
        <v>5.8580562659846548E-2</v>
      </c>
      <c r="Q6" s="4">
        <v>9.6671315574961933E-2</v>
      </c>
      <c r="R6" s="4">
        <v>0.13321568275625476</v>
      </c>
      <c r="S6" s="79">
        <v>0.48913824057450628</v>
      </c>
      <c r="T6" s="78">
        <v>1.4835789300471205</v>
      </c>
      <c r="U6" s="15">
        <v>6.4100114768294941E-2</v>
      </c>
      <c r="V6" s="76">
        <v>0.67756727799881356</v>
      </c>
      <c r="W6" s="71">
        <v>1.4595879951208952</v>
      </c>
      <c r="X6" s="13" t="s">
        <v>377</v>
      </c>
      <c r="Y6" s="11" t="s">
        <v>364</v>
      </c>
      <c r="Z6" s="14">
        <v>46081</v>
      </c>
      <c r="AA6" s="16" t="s">
        <v>181</v>
      </c>
    </row>
    <row r="7" spans="1:27">
      <c r="B7" s="11" t="s">
        <v>384</v>
      </c>
      <c r="C7" s="11" t="s">
        <v>385</v>
      </c>
      <c r="D7" s="2">
        <v>79.7</v>
      </c>
      <c r="E7" s="12" t="s">
        <v>134</v>
      </c>
      <c r="F7" s="15">
        <v>0.1802044512971728</v>
      </c>
      <c r="G7" s="15">
        <f>F7 - Portfolio_Mgmt!$C$10</f>
        <v>6.2804451297172798E-2</v>
      </c>
      <c r="H7" s="15">
        <f>F7 - Portfolio_Mgmt!$C$11</f>
        <v>0.1457044512971728</v>
      </c>
      <c r="I7" s="15">
        <v>9.5727166999319935E-2</v>
      </c>
      <c r="J7" s="2">
        <v>61.546008159738619</v>
      </c>
      <c r="K7" s="2">
        <v>108.22286288718669</v>
      </c>
      <c r="L7" s="71">
        <v>104.3916642499931</v>
      </c>
      <c r="M7" s="2">
        <v>75.934104527665241</v>
      </c>
      <c r="N7" s="2">
        <v>92.961304638445242</v>
      </c>
      <c r="O7" s="4">
        <v>0.11363643319612667</v>
      </c>
      <c r="P7" s="4">
        <v>8.0045169385194473E-2</v>
      </c>
      <c r="Q7" s="4">
        <v>0.08</v>
      </c>
      <c r="R7" s="4">
        <v>0.16758448420991445</v>
      </c>
      <c r="S7" s="79">
        <v>0.26833431587768736</v>
      </c>
      <c r="T7" s="78">
        <v>1.7790164507082717</v>
      </c>
      <c r="U7" s="15">
        <v>0.29042568125650897</v>
      </c>
      <c r="V7" s="76">
        <v>2.3236948196964886</v>
      </c>
      <c r="W7" s="71">
        <v>-19.223523599617479</v>
      </c>
      <c r="X7" s="13" t="s">
        <v>169</v>
      </c>
      <c r="Y7" s="11" t="s">
        <v>361</v>
      </c>
      <c r="Z7" s="14">
        <v>46081</v>
      </c>
      <c r="AA7" s="16" t="s">
        <v>181</v>
      </c>
    </row>
    <row r="8" spans="1:27">
      <c r="B8" s="11" t="s">
        <v>362</v>
      </c>
      <c r="C8" s="11" t="s">
        <v>363</v>
      </c>
      <c r="D8" s="2">
        <v>7.1</v>
      </c>
      <c r="E8" s="12" t="s">
        <v>134</v>
      </c>
      <c r="F8" s="15">
        <v>0.17343705650576521</v>
      </c>
      <c r="G8" s="15">
        <f>F8 - Portfolio_Mgmt!$C$10</f>
        <v>5.6037056505765209E-2</v>
      </c>
      <c r="H8" s="15">
        <f>F8 - Portfolio_Mgmt!$C$11</f>
        <v>0.13893705650576521</v>
      </c>
      <c r="I8" s="15">
        <v>7.4984565788737495E-2</v>
      </c>
      <c r="J8" s="2">
        <v>5.3141281403824898</v>
      </c>
      <c r="K8" s="2">
        <v>10.967807599967429</v>
      </c>
      <c r="L8" s="71">
        <v>9.2614927891107719</v>
      </c>
      <c r="M8" s="2">
        <v>6.6339642861251669</v>
      </c>
      <c r="N8" s="2">
        <v>8.2038797297466814</v>
      </c>
      <c r="O8" s="4">
        <v>6.4656356394088135E-2</v>
      </c>
      <c r="P8" s="4">
        <v>0.02</v>
      </c>
      <c r="Q8" s="4">
        <v>0.3</v>
      </c>
      <c r="R8" s="4">
        <v>0.15217050538089463</v>
      </c>
      <c r="S8" s="79">
        <v>1.1106245684847842</v>
      </c>
      <c r="T8" s="78">
        <v>1.775102743966247</v>
      </c>
      <c r="U8" s="15">
        <v>0.17709797868255178</v>
      </c>
      <c r="V8" s="76">
        <v>0.82178780749892033</v>
      </c>
      <c r="W8" s="71">
        <v>-0.16650139591844174</v>
      </c>
      <c r="X8" s="13" t="s">
        <v>169</v>
      </c>
      <c r="Y8" s="11" t="s">
        <v>364</v>
      </c>
      <c r="Z8" s="14">
        <v>46081</v>
      </c>
      <c r="AA8" s="16" t="s">
        <v>181</v>
      </c>
    </row>
    <row r="9" spans="1:27">
      <c r="B9" s="11" t="s">
        <v>327</v>
      </c>
      <c r="C9" s="11" t="s">
        <v>328</v>
      </c>
      <c r="D9" s="2">
        <v>4.71</v>
      </c>
      <c r="E9" s="12" t="s">
        <v>134</v>
      </c>
      <c r="F9" s="15">
        <v>0.17109898945021842</v>
      </c>
      <c r="G9" s="15">
        <f>F9 - Portfolio_Mgmt!$C$10</f>
        <v>5.3698989450218421E-2</v>
      </c>
      <c r="H9" s="15">
        <f>F9 - Portfolio_Mgmt!$C$11</f>
        <v>0.13659898945021842</v>
      </c>
      <c r="I9" s="15">
        <v>6.7430620943927266E-2</v>
      </c>
      <c r="J9" s="2">
        <v>3.5453162653105039</v>
      </c>
      <c r="K9" s="2">
        <v>6.5021029196761031</v>
      </c>
      <c r="L9" s="71">
        <v>6.0543353749158966</v>
      </c>
      <c r="M9" s="2">
        <v>4.3869285024051887</v>
      </c>
      <c r="N9" s="2">
        <v>5.3842307819113344</v>
      </c>
      <c r="O9" s="4">
        <v>8.5758636656529441E-2</v>
      </c>
      <c r="P9" s="4">
        <v>6.369426751592358E-2</v>
      </c>
      <c r="Q9" s="4">
        <v>0.18</v>
      </c>
      <c r="R9" s="4">
        <v>5.5599077391744495E-2</v>
      </c>
      <c r="S9" s="79">
        <v>1.4798367611150316</v>
      </c>
      <c r="T9" s="78">
        <v>2.187716833659914</v>
      </c>
      <c r="U9" s="15">
        <v>0.76701287002940366</v>
      </c>
      <c r="V9" s="76">
        <v>5.0983946232940358</v>
      </c>
      <c r="W9" s="71">
        <v>-2.4800067209187837</v>
      </c>
      <c r="X9" s="13" t="s">
        <v>169</v>
      </c>
      <c r="Y9" s="11" t="s">
        <v>361</v>
      </c>
      <c r="Z9" s="14">
        <v>46173</v>
      </c>
      <c r="AA9" s="16" t="s">
        <v>181</v>
      </c>
    </row>
    <row r="10" spans="1:27">
      <c r="B10" s="11" t="s">
        <v>183</v>
      </c>
      <c r="C10" s="11" t="s">
        <v>371</v>
      </c>
      <c r="D10" s="2">
        <v>3.36</v>
      </c>
      <c r="E10" s="12" t="s">
        <v>134</v>
      </c>
      <c r="F10" s="15">
        <v>0.17082869369402165</v>
      </c>
      <c r="G10" s="15">
        <f>F10 - Portfolio_Mgmt!$C$10</f>
        <v>5.3428693694021645E-2</v>
      </c>
      <c r="H10" s="15">
        <f>F10 - Portfolio_Mgmt!$C$11</f>
        <v>0.13632869369402165</v>
      </c>
      <c r="I10" s="15">
        <v>6.6543794811664683E-2</v>
      </c>
      <c r="J10" s="2">
        <v>2.5385815935033342</v>
      </c>
      <c r="K10" s="2">
        <v>4.4366120194593153</v>
      </c>
      <c r="L10" s="71">
        <v>4.3016714192105461</v>
      </c>
      <c r="M10" s="2">
        <v>3.1307450481218235</v>
      </c>
      <c r="N10" s="2">
        <v>3.8313906187252909</v>
      </c>
      <c r="O10" s="4">
        <v>7.22692940742648E-2</v>
      </c>
      <c r="P10" s="4">
        <v>8.0357142857142863E-2</v>
      </c>
      <c r="Q10" s="4">
        <v>0.11354054587062024</v>
      </c>
      <c r="R10" s="4">
        <v>0.4243739445166862</v>
      </c>
      <c r="S10" s="79">
        <v>0.22035988512352028</v>
      </c>
      <c r="T10" s="78">
        <v>1.2141426890285656</v>
      </c>
      <c r="U10" s="15">
        <v>2.3107986944995245E-3</v>
      </c>
      <c r="V10" s="76">
        <v>2.0454423835375664E-2</v>
      </c>
      <c r="W10" s="71">
        <v>0.79833937207218564</v>
      </c>
      <c r="X10" s="16" t="s">
        <v>372</v>
      </c>
      <c r="Y10" s="11" t="s">
        <v>361</v>
      </c>
      <c r="Z10" s="14">
        <v>46081</v>
      </c>
      <c r="AA10" s="16" t="s">
        <v>181</v>
      </c>
    </row>
    <row r="11" spans="1:27">
      <c r="B11" s="11" t="s">
        <v>386</v>
      </c>
      <c r="C11" s="11" t="s">
        <v>387</v>
      </c>
      <c r="D11" s="2">
        <v>42.4</v>
      </c>
      <c r="E11" s="12" t="s">
        <v>134</v>
      </c>
      <c r="F11" s="15">
        <v>0.15855740519921338</v>
      </c>
      <c r="G11" s="15">
        <f>F11 - Portfolio_Mgmt!$C$10</f>
        <v>4.1157405199213376E-2</v>
      </c>
      <c r="H11" s="15">
        <f>F11 - Portfolio_Mgmt!$C$11</f>
        <v>0.12405740519921338</v>
      </c>
      <c r="I11" s="15">
        <v>2.304871387799436E-2</v>
      </c>
      <c r="J11" s="2">
        <v>30.695059697144316</v>
      </c>
      <c r="K11" s="2">
        <v>60.922911775163712</v>
      </c>
      <c r="L11" s="71">
        <v>53.124686702250834</v>
      </c>
      <c r="M11" s="2">
        <v>38.202646604928695</v>
      </c>
      <c r="N11" s="2">
        <v>47.121500168497697</v>
      </c>
      <c r="O11" s="4">
        <v>6.9312489962270629E-2</v>
      </c>
      <c r="P11" s="4">
        <v>3.3768915094339623E-2</v>
      </c>
      <c r="Q11" s="4">
        <v>0.2658092571428613</v>
      </c>
      <c r="R11" s="4">
        <v>0.20771863979883598</v>
      </c>
      <c r="S11" s="79">
        <v>0.65265738052043343</v>
      </c>
      <c r="T11" s="78">
        <v>1.9606920057834423</v>
      </c>
      <c r="U11" s="15">
        <v>0.67283405398617657</v>
      </c>
      <c r="V11" s="76">
        <v>2.2041306156151999</v>
      </c>
      <c r="W11" s="71">
        <v>-6.3382048349071285</v>
      </c>
      <c r="X11" s="13" t="s">
        <v>169</v>
      </c>
      <c r="Y11" s="11" t="s">
        <v>364</v>
      </c>
      <c r="Z11" s="14">
        <v>46081</v>
      </c>
      <c r="AA11" s="16" t="s">
        <v>181</v>
      </c>
    </row>
    <row r="12" spans="1:27">
      <c r="B12" s="11" t="s">
        <v>330</v>
      </c>
      <c r="C12" s="11" t="s">
        <v>369</v>
      </c>
      <c r="D12" s="2">
        <v>8.25</v>
      </c>
      <c r="E12" s="12" t="s">
        <v>134</v>
      </c>
      <c r="F12" s="15">
        <v>0.15353813338003686</v>
      </c>
      <c r="G12" s="15">
        <f>F12 - Portfolio_Mgmt!$C$10</f>
        <v>3.6138133380036852E-2</v>
      </c>
      <c r="H12" s="15">
        <f>F12 - Portfolio_Mgmt!$C$11</f>
        <v>0.11903813338003685</v>
      </c>
      <c r="I12" s="15">
        <v>1.6129158499726759E-3</v>
      </c>
      <c r="J12" s="2">
        <v>5.9078368150321605</v>
      </c>
      <c r="K12" s="2">
        <v>11.541914080056717</v>
      </c>
      <c r="L12" s="71">
        <v>10.196764565217837</v>
      </c>
      <c r="M12" s="2">
        <v>7.3440346104754823</v>
      </c>
      <c r="N12" s="2">
        <v>9.0493420849154926</v>
      </c>
      <c r="O12" s="4">
        <v>8.6353694606561032E-2</v>
      </c>
      <c r="P12" s="4">
        <v>3.9015080252477116E-2</v>
      </c>
      <c r="Q12" s="4">
        <v>0.17172003183646106</v>
      </c>
      <c r="R12" s="4">
        <v>8.3606170991535958E-2</v>
      </c>
      <c r="S12" s="79">
        <v>1.3282158707615834</v>
      </c>
      <c r="T12" s="78">
        <v>1.5463719418456539</v>
      </c>
      <c r="U12" s="15">
        <v>0.22428295339746124</v>
      </c>
      <c r="V12" s="76">
        <v>1.2715557492373779</v>
      </c>
      <c r="W12" s="71">
        <v>-2.9886395027802579</v>
      </c>
      <c r="X12" s="13" t="s">
        <v>370</v>
      </c>
      <c r="Y12" s="11" t="s">
        <v>364</v>
      </c>
      <c r="Z12" s="14">
        <v>46081</v>
      </c>
      <c r="AA12" s="16" t="s">
        <v>367</v>
      </c>
    </row>
    <row r="13" spans="1:27">
      <c r="B13" s="11" t="s">
        <v>388</v>
      </c>
      <c r="C13" s="11" t="s">
        <v>389</v>
      </c>
      <c r="D13" s="2">
        <v>84.85</v>
      </c>
      <c r="E13" s="12" t="s">
        <v>134</v>
      </c>
      <c r="F13" s="15">
        <v>0.15220350461898119</v>
      </c>
      <c r="G13" s="15">
        <f>F13 - Portfolio_Mgmt!$C$10</f>
        <v>3.4803504618981185E-2</v>
      </c>
      <c r="H13" s="15">
        <f>F13 - Portfolio_Mgmt!$C$11</f>
        <v>0.11770350461898119</v>
      </c>
      <c r="I13" s="15">
        <v>0</v>
      </c>
      <c r="J13" s="2">
        <v>59.810810612437827</v>
      </c>
      <c r="K13" s="2">
        <v>129.78945902899005</v>
      </c>
      <c r="L13" s="2">
        <v>105.20769838411479</v>
      </c>
      <c r="M13" s="2">
        <v>74.968640594362512</v>
      </c>
      <c r="N13" s="2">
        <v>93.027943662797526</v>
      </c>
      <c r="O13" s="4">
        <v>1.4630748794299549E-2</v>
      </c>
      <c r="P13" s="4">
        <v>0</v>
      </c>
      <c r="Q13" s="4">
        <v>0.2</v>
      </c>
      <c r="R13" s="4">
        <v>0.10918374574607279</v>
      </c>
      <c r="S13" s="79">
        <v>1.022390799101176</v>
      </c>
      <c r="T13" s="78">
        <v>1.7916578376478161</v>
      </c>
      <c r="U13" s="15">
        <v>0.27660377540313014</v>
      </c>
      <c r="V13" s="76">
        <v>3.1316510969641755</v>
      </c>
      <c r="W13" s="71">
        <v>3.6093000531806934</v>
      </c>
      <c r="X13" s="13" t="s">
        <v>390</v>
      </c>
      <c r="Y13" s="11" t="s">
        <v>364</v>
      </c>
      <c r="Z13" s="14">
        <v>46081</v>
      </c>
      <c r="AA13" s="16" t="s">
        <v>367</v>
      </c>
    </row>
    <row r="14" spans="1:27">
      <c r="B14" s="11" t="s">
        <v>378</v>
      </c>
      <c r="C14" s="11" t="s">
        <v>379</v>
      </c>
      <c r="D14" s="2">
        <v>4.9800000000000004</v>
      </c>
      <c r="E14" s="12" t="s">
        <v>134</v>
      </c>
      <c r="F14" s="15">
        <v>0.12916398328704107</v>
      </c>
      <c r="G14" s="15">
        <f>F14 - Portfolio_Mgmt!$C$10</f>
        <v>1.1763983287041063E-2</v>
      </c>
      <c r="H14" s="15">
        <f>F14 - Portfolio_Mgmt!$C$11</f>
        <v>9.4663983287041065E-2</v>
      </c>
      <c r="I14" s="15">
        <v>0</v>
      </c>
      <c r="J14" s="2">
        <v>3.3455729956390798</v>
      </c>
      <c r="K14" s="2">
        <v>6.6277455556474951</v>
      </c>
      <c r="L14" s="2">
        <v>5.7883592149489207</v>
      </c>
      <c r="M14" s="2">
        <v>4.1632581103676909</v>
      </c>
      <c r="N14" s="2">
        <v>5.1345919269174427</v>
      </c>
      <c r="O14" s="4">
        <v>6.2290761317710983E-2</v>
      </c>
      <c r="P14" s="4">
        <v>3.1967871485943773E-2</v>
      </c>
      <c r="Q14" s="4">
        <v>0.27382509866113364</v>
      </c>
      <c r="R14" s="4">
        <v>0.20764453215246689</v>
      </c>
      <c r="S14" s="79">
        <v>0.86056930273853416</v>
      </c>
      <c r="T14" s="78">
        <v>1.532381509863507</v>
      </c>
      <c r="U14" s="15">
        <v>0.27351475277205878</v>
      </c>
      <c r="V14" s="76">
        <v>0.94608729427783522</v>
      </c>
      <c r="W14" s="71">
        <v>0.59749676752244707</v>
      </c>
      <c r="X14" s="13" t="s">
        <v>169</v>
      </c>
      <c r="Y14" s="11" t="s">
        <v>364</v>
      </c>
      <c r="Z14" s="14">
        <v>46173</v>
      </c>
      <c r="AA14" s="16" t="s">
        <v>367</v>
      </c>
    </row>
    <row r="15" spans="1:27">
      <c r="B15" s="11" t="s">
        <v>157</v>
      </c>
      <c r="C15" s="11" t="s">
        <v>373</v>
      </c>
      <c r="D15" s="2">
        <v>21.68</v>
      </c>
      <c r="E15" s="12" t="s">
        <v>134</v>
      </c>
      <c r="F15" s="15">
        <v>0.11206199064299743</v>
      </c>
      <c r="G15" s="15">
        <f>F15 - Portfolio_Mgmt!$C$10</f>
        <v>-5.3380093570025711E-3</v>
      </c>
      <c r="H15" s="15">
        <f>F15 - Portfolio_Mgmt!$C$11</f>
        <v>7.756199064299743E-2</v>
      </c>
      <c r="I15" s="15">
        <v>0</v>
      </c>
      <c r="J15" s="2">
        <v>13.888017025965146</v>
      </c>
      <c r="K15" s="2">
        <v>28.086537689261871</v>
      </c>
      <c r="L15" s="2">
        <v>24.116023350805108</v>
      </c>
      <c r="M15" s="2">
        <v>17.30975176800316</v>
      </c>
      <c r="N15" s="2">
        <v>21.377155387307688</v>
      </c>
      <c r="O15" s="4">
        <v>5.2277491662588847E-2</v>
      </c>
      <c r="P15" s="4">
        <v>2.3818602026711627E-2</v>
      </c>
      <c r="Q15" s="4">
        <v>0.2</v>
      </c>
      <c r="R15" s="4">
        <v>0.13430424833028851</v>
      </c>
      <c r="S15" s="79">
        <v>1.1000000000000001</v>
      </c>
      <c r="T15" s="78">
        <v>1.3537783359692717</v>
      </c>
      <c r="U15" s="15">
        <v>6.5417684980282262E-2</v>
      </c>
      <c r="V15" s="76">
        <v>0.50358953318926281</v>
      </c>
      <c r="W15" s="71">
        <v>5.6488739964571097</v>
      </c>
      <c r="X15" s="13" t="s">
        <v>374</v>
      </c>
      <c r="Y15" s="11" t="s">
        <v>364</v>
      </c>
      <c r="Z15" s="14">
        <v>46081</v>
      </c>
      <c r="AA15" s="16" t="s">
        <v>181</v>
      </c>
    </row>
    <row r="16" spans="1:27">
      <c r="B16" s="11" t="s">
        <v>170</v>
      </c>
      <c r="C16" s="11" t="s">
        <v>375</v>
      </c>
      <c r="D16" s="2">
        <v>25.12</v>
      </c>
      <c r="E16" s="12" t="s">
        <v>134</v>
      </c>
      <c r="F16" s="15">
        <v>5.99605239150642E-2</v>
      </c>
      <c r="G16" s="15">
        <f>F16 - Portfolio_Mgmt!$C$10</f>
        <v>-5.7439476084935805E-2</v>
      </c>
      <c r="H16" s="15">
        <f>F16 - Portfolio_Mgmt!$C$11</f>
        <v>2.5460523915064197E-2</v>
      </c>
      <c r="I16" s="15">
        <v>0</v>
      </c>
      <c r="J16" s="2">
        <v>14.242847369725101</v>
      </c>
      <c r="K16" s="2">
        <v>25.903798612903174</v>
      </c>
      <c r="L16" s="2">
        <v>24.289284369654219</v>
      </c>
      <c r="M16" s="2">
        <v>17.613527926860517</v>
      </c>
      <c r="N16" s="2">
        <v>21.606696813043477</v>
      </c>
      <c r="O16" s="4">
        <v>9.6653195241315756E-2</v>
      </c>
      <c r="P16" s="4">
        <v>5.0159235668789805E-2</v>
      </c>
      <c r="Q16" s="4">
        <v>0.17275816461101692</v>
      </c>
      <c r="R16" s="4">
        <v>0.32389125963769955</v>
      </c>
      <c r="S16" s="79">
        <v>0.37580175109499292</v>
      </c>
      <c r="T16" s="78">
        <v>1.419320754716981</v>
      </c>
      <c r="U16" s="15">
        <v>9.2018392262565404E-2</v>
      </c>
      <c r="V16" s="76">
        <v>0.52808720739977155</v>
      </c>
      <c r="W16" s="71">
        <v>0.46584709953367287</v>
      </c>
      <c r="X16" s="13" t="s">
        <v>376</v>
      </c>
      <c r="Y16" s="11" t="s">
        <v>361</v>
      </c>
      <c r="Z16" s="14">
        <v>46081</v>
      </c>
      <c r="AA16" s="16" t="s">
        <v>181</v>
      </c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232</v>
      </c>
    </row>
    <row r="2" spans="1:5">
      <c r="A2" s="21" t="s">
        <v>233</v>
      </c>
      <c r="B2" s="21"/>
      <c r="C2" s="21"/>
      <c r="D2" s="21"/>
      <c r="E2" s="21"/>
    </row>
    <row r="4" spans="1:5">
      <c r="B4" s="144" t="s">
        <v>234</v>
      </c>
      <c r="C4" s="143"/>
      <c r="D4" s="143"/>
      <c r="E4" s="143"/>
    </row>
    <row r="6" spans="1:5">
      <c r="A6" s="20" t="s">
        <v>58</v>
      </c>
      <c r="B6" s="19" t="s">
        <v>235</v>
      </c>
      <c r="C6" s="47"/>
    </row>
    <row r="7" spans="1:5">
      <c r="B7" s="144" t="s">
        <v>325</v>
      </c>
      <c r="C7" s="143"/>
      <c r="D7" s="143"/>
      <c r="E7" s="143"/>
    </row>
    <row r="9" spans="1:5">
      <c r="B9" s="23" t="s">
        <v>236</v>
      </c>
    </row>
    <row r="10" spans="1:5">
      <c r="B10" s="1" t="s">
        <v>237</v>
      </c>
      <c r="C10" s="105">
        <f>benchmark</f>
        <v>0.1174</v>
      </c>
    </row>
    <row r="11" spans="1:5">
      <c r="B11" s="1" t="s">
        <v>238</v>
      </c>
      <c r="C11" s="105">
        <f>Cash_Yield</f>
        <v>3.4500000000000003E-2</v>
      </c>
    </row>
    <row r="12" spans="1:5">
      <c r="C12" s="4"/>
    </row>
    <row r="13" spans="1:5">
      <c r="B13" s="23" t="s">
        <v>239</v>
      </c>
      <c r="C13" s="4"/>
    </row>
    <row r="14" spans="1:5">
      <c r="B14" s="1" t="s">
        <v>240</v>
      </c>
      <c r="C14" s="4" t="s">
        <v>243</v>
      </c>
    </row>
    <row r="15" spans="1:5">
      <c r="B15" s="1" t="s">
        <v>241</v>
      </c>
      <c r="C15" s="24" t="s">
        <v>244</v>
      </c>
    </row>
    <row r="16" spans="1:5">
      <c r="B16" s="1" t="s">
        <v>242</v>
      </c>
      <c r="C16" s="24" t="s">
        <v>245</v>
      </c>
    </row>
    <row r="18" spans="1:5">
      <c r="B18" s="23" t="s">
        <v>246</v>
      </c>
    </row>
    <row r="19" spans="1:5">
      <c r="B19" s="24" t="s">
        <v>247</v>
      </c>
    </row>
    <row r="20" spans="1:5">
      <c r="B20" s="24" t="s">
        <v>248</v>
      </c>
    </row>
    <row r="21" spans="1:5">
      <c r="B21" s="24" t="s">
        <v>249</v>
      </c>
    </row>
    <row r="23" spans="1:5">
      <c r="A23" s="25" t="s">
        <v>59</v>
      </c>
      <c r="B23" s="19" t="s">
        <v>251</v>
      </c>
      <c r="C23" s="47"/>
    </row>
    <row r="24" spans="1:5">
      <c r="A24" s="18"/>
      <c r="B24" s="144" t="s">
        <v>250</v>
      </c>
      <c r="C24" s="143"/>
      <c r="D24" s="143"/>
      <c r="E24" s="143"/>
    </row>
    <row r="25" spans="1:5">
      <c r="A25" s="18"/>
    </row>
    <row r="26" spans="1:5">
      <c r="A26" s="18"/>
      <c r="B26" s="43" t="s">
        <v>252</v>
      </c>
      <c r="C26" s="43" t="s">
        <v>253</v>
      </c>
    </row>
    <row r="27" spans="1:5">
      <c r="B27" s="26" t="s">
        <v>254</v>
      </c>
      <c r="C27" s="106">
        <f>Portfolio_Mgmt!C30</f>
        <v>6</v>
      </c>
    </row>
    <row r="28" spans="1:5">
      <c r="B28" s="26" t="s">
        <v>255</v>
      </c>
      <c r="C28" s="107">
        <f>Portfolio_Mgmt!C31</f>
        <v>0.3</v>
      </c>
    </row>
    <row r="30" spans="1:5">
      <c r="A30" s="20" t="s">
        <v>60</v>
      </c>
      <c r="B30" s="92" t="s">
        <v>256</v>
      </c>
      <c r="C30" s="47"/>
    </row>
    <row r="31" spans="1:5">
      <c r="A31" s="20"/>
      <c r="B31" s="43" t="s">
        <v>257</v>
      </c>
      <c r="C31" s="43" t="s">
        <v>258</v>
      </c>
      <c r="D31" s="43" t="s">
        <v>259</v>
      </c>
      <c r="E31" s="43" t="s">
        <v>258</v>
      </c>
    </row>
    <row r="32" spans="1:5" ht="12" thickBot="1">
      <c r="A32" s="20"/>
      <c r="B32" s="93" t="s">
        <v>260</v>
      </c>
      <c r="C32" s="108">
        <f>Portfolio_Mgmt!C46</f>
        <v>0.29465259038036606</v>
      </c>
      <c r="D32" s="93" t="s">
        <v>320</v>
      </c>
      <c r="E32" s="108">
        <f>Portfolio_Mgmt!E46</f>
        <v>1.7999999999999994</v>
      </c>
    </row>
    <row r="33" spans="1:5">
      <c r="B33" s="95" t="s">
        <v>261</v>
      </c>
      <c r="C33" s="109">
        <f>Portfolio_Mgmt!C47</f>
        <v>0.20075184365903009</v>
      </c>
      <c r="D33" s="96" t="s">
        <v>266</v>
      </c>
      <c r="E33" s="97">
        <f>(C32*C33+(1-C32)*C34)/(2*C33)</f>
        <v>3.6621760332915154</v>
      </c>
    </row>
    <row r="34" spans="1:5" ht="12" thickBot="1">
      <c r="B34" s="98" t="s">
        <v>262</v>
      </c>
      <c r="C34" s="99">
        <f>E32+C33</f>
        <v>2.0007518436590295</v>
      </c>
      <c r="D34" s="100" t="s">
        <v>267</v>
      </c>
      <c r="E34" s="101">
        <f>-C33/C34</f>
        <v>-0.10033820250885769</v>
      </c>
    </row>
    <row r="35" spans="1:5">
      <c r="B35" s="95" t="s">
        <v>263</v>
      </c>
      <c r="C35" s="109"/>
      <c r="D35" s="96" t="s">
        <v>266</v>
      </c>
      <c r="E35" s="97"/>
    </row>
    <row r="36" spans="1:5" ht="12" thickBot="1">
      <c r="B36" s="98" t="s">
        <v>264</v>
      </c>
      <c r="C36" s="99"/>
      <c r="D36" s="100" t="s">
        <v>267</v>
      </c>
      <c r="E36" s="101"/>
    </row>
    <row r="37" spans="1:5">
      <c r="B37" s="102" t="s">
        <v>265</v>
      </c>
      <c r="C37" s="110"/>
      <c r="D37" s="94" t="s">
        <v>268</v>
      </c>
      <c r="E37" s="111"/>
    </row>
    <row r="38" spans="1:5">
      <c r="C38" s="90"/>
    </row>
    <row r="39" spans="1:5">
      <c r="B39" s="20" t="s">
        <v>269</v>
      </c>
    </row>
    <row r="40" spans="1:5">
      <c r="B40" s="143" t="s">
        <v>270</v>
      </c>
      <c r="C40" s="143"/>
      <c r="D40" s="143"/>
      <c r="E40" s="143"/>
    </row>
    <row r="41" spans="1:5">
      <c r="B41" s="144" t="s">
        <v>271</v>
      </c>
      <c r="C41" s="143"/>
      <c r="D41" s="143"/>
      <c r="E41" s="143"/>
    </row>
    <row r="42" spans="1:5">
      <c r="B42" s="144" t="s">
        <v>272</v>
      </c>
      <c r="C42" s="143"/>
      <c r="D42" s="143"/>
      <c r="E42" s="143"/>
    </row>
    <row r="43" spans="1:5">
      <c r="B43" s="144" t="s">
        <v>273</v>
      </c>
      <c r="C43" s="144"/>
      <c r="D43" s="144"/>
      <c r="E43" s="144"/>
    </row>
    <row r="44" spans="1:5" ht="34.35" customHeight="1">
      <c r="B44" s="143" t="s">
        <v>324</v>
      </c>
      <c r="C44" s="143"/>
      <c r="D44" s="143"/>
      <c r="E44" s="143"/>
    </row>
    <row r="46" spans="1:5">
      <c r="A46" s="21" t="s">
        <v>274</v>
      </c>
      <c r="B46" s="21"/>
      <c r="C46" s="21"/>
      <c r="D46" s="21"/>
      <c r="E46" s="21"/>
    </row>
    <row r="48" spans="1:5">
      <c r="B48" s="143" t="s">
        <v>275</v>
      </c>
      <c r="C48" s="143"/>
      <c r="D48" s="143"/>
      <c r="E48" s="143"/>
    </row>
    <row r="50" spans="2:5">
      <c r="B50" s="23" t="s">
        <v>276</v>
      </c>
    </row>
    <row r="52" spans="2:5">
      <c r="B52" s="43" t="s">
        <v>277</v>
      </c>
      <c r="C52" s="43" t="s">
        <v>278</v>
      </c>
      <c r="D52" s="45"/>
      <c r="E52" s="45"/>
    </row>
    <row r="53" spans="2:5">
      <c r="B53" s="26" t="s">
        <v>279</v>
      </c>
      <c r="C53" s="112">
        <f>Portfolio_Mgmt!C60</f>
        <v>0.45</v>
      </c>
      <c r="D53" s="46"/>
      <c r="E53" s="44"/>
    </row>
    <row r="54" spans="2:5">
      <c r="B54" s="26" t="s">
        <v>280</v>
      </c>
      <c r="C54" s="112">
        <f>Portfolio_Mgmt!C61</f>
        <v>0.3</v>
      </c>
      <c r="D54" s="46"/>
      <c r="E54" s="44"/>
    </row>
    <row r="55" spans="2:5">
      <c r="B55" s="26" t="s">
        <v>281</v>
      </c>
      <c r="C55" s="112">
        <f>Portfolio_Mgmt!C62</f>
        <v>0.15</v>
      </c>
      <c r="D55" s="114" t="s">
        <v>322</v>
      </c>
      <c r="E55" s="44"/>
    </row>
    <row r="57" spans="2:5">
      <c r="B57" s="23" t="s">
        <v>282</v>
      </c>
    </row>
    <row r="59" spans="2:5">
      <c r="B59" s="43" t="s">
        <v>259</v>
      </c>
      <c r="C59" s="43" t="s">
        <v>283</v>
      </c>
      <c r="D59" s="43" t="s">
        <v>284</v>
      </c>
      <c r="E59" s="43" t="s">
        <v>285</v>
      </c>
    </row>
    <row r="60" spans="2:5">
      <c r="B60" s="26" t="s">
        <v>286</v>
      </c>
      <c r="C60" s="26" t="s">
        <v>291</v>
      </c>
      <c r="D60" s="26" t="s">
        <v>292</v>
      </c>
      <c r="E60" s="113">
        <f>Portfolio_Mgmt!E67</f>
        <v>1</v>
      </c>
    </row>
    <row r="61" spans="2:5">
      <c r="B61" s="26" t="s">
        <v>287</v>
      </c>
      <c r="C61" s="26" t="s">
        <v>293</v>
      </c>
      <c r="D61" s="26" t="s">
        <v>294</v>
      </c>
      <c r="E61" s="113">
        <f>Portfolio_Mgmt!E68</f>
        <v>1</v>
      </c>
    </row>
    <row r="62" spans="2:5">
      <c r="B62" s="26" t="s">
        <v>288</v>
      </c>
      <c r="C62" s="26" t="s">
        <v>295</v>
      </c>
      <c r="D62" s="26" t="s">
        <v>296</v>
      </c>
      <c r="E62" s="113">
        <f>Portfolio_Mgmt!E69</f>
        <v>0</v>
      </c>
    </row>
    <row r="63" spans="2:5">
      <c r="B63" s="26" t="s">
        <v>289</v>
      </c>
      <c r="C63" s="26" t="s">
        <v>297</v>
      </c>
      <c r="D63" s="26" t="s">
        <v>298</v>
      </c>
      <c r="E63" s="113">
        <f>Portfolio_Mgmt!E70</f>
        <v>2</v>
      </c>
    </row>
    <row r="64" spans="2:5">
      <c r="B64" s="26" t="s">
        <v>290</v>
      </c>
      <c r="C64" s="26" t="s">
        <v>299</v>
      </c>
      <c r="D64" s="26" t="s">
        <v>300</v>
      </c>
      <c r="E64" s="113">
        <f>Portfolio_Mgmt!E71</f>
        <v>0</v>
      </c>
    </row>
    <row r="65" spans="1:5">
      <c r="D65" s="27" t="s">
        <v>301</v>
      </c>
      <c r="E65" s="39">
        <f>SUM(E60:E64)</f>
        <v>4</v>
      </c>
    </row>
    <row r="66" spans="1:5" ht="12" thickBot="1">
      <c r="D66" s="41" t="s">
        <v>302</v>
      </c>
      <c r="E66" s="42">
        <f>IF(E65&lt;=4,C53,IF(E65&gt;=8,C55,C54))</f>
        <v>0.45</v>
      </c>
    </row>
    <row r="67" spans="1:5" ht="12" thickTop="1"/>
    <row r="68" spans="1:5">
      <c r="B68" s="1" t="s">
        <v>303</v>
      </c>
    </row>
    <row r="69" spans="1:5">
      <c r="B69" s="1" t="s">
        <v>304</v>
      </c>
    </row>
    <row r="70" spans="1:5">
      <c r="B70" s="1" t="s">
        <v>305</v>
      </c>
    </row>
    <row r="72" spans="1:5">
      <c r="A72" s="21" t="s">
        <v>306</v>
      </c>
      <c r="B72" s="21"/>
      <c r="C72" s="21"/>
      <c r="D72" s="21"/>
      <c r="E72" s="21"/>
    </row>
    <row r="74" spans="1:5">
      <c r="B74" s="143" t="s">
        <v>307</v>
      </c>
      <c r="C74" s="143"/>
      <c r="D74" s="143"/>
      <c r="E74" s="143"/>
    </row>
    <row r="76" spans="1:5">
      <c r="A76" s="28" t="s">
        <v>58</v>
      </c>
      <c r="B76" s="20" t="s">
        <v>309</v>
      </c>
    </row>
    <row r="77" spans="1:5">
      <c r="B77" s="24" t="s">
        <v>308</v>
      </c>
    </row>
    <row r="79" spans="1:5">
      <c r="A79" s="28" t="s">
        <v>205</v>
      </c>
      <c r="B79" s="20" t="s">
        <v>310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311</v>
      </c>
      <c r="C81" s="91" t="s">
        <v>321</v>
      </c>
    </row>
    <row r="82" spans="1:5">
      <c r="B82" s="104" t="s">
        <v>312</v>
      </c>
      <c r="C82" s="91" t="s">
        <v>196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313</v>
      </c>
    </row>
    <row r="86" spans="1:5">
      <c r="B86" s="1" t="s">
        <v>323</v>
      </c>
    </row>
    <row r="87" spans="1:5">
      <c r="B87" s="1" t="s">
        <v>314</v>
      </c>
    </row>
    <row r="88" spans="1:5">
      <c r="B88" s="1" t="s">
        <v>315</v>
      </c>
    </row>
    <row r="90" spans="1:5">
      <c r="A90" s="21" t="s">
        <v>319</v>
      </c>
      <c r="B90" s="21"/>
      <c r="C90" s="21"/>
      <c r="D90" s="21"/>
      <c r="E90" s="21"/>
    </row>
    <row r="92" spans="1:5">
      <c r="B92" s="20" t="s">
        <v>316</v>
      </c>
    </row>
    <row r="93" spans="1:5">
      <c r="B93" s="24" t="s">
        <v>317</v>
      </c>
    </row>
    <row r="94" spans="1:5">
      <c r="B94" s="24" t="s">
        <v>318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348</v>
      </c>
    </row>
    <row r="3" spans="1:4">
      <c r="B3" s="120" t="s">
        <v>355</v>
      </c>
    </row>
    <row r="5" spans="1:4">
      <c r="A5" s="121" t="s">
        <v>332</v>
      </c>
      <c r="B5" s="122" t="s">
        <v>11</v>
      </c>
    </row>
    <row r="6" spans="1:4">
      <c r="B6" s="123" t="s">
        <v>211</v>
      </c>
      <c r="C6" s="123" t="s">
        <v>210</v>
      </c>
      <c r="D6" s="124"/>
    </row>
    <row r="7" spans="1:4">
      <c r="B7" s="125" t="s">
        <v>213</v>
      </c>
      <c r="C7" s="126">
        <f>Portfolio_Mgmt!C36</f>
        <v>3</v>
      </c>
    </row>
    <row r="8" spans="1:4">
      <c r="B8" s="127" t="s">
        <v>212</v>
      </c>
      <c r="C8" s="128">
        <v>0.6</v>
      </c>
      <c r="D8" s="120" t="s">
        <v>341</v>
      </c>
    </row>
    <row r="9" spans="1:4">
      <c r="B9" s="127" t="s">
        <v>347</v>
      </c>
      <c r="C9" s="128">
        <f>1-C8</f>
        <v>0.4</v>
      </c>
    </row>
    <row r="10" spans="1:4">
      <c r="B10" s="127" t="s">
        <v>345</v>
      </c>
      <c r="C10" s="141">
        <f>Portfolio_Mgmt!C38</f>
        <v>-0.65</v>
      </c>
    </row>
    <row r="12" spans="1:4">
      <c r="B12" s="119" t="s">
        <v>216</v>
      </c>
    </row>
    <row r="13" spans="1:4">
      <c r="B13" s="153" t="s">
        <v>342</v>
      </c>
      <c r="C13" s="153"/>
      <c r="D13" s="153"/>
    </row>
    <row r="14" spans="1:4">
      <c r="B14" s="154" t="s">
        <v>343</v>
      </c>
      <c r="C14" s="155"/>
      <c r="D14" s="155"/>
    </row>
    <row r="16" spans="1:4">
      <c r="A16" s="121" t="s">
        <v>205</v>
      </c>
      <c r="B16" s="122" t="s">
        <v>333</v>
      </c>
    </row>
    <row r="17" spans="1:5">
      <c r="B17" s="123" t="s">
        <v>335</v>
      </c>
      <c r="C17" s="123" t="s">
        <v>346</v>
      </c>
      <c r="D17" s="123" t="s">
        <v>353</v>
      </c>
      <c r="E17" s="123" t="s">
        <v>344</v>
      </c>
    </row>
    <row r="18" spans="1:5">
      <c r="B18" s="127" t="s">
        <v>336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337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334</v>
      </c>
    </row>
    <row r="22" spans="1:5">
      <c r="B22" s="123" t="s">
        <v>340</v>
      </c>
      <c r="C22" s="123" t="s">
        <v>356</v>
      </c>
      <c r="D22" s="123" t="s">
        <v>214</v>
      </c>
    </row>
    <row r="23" spans="1:5">
      <c r="B23" s="127" t="s">
        <v>338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339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127</v>
      </c>
    </row>
    <row r="2" spans="1:5">
      <c r="A2" s="31"/>
      <c r="B2" s="32" t="s">
        <v>12</v>
      </c>
      <c r="C2" s="18"/>
      <c r="D2" s="22"/>
      <c r="E2" s="18"/>
    </row>
    <row r="3" spans="1:5">
      <c r="C3" s="28" t="s">
        <v>13</v>
      </c>
      <c r="D3" s="28" t="s">
        <v>14</v>
      </c>
      <c r="E3" s="28" t="s">
        <v>15</v>
      </c>
    </row>
    <row r="4" spans="1:5">
      <c r="B4" s="33" t="s">
        <v>16</v>
      </c>
      <c r="C4" s="34">
        <v>4.1599999999999998E-2</v>
      </c>
      <c r="D4" s="34">
        <v>6.7500000000000004E-2</v>
      </c>
      <c r="E4" s="35">
        <f>D4-C4</f>
        <v>2.5900000000000006E-2</v>
      </c>
    </row>
    <row r="5" spans="1:5">
      <c r="B5" s="33" t="s">
        <v>17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18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19</v>
      </c>
    </row>
    <row r="9" spans="1:5">
      <c r="B9" s="1" t="s">
        <v>50</v>
      </c>
      <c r="C9" s="28" t="s">
        <v>20</v>
      </c>
    </row>
    <row r="10" spans="1:5">
      <c r="B10" s="26" t="s">
        <v>21</v>
      </c>
      <c r="C10" s="34">
        <v>9.9400000000000002E-2</v>
      </c>
    </row>
    <row r="11" spans="1:5">
      <c r="B11" s="26" t="s">
        <v>22</v>
      </c>
      <c r="C11" s="34">
        <v>0.1174</v>
      </c>
    </row>
    <row r="12" spans="1:5">
      <c r="B12" s="26" t="s">
        <v>23</v>
      </c>
      <c r="C12" s="34">
        <v>3.4500000000000003E-2</v>
      </c>
    </row>
    <row r="13" spans="1:5">
      <c r="B13" s="26" t="s">
        <v>24</v>
      </c>
      <c r="C13" s="34">
        <v>3.3099999999999997E-2</v>
      </c>
    </row>
    <row r="14" spans="1:5">
      <c r="B14" s="26" t="s">
        <v>25</v>
      </c>
      <c r="C14" s="34">
        <v>4.2299999999999997E-2</v>
      </c>
    </row>
    <row r="15" spans="1:5">
      <c r="B15" s="26" t="s">
        <v>26</v>
      </c>
      <c r="C15" s="34">
        <v>5.1200000000000002E-2</v>
      </c>
    </row>
    <row r="16" spans="1:5">
      <c r="B16" s="36" t="s">
        <v>57</v>
      </c>
      <c r="C16" s="37">
        <f>MAX(Portfolio_Mgmt!C12,C10:C15)</f>
        <v>0.1174</v>
      </c>
    </row>
    <row r="18" spans="1:5">
      <c r="A18" s="31"/>
      <c r="B18" s="32" t="s">
        <v>27</v>
      </c>
      <c r="C18" s="18"/>
      <c r="D18" s="22"/>
      <c r="E18" s="18"/>
    </row>
    <row r="19" spans="1:5">
      <c r="B19" s="18" t="s">
        <v>28</v>
      </c>
      <c r="C19" s="38" t="s">
        <v>29</v>
      </c>
    </row>
    <row r="20" spans="1:5">
      <c r="B20" s="1" t="s">
        <v>30</v>
      </c>
      <c r="C20" s="38" t="s">
        <v>31</v>
      </c>
    </row>
    <row r="21" spans="1:5">
      <c r="B21" s="1" t="s">
        <v>32</v>
      </c>
      <c r="C21" s="38" t="s">
        <v>33</v>
      </c>
    </row>
    <row r="22" spans="1:5">
      <c r="C22" s="38"/>
    </row>
    <row r="23" spans="1:5">
      <c r="B23" s="1" t="s">
        <v>34</v>
      </c>
      <c r="C23" s="38" t="s">
        <v>35</v>
      </c>
    </row>
    <row r="24" spans="1:5">
      <c r="B24" s="1" t="s">
        <v>36</v>
      </c>
      <c r="C24" s="38" t="s">
        <v>37</v>
      </c>
    </row>
    <row r="25" spans="1:5">
      <c r="C25" s="38"/>
    </row>
    <row r="26" spans="1:5">
      <c r="B26" s="1" t="s">
        <v>38</v>
      </c>
      <c r="C26" s="38" t="s">
        <v>39</v>
      </c>
    </row>
    <row r="27" spans="1:5">
      <c r="B27" s="1" t="s">
        <v>40</v>
      </c>
      <c r="C27" s="38" t="s">
        <v>41</v>
      </c>
    </row>
    <row r="28" spans="1:5">
      <c r="C28" s="38"/>
    </row>
    <row r="29" spans="1:5">
      <c r="B29" s="1" t="s">
        <v>42</v>
      </c>
      <c r="C29" s="38" t="s">
        <v>43</v>
      </c>
    </row>
    <row r="31" spans="1:5">
      <c r="B31" s="1" t="s">
        <v>44</v>
      </c>
      <c r="C31" s="38" t="s">
        <v>45</v>
      </c>
    </row>
    <row r="34" spans="1:5">
      <c r="A34" s="31"/>
      <c r="B34" s="32" t="s">
        <v>358</v>
      </c>
    </row>
    <row r="35" spans="1:5" ht="223.15" customHeight="1">
      <c r="B35" s="156" t="s">
        <v>359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tabSelected="1" zoomScaleNormal="100" workbookViewId="0">
      <selection activeCell="K8" sqref="K8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150</v>
      </c>
      <c r="C1" s="115"/>
    </row>
    <row r="2" spans="1:13" ht="29.75" customHeight="1">
      <c r="B2" s="52" t="s">
        <v>2</v>
      </c>
      <c r="C2" s="52" t="s">
        <v>331</v>
      </c>
      <c r="D2" s="52" t="s">
        <v>153</v>
      </c>
      <c r="E2" s="52" t="s">
        <v>152</v>
      </c>
      <c r="F2" s="52" t="s">
        <v>151</v>
      </c>
      <c r="G2" s="52" t="s">
        <v>156</v>
      </c>
      <c r="H2" s="52" t="s">
        <v>161</v>
      </c>
      <c r="I2" s="52" t="s">
        <v>145</v>
      </c>
      <c r="J2" s="52" t="s">
        <v>165</v>
      </c>
      <c r="K2" s="52" t="s">
        <v>184</v>
      </c>
      <c r="L2" s="52" t="s">
        <v>185</v>
      </c>
      <c r="M2" s="52" t="s">
        <v>186</v>
      </c>
    </row>
    <row r="3" spans="1:13">
      <c r="B3" s="62" t="s">
        <v>24</v>
      </c>
      <c r="C3" s="62"/>
      <c r="D3" s="60" t="s">
        <v>155</v>
      </c>
      <c r="E3" s="59" t="s">
        <v>154</v>
      </c>
      <c r="F3" s="61" t="s">
        <v>155</v>
      </c>
      <c r="G3" s="57">
        <v>805319</v>
      </c>
      <c r="H3" s="58">
        <f t="shared" ref="H3:H9" si="0">G3/$G$12</f>
        <v>0.58298193327102843</v>
      </c>
      <c r="I3" s="75">
        <f>Portfolio_Mgmt!E73</f>
        <v>0.45</v>
      </c>
      <c r="J3" s="80" t="s">
        <v>187</v>
      </c>
      <c r="K3" s="80" t="s">
        <v>187</v>
      </c>
      <c r="L3" s="80" t="s">
        <v>187</v>
      </c>
      <c r="M3" s="80" t="s">
        <v>187</v>
      </c>
    </row>
    <row r="4" spans="1:13">
      <c r="B4" s="63" t="s">
        <v>157</v>
      </c>
      <c r="C4" s="62" t="str">
        <f>VLOOKUP(B4,Opportunities!B$3:E$30,2,FALSE)</f>
        <v>李宁</v>
      </c>
      <c r="D4" s="60">
        <f>VLOOKUP(B4,Opportunities!B$3:E$30,3,FALSE)</f>
        <v>21.68</v>
      </c>
      <c r="E4" s="59" t="str">
        <f>VLOOKUP(B4,Opportunities!B$3:E$30,4,FALSE)</f>
        <v>HKD</v>
      </c>
      <c r="F4" s="57">
        <v>0</v>
      </c>
      <c r="G4" s="61">
        <f t="shared" ref="G4:G10" si="1">D4*F4</f>
        <v>0</v>
      </c>
      <c r="H4" s="58">
        <f t="shared" si="0"/>
        <v>0</v>
      </c>
      <c r="I4" s="58">
        <f>VLOOKUP(B4,Opportunities!B$3:I$30,8,FALSE)</f>
        <v>0</v>
      </c>
      <c r="J4" s="81">
        <f>VLOOKUP(B4,Opportunities!B$3:N$30,12,FALSE)</f>
        <v>17.30975176800316</v>
      </c>
      <c r="K4" s="81">
        <f>VLOOKUP(B4,Opportunities!B$3:N$30,9,FALSE)</f>
        <v>13.888017025965146</v>
      </c>
      <c r="L4" s="81">
        <f>VLOOKUP(B4,Opportunities!B$3:N$30,11,FALSE)</f>
        <v>24.116023350805108</v>
      </c>
      <c r="M4" s="81">
        <f>VLOOKUP(B4,Opportunities!B$3:N$30,13,FALSE)</f>
        <v>21.377155387307688</v>
      </c>
    </row>
    <row r="5" spans="1:13">
      <c r="B5" s="63" t="s">
        <v>380</v>
      </c>
      <c r="C5" s="62" t="str">
        <f>VLOOKUP(B5,Opportunities!B$3:E$30,2,FALSE)</f>
        <v>京东集团</v>
      </c>
      <c r="D5" s="60">
        <f>VLOOKUP(B5,Opportunities!B$3:E$30,3,FALSE)</f>
        <v>108.4</v>
      </c>
      <c r="E5" s="59" t="str">
        <f>VLOOKUP(B5,Opportunities!B$3:E$30,4,FALSE)</f>
        <v>HKD</v>
      </c>
      <c r="F5" s="57">
        <v>1500</v>
      </c>
      <c r="G5" s="61">
        <f t="shared" si="1"/>
        <v>162600</v>
      </c>
      <c r="H5" s="58">
        <f t="shared" si="0"/>
        <v>0.11770846378872127</v>
      </c>
      <c r="I5" s="58">
        <f>VLOOKUP(B5,Opportunities!B$3:I$30,8,FALSE)</f>
        <v>0.21511637641971776</v>
      </c>
      <c r="J5" s="81">
        <f>VLOOKUP(B5,Opportunities!B$3:N$30,12,FALSE)</f>
        <v>117.08006353169542</v>
      </c>
      <c r="K5" s="81">
        <f>VLOOKUP(B5,Opportunities!B$3:N$30,9,FALSE)</f>
        <v>93.938670968979238</v>
      </c>
      <c r="L5" s="81">
        <f>VLOOKUP(B5,Opportunities!B$3:N$30,11,FALSE)</f>
        <v>163.11059698866035</v>
      </c>
      <c r="M5" s="81">
        <f>VLOOKUP(B5,Opportunities!B$3:N$30,13,FALSE)</f>
        <v>144.58783443836151</v>
      </c>
    </row>
    <row r="6" spans="1:13">
      <c r="B6" s="63" t="s">
        <v>183</v>
      </c>
      <c r="C6" s="62" t="str">
        <f>VLOOKUP(B6,Opportunities!B$3:E$30,2,FALSE)</f>
        <v>首钢资源</v>
      </c>
      <c r="D6" s="60">
        <f>VLOOKUP(B6,Opportunities!B$3:E$30,3,FALSE)</f>
        <v>3.36</v>
      </c>
      <c r="E6" s="59" t="str">
        <f>VLOOKUP(B6,Opportunities!B$3:E$30,4,FALSE)</f>
        <v>HKD</v>
      </c>
      <c r="F6" s="57">
        <v>40000</v>
      </c>
      <c r="G6" s="61">
        <f t="shared" si="1"/>
        <v>134400</v>
      </c>
      <c r="H6" s="58">
        <f t="shared" si="0"/>
        <v>9.7294080770013155E-2</v>
      </c>
      <c r="I6" s="58">
        <f>VLOOKUP(B6,Opportunities!B$3:I$30,8,FALSE)</f>
        <v>6.6543794811664683E-2</v>
      </c>
      <c r="J6" s="81">
        <f>VLOOKUP(B6,Opportunities!B$3:N$30,12,FALSE)</f>
        <v>3.1307450481218235</v>
      </c>
      <c r="K6" s="81">
        <f>VLOOKUP(B6,Opportunities!B$3:N$30,9,FALSE)</f>
        <v>2.5385815935033342</v>
      </c>
      <c r="L6" s="81">
        <f>VLOOKUP(B6,Opportunities!B$3:N$30,11,FALSE)</f>
        <v>4.3016714192105461</v>
      </c>
      <c r="M6" s="81">
        <f>VLOOKUP(B6,Opportunities!B$3:N$30,13,FALSE)</f>
        <v>3.8313906187252909</v>
      </c>
    </row>
    <row r="7" spans="1:13">
      <c r="B7" s="63" t="s">
        <v>330</v>
      </c>
      <c r="C7" s="62" t="str">
        <f>VLOOKUP(B7,Opportunities!B$3:E$30,2,FALSE)</f>
        <v>昆仑能源</v>
      </c>
      <c r="D7" s="60">
        <f>VLOOKUP(B7,Opportunities!B$3:E$30,3,FALSE)</f>
        <v>8.25</v>
      </c>
      <c r="E7" s="59" t="str">
        <f>VLOOKUP(B7,Opportunities!B$3:E$30,4,FALSE)</f>
        <v>HKD</v>
      </c>
      <c r="F7" s="57">
        <v>8000</v>
      </c>
      <c r="G7" s="61">
        <f t="shared" si="1"/>
        <v>66000</v>
      </c>
      <c r="H7" s="58">
        <f t="shared" si="0"/>
        <v>4.7778343235274315E-2</v>
      </c>
      <c r="I7" s="58">
        <f>VLOOKUP(B7,Opportunities!B$3:I$30,8,FALSE)</f>
        <v>1.6129158499726759E-3</v>
      </c>
      <c r="J7" s="81">
        <f>VLOOKUP(B7,Opportunities!B$3:N$30,12,FALSE)</f>
        <v>7.3440346104754823</v>
      </c>
      <c r="K7" s="81">
        <f>VLOOKUP(B7,Opportunities!B$3:N$30,9,FALSE)</f>
        <v>5.9078368150321605</v>
      </c>
      <c r="L7" s="81">
        <f>VLOOKUP(B7,Opportunities!B$3:N$30,11,FALSE)</f>
        <v>10.196764565217837</v>
      </c>
      <c r="M7" s="81">
        <f>VLOOKUP(B7,Opportunities!B$3:N$30,13,FALSE)</f>
        <v>9.0493420849154926</v>
      </c>
    </row>
    <row r="8" spans="1:13">
      <c r="B8" s="63" t="s">
        <v>360</v>
      </c>
      <c r="C8" s="62" t="str">
        <f>VLOOKUP(B8,Opportunities!B$3:E$30,2,FALSE)</f>
        <v>新华文轩</v>
      </c>
      <c r="D8" s="60">
        <f>VLOOKUP(B8,Opportunities!B$3:E$30,3,FALSE)</f>
        <v>10.95</v>
      </c>
      <c r="E8" s="59" t="str">
        <f>VLOOKUP(B8,Opportunities!B$3:E$30,4,FALSE)</f>
        <v>HKD</v>
      </c>
      <c r="F8" s="57">
        <v>10000</v>
      </c>
      <c r="G8" s="61">
        <f t="shared" si="1"/>
        <v>109500</v>
      </c>
      <c r="H8" s="58">
        <f t="shared" si="0"/>
        <v>7.9268614913068747E-2</v>
      </c>
      <c r="I8" s="58">
        <f>VLOOKUP(B8,Opportunities!B$3:I$30,8,FALSE)</f>
        <v>0.11806286085401296</v>
      </c>
      <c r="J8" s="81">
        <f>VLOOKUP(B8,Opportunities!B$3:N$30,12,FALSE)</f>
        <v>12.164684995831331</v>
      </c>
      <c r="K8" s="81">
        <f>VLOOKUP(B8,Opportunities!B$3:N$30,9,FALSE)</f>
        <v>9.7976182257555031</v>
      </c>
      <c r="L8" s="81">
        <f>VLOOKUP(B8,Opportunities!B$3:N$30,11,FALSE)</f>
        <v>16.863282559379705</v>
      </c>
      <c r="M8" s="81">
        <f>VLOOKUP(B8,Opportunities!B$3:N$30,13,FALSE)</f>
        <v>14.973823103048371</v>
      </c>
    </row>
    <row r="9" spans="1:13">
      <c r="B9" s="63" t="s">
        <v>327</v>
      </c>
      <c r="C9" s="62" t="str">
        <f>VLOOKUP(B9,Opportunities!B$3:E$30,2,FALSE)</f>
        <v>大家乐集团</v>
      </c>
      <c r="D9" s="60">
        <f>VLOOKUP(B9,Opportunities!B$3:E$30,3,FALSE)</f>
        <v>4.71</v>
      </c>
      <c r="E9" s="59" t="str">
        <f>VLOOKUP(B9,Opportunities!B$3:E$30,4,FALSE)</f>
        <v>HKD</v>
      </c>
      <c r="F9" s="57">
        <v>12000</v>
      </c>
      <c r="G9" s="61">
        <f t="shared" si="1"/>
        <v>56520</v>
      </c>
      <c r="H9" s="58">
        <f t="shared" si="0"/>
        <v>4.0915635752389462E-2</v>
      </c>
      <c r="I9" s="58">
        <f>VLOOKUP(B9,Opportunities!B$3:I$30,8,FALSE)</f>
        <v>6.7430620943927266E-2</v>
      </c>
      <c r="J9" s="81">
        <f>VLOOKUP(B9,Opportunities!B$3:N$30,12,FALSE)</f>
        <v>4.3869285024051887</v>
      </c>
      <c r="K9" s="81">
        <f>VLOOKUP(B9,Opportunities!B$3:N$30,9,FALSE)</f>
        <v>3.5453162653105039</v>
      </c>
      <c r="L9" s="81">
        <f>VLOOKUP(B9,Opportunities!B$3:N$30,11,FALSE)</f>
        <v>6.0543353749158966</v>
      </c>
      <c r="M9" s="81">
        <f>VLOOKUP(B9,Opportunities!B$3:N$30,13,FALSE)</f>
        <v>5.3842307819113344</v>
      </c>
    </row>
    <row r="10" spans="1:13">
      <c r="B10" s="63" t="s">
        <v>329</v>
      </c>
      <c r="C10" s="62" t="str">
        <f>VLOOKUP(B10,Opportunities!B$3:E$30,2,FALSE)</f>
        <v>中国飞鹤</v>
      </c>
      <c r="D10" s="60">
        <f>VLOOKUP(B10,Opportunities!B$3:E$30,3,FALSE)</f>
        <v>3.92</v>
      </c>
      <c r="E10" s="59" t="str">
        <f>VLOOKUP(B10,Opportunities!B$3:E$30,4,FALSE)</f>
        <v>HKD</v>
      </c>
      <c r="F10" s="57">
        <v>12000</v>
      </c>
      <c r="G10" s="61">
        <f t="shared" si="1"/>
        <v>47040</v>
      </c>
      <c r="H10" s="58">
        <f t="shared" ref="H10" si="2">G10/$G$12</f>
        <v>3.4052928269504602E-2</v>
      </c>
      <c r="I10" s="58">
        <f>VLOOKUP(B10,Opportunities!B$3:I$30,8,FALSE)</f>
        <v>0.11459814493629858</v>
      </c>
      <c r="J10" s="81">
        <f>VLOOKUP(B10,Opportunities!B$3:N$30,12,FALSE)</f>
        <v>4.309346489867405</v>
      </c>
      <c r="K10" s="81">
        <f>VLOOKUP(B10,Opportunities!B$3:N$30,9,FALSE)</f>
        <v>3.4746174973670048</v>
      </c>
      <c r="L10" s="81">
        <f>VLOOKUP(B10,Opportunities!B$3:N$30,11,FALSE)</f>
        <v>5.9652651519652338</v>
      </c>
      <c r="M10" s="81">
        <f>VLOOKUP(B10,Opportunities!B$3:N$30,13,FALSE)</f>
        <v>5.2994973406904808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160</v>
      </c>
      <c r="G12" s="66">
        <f>SUM(G3:G10)</f>
        <v>1381379</v>
      </c>
      <c r="H12" s="67">
        <f>SUM(H3:H10)</f>
        <v>0.99999999999999978</v>
      </c>
      <c r="I12" s="73">
        <f>SUM(I3:I10)</f>
        <v>1.0333647138155939</v>
      </c>
      <c r="J12" s="82" t="s">
        <v>187</v>
      </c>
      <c r="K12" s="82" t="s">
        <v>187</v>
      </c>
      <c r="L12" s="82" t="s">
        <v>187</v>
      </c>
      <c r="M12" s="82" t="s">
        <v>187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158</v>
      </c>
      <c r="C14" s="115"/>
    </row>
    <row r="15" spans="1:13">
      <c r="B15" s="63" t="s">
        <v>157</v>
      </c>
      <c r="C15" s="62" t="str">
        <f>VLOOKUP(B15,Opportunities!B$3:E$30,2,FALSE)</f>
        <v>李宁</v>
      </c>
      <c r="D15" s="60">
        <f>VLOOKUP(B15,Opportunities!B$3:E$30,3,FALSE)</f>
        <v>21.68</v>
      </c>
      <c r="E15" s="59" t="str">
        <f>VLOOKUP(B15,Opportunities!B$3:E$30,4,FALSE)</f>
        <v>HKD</v>
      </c>
      <c r="F15" s="57">
        <v>0</v>
      </c>
      <c r="G15" s="61">
        <f t="shared" ref="G15:G20" si="3">-D15*F15</f>
        <v>0</v>
      </c>
      <c r="H15" s="58">
        <f t="shared" ref="H15:H20" si="4">-G15/$G$12</f>
        <v>0</v>
      </c>
      <c r="I15" s="58">
        <f>VLOOKUP(B15,Opportunities!B$3:I$30,8,FALSE)</f>
        <v>0</v>
      </c>
      <c r="J15" s="81">
        <f>VLOOKUP(B15,Opportunities!B$3:N$30,12,FALSE)</f>
        <v>17.30975176800316</v>
      </c>
      <c r="K15" s="81">
        <f>VLOOKUP(B15,Opportunities!B$3:N$30,9,FALSE)</f>
        <v>13.888017025965146</v>
      </c>
      <c r="L15" s="81">
        <f>VLOOKUP(B15,Opportunities!B$3:N$30,11,FALSE)</f>
        <v>24.116023350805108</v>
      </c>
      <c r="M15" s="81">
        <f>VLOOKUP(B15,Opportunities!B$3:N$30,13,FALSE)</f>
        <v>21.377155387307688</v>
      </c>
    </row>
    <row r="16" spans="1:13">
      <c r="B16" s="63" t="s">
        <v>170</v>
      </c>
      <c r="C16" s="62" t="str">
        <f>VLOOKUP(B16,Opportunities!B$3:E$30,2,FALSE)</f>
        <v>中国海油</v>
      </c>
      <c r="D16" s="60">
        <f>VLOOKUP(B16,Opportunities!B$3:E$30,3,FALSE)</f>
        <v>25.12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VLOOKUP(B16,Opportunities!B$3:I$30,8,FALSE)</f>
        <v>0</v>
      </c>
      <c r="J16" s="81">
        <f>VLOOKUP(B16,Opportunities!B$3:N$30,12,FALSE)</f>
        <v>17.613527926860517</v>
      </c>
      <c r="K16" s="81">
        <f>VLOOKUP(B16,Opportunities!B$3:N$30,9,FALSE)</f>
        <v>14.242847369725101</v>
      </c>
      <c r="L16" s="81">
        <f>VLOOKUP(B16,Opportunities!B$3:N$30,11,FALSE)</f>
        <v>24.289284369654219</v>
      </c>
      <c r="M16" s="81">
        <f>VLOOKUP(B16,Opportunities!B$3:N$30,13,FALSE)</f>
        <v>21.606696813043477</v>
      </c>
    </row>
    <row r="17" spans="1:13">
      <c r="B17" s="63" t="s">
        <v>183</v>
      </c>
      <c r="C17" s="62" t="str">
        <f>VLOOKUP(B17,Opportunities!B$3:E$30,2,FALSE)</f>
        <v>首钢资源</v>
      </c>
      <c r="D17" s="60">
        <f>VLOOKUP(B17,Opportunities!B$3:E$30,3,FALSE)</f>
        <v>3.36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VLOOKUP(B17,Opportunities!B$3:I$30,8,FALSE)</f>
        <v>6.6543794811664683E-2</v>
      </c>
      <c r="J17" s="81">
        <f>VLOOKUP(B17,Opportunities!B$3:N$30,12,FALSE)</f>
        <v>3.1307450481218235</v>
      </c>
      <c r="K17" s="81">
        <f>VLOOKUP(B17,Opportunities!B$3:N$30,9,FALSE)</f>
        <v>2.5385815935033342</v>
      </c>
      <c r="L17" s="81">
        <f>VLOOKUP(B17,Opportunities!B$3:N$30,11,FALSE)</f>
        <v>4.3016714192105461</v>
      </c>
      <c r="M17" s="81">
        <f>VLOOKUP(B17,Opportunities!B$3:N$30,13,FALSE)</f>
        <v>3.8313906187252909</v>
      </c>
    </row>
    <row r="18" spans="1:13">
      <c r="B18" s="63" t="s">
        <v>329</v>
      </c>
      <c r="C18" s="62" t="str">
        <f>VLOOKUP(B18,Opportunities!B$3:E$30,2,FALSE)</f>
        <v>中国飞鹤</v>
      </c>
      <c r="D18" s="60">
        <f>VLOOKUP(B18,Opportunities!B$3:E$30,3,FALSE)</f>
        <v>3.92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VLOOKUP(B18,Opportunities!B$3:I$30,8,FALSE)</f>
        <v>0.11459814493629858</v>
      </c>
      <c r="J18" s="81">
        <f>VLOOKUP(B18,Opportunities!B$3:N$30,12,FALSE)</f>
        <v>4.309346489867405</v>
      </c>
      <c r="K18" s="81">
        <f>VLOOKUP(B18,Opportunities!B$3:N$30,9,FALSE)</f>
        <v>3.4746174973670048</v>
      </c>
      <c r="L18" s="81">
        <f>VLOOKUP(B18,Opportunities!B$3:N$30,11,FALSE)</f>
        <v>5.9652651519652338</v>
      </c>
      <c r="M18" s="81">
        <f>VLOOKUP(B18,Opportunities!B$3:N$30,13,FALSE)</f>
        <v>5.2994973406904808</v>
      </c>
    </row>
    <row r="19" spans="1:13">
      <c r="B19" s="63" t="s">
        <v>360</v>
      </c>
      <c r="C19" s="62" t="str">
        <f>VLOOKUP(B19,Opportunities!B$3:E$30,2,FALSE)</f>
        <v>新华文轩</v>
      </c>
      <c r="D19" s="60">
        <f>VLOOKUP(B19,Opportunities!B$3:E$30,3,FALSE)</f>
        <v>10.95</v>
      </c>
      <c r="E19" s="59" t="str">
        <f>VLOOKUP(B19,Opportunities!B$3:E$30,4,FALSE)</f>
        <v>HKD</v>
      </c>
      <c r="F19" s="57">
        <v>0</v>
      </c>
      <c r="G19" s="61">
        <f t="shared" si="3"/>
        <v>0</v>
      </c>
      <c r="H19" s="58">
        <f t="shared" si="4"/>
        <v>0</v>
      </c>
      <c r="I19" s="58">
        <f>VLOOKUP(B19,Opportunities!B$3:I$30,8,FALSE)</f>
        <v>0.11806286085401296</v>
      </c>
      <c r="J19" s="81">
        <f>VLOOKUP(B19,Opportunities!B$3:N$30,12,FALSE)</f>
        <v>12.164684995831331</v>
      </c>
      <c r="K19" s="81">
        <f>VLOOKUP(B19,Opportunities!B$3:N$30,9,FALSE)</f>
        <v>9.7976182257555031</v>
      </c>
      <c r="L19" s="81">
        <f>VLOOKUP(B19,Opportunities!B$3:N$30,11,FALSE)</f>
        <v>16.863282559379705</v>
      </c>
      <c r="M19" s="81">
        <f>VLOOKUP(B19,Opportunities!B$3:N$30,13,FALSE)</f>
        <v>14.973823103048371</v>
      </c>
    </row>
    <row r="20" spans="1:13">
      <c r="B20" s="63" t="s">
        <v>330</v>
      </c>
      <c r="C20" s="62" t="str">
        <f>VLOOKUP(B20,Opportunities!B$3:E$30,2,FALSE)</f>
        <v>昆仑能源</v>
      </c>
      <c r="D20" s="60">
        <f>VLOOKUP(B20,Opportunities!B$3:E$30,3,FALSE)</f>
        <v>8.25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VLOOKUP(B20,Opportunities!B$3:I$30,8,FALSE)</f>
        <v>1.6129158499726759E-3</v>
      </c>
      <c r="J20" s="81">
        <f>VLOOKUP(B20,Opportunities!B$3:N$30,12,FALSE)</f>
        <v>7.3440346104754823</v>
      </c>
      <c r="K20" s="81">
        <f>VLOOKUP(B20,Opportunities!B$3:N$30,9,FALSE)</f>
        <v>5.9078368150321605</v>
      </c>
      <c r="L20" s="81">
        <f>VLOOKUP(B20,Opportunities!B$3:N$30,11,FALSE)</f>
        <v>10.196764565217837</v>
      </c>
      <c r="M20" s="81">
        <f>VLOOKUP(B20,Opportunities!B$3:N$30,13,FALSE)</f>
        <v>9.0493420849154926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159</v>
      </c>
      <c r="C23" s="68"/>
      <c r="D23" s="69" t="s">
        <v>155</v>
      </c>
      <c r="E23" s="70" t="s">
        <v>134</v>
      </c>
      <c r="F23" s="69" t="s">
        <v>155</v>
      </c>
      <c r="G23" s="66">
        <f>G3+SUM(G15:G20)</f>
        <v>805319</v>
      </c>
      <c r="H23" s="73">
        <f t="shared" ref="H23" si="5">G23/$G$12</f>
        <v>0.58298193327102843</v>
      </c>
      <c r="I23" s="73">
        <f>Portfolio_Mgmt!E73</f>
        <v>0.45</v>
      </c>
      <c r="J23" s="82" t="s">
        <v>187</v>
      </c>
      <c r="K23" s="82" t="s">
        <v>187</v>
      </c>
      <c r="L23" s="82" t="s">
        <v>187</v>
      </c>
      <c r="M23" s="82" t="s">
        <v>187</v>
      </c>
    </row>
    <row r="25" spans="1:13" ht="13.15">
      <c r="A25" s="49"/>
      <c r="B25" s="50" t="s">
        <v>188</v>
      </c>
      <c r="C25" s="115"/>
      <c r="D25" s="56"/>
      <c r="E25" s="53"/>
      <c r="F25" s="57"/>
      <c r="G25" s="57"/>
    </row>
    <row r="26" spans="1:13" ht="13.15">
      <c r="C26" s="84" t="s">
        <v>189</v>
      </c>
      <c r="D26" s="84" t="s">
        <v>192</v>
      </c>
      <c r="F26" s="84" t="s">
        <v>193</v>
      </c>
    </row>
    <row r="27" spans="1:13" ht="14.25">
      <c r="B27" s="83" t="s">
        <v>190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191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194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84</v>
      </c>
    </row>
    <row r="2" spans="1:4">
      <c r="A2" s="5"/>
      <c r="B2" s="6" t="s">
        <v>85</v>
      </c>
    </row>
    <row r="3" spans="1:4">
      <c r="B3" s="157" t="s">
        <v>86</v>
      </c>
      <c r="C3" s="157"/>
      <c r="D3" s="157"/>
    </row>
    <row r="5" spans="1:4">
      <c r="B5" s="158" t="s">
        <v>88</v>
      </c>
      <c r="C5" s="159"/>
      <c r="D5" s="159"/>
    </row>
    <row r="6" spans="1:4">
      <c r="B6" s="158" t="s">
        <v>89</v>
      </c>
      <c r="C6" s="159"/>
      <c r="D6" s="159"/>
    </row>
    <row r="8" spans="1:4">
      <c r="B8" s="1" t="s">
        <v>87</v>
      </c>
    </row>
    <row r="10" spans="1:4">
      <c r="A10" s="5"/>
      <c r="B10" s="6" t="s">
        <v>90</v>
      </c>
    </row>
    <row r="11" spans="1:4">
      <c r="B11" s="157" t="s">
        <v>91</v>
      </c>
      <c r="C11" s="157"/>
      <c r="D11" s="157"/>
    </row>
    <row r="12" spans="1:4">
      <c r="B12" s="157" t="s">
        <v>92</v>
      </c>
      <c r="C12" s="157"/>
      <c r="D12" s="157"/>
    </row>
    <row r="14" spans="1:4">
      <c r="B14" s="23" t="s">
        <v>124</v>
      </c>
    </row>
    <row r="16" spans="1:4" ht="12.4">
      <c r="B16" s="30" t="s">
        <v>101</v>
      </c>
      <c r="C16" s="30" t="s">
        <v>102</v>
      </c>
    </row>
    <row r="17" spans="1:4">
      <c r="B17" s="26" t="s">
        <v>93</v>
      </c>
      <c r="C17" s="26" t="s">
        <v>97</v>
      </c>
    </row>
    <row r="18" spans="1:4">
      <c r="B18" s="26" t="s">
        <v>94</v>
      </c>
      <c r="C18" s="26" t="s">
        <v>98</v>
      </c>
    </row>
    <row r="19" spans="1:4">
      <c r="B19" s="26" t="s">
        <v>95</v>
      </c>
      <c r="C19" s="26" t="s">
        <v>99</v>
      </c>
    </row>
    <row r="20" spans="1:4">
      <c r="B20" s="26" t="s">
        <v>96</v>
      </c>
      <c r="C20" s="26" t="s">
        <v>100</v>
      </c>
    </row>
    <row r="21" spans="1:4">
      <c r="B21" s="26" t="s">
        <v>116</v>
      </c>
      <c r="C21" s="26" t="s">
        <v>117</v>
      </c>
    </row>
    <row r="22" spans="1:4">
      <c r="B22" s="26" t="s">
        <v>118</v>
      </c>
      <c r="C22" s="26" t="s">
        <v>119</v>
      </c>
    </row>
    <row r="23" spans="1:4">
      <c r="B23" s="26" t="s">
        <v>120</v>
      </c>
      <c r="C23" s="26" t="s">
        <v>121</v>
      </c>
    </row>
    <row r="24" spans="1:4">
      <c r="B24" s="26" t="s">
        <v>125</v>
      </c>
      <c r="C24" s="26" t="s">
        <v>126</v>
      </c>
    </row>
    <row r="25" spans="1:4">
      <c r="B25" s="26" t="s">
        <v>122</v>
      </c>
      <c r="C25" s="26" t="s">
        <v>123</v>
      </c>
    </row>
    <row r="27" spans="1:4">
      <c r="A27" s="5"/>
      <c r="B27" s="6" t="s">
        <v>103</v>
      </c>
    </row>
    <row r="28" spans="1:4">
      <c r="B28" s="157" t="s">
        <v>104</v>
      </c>
      <c r="C28" s="157"/>
      <c r="D28" s="157"/>
    </row>
    <row r="29" spans="1:4">
      <c r="B29" s="157" t="s">
        <v>105</v>
      </c>
      <c r="C29" s="157"/>
      <c r="D29" s="157"/>
    </row>
    <row r="31" spans="1:4">
      <c r="A31" s="5"/>
      <c r="B31" s="6" t="s">
        <v>106</v>
      </c>
    </row>
    <row r="32" spans="1:4">
      <c r="A32" s="28" t="s">
        <v>58</v>
      </c>
      <c r="B32" s="23" t="s">
        <v>107</v>
      </c>
    </row>
    <row r="33" spans="1:2">
      <c r="B33" s="1" t="s">
        <v>108</v>
      </c>
    </row>
    <row r="35" spans="1:2">
      <c r="A35" s="28" t="s">
        <v>110</v>
      </c>
      <c r="B35" s="23" t="s">
        <v>109</v>
      </c>
    </row>
    <row r="36" spans="1:2">
      <c r="B36" s="1" t="s">
        <v>111</v>
      </c>
    </row>
    <row r="38" spans="1:2">
      <c r="A38" s="5"/>
      <c r="B38" s="6" t="s">
        <v>112</v>
      </c>
    </row>
    <row r="39" spans="1:2">
      <c r="B39" s="24" t="s">
        <v>113</v>
      </c>
    </row>
    <row r="40" spans="1:2">
      <c r="B40" s="1" t="s">
        <v>114</v>
      </c>
    </row>
    <row r="41" spans="1:2">
      <c r="B41" s="1" t="s">
        <v>115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2026-02-13T04:17:20Z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