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5B5CC89E-2EAC-41DA-BEC6-D3AD37C24061}" xr6:coauthVersionLast="47" xr6:coauthVersionMax="47" xr10:uidLastSave="{00000000-0000-0000-0000-000000000000}"/>
  <bookViews>
    <workbookView xWindow="-28920" yWindow="6150" windowWidth="29040" windowHeight="15720" activeTab="5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G3" i="7" l="1"/>
  <c r="H3" i="1"/>
  <c r="H4" i="1"/>
  <c r="H5" i="1"/>
  <c r="H6" i="1"/>
  <c r="H7" i="1"/>
  <c r="H8" i="1"/>
  <c r="H9" i="1"/>
  <c r="G3" i="1"/>
  <c r="G4" i="1"/>
  <c r="G5" i="1"/>
  <c r="G6" i="1"/>
  <c r="G7" i="1"/>
  <c r="G8" i="1"/>
  <c r="G9" i="1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6" i="7"/>
  <c r="J16" i="7"/>
  <c r="K16" i="7"/>
  <c r="L16" i="7"/>
  <c r="M16" i="7"/>
  <c r="C13" i="7"/>
  <c r="C14" i="7"/>
  <c r="C15" i="7"/>
  <c r="C16" i="7"/>
  <c r="C12" i="7"/>
  <c r="C5" i="7"/>
  <c r="C6" i="7"/>
  <c r="C7" i="7"/>
  <c r="C4" i="7"/>
  <c r="D16" i="7"/>
  <c r="G16" i="7" s="1"/>
  <c r="E16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2" i="7"/>
  <c r="C23" i="7" s="1"/>
  <c r="F23" i="7" s="1"/>
  <c r="F25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18" i="7" s="1"/>
  <c r="G4" i="7"/>
  <c r="E33" i="10" l="1"/>
  <c r="G9" i="7"/>
  <c r="H16" i="7" s="1"/>
  <c r="H6" i="7" l="1"/>
  <c r="H15" i="7"/>
  <c r="H7" i="7"/>
  <c r="H14" i="7"/>
  <c r="E72" i="5"/>
  <c r="E73" i="5" s="1"/>
  <c r="H13" i="7" l="1"/>
  <c r="H12" i="7"/>
  <c r="H5" i="7"/>
  <c r="H4" i="7"/>
  <c r="H18" i="7"/>
  <c r="C10" i="5"/>
  <c r="C11" i="5"/>
  <c r="E6" i="2"/>
  <c r="E5" i="2"/>
  <c r="E4" i="2"/>
  <c r="C11" i="10" l="1"/>
  <c r="C10" i="10"/>
  <c r="I18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<sst xmlns="http://schemas.openxmlformats.org/spreadsheetml/2006/main" count="443" uniqueCount="376">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</sst>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5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topLeftCell="A19" zoomScaleNormal="100" workbookViewId="0">
      <selection activeCell="E47" sqref="E4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J3" sqref="J3:M5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331</v>
      </c>
      <c r="C3" s="11" t="s">
        <v>332</v>
      </c>
      <c r="D3" s="2">
        <v>3.85</v>
      </c>
      <c r="E3" s="12" t="s">
        <v>135</v>
      </c>
      <c r="F3" s="15">
        <v>0.22027668345247436</v>
      </c>
      <c r="G3" s="15">
        <f>F3 - Portfolio_Mgmt!$C$10</f>
        <v>0.10287668345247436</v>
      </c>
      <c r="H3" s="15">
        <f>F3 - Portfolio_Mgmt!$C$11</f>
        <v>0.18577668345247436</v>
      </c>
      <c r="I3" s="15">
        <v>9.6009775205825779E-2</v>
      </c>
      <c r="J3" s="2">
        <v>3.252988557176598</v>
      </c>
      <c r="K3" s="2">
        <v>6.0988510679787797</v>
      </c>
      <c r="L3" s="71">
        <v>5.5754180582043196</v>
      </c>
      <c r="M3" s="2">
        <v>4.0315502153760354</v>
      </c>
      <c r="N3" s="2">
        <v>4.9547823242751843</v>
      </c>
      <c r="O3" s="4">
        <v>0.11144588455082099</v>
      </c>
      <c r="P3" s="4">
        <v>6.2805194805194794E-2</v>
      </c>
      <c r="Q3" s="4">
        <v>0.17911384235321903</v>
      </c>
      <c r="R3" s="4">
        <v>0.23440332981639811</v>
      </c>
      <c r="S3" s="79">
        <v>0.61200300518899786</v>
      </c>
      <c r="T3" s="78">
        <v>1.2485669045200241</v>
      </c>
      <c r="U3" s="15">
        <v>3.1120102042901991E-2</v>
      </c>
      <c r="V3" s="76">
        <v>0.1723700558857961</v>
      </c>
      <c r="W3" s="71">
        <v>1.2402809457694648</v>
      </c>
      <c r="X3" s="13" t="s">
        <v>171</v>
      </c>
      <c r="Y3" s="11" t="s">
        <v>341</v>
      </c>
      <c r="Z3" s="14">
        <v>46081</v>
      </c>
      <c r="AA3" s="16" t="s">
        <v>334</v>
      </c>
    </row>
    <row r="4" spans="1:27">
      <c r="B4" s="11" t="s">
        <v>185</v>
      </c>
      <c r="C4" s="11" t="s">
        <v>335</v>
      </c>
      <c r="D4" s="2">
        <v>2.79</v>
      </c>
      <c r="E4" s="12" t="s">
        <v>135</v>
      </c>
      <c r="F4" s="15">
        <v>0.20532122001811634</v>
      </c>
      <c r="G4" s="15">
        <f>F4 - Portfolio_Mgmt!$C$10</f>
        <v>8.7921220018116336E-2</v>
      </c>
      <c r="H4" s="15">
        <f>F4 - Portfolio_Mgmt!$C$11</f>
        <v>0.17082122001811634</v>
      </c>
      <c r="I4" s="15">
        <v>0.16056585120760941</v>
      </c>
      <c r="J4" s="2">
        <v>2.2903031954036961</v>
      </c>
      <c r="K4" s="2">
        <v>3.8978478955831006</v>
      </c>
      <c r="L4" s="71">
        <v>3.864947713995857</v>
      </c>
      <c r="M4" s="2">
        <v>2.8195455541861039</v>
      </c>
      <c r="N4" s="2">
        <v>3.4452258335534998</v>
      </c>
      <c r="O4" s="4">
        <v>5.7655717742966989E-2</v>
      </c>
      <c r="P4" s="4">
        <v>9.6774193548387108E-2</v>
      </c>
      <c r="Q4" s="4">
        <v>7.6203822690338374E-2</v>
      </c>
      <c r="R4" s="4">
        <v>0.40688947062135006</v>
      </c>
      <c r="S4" s="79">
        <v>0.1542519195864642</v>
      </c>
      <c r="T4" s="78">
        <v>1.2141426890285656</v>
      </c>
      <c r="U4" s="15">
        <v>2.3107986944995245E-3</v>
      </c>
      <c r="V4" s="76">
        <v>3.0499352531108609E-2</v>
      </c>
      <c r="W4" s="71">
        <v>0.79833937207218564</v>
      </c>
      <c r="X4" s="13" t="s">
        <v>336</v>
      </c>
      <c r="Y4" s="11" t="s">
        <v>333</v>
      </c>
      <c r="Z4" s="14">
        <v>46081</v>
      </c>
      <c r="AA4" s="16" t="s">
        <v>183</v>
      </c>
    </row>
    <row r="5" spans="1:27">
      <c r="B5" s="11" t="s">
        <v>342</v>
      </c>
      <c r="C5" s="11" t="s">
        <v>343</v>
      </c>
      <c r="D5" s="2">
        <v>6.98</v>
      </c>
      <c r="E5" s="12" t="s">
        <v>135</v>
      </c>
      <c r="F5" s="15">
        <v>0.18869665596086194</v>
      </c>
      <c r="G5" s="15">
        <f>F5 - Portfolio_Mgmt!$C$10</f>
        <v>7.1296655960861932E-2</v>
      </c>
      <c r="H5" s="15">
        <f>F5 - Portfolio_Mgmt!$C$11</f>
        <v>0.15419665596086193</v>
      </c>
      <c r="I5" s="15">
        <v>5.9808769112783884E-2</v>
      </c>
      <c r="J5" s="2">
        <v>5.4554372531177178</v>
      </c>
      <c r="K5" s="2">
        <v>10.606500569973274</v>
      </c>
      <c r="L5" s="71">
        <v>9.4080592339596905</v>
      </c>
      <c r="M5" s="2">
        <v>6.7791939085382324</v>
      </c>
      <c r="N5" s="2">
        <v>8.3507472596129357</v>
      </c>
      <c r="O5" s="4">
        <v>9.8367952968997516E-2</v>
      </c>
      <c r="P5" s="4">
        <v>4.4443532298997127E-2</v>
      </c>
      <c r="Q5" s="4">
        <v>0.17171941600158974</v>
      </c>
      <c r="R5" s="4">
        <v>8.3605871157002951E-2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-2.8803885154399467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158</v>
      </c>
      <c r="C6" s="11" t="s">
        <v>337</v>
      </c>
      <c r="D6" s="2">
        <v>16.899999999999999</v>
      </c>
      <c r="E6" s="12" t="s">
        <v>135</v>
      </c>
      <c r="F6" s="15">
        <v>0.16329586530856066</v>
      </c>
      <c r="G6" s="15">
        <f>F6 - Portfolio_Mgmt!$C$10</f>
        <v>4.5895865308560657E-2</v>
      </c>
      <c r="H6" s="15">
        <f>F6 - Portfolio_Mgmt!$C$11</f>
        <v>0.12879586530856066</v>
      </c>
      <c r="I6" s="15">
        <v>4.0629841788078186E-2</v>
      </c>
      <c r="J6" s="2">
        <v>12.372351671972638</v>
      </c>
      <c r="K6" s="2">
        <v>24.720483350307113</v>
      </c>
      <c r="L6" s="71">
        <v>21.438188417100925</v>
      </c>
      <c r="M6" s="2">
        <v>15.406292663593069</v>
      </c>
      <c r="N6" s="2">
        <v>19.011322122710993</v>
      </c>
      <c r="O6" s="4">
        <v>5.6455062685951664E-2</v>
      </c>
      <c r="P6" s="4">
        <v>3.17037987981535E-2</v>
      </c>
      <c r="Q6" s="4">
        <v>0.11088658961567498</v>
      </c>
      <c r="R6" s="4">
        <v>0.11515143912978261</v>
      </c>
      <c r="S6" s="79">
        <v>0.71131521233544359</v>
      </c>
      <c r="T6" s="78">
        <v>1.3537783359692717</v>
      </c>
      <c r="U6" s="15">
        <v>6.5417684980282262E-2</v>
      </c>
      <c r="V6" s="76">
        <v>0.5742845428370501</v>
      </c>
      <c r="W6" s="71">
        <v>5.4442671220218921</v>
      </c>
      <c r="X6" s="13" t="s">
        <v>338</v>
      </c>
      <c r="Y6" s="11" t="s">
        <v>333</v>
      </c>
      <c r="Z6" s="14">
        <v>46081</v>
      </c>
      <c r="AA6" s="16" t="s">
        <v>183</v>
      </c>
    </row>
    <row r="7" spans="1:27">
      <c r="B7" s="11" t="s">
        <v>172</v>
      </c>
      <c r="C7" s="11" t="s">
        <v>339</v>
      </c>
      <c r="D7" s="2">
        <v>18.59</v>
      </c>
      <c r="E7" s="12" t="s">
        <v>135</v>
      </c>
      <c r="F7" s="15">
        <v>0.16198065963162989</v>
      </c>
      <c r="G7" s="15">
        <f>F7 - Portfolio_Mgmt!$C$10</f>
        <v>4.4580659631629882E-2</v>
      </c>
      <c r="H7" s="15">
        <f>F7 - Portfolio_Mgmt!$C$11</f>
        <v>0.12748065963162988</v>
      </c>
      <c r="I7" s="15">
        <v>3.585457320247537E-2</v>
      </c>
      <c r="J7" s="2">
        <v>13.706811594906767</v>
      </c>
      <c r="K7" s="2">
        <v>24.740600981547388</v>
      </c>
      <c r="L7" s="71">
        <v>23.346393117341798</v>
      </c>
      <c r="M7" s="2">
        <v>16.941644818496165</v>
      </c>
      <c r="N7" s="2">
        <v>20.772962821639016</v>
      </c>
      <c r="O7" s="4">
        <v>0.12564320418810407</v>
      </c>
      <c r="P7" s="4">
        <v>6.7778375470683161E-2</v>
      </c>
      <c r="Q7" s="4">
        <v>0.17244225698759846</v>
      </c>
      <c r="R7" s="4">
        <v>0.32385684070512349</v>
      </c>
      <c r="S7" s="79">
        <v>0.37515442207937094</v>
      </c>
      <c r="T7" s="78">
        <v>1.419320754716981</v>
      </c>
      <c r="U7" s="15">
        <v>9.2018392262565404E-2</v>
      </c>
      <c r="V7" s="76">
        <v>0.52904635366009978</v>
      </c>
      <c r="W7" s="71">
        <v>0.44897373343273361</v>
      </c>
      <c r="X7" s="13" t="s">
        <v>340</v>
      </c>
      <c r="Y7" s="11" t="s">
        <v>341</v>
      </c>
      <c r="Z7" s="14">
        <v>46081</v>
      </c>
      <c r="AA7" s="16" t="s">
        <v>183</v>
      </c>
    </row>
    <row r="8" spans="1:27">
      <c r="B8" s="11" t="s">
        <v>346</v>
      </c>
      <c r="C8" s="11" t="s">
        <v>347</v>
      </c>
      <c r="D8" s="2">
        <v>99.9</v>
      </c>
      <c r="E8" s="12" t="s">
        <v>135</v>
      </c>
      <c r="F8" s="15">
        <v>0.12676031161936827</v>
      </c>
      <c r="G8" s="15">
        <f>F8 - Portfolio_Mgmt!$C$10</f>
        <v>9.3603116193682612E-3</v>
      </c>
      <c r="H8" s="15">
        <f>F8 - Portfolio_Mgmt!$C$11</f>
        <v>9.2260311619368263E-2</v>
      </c>
      <c r="I8" s="15">
        <v>0</v>
      </c>
      <c r="J8" s="2">
        <v>65.856762648133483</v>
      </c>
      <c r="K8" s="2">
        <v>142.90917494644964</v>
      </c>
      <c r="L8" s="71">
        <v>115.84257678992627</v>
      </c>
      <c r="M8" s="2">
        <v>82.546815853544956</v>
      </c>
      <c r="N8" s="2">
        <v>102.43163640003843</v>
      </c>
      <c r="O8" s="4">
        <v>2.390824557186853E-2</v>
      </c>
      <c r="P8" s="4">
        <v>0</v>
      </c>
      <c r="Q8" s="4">
        <v>0.14667015235144401</v>
      </c>
      <c r="R8" s="4">
        <v>8.0069983114389093E-2</v>
      </c>
      <c r="S8" s="79">
        <v>1.022390799101176</v>
      </c>
      <c r="T8" s="78">
        <v>1.7916578376478161</v>
      </c>
      <c r="U8" s="15">
        <v>0.27660377540313014</v>
      </c>
      <c r="V8" s="76">
        <v>1.7116972700897226</v>
      </c>
      <c r="W8" s="71">
        <v>3.4785682288837916</v>
      </c>
      <c r="X8" s="13" t="s">
        <v>348</v>
      </c>
      <c r="Y8" s="11" t="s">
        <v>349</v>
      </c>
      <c r="Z8" s="14">
        <v>46081</v>
      </c>
      <c r="AA8" s="16" t="s">
        <v>334</v>
      </c>
    </row>
    <row r="9" spans="1:27">
      <c r="B9" s="11" t="s">
        <v>329</v>
      </c>
      <c r="C9" s="11" t="s">
        <v>330</v>
      </c>
      <c r="D9" s="2">
        <v>6.48</v>
      </c>
      <c r="E9" s="12" t="s">
        <v>135</v>
      </c>
      <c r="F9" s="15">
        <v>0.12260045445698151</v>
      </c>
      <c r="G9" s="15">
        <f>F9 - Portfolio_Mgmt!$C$10</f>
        <v>5.2004544569815014E-3</v>
      </c>
      <c r="H9" s="15">
        <f>F9 - Portfolio_Mgmt!$C$11</f>
        <v>8.8100454456981503E-2</v>
      </c>
      <c r="I9" s="15">
        <v>0</v>
      </c>
      <c r="J9" s="2">
        <v>4.333028820025568</v>
      </c>
      <c r="K9" s="2">
        <v>7.8143613713918958</v>
      </c>
      <c r="L9" s="71">
        <v>7.3792932677079612</v>
      </c>
      <c r="M9" s="2">
        <v>5.3553121183397749</v>
      </c>
      <c r="N9" s="2">
        <v>6.5660659780940076</v>
      </c>
      <c r="O9" s="4">
        <v>6.1252134371271964E-2</v>
      </c>
      <c r="P9" s="4">
        <v>6.1728395061728392E-2</v>
      </c>
      <c r="Q9" s="4">
        <v>0.1167471410506614</v>
      </c>
      <c r="R9" s="4">
        <v>3.9086921133773919E-2</v>
      </c>
      <c r="S9" s="79">
        <v>1.3708738209065539</v>
      </c>
      <c r="T9" s="78">
        <v>2.1787997096988563</v>
      </c>
      <c r="U9" s="15">
        <v>0.77760119734648436</v>
      </c>
      <c r="V9" s="76">
        <v>5.3475400925918697</v>
      </c>
      <c r="W9" s="71">
        <v>-2.5047246524922007</v>
      </c>
      <c r="X9" s="13" t="s">
        <v>171</v>
      </c>
      <c r="Y9" s="11" t="s">
        <v>170</v>
      </c>
      <c r="Z9" s="14">
        <v>45991</v>
      </c>
      <c r="AA9" s="16" t="s">
        <v>183</v>
      </c>
    </row>
    <row r="10" spans="1:27">
      <c r="B10" s="11"/>
      <c r="C10" s="11"/>
      <c r="E10" s="12"/>
      <c r="L10" s="71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1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1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7" sqref="C17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4.1399999999999999E-2</v>
      </c>
      <c r="D4" s="34">
        <v>7.2499999999999995E-2</v>
      </c>
      <c r="E4" s="35">
        <f>D4-C4</f>
        <v>3.1099999999999996E-2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5"/>
  <sheetViews>
    <sheetView showGridLines="0" tabSelected="1" zoomScaleNormal="100" workbookViewId="0">
      <selection activeCell="H19" sqref="H1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0.69456422940962281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16.899999999999999</v>
      </c>
      <c r="E4" s="59" t="str">
        <f>VLOOKUP(B4,Opportunities!B$3:E$30,4,FALSE)</f>
        <v>HKD</v>
      </c>
      <c r="F4" s="57">
        <v>4500</v>
      </c>
      <c r="G4" s="61">
        <f>D4*F4</f>
        <v>76050</v>
      </c>
      <c r="H4" s="58">
        <f>G4/$G$9</f>
        <v>6.9056070260124822E-2</v>
      </c>
      <c r="I4" s="58">
        <f>VLOOKUP(B4,Opportunities!B$3:I$30,8,FALSE)</f>
        <v>4.0629841788078186E-2</v>
      </c>
      <c r="J4" s="81">
        <f>VLOOKUP(B4,Opportunities!B$3:N$30,12,FALSE)</f>
        <v>15.406292663593069</v>
      </c>
      <c r="K4" s="81">
        <f>VLOOKUP(B4,Opportunities!B$3:N$30,9,FALSE)</f>
        <v>12.372351671972638</v>
      </c>
      <c r="L4" s="81">
        <f>VLOOKUP(B4,Opportunities!B$3:N$30,11,FALSE)</f>
        <v>21.438188417100925</v>
      </c>
      <c r="M4" s="81">
        <f>VLOOKUP(B4,Opportunities!B$3:N$30,13,FALSE)</f>
        <v>19.011322122710993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18.59</v>
      </c>
      <c r="E5" s="59" t="str">
        <f>VLOOKUP(B5,Opportunities!B$3:E$30,4,FALSE)</f>
        <v>HKD</v>
      </c>
      <c r="F5" s="57">
        <v>8000</v>
      </c>
      <c r="G5" s="61">
        <f>D5*F5</f>
        <v>148720</v>
      </c>
      <c r="H5" s="58">
        <f>G5/$G$9</f>
        <v>0.13504298184202188</v>
      </c>
      <c r="I5" s="58">
        <f>VLOOKUP(B5,Opportunities!B$3:I$30,8,FALSE)</f>
        <v>3.585457320247537E-2</v>
      </c>
      <c r="J5" s="81">
        <f>VLOOKUP(B5,Opportunities!B$3:N$30,12,FALSE)</f>
        <v>16.941644818496165</v>
      </c>
      <c r="K5" s="81">
        <f>VLOOKUP(B5,Opportunities!B$3:N$30,9,FALSE)</f>
        <v>13.706811594906767</v>
      </c>
      <c r="L5" s="81">
        <f>VLOOKUP(B5,Opportunities!B$3:N$30,11,FALSE)</f>
        <v>23.346393117341798</v>
      </c>
      <c r="M5" s="81">
        <f>VLOOKUP(B5,Opportunities!B$3:N$30,13,FALSE)</f>
        <v>20.772962821639016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2.79</v>
      </c>
      <c r="E6" s="59" t="str">
        <f>VLOOKUP(B6,Opportunities!B$3:E$30,4,FALSE)</f>
        <v>HKD</v>
      </c>
      <c r="F6" s="57">
        <v>40000</v>
      </c>
      <c r="G6" s="61">
        <f>D6*F6</f>
        <v>111600</v>
      </c>
      <c r="H6" s="58">
        <f t="shared" ref="H6" si="0">G6/$G$9</f>
        <v>0.1013367184882305</v>
      </c>
      <c r="I6" s="58">
        <f>VLOOKUP(B6,Opportunities!B$3:I$30,8,FALSE)</f>
        <v>0.16056585120760941</v>
      </c>
      <c r="J6" s="81">
        <f>VLOOKUP(B6,Opportunities!B$3:N$30,12,FALSE)</f>
        <v>2.8195455541861039</v>
      </c>
      <c r="K6" s="81">
        <f>VLOOKUP(B6,Opportunities!B$3:N$30,9,FALSE)</f>
        <v>2.2903031954036961</v>
      </c>
      <c r="L6" s="81">
        <f>VLOOKUP(B6,Opportunities!B$3:N$30,11,FALSE)</f>
        <v>3.864947713995857</v>
      </c>
      <c r="M6" s="81">
        <f>VLOOKUP(B6,Opportunities!B$3:N$30,13,FALSE)</f>
        <v>3.4452258335534998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3.85</v>
      </c>
      <c r="E7" s="59" t="str">
        <f>VLOOKUP(B7,Opportunities!B$3:E$30,4,FALSE)</f>
        <v>HKD</v>
      </c>
      <c r="F7" s="57">
        <v>12000</v>
      </c>
      <c r="G7" s="61">
        <f>D7*F7</f>
        <v>46200</v>
      </c>
      <c r="H7" s="58">
        <f t="shared" ref="H7" si="1">G7/$G$9</f>
        <v>4.1951222169858866E-2</v>
      </c>
      <c r="I7" s="58">
        <f>VLOOKUP(B7,Opportunities!B$3:I$30,8,FALSE)</f>
        <v>9.6009775205825779E-2</v>
      </c>
      <c r="J7" s="81">
        <f>VLOOKUP(B7,Opportunities!B$3:N$30,12,FALSE)</f>
        <v>4.0315502153760354</v>
      </c>
      <c r="K7" s="81">
        <f>VLOOKUP(B7,Opportunities!B$3:N$30,9,FALSE)</f>
        <v>3.252988557176598</v>
      </c>
      <c r="L7" s="81">
        <f>VLOOKUP(B7,Opportunities!B$3:N$30,11,FALSE)</f>
        <v>5.5754180582043196</v>
      </c>
      <c r="M7" s="81">
        <f>VLOOKUP(B7,Opportunities!B$3:N$30,13,FALSE)</f>
        <v>4.9547823242751843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1101279</v>
      </c>
      <c r="H9" s="67">
        <f>SUM(H3:H6)</f>
        <v>1</v>
      </c>
      <c r="I9" s="73">
        <f>SUM(I3:I6)</f>
        <v>0.68705026619816301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16.899999999999999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4.0629841788078186E-2</v>
      </c>
      <c r="J12" s="81">
        <f>VLOOKUP(B12,Opportunities!B$3:N$30,12,FALSE)</f>
        <v>15.406292663593069</v>
      </c>
      <c r="K12" s="81">
        <f>VLOOKUP(B12,Opportunities!B$3:N$30,9,FALSE)</f>
        <v>12.372351671972638</v>
      </c>
      <c r="L12" s="81">
        <f>VLOOKUP(B12,Opportunities!B$3:N$30,11,FALSE)</f>
        <v>21.438188417100925</v>
      </c>
      <c r="M12" s="81">
        <f>VLOOKUP(B12,Opportunities!B$3:N$30,13,FALSE)</f>
        <v>19.011322122710993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18.59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3.585457320247537E-2</v>
      </c>
      <c r="J13" s="81">
        <f>VLOOKUP(B13,Opportunities!B$3:N$30,12,FALSE)</f>
        <v>16.941644818496165</v>
      </c>
      <c r="K13" s="81">
        <f>VLOOKUP(B13,Opportunities!B$3:N$30,9,FALSE)</f>
        <v>13.706811594906767</v>
      </c>
      <c r="L13" s="81">
        <f>VLOOKUP(B13,Opportunities!B$3:N$30,11,FALSE)</f>
        <v>23.346393117341798</v>
      </c>
      <c r="M13" s="81">
        <f>VLOOKUP(B13,Opportunities!B$3:N$30,13,FALSE)</f>
        <v>20.772962821639016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2.79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0.16056585120760941</v>
      </c>
      <c r="J14" s="81">
        <f>VLOOKUP(B14,Opportunities!B$3:N$30,12,FALSE)</f>
        <v>2.8195455541861039</v>
      </c>
      <c r="K14" s="81">
        <f>VLOOKUP(B14,Opportunities!B$3:N$30,9,FALSE)</f>
        <v>2.2903031954036961</v>
      </c>
      <c r="L14" s="81">
        <f>VLOOKUP(B14,Opportunities!B$3:N$30,11,FALSE)</f>
        <v>3.864947713995857</v>
      </c>
      <c r="M14" s="81">
        <f>VLOOKUP(B14,Opportunities!B$3:N$30,13,FALSE)</f>
        <v>3.4452258335534998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3.85</v>
      </c>
      <c r="E15" s="59" t="str">
        <f>VLOOKUP(B15,Opportunities!B$3:E$30,4,FALSE)</f>
        <v>HKD</v>
      </c>
      <c r="F15" s="57">
        <v>8000</v>
      </c>
      <c r="G15" s="61">
        <f>-D15*F15</f>
        <v>-30800</v>
      </c>
      <c r="H15" s="58">
        <f>-G15/$G$9</f>
        <v>2.7967481446572576E-2</v>
      </c>
      <c r="I15" s="58">
        <f>VLOOKUP(B15,Opportunities!B$3:I$30,8,FALSE)</f>
        <v>9.6009775205825779E-2</v>
      </c>
      <c r="J15" s="81">
        <f>VLOOKUP(B15,Opportunities!B$3:N$30,12,FALSE)</f>
        <v>4.0315502153760354</v>
      </c>
      <c r="K15" s="81">
        <f>VLOOKUP(B15,Opportunities!B$3:N$30,9,FALSE)</f>
        <v>3.252988557176598</v>
      </c>
      <c r="L15" s="81">
        <f>VLOOKUP(B15,Opportunities!B$3:N$30,11,FALSE)</f>
        <v>5.5754180582043196</v>
      </c>
      <c r="M15" s="81">
        <f>VLOOKUP(B15,Opportunities!B$3:N$30,13,FALSE)</f>
        <v>4.9547823242751843</v>
      </c>
    </row>
    <row r="16" spans="1:13">
      <c r="B16" s="63" t="s">
        <v>342</v>
      </c>
      <c r="C16" s="62" t="str">
        <f>VLOOKUP(B16,Opportunities!B$3:E$30,2,FALSE)</f>
        <v>昆仑能源</v>
      </c>
      <c r="D16" s="60">
        <f>VLOOKUP(B16,Opportunities!B$3:E$30,3,FALSE)</f>
        <v>6.98</v>
      </c>
      <c r="E16" s="59" t="str">
        <f>VLOOKUP(B16,Opportunities!B$3:E$30,4,FALSE)</f>
        <v>HKD</v>
      </c>
      <c r="F16" s="57">
        <v>8000</v>
      </c>
      <c r="G16" s="61">
        <f>-D16*F16</f>
        <v>-55840</v>
      </c>
      <c r="H16" s="58">
        <f>-G16/$G$9</f>
        <v>5.0704680648591322E-2</v>
      </c>
      <c r="I16" s="58">
        <f>VLOOKUP(B16,Opportunities!B$3:I$30,8,FALSE)</f>
        <v>5.9808769112783884E-2</v>
      </c>
      <c r="J16" s="81">
        <f>VLOOKUP(B16,Opportunities!B$3:N$30,12,FALSE)</f>
        <v>6.7791939085382324</v>
      </c>
      <c r="K16" s="81">
        <f>VLOOKUP(B16,Opportunities!B$3:N$30,9,FALSE)</f>
        <v>5.4554372531177178</v>
      </c>
      <c r="L16" s="81">
        <f>VLOOKUP(B16,Opportunities!B$3:N$30,11,FALSE)</f>
        <v>9.4080592339596905</v>
      </c>
      <c r="M16" s="81">
        <f>VLOOKUP(B16,Opportunities!B$3:N$30,13,FALSE)</f>
        <v>8.3507472596129357</v>
      </c>
    </row>
    <row r="17" spans="1:13">
      <c r="H17" s="72"/>
      <c r="I17" s="72"/>
    </row>
    <row r="18" spans="1:13" ht="13.15">
      <c r="B18" s="68" t="s">
        <v>160</v>
      </c>
      <c r="C18" s="68"/>
      <c r="D18" s="69" t="s">
        <v>156</v>
      </c>
      <c r="E18" s="70" t="s">
        <v>135</v>
      </c>
      <c r="F18" s="69" t="s">
        <v>156</v>
      </c>
      <c r="G18" s="66">
        <f>G3+SUM(G12:G16)</f>
        <v>678269</v>
      </c>
      <c r="H18" s="73">
        <f t="shared" ref="H18" si="2">G18/$G$9</f>
        <v>0.61589206731445889</v>
      </c>
      <c r="I18" s="73">
        <f>Portfolio_Mgmt!E73</f>
        <v>0.45</v>
      </c>
      <c r="J18" s="82" t="s">
        <v>189</v>
      </c>
      <c r="K18" s="82" t="s">
        <v>189</v>
      </c>
      <c r="L18" s="82" t="s">
        <v>189</v>
      </c>
      <c r="M18" s="82" t="s">
        <v>189</v>
      </c>
    </row>
    <row r="20" spans="1:13" ht="13.15">
      <c r="A20" s="49"/>
      <c r="B20" s="50" t="s">
        <v>190</v>
      </c>
      <c r="C20" s="115"/>
      <c r="D20" s="56"/>
      <c r="E20" s="53"/>
      <c r="F20" s="57"/>
      <c r="G20" s="57"/>
    </row>
    <row r="21" spans="1:13" ht="13.15">
      <c r="C21" s="84" t="s">
        <v>191</v>
      </c>
      <c r="D21" s="84" t="s">
        <v>194</v>
      </c>
      <c r="F21" s="84" t="s">
        <v>195</v>
      </c>
    </row>
    <row r="22" spans="1:13" ht="14.25">
      <c r="B22" s="83" t="s">
        <v>192</v>
      </c>
      <c r="C22" s="88">
        <v>200000</v>
      </c>
      <c r="D22" s="89">
        <v>7.8629699999999998</v>
      </c>
      <c r="F22" s="116">
        <f>C22/D22</f>
        <v>25435.681428264383</v>
      </c>
    </row>
    <row r="23" spans="1:13" ht="14.25">
      <c r="B23" s="83" t="s">
        <v>193</v>
      </c>
      <c r="C23" s="86">
        <f>F22</f>
        <v>25435.681428264383</v>
      </c>
      <c r="D23" s="89">
        <v>7.8387000000000002</v>
      </c>
      <c r="F23" s="117">
        <f>C23*D23</f>
        <v>199382.67601173601</v>
      </c>
    </row>
    <row r="24" spans="1:13" ht="14.25">
      <c r="C24"/>
      <c r="D24"/>
      <c r="F24"/>
    </row>
    <row r="25" spans="1:13" ht="14.25">
      <c r="C25"/>
      <c r="E25" s="87" t="s">
        <v>196</v>
      </c>
      <c r="F25" s="85">
        <f>C22-F23</f>
        <v>617.32398826399003</v>
      </c>
    </row>
    <row r="30" spans="1:13">
      <c r="B30" s="53"/>
      <c r="C30" s="53"/>
      <c r="D30" s="56"/>
      <c r="E30" s="53"/>
      <c r="F30" s="57"/>
      <c r="G30" s="57"/>
    </row>
    <row r="31" spans="1:13">
      <c r="B31" s="53"/>
      <c r="C31" s="53"/>
      <c r="D31" s="56"/>
      <c r="E31" s="53"/>
      <c r="F31" s="57"/>
      <c r="G31" s="57"/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4"/>
      <c r="E35" s="53"/>
      <c r="F35" s="55"/>
      <c r="G35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6" t="s">
        <v>87</v>
      </c>
      <c r="C3" s="156"/>
      <c r="D3" s="156"/>
    </row>
    <row r="5" spans="1:4">
      <c r="B5" s="157" t="s">
        <v>89</v>
      </c>
      <c r="C5" s="158"/>
      <c r="D5" s="158"/>
    </row>
    <row r="6" spans="1:4">
      <c r="B6" s="157" t="s">
        <v>90</v>
      </c>
      <c r="C6" s="158"/>
      <c r="D6" s="158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6" t="s">
        <v>92</v>
      </c>
      <c r="C11" s="156"/>
      <c r="D11" s="156"/>
    </row>
    <row r="12" spans="1:4">
      <c r="B12" s="156" t="s">
        <v>93</v>
      </c>
      <c r="C12" s="156"/>
      <c r="D12" s="156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6" t="s">
        <v>105</v>
      </c>
      <c r="C28" s="156"/>
      <c r="D28" s="156"/>
    </row>
    <row r="29" spans="1:4">
      <c r="B29" s="156" t="s">
        <v>106</v>
      </c>
      <c r="C29" s="156"/>
      <c r="D29" s="156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2025-10-13T03:04:16Z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