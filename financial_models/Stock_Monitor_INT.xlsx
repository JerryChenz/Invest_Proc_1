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1940AE0-E919-4132-A4DA-1006834B16FC}"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<sst xmlns="http://schemas.openxmlformats.org/spreadsheetml/2006/main" count="337" uniqueCount="283">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</sst>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157</v>
      </c>
    </row>
    <row r="2" spans="1:5">
      <c r="A2" s="21" t="s">
        <v>52</v>
      </c>
      <c r="B2" s="21"/>
      <c r="C2" s="21"/>
      <c r="D2" s="21"/>
      <c r="E2" s="21"/>
    </row>
    <row r="4" spans="1:5" ht="24.5" customHeight="1">
      <c r="B4" s="93" t="s">
        <v>206</v>
      </c>
      <c r="C4" s="93"/>
      <c r="D4" s="93"/>
      <c r="E4" s="93"/>
    </row>
    <row r="6" spans="1:5">
      <c r="A6" s="20" t="s">
        <v>63</v>
      </c>
      <c r="B6" s="19" t="s">
        <v>189</v>
      </c>
      <c r="C6" s="60"/>
    </row>
    <row r="7" spans="1:5">
      <c r="B7" s="93" t="s">
        <v>194</v>
      </c>
      <c r="C7" s="93"/>
      <c r="D7" s="93"/>
      <c r="E7" s="93"/>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191</v>
      </c>
      <c r="C14" s="4" t="s">
        <v>192</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190</v>
      </c>
    </row>
    <row r="23" spans="1:5">
      <c r="A23" s="25" t="s">
        <v>64</v>
      </c>
      <c r="B23" s="19" t="s">
        <v>188</v>
      </c>
      <c r="C23" s="60"/>
    </row>
    <row r="24" spans="1:5">
      <c r="A24" s="18"/>
      <c r="B24" s="93" t="s">
        <v>205</v>
      </c>
      <c r="C24" s="93"/>
      <c r="D24" s="93"/>
      <c r="E24" s="93"/>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232</v>
      </c>
      <c r="E36" s="47">
        <f>benchmark+10%</f>
        <v>0.21740000000000001</v>
      </c>
    </row>
    <row r="38" spans="1:5">
      <c r="B38" s="20" t="s">
        <v>82</v>
      </c>
    </row>
    <row r="39" spans="1:5">
      <c r="B39" s="93" t="s">
        <v>151</v>
      </c>
      <c r="C39" s="93"/>
      <c r="D39" s="93"/>
      <c r="E39" s="93"/>
    </row>
    <row r="40" spans="1:5" ht="46.5" customHeight="1">
      <c r="B40" s="93" t="s">
        <v>219</v>
      </c>
      <c r="C40" s="93"/>
      <c r="D40" s="93"/>
      <c r="E40" s="93"/>
    </row>
    <row r="42" spans="1:5">
      <c r="A42" s="21" t="s">
        <v>172</v>
      </c>
      <c r="B42" s="21"/>
      <c r="C42" s="21"/>
      <c r="D42" s="21"/>
      <c r="E42" s="21"/>
    </row>
    <row r="44" spans="1:5">
      <c r="B44" s="93" t="s">
        <v>193</v>
      </c>
      <c r="C44" s="93"/>
      <c r="D44" s="93"/>
      <c r="E44" s="93"/>
    </row>
    <row r="46" spans="1:5">
      <c r="B46" s="23" t="s">
        <v>87</v>
      </c>
    </row>
    <row r="48" spans="1:5">
      <c r="B48" s="49" t="s">
        <v>88</v>
      </c>
      <c r="C48" s="49" t="s">
        <v>184</v>
      </c>
      <c r="D48" s="55"/>
      <c r="E48" s="55"/>
    </row>
    <row r="49" spans="2:5">
      <c r="B49" s="26" t="s">
        <v>84</v>
      </c>
      <c r="C49" s="29">
        <v>0.5</v>
      </c>
      <c r="D49" s="56"/>
      <c r="E49" s="54"/>
    </row>
    <row r="50" spans="2:5">
      <c r="B50" s="26" t="s">
        <v>85</v>
      </c>
      <c r="C50" s="29">
        <v>0.3</v>
      </c>
      <c r="D50" s="56"/>
      <c r="E50" s="54"/>
    </row>
    <row r="51" spans="2:5">
      <c r="B51" s="26" t="s">
        <v>86</v>
      </c>
      <c r="C51" s="29">
        <v>0.2</v>
      </c>
      <c r="D51" s="61" t="s">
        <v>207</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236</v>
      </c>
      <c r="D58" s="26" t="s">
        <v>237</v>
      </c>
      <c r="E58" s="41">
        <v>2</v>
      </c>
    </row>
    <row r="59" spans="2:5">
      <c r="B59" s="26" t="s">
        <v>69</v>
      </c>
      <c r="C59" s="26" t="s">
        <v>71</v>
      </c>
      <c r="D59" s="26" t="s">
        <v>75</v>
      </c>
      <c r="E59" s="41">
        <v>1</v>
      </c>
    </row>
    <row r="60" spans="2:5">
      <c r="D60" s="27" t="s">
        <v>76</v>
      </c>
      <c r="E60" s="40">
        <f>SUM(E56:E59)</f>
        <v>5</v>
      </c>
    </row>
    <row r="61" spans="2:5" ht="12" thickBot="1">
      <c r="D61" s="42" t="s">
        <v>182</v>
      </c>
      <c r="E61" s="43">
        <f>IF(E60&lt;=2,C49,IF(E60&gt;=6,C51,C50))</f>
        <v>0.3</v>
      </c>
    </row>
    <row r="62" spans="2:5" ht="12" thickTop="1"/>
    <row r="63" spans="2:5">
      <c r="B63" s="23" t="s">
        <v>183</v>
      </c>
    </row>
    <row r="64" spans="2:5">
      <c r="B64" s="52" t="s">
        <v>158</v>
      </c>
      <c r="C64" s="53">
        <f>-E61*(C35-Cash_Yield)</f>
        <v>-9.9869999999999987E-2</v>
      </c>
    </row>
    <row r="65" spans="1:5">
      <c r="B65" s="52" t="s">
        <v>159</v>
      </c>
      <c r="C65" s="53">
        <f>C35+C64</f>
        <v>0.26753000000000005</v>
      </c>
    </row>
    <row r="66" spans="1:5">
      <c r="B66" s="45"/>
      <c r="C66" s="46"/>
    </row>
    <row r="67" spans="1:5">
      <c r="B67" s="39" t="s">
        <v>187</v>
      </c>
    </row>
    <row r="69" spans="1:5">
      <c r="A69" s="21" t="s">
        <v>77</v>
      </c>
      <c r="B69" s="21"/>
      <c r="C69" s="21"/>
      <c r="D69" s="21"/>
      <c r="E69" s="21"/>
    </row>
    <row r="71" spans="1:5">
      <c r="B71" s="93" t="s">
        <v>181</v>
      </c>
      <c r="C71" s="93"/>
      <c r="D71" s="93"/>
      <c r="E71" s="93"/>
    </row>
    <row r="73" spans="1:5">
      <c r="A73" s="28" t="s">
        <v>63</v>
      </c>
      <c r="B73" s="20" t="s">
        <v>163</v>
      </c>
    </row>
    <row r="74" spans="1:5">
      <c r="B74" s="24" t="s">
        <v>209</v>
      </c>
    </row>
    <row r="75" spans="1:5">
      <c r="B75" s="24" t="s">
        <v>208</v>
      </c>
    </row>
    <row r="77" spans="1:5">
      <c r="A77" s="28" t="s">
        <v>123</v>
      </c>
      <c r="B77" s="20" t="s">
        <v>162</v>
      </c>
    </row>
    <row r="78" spans="1:5">
      <c r="B78" s="39" t="s">
        <v>164</v>
      </c>
    </row>
    <row r="79" spans="1:5">
      <c r="B79" s="24" t="s">
        <v>165</v>
      </c>
    </row>
    <row r="80" spans="1:5">
      <c r="B80" s="24" t="s">
        <v>166</v>
      </c>
    </row>
    <row r="81" spans="1:5">
      <c r="B81" s="24" t="s">
        <v>173</v>
      </c>
    </row>
    <row r="83" spans="1:5">
      <c r="A83" s="28" t="s">
        <v>141</v>
      </c>
      <c r="B83" s="20" t="s">
        <v>201</v>
      </c>
    </row>
    <row r="84" spans="1:5">
      <c r="B84" s="24" t="s">
        <v>176</v>
      </c>
    </row>
    <row r="85" spans="1:5">
      <c r="B85" s="96" t="s">
        <v>177</v>
      </c>
      <c r="C85" s="96"/>
      <c r="D85" s="96"/>
      <c r="E85" s="96"/>
    </row>
    <row r="86" spans="1:5">
      <c r="B86" s="95" t="s">
        <v>175</v>
      </c>
      <c r="C86" s="95"/>
      <c r="D86" s="95"/>
      <c r="E86" s="95"/>
    </row>
    <row r="87" spans="1:5" ht="24.5" customHeight="1">
      <c r="B87" s="93" t="s">
        <v>174</v>
      </c>
      <c r="C87" s="93"/>
      <c r="D87" s="93"/>
      <c r="E87" s="93"/>
    </row>
    <row r="88" spans="1:5" ht="24.5" customHeight="1">
      <c r="B88" s="93" t="s">
        <v>210</v>
      </c>
      <c r="C88" s="93"/>
      <c r="D88" s="93"/>
      <c r="E88" s="93"/>
    </row>
    <row r="90" spans="1:5">
      <c r="B90" s="24" t="s">
        <v>179</v>
      </c>
    </row>
    <row r="91" spans="1:5">
      <c r="B91" s="1" t="s">
        <v>178</v>
      </c>
    </row>
    <row r="92" spans="1:5">
      <c r="B92" s="59" t="s">
        <v>167</v>
      </c>
    </row>
    <row r="93" spans="1:5">
      <c r="B93" s="24" t="s">
        <v>180</v>
      </c>
    </row>
    <row r="94" spans="1:5">
      <c r="B94" s="24" t="s">
        <v>168</v>
      </c>
    </row>
    <row r="96" spans="1:5">
      <c r="B96" s="24" t="s">
        <v>195</v>
      </c>
    </row>
    <row r="97" spans="1:5">
      <c r="B97" s="94" t="s">
        <v>196</v>
      </c>
      <c r="C97" s="94"/>
      <c r="D97" s="94"/>
      <c r="E97" s="94"/>
    </row>
    <row r="99" spans="1:5">
      <c r="B99" s="24" t="s">
        <v>200</v>
      </c>
    </row>
    <row r="100" spans="1:5" ht="12.4">
      <c r="B100" s="94" t="s">
        <v>197</v>
      </c>
      <c r="C100" s="94"/>
      <c r="D100" s="94"/>
      <c r="E100" s="94"/>
    </row>
    <row r="101" spans="1:5" ht="58.5" customHeight="1">
      <c r="B101" s="93" t="s">
        <v>204</v>
      </c>
      <c r="C101" s="93"/>
      <c r="D101" s="93"/>
      <c r="E101" s="93"/>
    </row>
    <row r="103" spans="1:5">
      <c r="A103" s="28" t="s">
        <v>170</v>
      </c>
      <c r="B103" s="20" t="s">
        <v>169</v>
      </c>
    </row>
    <row r="104" spans="1:5">
      <c r="B104" s="1" t="s">
        <v>185</v>
      </c>
    </row>
    <row r="105" spans="1:5">
      <c r="B105" s="1" t="s">
        <v>186</v>
      </c>
    </row>
    <row r="107" spans="1:5">
      <c r="B107" s="1" t="s">
        <v>171</v>
      </c>
    </row>
    <row r="108" spans="1:5">
      <c r="B108" s="1" t="s">
        <v>198</v>
      </c>
    </row>
    <row r="110" spans="1:5">
      <c r="B110" s="23" t="s">
        <v>152</v>
      </c>
    </row>
    <row r="111" spans="1:5">
      <c r="B111" s="1" t="s">
        <v>160</v>
      </c>
      <c r="C111" s="44">
        <v>0.30000000000000004</v>
      </c>
    </row>
    <row r="112" spans="1:5">
      <c r="B112" s="1" t="s">
        <v>161</v>
      </c>
      <c r="C112" s="44">
        <v>0.16779008548288021</v>
      </c>
      <c r="D112" s="60" t="str">
        <f>IF(C112&lt;benchmark,"Warning: Return is lower than the Benchmark.","")</f>
        <v/>
      </c>
    </row>
    <row r="114" spans="1:5" ht="24.5" customHeight="1">
      <c r="B114" s="93" t="s">
        <v>202</v>
      </c>
      <c r="C114" s="93"/>
      <c r="D114" s="93"/>
      <c r="E114" s="93"/>
    </row>
    <row r="116" spans="1:5">
      <c r="A116" s="21" t="s">
        <v>78</v>
      </c>
      <c r="B116" s="21"/>
      <c r="C116" s="21"/>
      <c r="D116" s="21"/>
      <c r="E116" s="21"/>
    </row>
    <row r="118" spans="1:5">
      <c r="B118" s="20" t="s">
        <v>79</v>
      </c>
    </row>
    <row r="119" spans="1:5">
      <c r="B119" s="24" t="s">
        <v>93</v>
      </c>
    </row>
    <row r="120" spans="1:5">
      <c r="B120" s="24" t="s">
        <v>94</v>
      </c>
    </row>
    <row r="121" spans="1:5">
      <c r="B121" s="24" t="s">
        <v>203</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D16" sqref="D16"/>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0.73046875" style="1" bestFit="1" customWidth="1"/>
    <col min="23" max="23" width="11.796875" style="3" bestFit="1" customWidth="1"/>
    <col min="24" max="24" width="8.796875" style="11"/>
    <col min="25" max="16384" width="8.796875" style="1"/>
  </cols>
  <sheetData>
    <row r="1" spans="1:24">
      <c r="A1" s="5"/>
      <c r="B1" s="6" t="s">
        <v>3</v>
      </c>
      <c r="C1" s="11"/>
      <c r="D1" s="99" t="s">
        <v>1</v>
      </c>
      <c r="E1" s="99"/>
      <c r="F1" s="99"/>
      <c r="G1" s="100" t="s">
        <v>96</v>
      </c>
      <c r="H1" s="100"/>
      <c r="I1" s="100"/>
      <c r="J1" s="103" t="s">
        <v>4</v>
      </c>
      <c r="K1" s="103"/>
      <c r="L1" s="103"/>
      <c r="M1" s="102" t="s">
        <v>234</v>
      </c>
      <c r="N1" s="102"/>
      <c r="O1" s="97" t="s">
        <v>8</v>
      </c>
      <c r="P1" s="97"/>
      <c r="Q1" s="101" t="s">
        <v>231</v>
      </c>
      <c r="R1" s="101"/>
      <c r="S1" s="101"/>
      <c r="T1" s="101"/>
      <c r="U1" s="98" t="s">
        <v>50</v>
      </c>
      <c r="V1" s="98"/>
      <c r="W1" s="98"/>
      <c r="X1" s="98"/>
    </row>
    <row r="2" spans="1:24" ht="26" customHeight="1">
      <c r="B2" s="7" t="s">
        <v>2</v>
      </c>
      <c r="C2" s="7" t="s">
        <v>0</v>
      </c>
      <c r="D2" s="8" t="s">
        <v>1</v>
      </c>
      <c r="E2" s="7" t="s">
        <v>279</v>
      </c>
      <c r="F2" s="7" t="s">
        <v>278</v>
      </c>
      <c r="G2" s="7" t="s">
        <v>58</v>
      </c>
      <c r="H2" s="7" t="s">
        <v>59</v>
      </c>
      <c r="I2" s="7" t="s">
        <v>199</v>
      </c>
      <c r="J2" s="8" t="s">
        <v>7</v>
      </c>
      <c r="K2" s="8" t="s">
        <v>10</v>
      </c>
      <c r="L2" s="8" t="s">
        <v>277</v>
      </c>
      <c r="M2" s="8" t="s">
        <v>233</v>
      </c>
      <c r="N2" s="8" t="s">
        <v>276</v>
      </c>
      <c r="O2" s="7" t="s">
        <v>11</v>
      </c>
      <c r="P2" s="7" t="s">
        <v>6</v>
      </c>
      <c r="Q2" s="7" t="s">
        <v>228</v>
      </c>
      <c r="R2" s="7" t="s">
        <v>227</v>
      </c>
      <c r="S2" s="7" t="s">
        <v>230</v>
      </c>
      <c r="T2" s="7" t="s">
        <v>229</v>
      </c>
      <c r="U2" s="7" t="s">
        <v>5</v>
      </c>
      <c r="V2" s="7" t="s">
        <v>282</v>
      </c>
      <c r="W2" s="9" t="s">
        <v>9</v>
      </c>
      <c r="X2" s="10" t="s">
        <v>49</v>
      </c>
    </row>
    <row r="3" spans="1:24">
      <c r="B3" s="11" t="s">
        <v>274</v>
      </c>
      <c r="C3" s="11" t="s">
        <v>275</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15">
        <v>0.40943456145688223</v>
      </c>
      <c r="R3" s="15">
        <v>0.12260820136742831</v>
      </c>
      <c r="S3" s="90">
        <v>0.75207444874659302</v>
      </c>
      <c r="T3" s="85">
        <v>-0.45593156460418477</v>
      </c>
      <c r="U3" s="13" t="s">
        <v>220</v>
      </c>
      <c r="V3" s="11" t="s">
        <v>154</v>
      </c>
      <c r="W3" s="14">
        <v>45900</v>
      </c>
      <c r="X3" s="11" t="s">
        <v>155</v>
      </c>
    </row>
    <row r="4" spans="1:24">
      <c r="B4" s="11" t="s">
        <v>263</v>
      </c>
      <c r="C4" s="11" t="s">
        <v>264</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15">
        <v>0.23422582328431374</v>
      </c>
      <c r="R4" s="15">
        <v>0.10863424600069688</v>
      </c>
      <c r="S4" s="90">
        <v>2.2824569622635926</v>
      </c>
      <c r="T4" s="85">
        <v>1.8377201074953657</v>
      </c>
      <c r="U4" s="13" t="s">
        <v>265</v>
      </c>
      <c r="V4" s="11" t="s">
        <v>154</v>
      </c>
      <c r="W4" s="14">
        <v>45900</v>
      </c>
      <c r="X4" s="11" t="s">
        <v>155</v>
      </c>
    </row>
    <row r="5" spans="1:24">
      <c r="B5" s="11" t="s">
        <v>235</v>
      </c>
      <c r="C5" s="11" t="s">
        <v>260</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15">
        <v>9.7057481271370302E-2</v>
      </c>
      <c r="R5" s="15">
        <v>1.4790654865358754E-2</v>
      </c>
      <c r="S5" s="90">
        <v>3.4432102574884196</v>
      </c>
      <c r="T5" s="85">
        <v>2.0258239687205015</v>
      </c>
      <c r="U5" s="13" t="s">
        <v>261</v>
      </c>
      <c r="V5" s="11" t="s">
        <v>262</v>
      </c>
      <c r="W5" s="14">
        <v>45900</v>
      </c>
      <c r="X5" s="11" t="s">
        <v>155</v>
      </c>
    </row>
    <row r="6" spans="1:24">
      <c r="B6" s="11" t="s">
        <v>222</v>
      </c>
      <c r="C6" s="11" t="s">
        <v>256</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15">
        <v>0.36794481423679237</v>
      </c>
      <c r="R6" s="15">
        <v>7.4171010848313429E-2</v>
      </c>
      <c r="S6" s="90">
        <v>0.60402076709908736</v>
      </c>
      <c r="T6" s="85">
        <v>4.5859352276564076</v>
      </c>
      <c r="U6" s="13" t="s">
        <v>243</v>
      </c>
      <c r="V6" s="11" t="s">
        <v>154</v>
      </c>
      <c r="W6" s="14">
        <v>45900</v>
      </c>
      <c r="X6" s="11" t="s">
        <v>155</v>
      </c>
    </row>
    <row r="7" spans="1:24">
      <c r="B7" s="11" t="s">
        <v>241</v>
      </c>
      <c r="C7" s="11" t="s">
        <v>242</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15">
        <v>1.2907496012759174</v>
      </c>
      <c r="R7" s="15">
        <v>0.24768740031897937</v>
      </c>
      <c r="S7" s="90">
        <v>0.73855199466278643</v>
      </c>
      <c r="T7" s="85">
        <v>-2.6685236897397968</v>
      </c>
      <c r="U7" s="13" t="s">
        <v>243</v>
      </c>
      <c r="V7" s="11" t="s">
        <v>154</v>
      </c>
      <c r="W7" s="14">
        <v>45808</v>
      </c>
      <c r="X7" s="11" t="s">
        <v>155</v>
      </c>
    </row>
    <row r="8" spans="1:24">
      <c r="B8" s="11" t="s">
        <v>248</v>
      </c>
      <c r="C8" s="11" t="s">
        <v>249</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15">
        <v>0.61007460831657279</v>
      </c>
      <c r="R8" s="15">
        <v>0.16360901428944893</v>
      </c>
      <c r="S8" s="90">
        <v>1.1309485990394448</v>
      </c>
      <c r="T8" s="85">
        <v>-3.8597940139087226</v>
      </c>
      <c r="U8" s="13" t="s">
        <v>220</v>
      </c>
      <c r="V8" s="11" t="s">
        <v>250</v>
      </c>
      <c r="W8" s="14">
        <v>45900</v>
      </c>
      <c r="X8" s="11" t="s">
        <v>155</v>
      </c>
    </row>
    <row r="9" spans="1:24">
      <c r="B9" s="11" t="s">
        <v>251</v>
      </c>
      <c r="C9" s="11" t="s">
        <v>252</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15">
        <v>0.40000523965699897</v>
      </c>
      <c r="R9" s="15">
        <v>0.10646655543311496</v>
      </c>
      <c r="S9" s="90">
        <v>0.9804830051022897</v>
      </c>
      <c r="T9" s="85">
        <v>1.6698226477450393</v>
      </c>
      <c r="U9" s="13" t="s">
        <v>253</v>
      </c>
      <c r="V9" s="11" t="s">
        <v>154</v>
      </c>
      <c r="W9" s="14">
        <v>45808</v>
      </c>
      <c r="X9" s="11" t="s">
        <v>155</v>
      </c>
    </row>
    <row r="10" spans="1:24">
      <c r="B10" s="11" t="s">
        <v>269</v>
      </c>
      <c r="C10" s="11" t="s">
        <v>280</v>
      </c>
      <c r="D10" s="2">
        <v>22.531199999999998</v>
      </c>
      <c r="E10" s="12" t="s">
        <v>270</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15">
        <v>1.4851905363915479</v>
      </c>
      <c r="R10" s="15">
        <v>0.95241105291674188</v>
      </c>
      <c r="S10" s="90">
        <v>4.0148803043206254</v>
      </c>
      <c r="T10" s="85">
        <v>-38.360607814419353</v>
      </c>
      <c r="U10" s="16" t="s">
        <v>271</v>
      </c>
      <c r="V10" s="11" t="s">
        <v>154</v>
      </c>
      <c r="W10" s="14">
        <v>45900</v>
      </c>
      <c r="X10" s="11" t="s">
        <v>247</v>
      </c>
    </row>
    <row r="11" spans="1:24">
      <c r="B11" s="11" t="s">
        <v>272</v>
      </c>
      <c r="C11" s="11" t="s">
        <v>281</v>
      </c>
      <c r="D11" s="2">
        <v>27.204999999999998</v>
      </c>
      <c r="E11" s="12" t="s">
        <v>270</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15">
        <v>0.78990369994931575</v>
      </c>
      <c r="R11" s="15">
        <v>0.40281804358844397</v>
      </c>
      <c r="S11" s="90">
        <v>3.955391512509995</v>
      </c>
      <c r="T11" s="85">
        <v>-26.938493611476797</v>
      </c>
      <c r="U11" s="13" t="s">
        <v>273</v>
      </c>
      <c r="V11" s="11" t="s">
        <v>154</v>
      </c>
      <c r="W11" s="14">
        <v>45900</v>
      </c>
      <c r="X11" s="11" t="s">
        <v>247</v>
      </c>
    </row>
    <row r="12" spans="1:24">
      <c r="B12" s="11" t="s">
        <v>254</v>
      </c>
      <c r="C12" s="11" t="s">
        <v>255</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15">
        <v>0.31018327415220487</v>
      </c>
      <c r="R12" s="15">
        <v>0.15818859882129041</v>
      </c>
      <c r="S12" s="90">
        <v>1.4550387206421544</v>
      </c>
      <c r="T12" s="85">
        <v>5.8696003638854428</v>
      </c>
      <c r="U12" s="13" t="s">
        <v>253</v>
      </c>
      <c r="V12" s="11" t="s">
        <v>154</v>
      </c>
      <c r="W12" s="14">
        <v>45808</v>
      </c>
      <c r="X12" s="11" t="s">
        <v>155</v>
      </c>
    </row>
    <row r="13" spans="1:24">
      <c r="B13" s="11" t="s">
        <v>257</v>
      </c>
      <c r="C13" s="11" t="s">
        <v>258</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15">
        <v>2.2875080906148866</v>
      </c>
      <c r="R13" s="15">
        <v>1.5035598705501618</v>
      </c>
      <c r="S13" s="90">
        <v>4.1998196571663646</v>
      </c>
      <c r="T13" s="85">
        <v>-12.249189512066883</v>
      </c>
      <c r="U13" s="13" t="s">
        <v>243</v>
      </c>
      <c r="V13" s="11" t="s">
        <v>259</v>
      </c>
      <c r="W13" s="14">
        <v>45900</v>
      </c>
      <c r="X13" s="11" t="s">
        <v>247</v>
      </c>
    </row>
    <row r="14" spans="1:24">
      <c r="B14" s="11" t="s">
        <v>244</v>
      </c>
      <c r="C14" s="11" t="s">
        <v>245</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15">
        <v>0.72207550313588764</v>
      </c>
      <c r="R14" s="15">
        <v>9.5579625064196368E-3</v>
      </c>
      <c r="S14" s="90">
        <v>7.3592411949940734E-2</v>
      </c>
      <c r="T14" s="85">
        <v>1.3520217044019645</v>
      </c>
      <c r="U14" s="13" t="s">
        <v>246</v>
      </c>
      <c r="V14" s="11" t="s">
        <v>154</v>
      </c>
      <c r="W14" s="14">
        <v>45900</v>
      </c>
      <c r="X14" s="11" t="s">
        <v>247</v>
      </c>
    </row>
    <row r="15" spans="1:24">
      <c r="B15" s="11" t="s">
        <v>156</v>
      </c>
      <c r="C15" s="11" t="s">
        <v>238</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15">
        <v>8.3114411724224596E-2</v>
      </c>
      <c r="R15" s="15">
        <v>1.8509098960546238E-2</v>
      </c>
      <c r="S15" s="90">
        <v>1.1933697905849452</v>
      </c>
      <c r="T15" s="85">
        <v>11.511512740854835</v>
      </c>
      <c r="U15" s="13" t="s">
        <v>240</v>
      </c>
      <c r="V15" s="11" t="s">
        <v>239</v>
      </c>
      <c r="W15" s="14">
        <v>45900</v>
      </c>
      <c r="X15" s="11" t="s">
        <v>155</v>
      </c>
    </row>
    <row r="16" spans="1:24">
      <c r="B16" s="11" t="s">
        <v>266</v>
      </c>
      <c r="C16" s="11" t="s">
        <v>267</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15">
        <v>0.20351769929714394</v>
      </c>
      <c r="R16" s="15">
        <v>1.0763175939415467E-2</v>
      </c>
      <c r="S16" s="90">
        <v>0.29882156160837919</v>
      </c>
      <c r="T16" s="85">
        <v>1.9022151714857651</v>
      </c>
      <c r="U16" s="13" t="s">
        <v>268</v>
      </c>
      <c r="V16" s="11" t="s">
        <v>262</v>
      </c>
      <c r="W16" s="14">
        <v>45900</v>
      </c>
      <c r="X16" s="11" t="s">
        <v>155</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211</v>
      </c>
    </row>
    <row r="2" spans="1:8" ht="29.75" customHeight="1">
      <c r="B2" s="65" t="s">
        <v>2</v>
      </c>
      <c r="C2" s="65" t="s">
        <v>214</v>
      </c>
      <c r="D2" s="65" t="s">
        <v>213</v>
      </c>
      <c r="E2" s="65" t="s">
        <v>212</v>
      </c>
      <c r="F2" s="65" t="s">
        <v>218</v>
      </c>
      <c r="G2" s="65" t="s">
        <v>226</v>
      </c>
      <c r="H2" s="65" t="s">
        <v>199</v>
      </c>
    </row>
    <row r="3" spans="1:8">
      <c r="B3" s="76" t="s">
        <v>27</v>
      </c>
      <c r="C3" s="74" t="s">
        <v>217</v>
      </c>
      <c r="D3" s="73" t="s">
        <v>215</v>
      </c>
      <c r="E3" s="75" t="s">
        <v>217</v>
      </c>
      <c r="F3" s="70">
        <v>241805.8</v>
      </c>
      <c r="G3" s="72">
        <f t="shared" ref="G3:G9" si="0">F3/$F$11</f>
        <v>0.27676517118625482</v>
      </c>
      <c r="H3" s="89">
        <f>Portfolio_Mgmt!E61</f>
        <v>0.3</v>
      </c>
    </row>
    <row r="4" spans="1:8">
      <c r="B4" s="77" t="s">
        <v>216</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c r="B5" s="77" t="s">
        <v>235</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c r="B6" s="77" t="s">
        <v>221</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c r="B7" s="77" t="s">
        <v>222</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c r="B8" s="77" t="s">
        <v>274</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c r="B9" s="77" t="s">
        <v>263</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c r="B10" s="66"/>
      <c r="C10" s="69"/>
      <c r="D10" s="66"/>
      <c r="H10" s="88"/>
    </row>
    <row r="11" spans="1:8" ht="13.15">
      <c r="B11" s="78"/>
      <c r="C11" s="79"/>
      <c r="D11" s="78"/>
      <c r="E11" s="80" t="s">
        <v>225</v>
      </c>
      <c r="F11" s="80">
        <f>SUM(F3:F9)</f>
        <v>873685.8</v>
      </c>
      <c r="G11" s="81">
        <f>SUM(G3:G9)</f>
        <v>0.99999999999999978</v>
      </c>
      <c r="H11" s="87">
        <f>SUM(H3:H9)</f>
        <v>1</v>
      </c>
    </row>
    <row r="12" spans="1:8">
      <c r="B12" s="66"/>
      <c r="C12" s="69"/>
      <c r="D12" s="66"/>
      <c r="E12" s="70"/>
      <c r="F12" s="70"/>
    </row>
    <row r="13" spans="1:8" ht="13.15">
      <c r="A13" s="62"/>
      <c r="B13" s="63" t="s">
        <v>223</v>
      </c>
    </row>
    <row r="14" spans="1:8">
      <c r="B14" s="77" t="s">
        <v>235</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c r="G15" s="86"/>
      <c r="H15" s="86"/>
    </row>
    <row r="16" spans="1:8" ht="13.15">
      <c r="B16" s="82" t="s">
        <v>224</v>
      </c>
      <c r="C16" s="83" t="s">
        <v>217</v>
      </c>
      <c r="D16" s="84" t="s">
        <v>153</v>
      </c>
      <c r="E16" s="83" t="s">
        <v>217</v>
      </c>
      <c r="F16" s="80">
        <f>F3+SUM(F14:F14)</f>
        <v>241805.8</v>
      </c>
      <c r="G16" s="87">
        <f t="shared" ref="G16" si="1">F16/$F$11</f>
        <v>0.27676517118625482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4" t="s">
        <v>99</v>
      </c>
      <c r="C3" s="104"/>
      <c r="D3" s="104"/>
    </row>
    <row r="5" spans="1:4">
      <c r="B5" s="105" t="s">
        <v>101</v>
      </c>
      <c r="C5" s="94"/>
      <c r="D5" s="94"/>
    </row>
    <row r="6" spans="1:4">
      <c r="B6" s="105" t="s">
        <v>102</v>
      </c>
      <c r="C6" s="94"/>
      <c r="D6" s="94"/>
    </row>
    <row r="8" spans="1:4">
      <c r="B8" s="1" t="s">
        <v>100</v>
      </c>
    </row>
    <row r="10" spans="1:4">
      <c r="A10" s="5"/>
      <c r="B10" s="6" t="s">
        <v>103</v>
      </c>
    </row>
    <row r="11" spans="1:4">
      <c r="B11" s="104" t="s">
        <v>104</v>
      </c>
      <c r="C11" s="104"/>
      <c r="D11" s="104"/>
    </row>
    <row r="12" spans="1:4">
      <c r="B12" s="104" t="s">
        <v>105</v>
      </c>
      <c r="C12" s="104"/>
      <c r="D12" s="104"/>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4" t="s">
        <v>117</v>
      </c>
      <c r="C28" s="104"/>
      <c r="D28" s="104"/>
    </row>
    <row r="29" spans="1:4">
      <c r="B29" s="104" t="s">
        <v>118</v>
      </c>
      <c r="C29" s="104"/>
      <c r="D29" s="104"/>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2025-05-21T14:47:23Z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