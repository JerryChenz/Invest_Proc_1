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E7B2A85-EA06-435C-8361-1A19D8715AE4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<sst xmlns="http://schemas.openxmlformats.org/spreadsheetml/2006/main" count="501" uniqueCount="396">
  <si>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</si>
  <si>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</si>
  <si>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</si>
  <si>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</si>
  <si>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</si>
  <si>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</si>
  <si>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</si>
  <si>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</si>
  <si>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</si>
  <si>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</si>
  <si>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</si>
  <si>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</si>
  <si>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</si>
  <si>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</si>
  <si>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</si>
  <si>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</si>
  <si>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</si>
  <si>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</si>
  <si>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</si>
  <si>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</si>
  <si>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</si>
  <si>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</si>
  <si>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</si>
  <si>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</si>
  <si>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</si>
  <si>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</si>
  <si>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</si>
  <si>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</si>
  <si>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</si>
  <si>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</si>
  <si>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</si>
  <si>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</si>
  <si>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</si>
  <si>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</si>
  <si>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</si>
  <si>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</si>
  <si>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</si>
  <si>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</si>
  <si>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</si>
  <si>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</si>
  <si>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</si>
  <si>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</si>
  <si>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</si>
  <si>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</si>
  <si>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</si>
  <si>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</si>
  <si>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</si>
  <si>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</si>
  <si>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</si>
  <si>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</si>
  <si>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</si>
  <si>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</si>
  <si>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</si>
  <si>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</si>
  <si>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</si>
  <si>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</si>
  <si>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</si>
  <si>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</si>
  <si>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</si>
  <si>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</si>
  <si>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</si>
  <si>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</si>
  <si>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</si>
  <si>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</si>
  <si>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</si>
  <si>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</si>
  <si>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</si>
  <si>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</si>
  <si>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</si>
  <si>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</si>
  <si>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</si>
  <si>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</si>
  <si>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</si>
  <si>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</si>
  <si>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</si>
  <si>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</si>
  <si>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</si>
  <si>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</si>
  <si>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</si>
  <si>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</si>
  <si>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</si>
  <si>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</si>
  <si>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</si>
  <si>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</si>
  <si>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</si>
  <si>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</si>
  <si>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</si>
  <si>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</si>
  <si>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</si>
  <si>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</si>
  <si>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</si>
  <si>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</si>
  <si>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</si>
  <si>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</si>
  <si>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</si>
  <si>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</si>
  <si>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</si>
  <si>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</si>
  <si>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</si>
  <si>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</si>
  <si>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</si>
  <si>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</si>
  <si>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</si>
  <si>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</si>
  <si>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</si>
  <si>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</si>
  <si>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</si>
  <si>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</si>
  <si>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</si>
  <si>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</si>
  <si>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</si>
  <si>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</si>
  <si>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</si>
  <si>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</si>
  <si>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</si>
  <si>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</si>
  <si>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</si>
  <si>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</si>
  <si>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</si>
  <si>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</si>
  <si>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</si>
  <si>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</si>
  <si>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</si>
  <si>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</si>
  <si>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</si>
  <si>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</si>
  <si>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</si>
  <si>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</si>
  <si>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</si>
  <si>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</si>
  <si>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</si>
  <si>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</si>
  <si>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</si>
  <si>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</si>
  <si>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</si>
  <si>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</si>
  <si>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</si>
  <si>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</si>
  <si>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</si>
  <si>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</si>
  <si>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</si>
  <si>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</si>
  <si>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</si>
  <si>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</si>
  <si>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</si>
  <si>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</si>
  <si>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</si>
  <si>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</si>
  <si>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</si>
  <si>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</si>
  <si>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</si>
  <si>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</si>
  <si>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</si>
  <si>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</si>
  <si>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</si>
  <si>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</si>
  <si>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</si>
  <si>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</si>
  <si>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</si>
  <si>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</si>
  <si>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</si>
  <si>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</si>
  <si>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</si>
  <si>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</si>
  <si>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</si>
  <si>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</si>
  <si>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</si>
  <si>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</si>
  <si>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</si>
  <si>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</si>
  <si>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</si>
  <si>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</si>
  <si>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</si>
  <si>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</si>
  <si>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</si>
  <si>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</si>
  <si>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</si>
  <si>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</si>
  <si>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</si>
  <si>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</si>
  <si>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</si>
  <si>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</si>
  <si>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</si>
  <si>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</si>
  <si>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</si>
  <si>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</si>
  <si>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</si>
  <si>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</si>
  <si>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</si>
  <si>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</si>
  <si>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</si>
  <si>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</si>
  <si>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</si>
  <si>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</si>
  <si>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</si>
  <si>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</si>
  <si>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</si>
  <si>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</si>
  <si>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</si>
  <si>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</si>
  <si>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</si>
  <si>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</si>
  <si>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</si>
  <si>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</si>
  <si>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</si>
  <si>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</si>
  <si>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</si>
  <si>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</si>
  <si>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</si>
  <si>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</si>
  <si>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</si>
  <si>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</si>
  <si>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</si>
  <si>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</si>
  <si>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</si>
  <si>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</si>
  <si>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</si>
  <si>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</si>
  <si>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</si>
  <si>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</si>
  <si>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</si>
  <si>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</si>
  <si>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</si>
  <si>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</si>
  <si>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</si>
  <si>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</si>
  <si>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</si>
  <si>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</si>
  <si>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</si>
  <si>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</si>
  <si>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</si>
  <si>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</si>
  <si>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</si>
  <si>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</si>
  <si>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</si>
  <si>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</si>
  <si>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</si>
  <si>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</si>
  <si>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</si>
  <si>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</si>
  <si>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</si>
  <si>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</si>
  <si>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</si>
  <si>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</si>
  <si>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</si>
  <si>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</si>
  <si>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</si>
  <si>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</si>
  <si>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</si>
  <si>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</si>
  <si>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</si>
  <si>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</si>
  <si>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</si>
  <si>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</si>
  <si>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</si>
  <si>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</si>
  <si>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</si>
  <si>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</si>
  <si>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</si>
  <si>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</si>
  <si>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</si>
  <si>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</si>
  <si>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</si>
  <si>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</si>
  <si>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</si>
  <si>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</si>
  <si>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</si>
  <si>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</si>
  <si>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</si>
  <si>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</si>
  <si>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</si>
  <si>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</si>
  <si>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</si>
  <si>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</si>
  <si>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</si>
  <si>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</si>
  <si>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</si>
  <si>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</si>
  <si>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</si>
  <si>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</si>
  <si>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</si>
  <si>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</si>
  <si>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</si>
  <si>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</si>
  <si>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</si>
  <si>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</si>
  <si>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</si>
  <si>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</si>
  <si>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</si>
  <si>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</si>
  <si>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</si>
  <si>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</si>
  <si>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</si>
  <si>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</si>
  <si>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</si>
  <si>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</si>
  <si>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</si>
  <si>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</si>
  <si>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</si>
  <si>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</si>
  <si>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</si>
  <si>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</si>
  <si>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</si>
  <si>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</si>
  <si>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</si>
  <si>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</si>
  <si>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</si>
  <si>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</si>
  <si>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</si>
  <si>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</si>
  <si>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</si>
  <si>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</si>
  <si>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</si>
  <si>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</si>
  <si>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</si>
  <si>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</si>
  <si>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</si>
  <si>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</si>
  <si>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</si>
  <si>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</si>
  <si>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</si>
  <si>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</si>
  <si>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</si>
  <si>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</si>
  <si>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</si>
  <si>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</si>
  <si>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</si>
  <si>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</si>
  <si>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</si>
  <si>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</si>
  <si>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</si>
  <si>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</si>
  <si>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</si>
  <si>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</si>
  <si>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</si>
  <si>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</si>
  <si>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</si>
  <si>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</si>
  <si>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</si>
  <si>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</si>
  <si>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</si>
  <si>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</si>
  <si>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</si>
  <si>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</si>
  <si>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</si>
  <si>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</si>
  <si>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</si>
  <si>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</si>
  <si>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</si>
  <si>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</si>
  <si>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</si>
  <si>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</si>
  <si>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</si>
  <si>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</si>
  <si>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</si>
  <si>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</si>
  <si>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</si>
  <si>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</si>
  <si>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</si>
  <si>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</si>
  <si>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</si>
  <si>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</si>
  <si>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</si>
  <si>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</si>
  <si>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</si>
  <si>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</si>
  <si>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</si>
  <si>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</si>
  <si>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</si>
  <si>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</si>
  <si>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</si>
  <si>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</si>
  <si>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</si>
  <si>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</si>
  <si>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</si>
  <si>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</si>
  <si>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</si>
  <si>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</si>
  <si>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</si>
  <si>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</si>
  <si>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</si>
  <si>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</si>
  <si>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</si>
  <si>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</si>
  <si>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</si>
  <si>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</si>
  <si>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</si>
  <si>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</si>
  <si>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</si>
  <si>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</si>
  <si>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</si>
  <si>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</si>
  <si>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</si>
  <si>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</si>
  <si>
    <t>3998.HK</t>
  </si>
  <si>
    <t>波司登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</si>
</sst>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11" sqref="O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10.53</v>
      </c>
      <c r="E3" s="12" t="s">
        <v>118</v>
      </c>
      <c r="F3" s="15">
        <v>0.26782374778586066</v>
      </c>
      <c r="G3" s="15">
        <v>0.13408650706684688</v>
      </c>
      <c r="H3" s="2">
        <v>9.7996531085809089</v>
      </c>
      <c r="I3" s="2">
        <v>19.060110392752261</v>
      </c>
      <c r="J3" s="71">
        <v>17.067185018705011</v>
      </c>
      <c r="K3" s="2">
        <v>12.334024952287187</v>
      </c>
      <c r="L3" s="2">
        <v>15.154883658338015</v>
      </c>
      <c r="M3" s="4">
        <v>9.792399514971481E-2</v>
      </c>
      <c r="N3" s="4">
        <v>5.878246153846154E-2</v>
      </c>
      <c r="O3" s="4">
        <v>0.10095859236886121</v>
      </c>
      <c r="P3" s="4">
        <v>0.12639882081180723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1.7886349435495377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360</v>
      </c>
      <c r="C4" s="11" t="s">
        <v>361</v>
      </c>
      <c r="D4" s="2">
        <v>68.2</v>
      </c>
      <c r="E4" s="12" t="s">
        <v>118</v>
      </c>
      <c r="F4" s="15">
        <v>0.24849460615319535</v>
      </c>
      <c r="G4" s="15">
        <v>8.0276178369828352E-2</v>
      </c>
      <c r="H4" s="2">
        <v>60.941477758230604</v>
      </c>
      <c r="I4" s="2">
        <v>108.43382263483267</v>
      </c>
      <c r="J4" s="71">
        <v>104.56266881128469</v>
      </c>
      <c r="K4" s="2">
        <v>76.18956402478743</v>
      </c>
      <c r="L4" s="2">
        <v>93.112512230078266</v>
      </c>
      <c r="M4" s="4">
        <v>0.13305686611872533</v>
      </c>
      <c r="N4" s="4">
        <v>9.3542521994134889E-2</v>
      </c>
      <c r="O4" s="4">
        <v>0.08</v>
      </c>
      <c r="P4" s="4">
        <v>0.16758448420991445</v>
      </c>
      <c r="Q4" s="79">
        <v>0.26833431587768736</v>
      </c>
      <c r="R4" s="78">
        <v>1.7790164507082717</v>
      </c>
      <c r="S4" s="15">
        <v>0.29042568125650897</v>
      </c>
      <c r="T4" s="76">
        <v>2.3236948196964886</v>
      </c>
      <c r="U4" s="71">
        <v>-19.260996177770114</v>
      </c>
      <c r="V4" s="13" t="s">
        <v>354</v>
      </c>
      <c r="W4" s="11" t="s">
        <v>351</v>
      </c>
      <c r="X4" s="14">
        <v>46081</v>
      </c>
      <c r="Y4" s="16" t="s">
        <v>340</v>
      </c>
    </row>
    <row r="5" spans="1:25">
      <c r="B5" s="11" t="s">
        <v>307</v>
      </c>
      <c r="C5" s="11" t="s">
        <v>362</v>
      </c>
      <c r="D5" s="2">
        <v>4.0599999999999996</v>
      </c>
      <c r="E5" s="12" t="s">
        <v>118</v>
      </c>
      <c r="F5" s="15">
        <v>0.23278883974037279</v>
      </c>
      <c r="G5" s="15">
        <v>7.1720240341341557E-2</v>
      </c>
      <c r="H5" s="2">
        <v>3.4947017610502455</v>
      </c>
      <c r="I5" s="2">
        <v>6.4808597690273908</v>
      </c>
      <c r="J5" s="71">
        <v>6.0371156176035647</v>
      </c>
      <c r="K5" s="2">
        <v>4.3824419959649257</v>
      </c>
      <c r="L5" s="2">
        <v>5.3690045329034906</v>
      </c>
      <c r="M5" s="4">
        <v>9.9488467648338366E-2</v>
      </c>
      <c r="N5" s="4">
        <v>7.3891625615763568E-2</v>
      </c>
      <c r="O5" s="4">
        <v>0.18</v>
      </c>
      <c r="P5" s="4">
        <v>5.5599077391744495E-2</v>
      </c>
      <c r="Q5" s="79">
        <v>1.4798367611150316</v>
      </c>
      <c r="R5" s="78">
        <v>2.187716833659914</v>
      </c>
      <c r="S5" s="15">
        <v>0.76701287002940366</v>
      </c>
      <c r="T5" s="76">
        <v>5.0983946232940358</v>
      </c>
      <c r="U5" s="71">
        <v>-2.4800067209187837</v>
      </c>
      <c r="V5" s="13" t="s">
        <v>354</v>
      </c>
      <c r="W5" s="11" t="s">
        <v>351</v>
      </c>
      <c r="X5" s="14">
        <v>46173</v>
      </c>
      <c r="Y5" s="16" t="s">
        <v>340</v>
      </c>
    </row>
    <row r="6" spans="1:25">
      <c r="B6" s="11" t="s">
        <v>355</v>
      </c>
      <c r="C6" s="11" t="s">
        <v>356</v>
      </c>
      <c r="D6" s="2">
        <v>6.32</v>
      </c>
      <c r="E6" s="12" t="s">
        <v>118</v>
      </c>
      <c r="F6" s="15">
        <v>0.23096571898597296</v>
      </c>
      <c r="G6" s="15">
        <v>0.10597440070583153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7.4545350293564669E-2</v>
      </c>
      <c r="N6" s="4">
        <v>2.2468354430379745E-2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354</v>
      </c>
      <c r="W6" s="11" t="s">
        <v>339</v>
      </c>
      <c r="X6" s="14">
        <v>46081</v>
      </c>
      <c r="Y6" s="16" t="s">
        <v>352</v>
      </c>
    </row>
    <row r="7" spans="1:25">
      <c r="B7" s="11" t="s">
        <v>375</v>
      </c>
      <c r="C7" s="11" t="s">
        <v>376</v>
      </c>
      <c r="D7" s="2">
        <v>39.76</v>
      </c>
      <c r="E7" s="12" t="s">
        <v>118</v>
      </c>
      <c r="F7" s="15">
        <v>0.21825042499925634</v>
      </c>
      <c r="G7" s="15">
        <v>9.40080517767726E-2</v>
      </c>
      <c r="H7" s="2">
        <v>32.739549360544991</v>
      </c>
      <c r="I7" s="2">
        <v>71.362209945117357</v>
      </c>
      <c r="J7" s="71">
        <v>58.217364194647452</v>
      </c>
      <c r="K7" s="2">
        <v>41.596695570091057</v>
      </c>
      <c r="L7" s="2">
        <v>51.492195290550455</v>
      </c>
      <c r="M7" s="4">
        <v>5.9414097220154873E-2</v>
      </c>
      <c r="N7" s="4">
        <v>3.5714285714285713E-3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11.529266532132771</v>
      </c>
      <c r="V7" s="13" t="s">
        <v>359</v>
      </c>
      <c r="W7" s="11" t="s">
        <v>339</v>
      </c>
      <c r="X7" s="14">
        <v>46265</v>
      </c>
      <c r="Y7" s="16" t="s">
        <v>352</v>
      </c>
    </row>
    <row r="8" spans="1:25">
      <c r="B8" s="11" t="s">
        <v>392</v>
      </c>
      <c r="C8" s="11" t="s">
        <v>393</v>
      </c>
      <c r="D8" s="2">
        <v>4.57</v>
      </c>
      <c r="E8" s="12" t="s">
        <v>118</v>
      </c>
      <c r="F8" s="15">
        <v>0.19011280642061121</v>
      </c>
      <c r="G8" s="15">
        <v>6.1695107224883514E-2</v>
      </c>
      <c r="H8" s="2">
        <v>3.5543170627502896</v>
      </c>
      <c r="I8" s="2">
        <v>6.7115845868623873</v>
      </c>
      <c r="J8" s="71">
        <v>6.1588324193747894</v>
      </c>
      <c r="K8" s="2">
        <v>4.463301265545363</v>
      </c>
      <c r="L8" s="2">
        <v>5.4740638658647054</v>
      </c>
      <c r="M8" s="4">
        <v>8.8617527074242627E-2</v>
      </c>
      <c r="N8" s="4">
        <v>6.0175054704595186E-2</v>
      </c>
      <c r="O8" s="4">
        <v>0.1295637371655913</v>
      </c>
      <c r="P8" s="4">
        <v>9.3411700585940893E-2</v>
      </c>
      <c r="Q8" s="79">
        <v>0.83739806126750682</v>
      </c>
      <c r="R8" s="78">
        <v>1.6563428477446216</v>
      </c>
      <c r="S8" s="15">
        <v>0.26559156004843115</v>
      </c>
      <c r="T8" s="76">
        <v>1.8420735448323682</v>
      </c>
      <c r="U8" s="71">
        <v>0.86564789655281471</v>
      </c>
      <c r="V8" s="13" t="s">
        <v>354</v>
      </c>
      <c r="W8" s="11" t="s">
        <v>339</v>
      </c>
      <c r="X8" s="14">
        <v>46265</v>
      </c>
      <c r="Y8" s="16" t="s">
        <v>352</v>
      </c>
    </row>
    <row r="9" spans="1:25">
      <c r="B9" s="11" t="s">
        <v>364</v>
      </c>
      <c r="C9" s="11" t="s">
        <v>365</v>
      </c>
      <c r="D9" s="2">
        <v>39.299999999999997</v>
      </c>
      <c r="E9" s="12" t="s">
        <v>118</v>
      </c>
      <c r="F9" s="15">
        <v>0.18664482524882806</v>
      </c>
      <c r="G9" s="15">
        <v>5.7023979320085461E-2</v>
      </c>
      <c r="H9" s="2">
        <v>30.147493270398808</v>
      </c>
      <c r="I9" s="2">
        <v>60.521152735066195</v>
      </c>
      <c r="J9" s="71">
        <v>52.799019701017471</v>
      </c>
      <c r="K9" s="2">
        <v>38.039879638348488</v>
      </c>
      <c r="L9" s="2">
        <v>46.833535201020148</v>
      </c>
      <c r="M9" s="4">
        <v>7.428674786429186E-2</v>
      </c>
      <c r="N9" s="4">
        <v>3.6432620865139952E-2</v>
      </c>
      <c r="O9" s="4">
        <v>0.2658092571428613</v>
      </c>
      <c r="P9" s="4">
        <v>0.20771863979883598</v>
      </c>
      <c r="Q9" s="79">
        <v>0.65265738052043343</v>
      </c>
      <c r="R9" s="78">
        <v>1.9606920057834423</v>
      </c>
      <c r="S9" s="15">
        <v>0.67283405398617657</v>
      </c>
      <c r="T9" s="76">
        <v>2.2041306156151999</v>
      </c>
      <c r="U9" s="71">
        <v>-6.2964072415844159</v>
      </c>
      <c r="V9" s="13" t="s">
        <v>354</v>
      </c>
      <c r="W9" s="11" t="s">
        <v>339</v>
      </c>
      <c r="X9" s="14">
        <v>46081</v>
      </c>
      <c r="Y9" s="16" t="s">
        <v>352</v>
      </c>
    </row>
    <row r="10" spans="1:25">
      <c r="B10" s="11" t="s">
        <v>309</v>
      </c>
      <c r="C10" s="11" t="s">
        <v>341</v>
      </c>
      <c r="D10" s="2">
        <v>7.74</v>
      </c>
      <c r="E10" s="12" t="s">
        <v>118</v>
      </c>
      <c r="F10" s="15">
        <v>0.18410536828271334</v>
      </c>
      <c r="G10" s="15">
        <v>3.5659911490332784E-2</v>
      </c>
      <c r="H10" s="2">
        <v>5.9088816888501965</v>
      </c>
      <c r="I10" s="2">
        <v>11.681913169851484</v>
      </c>
      <c r="J10" s="71">
        <v>10.320475763675761</v>
      </c>
      <c r="K10" s="2">
        <v>7.4466358584131269</v>
      </c>
      <c r="L10" s="2">
        <v>9.1591333172637537</v>
      </c>
      <c r="M10" s="4">
        <v>9.3163457796072158E-2</v>
      </c>
      <c r="N10" s="4">
        <v>4.2091660046511624E-2</v>
      </c>
      <c r="O10" s="4">
        <v>0.17172023863874231</v>
      </c>
      <c r="P10" s="4">
        <v>8.3606271678373159E-2</v>
      </c>
      <c r="Q10" s="79">
        <v>1.3282158707615834</v>
      </c>
      <c r="R10" s="78">
        <v>1.5463719418456539</v>
      </c>
      <c r="S10" s="15">
        <v>0.22428295339746124</v>
      </c>
      <c r="T10" s="76">
        <v>1.2715557492373779</v>
      </c>
      <c r="U10" s="71">
        <v>-3.0249910511751374</v>
      </c>
      <c r="V10" s="16" t="s">
        <v>342</v>
      </c>
      <c r="W10" s="11" t="s">
        <v>339</v>
      </c>
      <c r="X10" s="14">
        <v>46081</v>
      </c>
      <c r="Y10" s="16" t="s">
        <v>340</v>
      </c>
    </row>
    <row r="11" spans="1:25">
      <c r="B11" s="11" t="s">
        <v>357</v>
      </c>
      <c r="C11" s="11" t="s">
        <v>358</v>
      </c>
      <c r="D11" s="2">
        <v>83.7</v>
      </c>
      <c r="E11" s="12" t="s">
        <v>118</v>
      </c>
      <c r="F11" s="15">
        <v>0.18353024735296583</v>
      </c>
      <c r="G11" s="15">
        <v>5.2675660093771774E-2</v>
      </c>
      <c r="H11" s="2">
        <v>64.004729762323151</v>
      </c>
      <c r="I11" s="2">
        <v>122.34020128782399</v>
      </c>
      <c r="J11" s="71">
        <v>111.13660014645737</v>
      </c>
      <c r="K11" s="2">
        <v>80.448519263787034</v>
      </c>
      <c r="L11" s="2">
        <v>98.740745676495735</v>
      </c>
      <c r="M11" s="4">
        <v>6.5669485473916406E-2</v>
      </c>
      <c r="N11" s="4">
        <v>5.4731182795698927E-2</v>
      </c>
      <c r="O11" s="4">
        <v>9.6671315574961933E-2</v>
      </c>
      <c r="P11" s="4">
        <v>0.13321568275625476</v>
      </c>
      <c r="Q11" s="79">
        <v>0.48913824057450628</v>
      </c>
      <c r="R11" s="78">
        <v>1.4835789300471205</v>
      </c>
      <c r="S11" s="15">
        <v>6.4100114768294941E-2</v>
      </c>
      <c r="T11" s="76">
        <v>0.67756727799881356</v>
      </c>
      <c r="U11" s="71">
        <v>1.4773413185283732</v>
      </c>
      <c r="V11" s="13" t="s">
        <v>359</v>
      </c>
      <c r="W11" s="11" t="s">
        <v>339</v>
      </c>
      <c r="X11" s="14">
        <v>46081</v>
      </c>
      <c r="Y11" s="16" t="s">
        <v>352</v>
      </c>
    </row>
    <row r="12" spans="1:25">
      <c r="B12" s="11" t="s">
        <v>366</v>
      </c>
      <c r="C12" s="11" t="s">
        <v>367</v>
      </c>
      <c r="D12" s="2">
        <v>4.63</v>
      </c>
      <c r="E12" s="12" t="s">
        <v>118</v>
      </c>
      <c r="F12" s="15">
        <v>0.15773186966665081</v>
      </c>
      <c r="G12" s="15">
        <v>6.6253975127100913E-3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6.6999566168941843E-2</v>
      </c>
      <c r="N12" s="4">
        <v>3.4384449244060478E-2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354</v>
      </c>
      <c r="W12" s="11" t="s">
        <v>339</v>
      </c>
      <c r="X12" s="14">
        <v>46173</v>
      </c>
      <c r="Y12" s="16" t="s">
        <v>340</v>
      </c>
    </row>
    <row r="13" spans="1:25">
      <c r="B13" s="11" t="s">
        <v>343</v>
      </c>
      <c r="C13" s="11" t="s">
        <v>363</v>
      </c>
      <c r="D13" s="2">
        <v>123</v>
      </c>
      <c r="E13" s="12" t="s">
        <v>118</v>
      </c>
      <c r="F13" s="15">
        <v>0.156512706582426</v>
      </c>
      <c r="G13" s="15">
        <v>7.5644709940055751E-3</v>
      </c>
      <c r="H13" s="2">
        <v>87.394043907897554</v>
      </c>
      <c r="I13" s="2">
        <v>177.99981446565096</v>
      </c>
      <c r="J13" s="2">
        <v>153.45658434604741</v>
      </c>
      <c r="K13" s="2">
        <v>110.4029018898443</v>
      </c>
      <c r="L13" s="2">
        <v>136.05145394500659</v>
      </c>
      <c r="M13" s="4">
        <v>-9.4297759150424217E-3</v>
      </c>
      <c r="N13" s="4">
        <v>2.8536585365853656E-2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-67.750457697977311</v>
      </c>
      <c r="V13" s="13" t="s">
        <v>354</v>
      </c>
      <c r="W13" s="11" t="s">
        <v>339</v>
      </c>
      <c r="X13" s="14">
        <v>46265</v>
      </c>
      <c r="Y13" s="16" t="s">
        <v>352</v>
      </c>
    </row>
    <row r="14" spans="1:25">
      <c r="B14" s="11" t="s">
        <v>308</v>
      </c>
      <c r="C14" s="11" t="s">
        <v>353</v>
      </c>
      <c r="D14" s="2">
        <v>3.38</v>
      </c>
      <c r="E14" s="12" t="s">
        <v>118</v>
      </c>
      <c r="F14" s="15">
        <v>0.15308857160239908</v>
      </c>
      <c r="G14" s="15">
        <v>4.6203373884405949E-4</v>
      </c>
      <c r="H14" s="2">
        <v>2.4145433518968558</v>
      </c>
      <c r="I14" s="2">
        <v>4.3399697441173934</v>
      </c>
      <c r="J14" s="2">
        <v>4.1496639391974082</v>
      </c>
      <c r="K14" s="2">
        <v>3.0209037871049729</v>
      </c>
      <c r="L14" s="2">
        <v>3.6940858553179003</v>
      </c>
      <c r="M14" s="4">
        <v>7.2320077583692868E-2</v>
      </c>
      <c r="N14" s="4">
        <v>7.1538461538461537E-2</v>
      </c>
      <c r="O14" s="4">
        <v>0.10655464759808782</v>
      </c>
      <c r="P14" s="4">
        <v>0.15367027669312136</v>
      </c>
      <c r="Q14" s="79">
        <v>0.53211669431065411</v>
      </c>
      <c r="R14" s="78">
        <v>1.3030936828713586</v>
      </c>
      <c r="S14" s="15">
        <v>3.2740324747196639E-2</v>
      </c>
      <c r="T14" s="76">
        <v>0.3030737490948841</v>
      </c>
      <c r="U14" s="71">
        <v>1.0942675195138079</v>
      </c>
      <c r="V14" s="13" t="s">
        <v>354</v>
      </c>
      <c r="W14" s="11" t="s">
        <v>351</v>
      </c>
      <c r="X14" s="14">
        <v>46265</v>
      </c>
      <c r="Y14" s="16" t="s">
        <v>340</v>
      </c>
    </row>
    <row r="15" spans="1:25">
      <c r="B15" s="11" t="s">
        <v>394</v>
      </c>
      <c r="C15" s="11" t="s">
        <v>395</v>
      </c>
      <c r="D15" s="2">
        <v>4.3</v>
      </c>
      <c r="E15" s="12" t="s">
        <v>118</v>
      </c>
      <c r="F15" s="15">
        <v>0.14074374255347319</v>
      </c>
      <c r="G15" s="15">
        <v>0</v>
      </c>
      <c r="H15" s="2">
        <v>2.970225604821576</v>
      </c>
      <c r="I15" s="2">
        <v>5.4881856537930034</v>
      </c>
      <c r="J15" s="2">
        <v>5.1279561951610866</v>
      </c>
      <c r="K15" s="2">
        <v>3.7237185496487291</v>
      </c>
      <c r="L15" s="2">
        <v>4.5609909188949231</v>
      </c>
      <c r="M15" s="4">
        <v>6.7851521764195608E-2</v>
      </c>
      <c r="N15" s="4">
        <v>6.0465116279069774E-2</v>
      </c>
      <c r="O15" s="4">
        <v>0.28568079100302196</v>
      </c>
      <c r="P15" s="4">
        <v>0.17813313161397862</v>
      </c>
      <c r="Q15" s="79">
        <v>0.91428215624568043</v>
      </c>
      <c r="R15" s="78">
        <v>1.7541070452059788</v>
      </c>
      <c r="S15" s="15">
        <v>0.1200952845385091</v>
      </c>
      <c r="T15" s="76">
        <v>0.41215180500545473</v>
      </c>
      <c r="U15" s="71">
        <v>0.26857934054514021</v>
      </c>
      <c r="V15" s="13" t="s">
        <v>354</v>
      </c>
      <c r="W15" s="11" t="s">
        <v>339</v>
      </c>
      <c r="X15" s="14">
        <v>46173</v>
      </c>
      <c r="Y15" s="16" t="s">
        <v>352</v>
      </c>
    </row>
    <row r="16" spans="1:25">
      <c r="B16" s="11" t="s">
        <v>141</v>
      </c>
      <c r="C16" s="11" t="s">
        <v>368</v>
      </c>
      <c r="D16" s="2">
        <v>21.42</v>
      </c>
      <c r="E16" s="12" t="s">
        <v>118</v>
      </c>
      <c r="F16" s="15">
        <v>0.12072559240319612</v>
      </c>
      <c r="G16" s="15">
        <v>0</v>
      </c>
      <c r="H16" s="2">
        <v>13.866614608091343</v>
      </c>
      <c r="I16" s="2">
        <v>28.429326806520983</v>
      </c>
      <c r="J16" s="2">
        <v>24.377678163334917</v>
      </c>
      <c r="K16" s="2">
        <v>17.526845286299878</v>
      </c>
      <c r="L16" s="2">
        <v>21.607881724230353</v>
      </c>
      <c r="M16" s="4">
        <v>5.35553787271104E-2</v>
      </c>
      <c r="N16" s="4">
        <v>2.3818012438375388E-2</v>
      </c>
      <c r="O16" s="4">
        <v>0.2</v>
      </c>
      <c r="P16" s="4">
        <v>0.13430424833028851</v>
      </c>
      <c r="Q16" s="79">
        <v>1.1000000000000001</v>
      </c>
      <c r="R16" s="78">
        <v>1.3537783359692717</v>
      </c>
      <c r="S16" s="15">
        <v>6.5417684980282262E-2</v>
      </c>
      <c r="T16" s="76">
        <v>0.50358953318926281</v>
      </c>
      <c r="U16" s="71">
        <v>5.7175826233315643</v>
      </c>
      <c r="V16" s="13" t="s">
        <v>369</v>
      </c>
      <c r="W16" s="11" t="s">
        <v>339</v>
      </c>
      <c r="X16" s="14">
        <v>46081</v>
      </c>
      <c r="Y16" s="16" t="s">
        <v>352</v>
      </c>
    </row>
    <row r="17" spans="2:25">
      <c r="B17" s="11" t="s">
        <v>152</v>
      </c>
      <c r="C17" s="11" t="s">
        <v>373</v>
      </c>
      <c r="D17" s="2">
        <v>26.6</v>
      </c>
      <c r="E17" s="12" t="s">
        <v>118</v>
      </c>
      <c r="F17" s="15">
        <v>4.2791055236691918E-2</v>
      </c>
      <c r="G17" s="15">
        <v>0</v>
      </c>
      <c r="H17" s="2">
        <v>14.222245247629637</v>
      </c>
      <c r="I17" s="2">
        <v>26.218872809042317</v>
      </c>
      <c r="J17" s="2">
        <v>24.5446843940015</v>
      </c>
      <c r="K17" s="2">
        <v>17.827125468195785</v>
      </c>
      <c r="L17" s="2">
        <v>21.83252951769699</v>
      </c>
      <c r="M17" s="4">
        <v>9.2385704730607282E-2</v>
      </c>
      <c r="N17" s="4">
        <v>4.7368421052631574E-2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0.47151331098793459</v>
      </c>
      <c r="V17" s="13" t="s">
        <v>374</v>
      </c>
      <c r="W17" s="11" t="s">
        <v>351</v>
      </c>
      <c r="X17" s="14">
        <v>46081</v>
      </c>
      <c r="Y17" s="11" t="s">
        <v>352</v>
      </c>
    </row>
    <row r="18" spans="2:25">
      <c r="B18" s="11" t="s">
        <v>370</v>
      </c>
      <c r="C18" s="11" t="s">
        <v>371</v>
      </c>
      <c r="D18" s="2">
        <v>86.45</v>
      </c>
      <c r="E18" s="12" t="s">
        <v>118</v>
      </c>
      <c r="F18" s="15">
        <v>3.838806622181954E-2</v>
      </c>
      <c r="G18" s="15">
        <v>0</v>
      </c>
      <c r="H18" s="2">
        <v>44.05690712543197</v>
      </c>
      <c r="I18" s="2">
        <v>96.793024954574065</v>
      </c>
      <c r="J18" s="2">
        <v>78.460696664375078</v>
      </c>
      <c r="K18" s="2">
        <v>56.014482033897032</v>
      </c>
      <c r="L18" s="2">
        <v>69.377406607532109</v>
      </c>
      <c r="M18" s="4">
        <v>1.4534629456769272E-2</v>
      </c>
      <c r="N18" s="4">
        <v>0</v>
      </c>
      <c r="O18" s="4">
        <v>0.15</v>
      </c>
      <c r="P18" s="4">
        <v>8.1887809309554582E-2</v>
      </c>
      <c r="Q18" s="79">
        <v>1.022390799101176</v>
      </c>
      <c r="R18" s="78">
        <v>1.7916578376478161</v>
      </c>
      <c r="S18" s="15">
        <v>0.27660377540313014</v>
      </c>
      <c r="T18" s="76">
        <v>3.1316510969641755</v>
      </c>
      <c r="U18" s="71">
        <v>3.6532008466463433</v>
      </c>
      <c r="V18" s="13" t="s">
        <v>372</v>
      </c>
      <c r="W18" s="11" t="s">
        <v>339</v>
      </c>
      <c r="X18" s="14">
        <v>46081</v>
      </c>
      <c r="Y18" s="11" t="s">
        <v>340</v>
      </c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0.43029375466552633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6.32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63200</v>
      </c>
      <c r="H4" s="58">
        <f t="shared" si="0"/>
        <v>4.7414876417475986E-2</v>
      </c>
      <c r="I4" s="58">
        <f>VLOOKUP(B4,Opportunities!B$3:H$30,6,FALSE)</f>
        <v>0.10597440070583153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123</v>
      </c>
      <c r="E5" s="59" t="str">
        <f>VLOOKUP(B5,Opportunities!B$3:E$30,4,FALSE)</f>
        <v>HKD</v>
      </c>
      <c r="F5" s="57">
        <v>2500</v>
      </c>
      <c r="G5" s="61">
        <f t="shared" si="1"/>
        <v>307500</v>
      </c>
      <c r="H5" s="58">
        <f t="shared" si="0"/>
        <v>0.23069738130338394</v>
      </c>
      <c r="I5" s="58">
        <f>VLOOKUP(B5,Opportunities!B$3:H$30,6,FALSE)</f>
        <v>7.5644709940055751E-3</v>
      </c>
      <c r="J5" s="81">
        <f>VLOOKUP(B5,Opportunities!B$3:L$30,10,FALSE)</f>
        <v>110.4029018898443</v>
      </c>
      <c r="K5" s="81">
        <f>VLOOKUP(B5,Opportunities!B$3:L$30,7,FALSE)</f>
        <v>87.394043907897554</v>
      </c>
      <c r="L5" s="81">
        <f>VLOOKUP(B5,Opportunities!B$3:L$30,9,FALSE)</f>
        <v>153.45658434604741</v>
      </c>
      <c r="M5" s="81">
        <f>VLOOKUP(B5,Opportunities!B$3:L$30,11,FALSE)</f>
        <v>136.05145394500659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7.74</v>
      </c>
      <c r="E6" s="59" t="str">
        <f>VLOOKUP(B6,Opportunities!B$3:E$30,4,FALSE)</f>
        <v>HKD</v>
      </c>
      <c r="F6" s="57">
        <v>8000</v>
      </c>
      <c r="G6" s="61">
        <f t="shared" si="1"/>
        <v>61920</v>
      </c>
      <c r="H6" s="58">
        <f t="shared" si="0"/>
        <v>4.6454575122944826E-2</v>
      </c>
      <c r="I6" s="58">
        <f>VLOOKUP(B6,Opportunities!B$3:H$30,6,FALSE)</f>
        <v>3.5659911490332784E-2</v>
      </c>
      <c r="J6" s="81">
        <f>VLOOKUP(B6,Opportunities!B$3:L$30,10,FALSE)</f>
        <v>7.4466358584131269</v>
      </c>
      <c r="K6" s="81">
        <f>VLOOKUP(B6,Opportunities!B$3:L$30,7,FALSE)</f>
        <v>5.9088816888501965</v>
      </c>
      <c r="L6" s="81">
        <f>VLOOKUP(B6,Opportunities!B$3:L$30,9,FALSE)</f>
        <v>10.320475763675761</v>
      </c>
      <c r="M6" s="81">
        <f>VLOOKUP(B6,Opportunities!B$3:L$30,11,FALSE)</f>
        <v>9.1591333172637537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10.53</v>
      </c>
      <c r="E7" s="59" t="str">
        <f>VLOOKUP(B7,Opportunities!B$3:E$30,4,FALSE)</f>
        <v>HKD</v>
      </c>
      <c r="F7" s="57">
        <v>15000</v>
      </c>
      <c r="G7" s="61">
        <f t="shared" si="1"/>
        <v>157950</v>
      </c>
      <c r="H7" s="58">
        <f t="shared" si="0"/>
        <v>0.11849967927437234</v>
      </c>
      <c r="I7" s="58">
        <f>VLOOKUP(B7,Opportunities!B$3:H$30,6,FALSE)</f>
        <v>0.13408650706684688</v>
      </c>
      <c r="J7" s="81">
        <f>VLOOKUP(B7,Opportunities!B$3:L$30,10,FALSE)</f>
        <v>12.334024952287187</v>
      </c>
      <c r="K7" s="81">
        <f>VLOOKUP(B7,Opportunities!B$3:L$30,7,FALSE)</f>
        <v>9.7996531085809089</v>
      </c>
      <c r="L7" s="81">
        <f>VLOOKUP(B7,Opportunities!B$3:L$30,9,FALSE)</f>
        <v>17.067185018705011</v>
      </c>
      <c r="M7" s="81">
        <f>VLOOKUP(B7,Opportunities!B$3:L$30,11,FALSE)</f>
        <v>15.154883658338015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4.0599999999999996</v>
      </c>
      <c r="E8" s="59" t="str">
        <f>VLOOKUP(B8,Opportunities!B$3:E$30,4,FALSE)</f>
        <v>HKD</v>
      </c>
      <c r="F8" s="57">
        <v>12000</v>
      </c>
      <c r="G8" s="61">
        <f t="shared" si="1"/>
        <v>48719.999999999993</v>
      </c>
      <c r="H8" s="58">
        <f t="shared" si="0"/>
        <v>3.655146802309224E-2</v>
      </c>
      <c r="I8" s="58">
        <f>VLOOKUP(B8,Opportunities!B$3:H$30,6,FALSE)</f>
        <v>7.1720240341341557E-2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39.76</v>
      </c>
      <c r="E9" s="59" t="str">
        <f>VLOOKUP(B9,Opportunities!B$3:E$30,4,FALSE)</f>
        <v>HKD</v>
      </c>
      <c r="F9" s="57">
        <v>2000</v>
      </c>
      <c r="G9" s="61">
        <f t="shared" ref="G9" si="2">D9*F9</f>
        <v>79520</v>
      </c>
      <c r="H9" s="58">
        <f t="shared" si="0"/>
        <v>5.965871792274826E-2</v>
      </c>
      <c r="I9" s="58">
        <f>VLOOKUP(B9,Opportunities!B$3:H$30,6,FALSE)</f>
        <v>9.40080517767726E-2</v>
      </c>
      <c r="J9" s="81">
        <f>VLOOKUP(B9,Opportunities!B$3:L$30,10,FALSE)</f>
        <v>41.596695570091057</v>
      </c>
      <c r="K9" s="81">
        <f>VLOOKUP(B9,Opportunities!B$3:L$30,7,FALSE)</f>
        <v>32.739549360544991</v>
      </c>
      <c r="L9" s="81">
        <f>VLOOKUP(B9,Opportunities!B$3:L$30,9,FALSE)</f>
        <v>58.217364194647452</v>
      </c>
      <c r="M9" s="81">
        <f>VLOOKUP(B9,Opportunities!B$3:L$30,11,FALSE)</f>
        <v>51.492195290550455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3.38</v>
      </c>
      <c r="E10" s="59" t="str">
        <f>VLOOKUP(B10,Opportunities!B$3:E$30,4,FALSE)</f>
        <v>HKD</v>
      </c>
      <c r="F10" s="57">
        <v>12000</v>
      </c>
      <c r="G10" s="61">
        <f t="shared" si="1"/>
        <v>40560</v>
      </c>
      <c r="H10" s="58">
        <f t="shared" ref="H10" si="3">G10/$G$12</f>
        <v>3.0429547270456107E-2</v>
      </c>
      <c r="I10" s="58">
        <f>VLOOKUP(B10,Opportunities!B$3:H$30,6,FALSE)</f>
        <v>4.6203373884405949E-4</v>
      </c>
      <c r="J10" s="81">
        <f>VLOOKUP(B10,Opportunities!B$3:L$30,10,FALSE)</f>
        <v>3.0209037871049729</v>
      </c>
      <c r="K10" s="81">
        <f>VLOOKUP(B10,Opportunities!B$3:L$30,7,FALSE)</f>
        <v>2.4145433518968558</v>
      </c>
      <c r="L10" s="81">
        <f>VLOOKUP(B10,Opportunities!B$3:L$30,9,FALSE)</f>
        <v>4.1496639391974082</v>
      </c>
      <c r="M10" s="81">
        <f>VLOOKUP(B10,Opportunities!B$3:L$30,11,FALSE)</f>
        <v>3.6940858553179003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1332915</v>
      </c>
      <c r="H12" s="67">
        <f>SUM(H3:H10)</f>
        <v>1</v>
      </c>
      <c r="I12" s="73">
        <f>SUM(I3:I10)</f>
        <v>0.89947561611397497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123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7.5644709940055751E-3</v>
      </c>
      <c r="J15" s="81">
        <f>VLOOKUP(B15,Opportunities!B$3:L$30,10,FALSE)</f>
        <v>110.4029018898443</v>
      </c>
      <c r="K15" s="81">
        <f>VLOOKUP(B15,Opportunities!B$3:L$30,7,FALSE)</f>
        <v>87.394043907897554</v>
      </c>
      <c r="L15" s="81">
        <f>VLOOKUP(B15,Opportunities!B$3:L$30,9,FALSE)</f>
        <v>153.45658434604741</v>
      </c>
      <c r="M15" s="81">
        <f>VLOOKUP(B15,Opportunities!B$3:L$30,11,FALSE)</f>
        <v>136.05145394500659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26.6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17.827125468195785</v>
      </c>
      <c r="K16" s="81">
        <f>VLOOKUP(B16,Opportunities!B$3:L$30,7,FALSE)</f>
        <v>14.222245247629637</v>
      </c>
      <c r="L16" s="81">
        <f>VLOOKUP(B16,Opportunities!B$3:L$30,9,FALSE)</f>
        <v>24.5446843940015</v>
      </c>
      <c r="M16" s="81">
        <f>VLOOKUP(B16,Opportunities!B$3:L$30,11,FALSE)</f>
        <v>21.83252951769699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39.76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9.40080517767726E-2</v>
      </c>
      <c r="J17" s="81">
        <f>VLOOKUP(B17,Opportunities!B$3:L$30,10,FALSE)</f>
        <v>41.596695570091057</v>
      </c>
      <c r="K17" s="81">
        <f>VLOOKUP(B17,Opportunities!B$3:L$30,7,FALSE)</f>
        <v>32.739549360544991</v>
      </c>
      <c r="L17" s="81">
        <f>VLOOKUP(B17,Opportunities!B$3:L$30,9,FALSE)</f>
        <v>58.217364194647452</v>
      </c>
      <c r="M17" s="81">
        <f>VLOOKUP(B17,Opportunities!B$3:L$30,11,FALSE)</f>
        <v>51.492195290550455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10.53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0.13408650706684688</v>
      </c>
      <c r="J18" s="81">
        <f>VLOOKUP(B18,Opportunities!B$3:L$30,10,FALSE)</f>
        <v>12.334024952287187</v>
      </c>
      <c r="K18" s="81">
        <f>VLOOKUP(B18,Opportunities!B$3:L$30,7,FALSE)</f>
        <v>9.7996531085809089</v>
      </c>
      <c r="L18" s="81">
        <f>VLOOKUP(B18,Opportunities!B$3:L$30,9,FALSE)</f>
        <v>17.067185018705011</v>
      </c>
      <c r="M18" s="81">
        <f>VLOOKUP(B18,Opportunities!B$3:L$30,11,FALSE)</f>
        <v>15.154883658338015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7.74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3.5659911490332784E-2</v>
      </c>
      <c r="J19" s="81">
        <f>VLOOKUP(B19,Opportunities!B$3:L$30,10,FALSE)</f>
        <v>7.4466358584131269</v>
      </c>
      <c r="K19" s="81">
        <f>VLOOKUP(B19,Opportunities!B$3:L$30,7,FALSE)</f>
        <v>5.9088816888501965</v>
      </c>
      <c r="L19" s="81">
        <f>VLOOKUP(B19,Opportunities!B$3:L$30,9,FALSE)</f>
        <v>10.320475763675761</v>
      </c>
      <c r="M19" s="81">
        <f>VLOOKUP(B19,Opportunities!B$3:L$30,11,FALSE)</f>
        <v>9.1591333172637537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0.43029375466552633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2026-04-21T10:17:14Z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