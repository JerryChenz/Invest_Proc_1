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C646923-96E8-4F91-A6ED-2A21A28BB6A3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<sst xmlns="http://schemas.openxmlformats.org/spreadsheetml/2006/main" count="501" uniqueCount="396">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</sst>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10.55</v>
      </c>
      <c r="E3" s="12" t="s">
        <v>118</v>
      </c>
      <c r="F3" s="15">
        <v>0.26666899000077043</v>
      </c>
      <c r="G3" s="15">
        <v>0.13332709446277319</v>
      </c>
      <c r="H3" s="2">
        <v>9.7926151274430708</v>
      </c>
      <c r="I3" s="2">
        <v>19.046431956992429</v>
      </c>
      <c r="J3" s="71">
        <v>17.054929195221199</v>
      </c>
      <c r="K3" s="2">
        <v>12.325167340852099</v>
      </c>
      <c r="L3" s="2">
        <v>15.144000774237298</v>
      </c>
      <c r="M3" s="4">
        <v>9.7667715442590439E-2</v>
      </c>
      <c r="N3" s="4">
        <v>5.8628644549763027E-2</v>
      </c>
      <c r="O3" s="4">
        <v>0.10095855265607843</v>
      </c>
      <c r="P3" s="4">
        <v>0.12639877109192904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1.7873429222652726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67.7</v>
      </c>
      <c r="E4" s="12" t="s">
        <v>118</v>
      </c>
      <c r="F4" s="15">
        <v>0.25178356024396659</v>
      </c>
      <c r="G4" s="15">
        <v>8.192900015681176E-2</v>
      </c>
      <c r="H4" s="2">
        <v>60.940330669754076</v>
      </c>
      <c r="I4" s="2">
        <v>108.43130248144973</v>
      </c>
      <c r="J4" s="71">
        <v>104.56062596790608</v>
      </c>
      <c r="K4" s="2">
        <v>76.188105602690825</v>
      </c>
      <c r="L4" s="2">
        <v>93.110705883949066</v>
      </c>
      <c r="M4" s="4">
        <v>0.13403644557986</v>
      </c>
      <c r="N4" s="4">
        <v>9.4233382570162477E-2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-19.260548525335693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307</v>
      </c>
      <c r="C5" s="11" t="s">
        <v>362</v>
      </c>
      <c r="D5" s="2">
        <v>4.0199999999999996</v>
      </c>
      <c r="E5" s="12" t="s">
        <v>118</v>
      </c>
      <c r="F5" s="15">
        <v>0.23710784200204674</v>
      </c>
      <c r="G5" s="15">
        <v>7.4189198005917514E-2</v>
      </c>
      <c r="H5" s="2">
        <v>3.4947017610502455</v>
      </c>
      <c r="I5" s="2">
        <v>6.4808597690273908</v>
      </c>
      <c r="J5" s="71">
        <v>6.0371156176035647</v>
      </c>
      <c r="K5" s="2">
        <v>4.3824419959649257</v>
      </c>
      <c r="L5" s="2">
        <v>5.3690045329034906</v>
      </c>
      <c r="M5" s="4">
        <v>0.10047840264981435</v>
      </c>
      <c r="N5" s="4">
        <v>7.4626865671641812E-2</v>
      </c>
      <c r="O5" s="4">
        <v>0.18</v>
      </c>
      <c r="P5" s="4">
        <v>5.5599077391744495E-2</v>
      </c>
      <c r="Q5" s="79">
        <v>1.4798367611150316</v>
      </c>
      <c r="R5" s="78">
        <v>2.187716833659914</v>
      </c>
      <c r="S5" s="15">
        <v>0.76701287002940366</v>
      </c>
      <c r="T5" s="76">
        <v>5.0983946232940358</v>
      </c>
      <c r="U5" s="71">
        <v>-2.4800067209187837</v>
      </c>
      <c r="V5" s="13" t="s">
        <v>354</v>
      </c>
      <c r="W5" s="11" t="s">
        <v>351</v>
      </c>
      <c r="X5" s="14">
        <v>46173</v>
      </c>
      <c r="Y5" s="16" t="s">
        <v>340</v>
      </c>
    </row>
    <row r="6" spans="1:25">
      <c r="B6" s="11" t="s">
        <v>355</v>
      </c>
      <c r="C6" s="11" t="s">
        <v>356</v>
      </c>
      <c r="D6" s="2">
        <v>6.28</v>
      </c>
      <c r="E6" s="12" t="s">
        <v>118</v>
      </c>
      <c r="F6" s="15">
        <v>0.23361923889200864</v>
      </c>
      <c r="G6" s="15">
        <v>0.10830332258795919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7.5020161441931327E-2</v>
      </c>
      <c r="N6" s="4">
        <v>2.2611464968152865E-2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375</v>
      </c>
      <c r="C7" s="11" t="s">
        <v>376</v>
      </c>
      <c r="D7" s="2">
        <v>38.299999999999997</v>
      </c>
      <c r="E7" s="12" t="s">
        <v>118</v>
      </c>
      <c r="F7" s="15">
        <v>0.23328498495961489</v>
      </c>
      <c r="G7" s="15">
        <v>0.10801294958836044</v>
      </c>
      <c r="H7" s="2">
        <v>32.716086217358715</v>
      </c>
      <c r="I7" s="2">
        <v>71.310661419537112</v>
      </c>
      <c r="J7" s="71">
        <v>58.175578815680886</v>
      </c>
      <c r="K7" s="2">
        <v>41.566864247417307</v>
      </c>
      <c r="L7" s="2">
        <v>51.455247349096226</v>
      </c>
      <c r="M7" s="4">
        <v>6.1634414979476117E-2</v>
      </c>
      <c r="N7" s="4">
        <v>3.7075718015665794E-3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11.520938361085236</v>
      </c>
      <c r="V7" s="13" t="s">
        <v>359</v>
      </c>
      <c r="W7" s="11" t="s">
        <v>339</v>
      </c>
      <c r="X7" s="14">
        <v>46265</v>
      </c>
      <c r="Y7" s="16" t="s">
        <v>352</v>
      </c>
    </row>
    <row r="8" spans="1:25">
      <c r="B8" s="11" t="s">
        <v>392</v>
      </c>
      <c r="C8" s="11" t="s">
        <v>393</v>
      </c>
      <c r="D8" s="2">
        <v>4.49</v>
      </c>
      <c r="E8" s="12" t="s">
        <v>118</v>
      </c>
      <c r="F8" s="15">
        <v>0.19723184159698909</v>
      </c>
      <c r="G8" s="15">
        <v>7.0759940106142713E-2</v>
      </c>
      <c r="H8" s="2">
        <v>3.5521103644110781</v>
      </c>
      <c r="I8" s="2">
        <v>6.7067364706111396</v>
      </c>
      <c r="J8" s="71">
        <v>6.1549025227860499</v>
      </c>
      <c r="K8" s="2">
        <v>4.4604956427147799</v>
      </c>
      <c r="L8" s="2">
        <v>5.4705889281550792</v>
      </c>
      <c r="M8" s="4">
        <v>9.0131305060514755E-2</v>
      </c>
      <c r="N8" s="4">
        <v>6.1247216035634745E-2</v>
      </c>
      <c r="O8" s="4">
        <v>0.1295637371655913</v>
      </c>
      <c r="P8" s="4">
        <v>9.3411700585940893E-2</v>
      </c>
      <c r="Q8" s="79">
        <v>0.83739806126750682</v>
      </c>
      <c r="R8" s="78">
        <v>1.6563428477446216</v>
      </c>
      <c r="S8" s="15">
        <v>0.26559156004843115</v>
      </c>
      <c r="T8" s="76">
        <v>1.8420735448323682</v>
      </c>
      <c r="U8" s="71">
        <v>0.86502259539169235</v>
      </c>
      <c r="V8" s="13" t="s">
        <v>354</v>
      </c>
      <c r="W8" s="11" t="s">
        <v>339</v>
      </c>
      <c r="X8" s="14">
        <v>46265</v>
      </c>
      <c r="Y8" s="16" t="s">
        <v>352</v>
      </c>
    </row>
    <row r="9" spans="1:25">
      <c r="B9" s="11" t="s">
        <v>364</v>
      </c>
      <c r="C9" s="11" t="s">
        <v>365</v>
      </c>
      <c r="D9" s="2">
        <v>38.76</v>
      </c>
      <c r="E9" s="12" t="s">
        <v>118</v>
      </c>
      <c r="F9" s="15">
        <v>0.19141149733869603</v>
      </c>
      <c r="G9" s="15">
        <v>6.3400002653405008E-2</v>
      </c>
      <c r="H9" s="2">
        <v>30.082975234605446</v>
      </c>
      <c r="I9" s="2">
        <v>60.379406610428177</v>
      </c>
      <c r="J9" s="71">
        <v>52.684119896059485</v>
      </c>
      <c r="K9" s="2">
        <v>37.957850631034823</v>
      </c>
      <c r="L9" s="2">
        <v>46.731937193016279</v>
      </c>
      <c r="M9" s="4">
        <v>7.5145292177776588E-2</v>
      </c>
      <c r="N9" s="4">
        <v>3.6940196078431374E-2</v>
      </c>
      <c r="O9" s="4">
        <v>0.2658092571428613</v>
      </c>
      <c r="P9" s="4">
        <v>0.20771863979883598</v>
      </c>
      <c r="Q9" s="79">
        <v>0.65265738052043343</v>
      </c>
      <c r="R9" s="78">
        <v>1.9606920057834423</v>
      </c>
      <c r="S9" s="15">
        <v>0.67283405398617657</v>
      </c>
      <c r="T9" s="76">
        <v>2.2041306156151999</v>
      </c>
      <c r="U9" s="71">
        <v>-6.2816604747879499</v>
      </c>
      <c r="V9" s="13" t="s">
        <v>354</v>
      </c>
      <c r="W9" s="11" t="s">
        <v>339</v>
      </c>
      <c r="X9" s="14">
        <v>46081</v>
      </c>
      <c r="Y9" s="16" t="s">
        <v>352</v>
      </c>
    </row>
    <row r="10" spans="1:25">
      <c r="B10" s="11" t="s">
        <v>309</v>
      </c>
      <c r="C10" s="11" t="s">
        <v>341</v>
      </c>
      <c r="D10" s="2">
        <v>7.69</v>
      </c>
      <c r="E10" s="12" t="s">
        <v>118</v>
      </c>
      <c r="F10" s="15">
        <v>0.18646066489316834</v>
      </c>
      <c r="G10" s="15">
        <v>3.7847320975573466E-2</v>
      </c>
      <c r="H10" s="2">
        <v>5.9046240139166866</v>
      </c>
      <c r="I10" s="2">
        <v>11.673498041320963</v>
      </c>
      <c r="J10" s="71">
        <v>10.313039655830277</v>
      </c>
      <c r="K10" s="2">
        <v>7.4412702653153726</v>
      </c>
      <c r="L10" s="2">
        <v>9.1525339185008914</v>
      </c>
      <c r="M10" s="4">
        <v>9.3701453162802387E-2</v>
      </c>
      <c r="N10" s="4">
        <v>4.2334735318595579E-2</v>
      </c>
      <c r="O10" s="4">
        <v>0.17172022620778821</v>
      </c>
      <c r="P10" s="4">
        <v>8.3606265626053791E-2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-3.0228059474808791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83.4</v>
      </c>
      <c r="E11" s="12" t="s">
        <v>118</v>
      </c>
      <c r="F11" s="15">
        <v>0.18474962033077177</v>
      </c>
      <c r="G11" s="15">
        <v>5.4395819872995528E-2</v>
      </c>
      <c r="H11" s="2">
        <v>63.964505592381364</v>
      </c>
      <c r="I11" s="2">
        <v>122.25182878646189</v>
      </c>
      <c r="J11" s="71">
        <v>111.06496514976109</v>
      </c>
      <c r="K11" s="2">
        <v>80.397377769943233</v>
      </c>
      <c r="L11" s="2">
        <v>98.677403767687736</v>
      </c>
      <c r="M11" s="4">
        <v>6.5858099626805278E-2</v>
      </c>
      <c r="N11" s="4">
        <v>5.4928057553956834E-2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1.4762741603390812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343</v>
      </c>
      <c r="C12" s="11" t="s">
        <v>363</v>
      </c>
      <c r="D12" s="2">
        <v>120.2</v>
      </c>
      <c r="E12" s="12" t="s">
        <v>118</v>
      </c>
      <c r="F12" s="15">
        <v>0.16537238789729972</v>
      </c>
      <c r="G12" s="15">
        <v>2.4006258802860489E-2</v>
      </c>
      <c r="H12" s="2">
        <v>87.335519443238312</v>
      </c>
      <c r="I12" s="2">
        <v>177.87123621679461</v>
      </c>
      <c r="J12" s="71">
        <v>153.35235845801583</v>
      </c>
      <c r="K12" s="2">
        <v>110.3284931810154</v>
      </c>
      <c r="L12" s="2">
        <v>135.95929414882315</v>
      </c>
      <c r="M12" s="4">
        <v>-9.6424676404194588E-3</v>
      </c>
      <c r="N12" s="4">
        <v>2.9201331114808649E-2</v>
      </c>
      <c r="O12" s="4">
        <v>0.15</v>
      </c>
      <c r="P12" s="4">
        <v>3.3662787366748527E-2</v>
      </c>
      <c r="Q12" s="79">
        <v>1.883030950761003</v>
      </c>
      <c r="R12" s="78">
        <v>2.3663758624563029</v>
      </c>
      <c r="S12" s="15">
        <v>0.36286306559603515</v>
      </c>
      <c r="T12" s="76">
        <v>22.317734925377231</v>
      </c>
      <c r="U12" s="71">
        <v>-67.701518123314429</v>
      </c>
      <c r="V12" s="13" t="s">
        <v>354</v>
      </c>
      <c r="W12" s="11" t="s">
        <v>339</v>
      </c>
      <c r="X12" s="14">
        <v>46265</v>
      </c>
      <c r="Y12" s="16" t="s">
        <v>352</v>
      </c>
    </row>
    <row r="13" spans="1:25">
      <c r="B13" s="11" t="s">
        <v>366</v>
      </c>
      <c r="C13" s="11" t="s">
        <v>367</v>
      </c>
      <c r="D13" s="2">
        <v>4.57</v>
      </c>
      <c r="E13" s="12" t="s">
        <v>118</v>
      </c>
      <c r="F13" s="15">
        <v>0.16292458996433268</v>
      </c>
      <c r="G13" s="15">
        <v>1.3096576348503587E-2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6.7879210363720063E-2</v>
      </c>
      <c r="N13" s="4">
        <v>3.4835886214442016E-2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354</v>
      </c>
      <c r="W13" s="11" t="s">
        <v>339</v>
      </c>
      <c r="X13" s="14">
        <v>46173</v>
      </c>
      <c r="Y13" s="16" t="s">
        <v>340</v>
      </c>
    </row>
    <row r="14" spans="1:25">
      <c r="B14" s="11" t="s">
        <v>308</v>
      </c>
      <c r="C14" s="11" t="s">
        <v>353</v>
      </c>
      <c r="D14" s="2">
        <v>3.4</v>
      </c>
      <c r="E14" s="12" t="s">
        <v>118</v>
      </c>
      <c r="F14" s="15">
        <v>0.15043399714701342</v>
      </c>
      <c r="G14" s="15">
        <v>0</v>
      </c>
      <c r="H14" s="2">
        <v>2.4131164155448479</v>
      </c>
      <c r="I14" s="2">
        <v>4.336834764952032</v>
      </c>
      <c r="J14" s="2">
        <v>4.1471227163204709</v>
      </c>
      <c r="K14" s="2">
        <v>3.0190895630509447</v>
      </c>
      <c r="L14" s="2">
        <v>3.691838826419243</v>
      </c>
      <c r="M14" s="4">
        <v>7.1842732217613336E-2</v>
      </c>
      <c r="N14" s="4">
        <v>7.1117647058823522E-2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1.0934770748615938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394</v>
      </c>
      <c r="C15" s="11" t="s">
        <v>395</v>
      </c>
      <c r="D15" s="2">
        <v>4.2699999999999996</v>
      </c>
      <c r="E15" s="12" t="s">
        <v>118</v>
      </c>
      <c r="F15" s="15">
        <v>0.14355222054606112</v>
      </c>
      <c r="G15" s="15">
        <v>0</v>
      </c>
      <c r="H15" s="2">
        <v>2.970225604821576</v>
      </c>
      <c r="I15" s="2">
        <v>5.4881856537930034</v>
      </c>
      <c r="J15" s="2">
        <v>5.1279561951610866</v>
      </c>
      <c r="K15" s="2">
        <v>3.7237185496487291</v>
      </c>
      <c r="L15" s="2">
        <v>4.5609909188949231</v>
      </c>
      <c r="M15" s="4">
        <v>6.8328230348019006E-2</v>
      </c>
      <c r="N15" s="4">
        <v>6.0889929742388764E-2</v>
      </c>
      <c r="O15" s="4">
        <v>0.28568079100302196</v>
      </c>
      <c r="P15" s="4">
        <v>0.17813313161397862</v>
      </c>
      <c r="Q15" s="79">
        <v>0.91428215624568043</v>
      </c>
      <c r="R15" s="78">
        <v>1.7541070452059788</v>
      </c>
      <c r="S15" s="15">
        <v>0.1200952845385091</v>
      </c>
      <c r="T15" s="76">
        <v>0.41215180500545473</v>
      </c>
      <c r="U15" s="71">
        <v>0.26857934054514021</v>
      </c>
      <c r="V15" s="13" t="s">
        <v>354</v>
      </c>
      <c r="W15" s="11" t="s">
        <v>339</v>
      </c>
      <c r="X15" s="14">
        <v>46173</v>
      </c>
      <c r="Y15" s="16" t="s">
        <v>352</v>
      </c>
    </row>
    <row r="16" spans="1:25">
      <c r="B16" s="11" t="s">
        <v>141</v>
      </c>
      <c r="C16" s="11" t="s">
        <v>368</v>
      </c>
      <c r="D16" s="2">
        <v>20.6</v>
      </c>
      <c r="E16" s="12" t="s">
        <v>118</v>
      </c>
      <c r="F16" s="15">
        <v>0.13546761649872777</v>
      </c>
      <c r="G16" s="15">
        <v>0</v>
      </c>
      <c r="H16" s="2">
        <v>13.857905609377443</v>
      </c>
      <c r="I16" s="2">
        <v>28.408721638390659</v>
      </c>
      <c r="J16" s="2">
        <v>24.361938991224481</v>
      </c>
      <c r="K16" s="2">
        <v>17.515697862143341</v>
      </c>
      <c r="L16" s="2">
        <v>21.594002515364025</v>
      </c>
      <c r="M16" s="4">
        <v>5.5646984482209755E-2</v>
      </c>
      <c r="N16" s="4">
        <v>2.4784010820882208E-2</v>
      </c>
      <c r="O16" s="4">
        <v>0.2</v>
      </c>
      <c r="P16" s="4">
        <v>0.13430424833028851</v>
      </c>
      <c r="Q16" s="79">
        <v>1.1000000000000001</v>
      </c>
      <c r="R16" s="78">
        <v>1.3537783359692717</v>
      </c>
      <c r="S16" s="15">
        <v>6.5417684980282262E-2</v>
      </c>
      <c r="T16" s="76">
        <v>0.50358953318926281</v>
      </c>
      <c r="U16" s="71">
        <v>5.7134525248614834</v>
      </c>
      <c r="V16" s="13" t="s">
        <v>369</v>
      </c>
      <c r="W16" s="11" t="s">
        <v>339</v>
      </c>
      <c r="X16" s="14">
        <v>46081</v>
      </c>
      <c r="Y16" s="16" t="s">
        <v>352</v>
      </c>
    </row>
    <row r="17" spans="2:25">
      <c r="B17" s="11" t="s">
        <v>370</v>
      </c>
      <c r="C17" s="11" t="s">
        <v>371</v>
      </c>
      <c r="D17" s="2">
        <v>84.25</v>
      </c>
      <c r="E17" s="12" t="s">
        <v>118</v>
      </c>
      <c r="F17" s="15">
        <v>4.7096663169597271E-2</v>
      </c>
      <c r="G17" s="15">
        <v>0</v>
      </c>
      <c r="H17" s="2">
        <v>44.025082598056933</v>
      </c>
      <c r="I17" s="2">
        <v>96.723106467931103</v>
      </c>
      <c r="J17" s="2">
        <v>78.404020543608112</v>
      </c>
      <c r="K17" s="2">
        <v>55.974019946719388</v>
      </c>
      <c r="L17" s="2">
        <v>69.327291805566887</v>
      </c>
      <c r="M17" s="4">
        <v>1.4903395485552225E-2</v>
      </c>
      <c r="N17" s="4">
        <v>0</v>
      </c>
      <c r="O17" s="4">
        <v>0.15</v>
      </c>
      <c r="P17" s="4">
        <v>8.1887809309554582E-2</v>
      </c>
      <c r="Q17" s="79">
        <v>1.022390799101176</v>
      </c>
      <c r="R17" s="78">
        <v>1.7916578376478161</v>
      </c>
      <c r="S17" s="15">
        <v>0.27660377540313014</v>
      </c>
      <c r="T17" s="76">
        <v>3.1316510969641755</v>
      </c>
      <c r="U17" s="71">
        <v>3.6505619553138304</v>
      </c>
      <c r="V17" s="13" t="s">
        <v>372</v>
      </c>
      <c r="W17" s="11" t="s">
        <v>339</v>
      </c>
      <c r="X17" s="14">
        <v>46081</v>
      </c>
      <c r="Y17" s="11" t="s">
        <v>340</v>
      </c>
    </row>
    <row r="18" spans="2:25">
      <c r="B18" s="11" t="s">
        <v>152</v>
      </c>
      <c r="C18" s="11" t="s">
        <v>373</v>
      </c>
      <c r="D18" s="2">
        <v>26.88</v>
      </c>
      <c r="E18" s="12" t="s">
        <v>118</v>
      </c>
      <c r="F18" s="15">
        <v>3.87602309107924E-2</v>
      </c>
      <c r="G18" s="15">
        <v>0</v>
      </c>
      <c r="H18" s="2">
        <v>14.213624758334607</v>
      </c>
      <c r="I18" s="2">
        <v>26.19993359406114</v>
      </c>
      <c r="J18" s="2">
        <v>24.529332213383142</v>
      </c>
      <c r="K18" s="2">
        <v>17.816165274340936</v>
      </c>
      <c r="L18" s="2">
        <v>21.818954638523692</v>
      </c>
      <c r="M18" s="4">
        <v>9.1357313937594969E-2</v>
      </c>
      <c r="N18" s="4">
        <v>4.6875E-2</v>
      </c>
      <c r="O18" s="4">
        <v>0.17275816461101692</v>
      </c>
      <c r="P18" s="4">
        <v>0.32389125963769955</v>
      </c>
      <c r="Q18" s="79">
        <v>0.37580175109499292</v>
      </c>
      <c r="R18" s="78">
        <v>1.419320754716981</v>
      </c>
      <c r="S18" s="15">
        <v>9.2018392262565404E-2</v>
      </c>
      <c r="T18" s="76">
        <v>0.52808720739977155</v>
      </c>
      <c r="U18" s="71">
        <v>0.47117271312820491</v>
      </c>
      <c r="V18" s="13" t="s">
        <v>374</v>
      </c>
      <c r="W18" s="11" t="s">
        <v>351</v>
      </c>
      <c r="X18" s="14">
        <v>46081</v>
      </c>
      <c r="Y18" s="11" t="s">
        <v>352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0.4337627764689867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6.28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62800</v>
      </c>
      <c r="H4" s="58">
        <f t="shared" si="0"/>
        <v>4.7494620931665982E-2</v>
      </c>
      <c r="I4" s="58">
        <f>VLOOKUP(B4,Opportunities!B$3:H$30,6,FALSE)</f>
        <v>0.10830332258795919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120.2</v>
      </c>
      <c r="E5" s="59" t="str">
        <f>VLOOKUP(B5,Opportunities!B$3:E$30,4,FALSE)</f>
        <v>HKD</v>
      </c>
      <c r="F5" s="57">
        <v>2500</v>
      </c>
      <c r="G5" s="61">
        <f t="shared" si="1"/>
        <v>300500</v>
      </c>
      <c r="H5" s="58">
        <f t="shared" si="0"/>
        <v>0.22726327372556732</v>
      </c>
      <c r="I5" s="58">
        <f>VLOOKUP(B5,Opportunities!B$3:H$30,6,FALSE)</f>
        <v>2.4006258802860489E-2</v>
      </c>
      <c r="J5" s="81">
        <f>VLOOKUP(B5,Opportunities!B$3:L$30,10,FALSE)</f>
        <v>110.3284931810154</v>
      </c>
      <c r="K5" s="81">
        <f>VLOOKUP(B5,Opportunities!B$3:L$30,7,FALSE)</f>
        <v>87.335519443238312</v>
      </c>
      <c r="L5" s="81">
        <f>VLOOKUP(B5,Opportunities!B$3:L$30,9,FALSE)</f>
        <v>153.35235845801583</v>
      </c>
      <c r="M5" s="81">
        <f>VLOOKUP(B5,Opportunities!B$3:L$30,11,FALSE)</f>
        <v>135.95929414882315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7.69</v>
      </c>
      <c r="E6" s="59" t="str">
        <f>VLOOKUP(B6,Opportunities!B$3:E$30,4,FALSE)</f>
        <v>HKD</v>
      </c>
      <c r="F6" s="57">
        <v>8000</v>
      </c>
      <c r="G6" s="61">
        <f t="shared" si="1"/>
        <v>61520</v>
      </c>
      <c r="H6" s="58">
        <f t="shared" si="0"/>
        <v>4.6526577702485528E-2</v>
      </c>
      <c r="I6" s="58">
        <f>VLOOKUP(B6,Opportunities!B$3:H$30,6,FALSE)</f>
        <v>3.7847320975573466E-2</v>
      </c>
      <c r="J6" s="81">
        <f>VLOOKUP(B6,Opportunities!B$3:L$30,10,FALSE)</f>
        <v>7.4412702653153726</v>
      </c>
      <c r="K6" s="81">
        <f>VLOOKUP(B6,Opportunities!B$3:L$30,7,FALSE)</f>
        <v>5.9046240139166866</v>
      </c>
      <c r="L6" s="81">
        <f>VLOOKUP(B6,Opportunities!B$3:L$30,9,FALSE)</f>
        <v>10.313039655830277</v>
      </c>
      <c r="M6" s="81">
        <f>VLOOKUP(B6,Opportunities!B$3:L$30,11,FALSE)</f>
        <v>9.1525339185008914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10.55</v>
      </c>
      <c r="E7" s="59" t="str">
        <f>VLOOKUP(B7,Opportunities!B$3:E$30,4,FALSE)</f>
        <v>HKD</v>
      </c>
      <c r="F7" s="57">
        <v>15000</v>
      </c>
      <c r="G7" s="61">
        <f t="shared" si="1"/>
        <v>158250</v>
      </c>
      <c r="H7" s="58">
        <f t="shared" si="0"/>
        <v>0.11968190704516149</v>
      </c>
      <c r="I7" s="58">
        <f>VLOOKUP(B7,Opportunities!B$3:H$30,6,FALSE)</f>
        <v>0.13332709446277319</v>
      </c>
      <c r="J7" s="81">
        <f>VLOOKUP(B7,Opportunities!B$3:L$30,10,FALSE)</f>
        <v>12.325167340852099</v>
      </c>
      <c r="K7" s="81">
        <f>VLOOKUP(B7,Opportunities!B$3:L$30,7,FALSE)</f>
        <v>9.7926151274430708</v>
      </c>
      <c r="L7" s="81">
        <f>VLOOKUP(B7,Opportunities!B$3:L$30,9,FALSE)</f>
        <v>17.054929195221199</v>
      </c>
      <c r="M7" s="81">
        <f>VLOOKUP(B7,Opportunities!B$3:L$30,11,FALSE)</f>
        <v>15.144000774237298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4.0199999999999996</v>
      </c>
      <c r="E8" s="59" t="str">
        <f>VLOOKUP(B8,Opportunities!B$3:E$30,4,FALSE)</f>
        <v>HKD</v>
      </c>
      <c r="F8" s="57">
        <v>12000</v>
      </c>
      <c r="G8" s="61">
        <f t="shared" si="1"/>
        <v>48239.999999999993</v>
      </c>
      <c r="H8" s="58">
        <f t="shared" si="0"/>
        <v>3.6483129199738319E-2</v>
      </c>
      <c r="I8" s="58">
        <f>VLOOKUP(B8,Opportunities!B$3:H$30,6,FALSE)</f>
        <v>7.4189198005917514E-2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38.299999999999997</v>
      </c>
      <c r="E9" s="59" t="str">
        <f>VLOOKUP(B9,Opportunities!B$3:E$30,4,FALSE)</f>
        <v>HKD</v>
      </c>
      <c r="F9" s="57">
        <v>2000</v>
      </c>
      <c r="G9" s="61">
        <f t="shared" ref="G9" si="2">D9*F9</f>
        <v>76600</v>
      </c>
      <c r="H9" s="58">
        <f t="shared" si="0"/>
        <v>5.7931336996267742E-2</v>
      </c>
      <c r="I9" s="58">
        <f>VLOOKUP(B9,Opportunities!B$3:H$30,6,FALSE)</f>
        <v>0.10801294958836044</v>
      </c>
      <c r="J9" s="81">
        <f>VLOOKUP(B9,Opportunities!B$3:L$30,10,FALSE)</f>
        <v>41.566864247417307</v>
      </c>
      <c r="K9" s="81">
        <f>VLOOKUP(B9,Opportunities!B$3:L$30,7,FALSE)</f>
        <v>32.716086217358715</v>
      </c>
      <c r="L9" s="81">
        <f>VLOOKUP(B9,Opportunities!B$3:L$30,9,FALSE)</f>
        <v>58.175578815680886</v>
      </c>
      <c r="M9" s="81">
        <f>VLOOKUP(B9,Opportunities!B$3:L$30,11,FALSE)</f>
        <v>51.455247349096226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</v>
      </c>
      <c r="E10" s="59" t="str">
        <f>VLOOKUP(B10,Opportunities!B$3:E$30,4,FALSE)</f>
        <v>HKD</v>
      </c>
      <c r="F10" s="57">
        <v>12000</v>
      </c>
      <c r="G10" s="61">
        <f t="shared" si="1"/>
        <v>40800</v>
      </c>
      <c r="H10" s="58">
        <f t="shared" ref="H10" si="3">G10/$G$12</f>
        <v>3.0856377930126942E-2</v>
      </c>
      <c r="I10" s="58">
        <f>VLOOKUP(B10,Opportunities!B$3:H$30,6,FALSE)</f>
        <v>0</v>
      </c>
      <c r="J10" s="81">
        <f>VLOOKUP(B10,Opportunities!B$3:L$30,10,FALSE)</f>
        <v>3.0190895630509447</v>
      </c>
      <c r="K10" s="81">
        <f>VLOOKUP(B10,Opportunities!B$3:L$30,7,FALSE)</f>
        <v>2.4131164155448479</v>
      </c>
      <c r="L10" s="81">
        <f>VLOOKUP(B10,Opportunities!B$3:L$30,9,FALSE)</f>
        <v>4.1471227163204709</v>
      </c>
      <c r="M10" s="81">
        <f>VLOOKUP(B10,Opportunities!B$3:L$30,11,FALSE)</f>
        <v>3.691838826419243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1322255</v>
      </c>
      <c r="H12" s="67">
        <f>SUM(H3:H10)</f>
        <v>0.99999999999999989</v>
      </c>
      <c r="I12" s="73">
        <f>SUM(I3:I10)</f>
        <v>0.93568614442344411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120.2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2.4006258802860489E-2</v>
      </c>
      <c r="J15" s="81">
        <f>VLOOKUP(B15,Opportunities!B$3:L$30,10,FALSE)</f>
        <v>110.3284931810154</v>
      </c>
      <c r="K15" s="81">
        <f>VLOOKUP(B15,Opportunities!B$3:L$30,7,FALSE)</f>
        <v>87.335519443238312</v>
      </c>
      <c r="L15" s="81">
        <f>VLOOKUP(B15,Opportunities!B$3:L$30,9,FALSE)</f>
        <v>153.35235845801583</v>
      </c>
      <c r="M15" s="81">
        <f>VLOOKUP(B15,Opportunities!B$3:L$30,11,FALSE)</f>
        <v>135.95929414882315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26.88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17.816165274340936</v>
      </c>
      <c r="K16" s="81">
        <f>VLOOKUP(B16,Opportunities!B$3:L$30,7,FALSE)</f>
        <v>14.213624758334607</v>
      </c>
      <c r="L16" s="81">
        <f>VLOOKUP(B16,Opportunities!B$3:L$30,9,FALSE)</f>
        <v>24.529332213383142</v>
      </c>
      <c r="M16" s="81">
        <f>VLOOKUP(B16,Opportunities!B$3:L$30,11,FALSE)</f>
        <v>21.818954638523692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38.299999999999997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0.10801294958836044</v>
      </c>
      <c r="J17" s="81">
        <f>VLOOKUP(B17,Opportunities!B$3:L$30,10,FALSE)</f>
        <v>41.566864247417307</v>
      </c>
      <c r="K17" s="81">
        <f>VLOOKUP(B17,Opportunities!B$3:L$30,7,FALSE)</f>
        <v>32.716086217358715</v>
      </c>
      <c r="L17" s="81">
        <f>VLOOKUP(B17,Opportunities!B$3:L$30,9,FALSE)</f>
        <v>58.175578815680886</v>
      </c>
      <c r="M17" s="81">
        <f>VLOOKUP(B17,Opportunities!B$3:L$30,11,FALSE)</f>
        <v>51.455247349096226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10.55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0.13332709446277319</v>
      </c>
      <c r="J18" s="81">
        <f>VLOOKUP(B18,Opportunities!B$3:L$30,10,FALSE)</f>
        <v>12.325167340852099</v>
      </c>
      <c r="K18" s="81">
        <f>VLOOKUP(B18,Opportunities!B$3:L$30,7,FALSE)</f>
        <v>9.7926151274430708</v>
      </c>
      <c r="L18" s="81">
        <f>VLOOKUP(B18,Opportunities!B$3:L$30,9,FALSE)</f>
        <v>17.054929195221199</v>
      </c>
      <c r="M18" s="81">
        <f>VLOOKUP(B18,Opportunities!B$3:L$30,11,FALSE)</f>
        <v>15.144000774237298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7.69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3.7847320975573466E-2</v>
      </c>
      <c r="J19" s="81">
        <f>VLOOKUP(B19,Opportunities!B$3:L$30,10,FALSE)</f>
        <v>7.4412702653153726</v>
      </c>
      <c r="K19" s="81">
        <f>VLOOKUP(B19,Opportunities!B$3:L$30,7,FALSE)</f>
        <v>5.9046240139166866</v>
      </c>
      <c r="L19" s="81">
        <f>VLOOKUP(B19,Opportunities!B$3:L$30,9,FALSE)</f>
        <v>10.313039655830277</v>
      </c>
      <c r="M19" s="81">
        <f>VLOOKUP(B19,Opportunities!B$3:L$30,11,FALSE)</f>
        <v>9.1525339185008914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0.4337627764689867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2026-04-22T09:42:30Z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