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AFC1642-3107-4ECA-99E9-C1C495B096D0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<sst xmlns="http://schemas.openxmlformats.org/spreadsheetml/2006/main" count="415" uniqueCount="357">
  <si>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</si>
  <si>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</si>
  <si>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</si>
  <si>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</si>
  <si>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</si>
  <si>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</si>
  <si>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</si>
  <si>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</si>
  <si>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</si>
  <si>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</si>
  <si>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</si>
  <si>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</si>
  <si>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</si>
  <si>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</si>
  <si>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</si>
  <si>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</si>
  <si>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</si>
  <si>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</si>
  <si>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</si>
  <si>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</si>
  <si>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</si>
  <si>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</si>
  <si>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</si>
  <si>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</si>
  <si>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</si>
  <si>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</si>
  <si>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</si>
  <si>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</si>
  <si>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</si>
  <si>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</si>
  <si>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</si>
  <si>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</si>
  <si>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</si>
  <si>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</si>
  <si>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</si>
  <si>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</si>
  <si>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</si>
  <si>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</si>
  <si>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</si>
  <si>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</si>
  <si>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</si>
  <si>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</si>
  <si>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</si>
  <si>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</si>
  <si>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</si>
  <si>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</si>
  <si>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</si>
  <si>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</si>
  <si>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</si>
  <si>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</si>
  <si>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</si>
  <si>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</si>
  <si>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</si>
  <si>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</si>
  <si>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</si>
  <si>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</si>
  <si>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</si>
  <si>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</si>
  <si>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</si>
  <si>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</si>
  <si>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</si>
  <si>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</si>
  <si>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</si>
  <si>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</si>
  <si>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</si>
  <si>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</si>
  <si>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</si>
  <si>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</si>
  <si>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</si>
  <si>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</si>
  <si>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</si>
  <si>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</si>
  <si>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</si>
  <si>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</si>
  <si>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</si>
  <si>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</si>
  <si>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</si>
  <si>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</si>
  <si>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</si>
  <si>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</si>
  <si>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</si>
  <si>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</si>
  <si>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</si>
  <si>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</si>
  <si>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</si>
  <si>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</si>
  <si>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</si>
  <si>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</si>
  <si>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</si>
  <si>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</si>
  <si>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</si>
  <si>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</si>
  <si>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</si>
  <si>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</si>
  <si>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</si>
  <si>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</si>
  <si>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</si>
  <si>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</si>
  <si>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</si>
  <si>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</si>
  <si>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</si>
  <si>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</si>
  <si>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</si>
  <si>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</si>
  <si>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</si>
  <si>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</si>
  <si>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</si>
  <si>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</si>
  <si>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</si>
  <si>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</si>
  <si>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</si>
  <si>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</si>
  <si>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</si>
  <si>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</si>
  <si>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</si>
  <si>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</si>
  <si>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</si>
  <si>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</si>
  <si>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</si>
  <si>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</si>
  <si>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</si>
  <si>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</si>
  <si>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</si>
  <si>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</si>
  <si>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</si>
  <si>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</si>
  <si>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</si>
  <si>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</si>
  <si>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</si>
  <si>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</si>
  <si>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</si>
  <si>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</si>
  <si>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</si>
  <si>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</si>
  <si>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</si>
  <si>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</si>
  <si>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</si>
  <si>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</si>
  <si>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</si>
  <si>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</si>
  <si>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</si>
  <si>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</si>
  <si>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</si>
  <si>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</si>
  <si>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</si>
  <si>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</si>
  <si>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</si>
  <si>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</si>
  <si>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</si>
  <si>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</si>
  <si>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</si>
  <si>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</si>
  <si>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</si>
  <si>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</si>
  <si>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</si>
  <si>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</si>
  <si>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</si>
  <si>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</si>
  <si>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</si>
  <si>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</si>
  <si>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</si>
  <si>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</si>
  <si>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</si>
  <si>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</si>
  <si>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</si>
  <si>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</si>
  <si>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</si>
  <si>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</si>
  <si>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</si>
  <si>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</si>
  <si>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</si>
  <si>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</si>
  <si>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</si>
  <si>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</si>
  <si>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</si>
  <si>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</si>
  <si>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</si>
  <si>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</si>
  <si>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</si>
  <si>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</si>
  <si>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</si>
  <si>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</si>
  <si>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</si>
  <si>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</si>
  <si>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</si>
  <si>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</si>
  <si>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</si>
  <si>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</si>
  <si>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</si>
  <si>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</si>
  <si>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</si>
  <si>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</si>
  <si>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</si>
  <si>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</si>
  <si>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</si>
  <si>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</si>
  <si>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</si>
  <si>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</si>
  <si>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</si>
  <si>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</si>
  <si>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</si>
  <si>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</si>
  <si>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</si>
  <si>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</si>
  <si>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</si>
  <si>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</si>
  <si>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</si>
  <si>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</si>
  <si>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</si>
  <si>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</si>
  <si>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</si>
  <si>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</si>
  <si>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</si>
  <si>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</si>
  <si>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</si>
  <si>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</si>
  <si>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</si>
  <si>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</si>
  <si>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</si>
  <si>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</si>
  <si>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</si>
  <si>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</si>
  <si>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</si>
  <si>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</si>
  <si>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</si>
  <si>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</si>
  <si>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</si>
  <si>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</si>
  <si>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</si>
  <si>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</si>
  <si>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</si>
  <si>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</si>
  <si>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</si>
  <si>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</si>
  <si>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</si>
  <si>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</si>
  <si>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</si>
  <si>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</si>
  <si>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</si>
  <si>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</si>
  <si>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</si>
  <si>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</si>
  <si>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</si>
  <si>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</si>
  <si>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</si>
  <si>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</si>
  <si>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</si>
  <si>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</si>
  <si>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</si>
  <si>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</si>
  <si>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</si>
  <si>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</si>
  <si>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</si>
  <si>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</si>
  <si>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</si>
  <si>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</si>
  <si>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</si>
  <si>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</si>
  <si>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</si>
  <si>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</si>
  <si>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</si>
  <si>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</si>
  <si>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</si>
  <si>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</si>
  <si>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</si>
  <si>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</si>
  <si>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</si>
  <si>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</si>
  <si>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</si>
  <si>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</si>
  <si>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</si>
  <si>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</si>
  <si>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</si>
  <si>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</si>
  <si>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</si>
  <si>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</si>
  <si>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</si>
  <si>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</si>
  <si>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</si>
  <si>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</si>
  <si>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</si>
  <si>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</si>
  <si>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</si>
  <si>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</si>
  <si>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</si>
  <si>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</si>
  <si>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</si>
  <si>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</si>
  <si>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</si>
  <si>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</si>
  <si>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</si>
  <si>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</si>
  <si>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</si>
  <si>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</si>
  <si>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</si>
  <si>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</si>
  <si>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</si>
  <si>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</si>
  <si>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</si>
  <si>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</si>
  <si>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</si>
  <si>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</si>
  <si>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</si>
  <si>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</si>
  <si>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</si>
  <si>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</si>
  <si>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</si>
  <si>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</si>
  <si>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</si>
  <si>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</si>
  <si>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</si>
  <si>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</si>
  <si>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</si>
  <si>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</si>
  <si>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</si>
  <si>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</si>
  <si>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</si>
  <si>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</si>
  <si>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</si>
  <si>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</si>
  <si>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</si>
  <si>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</si>
  <si>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</si>
  <si>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</si>
  <si>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</si>
  <si>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</si>
  <si>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</si>
  <si>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</si>
  <si>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</si>
  <si>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</si>
  <si>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</si>
  <si>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</si>
  <si>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</si>
  <si>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</si>
  <si>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</si>
  <si>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</si>
  <si>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</si>
  <si>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</si>
  <si>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</si>
  <si>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</si>
  <si>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</si>
  <si>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</si>
  <si>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</si>
  <si>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</si>
  <si>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1448.HK</t>
  </si>
  <si>
    <t>福寿园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</si>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</sst>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4" zoomScale="105" workbookViewId="0">
      <selection activeCell="C37" sqref="C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2" t="s">
        <v>149</v>
      </c>
      <c r="C4" s="122"/>
      <c r="D4" s="122"/>
      <c r="E4" s="122"/>
    </row>
    <row r="6" spans="1:5">
      <c r="A6" s="20" t="s">
        <v>60</v>
      </c>
      <c r="B6" s="19" t="s">
        <v>143</v>
      </c>
      <c r="C6" s="49"/>
    </row>
    <row r="7" spans="1:5">
      <c r="B7" s="122" t="s">
        <v>210</v>
      </c>
      <c r="C7" s="122"/>
      <c r="D7" s="122"/>
      <c r="E7" s="12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3" t="s">
        <v>212</v>
      </c>
      <c r="C24" s="122"/>
      <c r="D24" s="122"/>
      <c r="E24" s="12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2" t="s">
        <v>224</v>
      </c>
      <c r="C40" s="122"/>
      <c r="D40" s="122"/>
      <c r="E40" s="122"/>
    </row>
    <row r="41" spans="1:5">
      <c r="B41" s="123" t="s">
        <v>240</v>
      </c>
      <c r="C41" s="122"/>
      <c r="D41" s="122"/>
      <c r="E41" s="122"/>
    </row>
    <row r="42" spans="1:5">
      <c r="B42" s="123" t="s">
        <v>238</v>
      </c>
      <c r="C42" s="122"/>
      <c r="D42" s="122"/>
      <c r="E42" s="122"/>
    </row>
    <row r="43" spans="1:5">
      <c r="B43" s="123" t="s">
        <v>239</v>
      </c>
      <c r="C43" s="123"/>
      <c r="D43" s="123"/>
      <c r="E43" s="123"/>
    </row>
    <row r="44" spans="1:5" ht="46.5" customHeight="1">
      <c r="B44" s="122" t="s">
        <v>159</v>
      </c>
      <c r="C44" s="122"/>
      <c r="D44" s="122"/>
      <c r="E44" s="122"/>
    </row>
    <row r="46" spans="1:5">
      <c r="A46" s="21" t="s">
        <v>138</v>
      </c>
      <c r="B46" s="21"/>
      <c r="C46" s="21"/>
      <c r="D46" s="21"/>
      <c r="E46" s="21"/>
    </row>
    <row r="48" spans="1:5">
      <c r="B48" s="122" t="s">
        <v>226</v>
      </c>
      <c r="C48" s="122"/>
      <c r="D48" s="122"/>
      <c r="E48" s="122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2" t="s">
        <v>139</v>
      </c>
      <c r="C74" s="122"/>
      <c r="D74" s="122"/>
      <c r="E74" s="122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K4" sqref="K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169</v>
      </c>
      <c r="N1" s="128"/>
      <c r="O1" s="124" t="s">
        <v>8</v>
      </c>
      <c r="P1" s="124"/>
      <c r="Q1" s="131" t="s">
        <v>184</v>
      </c>
      <c r="R1" s="131"/>
      <c r="S1" s="131"/>
      <c r="T1" s="131"/>
      <c r="U1" s="130" t="s">
        <v>180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354</v>
      </c>
      <c r="C3" s="11" t="s">
        <v>355</v>
      </c>
      <c r="D3" s="2">
        <v>6.93</v>
      </c>
      <c r="E3" s="12" t="s">
        <v>136</v>
      </c>
      <c r="F3" s="15">
        <v>0.38369191211394271</v>
      </c>
      <c r="G3" s="15">
        <f>F3 - Portfolio_Mgmt!$C$10</f>
        <v>0.26629191211394271</v>
      </c>
      <c r="H3" s="15">
        <f>F3 - Portfolio_Mgmt!$C$11</f>
        <v>0.34919191211394274</v>
      </c>
      <c r="I3" s="15">
        <v>0.23937423009765293</v>
      </c>
      <c r="J3" s="2">
        <v>7.2738380246452037</v>
      </c>
      <c r="K3" s="2">
        <v>12.445302783583385</v>
      </c>
      <c r="L3" s="74">
        <v>11.441599424464991</v>
      </c>
      <c r="M3" s="2">
        <v>8.4621105915013661</v>
      </c>
      <c r="N3" s="2">
        <v>10.552982187820145</v>
      </c>
      <c r="O3" s="4">
        <v>0.11063832990593968</v>
      </c>
      <c r="P3" s="4">
        <v>4.981529681818183E-2</v>
      </c>
      <c r="Q3" s="4">
        <v>0.18088665717697663</v>
      </c>
      <c r="R3" s="4">
        <v>8.8069170662793697E-2</v>
      </c>
      <c r="S3" s="82">
        <v>1.3282158707615834</v>
      </c>
      <c r="T3" s="81">
        <v>1.5463719418456539</v>
      </c>
      <c r="U3" s="15">
        <v>0.22428295339746124</v>
      </c>
      <c r="V3" s="79">
        <v>1.2715557492373779</v>
      </c>
      <c r="W3" s="74">
        <v>-2.8848653389990528</v>
      </c>
      <c r="X3" s="13" t="s">
        <v>356</v>
      </c>
      <c r="Y3" s="11" t="s">
        <v>343</v>
      </c>
      <c r="Z3" s="14">
        <v>46081</v>
      </c>
      <c r="AA3" s="16" t="s">
        <v>185</v>
      </c>
    </row>
    <row r="4" spans="1:27">
      <c r="B4" s="11" t="s">
        <v>341</v>
      </c>
      <c r="C4" s="11" t="s">
        <v>342</v>
      </c>
      <c r="D4" s="2">
        <v>4</v>
      </c>
      <c r="E4" s="12" t="s">
        <v>136</v>
      </c>
      <c r="F4" s="15">
        <v>0.31839626623399109</v>
      </c>
      <c r="G4" s="15">
        <f>F4 - Portfolio_Mgmt!$C$10</f>
        <v>0.20099626623399108</v>
      </c>
      <c r="H4" s="15">
        <f>F4 - Portfolio_Mgmt!$C$11</f>
        <v>0.28389626623399111</v>
      </c>
      <c r="I4" s="15">
        <v>9.2962982602142877E-2</v>
      </c>
      <c r="J4" s="2">
        <v>3.8191037816760249</v>
      </c>
      <c r="K4" s="2">
        <v>6.3920866421045561</v>
      </c>
      <c r="L4" s="74">
        <v>5.9927665179863672</v>
      </c>
      <c r="M4" s="2">
        <v>4.4391274509469163</v>
      </c>
      <c r="N4" s="2">
        <v>5.529528504866235</v>
      </c>
      <c r="O4" s="4">
        <v>7.8104497800280309E-2</v>
      </c>
      <c r="P4" s="4">
        <v>6.0449999999999997E-2</v>
      </c>
      <c r="Q4" s="4">
        <v>0.13051754934484086</v>
      </c>
      <c r="R4" s="4">
        <v>0.21350770384328224</v>
      </c>
      <c r="S4" s="82">
        <v>0.48960240415119827</v>
      </c>
      <c r="T4" s="81">
        <v>1.2485669045200241</v>
      </c>
      <c r="U4" s="15">
        <v>3.1120102042901991E-2</v>
      </c>
      <c r="V4" s="79">
        <v>0.2356683101838101</v>
      </c>
      <c r="W4" s="74">
        <v>1.2422086436922164</v>
      </c>
      <c r="X4" s="13" t="s">
        <v>173</v>
      </c>
      <c r="Y4" s="11" t="s">
        <v>343</v>
      </c>
      <c r="Z4" s="14">
        <v>46081</v>
      </c>
      <c r="AA4" s="16" t="s">
        <v>346</v>
      </c>
    </row>
    <row r="5" spans="1:27">
      <c r="B5" s="11" t="s">
        <v>187</v>
      </c>
      <c r="C5" s="11" t="s">
        <v>347</v>
      </c>
      <c r="D5" s="2">
        <v>2.76</v>
      </c>
      <c r="E5" s="12" t="s">
        <v>136</v>
      </c>
      <c r="F5" s="15">
        <v>0.27874323625388697</v>
      </c>
      <c r="G5" s="15">
        <f>F5 - Portfolio_Mgmt!$C$10</f>
        <v>0.16134323625388697</v>
      </c>
      <c r="H5" s="15">
        <f>F5 - Portfolio_Mgmt!$C$11</f>
        <v>0.24424323625388697</v>
      </c>
      <c r="I5" s="15">
        <v>0.14124690039503859</v>
      </c>
      <c r="J5" s="2">
        <v>2.4868849907177504</v>
      </c>
      <c r="K5" s="2">
        <v>3.8978478955831006</v>
      </c>
      <c r="L5" s="74">
        <v>3.8751564232605564</v>
      </c>
      <c r="M5" s="2">
        <v>2.8834226531731844</v>
      </c>
      <c r="N5" s="2">
        <v>3.5796953464126804</v>
      </c>
      <c r="O5" s="4">
        <v>5.8282410327129677E-2</v>
      </c>
      <c r="P5" s="4">
        <v>9.7826086956521757E-2</v>
      </c>
      <c r="Q5" s="4">
        <v>7.6203822690338374E-2</v>
      </c>
      <c r="R5" s="4">
        <v>0.40688947062135006</v>
      </c>
      <c r="S5" s="82">
        <v>0.1542519195864642</v>
      </c>
      <c r="T5" s="81">
        <v>1.2141426890285656</v>
      </c>
      <c r="U5" s="15">
        <v>2.3107986944995245E-3</v>
      </c>
      <c r="V5" s="79">
        <v>3.0499352531108609E-2</v>
      </c>
      <c r="W5" s="74">
        <v>0.79833937207218564</v>
      </c>
      <c r="X5" s="13" t="s">
        <v>348</v>
      </c>
      <c r="Y5" s="11" t="s">
        <v>343</v>
      </c>
      <c r="Z5" s="14">
        <v>46081</v>
      </c>
      <c r="AA5" s="16" t="s">
        <v>185</v>
      </c>
    </row>
    <row r="6" spans="1:27">
      <c r="B6" s="11" t="s">
        <v>160</v>
      </c>
      <c r="C6" s="11" t="s">
        <v>349</v>
      </c>
      <c r="D6" s="2">
        <v>17.54</v>
      </c>
      <c r="E6" s="12" t="s">
        <v>136</v>
      </c>
      <c r="F6" s="15">
        <v>0.21621122949086341</v>
      </c>
      <c r="G6" s="15">
        <f>F6 - Portfolio_Mgmt!$C$10</f>
        <v>9.8811229490863406E-2</v>
      </c>
      <c r="H6" s="15">
        <f>F6 - Portfolio_Mgmt!$C$11</f>
        <v>0.18171122949086341</v>
      </c>
      <c r="I6" s="15">
        <v>0</v>
      </c>
      <c r="J6" s="2">
        <v>14.275012074111741</v>
      </c>
      <c r="K6" s="2">
        <v>24.759047071655985</v>
      </c>
      <c r="L6" s="74">
        <v>22.488690972449341</v>
      </c>
      <c r="M6" s="2">
        <v>16.616136468036103</v>
      </c>
      <c r="N6" s="2">
        <v>20.736933106699055</v>
      </c>
      <c r="O6" s="4">
        <v>5.4479633194551222E-2</v>
      </c>
      <c r="P6" s="4">
        <v>3.0499585953387209E-2</v>
      </c>
      <c r="Q6" s="4">
        <v>0.11088651051093852</v>
      </c>
      <c r="R6" s="4">
        <v>0.11515135698257006</v>
      </c>
      <c r="S6" s="82">
        <v>0.71131521233544359</v>
      </c>
      <c r="T6" s="81">
        <v>1.3537783359692717</v>
      </c>
      <c r="U6" s="15">
        <v>6.5417684980282262E-2</v>
      </c>
      <c r="V6" s="79">
        <v>0.5742845428370501</v>
      </c>
      <c r="W6" s="74">
        <v>5.4527288358439288</v>
      </c>
      <c r="X6" s="13" t="s">
        <v>350</v>
      </c>
      <c r="Y6" s="11" t="s">
        <v>343</v>
      </c>
      <c r="Z6" s="14">
        <v>46081</v>
      </c>
      <c r="AA6" s="16" t="s">
        <v>185</v>
      </c>
    </row>
    <row r="7" spans="1:27">
      <c r="B7" s="11" t="s">
        <v>174</v>
      </c>
      <c r="C7" s="11" t="s">
        <v>351</v>
      </c>
      <c r="D7" s="2">
        <v>18.93</v>
      </c>
      <c r="E7" s="12" t="s">
        <v>136</v>
      </c>
      <c r="F7" s="15">
        <v>0.20658861131127162</v>
      </c>
      <c r="G7" s="15">
        <f>F7 - Portfolio_Mgmt!$C$10</f>
        <v>8.9188611311271621E-2</v>
      </c>
      <c r="H7" s="15">
        <f>F7 - Portfolio_Mgmt!$C$11</f>
        <v>0.17208861131127162</v>
      </c>
      <c r="I7" s="15">
        <v>0</v>
      </c>
      <c r="J7" s="2">
        <v>15.220880047372711</v>
      </c>
      <c r="K7" s="2">
        <v>24.779053886336769</v>
      </c>
      <c r="L7" s="74">
        <v>23.81243647781681</v>
      </c>
      <c r="M7" s="2">
        <v>17.672994487255533</v>
      </c>
      <c r="N7" s="2">
        <v>21.982505898396969</v>
      </c>
      <c r="O7" s="4">
        <v>0.1235783107377391</v>
      </c>
      <c r="P7" s="4">
        <v>6.6561014263074481E-2</v>
      </c>
      <c r="Q7" s="4">
        <v>0.17244225698759846</v>
      </c>
      <c r="R7" s="4">
        <v>0.32385684070512349</v>
      </c>
      <c r="S7" s="82">
        <v>0.37515442207937094</v>
      </c>
      <c r="T7" s="81">
        <v>1.419320754716981</v>
      </c>
      <c r="U7" s="15">
        <v>9.2018392262565404E-2</v>
      </c>
      <c r="V7" s="79">
        <v>0.52904635366009978</v>
      </c>
      <c r="W7" s="74">
        <v>0.44967154769510737</v>
      </c>
      <c r="X7" s="13" t="s">
        <v>352</v>
      </c>
      <c r="Y7" s="11" t="s">
        <v>353</v>
      </c>
      <c r="Z7" s="14">
        <v>46081</v>
      </c>
      <c r="AA7" s="16" t="s">
        <v>185</v>
      </c>
    </row>
    <row r="8" spans="1:27">
      <c r="B8" s="11" t="s">
        <v>344</v>
      </c>
      <c r="C8" s="11" t="s">
        <v>345</v>
      </c>
      <c r="D8" s="2">
        <v>2.94</v>
      </c>
      <c r="E8" s="12" t="s">
        <v>136</v>
      </c>
      <c r="F8" s="15">
        <v>9.3762070644753601E-2</v>
      </c>
      <c r="G8" s="15">
        <f>F8 - Portfolio_Mgmt!$C$10</f>
        <v>-2.3637929355246404E-2</v>
      </c>
      <c r="H8" s="15">
        <f>F8 - Portfolio_Mgmt!$C$11</f>
        <v>5.9262070644753598E-2</v>
      </c>
      <c r="I8" s="15">
        <v>0</v>
      </c>
      <c r="J8" s="2">
        <v>1.9522417294164001</v>
      </c>
      <c r="K8" s="2">
        <v>3.1838405518613895</v>
      </c>
      <c r="L8" s="74">
        <v>3.0547824033656759</v>
      </c>
      <c r="M8" s="2">
        <v>2.2669059531912894</v>
      </c>
      <c r="N8" s="2">
        <v>2.8199417328663015</v>
      </c>
      <c r="O8" s="4">
        <v>5.5628144761574079E-2</v>
      </c>
      <c r="P8" s="4">
        <v>5.4149659863945585E-2</v>
      </c>
      <c r="Q8" s="4">
        <v>0.12416948697308672</v>
      </c>
      <c r="R8" s="4">
        <v>0.41544958439449353</v>
      </c>
      <c r="S8" s="82">
        <v>0.20090947033127624</v>
      </c>
      <c r="T8" s="81">
        <v>1.4876341835211095</v>
      </c>
      <c r="U8" s="15">
        <v>2.7705347980559972E-2</v>
      </c>
      <c r="V8" s="79">
        <v>0.22047955497162566</v>
      </c>
      <c r="W8" s="74">
        <v>0.40756723368818643</v>
      </c>
      <c r="X8" s="13" t="s">
        <v>173</v>
      </c>
      <c r="Y8" s="11" t="s">
        <v>343</v>
      </c>
      <c r="Z8" s="14">
        <v>46081</v>
      </c>
      <c r="AA8" s="16" t="s">
        <v>185</v>
      </c>
    </row>
    <row r="9" spans="1:27">
      <c r="B9" s="11" t="s">
        <v>339</v>
      </c>
      <c r="C9" s="11" t="s">
        <v>340</v>
      </c>
      <c r="D9" s="2">
        <v>6.5</v>
      </c>
      <c r="E9" s="12" t="s">
        <v>136</v>
      </c>
      <c r="F9" s="15">
        <v>8.2639604252926629E-2</v>
      </c>
      <c r="G9" s="15">
        <f>F9 - Portfolio_Mgmt!$C$10</f>
        <v>-3.4760395747073375E-2</v>
      </c>
      <c r="H9" s="15">
        <f>F9 - Portfolio_Mgmt!$C$11</f>
        <v>4.8139604252926627E-2</v>
      </c>
      <c r="I9" s="15">
        <v>0</v>
      </c>
      <c r="J9" s="2">
        <v>4.2390395011406845</v>
      </c>
      <c r="K9" s="2">
        <v>6.7856494908288969</v>
      </c>
      <c r="L9" s="74">
        <v>6.6199592402379013</v>
      </c>
      <c r="M9" s="2">
        <v>4.918815674130494</v>
      </c>
      <c r="N9" s="2">
        <v>6.1130184841162611</v>
      </c>
      <c r="O9" s="4">
        <v>6.1063666265514203E-2</v>
      </c>
      <c r="P9" s="4">
        <v>6.1538461538461542E-2</v>
      </c>
      <c r="Q9" s="4">
        <v>0.1167471410506614</v>
      </c>
      <c r="R9" s="4">
        <v>3.9086921133773919E-2</v>
      </c>
      <c r="S9" s="82">
        <v>1.3708738209065539</v>
      </c>
      <c r="T9" s="81">
        <v>2.1787997096988563</v>
      </c>
      <c r="U9" s="15">
        <v>0.77760119734648436</v>
      </c>
      <c r="V9" s="79">
        <v>5.3475400925918697</v>
      </c>
      <c r="W9" s="74">
        <v>-2.5047246524922007</v>
      </c>
      <c r="X9" s="13" t="s">
        <v>173</v>
      </c>
      <c r="Y9" s="11" t="s">
        <v>172</v>
      </c>
      <c r="Z9" s="14">
        <v>45991</v>
      </c>
      <c r="AA9" s="16" t="s">
        <v>185</v>
      </c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3" t="s">
        <v>246</v>
      </c>
      <c r="C4" s="122"/>
      <c r="D4" s="122"/>
      <c r="E4" s="122"/>
    </row>
    <row r="6" spans="1:5">
      <c r="A6" s="20" t="s">
        <v>60</v>
      </c>
      <c r="B6" s="19" t="s">
        <v>247</v>
      </c>
      <c r="C6" s="49"/>
    </row>
    <row r="7" spans="1:5">
      <c r="B7" s="123" t="s">
        <v>337</v>
      </c>
      <c r="C7" s="122"/>
      <c r="D7" s="122"/>
      <c r="E7" s="122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3" t="s">
        <v>262</v>
      </c>
      <c r="C24" s="122"/>
      <c r="D24" s="122"/>
      <c r="E24" s="122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2" t="s">
        <v>282</v>
      </c>
      <c r="C40" s="122"/>
      <c r="D40" s="122"/>
      <c r="E40" s="122"/>
    </row>
    <row r="41" spans="1:5">
      <c r="B41" s="123" t="s">
        <v>283</v>
      </c>
      <c r="C41" s="122"/>
      <c r="D41" s="122"/>
      <c r="E41" s="122"/>
    </row>
    <row r="42" spans="1:5">
      <c r="B42" s="123" t="s">
        <v>284</v>
      </c>
      <c r="C42" s="122"/>
      <c r="D42" s="122"/>
      <c r="E42" s="122"/>
    </row>
    <row r="43" spans="1:5">
      <c r="B43" s="123" t="s">
        <v>285</v>
      </c>
      <c r="C43" s="123"/>
      <c r="D43" s="123"/>
      <c r="E43" s="123"/>
    </row>
    <row r="44" spans="1:5" ht="34.35" customHeight="1">
      <c r="B44" s="122" t="s">
        <v>336</v>
      </c>
      <c r="C44" s="122"/>
      <c r="D44" s="122"/>
      <c r="E44" s="122"/>
    </row>
    <row r="46" spans="1:5">
      <c r="A46" s="21" t="s">
        <v>286</v>
      </c>
      <c r="B46" s="21"/>
      <c r="C46" s="21"/>
      <c r="D46" s="21"/>
      <c r="E46" s="21"/>
    </row>
    <row r="48" spans="1:5">
      <c r="B48" s="122" t="s">
        <v>287</v>
      </c>
      <c r="C48" s="122"/>
      <c r="D48" s="122"/>
      <c r="E48" s="122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2" t="s">
        <v>319</v>
      </c>
      <c r="C74" s="122"/>
      <c r="D74" s="122"/>
      <c r="E74" s="122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E18" sqref="E18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158</v>
      </c>
      <c r="G2" s="54" t="s">
        <v>164</v>
      </c>
      <c r="H2" s="54" t="s">
        <v>147</v>
      </c>
      <c r="I2" s="54" t="s">
        <v>168</v>
      </c>
      <c r="J2" s="54" t="s">
        <v>188</v>
      </c>
      <c r="K2" s="54" t="s">
        <v>189</v>
      </c>
      <c r="L2" s="54" t="s">
        <v>190</v>
      </c>
    </row>
    <row r="3" spans="1:12">
      <c r="B3" s="65" t="s">
        <v>26</v>
      </c>
      <c r="C3" s="63" t="s">
        <v>157</v>
      </c>
      <c r="D3" s="62" t="s">
        <v>156</v>
      </c>
      <c r="E3" s="64" t="s">
        <v>157</v>
      </c>
      <c r="F3" s="59">
        <v>723432</v>
      </c>
      <c r="G3" s="61">
        <f>F3/$F$8</f>
        <v>0.67978823569209601</v>
      </c>
      <c r="H3" s="78">
        <f>Portfolio_Mgmt!E66</f>
        <v>0.45</v>
      </c>
      <c r="I3" s="83" t="s">
        <v>191</v>
      </c>
      <c r="J3" s="83" t="s">
        <v>191</v>
      </c>
      <c r="K3" s="83" t="s">
        <v>191</v>
      </c>
      <c r="L3" s="83" t="s">
        <v>191</v>
      </c>
    </row>
    <row r="4" spans="1:12">
      <c r="B4" s="66" t="s">
        <v>160</v>
      </c>
      <c r="C4" s="63">
        <f>VLOOKUP(B4,Opportunities!B$3:E$30,3,FALSE)</f>
        <v>17.54</v>
      </c>
      <c r="D4" s="62" t="str">
        <f>VLOOKUP(B4,Opportunities!B$3:E$30,4,FALSE)</f>
        <v>HKD</v>
      </c>
      <c r="E4" s="59">
        <v>4500</v>
      </c>
      <c r="F4" s="64">
        <f>C4*E4</f>
        <v>78930</v>
      </c>
      <c r="G4" s="61">
        <f>F4/$F$8</f>
        <v>7.4168250012685566E-2</v>
      </c>
      <c r="H4" s="61">
        <f>VLOOKUP(B4,Opportunities!B$3:I$30,8,FALSE)</f>
        <v>0</v>
      </c>
      <c r="I4" s="84">
        <f>VLOOKUP(B4,Opportunities!B$3:N$30,12,FALSE)</f>
        <v>16.616136468036103</v>
      </c>
      <c r="J4" s="84">
        <f>VLOOKUP(B4,Opportunities!B$3:N$30,9,FALSE)</f>
        <v>14.275012074111741</v>
      </c>
      <c r="K4" s="84">
        <f>VLOOKUP(B4,Opportunities!B$3:N$30,11,FALSE)</f>
        <v>22.488690972449341</v>
      </c>
      <c r="L4" s="84">
        <f>VLOOKUP(B4,Opportunities!B$3:N$30,13,FALSE)</f>
        <v>20.736933106699055</v>
      </c>
    </row>
    <row r="5" spans="1:12">
      <c r="B5" s="66" t="s">
        <v>174</v>
      </c>
      <c r="C5" s="63">
        <f>VLOOKUP(B5,Opportunities!B$3:E$30,3,FALSE)</f>
        <v>18.93</v>
      </c>
      <c r="D5" s="62" t="str">
        <f>VLOOKUP(B5,Opportunities!B$3:E$30,4,FALSE)</f>
        <v>HKD</v>
      </c>
      <c r="E5" s="59">
        <v>8000</v>
      </c>
      <c r="F5" s="64">
        <f>C5*E5</f>
        <v>151440</v>
      </c>
      <c r="G5" s="61">
        <f>F5/$F$8</f>
        <v>0.14230381074269735</v>
      </c>
      <c r="H5" s="61">
        <f>VLOOKUP(B5,Opportunities!B$3:I$30,8,FALSE)</f>
        <v>0</v>
      </c>
      <c r="I5" s="84">
        <f>VLOOKUP(B5,Opportunities!B$3:N$30,12,FALSE)</f>
        <v>17.672994487255533</v>
      </c>
      <c r="J5" s="84">
        <f>VLOOKUP(B5,Opportunities!B$3:N$30,9,FALSE)</f>
        <v>15.220880047372711</v>
      </c>
      <c r="K5" s="84">
        <f>VLOOKUP(B5,Opportunities!B$3:N$30,11,FALSE)</f>
        <v>23.81243647781681</v>
      </c>
      <c r="L5" s="84">
        <f>VLOOKUP(B5,Opportunities!B$3:N$30,13,FALSE)</f>
        <v>21.982505898396969</v>
      </c>
    </row>
    <row r="6" spans="1:12">
      <c r="B6" s="66" t="s">
        <v>187</v>
      </c>
      <c r="C6" s="63">
        <f>VLOOKUP(B6,Opportunities!B$3:E$30,3,FALSE)</f>
        <v>2.76</v>
      </c>
      <c r="D6" s="62" t="str">
        <f>VLOOKUP(B6,Opportunities!B$3:E$30,4,FALSE)</f>
        <v>HKD</v>
      </c>
      <c r="E6" s="59">
        <v>40000</v>
      </c>
      <c r="F6" s="64">
        <f>C6*E6</f>
        <v>110399.99999999999</v>
      </c>
      <c r="G6" s="61">
        <f t="shared" ref="G6" si="0">F6/$F$8</f>
        <v>0.10373970355252103</v>
      </c>
      <c r="H6" s="61">
        <f>VLOOKUP(B6,Opportunities!B$3:I$30,8,FALSE)</f>
        <v>0.14124690039503859</v>
      </c>
      <c r="I6" s="84">
        <f>VLOOKUP(B6,Opportunities!B$3:N$30,12,FALSE)</f>
        <v>2.8834226531731844</v>
      </c>
      <c r="J6" s="84">
        <f>VLOOKUP(B6,Opportunities!B$3:N$30,9,FALSE)</f>
        <v>2.4868849907177504</v>
      </c>
      <c r="K6" s="84">
        <f>VLOOKUP(B6,Opportunities!B$3:N$30,11,FALSE)</f>
        <v>3.8751564232605564</v>
      </c>
      <c r="L6" s="84">
        <f>VLOOKUP(B6,Opportunities!B$3:N$30,13,FALSE)</f>
        <v>3.5796953464126804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163</v>
      </c>
      <c r="F8" s="69">
        <f>SUM(F3:F6)</f>
        <v>1064202</v>
      </c>
      <c r="G8" s="70">
        <f>SUM(G3:G6)</f>
        <v>1</v>
      </c>
      <c r="H8" s="76">
        <f>SUM(H3:H6)</f>
        <v>0.59124690039503858</v>
      </c>
      <c r="I8" s="85" t="s">
        <v>191</v>
      </c>
      <c r="J8" s="85" t="s">
        <v>191</v>
      </c>
      <c r="K8" s="85" t="s">
        <v>191</v>
      </c>
      <c r="L8" s="85" t="s">
        <v>191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161</v>
      </c>
    </row>
    <row r="11" spans="1:12">
      <c r="B11" s="66" t="s">
        <v>160</v>
      </c>
      <c r="C11" s="63">
        <f>VLOOKUP(B11,Opportunities!B$3:E$30,3,FALSE)</f>
        <v>17.54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16.616136468036103</v>
      </c>
      <c r="J11" s="84">
        <f>VLOOKUP(B11,Opportunities!B$3:N$30,9,FALSE)</f>
        <v>14.275012074111741</v>
      </c>
      <c r="K11" s="84">
        <f>VLOOKUP(B11,Opportunities!B$3:N$30,11,FALSE)</f>
        <v>22.488690972449341</v>
      </c>
      <c r="L11" s="84">
        <f>VLOOKUP(B11,Opportunities!B$3:N$30,13,FALSE)</f>
        <v>20.736933106699055</v>
      </c>
    </row>
    <row r="12" spans="1:12">
      <c r="B12" s="66" t="s">
        <v>174</v>
      </c>
      <c r="C12" s="63">
        <f>VLOOKUP(B12,Opportunities!B$3:E$30,3,FALSE)</f>
        <v>18.93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17.672994487255533</v>
      </c>
      <c r="J12" s="84">
        <f>VLOOKUP(B12,Opportunities!B$3:N$30,9,FALSE)</f>
        <v>15.220880047372711</v>
      </c>
      <c r="K12" s="84">
        <f>VLOOKUP(B12,Opportunities!B$3:N$30,11,FALSE)</f>
        <v>23.81243647781681</v>
      </c>
      <c r="L12" s="84">
        <f>VLOOKUP(B12,Opportunities!B$3:N$30,13,FALSE)</f>
        <v>21.982505898396969</v>
      </c>
    </row>
    <row r="13" spans="1:12">
      <c r="B13" s="66" t="s">
        <v>187</v>
      </c>
      <c r="C13" s="63">
        <f>VLOOKUP(B13,Opportunities!B$3:E$30,3,FALSE)</f>
        <v>2.76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0.14124690039503859</v>
      </c>
      <c r="I13" s="84">
        <f>VLOOKUP(B13,Opportunities!B$3:N$30,12,FALSE)</f>
        <v>2.8834226531731844</v>
      </c>
      <c r="J13" s="84">
        <f>VLOOKUP(B13,Opportunities!B$3:N$30,9,FALSE)</f>
        <v>2.4868849907177504</v>
      </c>
      <c r="K13" s="84">
        <f>VLOOKUP(B13,Opportunities!B$3:N$30,11,FALSE)</f>
        <v>3.8751564232605564</v>
      </c>
      <c r="L13" s="84">
        <f>VLOOKUP(B13,Opportunities!B$3:N$30,13,FALSE)</f>
        <v>3.5796953464126804</v>
      </c>
    </row>
    <row r="14" spans="1:12">
      <c r="G14" s="75"/>
      <c r="H14" s="75"/>
    </row>
    <row r="15" spans="1:12" ht="13.15">
      <c r="B15" s="71" t="s">
        <v>162</v>
      </c>
      <c r="C15" s="72" t="s">
        <v>157</v>
      </c>
      <c r="D15" s="73" t="s">
        <v>136</v>
      </c>
      <c r="E15" s="72" t="s">
        <v>157</v>
      </c>
      <c r="F15" s="69">
        <f>F3+SUM(F11:F13)</f>
        <v>723432</v>
      </c>
      <c r="G15" s="76">
        <f t="shared" ref="G15" si="1">F15/$F$8</f>
        <v>0.67978823569209601</v>
      </c>
      <c r="H15" s="76">
        <f>Portfolio_Mgmt!E66</f>
        <v>0.45</v>
      </c>
      <c r="I15" s="85" t="s">
        <v>191</v>
      </c>
      <c r="J15" s="85" t="s">
        <v>191</v>
      </c>
      <c r="K15" s="85" t="s">
        <v>191</v>
      </c>
      <c r="L15" s="85" t="s">
        <v>191</v>
      </c>
    </row>
    <row r="17" spans="1:6" ht="13.15">
      <c r="A17" s="51"/>
      <c r="B17" s="52" t="s">
        <v>192</v>
      </c>
      <c r="C17" s="58"/>
      <c r="D17" s="55"/>
      <c r="E17" s="59"/>
      <c r="F17" s="59"/>
    </row>
    <row r="18" spans="1:6" ht="13.15">
      <c r="C18" s="87" t="s">
        <v>193</v>
      </c>
      <c r="D18" s="87" t="s">
        <v>196</v>
      </c>
      <c r="E18" s="87" t="s">
        <v>197</v>
      </c>
    </row>
    <row r="19" spans="1:6" ht="14.25">
      <c r="B19" s="86" t="s">
        <v>194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195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198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2025-10-02T10:29:14Z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