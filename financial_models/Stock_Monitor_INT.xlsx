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9F30AAB-44B3-4777-A3A4-E6F508885FB1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<sst xmlns="http://schemas.openxmlformats.org/spreadsheetml/2006/main" count="481" uniqueCount="390">
  <si>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</si>
  <si>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</si>
  <si>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</si>
  <si>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</si>
  <si>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</si>
  <si>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</si>
  <si>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</si>
  <si>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</si>
  <si>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</si>
  <si>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</si>
  <si>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</si>
  <si>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</si>
  <si>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</si>
  <si>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</si>
  <si>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</si>
  <si>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</si>
  <si>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</si>
  <si>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</si>
  <si>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</si>
  <si>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</si>
  <si>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</si>
  <si>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</si>
  <si>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</si>
  <si>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</si>
  <si>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</si>
  <si>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</si>
  <si>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</si>
  <si>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</si>
  <si>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</si>
  <si>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</si>
  <si>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</si>
  <si>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</si>
  <si>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</si>
  <si>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</si>
  <si>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</si>
  <si>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</si>
  <si>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</si>
  <si>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</si>
  <si>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</si>
  <si>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</si>
  <si>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</si>
  <si>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</si>
  <si>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</si>
  <si>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</si>
  <si>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</si>
  <si>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</si>
  <si>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</si>
  <si>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</si>
  <si>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</si>
  <si>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</si>
  <si>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</si>
  <si>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</si>
  <si>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</si>
  <si>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</si>
  <si>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</si>
  <si>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</si>
  <si>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</si>
  <si>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</si>
  <si>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</si>
  <si>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</si>
  <si>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</si>
  <si>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</si>
  <si>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</si>
  <si>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</si>
  <si>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</si>
  <si>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</si>
  <si>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</si>
  <si>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</si>
  <si>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</si>
  <si>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</si>
  <si>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</si>
  <si>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</si>
  <si>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</si>
  <si>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</si>
  <si>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</si>
  <si>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</si>
  <si>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</si>
  <si>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</si>
  <si>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</si>
  <si>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</si>
  <si>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</si>
  <si>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</si>
  <si>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</si>
  <si>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</si>
  <si>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</si>
  <si>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</si>
  <si>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</si>
  <si>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</si>
  <si>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</si>
  <si>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</si>
  <si>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</si>
  <si>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</si>
  <si>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</si>
  <si>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</si>
  <si>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</si>
  <si>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</si>
  <si>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</si>
  <si>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</si>
  <si>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</si>
  <si>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</si>
  <si>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</si>
  <si>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</si>
  <si>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</si>
  <si>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</si>
  <si>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</si>
  <si>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</si>
  <si>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</si>
  <si>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</si>
  <si>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</si>
  <si>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</si>
  <si>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</si>
  <si>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</si>
  <si>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</si>
  <si>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</si>
  <si>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</si>
  <si>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</si>
  <si>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</si>
  <si>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</si>
  <si>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</si>
  <si>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</si>
  <si>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</si>
  <si>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</si>
  <si>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</si>
  <si>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</si>
  <si>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</si>
  <si>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</si>
  <si>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</si>
  <si>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</si>
  <si>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</si>
  <si>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</si>
  <si>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</si>
  <si>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</si>
  <si>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</si>
  <si>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</si>
  <si>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</si>
  <si>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</si>
  <si>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</si>
  <si>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</si>
  <si>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</si>
  <si>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</si>
  <si>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</si>
  <si>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</si>
  <si>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</si>
  <si>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</si>
  <si>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</si>
  <si>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</si>
  <si>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</si>
  <si>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</si>
  <si>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</si>
  <si>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</si>
  <si>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</si>
  <si>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</si>
  <si>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</si>
  <si>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</si>
  <si>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</si>
  <si>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</si>
  <si>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</si>
  <si>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</si>
  <si>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</si>
  <si>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</si>
  <si>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</si>
  <si>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</si>
  <si>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</si>
  <si>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</si>
  <si>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</si>
  <si>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</si>
  <si>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</si>
  <si>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</si>
  <si>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</si>
  <si>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</si>
  <si>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</si>
  <si>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</si>
  <si>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</si>
  <si>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</si>
  <si>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</si>
  <si>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</si>
  <si>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</si>
  <si>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</si>
  <si>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</si>
  <si>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</si>
  <si>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</si>
  <si>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</si>
  <si>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</si>
  <si>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</si>
  <si>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</si>
  <si>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</si>
  <si>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</si>
  <si>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</si>
  <si>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</si>
  <si>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</si>
  <si>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</si>
  <si>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</si>
  <si>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</si>
  <si>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</si>
  <si>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</si>
  <si>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</si>
  <si>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</si>
  <si>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</si>
  <si>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</si>
  <si>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</si>
  <si>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</si>
  <si>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</si>
  <si>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</si>
  <si>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</si>
  <si>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</si>
  <si>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</si>
  <si>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</si>
  <si>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</si>
  <si>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</si>
  <si>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</si>
  <si>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</si>
  <si>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</si>
  <si>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</si>
  <si>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</si>
  <si>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</si>
  <si>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</si>
  <si>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</si>
  <si>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</si>
  <si>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</si>
  <si>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</si>
  <si>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</si>
  <si>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</si>
  <si>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</si>
  <si>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</si>
  <si>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</si>
  <si>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</si>
  <si>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</si>
  <si>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</si>
  <si>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</si>
  <si>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</si>
  <si>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</si>
  <si>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</si>
  <si>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</si>
  <si>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</si>
  <si>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</si>
  <si>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</si>
  <si>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</si>
  <si>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</si>
  <si>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</si>
  <si>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</si>
  <si>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</si>
  <si>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</si>
  <si>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</si>
  <si>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</si>
  <si>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</si>
  <si>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</si>
  <si>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</si>
  <si>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</si>
  <si>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</si>
  <si>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</si>
  <si>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</si>
  <si>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</si>
  <si>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</si>
  <si>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</si>
  <si>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</si>
  <si>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</si>
  <si>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</si>
  <si>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</si>
  <si>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</si>
  <si>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</si>
  <si>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</si>
  <si>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</si>
  <si>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</si>
  <si>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</si>
  <si>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</si>
  <si>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</si>
  <si>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</si>
  <si>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</si>
  <si>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</si>
  <si>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</si>
  <si>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</si>
  <si>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</si>
  <si>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</si>
  <si>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</si>
  <si>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</si>
  <si>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</si>
  <si>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</si>
  <si>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</si>
  <si>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</si>
  <si>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</si>
  <si>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</si>
  <si>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</si>
  <si>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</si>
  <si>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</si>
  <si>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</si>
  <si>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</si>
  <si>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</si>
  <si>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</si>
  <si>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</si>
  <si>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</si>
  <si>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</si>
  <si>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</si>
  <si>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</si>
  <si>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</si>
  <si>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</si>
  <si>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</si>
  <si>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</si>
  <si>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</si>
  <si>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</si>
  <si>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</si>
  <si>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</si>
  <si>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</si>
  <si>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</si>
  <si>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</si>
  <si>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</si>
  <si>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</si>
  <si>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</si>
  <si>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</si>
  <si>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</si>
  <si>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</si>
  <si>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</si>
  <si>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</si>
  <si>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</si>
  <si>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</si>
  <si>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</si>
  <si>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</si>
  <si>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</si>
  <si>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</si>
  <si>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</si>
  <si>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</si>
  <si>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</si>
  <si>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</si>
  <si>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</si>
  <si>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</si>
  <si>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</si>
  <si>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</si>
  <si>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</si>
  <si>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</si>
  <si>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</si>
  <si>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</si>
  <si>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</si>
  <si>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</si>
  <si>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</si>
  <si>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</si>
  <si>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</si>
  <si>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</si>
  <si>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</si>
  <si>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</si>
  <si>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</si>
  <si>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</si>
  <si>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</si>
  <si>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</si>
  <si>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</si>
  <si>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</si>
  <si>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</si>
  <si>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</si>
  <si>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</si>
  <si>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</si>
  <si>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</si>
  <si>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</si>
  <si>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</si>
  <si>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</si>
  <si>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</si>
  <si>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</si>
  <si>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</si>
  <si>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</si>
  <si>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</si>
  <si>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</si>
  <si>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</si>
  <si>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</si>
  <si>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</si>
  <si>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</si>
  <si>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</si>
  <si>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</si>
  <si>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</si>
  <si>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</si>
  <si>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</si>
  <si>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</si>
  <si>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</si>
  <si>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</si>
  <si>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</si>
  <si>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</si>
  <si>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</si>
  <si>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</si>
  <si>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</si>
  <si>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</si>
  <si>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</si>
  <si>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</si>
  <si>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</si>
  <si>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</si>
  <si>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</si>
  <si>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</si>
  <si>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</si>
  <si>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</si>
  <si>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</si>
  <si>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</si>
  <si>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</si>
  <si>
    <t>3690.HK</t>
  </si>
  <si>
    <t>美团</t>
  </si>
  <si>
    <t>TMT_01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</si>
</sst>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abSelected="1" zoomScale="105" workbookViewId="0">
      <selection activeCell="C5" sqref="C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387</v>
      </c>
      <c r="C3" s="11" t="s">
        <v>388</v>
      </c>
      <c r="D3" s="2">
        <v>96.9</v>
      </c>
      <c r="E3" s="12" t="s">
        <v>136</v>
      </c>
      <c r="F3" s="15">
        <v>0.34212782431380817</v>
      </c>
      <c r="G3" s="15">
        <f>F3 - Portfolio_Mgmt!$C$10</f>
        <v>0.22472782431380817</v>
      </c>
      <c r="H3" s="15">
        <f>F3 - Portfolio_Mgmt!$C$11</f>
        <v>0.3076278243138082</v>
      </c>
      <c r="I3" s="15">
        <v>0.10385579176355222</v>
      </c>
      <c r="J3" s="2">
        <v>95.22724580459149</v>
      </c>
      <c r="K3" s="2">
        <v>229.87188489647181</v>
      </c>
      <c r="L3" s="74">
        <v>187.79436066477416</v>
      </c>
      <c r="M3" s="2">
        <v>119.76352506699357</v>
      </c>
      <c r="N3" s="2">
        <v>167.32042187494358</v>
      </c>
      <c r="O3" s="4">
        <v>4.0747166150358213E-2</v>
      </c>
      <c r="P3" s="4">
        <v>1.0939112487100102E-2</v>
      </c>
      <c r="Q3" s="4">
        <v>0.24226659755524499</v>
      </c>
      <c r="R3" s="4">
        <v>0.11021489412599168</v>
      </c>
      <c r="S3" s="82">
        <v>1.2268689589214112</v>
      </c>
      <c r="T3" s="81">
        <v>1.7916578376478161</v>
      </c>
      <c r="U3" s="15">
        <v>0.27660377540313014</v>
      </c>
      <c r="V3" s="79">
        <v>1.1085373918882995</v>
      </c>
      <c r="W3" s="74">
        <v>3.4814224065804482</v>
      </c>
      <c r="X3" s="13" t="s">
        <v>389</v>
      </c>
      <c r="Y3" s="11" t="s">
        <v>137</v>
      </c>
      <c r="Z3" s="14">
        <v>46081</v>
      </c>
      <c r="AA3" s="16" t="s">
        <v>225</v>
      </c>
    </row>
    <row r="4" spans="1:27">
      <c r="B4" s="11" t="s">
        <v>230</v>
      </c>
      <c r="C4" s="11" t="s">
        <v>231</v>
      </c>
      <c r="D4" s="2">
        <v>2.79</v>
      </c>
      <c r="E4" s="12" t="s">
        <v>136</v>
      </c>
      <c r="F4" s="15">
        <v>0.25541475074956632</v>
      </c>
      <c r="G4" s="15">
        <f>F4 - Portfolio_Mgmt!$C$10</f>
        <v>0.13801475074956632</v>
      </c>
      <c r="H4" s="15">
        <f>F4 - Portfolio_Mgmt!$C$11</f>
        <v>0.22091475074956632</v>
      </c>
      <c r="I4" s="15">
        <v>0.1084799342773675</v>
      </c>
      <c r="J4" s="2">
        <v>2.2811221378505544</v>
      </c>
      <c r="K4" s="2">
        <v>4.4858408799140586</v>
      </c>
      <c r="L4" s="74">
        <v>4.3130669791905083</v>
      </c>
      <c r="M4" s="2">
        <v>2.823790530515998</v>
      </c>
      <c r="N4" s="2">
        <v>3.8666759160925035</v>
      </c>
      <c r="O4" s="4">
        <v>7.6867208007122795E-2</v>
      </c>
      <c r="P4" s="4">
        <v>9.6774193548387108E-2</v>
      </c>
      <c r="Q4" s="4">
        <v>0.10048924474005361</v>
      </c>
      <c r="R4" s="4">
        <v>0.42143224397986156</v>
      </c>
      <c r="S4" s="82">
        <v>0.19639123104483397</v>
      </c>
      <c r="T4" s="81">
        <v>1.2141426890285656</v>
      </c>
      <c r="U4" s="15">
        <v>2.3107986944995245E-3</v>
      </c>
      <c r="V4" s="79">
        <v>2.3228129203780753E-2</v>
      </c>
      <c r="W4" s="74">
        <v>0.79833937207218564</v>
      </c>
      <c r="X4" s="13" t="s">
        <v>232</v>
      </c>
      <c r="Y4" s="11" t="s">
        <v>137</v>
      </c>
      <c r="Z4" s="14">
        <v>45900</v>
      </c>
      <c r="AA4" s="16" t="s">
        <v>224</v>
      </c>
    </row>
    <row r="5" spans="1:27">
      <c r="B5" s="11" t="s">
        <v>384</v>
      </c>
      <c r="C5" s="11" t="s">
        <v>385</v>
      </c>
      <c r="D5" s="2">
        <v>7.41</v>
      </c>
      <c r="E5" s="12" t="s">
        <v>136</v>
      </c>
      <c r="F5" s="15">
        <v>0.24411958340948536</v>
      </c>
      <c r="G5" s="15">
        <f>F5 - Portfolio_Mgmt!$C$10</f>
        <v>0.12671958340948536</v>
      </c>
      <c r="H5" s="15">
        <f>F5 - Portfolio_Mgmt!$C$11</f>
        <v>0.20961958340948536</v>
      </c>
      <c r="I5" s="15">
        <v>0</v>
      </c>
      <c r="J5" s="2">
        <v>5.8530261334837421</v>
      </c>
      <c r="K5" s="2">
        <v>12.961263954595363</v>
      </c>
      <c r="L5" s="74">
        <v>11.330402233565579</v>
      </c>
      <c r="M5" s="2">
        <v>7.3095429210638656</v>
      </c>
      <c r="N5" s="2">
        <v>10.122389346299705</v>
      </c>
      <c r="O5" s="4">
        <v>0.12309697530348271</v>
      </c>
      <c r="P5" s="4">
        <v>4.6554264307692307E-2</v>
      </c>
      <c r="Q5" s="4">
        <v>0.20035927748927812</v>
      </c>
      <c r="R5" s="4">
        <v>9.7688893610098901E-2</v>
      </c>
      <c r="S5" s="82">
        <v>1.2706604365715879</v>
      </c>
      <c r="T5" s="81">
        <v>1.6141160578600777</v>
      </c>
      <c r="U5" s="15">
        <v>0.27330444081724548</v>
      </c>
      <c r="V5" s="79">
        <v>1.3936222417470483</v>
      </c>
      <c r="W5" s="74">
        <v>-3.1900677913041315</v>
      </c>
      <c r="X5" s="13" t="s">
        <v>201</v>
      </c>
      <c r="Y5" s="11" t="s">
        <v>137</v>
      </c>
      <c r="Z5" s="14">
        <v>45900</v>
      </c>
      <c r="AA5" s="16" t="s">
        <v>225</v>
      </c>
    </row>
    <row r="6" spans="1:27">
      <c r="B6" s="11" t="s">
        <v>210</v>
      </c>
      <c r="C6" s="11" t="s">
        <v>211</v>
      </c>
      <c r="D6" s="2">
        <v>19.46</v>
      </c>
      <c r="E6" s="12" t="s">
        <v>136</v>
      </c>
      <c r="F6" s="15">
        <v>0.1918884789533537</v>
      </c>
      <c r="G6" s="15">
        <f>F6 - Portfolio_Mgmt!$C$10</f>
        <v>7.4488478953353698E-2</v>
      </c>
      <c r="H6" s="15">
        <f>F6 - Portfolio_Mgmt!$C$11</f>
        <v>0.1573884789533537</v>
      </c>
      <c r="I6" s="15">
        <v>0</v>
      </c>
      <c r="J6" s="2">
        <v>13.678883529071976</v>
      </c>
      <c r="K6" s="2">
        <v>28.397833062840469</v>
      </c>
      <c r="L6" s="74">
        <v>26.135798307341368</v>
      </c>
      <c r="M6" s="2">
        <v>16.99921052817432</v>
      </c>
      <c r="N6" s="2">
        <v>23.394321925572989</v>
      </c>
      <c r="O6" s="4">
        <v>0.1061809296883683</v>
      </c>
      <c r="P6" s="4">
        <v>6.4748201438848921E-2</v>
      </c>
      <c r="Q6" s="4">
        <v>0.16035109536268838</v>
      </c>
      <c r="R6" s="4">
        <v>0.31929962351402291</v>
      </c>
      <c r="S6" s="82">
        <v>0.35631048934895165</v>
      </c>
      <c r="T6" s="81">
        <v>1.4094345614568822</v>
      </c>
      <c r="U6" s="15">
        <v>0.12260820136742831</v>
      </c>
      <c r="V6" s="79">
        <v>0.75207444874659302</v>
      </c>
      <c r="W6" s="74">
        <v>-0.45784451124201675</v>
      </c>
      <c r="X6" s="13" t="s">
        <v>162</v>
      </c>
      <c r="Y6" s="11" t="s">
        <v>137</v>
      </c>
      <c r="Z6" s="14">
        <v>45900</v>
      </c>
      <c r="AA6" s="16" t="s">
        <v>224</v>
      </c>
    </row>
    <row r="7" spans="1:27">
      <c r="B7" s="11" t="s">
        <v>187</v>
      </c>
      <c r="C7" s="11" t="s">
        <v>188</v>
      </c>
      <c r="D7" s="2">
        <v>3.55</v>
      </c>
      <c r="E7" s="12" t="s">
        <v>136</v>
      </c>
      <c r="F7" s="15">
        <v>0.1694308151460262</v>
      </c>
      <c r="G7" s="15">
        <f>F7 - Portfolio_Mgmt!$C$10</f>
        <v>5.2030815146026199E-2</v>
      </c>
      <c r="H7" s="15">
        <f>F7 - Portfolio_Mgmt!$C$11</f>
        <v>0.1349308151460262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7.998944715596748E-2</v>
      </c>
      <c r="P7" s="4">
        <v>3.6056338028169016E-2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225</v>
      </c>
    </row>
    <row r="8" spans="1:27">
      <c r="B8" s="11" t="s">
        <v>182</v>
      </c>
      <c r="C8" s="11" t="s">
        <v>183</v>
      </c>
      <c r="D8" s="2">
        <v>51.65</v>
      </c>
      <c r="E8" s="12" t="s">
        <v>136</v>
      </c>
      <c r="F8" s="15">
        <v>0.15332175729912212</v>
      </c>
      <c r="G8" s="15">
        <f>F8 - Portfolio_Mgmt!$C$10</f>
        <v>3.5921757299122115E-2</v>
      </c>
      <c r="H8" s="15">
        <f>F8 - Portfolio_Mgmt!$C$11</f>
        <v>0.11882175729912212</v>
      </c>
      <c r="I8" s="15">
        <v>0</v>
      </c>
      <c r="J8" s="2">
        <v>32.712405560515592</v>
      </c>
      <c r="K8" s="2">
        <v>72.921752004944096</v>
      </c>
      <c r="L8" s="74">
        <v>63.412822629417803</v>
      </c>
      <c r="M8" s="2">
        <v>40.874113198219924</v>
      </c>
      <c r="N8" s="2">
        <v>56.64048453414653</v>
      </c>
      <c r="O8" s="4">
        <v>4.4623390719703983E-2</v>
      </c>
      <c r="P8" s="4">
        <v>3.5093712524484517E-2</v>
      </c>
      <c r="Q8" s="4">
        <v>0.13507640199065263</v>
      </c>
      <c r="R8" s="4">
        <v>0.12563613258610554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1.357694365771565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163</v>
      </c>
      <c r="C9" s="11" t="s">
        <v>192</v>
      </c>
      <c r="D9" s="2">
        <v>18.12</v>
      </c>
      <c r="E9" s="12" t="s">
        <v>136</v>
      </c>
      <c r="F9" s="15">
        <v>0.14577721719253778</v>
      </c>
      <c r="G9" s="15">
        <f>F9 - Portfolio_Mgmt!$C$10</f>
        <v>2.8377217192537774E-2</v>
      </c>
      <c r="H9" s="15">
        <f>F9 - Portfolio_Mgmt!$C$11</f>
        <v>0.11127721719253778</v>
      </c>
      <c r="I9" s="15">
        <v>0</v>
      </c>
      <c r="J9" s="2">
        <v>11.217707520292286</v>
      </c>
      <c r="K9" s="2">
        <v>25.589375505398078</v>
      </c>
      <c r="L9" s="74">
        <v>21.851422149274235</v>
      </c>
      <c r="M9" s="2">
        <v>14.042271815674482</v>
      </c>
      <c r="N9" s="2">
        <v>19.503889943732045</v>
      </c>
      <c r="O9" s="4">
        <v>5.6435355514854693E-2</v>
      </c>
      <c r="P9" s="4">
        <v>2.659047710478258E-2</v>
      </c>
      <c r="Q9" s="4">
        <v>0.12359683550883407</v>
      </c>
      <c r="R9" s="4">
        <v>0.12331923872444595</v>
      </c>
      <c r="S9" s="82">
        <v>0.73266920679685343</v>
      </c>
      <c r="T9" s="81">
        <v>1.3679448142367923</v>
      </c>
      <c r="U9" s="15">
        <v>7.4171010848313429E-2</v>
      </c>
      <c r="V9" s="79">
        <v>0.60402076709908736</v>
      </c>
      <c r="W9" s="74">
        <v>4.6051763814964071</v>
      </c>
      <c r="X9" s="13" t="s">
        <v>181</v>
      </c>
      <c r="Y9" s="11" t="s">
        <v>137</v>
      </c>
      <c r="Z9" s="14">
        <v>45900</v>
      </c>
      <c r="AA9" s="16" t="s">
        <v>224</v>
      </c>
    </row>
    <row r="10" spans="1:27">
      <c r="B10" s="11" t="s">
        <v>208</v>
      </c>
      <c r="C10" s="11" t="s">
        <v>217</v>
      </c>
      <c r="D10" s="2">
        <v>26.13</v>
      </c>
      <c r="E10" s="12" t="s">
        <v>206</v>
      </c>
      <c r="F10" s="15">
        <v>0.14159407595293039</v>
      </c>
      <c r="G10" s="15">
        <f>F10 - Portfolio_Mgmt!$C$10</f>
        <v>2.4194075952930383E-2</v>
      </c>
      <c r="H10" s="15">
        <f>F10 - Portfolio_Mgmt!$C$11</f>
        <v>0.10709407595293038</v>
      </c>
      <c r="I10" s="15">
        <v>0</v>
      </c>
      <c r="J10" s="2">
        <v>16.032459211529339</v>
      </c>
      <c r="K10" s="2">
        <v>36.174621832566501</v>
      </c>
      <c r="L10" s="74">
        <v>31.157956372196864</v>
      </c>
      <c r="M10" s="2">
        <v>20.051774378274047</v>
      </c>
      <c r="N10" s="2">
        <v>27.820017012608126</v>
      </c>
      <c r="O10" s="4">
        <v>9.7174412835170212E-2</v>
      </c>
      <c r="P10" s="4">
        <v>3.0003827018752389E-2</v>
      </c>
      <c r="Q10" s="4">
        <v>8.3350635997632802E-2</v>
      </c>
      <c r="R10" s="4">
        <v>0.15660042549334799</v>
      </c>
      <c r="S10" s="82">
        <v>0.29736257886212014</v>
      </c>
      <c r="T10" s="81">
        <v>1.7899036999493159</v>
      </c>
      <c r="U10" s="15">
        <v>0.40281804358844397</v>
      </c>
      <c r="V10" s="79">
        <v>3.955391512509995</v>
      </c>
      <c r="W10" s="74">
        <v>-26.938493611476797</v>
      </c>
      <c r="X10" s="16" t="s">
        <v>209</v>
      </c>
      <c r="Y10" s="11" t="s">
        <v>137</v>
      </c>
      <c r="Z10" s="14">
        <v>45900</v>
      </c>
      <c r="AA10" s="16" t="s">
        <v>225</v>
      </c>
    </row>
    <row r="11" spans="1:27">
      <c r="B11" s="11" t="s">
        <v>205</v>
      </c>
      <c r="C11" s="11" t="s">
        <v>216</v>
      </c>
      <c r="D11" s="2">
        <v>23.28</v>
      </c>
      <c r="E11" s="12" t="s">
        <v>206</v>
      </c>
      <c r="F11" s="15">
        <v>0.137266688315413</v>
      </c>
      <c r="G11" s="15">
        <f>F11 - Portfolio_Mgmt!$C$10</f>
        <v>1.9866688315412995E-2</v>
      </c>
      <c r="H11" s="15">
        <f>F11 - Portfolio_Mgmt!$C$11</f>
        <v>0.102766688315413</v>
      </c>
      <c r="I11" s="15">
        <v>0</v>
      </c>
      <c r="J11" s="2">
        <v>14.005438973829049</v>
      </c>
      <c r="K11" s="2">
        <v>33.245001875234657</v>
      </c>
      <c r="L11" s="74">
        <v>27.517314961638828</v>
      </c>
      <c r="M11" s="2">
        <v>17.589207488120145</v>
      </c>
      <c r="N11" s="2">
        <v>24.530440005494061</v>
      </c>
      <c r="O11" s="4">
        <v>0.19583168158669217</v>
      </c>
      <c r="P11" s="4">
        <v>1.2494158075601372E-2</v>
      </c>
      <c r="Q11" s="4">
        <v>0.18752610102828118</v>
      </c>
      <c r="R11" s="4">
        <v>0.23497655430253014</v>
      </c>
      <c r="S11" s="82">
        <v>0.32112750263435197</v>
      </c>
      <c r="T11" s="81">
        <v>2.4851905363915479</v>
      </c>
      <c r="U11" s="15">
        <v>0.95241105291674188</v>
      </c>
      <c r="V11" s="79">
        <v>4.0148803043206254</v>
      </c>
      <c r="W11" s="74">
        <v>-38.360607814419353</v>
      </c>
      <c r="X11" s="13" t="s">
        <v>207</v>
      </c>
      <c r="Y11" s="11" t="s">
        <v>137</v>
      </c>
      <c r="Z11" s="14">
        <v>45900</v>
      </c>
      <c r="AA11" s="16" t="s">
        <v>225</v>
      </c>
    </row>
    <row r="12" spans="1:27">
      <c r="B12" s="11" t="s">
        <v>199</v>
      </c>
      <c r="C12" s="11" t="s">
        <v>200</v>
      </c>
      <c r="D12" s="2">
        <v>2.4500000000000002</v>
      </c>
      <c r="E12" s="12" t="s">
        <v>136</v>
      </c>
      <c r="F12" s="15">
        <v>0.13599452189033112</v>
      </c>
      <c r="G12" s="15">
        <f>F12 - Portfolio_Mgmt!$C$10</f>
        <v>1.8594521890331117E-2</v>
      </c>
      <c r="H12" s="15">
        <f>F12 - Portfolio_Mgmt!$C$11</f>
        <v>0.10149452189033112</v>
      </c>
      <c r="I12" s="15">
        <v>0</v>
      </c>
      <c r="J12" s="2">
        <v>1.4870897647657733</v>
      </c>
      <c r="K12" s="2">
        <v>3.2832734799855898</v>
      </c>
      <c r="L12" s="74">
        <v>2.8769530068934528</v>
      </c>
      <c r="M12" s="2">
        <v>1.856716021752622</v>
      </c>
      <c r="N12" s="2">
        <v>2.5704546712240286</v>
      </c>
      <c r="O12" s="4">
        <v>5.5047092815579457E-2</v>
      </c>
      <c r="P12" s="4">
        <v>3.6734693877551024E-2</v>
      </c>
      <c r="Q12" s="4">
        <v>4.7832973362251327E-2</v>
      </c>
      <c r="R12" s="4">
        <v>7.8104812973574481E-2</v>
      </c>
      <c r="S12" s="82">
        <v>0.49619793491400876</v>
      </c>
      <c r="T12" s="81">
        <v>1.2342258232843137</v>
      </c>
      <c r="U12" s="15">
        <v>0.10863424600069688</v>
      </c>
      <c r="V12" s="79">
        <v>2.2824569622635926</v>
      </c>
      <c r="W12" s="74">
        <v>1.845430607872679</v>
      </c>
      <c r="X12" s="13" t="s">
        <v>386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5.96</v>
      </c>
      <c r="E13" s="12" t="s">
        <v>136</v>
      </c>
      <c r="F13" s="15">
        <v>0.12958830755613682</v>
      </c>
      <c r="G13" s="15">
        <f>F13 - Portfolio_Mgmt!$C$10</f>
        <v>1.2188307556136813E-2</v>
      </c>
      <c r="H13" s="15">
        <f>F13 - Portfolio_Mgmt!$C$11</f>
        <v>9.5088307556136814E-2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6.1980223883302862E-2</v>
      </c>
      <c r="P13" s="4">
        <v>6.0402684563758385E-2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202</v>
      </c>
      <c r="C14" s="11" t="s">
        <v>203</v>
      </c>
      <c r="D14" s="2">
        <v>2.2799999999999998</v>
      </c>
      <c r="E14" s="12" t="s">
        <v>136</v>
      </c>
      <c r="F14" s="15">
        <v>0.12094210843342412</v>
      </c>
      <c r="G14" s="15">
        <f>F14 - Portfolio_Mgmt!$C$10</f>
        <v>3.5421084334241182E-3</v>
      </c>
      <c r="H14" s="15">
        <f>F14 - Portfolio_Mgmt!$C$11</f>
        <v>8.644210843342412E-2</v>
      </c>
      <c r="I14" s="15">
        <v>0</v>
      </c>
      <c r="J14" s="2">
        <v>1.3413080098024366</v>
      </c>
      <c r="K14" s="2">
        <v>2.8341156417019358</v>
      </c>
      <c r="L14" s="2">
        <v>2.5717906783324622</v>
      </c>
      <c r="M14" s="2">
        <v>1.6690760433726046</v>
      </c>
      <c r="N14" s="2">
        <v>2.3008330688452192</v>
      </c>
      <c r="O14" s="4">
        <v>3.6898388260064058E-2</v>
      </c>
      <c r="P14" s="4">
        <v>4.8984585045750109E-2</v>
      </c>
      <c r="Q14" s="4">
        <v>4.3343952988950489E-2</v>
      </c>
      <c r="R14" s="4">
        <v>8.4129489977804367E-2</v>
      </c>
      <c r="S14" s="82">
        <v>0.42808280043619051</v>
      </c>
      <c r="T14" s="81">
        <v>1.2035176992971439</v>
      </c>
      <c r="U14" s="15">
        <v>1.0763175939415467E-2</v>
      </c>
      <c r="V14" s="79">
        <v>0.29882156160837919</v>
      </c>
      <c r="W14" s="74">
        <v>1.9101962730352615</v>
      </c>
      <c r="X14" s="13" t="s">
        <v>204</v>
      </c>
      <c r="Y14" s="11" t="s">
        <v>198</v>
      </c>
      <c r="Z14" s="14">
        <v>45900</v>
      </c>
      <c r="AA14" s="16" t="s">
        <v>224</v>
      </c>
    </row>
    <row r="15" spans="1:27">
      <c r="B15" s="11" t="s">
        <v>179</v>
      </c>
      <c r="C15" s="11" t="s">
        <v>180</v>
      </c>
      <c r="D15" s="2">
        <v>62.15</v>
      </c>
      <c r="E15" s="12" t="s">
        <v>136</v>
      </c>
      <c r="F15" s="15">
        <v>0.11694986202375324</v>
      </c>
      <c r="G15" s="15">
        <f>F15 - Portfolio_Mgmt!$C$10</f>
        <v>-4.5013797624676721E-4</v>
      </c>
      <c r="H15" s="15">
        <f>F15 - Portfolio_Mgmt!$C$11</f>
        <v>8.2449862023753234E-2</v>
      </c>
      <c r="I15" s="15">
        <v>0</v>
      </c>
      <c r="J15" s="2">
        <v>36.859434184469706</v>
      </c>
      <c r="K15" s="2">
        <v>69.601800931614662</v>
      </c>
      <c r="L15" s="2">
        <v>69.168774206338298</v>
      </c>
      <c r="M15" s="2">
        <v>45.500788316986707</v>
      </c>
      <c r="N15" s="2">
        <v>62.080193599588256</v>
      </c>
      <c r="O15" s="4">
        <v>8.4757303754243299E-2</v>
      </c>
      <c r="P15" s="4">
        <v>8.1313274336283201E-2</v>
      </c>
      <c r="Q15" s="4">
        <v>0.32755394896836565</v>
      </c>
      <c r="R15" s="4">
        <v>8.9976704126159421E-2</v>
      </c>
      <c r="S15" s="82">
        <v>1.5891874956485419</v>
      </c>
      <c r="T15" s="81">
        <v>2.2907496012759174</v>
      </c>
      <c r="U15" s="15">
        <v>0.24768740031897937</v>
      </c>
      <c r="V15" s="79">
        <v>0.73855199466278643</v>
      </c>
      <c r="W15" s="74">
        <v>-2.6492035986706215</v>
      </c>
      <c r="X15" s="13" t="s">
        <v>184</v>
      </c>
      <c r="Y15" s="11" t="s">
        <v>137</v>
      </c>
      <c r="Z15" s="14">
        <v>45808</v>
      </c>
      <c r="AA15" s="16" t="s">
        <v>224</v>
      </c>
    </row>
    <row r="16" spans="1:27">
      <c r="B16" s="11" t="s">
        <v>185</v>
      </c>
      <c r="C16" s="11" t="s">
        <v>186</v>
      </c>
      <c r="D16" s="2">
        <v>7.39</v>
      </c>
      <c r="E16" s="12" t="s">
        <v>136</v>
      </c>
      <c r="F16" s="15">
        <v>0.11460171281591913</v>
      </c>
      <c r="G16" s="15">
        <f>F16 - Portfolio_Mgmt!$C$10</f>
        <v>-2.7982871840808721E-3</v>
      </c>
      <c r="H16" s="15">
        <f>F16 - Portfolio_Mgmt!$C$11</f>
        <v>8.0101712815919129E-2</v>
      </c>
      <c r="I16" s="15">
        <v>0</v>
      </c>
      <c r="J16" s="2">
        <v>4.2909717486103327</v>
      </c>
      <c r="K16" s="2">
        <v>8.8978062695425688</v>
      </c>
      <c r="L16" s="2">
        <v>8.1967307671618901</v>
      </c>
      <c r="M16" s="2">
        <v>5.3320761418835225</v>
      </c>
      <c r="N16" s="2">
        <v>7.3371972985757203</v>
      </c>
      <c r="O16" s="4">
        <v>0.10654706279518465</v>
      </c>
      <c r="P16" s="4">
        <v>5.3822132525519636E-2</v>
      </c>
      <c r="Q16" s="4">
        <v>0.12477871842229639</v>
      </c>
      <c r="R16" s="4">
        <v>7.7304831872868032E-2</v>
      </c>
      <c r="S16" s="82">
        <v>1.0025080757150273</v>
      </c>
      <c r="T16" s="81">
        <v>1.6100746083165727</v>
      </c>
      <c r="U16" s="15">
        <v>0.16360901428944893</v>
      </c>
      <c r="V16" s="79">
        <v>1.1309485990394448</v>
      </c>
      <c r="W16" s="74">
        <v>-3.8759885057027725</v>
      </c>
      <c r="X16" s="13" t="s">
        <v>162</v>
      </c>
      <c r="Y16" s="11" t="s">
        <v>137</v>
      </c>
      <c r="Z16" s="14">
        <v>45900</v>
      </c>
      <c r="AA16" s="16" t="s">
        <v>224</v>
      </c>
    </row>
    <row r="17" spans="2:27">
      <c r="B17" s="11" t="s">
        <v>193</v>
      </c>
      <c r="C17" s="11" t="s">
        <v>194</v>
      </c>
      <c r="D17" s="2">
        <v>16.829999999999998</v>
      </c>
      <c r="E17" s="12" t="s">
        <v>136</v>
      </c>
      <c r="F17" s="15">
        <v>7.8967481143500606E-2</v>
      </c>
      <c r="G17" s="15">
        <f>F17 - Portfolio_Mgmt!$C$10</f>
        <v>-3.8432518856499398E-2</v>
      </c>
      <c r="H17" s="15">
        <f>F17 - Portfolio_Mgmt!$C$11</f>
        <v>4.4467481143500603E-2</v>
      </c>
      <c r="I17" s="15">
        <v>0</v>
      </c>
      <c r="J17" s="2">
        <v>8.9076803464595233</v>
      </c>
      <c r="K17" s="2">
        <v>18.432140120220353</v>
      </c>
      <c r="L17" s="2">
        <v>17.008620160354468</v>
      </c>
      <c r="M17" s="2">
        <v>11.067202132592822</v>
      </c>
      <c r="N17" s="2">
        <v>15.225984225226087</v>
      </c>
      <c r="O17" s="4">
        <v>9.140390179143465E-2</v>
      </c>
      <c r="P17" s="4">
        <v>4.9614588235294119E-2</v>
      </c>
      <c r="Q17" s="4">
        <v>0.26416901450401908</v>
      </c>
      <c r="R17" s="4">
        <v>0.11373268890617776</v>
      </c>
      <c r="S17" s="82">
        <v>0.70652858717908329</v>
      </c>
      <c r="T17" s="81">
        <v>3.2875080906148866</v>
      </c>
      <c r="U17" s="15">
        <v>1.5035598705501618</v>
      </c>
      <c r="V17" s="79">
        <v>4.1998196571663646</v>
      </c>
      <c r="W17" s="74">
        <v>-12.160505473845062</v>
      </c>
      <c r="X17" s="13" t="s">
        <v>181</v>
      </c>
      <c r="Y17" s="11" t="s">
        <v>195</v>
      </c>
      <c r="Z17" s="14">
        <v>45900</v>
      </c>
      <c r="AA17" s="11" t="s">
        <v>225</v>
      </c>
    </row>
    <row r="18" spans="2:27">
      <c r="B18" s="11" t="s">
        <v>138</v>
      </c>
      <c r="C18" s="11" t="s">
        <v>176</v>
      </c>
      <c r="D18" s="2">
        <v>10.039999999999999</v>
      </c>
      <c r="E18" s="12" t="s">
        <v>136</v>
      </c>
      <c r="F18" s="15">
        <v>3.612192593848329E-2</v>
      </c>
      <c r="G18" s="15">
        <f>F18 - Portfolio_Mgmt!$C$10</f>
        <v>-8.1278074061516714E-2</v>
      </c>
      <c r="H18" s="15">
        <f>F18 - Portfolio_Mgmt!$C$11</f>
        <v>1.6219259384832874E-3</v>
      </c>
      <c r="I18" s="15">
        <v>0</v>
      </c>
      <c r="J18" s="2">
        <v>4.7895979519113672</v>
      </c>
      <c r="K18" s="2">
        <v>9.3641570609339322</v>
      </c>
      <c r="L18" s="2">
        <v>9.0460821298724845</v>
      </c>
      <c r="M18" s="2">
        <v>5.9266084151981735</v>
      </c>
      <c r="N18" s="2">
        <v>8.1111667082917602</v>
      </c>
      <c r="O18" s="4">
        <v>3.0766770117755485E-2</v>
      </c>
      <c r="P18" s="4">
        <v>5.7768924302788849E-2</v>
      </c>
      <c r="Q18" s="4">
        <v>2.0056091670558843E-2</v>
      </c>
      <c r="R18" s="4">
        <v>0.38237459335905039</v>
      </c>
      <c r="S18" s="82">
        <v>4.8426484563194767E-2</v>
      </c>
      <c r="T18" s="81">
        <v>1.0831144117242246</v>
      </c>
      <c r="U18" s="15">
        <v>1.8509098960546238E-2</v>
      </c>
      <c r="V18" s="79">
        <v>1.1933697905849452</v>
      </c>
      <c r="W18" s="74">
        <v>11.511512740854835</v>
      </c>
      <c r="X18" s="13" t="s">
        <v>178</v>
      </c>
      <c r="Y18" s="11" t="s">
        <v>177</v>
      </c>
      <c r="Z18" s="14">
        <v>45900</v>
      </c>
      <c r="AA18" s="11" t="s">
        <v>224</v>
      </c>
    </row>
    <row r="19" spans="2:27">
      <c r="B19" s="11" t="s">
        <v>190</v>
      </c>
      <c r="C19" s="11" t="s">
        <v>191</v>
      </c>
      <c r="D19" s="2">
        <v>27.12</v>
      </c>
      <c r="E19" s="12" t="s">
        <v>136</v>
      </c>
      <c r="F19" s="15">
        <v>-1.4065653642276077E-2</v>
      </c>
      <c r="G19" s="15">
        <f>F19 - Portfolio_Mgmt!$C$10</f>
        <v>-0.13146565364227608</v>
      </c>
      <c r="H19" s="15">
        <f>F19 - Portfolio_Mgmt!$C$11</f>
        <v>-4.856565364227608E-2</v>
      </c>
      <c r="I19" s="15">
        <v>0</v>
      </c>
      <c r="J19" s="2">
        <v>11.235424773194682</v>
      </c>
      <c r="K19" s="2">
        <v>21.968758226348868</v>
      </c>
      <c r="L19" s="2">
        <v>21.220699139526428</v>
      </c>
      <c r="M19" s="2">
        <v>13.902724211890622</v>
      </c>
      <c r="N19" s="2">
        <v>19.027476031641555</v>
      </c>
      <c r="O19" s="4">
        <v>6.3716298649322614E-2</v>
      </c>
      <c r="P19" s="4">
        <v>5.0147492625368731E-2</v>
      </c>
      <c r="Q19" s="4">
        <v>0.10515362778966494</v>
      </c>
      <c r="R19" s="4">
        <v>0.11295218450174714</v>
      </c>
      <c r="S19" s="82">
        <v>0.71055479556740742</v>
      </c>
      <c r="T19" s="81">
        <v>1.3101832741522048</v>
      </c>
      <c r="U19" s="15">
        <v>0.15818859882129041</v>
      </c>
      <c r="V19" s="79">
        <v>1.4550387206421544</v>
      </c>
      <c r="W19" s="74">
        <v>5.8696003638854428</v>
      </c>
      <c r="X19" s="13" t="s">
        <v>189</v>
      </c>
      <c r="Y19" s="11" t="s">
        <v>137</v>
      </c>
      <c r="Z19" s="14">
        <v>45808</v>
      </c>
      <c r="AA19" s="11" t="s">
        <v>224</v>
      </c>
    </row>
    <row r="20" spans="2:27">
      <c r="B20" s="11" t="s">
        <v>173</v>
      </c>
      <c r="C20" s="11" t="s">
        <v>196</v>
      </c>
      <c r="D20" s="2">
        <v>3.21</v>
      </c>
      <c r="E20" s="12" t="s">
        <v>136</v>
      </c>
      <c r="F20" s="15">
        <v>-0.13009515215889222</v>
      </c>
      <c r="G20" s="15">
        <f>F20 - Portfolio_Mgmt!$C$10</f>
        <v>-0.24749515215889223</v>
      </c>
      <c r="H20" s="15">
        <f>F20 - Portfolio_Mgmt!$C$11</f>
        <v>-0.16459515215889223</v>
      </c>
      <c r="I20" s="15">
        <v>0</v>
      </c>
      <c r="J20" s="2">
        <v>0.8588532832629947</v>
      </c>
      <c r="K20" s="2">
        <v>2.1131011468081908</v>
      </c>
      <c r="L20" s="2">
        <v>1.7009631025661165</v>
      </c>
      <c r="M20" s="2">
        <v>1.0819077871657936</v>
      </c>
      <c r="N20" s="2">
        <v>1.514587208466269</v>
      </c>
      <c r="O20" s="4">
        <v>2.9868087989211572E-3</v>
      </c>
      <c r="P20" s="4">
        <v>0</v>
      </c>
      <c r="Q20" s="4">
        <v>3.7288355461672987E-3</v>
      </c>
      <c r="R20" s="4">
        <v>2.8327145387125552E-2</v>
      </c>
      <c r="S20" s="82">
        <v>0.11998888979909481</v>
      </c>
      <c r="T20" s="81">
        <v>1.0970574812713703</v>
      </c>
      <c r="U20" s="15">
        <v>1.4790654865358754E-2</v>
      </c>
      <c r="V20" s="79">
        <v>3.4432102574884196</v>
      </c>
      <c r="W20" s="74">
        <v>2.0258239687205015</v>
      </c>
      <c r="X20" s="13" t="s">
        <v>197</v>
      </c>
      <c r="Y20" s="11" t="s">
        <v>198</v>
      </c>
      <c r="Z20" s="14">
        <v>45900</v>
      </c>
      <c r="AA20" s="11" t="s">
        <v>224</v>
      </c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4.0099999999999997E-2</v>
      </c>
      <c r="D4" s="34">
        <v>7.4999999999999997E-2</v>
      </c>
      <c r="E4" s="35">
        <f>D4-C4</f>
        <v>3.49E-2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E18" sqref="E18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0.6746846823321383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18.12</v>
      </c>
      <c r="D4" s="62" t="str">
        <f>VLOOKUP(B4,Opportunities!B$3:E$30,4,FALSE)</f>
        <v>HKD</v>
      </c>
      <c r="E4" s="59">
        <v>4500</v>
      </c>
      <c r="F4" s="64">
        <f>C4*E4</f>
        <v>81540</v>
      </c>
      <c r="G4" s="61">
        <f>F4/$F$8</f>
        <v>7.6045556455012445E-2</v>
      </c>
      <c r="H4" s="61">
        <f>VLOOKUP(B4,Opportunities!B$3:I$30,8,FALSE)</f>
        <v>0</v>
      </c>
      <c r="I4" s="84">
        <f>VLOOKUP(B4,Opportunities!B$3:N$30,12,FALSE)</f>
        <v>14.042271815674482</v>
      </c>
      <c r="J4" s="84">
        <f>VLOOKUP(B4,Opportunities!B$3:N$30,9,FALSE)</f>
        <v>11.217707520292286</v>
      </c>
      <c r="K4" s="84">
        <f>VLOOKUP(B4,Opportunities!B$3:N$30,11,FALSE)</f>
        <v>21.851422149274235</v>
      </c>
      <c r="L4" s="84">
        <f>VLOOKUP(B4,Opportunities!B$3:N$30,13,FALSE)</f>
        <v>19.503889943732045</v>
      </c>
    </row>
    <row r="5" spans="1:12">
      <c r="B5" s="66" t="s">
        <v>210</v>
      </c>
      <c r="C5" s="63">
        <f>VLOOKUP(B5,Opportunities!B$3:E$30,3,FALSE)</f>
        <v>19.46</v>
      </c>
      <c r="D5" s="62" t="str">
        <f>VLOOKUP(B5,Opportunities!B$3:E$30,4,FALSE)</f>
        <v>HKD</v>
      </c>
      <c r="E5" s="59">
        <v>8000</v>
      </c>
      <c r="F5" s="64">
        <f>C5*E5</f>
        <v>155680</v>
      </c>
      <c r="G5" s="61">
        <f>F5/$F$8</f>
        <v>0.14518975017066885</v>
      </c>
      <c r="H5" s="61">
        <f>VLOOKUP(B5,Opportunities!B$3:I$30,8,FALSE)</f>
        <v>0</v>
      </c>
      <c r="I5" s="84">
        <f>VLOOKUP(B5,Opportunities!B$3:N$30,12,FALSE)</f>
        <v>16.99921052817432</v>
      </c>
      <c r="J5" s="84">
        <f>VLOOKUP(B5,Opportunities!B$3:N$30,9,FALSE)</f>
        <v>13.678883529071976</v>
      </c>
      <c r="K5" s="84">
        <f>VLOOKUP(B5,Opportunities!B$3:N$30,11,FALSE)</f>
        <v>26.135798307341368</v>
      </c>
      <c r="L5" s="84">
        <f>VLOOKUP(B5,Opportunities!B$3:N$30,13,FALSE)</f>
        <v>23.394321925572989</v>
      </c>
    </row>
    <row r="6" spans="1:12">
      <c r="B6" s="66" t="s">
        <v>230</v>
      </c>
      <c r="C6" s="63">
        <f>VLOOKUP(B6,Opportunities!B$3:E$30,3,FALSE)</f>
        <v>2.79</v>
      </c>
      <c r="D6" s="62" t="str">
        <f>VLOOKUP(B6,Opportunities!B$3:E$30,4,FALSE)</f>
        <v>HKD</v>
      </c>
      <c r="E6" s="59">
        <v>40000</v>
      </c>
      <c r="F6" s="64">
        <f>C6*E6</f>
        <v>111600</v>
      </c>
      <c r="G6" s="61">
        <f t="shared" ref="G6" si="0">F6/$F$8</f>
        <v>0.10408001104218038</v>
      </c>
      <c r="H6" s="61">
        <f>VLOOKUP(B6,Opportunities!B$3:I$30,8,FALSE)</f>
        <v>0.1084799342773675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1072252</v>
      </c>
      <c r="G8" s="70">
        <f>SUM(G3:G6)</f>
        <v>0.99999999999999989</v>
      </c>
      <c r="H8" s="76">
        <f>SUM(H3:H6)</f>
        <v>0.55847993427736753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18.12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14.042271815674482</v>
      </c>
      <c r="J11" s="84">
        <f>VLOOKUP(B11,Opportunities!B$3:N$30,9,FALSE)</f>
        <v>11.217707520292286</v>
      </c>
      <c r="K11" s="84">
        <f>VLOOKUP(B11,Opportunities!B$3:N$30,11,FALSE)</f>
        <v>21.851422149274235</v>
      </c>
      <c r="L11" s="84">
        <f>VLOOKUP(B11,Opportunities!B$3:N$30,13,FALSE)</f>
        <v>19.503889943732045</v>
      </c>
    </row>
    <row r="12" spans="1:12">
      <c r="B12" s="66" t="s">
        <v>210</v>
      </c>
      <c r="C12" s="63">
        <f>VLOOKUP(B12,Opportunities!B$3:E$30,3,FALSE)</f>
        <v>19.46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16.99921052817432</v>
      </c>
      <c r="J12" s="84">
        <f>VLOOKUP(B12,Opportunities!B$3:N$30,9,FALSE)</f>
        <v>13.678883529071976</v>
      </c>
      <c r="K12" s="84">
        <f>VLOOKUP(B12,Opportunities!B$3:N$30,11,FALSE)</f>
        <v>26.135798307341368</v>
      </c>
      <c r="L12" s="84">
        <f>VLOOKUP(B12,Opportunities!B$3:N$30,13,FALSE)</f>
        <v>23.394321925572989</v>
      </c>
    </row>
    <row r="13" spans="1:12">
      <c r="B13" s="66" t="s">
        <v>230</v>
      </c>
      <c r="C13" s="63">
        <f>VLOOKUP(B13,Opportunities!B$3:E$30,3,FALSE)</f>
        <v>2.79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0.1084799342773675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0.6746846823321383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2025-09-15T04:05:31Z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