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662A450-E0D8-4C65-853C-FA1D8C11FD3F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s="1"/>
  <c r="E33" i="10" l="1"/>
  <c r="H7" i="7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<sst xmlns="http://schemas.openxmlformats.org/spreadsheetml/2006/main" count="467" uniqueCount="387">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</sst>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zoomScaleNormal="100" workbookViewId="0">
      <selection activeCell="D20" sqref="D2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12" sqref="N1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384</v>
      </c>
      <c r="C3" s="11" t="s">
        <v>385</v>
      </c>
      <c r="D3" s="2">
        <v>10.6</v>
      </c>
      <c r="E3" s="12" t="s">
        <v>135</v>
      </c>
      <c r="F3" s="15">
        <v>0.21934387142409759</v>
      </c>
      <c r="G3" s="15">
        <f>F3 - Portfolio_Mgmt!$C$10</f>
        <v>0.10194387142409758</v>
      </c>
      <c r="H3" s="15">
        <f>F3 - Portfolio_Mgmt!$C$11</f>
        <v>0.18484387142409758</v>
      </c>
      <c r="I3" s="15">
        <v>9.5092960468896245E-2</v>
      </c>
      <c r="J3" s="2">
        <v>8.9282636709273095</v>
      </c>
      <c r="K3" s="2">
        <v>17.012853707020131</v>
      </c>
      <c r="L3" s="71">
        <v>15.34428371927317</v>
      </c>
      <c r="M3" s="2">
        <v>11.078200368693507</v>
      </c>
      <c r="N3" s="2">
        <v>13.628949317518744</v>
      </c>
      <c r="O3" s="4">
        <v>9.3461795026699143E-2</v>
      </c>
      <c r="P3" s="4">
        <v>5.6105123773584897E-2</v>
      </c>
      <c r="Q3" s="4">
        <v>0.10095643717340666</v>
      </c>
      <c r="R3" s="4">
        <v>0.12639612253563595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1.7185175102008612</v>
      </c>
      <c r="X3" s="13" t="s">
        <v>386</v>
      </c>
      <c r="Y3" s="11" t="s">
        <v>333</v>
      </c>
      <c r="Z3" s="14">
        <v>46173</v>
      </c>
      <c r="AA3" s="16" t="s">
        <v>334</v>
      </c>
    </row>
    <row r="4" spans="1:27">
      <c r="B4" s="11" t="s">
        <v>331</v>
      </c>
      <c r="C4" s="11" t="s">
        <v>332</v>
      </c>
      <c r="D4" s="2">
        <v>4.12</v>
      </c>
      <c r="E4" s="12" t="s">
        <v>135</v>
      </c>
      <c r="F4" s="15">
        <v>0.20873319918927694</v>
      </c>
      <c r="G4" s="15">
        <f>F4 - Portfolio_Mgmt!$C$10</f>
        <v>9.1333199189276931E-2</v>
      </c>
      <c r="H4" s="15">
        <f>F4 - Portfolio_Mgmt!$C$11</f>
        <v>0.17423319918927693</v>
      </c>
      <c r="I4" s="15">
        <v>8.4073768594819409E-2</v>
      </c>
      <c r="J4" s="2">
        <v>3.3865045422207749</v>
      </c>
      <c r="K4" s="2">
        <v>6.3885807555246439</v>
      </c>
      <c r="L4" s="71">
        <v>5.8102737530218826</v>
      </c>
      <c r="M4" s="2">
        <v>4.1989031034891706</v>
      </c>
      <c r="N4" s="2">
        <v>5.1624490889886134</v>
      </c>
      <c r="O4" s="4">
        <v>0.10508308716282604</v>
      </c>
      <c r="P4" s="4">
        <v>5.8689320388349508E-2</v>
      </c>
      <c r="Q4" s="4">
        <v>0.17911384235321903</v>
      </c>
      <c r="R4" s="4">
        <v>0.23440332981639811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1.251484127469247</v>
      </c>
      <c r="X4" s="13" t="s">
        <v>171</v>
      </c>
      <c r="Y4" s="11" t="s">
        <v>341</v>
      </c>
      <c r="Z4" s="14">
        <v>46081</v>
      </c>
      <c r="AA4" s="16" t="s">
        <v>334</v>
      </c>
    </row>
    <row r="5" spans="1:27">
      <c r="B5" s="11" t="s">
        <v>185</v>
      </c>
      <c r="C5" s="11" t="s">
        <v>335</v>
      </c>
      <c r="D5" s="2">
        <v>2.87</v>
      </c>
      <c r="E5" s="12" t="s">
        <v>135</v>
      </c>
      <c r="F5" s="15">
        <v>0.20201111588221479</v>
      </c>
      <c r="G5" s="15">
        <f>F5 - Portfolio_Mgmt!$C$10</f>
        <v>8.4611115882214788E-2</v>
      </c>
      <c r="H5" s="15">
        <f>F5 - Portfolio_Mgmt!$C$11</f>
        <v>0.16751111588221479</v>
      </c>
      <c r="I5" s="15">
        <v>0.15296053758373099</v>
      </c>
      <c r="J5" s="2">
        <v>2.3372346420267727</v>
      </c>
      <c r="K5" s="2">
        <v>3.9996891347551768</v>
      </c>
      <c r="L5" s="71">
        <v>3.9475005072198974</v>
      </c>
      <c r="M5" s="2">
        <v>2.87837081868983</v>
      </c>
      <c r="N5" s="2">
        <v>3.5182216001675917</v>
      </c>
      <c r="O5" s="4">
        <v>7.0328271880210375E-2</v>
      </c>
      <c r="P5" s="4">
        <v>9.4076655052264813E-2</v>
      </c>
      <c r="Q5" s="4">
        <v>9.4872184280479305E-2</v>
      </c>
      <c r="R5" s="4">
        <v>0.41717445526566538</v>
      </c>
      <c r="S5" s="79">
        <v>0.18730590235499223</v>
      </c>
      <c r="T5" s="78">
        <v>1.2141426890285656</v>
      </c>
      <c r="U5" s="15">
        <v>2.3107986944995245E-3</v>
      </c>
      <c r="V5" s="76">
        <v>2.4486769298072242E-2</v>
      </c>
      <c r="W5" s="71">
        <v>0.79833937207218564</v>
      </c>
      <c r="X5" s="13" t="s">
        <v>336</v>
      </c>
      <c r="Y5" s="11" t="s">
        <v>341</v>
      </c>
      <c r="Z5" s="14">
        <v>46081</v>
      </c>
      <c r="AA5" s="16" t="s">
        <v>183</v>
      </c>
    </row>
    <row r="6" spans="1:27">
      <c r="B6" s="11" t="s">
        <v>378</v>
      </c>
      <c r="C6" s="11" t="s">
        <v>379</v>
      </c>
      <c r="D6" s="2">
        <v>0.45</v>
      </c>
      <c r="E6" s="12" t="s">
        <v>135</v>
      </c>
      <c r="F6" s="15">
        <v>0.17996939953838226</v>
      </c>
      <c r="G6" s="15">
        <f>F6 - Portfolio_Mgmt!$C$10</f>
        <v>6.2569399538382253E-2</v>
      </c>
      <c r="H6" s="15">
        <f>F6 - Portfolio_Mgmt!$C$11</f>
        <v>0.14546939953838225</v>
      </c>
      <c r="I6" s="15">
        <v>4.7516644374046471E-2</v>
      </c>
      <c r="J6" s="2">
        <v>0.34565247026397422</v>
      </c>
      <c r="K6" s="2">
        <v>0.64285485662853192</v>
      </c>
      <c r="L6" s="71">
        <v>0.59163407535819612</v>
      </c>
      <c r="M6" s="2">
        <v>0.42813221148805264</v>
      </c>
      <c r="N6" s="2">
        <v>0.52591318408888466</v>
      </c>
      <c r="O6" s="4">
        <v>0.11783600222796822</v>
      </c>
      <c r="P6" s="4">
        <v>0.06</v>
      </c>
      <c r="Q6" s="4">
        <v>3.931859133292645E-2</v>
      </c>
      <c r="R6" s="4">
        <v>1.9127481481925439E-2</v>
      </c>
      <c r="S6" s="79">
        <v>1.4656521003611329</v>
      </c>
      <c r="T6" s="78">
        <v>1.4025206525126881</v>
      </c>
      <c r="U6" s="15">
        <v>0.16239287772638675</v>
      </c>
      <c r="V6" s="76">
        <v>3.5496550732945478</v>
      </c>
      <c r="W6" s="71">
        <v>0.58458727416093559</v>
      </c>
      <c r="X6" s="13" t="s">
        <v>380</v>
      </c>
      <c r="Y6" s="11" t="s">
        <v>381</v>
      </c>
      <c r="Z6" s="14">
        <v>46081</v>
      </c>
      <c r="AA6" s="16" t="s">
        <v>334</v>
      </c>
    </row>
    <row r="7" spans="1:27">
      <c r="B7" s="11" t="s">
        <v>342</v>
      </c>
      <c r="C7" s="11" t="s">
        <v>343</v>
      </c>
      <c r="D7" s="2">
        <v>7.48</v>
      </c>
      <c r="E7" s="12" t="s">
        <v>135</v>
      </c>
      <c r="F7" s="15">
        <v>0.17799531171986083</v>
      </c>
      <c r="G7" s="15">
        <f>F7 - Portfolio_Mgmt!$C$10</f>
        <v>6.0595311719860823E-2</v>
      </c>
      <c r="H7" s="15">
        <f>F7 - Portfolio_Mgmt!$C$11</f>
        <v>0.14349531171986082</v>
      </c>
      <c r="I7" s="15">
        <v>4.4566097200134616E-2</v>
      </c>
      <c r="J7" s="2">
        <v>5.6931589466489543</v>
      </c>
      <c r="K7" s="2">
        <v>11.111230085364673</v>
      </c>
      <c r="L7" s="71">
        <v>9.8245145551315325</v>
      </c>
      <c r="M7" s="2">
        <v>7.0766300749623952</v>
      </c>
      <c r="N7" s="2">
        <v>8.7192777666315617</v>
      </c>
      <c r="O7" s="4">
        <v>9.2621868664619508E-2</v>
      </c>
      <c r="P7" s="4">
        <v>4.1847321686631002E-2</v>
      </c>
      <c r="Q7" s="4">
        <v>0.17171956401626931</v>
      </c>
      <c r="R7" s="4">
        <v>8.3605943221633255E-2</v>
      </c>
      <c r="S7" s="79">
        <v>1.3282158707615834</v>
      </c>
      <c r="T7" s="78">
        <v>1.5463719418456539</v>
      </c>
      <c r="U7" s="15">
        <v>0.22428295339746124</v>
      </c>
      <c r="V7" s="76">
        <v>1.2715557492373779</v>
      </c>
      <c r="W7" s="71">
        <v>-2.9064064237328293</v>
      </c>
      <c r="X7" s="13" t="s">
        <v>344</v>
      </c>
      <c r="Y7" s="11" t="s">
        <v>170</v>
      </c>
      <c r="Z7" s="14">
        <v>46081</v>
      </c>
      <c r="AA7" s="16" t="s">
        <v>334</v>
      </c>
    </row>
    <row r="8" spans="1:27">
      <c r="B8" s="11" t="s">
        <v>158</v>
      </c>
      <c r="C8" s="11" t="s">
        <v>337</v>
      </c>
      <c r="D8" s="2">
        <v>16.87</v>
      </c>
      <c r="E8" s="12" t="s">
        <v>135</v>
      </c>
      <c r="F8" s="15">
        <v>0.1639652549802153</v>
      </c>
      <c r="G8" s="15">
        <f>F8 - Portfolio_Mgmt!$C$10</f>
        <v>4.6565254980215298E-2</v>
      </c>
      <c r="H8" s="15">
        <f>F8 - Portfolio_Mgmt!$C$11</f>
        <v>0.1294652549802153</v>
      </c>
      <c r="I8" s="15">
        <v>4.3030442991779244E-2</v>
      </c>
      <c r="J8" s="2">
        <v>12.370178090855299</v>
      </c>
      <c r="K8" s="2">
        <v>24.734812059178434</v>
      </c>
      <c r="L8" s="71">
        <v>21.437273351062743</v>
      </c>
      <c r="M8" s="2">
        <v>15.404477561031948</v>
      </c>
      <c r="N8" s="2">
        <v>19.010020600122139</v>
      </c>
      <c r="O8" s="4">
        <v>5.7066075000669778E-2</v>
      </c>
      <c r="P8" s="4">
        <v>3.1475863344873102E-2</v>
      </c>
      <c r="Q8" s="4">
        <v>0.11088613329085693</v>
      </c>
      <c r="R8" s="4">
        <v>0.11515096525408952</v>
      </c>
      <c r="S8" s="79">
        <v>0.71131521233544359</v>
      </c>
      <c r="T8" s="78">
        <v>1.3537783359692717</v>
      </c>
      <c r="U8" s="15">
        <v>6.5417684980282262E-2</v>
      </c>
      <c r="V8" s="76">
        <v>0.5742845428370501</v>
      </c>
      <c r="W8" s="71">
        <v>5.4934439750552349</v>
      </c>
      <c r="X8" s="13" t="s">
        <v>338</v>
      </c>
      <c r="Y8" s="11" t="s">
        <v>333</v>
      </c>
      <c r="Z8" s="14">
        <v>46081</v>
      </c>
      <c r="AA8" s="16" t="s">
        <v>183</v>
      </c>
    </row>
    <row r="9" spans="1:27">
      <c r="B9" s="11" t="s">
        <v>346</v>
      </c>
      <c r="C9" s="11" t="s">
        <v>347</v>
      </c>
      <c r="D9" s="2">
        <v>98.35</v>
      </c>
      <c r="E9" s="12" t="s">
        <v>135</v>
      </c>
      <c r="F9" s="15">
        <v>0.15945640115757304</v>
      </c>
      <c r="G9" s="15">
        <f>F9 - Portfolio_Mgmt!$C$10</f>
        <v>4.2056401157573031E-2</v>
      </c>
      <c r="H9" s="15">
        <f>F9 - Portfolio_Mgmt!$C$11</f>
        <v>0.12495640115757303</v>
      </c>
      <c r="I9" s="15">
        <v>1.3232840560708467E-2</v>
      </c>
      <c r="J9" s="2">
        <v>70.644425576179458</v>
      </c>
      <c r="K9" s="2">
        <v>153.29840350030938</v>
      </c>
      <c r="L9" s="71">
        <v>124.26411450427923</v>
      </c>
      <c r="M9" s="2">
        <v>88.547814296207619</v>
      </c>
      <c r="N9" s="2">
        <v>109.87822394142354</v>
      </c>
      <c r="O9" s="4">
        <v>2.4504401859453944E-2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3.5099893613749442</v>
      </c>
      <c r="X9" s="13" t="s">
        <v>348</v>
      </c>
      <c r="Y9" s="11" t="s">
        <v>349</v>
      </c>
      <c r="Z9" s="14">
        <v>46081</v>
      </c>
      <c r="AA9" s="16" t="s">
        <v>334</v>
      </c>
    </row>
    <row r="10" spans="1:27">
      <c r="B10" s="11" t="s">
        <v>172</v>
      </c>
      <c r="C10" s="11" t="s">
        <v>339</v>
      </c>
      <c r="D10" s="2">
        <v>21.76</v>
      </c>
      <c r="E10" s="12" t="s">
        <v>135</v>
      </c>
      <c r="F10" s="15">
        <v>0.10229127561755162</v>
      </c>
      <c r="G10" s="15">
        <f>F10 - Portfolio_Mgmt!$C$10</f>
        <v>-1.5108724382448382E-2</v>
      </c>
      <c r="H10" s="15">
        <f>F10 - Portfolio_Mgmt!$C$11</f>
        <v>6.7791275617551619E-2</v>
      </c>
      <c r="I10" s="15">
        <v>0</v>
      </c>
      <c r="J10" s="2">
        <v>13.809796084064406</v>
      </c>
      <c r="K10" s="2">
        <v>24.964077323019463</v>
      </c>
      <c r="L10" s="71">
        <v>23.527543664585608</v>
      </c>
      <c r="M10" s="2">
        <v>17.070728625844655</v>
      </c>
      <c r="N10" s="2">
        <v>20.93314181198205</v>
      </c>
      <c r="O10" s="4">
        <v>0.10830905738803411</v>
      </c>
      <c r="P10" s="4">
        <v>5.7904411764705878E-2</v>
      </c>
      <c r="Q10" s="4">
        <v>0.17244225698759846</v>
      </c>
      <c r="R10" s="4">
        <v>0.32385684070512349</v>
      </c>
      <c r="S10" s="79">
        <v>0.37515442207937094</v>
      </c>
      <c r="T10" s="78">
        <v>1.419320754716981</v>
      </c>
      <c r="U10" s="15">
        <v>9.2018392262565404E-2</v>
      </c>
      <c r="V10" s="76">
        <v>0.52904635366009978</v>
      </c>
      <c r="W10" s="71">
        <v>0.45302921322643147</v>
      </c>
      <c r="X10" s="16" t="s">
        <v>340</v>
      </c>
      <c r="Y10" s="11" t="s">
        <v>341</v>
      </c>
      <c r="Z10" s="14">
        <v>46081</v>
      </c>
      <c r="AA10" s="16" t="s">
        <v>183</v>
      </c>
    </row>
    <row r="11" spans="1:27">
      <c r="B11" s="11" t="s">
        <v>382</v>
      </c>
      <c r="C11" s="11" t="s">
        <v>383</v>
      </c>
      <c r="D11" s="2">
        <v>6.91</v>
      </c>
      <c r="E11" s="12" t="s">
        <v>135</v>
      </c>
      <c r="F11" s="15">
        <v>7.4970562689591916E-2</v>
      </c>
      <c r="G11" s="15">
        <f>F11 - Portfolio_Mgmt!$C$10</f>
        <v>-4.2429437310408089E-2</v>
      </c>
      <c r="H11" s="15">
        <f>F11 - Portfolio_Mgmt!$C$11</f>
        <v>4.0470562689591913E-2</v>
      </c>
      <c r="I11" s="15">
        <v>0</v>
      </c>
      <c r="J11" s="2">
        <v>4.0476647681399474</v>
      </c>
      <c r="K11" s="2">
        <v>7.7113225084207642</v>
      </c>
      <c r="L11" s="71">
        <v>6.9561608977513227</v>
      </c>
      <c r="M11" s="2">
        <v>5.0222745724316873</v>
      </c>
      <c r="N11" s="2">
        <v>6.1785733958029958</v>
      </c>
      <c r="O11" s="4">
        <v>4.537060250041982E-2</v>
      </c>
      <c r="P11" s="4">
        <v>3.9073806078147616E-2</v>
      </c>
      <c r="Q11" s="4">
        <v>0.15129103990745271</v>
      </c>
      <c r="R11" s="4">
        <v>7.6740113341060609E-2</v>
      </c>
      <c r="S11" s="79">
        <v>1.1106245684847842</v>
      </c>
      <c r="T11" s="78">
        <v>1.775102743966247</v>
      </c>
      <c r="U11" s="15">
        <v>0.17709797868255178</v>
      </c>
      <c r="V11" s="76">
        <v>1.1002434563583587</v>
      </c>
      <c r="W11" s="71">
        <v>-0.16671611581654458</v>
      </c>
      <c r="X11" s="13" t="s">
        <v>171</v>
      </c>
      <c r="Y11" s="11" t="s">
        <v>349</v>
      </c>
      <c r="Z11" s="14">
        <v>46081</v>
      </c>
      <c r="AA11" s="16" t="s">
        <v>183</v>
      </c>
    </row>
    <row r="12" spans="1:27">
      <c r="B12" s="11" t="s">
        <v>329</v>
      </c>
      <c r="C12" s="11" t="s">
        <v>330</v>
      </c>
      <c r="D12" s="2">
        <v>5.6</v>
      </c>
      <c r="E12" s="12" t="s">
        <v>135</v>
      </c>
      <c r="F12" s="15">
        <v>1.4883278968646201E-2</v>
      </c>
      <c r="G12" s="15">
        <f>F12 - Portfolio_Mgmt!$C$10</f>
        <v>-0.1025167210313538</v>
      </c>
      <c r="H12" s="15">
        <f>F12 - Portfolio_Mgmt!$C$11</f>
        <v>-1.9616721031353802E-2</v>
      </c>
      <c r="I12" s="15">
        <v>0</v>
      </c>
      <c r="J12" s="2">
        <v>2.8469337559046011</v>
      </c>
      <c r="K12" s="2">
        <v>4.7880739782573478</v>
      </c>
      <c r="L12" s="71">
        <v>4.7955574838842381</v>
      </c>
      <c r="M12" s="2">
        <v>3.502075881620625</v>
      </c>
      <c r="N12" s="2">
        <v>4.2763128805182129</v>
      </c>
      <c r="O12" s="4">
        <v>7.0185176483582926E-2</v>
      </c>
      <c r="P12" s="4">
        <v>6.25E-2</v>
      </c>
      <c r="Q12" s="4">
        <v>0.11650199885998448</v>
      </c>
      <c r="R12" s="4">
        <v>3.7319724555354143E-2</v>
      </c>
      <c r="S12" s="79">
        <v>1.4327738230803833</v>
      </c>
      <c r="T12" s="78">
        <v>2.1787997096988563</v>
      </c>
      <c r="U12" s="15">
        <v>0.77760119734648436</v>
      </c>
      <c r="V12" s="76">
        <v>5.3604060658726853</v>
      </c>
      <c r="W12" s="71">
        <v>-2.5047246524922007</v>
      </c>
      <c r="X12" s="13" t="s">
        <v>171</v>
      </c>
      <c r="Y12" s="11" t="s">
        <v>170</v>
      </c>
      <c r="Z12" s="14">
        <v>45991</v>
      </c>
      <c r="AA12" s="16" t="s">
        <v>183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4.0899999999999999E-2</v>
      </c>
      <c r="D4" s="34">
        <v>7.0000000000000007E-2</v>
      </c>
      <c r="E4" s="35">
        <f>D4-C4</f>
        <v>2.9100000000000008E-2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0.61183559997246795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16.87</v>
      </c>
      <c r="E4" s="59" t="str">
        <f>VLOOKUP(B4,Opportunities!B$3:E$30,4,FALSE)</f>
        <v>HKD</v>
      </c>
      <c r="F4" s="57">
        <v>4500</v>
      </c>
      <c r="G4" s="61">
        <f t="shared" ref="G4:G10" si="1">D4*F4</f>
        <v>75915</v>
      </c>
      <c r="H4" s="58">
        <f t="shared" si="0"/>
        <v>6.3722470029496242E-2</v>
      </c>
      <c r="I4" s="58">
        <f>VLOOKUP(B4,Opportunities!B$3:I$30,8,FALSE)</f>
        <v>4.3030442991779244E-2</v>
      </c>
      <c r="J4" s="81">
        <f>VLOOKUP(B4,Opportunities!B$3:N$30,12,FALSE)</f>
        <v>15.404477561031948</v>
      </c>
      <c r="K4" s="81">
        <f>VLOOKUP(B4,Opportunities!B$3:N$30,9,FALSE)</f>
        <v>12.370178090855299</v>
      </c>
      <c r="L4" s="81">
        <f>VLOOKUP(B4,Opportunities!B$3:N$30,11,FALSE)</f>
        <v>21.437273351062743</v>
      </c>
      <c r="M4" s="81">
        <f>VLOOKUP(B4,Opportunities!B$3:N$30,13,FALSE)</f>
        <v>19.010020600122139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21.76</v>
      </c>
      <c r="E5" s="59" t="str">
        <f>VLOOKUP(B5,Opportunities!B$3:E$30,4,FALSE)</f>
        <v>HKD</v>
      </c>
      <c r="F5" s="57">
        <v>4000</v>
      </c>
      <c r="G5" s="61">
        <f t="shared" si="1"/>
        <v>87040</v>
      </c>
      <c r="H5" s="58">
        <f t="shared" si="0"/>
        <v>7.3060709890895789E-2</v>
      </c>
      <c r="I5" s="58">
        <f>VLOOKUP(B5,Opportunities!B$3:I$30,8,FALSE)</f>
        <v>0</v>
      </c>
      <c r="J5" s="81">
        <f>VLOOKUP(B5,Opportunities!B$3:N$30,12,FALSE)</f>
        <v>17.070728625844655</v>
      </c>
      <c r="K5" s="81">
        <f>VLOOKUP(B5,Opportunities!B$3:N$30,9,FALSE)</f>
        <v>13.809796084064406</v>
      </c>
      <c r="L5" s="81">
        <f>VLOOKUP(B5,Opportunities!B$3:N$30,11,FALSE)</f>
        <v>23.527543664585608</v>
      </c>
      <c r="M5" s="81">
        <f>VLOOKUP(B5,Opportunities!B$3:N$30,13,FALSE)</f>
        <v>20.93314181198205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2.87</v>
      </c>
      <c r="E6" s="59" t="str">
        <f>VLOOKUP(B6,Opportunities!B$3:E$30,4,FALSE)</f>
        <v>HKD</v>
      </c>
      <c r="F6" s="57">
        <v>40000</v>
      </c>
      <c r="G6" s="61">
        <f t="shared" si="1"/>
        <v>114800</v>
      </c>
      <c r="H6" s="58">
        <f t="shared" si="0"/>
        <v>9.6362241446172281E-2</v>
      </c>
      <c r="I6" s="58">
        <f>VLOOKUP(B6,Opportunities!B$3:I$30,8,FALSE)</f>
        <v>0.15296053758373099</v>
      </c>
      <c r="J6" s="81">
        <f>VLOOKUP(B6,Opportunities!B$3:N$30,12,FALSE)</f>
        <v>2.87837081868983</v>
      </c>
      <c r="K6" s="81">
        <f>VLOOKUP(B6,Opportunities!B$3:N$30,9,FALSE)</f>
        <v>2.3372346420267727</v>
      </c>
      <c r="L6" s="81">
        <f>VLOOKUP(B6,Opportunities!B$3:N$30,11,FALSE)</f>
        <v>3.9475005072198974</v>
      </c>
      <c r="M6" s="81">
        <f>VLOOKUP(B6,Opportunities!B$3:N$30,13,FALSE)</f>
        <v>3.5182216001675917</v>
      </c>
    </row>
    <row r="7" spans="1:13">
      <c r="B7" s="63" t="s">
        <v>342</v>
      </c>
      <c r="C7" s="62" t="str">
        <f>VLOOKUP(B7,Opportunities!B$3:E$30,2,FALSE)</f>
        <v>昆仑能源</v>
      </c>
      <c r="D7" s="60">
        <f>VLOOKUP(B7,Opportunities!B$3:E$30,3,FALSE)</f>
        <v>7.48</v>
      </c>
      <c r="E7" s="59" t="str">
        <f>VLOOKUP(B7,Opportunities!B$3:E$30,4,FALSE)</f>
        <v>HKD</v>
      </c>
      <c r="F7" s="57">
        <v>8000</v>
      </c>
      <c r="G7" s="61">
        <f t="shared" si="1"/>
        <v>59840</v>
      </c>
      <c r="H7" s="58">
        <f t="shared" si="0"/>
        <v>5.0229238049990847E-2</v>
      </c>
      <c r="I7" s="58">
        <f>VLOOKUP(B7,Opportunities!B$3:I$30,8,FALSE)</f>
        <v>4.4566097200134616E-2</v>
      </c>
      <c r="J7" s="81">
        <f>VLOOKUP(B7,Opportunities!B$3:N$30,12,FALSE)</f>
        <v>7.0766300749623952</v>
      </c>
      <c r="K7" s="81">
        <f>VLOOKUP(B7,Opportunities!B$3:N$30,9,FALSE)</f>
        <v>5.6931589466489543</v>
      </c>
      <c r="L7" s="81">
        <f>VLOOKUP(B7,Opportunities!B$3:N$30,11,FALSE)</f>
        <v>9.8245145551315325</v>
      </c>
      <c r="M7" s="81">
        <f>VLOOKUP(B7,Opportunities!B$3:N$30,13,FALSE)</f>
        <v>8.7192777666315617</v>
      </c>
    </row>
    <row r="8" spans="1:13">
      <c r="B8" s="63" t="s">
        <v>384</v>
      </c>
      <c r="C8" s="62" t="str">
        <f>VLOOKUP(B8,Opportunities!B$3:E$30,2,FALSE)</f>
        <v>新华文轩</v>
      </c>
      <c r="D8" s="60">
        <f>VLOOKUP(B8,Opportunities!B$3:E$30,3,FALSE)</f>
        <v>10.6</v>
      </c>
      <c r="E8" s="59" t="str">
        <f>VLOOKUP(B8,Opportunities!B$3:E$30,4,FALSE)</f>
        <v>HKD</v>
      </c>
      <c r="F8" s="57">
        <v>5000</v>
      </c>
      <c r="G8" s="61">
        <f t="shared" si="1"/>
        <v>53000</v>
      </c>
      <c r="H8" s="58">
        <f t="shared" si="0"/>
        <v>4.4487794395880936E-2</v>
      </c>
      <c r="I8" s="58">
        <f>VLOOKUP(B8,Opportunities!B$3:I$30,8,FALSE)</f>
        <v>9.5092960468896245E-2</v>
      </c>
      <c r="J8" s="81">
        <f>VLOOKUP(B8,Opportunities!B$3:N$30,12,FALSE)</f>
        <v>11.078200368693507</v>
      </c>
      <c r="K8" s="81">
        <f>VLOOKUP(B8,Opportunities!B$3:N$30,9,FALSE)</f>
        <v>8.9282636709273095</v>
      </c>
      <c r="L8" s="81">
        <f>VLOOKUP(B8,Opportunities!B$3:N$30,11,FALSE)</f>
        <v>15.34428371927317</v>
      </c>
      <c r="M8" s="81">
        <f>VLOOKUP(B8,Opportunities!B$3:N$30,13,FALSE)</f>
        <v>13.628949317518744</v>
      </c>
    </row>
    <row r="9" spans="1:13">
      <c r="B9" s="63" t="s">
        <v>329</v>
      </c>
      <c r="C9" s="62" t="str">
        <f>VLOOKUP(B9,Opportunities!B$3:E$30,2,FALSE)</f>
        <v>大家乐集团</v>
      </c>
      <c r="D9" s="60">
        <f>VLOOKUP(B9,Opportunities!B$3:E$30,3,FALSE)</f>
        <v>5.6</v>
      </c>
      <c r="E9" s="59" t="str">
        <f>VLOOKUP(B9,Opportunities!B$3:E$30,4,FALSE)</f>
        <v>HKD</v>
      </c>
      <c r="F9" s="57">
        <v>4000</v>
      </c>
      <c r="G9" s="61">
        <f t="shared" si="1"/>
        <v>22400</v>
      </c>
      <c r="H9" s="58">
        <f t="shared" si="0"/>
        <v>1.8802388574862886E-2</v>
      </c>
      <c r="I9" s="58">
        <f>VLOOKUP(B9,Opportunities!B$3:I$30,8,FALSE)</f>
        <v>0</v>
      </c>
      <c r="J9" s="81">
        <f>VLOOKUP(B9,Opportunities!B$3:N$30,12,FALSE)</f>
        <v>3.502075881620625</v>
      </c>
      <c r="K9" s="81">
        <f>VLOOKUP(B9,Opportunities!B$3:N$30,9,FALSE)</f>
        <v>2.8469337559046011</v>
      </c>
      <c r="L9" s="81">
        <f>VLOOKUP(B9,Opportunities!B$3:N$30,11,FALSE)</f>
        <v>4.7955574838842381</v>
      </c>
      <c r="M9" s="81">
        <f>VLOOKUP(B9,Opportunities!B$3:N$30,13,FALSE)</f>
        <v>4.2763128805182129</v>
      </c>
    </row>
    <row r="10" spans="1:13">
      <c r="B10" s="63" t="s">
        <v>331</v>
      </c>
      <c r="C10" s="62" t="str">
        <f>VLOOKUP(B10,Opportunities!B$3:E$30,2,FALSE)</f>
        <v>中国飞鹤</v>
      </c>
      <c r="D10" s="60">
        <f>VLOOKUP(B10,Opportunities!B$3:E$30,3,FALSE)</f>
        <v>4.12</v>
      </c>
      <c r="E10" s="59" t="str">
        <f>VLOOKUP(B10,Opportunities!B$3:E$30,4,FALSE)</f>
        <v>HKD</v>
      </c>
      <c r="F10" s="57">
        <v>12000</v>
      </c>
      <c r="G10" s="61">
        <f t="shared" si="1"/>
        <v>49440</v>
      </c>
      <c r="H10" s="58">
        <f t="shared" ref="H10" si="2">G10/$G$12</f>
        <v>4.1499557640233081E-2</v>
      </c>
      <c r="I10" s="58">
        <f>VLOOKUP(B10,Opportunities!B$3:I$30,8,FALSE)</f>
        <v>8.4073768594819409E-2</v>
      </c>
      <c r="J10" s="81">
        <f>VLOOKUP(B10,Opportunities!B$3:N$30,12,FALSE)</f>
        <v>4.1989031034891706</v>
      </c>
      <c r="K10" s="81">
        <f>VLOOKUP(B10,Opportunities!B$3:N$30,9,FALSE)</f>
        <v>3.3865045422207749</v>
      </c>
      <c r="L10" s="81">
        <f>VLOOKUP(B10,Opportunities!B$3:N$30,11,FALSE)</f>
        <v>5.8102737530218826</v>
      </c>
      <c r="M10" s="81">
        <f>VLOOKUP(B10,Opportunities!B$3:N$30,13,FALSE)</f>
        <v>5.1624490889886134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1191338</v>
      </c>
      <c r="H12" s="67">
        <f>SUM(H3:H10)</f>
        <v>1</v>
      </c>
      <c r="I12" s="73">
        <f>SUM(I3:I10)</f>
        <v>0.86972380683936046</v>
      </c>
      <c r="J12" s="82" t="s">
        <v>189</v>
      </c>
      <c r="K12" s="82" t="s">
        <v>189</v>
      </c>
      <c r="L12" s="82" t="s">
        <v>189</v>
      </c>
      <c r="M12" s="82" t="s">
        <v>189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16.87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4.3030442991779244E-2</v>
      </c>
      <c r="J15" s="81">
        <f>VLOOKUP(B15,Opportunities!B$3:N$30,12,FALSE)</f>
        <v>15.404477561031948</v>
      </c>
      <c r="K15" s="81">
        <f>VLOOKUP(B15,Opportunities!B$3:N$30,9,FALSE)</f>
        <v>12.370178090855299</v>
      </c>
      <c r="L15" s="81">
        <f>VLOOKUP(B15,Opportunities!B$3:N$30,11,FALSE)</f>
        <v>21.437273351062743</v>
      </c>
      <c r="M15" s="81">
        <f>VLOOKUP(B15,Opportunities!B$3:N$30,13,FALSE)</f>
        <v>19.010020600122139</v>
      </c>
    </row>
    <row r="16" spans="1:13">
      <c r="B16" s="63" t="s">
        <v>172</v>
      </c>
      <c r="C16" s="62" t="str">
        <f>VLOOKUP(B16,Opportunities!B$3:E$30,2,FALSE)</f>
        <v>中国海油</v>
      </c>
      <c r="D16" s="60">
        <f>VLOOKUP(B16,Opportunities!B$3:E$30,3,FALSE)</f>
        <v>21.76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17.070728625844655</v>
      </c>
      <c r="K16" s="81">
        <f>VLOOKUP(B16,Opportunities!B$3:N$30,9,FALSE)</f>
        <v>13.809796084064406</v>
      </c>
      <c r="L16" s="81">
        <f>VLOOKUP(B16,Opportunities!B$3:N$30,11,FALSE)</f>
        <v>23.527543664585608</v>
      </c>
      <c r="M16" s="81">
        <f>VLOOKUP(B16,Opportunities!B$3:N$30,13,FALSE)</f>
        <v>20.93314181198205</v>
      </c>
    </row>
    <row r="17" spans="1:13">
      <c r="B17" s="63" t="s">
        <v>185</v>
      </c>
      <c r="C17" s="62" t="str">
        <f>VLOOKUP(B17,Opportunities!B$3:E$30,2,FALSE)</f>
        <v>首钢资源</v>
      </c>
      <c r="D17" s="60">
        <f>VLOOKUP(B17,Opportunities!B$3:E$30,3,FALSE)</f>
        <v>2.87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0.15296053758373099</v>
      </c>
      <c r="J17" s="81">
        <f>VLOOKUP(B17,Opportunities!B$3:N$30,12,FALSE)</f>
        <v>2.87837081868983</v>
      </c>
      <c r="K17" s="81">
        <f>VLOOKUP(B17,Opportunities!B$3:N$30,9,FALSE)</f>
        <v>2.3372346420267727</v>
      </c>
      <c r="L17" s="81">
        <f>VLOOKUP(B17,Opportunities!B$3:N$30,11,FALSE)</f>
        <v>3.9475005072198974</v>
      </c>
      <c r="M17" s="81">
        <f>VLOOKUP(B17,Opportunities!B$3:N$30,13,FALSE)</f>
        <v>3.5182216001675917</v>
      </c>
    </row>
    <row r="18" spans="1:13">
      <c r="B18" s="63" t="s">
        <v>331</v>
      </c>
      <c r="C18" s="62" t="str">
        <f>VLOOKUP(B18,Opportunities!B$3:E$30,2,FALSE)</f>
        <v>中国飞鹤</v>
      </c>
      <c r="D18" s="60">
        <f>VLOOKUP(B18,Opportunities!B$3:E$30,3,FALSE)</f>
        <v>4.12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8.4073768594819409E-2</v>
      </c>
      <c r="J18" s="81">
        <f>VLOOKUP(B18,Opportunities!B$3:N$30,12,FALSE)</f>
        <v>4.1989031034891706</v>
      </c>
      <c r="K18" s="81">
        <f>VLOOKUP(B18,Opportunities!B$3:N$30,9,FALSE)</f>
        <v>3.3865045422207749</v>
      </c>
      <c r="L18" s="81">
        <f>VLOOKUP(B18,Opportunities!B$3:N$30,11,FALSE)</f>
        <v>5.8102737530218826</v>
      </c>
      <c r="M18" s="81">
        <f>VLOOKUP(B18,Opportunities!B$3:N$30,13,FALSE)</f>
        <v>5.1624490889886134</v>
      </c>
    </row>
    <row r="19" spans="1:13">
      <c r="B19" s="63" t="s">
        <v>384</v>
      </c>
      <c r="C19" s="62" t="str">
        <f>VLOOKUP(B19,Opportunities!B$3:E$30,2,FALSE)</f>
        <v>新华文轩</v>
      </c>
      <c r="D19" s="60">
        <f>VLOOKUP(B19,Opportunities!B$3:E$30,3,FALSE)</f>
        <v>10.6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9.5092960468896245E-2</v>
      </c>
      <c r="J19" s="81">
        <f>VLOOKUP(B19,Opportunities!B$3:N$30,12,FALSE)</f>
        <v>11.078200368693507</v>
      </c>
      <c r="K19" s="81">
        <f>VLOOKUP(B19,Opportunities!B$3:N$30,9,FALSE)</f>
        <v>8.9282636709273095</v>
      </c>
      <c r="L19" s="81">
        <f>VLOOKUP(B19,Opportunities!B$3:N$30,11,FALSE)</f>
        <v>15.34428371927317</v>
      </c>
      <c r="M19" s="81">
        <f>VLOOKUP(B19,Opportunities!B$3:N$30,13,FALSE)</f>
        <v>13.628949317518744</v>
      </c>
    </row>
    <row r="20" spans="1:13">
      <c r="B20" s="63" t="s">
        <v>342</v>
      </c>
      <c r="C20" s="62" t="str">
        <f>VLOOKUP(B20,Opportunities!B$3:E$30,2,FALSE)</f>
        <v>昆仑能源</v>
      </c>
      <c r="D20" s="60">
        <f>VLOOKUP(B20,Opportunities!B$3:E$30,3,FALSE)</f>
        <v>7.48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4.4566097200134616E-2</v>
      </c>
      <c r="J20" s="81">
        <f>VLOOKUP(B20,Opportunities!B$3:N$30,12,FALSE)</f>
        <v>7.0766300749623952</v>
      </c>
      <c r="K20" s="81">
        <f>VLOOKUP(B20,Opportunities!B$3:N$30,9,FALSE)</f>
        <v>5.6931589466489543</v>
      </c>
      <c r="L20" s="81">
        <f>VLOOKUP(B20,Opportunities!B$3:N$30,11,FALSE)</f>
        <v>9.8245145551315325</v>
      </c>
      <c r="M20" s="81">
        <f>VLOOKUP(B20,Opportunities!B$3:N$30,13,FALSE)</f>
        <v>8.7192777666315617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0.61183559997246795</v>
      </c>
      <c r="I23" s="73">
        <f>Portfolio_Mgmt!E73</f>
        <v>0.45</v>
      </c>
      <c r="J23" s="82" t="s">
        <v>189</v>
      </c>
      <c r="K23" s="82" t="s">
        <v>189</v>
      </c>
      <c r="L23" s="82" t="s">
        <v>189</v>
      </c>
      <c r="M23" s="82" t="s">
        <v>189</v>
      </c>
    </row>
    <row r="25" spans="1:13" ht="13.15">
      <c r="A25" s="49"/>
      <c r="B25" s="50" t="s">
        <v>190</v>
      </c>
      <c r="C25" s="115"/>
      <c r="D25" s="56"/>
      <c r="E25" s="53"/>
      <c r="F25" s="57"/>
      <c r="G25" s="57"/>
    </row>
    <row r="26" spans="1:13" ht="13.15">
      <c r="C26" s="84" t="s">
        <v>191</v>
      </c>
      <c r="D26" s="84" t="s">
        <v>194</v>
      </c>
      <c r="F26" s="84" t="s">
        <v>195</v>
      </c>
    </row>
    <row r="27" spans="1:13" ht="14.25">
      <c r="B27" s="83" t="s">
        <v>192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193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196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2025-12-04T06:00:54Z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