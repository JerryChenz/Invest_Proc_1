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F148F26-38CA-4EA0-8984-601195587588}" xr6:coauthVersionLast="47" xr6:coauthVersionMax="47" xr10:uidLastSave="{00000000-0000-0000-0000-000000000000}"/>
  <bookViews>
    <workbookView xWindow="1470" yWindow="1470" windowWidth="12690" windowHeight="7643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<sst xmlns="http://schemas.openxmlformats.org/spreadsheetml/2006/main" count="485" uniqueCount="389">
  <si>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</si>
  <si>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</si>
  <si>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</si>
  <si>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</si>
  <si>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</si>
  <si>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</si>
  <si>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</si>
  <si>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</si>
  <si>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</si>
  <si>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</si>
  <si>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</si>
  <si>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</si>
  <si>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</si>
  <si>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</si>
  <si>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</si>
  <si>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</si>
  <si>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</si>
  <si>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</si>
  <si>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</si>
  <si>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</si>
  <si>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</si>
  <si>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</si>
  <si>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</si>
  <si>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</si>
  <si>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</si>
  <si>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</si>
  <si>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</si>
  <si>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</si>
  <si>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</si>
  <si>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</si>
  <si>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</si>
  <si>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</si>
  <si>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</si>
  <si>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</si>
  <si>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</si>
  <si>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</si>
  <si>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</si>
  <si>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</si>
  <si>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</si>
  <si>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</si>
  <si>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</si>
  <si>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</si>
  <si>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</si>
  <si>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</si>
  <si>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</si>
  <si>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</si>
  <si>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</si>
  <si>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</si>
  <si>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</si>
  <si>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</si>
  <si>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</si>
  <si>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</si>
  <si>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</si>
  <si>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</si>
  <si>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</si>
  <si>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</si>
  <si>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</si>
  <si>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</si>
  <si>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</si>
  <si>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</si>
  <si>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</si>
  <si>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</si>
  <si>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</si>
  <si>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</si>
  <si>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</si>
  <si>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</si>
  <si>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</si>
  <si>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</si>
  <si>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</si>
  <si>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</si>
  <si>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</si>
  <si>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</si>
  <si>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</si>
  <si>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</si>
  <si>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</si>
  <si>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</si>
  <si>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</si>
  <si>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</si>
  <si>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</si>
  <si>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</si>
  <si>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</si>
  <si>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</si>
  <si>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</si>
  <si>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</si>
  <si>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</si>
  <si>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</si>
  <si>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</si>
  <si>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</si>
  <si>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</si>
  <si>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</si>
  <si>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</si>
  <si>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</si>
  <si>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</si>
  <si>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</si>
  <si>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</si>
  <si>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</si>
  <si>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</si>
  <si>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</si>
  <si>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</si>
  <si>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</si>
  <si>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</si>
  <si>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</si>
  <si>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</si>
  <si>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</si>
  <si>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</si>
  <si>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</si>
  <si>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</si>
  <si>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</si>
  <si>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</si>
  <si>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</si>
  <si>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</si>
  <si>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</si>
  <si>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</si>
  <si>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</si>
  <si>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</si>
  <si>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</si>
  <si>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</si>
  <si>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</si>
  <si>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</si>
  <si>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</si>
  <si>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</si>
  <si>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</si>
  <si>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</si>
  <si>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</si>
  <si>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</si>
  <si>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</si>
  <si>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</si>
  <si>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</si>
  <si>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</si>
  <si>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</si>
  <si>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</si>
  <si>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</si>
  <si>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</si>
  <si>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</si>
  <si>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</si>
  <si>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</si>
  <si>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</si>
  <si>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</si>
  <si>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</si>
  <si>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</si>
  <si>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</si>
  <si>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</si>
  <si>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</si>
  <si>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</si>
  <si>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</si>
  <si>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</si>
  <si>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</si>
  <si>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</si>
  <si>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</si>
  <si>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</si>
  <si>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</si>
  <si>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</si>
  <si>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</si>
  <si>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</si>
  <si>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</si>
  <si>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</si>
  <si>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</si>
  <si>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</si>
  <si>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</si>
  <si>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</si>
  <si>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</si>
  <si>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</si>
  <si>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</si>
  <si>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</si>
  <si>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</si>
  <si>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</si>
  <si>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</si>
  <si>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</si>
  <si>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</si>
  <si>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</si>
  <si>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</si>
  <si>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</si>
  <si>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</si>
  <si>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</si>
  <si>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</si>
  <si>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</si>
  <si>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</si>
  <si>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</si>
  <si>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</si>
  <si>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</si>
  <si>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</si>
  <si>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</si>
  <si>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</si>
  <si>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</si>
  <si>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</si>
  <si>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</si>
  <si>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</si>
  <si>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</si>
  <si>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</si>
  <si>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</si>
  <si>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</si>
  <si>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</si>
  <si>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</si>
  <si>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</si>
  <si>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</si>
  <si>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</si>
  <si>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</si>
  <si>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</si>
  <si>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</si>
  <si>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</si>
  <si>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</si>
  <si>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</si>
  <si>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</si>
  <si>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</si>
  <si>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</si>
  <si>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</si>
  <si>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</si>
  <si>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</si>
  <si>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</si>
  <si>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</si>
  <si>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</si>
  <si>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</si>
  <si>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</si>
  <si>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</si>
  <si>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</si>
  <si>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</si>
  <si>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</si>
  <si>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</si>
  <si>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</si>
  <si>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</si>
  <si>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</si>
  <si>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</si>
  <si>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</si>
  <si>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</si>
  <si>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</si>
  <si>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</si>
  <si>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</si>
  <si>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</si>
  <si>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</si>
  <si>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</si>
  <si>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</si>
  <si>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</si>
  <si>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</si>
  <si>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</si>
  <si>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</si>
  <si>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</si>
  <si>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</si>
  <si>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</si>
  <si>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</si>
  <si>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</si>
  <si>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</si>
  <si>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</si>
  <si>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</si>
  <si>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</si>
  <si>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</si>
  <si>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</si>
  <si>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</si>
  <si>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</si>
  <si>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</si>
  <si>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</si>
  <si>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</si>
  <si>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</si>
  <si>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</si>
  <si>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</si>
  <si>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</si>
  <si>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</si>
  <si>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</si>
  <si>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</si>
  <si>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</si>
  <si>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</si>
  <si>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</si>
  <si>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</si>
  <si>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</si>
  <si>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</si>
  <si>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</si>
  <si>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</si>
  <si>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</si>
  <si>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</si>
  <si>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</si>
  <si>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</si>
  <si>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</si>
  <si>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</si>
  <si>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</si>
  <si>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</si>
  <si>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</si>
  <si>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</si>
  <si>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</si>
  <si>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</si>
  <si>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</si>
  <si>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</si>
  <si>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</si>
  <si>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</si>
  <si>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</si>
  <si>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</si>
  <si>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</si>
  <si>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</si>
  <si>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</si>
  <si>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</si>
  <si>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</si>
  <si>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</si>
  <si>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</si>
  <si>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</si>
  <si>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</si>
  <si>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</si>
  <si>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</si>
  <si>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</si>
  <si>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</si>
  <si>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</si>
  <si>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</si>
  <si>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</si>
  <si>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</si>
  <si>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</si>
  <si>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</si>
  <si>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</si>
  <si>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</si>
  <si>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</si>
  <si>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</si>
  <si>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</si>
  <si>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</si>
  <si>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</si>
  <si>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</si>
  <si>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</si>
  <si>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</si>
  <si>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</si>
  <si>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</si>
  <si>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</si>
  <si>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</si>
  <si>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</si>
  <si>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</si>
  <si>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</si>
  <si>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</si>
  <si>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</si>
  <si>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</si>
  <si>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</si>
  <si>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</si>
  <si>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</si>
  <si>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</si>
  <si>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</si>
  <si>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</si>
  <si>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</si>
  <si>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</si>
  <si>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</si>
  <si>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</si>
  <si>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</si>
  <si>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</si>
  <si>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</si>
  <si>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</si>
  <si>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</si>
  <si>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</si>
  <si>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</si>
  <si>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</si>
  <si>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</si>
  <si>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</si>
  <si>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</si>
  <si>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</si>
  <si>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</si>
  <si>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</si>
  <si>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</si>
  <si>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</si>
  <si>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</si>
  <si>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</si>
  <si>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</si>
  <si>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</si>
  <si>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</si>
  <si>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</si>
  <si>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</si>
  <si>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</si>
  <si>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</si>
  <si>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</si>
  <si>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</si>
  <si>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</si>
  <si>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</si>
  <si>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</si>
  <si>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</si>
  <si>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</si>
  <si>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</si>
  <si>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</si>
  <si>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</si>
  <si>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</si>
  <si>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</si>
  <si>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</si>
  <si>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</si>
  <si>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</si>
  <si>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</si>
  <si>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</si>
  <si>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</si>
  <si>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</si>
  <si>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</si>
  <si>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</si>
  <si>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</si>
  <si>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</si>
  <si>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</si>
  <si>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</si>
  <si>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</si>
  <si>
    <t>0941.HK</t>
  </si>
  <si>
    <t>中国移动</t>
  </si>
  <si>
    <t>TMT_02</t>
  </si>
  <si>
    <t>2020.HK</t>
  </si>
  <si>
    <t>安踏體育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</si>
</sst>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10.66</v>
      </c>
      <c r="E3" s="12" t="s">
        <v>134</v>
      </c>
      <c r="F3" s="15">
        <v>0.25496466060237022</v>
      </c>
      <c r="G3" s="15">
        <f>F3 - Portfolio_Mgmt!$C$10</f>
        <v>0.13756466060237021</v>
      </c>
      <c r="H3" s="15">
        <f>F3 - Portfolio_Mgmt!$C$11</f>
        <v>0.22046466060237022</v>
      </c>
      <c r="I3" s="15">
        <v>0.1252287887201057</v>
      </c>
      <c r="J3" s="2">
        <v>9.7488931482919732</v>
      </c>
      <c r="K3" s="2">
        <v>18.738949821356439</v>
      </c>
      <c r="L3" s="71">
        <v>16.779429357070541</v>
      </c>
      <c r="M3" s="2">
        <v>12.104191417352101</v>
      </c>
      <c r="N3" s="2">
        <v>14.899363476708611</v>
      </c>
      <c r="O3" s="4">
        <v>9.5088482870330893E-2</v>
      </c>
      <c r="P3" s="4">
        <v>5.7080896587085546E-2</v>
      </c>
      <c r="Q3" s="4">
        <v>0.10095766003842012</v>
      </c>
      <c r="R3" s="4">
        <v>0.12639765354644034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1.7583023732837386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3.93</v>
      </c>
      <c r="E4" s="12" t="s">
        <v>134</v>
      </c>
      <c r="F4" s="15">
        <v>0.2381035602299407</v>
      </c>
      <c r="G4" s="15">
        <f>F4 - Portfolio_Mgmt!$C$10</f>
        <v>0.12070356022994069</v>
      </c>
      <c r="H4" s="15">
        <f>F4 - Portfolio_Mgmt!$C$11</f>
        <v>0.20360356022994069</v>
      </c>
      <c r="I4" s="15">
        <v>0.11211803722354502</v>
      </c>
      <c r="J4" s="2">
        <v>3.459452061279972</v>
      </c>
      <c r="K4" s="2">
        <v>6.5468768718831019</v>
      </c>
      <c r="L4" s="71">
        <v>5.938589027542732</v>
      </c>
      <c r="M4" s="2">
        <v>4.2903376833352107</v>
      </c>
      <c r="N4" s="2">
        <v>5.2759094755624183</v>
      </c>
      <c r="O4" s="4">
        <v>0.1127137994297025</v>
      </c>
      <c r="P4" s="4">
        <v>6.1526717557251906E-2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1.2804568463191928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382</v>
      </c>
      <c r="C5" s="11" t="s">
        <v>383</v>
      </c>
      <c r="D5" s="2">
        <v>108.5</v>
      </c>
      <c r="E5" s="12" t="s">
        <v>134</v>
      </c>
      <c r="F5" s="15">
        <v>0.23040202190361286</v>
      </c>
      <c r="G5" s="15">
        <f>F5 - Portfolio_Mgmt!$C$10</f>
        <v>0.11300202190361286</v>
      </c>
      <c r="H5" s="15">
        <f>F5 - Portfolio_Mgmt!$C$11</f>
        <v>0.19590202190361286</v>
      </c>
      <c r="I5" s="15">
        <v>0.21094514133657363</v>
      </c>
      <c r="J5" s="2">
        <v>93.500957611370026</v>
      </c>
      <c r="K5" s="2">
        <v>188.95964751691497</v>
      </c>
      <c r="L5" s="71">
        <v>162.34065566142357</v>
      </c>
      <c r="M5" s="2">
        <v>116.53142065168849</v>
      </c>
      <c r="N5" s="2">
        <v>143.9070281902072</v>
      </c>
      <c r="O5" s="4">
        <v>7.9081083837262922E-2</v>
      </c>
      <c r="P5" s="4">
        <v>3.2350230414746543E-2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-65.025078661990335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384</v>
      </c>
      <c r="C6" s="11" t="s">
        <v>385</v>
      </c>
      <c r="D6" s="2">
        <v>79.3</v>
      </c>
      <c r="E6" s="12" t="s">
        <v>134</v>
      </c>
      <c r="F6" s="15">
        <v>0.19972450617404428</v>
      </c>
      <c r="G6" s="15">
        <f>F6 - Portfolio_Mgmt!$C$10</f>
        <v>8.2324506174044271E-2</v>
      </c>
      <c r="H6" s="15">
        <f>F6 - Portfolio_Mgmt!$C$11</f>
        <v>0.16522450617404427</v>
      </c>
      <c r="I6" s="15">
        <v>0.14755652274134765</v>
      </c>
      <c r="J6" s="2">
        <v>63.804437015468594</v>
      </c>
      <c r="K6" s="2">
        <v>120.26549467131863</v>
      </c>
      <c r="L6" s="71">
        <v>109.45483716217629</v>
      </c>
      <c r="M6" s="2">
        <v>79.105875827605686</v>
      </c>
      <c r="N6" s="2">
        <v>97.253678146658942</v>
      </c>
      <c r="O6" s="4">
        <v>6.8137741683054476E-2</v>
      </c>
      <c r="P6" s="4">
        <v>5.7767969735182854E-2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1.4522878219988347</v>
      </c>
      <c r="X6" s="13" t="s">
        <v>379</v>
      </c>
      <c r="Y6" s="11" t="s">
        <v>364</v>
      </c>
      <c r="Z6" s="14">
        <v>46081</v>
      </c>
      <c r="AA6" s="16" t="s">
        <v>181</v>
      </c>
    </row>
    <row r="7" spans="1:27">
      <c r="B7" s="11" t="s">
        <v>362</v>
      </c>
      <c r="C7" s="11" t="s">
        <v>363</v>
      </c>
      <c r="D7" s="2">
        <v>7.11</v>
      </c>
      <c r="E7" s="12" t="s">
        <v>134</v>
      </c>
      <c r="F7" s="15">
        <v>0.17287760400666741</v>
      </c>
      <c r="G7" s="15">
        <f>F7 - Portfolio_Mgmt!$C$10</f>
        <v>5.5477604006667403E-2</v>
      </c>
      <c r="H7" s="15">
        <f>F7 - Portfolio_Mgmt!$C$11</f>
        <v>0.1383776040066674</v>
      </c>
      <c r="I7" s="15">
        <v>7.3195942871490449E-2</v>
      </c>
      <c r="J7" s="2">
        <v>5.3141281403824898</v>
      </c>
      <c r="K7" s="2">
        <v>10.967807599967429</v>
      </c>
      <c r="L7" s="71">
        <v>9.2614927891107719</v>
      </c>
      <c r="M7" s="2">
        <v>6.6339642861251669</v>
      </c>
      <c r="N7" s="2">
        <v>8.2038797297466814</v>
      </c>
      <c r="O7" s="4">
        <v>6.4565419183969866E-2</v>
      </c>
      <c r="P7" s="4">
        <v>1.9971870604781995E-2</v>
      </c>
      <c r="Q7" s="4">
        <v>0.3</v>
      </c>
      <c r="R7" s="4">
        <v>0.15217050538089463</v>
      </c>
      <c r="S7" s="79">
        <v>1.1106245684847842</v>
      </c>
      <c r="T7" s="78">
        <v>1.775102743966247</v>
      </c>
      <c r="U7" s="15">
        <v>0.17709797868255178</v>
      </c>
      <c r="V7" s="76">
        <v>0.82178780749892033</v>
      </c>
      <c r="W7" s="71">
        <v>-0.16650139591844174</v>
      </c>
      <c r="X7" s="13" t="s">
        <v>169</v>
      </c>
      <c r="Y7" s="11" t="s">
        <v>364</v>
      </c>
      <c r="Z7" s="14">
        <v>46081</v>
      </c>
      <c r="AA7" s="16" t="s">
        <v>181</v>
      </c>
    </row>
    <row r="8" spans="1:27">
      <c r="B8" s="11" t="s">
        <v>327</v>
      </c>
      <c r="C8" s="11" t="s">
        <v>328</v>
      </c>
      <c r="D8" s="2">
        <v>4.72</v>
      </c>
      <c r="E8" s="12" t="s">
        <v>134</v>
      </c>
      <c r="F8" s="15">
        <v>0.17022624371845238</v>
      </c>
      <c r="G8" s="15">
        <f>F8 - Portfolio_Mgmt!$C$10</f>
        <v>5.2826243718452376E-2</v>
      </c>
      <c r="H8" s="15">
        <f>F8 - Portfolio_Mgmt!$C$11</f>
        <v>0.13572624371845238</v>
      </c>
      <c r="I8" s="15">
        <v>6.4556899081208638E-2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8.5576944629714768E-2</v>
      </c>
      <c r="P8" s="4">
        <v>6.3559322033898316E-2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169</v>
      </c>
      <c r="Y8" s="11" t="s">
        <v>361</v>
      </c>
      <c r="Z8" s="14">
        <v>46173</v>
      </c>
      <c r="AA8" s="16" t="s">
        <v>181</v>
      </c>
    </row>
    <row r="9" spans="1:27">
      <c r="B9" s="11" t="s">
        <v>183</v>
      </c>
      <c r="C9" s="11" t="s">
        <v>371</v>
      </c>
      <c r="D9" s="2">
        <v>3.37</v>
      </c>
      <c r="E9" s="12" t="s">
        <v>134</v>
      </c>
      <c r="F9" s="15">
        <v>0.16958858883571035</v>
      </c>
      <c r="G9" s="15">
        <f>F9 - Portfolio_Mgmt!$C$10</f>
        <v>5.2188588835710342E-2</v>
      </c>
      <c r="H9" s="15">
        <f>F9 - Portfolio_Mgmt!$C$11</f>
        <v>0.13508858883571034</v>
      </c>
      <c r="I9" s="15">
        <v>6.2438284276786493E-2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7.2054845130424247E-2</v>
      </c>
      <c r="P9" s="4">
        <v>8.0118694362017809E-2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372</v>
      </c>
      <c r="Y9" s="11" t="s">
        <v>361</v>
      </c>
      <c r="Z9" s="14">
        <v>46081</v>
      </c>
      <c r="AA9" s="16" t="s">
        <v>181</v>
      </c>
    </row>
    <row r="10" spans="1:27">
      <c r="B10" s="11" t="s">
        <v>377</v>
      </c>
      <c r="C10" s="11" t="s">
        <v>378</v>
      </c>
      <c r="D10" s="2">
        <v>91.75</v>
      </c>
      <c r="E10" s="12" t="s">
        <v>134</v>
      </c>
      <c r="F10" s="15">
        <v>0.16700367469332128</v>
      </c>
      <c r="G10" s="15">
        <f>F10 - Portfolio_Mgmt!$C$10</f>
        <v>4.9603674693321276E-2</v>
      </c>
      <c r="H10" s="15">
        <f>F10 - Portfolio_Mgmt!$C$11</f>
        <v>0.13250367469332128</v>
      </c>
      <c r="I10" s="15">
        <v>2.6840822137606107E-2</v>
      </c>
      <c r="J10" s="2">
        <v>67.199030866328215</v>
      </c>
      <c r="K10" s="2">
        <v>145.82189697993218</v>
      </c>
      <c r="L10" s="71">
        <v>118.20363741432527</v>
      </c>
      <c r="M10" s="2">
        <v>84.229254573246052</v>
      </c>
      <c r="N10" s="2">
        <v>104.51936018950025</v>
      </c>
      <c r="O10" s="4">
        <v>1.3462779734811156E-2</v>
      </c>
      <c r="P10" s="4">
        <v>0</v>
      </c>
      <c r="Q10" s="4">
        <v>0.25</v>
      </c>
      <c r="R10" s="4">
        <v>0.13647968218259099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3.5912480307430195</v>
      </c>
      <c r="X10" s="16" t="s">
        <v>386</v>
      </c>
      <c r="Y10" s="11" t="s">
        <v>364</v>
      </c>
      <c r="Z10" s="14">
        <v>46081</v>
      </c>
      <c r="AA10" s="16" t="s">
        <v>367</v>
      </c>
    </row>
    <row r="11" spans="1:27">
      <c r="B11" s="11" t="s">
        <v>330</v>
      </c>
      <c r="C11" s="11" t="s">
        <v>369</v>
      </c>
      <c r="D11" s="2">
        <v>8.0399999999999991</v>
      </c>
      <c r="E11" s="12" t="s">
        <v>134</v>
      </c>
      <c r="F11" s="15">
        <v>0.16182740051304478</v>
      </c>
      <c r="G11" s="15">
        <f>F11 - Portfolio_Mgmt!$C$10</f>
        <v>4.4427400513044779E-2</v>
      </c>
      <c r="H11" s="15">
        <f>F11 - Portfolio_Mgmt!$C$11</f>
        <v>0.12732740051304478</v>
      </c>
      <c r="I11" s="15">
        <v>1.764649876970506E-2</v>
      </c>
      <c r="J11" s="2">
        <v>5.8783608714655502</v>
      </c>
      <c r="K11" s="2">
        <v>11.484343697020162</v>
      </c>
      <c r="L11" s="71">
        <v>10.145892281560497</v>
      </c>
      <c r="M11" s="2">
        <v>7.3073937983127566</v>
      </c>
      <c r="N11" s="2">
        <v>9.0041939503632999</v>
      </c>
      <c r="O11" s="4">
        <v>8.8165925966312231E-2</v>
      </c>
      <c r="P11" s="4">
        <v>3.9833898950221644E-2</v>
      </c>
      <c r="Q11" s="4">
        <v>0.17171994679928687</v>
      </c>
      <c r="R11" s="4">
        <v>8.3606129589071432E-2</v>
      </c>
      <c r="S11" s="79">
        <v>1.3282158707615834</v>
      </c>
      <c r="T11" s="78">
        <v>1.5463719418456539</v>
      </c>
      <c r="U11" s="15">
        <v>0.22428295339746124</v>
      </c>
      <c r="V11" s="76">
        <v>1.2715557492373779</v>
      </c>
      <c r="W11" s="71">
        <v>-2.9736917326953729</v>
      </c>
      <c r="X11" s="13" t="s">
        <v>370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380</v>
      </c>
      <c r="C12" s="11" t="s">
        <v>381</v>
      </c>
      <c r="D12" s="2">
        <v>4.82</v>
      </c>
      <c r="E12" s="12" t="s">
        <v>134</v>
      </c>
      <c r="F12" s="15">
        <v>0.14187358415295637</v>
      </c>
      <c r="G12" s="15">
        <f>F12 - Portfolio_Mgmt!$C$10</f>
        <v>2.4473584152956362E-2</v>
      </c>
      <c r="H12" s="15">
        <f>F12 - Portfolio_Mgmt!$C$11</f>
        <v>0.10737358415295636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6.4358504431991842E-2</v>
      </c>
      <c r="P12" s="4">
        <v>3.3029045643153523E-2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169</v>
      </c>
      <c r="Y12" s="11" t="s">
        <v>364</v>
      </c>
      <c r="Z12" s="14">
        <v>46173</v>
      </c>
      <c r="AA12" s="16" t="s">
        <v>367</v>
      </c>
    </row>
    <row r="13" spans="1:27">
      <c r="B13" s="11" t="s">
        <v>157</v>
      </c>
      <c r="C13" s="11" t="s">
        <v>373</v>
      </c>
      <c r="D13" s="2">
        <v>20.72</v>
      </c>
      <c r="E13" s="12" t="s">
        <v>134</v>
      </c>
      <c r="F13" s="15">
        <v>0.12763763794088803</v>
      </c>
      <c r="G13" s="15">
        <f>F13 - Portfolio_Mgmt!$C$10</f>
        <v>1.0237637940888028E-2</v>
      </c>
      <c r="H13" s="15">
        <f>F13 - Portfolio_Mgmt!$C$11</f>
        <v>9.3137637940888029E-2</v>
      </c>
      <c r="I13" s="15">
        <v>0</v>
      </c>
      <c r="J13" s="2">
        <v>13.827810561868979</v>
      </c>
      <c r="K13" s="2">
        <v>27.945582678027421</v>
      </c>
      <c r="L13" s="2">
        <v>24.008545790578772</v>
      </c>
      <c r="M13" s="2">
        <v>17.23379509303992</v>
      </c>
      <c r="N13" s="2">
        <v>21.282386833803379</v>
      </c>
      <c r="O13" s="4">
        <v>5.4426138936893818E-2</v>
      </c>
      <c r="P13" s="4">
        <v>2.5047442132227683E-2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5.6206209837873056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23.84</v>
      </c>
      <c r="E14" s="12" t="s">
        <v>134</v>
      </c>
      <c r="F14" s="15">
        <v>7.7895672889297995E-2</v>
      </c>
      <c r="G14" s="15">
        <f>F14 - Portfolio_Mgmt!$C$10</f>
        <v>-3.9504327110702009E-2</v>
      </c>
      <c r="H14" s="15">
        <f>F14 - Portfolio_Mgmt!$C$11</f>
        <v>4.3395672889297993E-2</v>
      </c>
      <c r="I14" s="15">
        <v>0</v>
      </c>
      <c r="J14" s="2">
        <v>14.183142934026913</v>
      </c>
      <c r="K14" s="2">
        <v>25.774239987438104</v>
      </c>
      <c r="L14" s="2">
        <v>24.184263785602433</v>
      </c>
      <c r="M14" s="2">
        <v>17.538692619732679</v>
      </c>
      <c r="N14" s="2">
        <v>21.513834321736674</v>
      </c>
      <c r="O14" s="4">
        <v>0.10133325958254406</v>
      </c>
      <c r="P14" s="4">
        <v>5.2852348993288591E-2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0.46351715129733928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 t="s">
        <v>387</v>
      </c>
      <c r="C15" s="11" t="s">
        <v>388</v>
      </c>
      <c r="D15" s="2">
        <v>78.45</v>
      </c>
      <c r="E15" s="12" t="s">
        <v>134</v>
      </c>
      <c r="F15" s="15">
        <v>6.1359469686947478E-2</v>
      </c>
      <c r="G15" s="15">
        <f>F15 - Portfolio_Mgmt!$C$10</f>
        <v>-5.6040530313052526E-2</v>
      </c>
      <c r="H15" s="15">
        <f>F15 - Portfolio_Mgmt!$C$11</f>
        <v>2.6859469686947475E-2</v>
      </c>
      <c r="I15" s="15">
        <v>0</v>
      </c>
      <c r="J15" s="2">
        <v>44.075064100795821</v>
      </c>
      <c r="K15" s="2">
        <v>86.271853207151764</v>
      </c>
      <c r="L15" s="2">
        <v>76.097410964531491</v>
      </c>
      <c r="M15" s="2">
        <v>54.797566691527187</v>
      </c>
      <c r="N15" s="2">
        <v>67.529990788088668</v>
      </c>
      <c r="O15" s="4">
        <v>4.3395960904822804E-2</v>
      </c>
      <c r="P15" s="4">
        <v>3.0082855321861054E-2</v>
      </c>
      <c r="Q15" s="4">
        <v>0.2</v>
      </c>
      <c r="R15" s="4">
        <v>0.19689661988535287</v>
      </c>
      <c r="S15" s="79">
        <v>0.59902736076457896</v>
      </c>
      <c r="T15" s="78">
        <v>1.6956845985056004</v>
      </c>
      <c r="U15" s="15">
        <v>0.45303827785506334</v>
      </c>
      <c r="V15" s="76">
        <v>2.1271064799169817</v>
      </c>
      <c r="W15" s="71">
        <v>3.6368140236979967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0.6085507946187636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20.72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17.23379509303992</v>
      </c>
      <c r="K4" s="81">
        <f>VLOOKUP(B4,Opportunities!B$3:N$30,9,FALSE)</f>
        <v>13.827810561868979</v>
      </c>
      <c r="L4" s="81">
        <f>VLOOKUP(B4,Opportunities!B$3:N$30,11,FALSE)</f>
        <v>24.008545790578772</v>
      </c>
      <c r="M4" s="81">
        <f>VLOOKUP(B4,Opportunities!B$3:N$30,13,FALSE)</f>
        <v>21.282386833803379</v>
      </c>
    </row>
    <row r="5" spans="1:13">
      <c r="B5" s="63" t="s">
        <v>382</v>
      </c>
      <c r="C5" s="62" t="str">
        <f>VLOOKUP(B5,Opportunities!B$3:E$30,2,FALSE)</f>
        <v>京东集团</v>
      </c>
      <c r="D5" s="60">
        <f>VLOOKUP(B5,Opportunities!B$3:E$30,3,FALSE)</f>
        <v>108.5</v>
      </c>
      <c r="E5" s="59" t="str">
        <f>VLOOKUP(B5,Opportunities!B$3:E$30,4,FALSE)</f>
        <v>HKD</v>
      </c>
      <c r="F5" s="57">
        <v>1000</v>
      </c>
      <c r="G5" s="61">
        <f t="shared" si="1"/>
        <v>108500</v>
      </c>
      <c r="H5" s="58">
        <f t="shared" si="0"/>
        <v>8.1989573344396258E-2</v>
      </c>
      <c r="I5" s="58">
        <f>VLOOKUP(B5,Opportunities!B$3:I$30,8,FALSE)</f>
        <v>0.21094514133657363</v>
      </c>
      <c r="J5" s="81">
        <f>VLOOKUP(B5,Opportunities!B$3:N$30,12,FALSE)</f>
        <v>116.53142065168849</v>
      </c>
      <c r="K5" s="81">
        <f>VLOOKUP(B5,Opportunities!B$3:N$30,9,FALSE)</f>
        <v>93.500957611370026</v>
      </c>
      <c r="L5" s="81">
        <f>VLOOKUP(B5,Opportunities!B$3:N$30,11,FALSE)</f>
        <v>162.34065566142357</v>
      </c>
      <c r="M5" s="81">
        <f>VLOOKUP(B5,Opportunities!B$3:N$30,13,FALSE)</f>
        <v>143.9070281902072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3.37</v>
      </c>
      <c r="E6" s="59" t="str">
        <f>VLOOKUP(B6,Opportunities!B$3:E$30,4,FALSE)</f>
        <v>HKD</v>
      </c>
      <c r="F6" s="57">
        <v>40000</v>
      </c>
      <c r="G6" s="61">
        <f t="shared" si="1"/>
        <v>134800</v>
      </c>
      <c r="H6" s="58">
        <f t="shared" si="0"/>
        <v>0.10186354365736973</v>
      </c>
      <c r="I6" s="58">
        <f>VLOOKUP(B6,Opportunities!B$3:I$30,8,FALSE)</f>
        <v>6.2438284276786493E-2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8.0399999999999991</v>
      </c>
      <c r="E7" s="59" t="str">
        <f>VLOOKUP(B7,Opportunities!B$3:E$30,4,FALSE)</f>
        <v>HKD</v>
      </c>
      <c r="F7" s="57">
        <v>8000</v>
      </c>
      <c r="G7" s="61">
        <f t="shared" si="1"/>
        <v>64319.999999999993</v>
      </c>
      <c r="H7" s="58">
        <f t="shared" si="0"/>
        <v>4.8604325875682641E-2</v>
      </c>
      <c r="I7" s="58">
        <f>VLOOKUP(B7,Opportunities!B$3:I$30,8,FALSE)</f>
        <v>1.764649876970506E-2</v>
      </c>
      <c r="J7" s="81">
        <f>VLOOKUP(B7,Opportunities!B$3:N$30,12,FALSE)</f>
        <v>7.3073937983127566</v>
      </c>
      <c r="K7" s="81">
        <f>VLOOKUP(B7,Opportunities!B$3:N$30,9,FALSE)</f>
        <v>5.8783608714655502</v>
      </c>
      <c r="L7" s="81">
        <f>VLOOKUP(B7,Opportunities!B$3:N$30,11,FALSE)</f>
        <v>10.145892281560497</v>
      </c>
      <c r="M7" s="81">
        <f>VLOOKUP(B7,Opportunities!B$3:N$30,13,FALSE)</f>
        <v>9.0041939503632999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10.66</v>
      </c>
      <c r="E8" s="59" t="str">
        <f>VLOOKUP(B8,Opportunities!B$3:E$30,4,FALSE)</f>
        <v>HKD</v>
      </c>
      <c r="F8" s="57">
        <v>10000</v>
      </c>
      <c r="G8" s="61">
        <f t="shared" si="1"/>
        <v>106600</v>
      </c>
      <c r="H8" s="58">
        <f t="shared" si="0"/>
        <v>8.055381123053125E-2</v>
      </c>
      <c r="I8" s="58">
        <f>VLOOKUP(B8,Opportunities!B$3:I$30,8,FALSE)</f>
        <v>0.1252287887201057</v>
      </c>
      <c r="J8" s="81">
        <f>VLOOKUP(B8,Opportunities!B$3:N$30,12,FALSE)</f>
        <v>12.104191417352101</v>
      </c>
      <c r="K8" s="81">
        <f>VLOOKUP(B8,Opportunities!B$3:N$30,9,FALSE)</f>
        <v>9.7488931482919732</v>
      </c>
      <c r="L8" s="81">
        <f>VLOOKUP(B8,Opportunities!B$3:N$30,11,FALSE)</f>
        <v>16.779429357070541</v>
      </c>
      <c r="M8" s="81">
        <f>VLOOKUP(B8,Opportunities!B$3:N$30,13,FALSE)</f>
        <v>14.899363476708611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4.72</v>
      </c>
      <c r="E9" s="59" t="str">
        <f>VLOOKUP(B9,Opportunities!B$3:E$30,4,FALSE)</f>
        <v>HKD</v>
      </c>
      <c r="F9" s="57">
        <v>12000</v>
      </c>
      <c r="G9" s="61">
        <f t="shared" si="1"/>
        <v>56640</v>
      </c>
      <c r="H9" s="58">
        <f t="shared" si="0"/>
        <v>4.2800824278586211E-2</v>
      </c>
      <c r="I9" s="58">
        <f>VLOOKUP(B9,Opportunities!B$3:I$30,8,FALSE)</f>
        <v>6.4556899081208638E-2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3.5637126994670303E-2</v>
      </c>
      <c r="I10" s="58">
        <f>VLOOKUP(B10,Opportunities!B$3:I$30,8,FALSE)</f>
        <v>0.11211803722354502</v>
      </c>
      <c r="J10" s="81">
        <f>VLOOKUP(B10,Opportunities!B$3:N$30,12,FALSE)</f>
        <v>4.2903376833352107</v>
      </c>
      <c r="K10" s="81">
        <f>VLOOKUP(B10,Opportunities!B$3:N$30,9,FALSE)</f>
        <v>3.459452061279972</v>
      </c>
      <c r="L10" s="81">
        <f>VLOOKUP(B10,Opportunities!B$3:N$30,11,FALSE)</f>
        <v>5.938589027542732</v>
      </c>
      <c r="M10" s="81">
        <f>VLOOKUP(B10,Opportunities!B$3:N$30,13,FALSE)</f>
        <v>5.2759094755624183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1323339</v>
      </c>
      <c r="H12" s="67">
        <f>SUM(H3:H10)</f>
        <v>1</v>
      </c>
      <c r="I12" s="73">
        <f>SUM(I3:I10)</f>
        <v>1.0429336494079247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20.72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17.23379509303992</v>
      </c>
      <c r="K15" s="81">
        <f>VLOOKUP(B15,Opportunities!B$3:N$30,9,FALSE)</f>
        <v>13.827810561868979</v>
      </c>
      <c r="L15" s="81">
        <f>VLOOKUP(B15,Opportunities!B$3:N$30,11,FALSE)</f>
        <v>24.008545790578772</v>
      </c>
      <c r="M15" s="81">
        <f>VLOOKUP(B15,Opportunities!B$3:N$30,13,FALSE)</f>
        <v>21.282386833803379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23.84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17.538692619732679</v>
      </c>
      <c r="K16" s="81">
        <f>VLOOKUP(B16,Opportunities!B$3:N$30,9,FALSE)</f>
        <v>14.183142934026913</v>
      </c>
      <c r="L16" s="81">
        <f>VLOOKUP(B16,Opportunities!B$3:N$30,11,FALSE)</f>
        <v>24.184263785602433</v>
      </c>
      <c r="M16" s="81">
        <f>VLOOKUP(B16,Opportunities!B$3:N$30,13,FALSE)</f>
        <v>21.513834321736674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6.2438284276786493E-2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0.11211803722354502</v>
      </c>
      <c r="J18" s="81">
        <f>VLOOKUP(B18,Opportunities!B$3:N$30,12,FALSE)</f>
        <v>4.2903376833352107</v>
      </c>
      <c r="K18" s="81">
        <f>VLOOKUP(B18,Opportunities!B$3:N$30,9,FALSE)</f>
        <v>3.459452061279972</v>
      </c>
      <c r="L18" s="81">
        <f>VLOOKUP(B18,Opportunities!B$3:N$30,11,FALSE)</f>
        <v>5.938589027542732</v>
      </c>
      <c r="M18" s="81">
        <f>VLOOKUP(B18,Opportunities!B$3:N$30,13,FALSE)</f>
        <v>5.2759094755624183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10.66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0.1252287887201057</v>
      </c>
      <c r="J19" s="81">
        <f>VLOOKUP(B19,Opportunities!B$3:N$30,12,FALSE)</f>
        <v>12.104191417352101</v>
      </c>
      <c r="K19" s="81">
        <f>VLOOKUP(B19,Opportunities!B$3:N$30,9,FALSE)</f>
        <v>9.7488931482919732</v>
      </c>
      <c r="L19" s="81">
        <f>VLOOKUP(B19,Opportunities!B$3:N$30,11,FALSE)</f>
        <v>16.779429357070541</v>
      </c>
      <c r="M19" s="81">
        <f>VLOOKUP(B19,Opportunities!B$3:N$30,13,FALSE)</f>
        <v>14.899363476708611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8.0399999999999991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1.764649876970506E-2</v>
      </c>
      <c r="J20" s="81">
        <f>VLOOKUP(B20,Opportunities!B$3:N$30,12,FALSE)</f>
        <v>7.3073937983127566</v>
      </c>
      <c r="K20" s="81">
        <f>VLOOKUP(B20,Opportunities!B$3:N$30,9,FALSE)</f>
        <v>5.8783608714655502</v>
      </c>
      <c r="L20" s="81">
        <f>VLOOKUP(B20,Opportunities!B$3:N$30,11,FALSE)</f>
        <v>10.145892281560497</v>
      </c>
      <c r="M20" s="81">
        <f>VLOOKUP(B20,Opportunities!B$3:N$30,13,FALSE)</f>
        <v>9.0041939503632999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0.6085507946187636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2026-02-04T02:06:39Z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