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AC8CDDE-A540-45F4-8F50-4158BB5FBDA7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<sst xmlns="http://schemas.openxmlformats.org/spreadsheetml/2006/main" count="472" uniqueCount="384">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</sst>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2.89</v>
      </c>
      <c r="E3" s="12" t="s">
        <v>136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19.059999999999999</v>
      </c>
      <c r="E4" s="12" t="s">
        <v>136</v>
      </c>
      <c r="F4" s="15">
        <v>0.20203185855642003</v>
      </c>
      <c r="G4" s="15">
        <f>F4 - Portfolio_Mgmt!$C$10</f>
        <v>8.4631858556420025E-2</v>
      </c>
      <c r="H4" s="15">
        <f>F4 - Portfolio_Mgmt!$C$11</f>
        <v>0.16753185855642003</v>
      </c>
      <c r="I4" s="15">
        <v>0</v>
      </c>
      <c r="J4" s="2">
        <v>13.72372315671452</v>
      </c>
      <c r="K4" s="2">
        <v>28.50815536170149</v>
      </c>
      <c r="L4" s="74">
        <v>26.224603407862144</v>
      </c>
      <c r="M4" s="2">
        <v>17.055695545191163</v>
      </c>
      <c r="N4" s="2">
        <v>23.473396579862911</v>
      </c>
      <c r="O4" s="4">
        <v>0.10883043830811238</v>
      </c>
      <c r="P4" s="4">
        <v>6.6107030430220357E-2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-0.45962318424461329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187</v>
      </c>
      <c r="C5" s="11" t="s">
        <v>188</v>
      </c>
      <c r="D5" s="2">
        <v>3.42</v>
      </c>
      <c r="E5" s="12" t="s">
        <v>136</v>
      </c>
      <c r="F5" s="15">
        <v>0.18451427862920888</v>
      </c>
      <c r="G5" s="15">
        <f>F5 - Portfolio_Mgmt!$C$10</f>
        <v>6.7114278629208879E-2</v>
      </c>
      <c r="H5" s="15">
        <f>F5 - Portfolio_Mgmt!$C$11</f>
        <v>0.15001427862920888</v>
      </c>
      <c r="I5" s="15">
        <v>0</v>
      </c>
      <c r="J5" s="2">
        <v>2.3406091587746096</v>
      </c>
      <c r="K5" s="2">
        <v>5.2246962590200807</v>
      </c>
      <c r="L5" s="74">
        <v>4.5385417708791076</v>
      </c>
      <c r="M5" s="2">
        <v>2.9249004846182811</v>
      </c>
      <c r="N5" s="2">
        <v>4.0536685441183486</v>
      </c>
      <c r="O5" s="4">
        <v>8.3029981696983779E-2</v>
      </c>
      <c r="P5" s="4">
        <v>3.7426900584795322E-2</v>
      </c>
      <c r="Q5" s="4">
        <v>0.10112859174992994</v>
      </c>
      <c r="R5" s="4">
        <v>5.8835781303360896E-2</v>
      </c>
      <c r="S5" s="82">
        <v>1.2277297326073906</v>
      </c>
      <c r="T5" s="81">
        <v>1.4000052396569989</v>
      </c>
      <c r="U5" s="15">
        <v>0.10646655543311496</v>
      </c>
      <c r="V5" s="79">
        <v>0.9804830051022897</v>
      </c>
      <c r="W5" s="74">
        <v>1.6698226477450393</v>
      </c>
      <c r="X5" s="13" t="s">
        <v>189</v>
      </c>
      <c r="Y5" s="11" t="s">
        <v>137</v>
      </c>
      <c r="Z5" s="14">
        <v>45808</v>
      </c>
      <c r="AA5" s="16" t="s">
        <v>224</v>
      </c>
    </row>
    <row r="6" spans="1:27">
      <c r="B6" s="11" t="s">
        <v>199</v>
      </c>
      <c r="C6" s="11" t="s">
        <v>200</v>
      </c>
      <c r="D6" s="2">
        <v>2.2000000000000002</v>
      </c>
      <c r="E6" s="12" t="s">
        <v>136</v>
      </c>
      <c r="F6" s="15">
        <v>0.18032331168283355</v>
      </c>
      <c r="G6" s="15">
        <f>F6 - Portfolio_Mgmt!$C$10</f>
        <v>6.2923311682833549E-2</v>
      </c>
      <c r="H6" s="15">
        <f>F6 - Portfolio_Mgmt!$C$11</f>
        <v>0.14582331168283355</v>
      </c>
      <c r="I6" s="15">
        <v>0</v>
      </c>
      <c r="J6" s="2">
        <v>1.4922739899130018</v>
      </c>
      <c r="K6" s="2">
        <v>3.2960286179322025</v>
      </c>
      <c r="L6" s="74">
        <v>2.8872203899991318</v>
      </c>
      <c r="M6" s="2">
        <v>1.8632466523812876</v>
      </c>
      <c r="N6" s="2">
        <v>2.5795970489116007</v>
      </c>
      <c r="O6" s="4">
        <v>6.1540597181763787E-2</v>
      </c>
      <c r="P6" s="4">
        <v>4.0909090909090909E-2</v>
      </c>
      <c r="Q6" s="4">
        <v>4.7832973362251327E-2</v>
      </c>
      <c r="R6" s="4">
        <v>7.8104812973574481E-2</v>
      </c>
      <c r="S6" s="82">
        <v>0.49619793491400876</v>
      </c>
      <c r="T6" s="81">
        <v>1.2342258232843137</v>
      </c>
      <c r="U6" s="15">
        <v>0.10863424600069688</v>
      </c>
      <c r="V6" s="79">
        <v>2.2824569622635926</v>
      </c>
      <c r="W6" s="74">
        <v>1.8525998924655729</v>
      </c>
      <c r="X6" s="13" t="s">
        <v>201</v>
      </c>
      <c r="Y6" s="11" t="s">
        <v>137</v>
      </c>
      <c r="Z6" s="14">
        <v>45900</v>
      </c>
      <c r="AA6" s="16" t="s">
        <v>224</v>
      </c>
    </row>
    <row r="7" spans="1:27">
      <c r="B7" s="11" t="s">
        <v>163</v>
      </c>
      <c r="C7" s="11" t="s">
        <v>192</v>
      </c>
      <c r="D7" s="2">
        <v>17.34</v>
      </c>
      <c r="E7" s="12" t="s">
        <v>136</v>
      </c>
      <c r="F7" s="15">
        <v>0.16445056093933053</v>
      </c>
      <c r="G7" s="15">
        <f>F7 - Portfolio_Mgmt!$C$10</f>
        <v>4.7050560939330521E-2</v>
      </c>
      <c r="H7" s="15">
        <f>F7 - Portfolio_Mgmt!$C$11</f>
        <v>0.12995056093933052</v>
      </c>
      <c r="I7" s="15">
        <v>0</v>
      </c>
      <c r="J7" s="2">
        <v>11.255050523627583</v>
      </c>
      <c r="K7" s="2">
        <v>25.689033212272857</v>
      </c>
      <c r="L7" s="74">
        <v>21.926793813522469</v>
      </c>
      <c r="M7" s="2">
        <v>14.089656922489443</v>
      </c>
      <c r="N7" s="2">
        <v>19.570822175365333</v>
      </c>
      <c r="O7" s="4">
        <v>5.9202689905295987E-2</v>
      </c>
      <c r="P7" s="4">
        <v>2.7679058588527775E-2</v>
      </c>
      <c r="Q7" s="4">
        <v>0.12359602700531562</v>
      </c>
      <c r="R7" s="4">
        <v>0.12331843203681521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4.623066959412788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179</v>
      </c>
      <c r="C8" s="11" t="s">
        <v>180</v>
      </c>
      <c r="D8" s="2">
        <v>56.25</v>
      </c>
      <c r="E8" s="12" t="s">
        <v>136</v>
      </c>
      <c r="F8" s="15">
        <v>0.16155263963885957</v>
      </c>
      <c r="G8" s="15">
        <f>F8 - Portfolio_Mgmt!$C$10</f>
        <v>4.415263963885957E-2</v>
      </c>
      <c r="H8" s="15">
        <f>F8 - Portfolio_Mgmt!$C$11</f>
        <v>0.12705263963885957</v>
      </c>
      <c r="I8" s="15">
        <v>0</v>
      </c>
      <c r="J8" s="2">
        <v>37.201582569406469</v>
      </c>
      <c r="K8" s="2">
        <v>70.24047610170345</v>
      </c>
      <c r="L8" s="74">
        <v>69.809489130630269</v>
      </c>
      <c r="M8" s="2">
        <v>45.922823124072167</v>
      </c>
      <c r="N8" s="2">
        <v>62.655428248696218</v>
      </c>
      <c r="O8" s="4">
        <v>9.4549573064961645E-2</v>
      </c>
      <c r="P8" s="4">
        <v>9.0707644444444444E-2</v>
      </c>
      <c r="Q8" s="4">
        <v>0.32755394896836565</v>
      </c>
      <c r="R8" s="4">
        <v>8.9976704126159421E-2</v>
      </c>
      <c r="S8" s="82">
        <v>1.5891874956485419</v>
      </c>
      <c r="T8" s="81">
        <v>2.2907496012759174</v>
      </c>
      <c r="U8" s="15">
        <v>0.24768740031897937</v>
      </c>
      <c r="V8" s="79">
        <v>0.73855199466278643</v>
      </c>
      <c r="W8" s="74">
        <v>-2.6747252004533593</v>
      </c>
      <c r="X8" s="13" t="s">
        <v>184</v>
      </c>
      <c r="Y8" s="11" t="s">
        <v>137</v>
      </c>
      <c r="Z8" s="14">
        <v>45808</v>
      </c>
      <c r="AA8" s="16" t="s">
        <v>224</v>
      </c>
    </row>
    <row r="9" spans="1:27">
      <c r="B9" s="11" t="s">
        <v>182</v>
      </c>
      <c r="C9" s="11" t="s">
        <v>183</v>
      </c>
      <c r="D9" s="2">
        <v>52.85</v>
      </c>
      <c r="E9" s="12" t="s">
        <v>136</v>
      </c>
      <c r="F9" s="15">
        <v>0.14555061240531031</v>
      </c>
      <c r="G9" s="15">
        <f>F9 - Portfolio_Mgmt!$C$10</f>
        <v>2.8150612405310305E-2</v>
      </c>
      <c r="H9" s="15">
        <f>F9 - Portfolio_Mgmt!$C$11</f>
        <v>0.11105061240531031</v>
      </c>
      <c r="I9" s="15">
        <v>0</v>
      </c>
      <c r="J9" s="2">
        <v>32.815838695078718</v>
      </c>
      <c r="K9" s="2">
        <v>73.205504109646796</v>
      </c>
      <c r="L9" s="74">
        <v>63.62299061894975</v>
      </c>
      <c r="M9" s="2">
        <v>41.005702063052681</v>
      </c>
      <c r="N9" s="2">
        <v>56.82694371235597</v>
      </c>
      <c r="O9" s="4">
        <v>4.3778909270006564E-2</v>
      </c>
      <c r="P9" s="4">
        <v>3.4164158914356292E-2</v>
      </c>
      <c r="Q9" s="4">
        <v>0.13507436608341447</v>
      </c>
      <c r="R9" s="4">
        <v>0.12563423896510337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1.3629688514427469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205</v>
      </c>
      <c r="C10" s="11" t="s">
        <v>216</v>
      </c>
      <c r="D10" s="2">
        <v>24.114999999999998</v>
      </c>
      <c r="E10" s="12" t="s">
        <v>206</v>
      </c>
      <c r="F10" s="15">
        <v>0.12835332761546869</v>
      </c>
      <c r="G10" s="15">
        <f>F10 - Portfolio_Mgmt!$C$10</f>
        <v>1.0953327615468689E-2</v>
      </c>
      <c r="H10" s="15">
        <f>F10 - Portfolio_Mgmt!$C$11</f>
        <v>9.385332761546869E-2</v>
      </c>
      <c r="I10" s="15">
        <v>0</v>
      </c>
      <c r="J10" s="2">
        <v>14.210808951982788</v>
      </c>
      <c r="K10" s="2">
        <v>33.230161875234657</v>
      </c>
      <c r="L10" s="74">
        <v>27.829540483416785</v>
      </c>
      <c r="M10" s="2">
        <v>17.824937920120146</v>
      </c>
      <c r="N10" s="2">
        <v>24.820548736528732</v>
      </c>
      <c r="O10" s="4">
        <v>0.18905086242331307</v>
      </c>
      <c r="P10" s="4">
        <v>1.7230769230769234E-2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208</v>
      </c>
      <c r="C11" s="11" t="s">
        <v>217</v>
      </c>
      <c r="D11" s="2">
        <v>28.89</v>
      </c>
      <c r="E11" s="12" t="s">
        <v>206</v>
      </c>
      <c r="F11" s="15">
        <v>0.11354447980267435</v>
      </c>
      <c r="G11" s="15">
        <f>F11 - Portfolio_Mgmt!$C$10</f>
        <v>-3.855520197325657E-3</v>
      </c>
      <c r="H11" s="15">
        <f>F11 - Portfolio_Mgmt!$C$11</f>
        <v>7.9044479802674344E-2</v>
      </c>
      <c r="I11" s="15">
        <v>0</v>
      </c>
      <c r="J11" s="2">
        <v>16.586017104127016</v>
      </c>
      <c r="K11" s="2">
        <v>36.134621832566509</v>
      </c>
      <c r="L11" s="74">
        <v>31.999534598013469</v>
      </c>
      <c r="M11" s="2">
        <v>20.68716637827405</v>
      </c>
      <c r="N11" s="2">
        <v>28.601981247202922</v>
      </c>
      <c r="O11" s="4">
        <v>8.7890875991104109E-2</v>
      </c>
      <c r="P11" s="4">
        <v>3.8767739702319136E-2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185</v>
      </c>
      <c r="C12" s="11" t="s">
        <v>186</v>
      </c>
      <c r="D12" s="2">
        <v>7.46</v>
      </c>
      <c r="E12" s="12" t="s">
        <v>136</v>
      </c>
      <c r="F12" s="15">
        <v>0.11224495639351839</v>
      </c>
      <c r="G12" s="15">
        <f>F12 - Portfolio_Mgmt!$C$10</f>
        <v>-5.155043606481613E-3</v>
      </c>
      <c r="H12" s="15">
        <f>F12 - Portfolio_Mgmt!$C$11</f>
        <v>7.7744956393518388E-2</v>
      </c>
      <c r="I12" s="15">
        <v>0</v>
      </c>
      <c r="J12" s="2">
        <v>4.3050212121408382</v>
      </c>
      <c r="K12" s="2">
        <v>8.9323732183764371</v>
      </c>
      <c r="L12" s="74">
        <v>8.2245557979814095</v>
      </c>
      <c r="M12" s="2">
        <v>5.3497744196864634</v>
      </c>
      <c r="N12" s="2">
        <v>7.3619735184072059</v>
      </c>
      <c r="O12" s="4">
        <v>0.10595733045515504</v>
      </c>
      <c r="P12" s="4">
        <v>5.3317099110400813E-2</v>
      </c>
      <c r="Q12" s="4">
        <v>0.12477871842229639</v>
      </c>
      <c r="R12" s="4">
        <v>7.7304831872868032E-2</v>
      </c>
      <c r="S12" s="82">
        <v>1.0025080757150273</v>
      </c>
      <c r="T12" s="81">
        <v>1.6100746083165727</v>
      </c>
      <c r="U12" s="15">
        <v>0.16360901428944893</v>
      </c>
      <c r="V12" s="79">
        <v>1.1309485990394448</v>
      </c>
      <c r="W12" s="74">
        <v>-3.8910462730106428</v>
      </c>
      <c r="X12" s="13" t="s">
        <v>162</v>
      </c>
      <c r="Y12" s="11" t="s">
        <v>137</v>
      </c>
      <c r="Z12" s="14">
        <v>45900</v>
      </c>
      <c r="AA12" s="16" t="s">
        <v>224</v>
      </c>
    </row>
    <row r="13" spans="1:27">
      <c r="B13" s="11" t="s">
        <v>227</v>
      </c>
      <c r="C13" s="11" t="s">
        <v>228</v>
      </c>
      <c r="D13" s="2">
        <v>6.33</v>
      </c>
      <c r="E13" s="12" t="s">
        <v>136</v>
      </c>
      <c r="F13" s="15">
        <v>0.10595213359196998</v>
      </c>
      <c r="G13" s="15">
        <f>F13 - Portfolio_Mgmt!$C$10</f>
        <v>-1.1447866408030027E-2</v>
      </c>
      <c r="H13" s="15">
        <f>F13 - Portfolio_Mgmt!$C$11</f>
        <v>7.1452133591969974E-2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5.835736719502134E-2</v>
      </c>
      <c r="P13" s="4">
        <v>5.6872037914691941E-2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16.7</v>
      </c>
      <c r="E14" s="12" t="s">
        <v>136</v>
      </c>
      <c r="F14" s="15">
        <v>8.5452560758577656E-2</v>
      </c>
      <c r="G14" s="15">
        <f>F14 - Portfolio_Mgmt!$C$10</f>
        <v>-3.1947439241422348E-2</v>
      </c>
      <c r="H14" s="15">
        <f>F14 - Portfolio_Mgmt!$C$11</f>
        <v>5.0952560758577653E-2</v>
      </c>
      <c r="I14" s="15">
        <v>0</v>
      </c>
      <c r="J14" s="2">
        <v>8.9919771877471319</v>
      </c>
      <c r="K14" s="2">
        <v>18.605977286253353</v>
      </c>
      <c r="L14" s="2">
        <v>17.169471529714549</v>
      </c>
      <c r="M14" s="2">
        <v>11.171909157121718</v>
      </c>
      <c r="N14" s="2">
        <v>15.369991427494341</v>
      </c>
      <c r="O14" s="4">
        <v>9.3007592787567914E-2</v>
      </c>
      <c r="P14" s="4">
        <v>5.0482501796407189E-2</v>
      </c>
      <c r="Q14" s="4">
        <v>0.26418108202863566</v>
      </c>
      <c r="R14" s="4">
        <v>0.11373788433769216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-12.277655993471418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8.93</v>
      </c>
      <c r="E15" s="12" t="s">
        <v>136</v>
      </c>
      <c r="F15" s="15">
        <v>7.9926593651769684E-2</v>
      </c>
      <c r="G15" s="15">
        <f>F15 - Portfolio_Mgmt!$C$10</f>
        <v>-3.747340634823032E-2</v>
      </c>
      <c r="H15" s="15">
        <f>F15 - Portfolio_Mgmt!$C$11</f>
        <v>4.5426593651769681E-2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3.4591083088719485E-2</v>
      </c>
      <c r="P15" s="4">
        <v>6.4949608062709968E-2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21.05</v>
      </c>
      <c r="E16" s="12" t="s">
        <v>136</v>
      </c>
      <c r="F16" s="15">
        <v>7.8077838679877276E-2</v>
      </c>
      <c r="G16" s="15">
        <f>F16 - Portfolio_Mgmt!$C$10</f>
        <v>-3.9322161320122728E-2</v>
      </c>
      <c r="H16" s="15">
        <f>F16 - Portfolio_Mgmt!$C$11</f>
        <v>4.3577838679877273E-2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8.2089597119697363E-2</v>
      </c>
      <c r="P16" s="4">
        <v>6.4608076009501192E-2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2.83</v>
      </c>
      <c r="E17" s="12" t="s">
        <v>136</v>
      </c>
      <c r="F17" s="15">
        <v>4.1040965065173296E-2</v>
      </c>
      <c r="G17" s="15">
        <f>F17 - Portfolio_Mgmt!$C$10</f>
        <v>-7.6359034934826708E-2</v>
      </c>
      <c r="H17" s="15">
        <f>F17 - Portfolio_Mgmt!$C$11</f>
        <v>6.5409650651732931E-3</v>
      </c>
      <c r="I17" s="15">
        <v>0</v>
      </c>
      <c r="J17" s="2">
        <v>1.3451170015742433</v>
      </c>
      <c r="K17" s="2">
        <v>2.845290559712665</v>
      </c>
      <c r="L17" s="2">
        <v>2.5796620898880827</v>
      </c>
      <c r="M17" s="2">
        <v>1.6739539397988692</v>
      </c>
      <c r="N17" s="2">
        <v>2.307800071506418</v>
      </c>
      <c r="O17" s="4">
        <v>2.9840920446308643E-2</v>
      </c>
      <c r="P17" s="4">
        <v>3.9311890536476969E-2</v>
      </c>
      <c r="Q17" s="4">
        <v>4.3341207685957207E-2</v>
      </c>
      <c r="R17" s="4">
        <v>8.4124161415808224E-2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1.9176171647508604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2.46</v>
      </c>
      <c r="E18" s="12" t="s">
        <v>136</v>
      </c>
      <c r="F18" s="15">
        <v>-4.9406020204678103E-2</v>
      </c>
      <c r="G18" s="15">
        <f>F18 - Portfolio_Mgmt!$C$10</f>
        <v>-0.16680602020467811</v>
      </c>
      <c r="H18" s="15">
        <f>F18 - Portfolio_Mgmt!$C$11</f>
        <v>-8.3906020204678106E-2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3.897421237616632E-3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0.42182990423828903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7.46</v>
      </c>
      <c r="D4" s="62" t="str">
        <f>VLOOKUP(B4,Opportunities!B$3:E$30,4,FALSE)</f>
        <v>HKD</v>
      </c>
      <c r="E4" s="59">
        <v>10000</v>
      </c>
      <c r="F4" s="64">
        <f>E4*C4</f>
        <v>74600</v>
      </c>
      <c r="G4" s="61">
        <f>F4/$F$10</f>
        <v>7.6740959974065256E-2</v>
      </c>
      <c r="H4" s="61">
        <f>VLOOKUP(B4,Opportunities!B$3:I$30,8,FALSE)</f>
        <v>0</v>
      </c>
      <c r="I4" s="84">
        <f>VLOOKUP(B4,Opportunities!B$3:N$30,12,FALSE)</f>
        <v>5.3497744196864634</v>
      </c>
      <c r="J4" s="84">
        <f>VLOOKUP(B4,Opportunities!B$3:N$30,9,FALSE)</f>
        <v>4.3050212121408382</v>
      </c>
      <c r="K4" s="84">
        <f>VLOOKUP(B4,Opportunities!B$3:N$30,11,FALSE)</f>
        <v>8.2245557979814095</v>
      </c>
      <c r="L4" s="84">
        <f>VLOOKUP(B4,Opportunities!B$3:N$30,13,FALSE)</f>
        <v>7.3619735184072059</v>
      </c>
    </row>
    <row r="5" spans="1:12">
      <c r="B5" s="66" t="s">
        <v>163</v>
      </c>
      <c r="C5" s="63">
        <f>VLOOKUP(B5,Opportunities!B$3:E$30,3,FALSE)</f>
        <v>17.34</v>
      </c>
      <c r="D5" s="62" t="str">
        <f>VLOOKUP(B5,Opportunities!B$3:E$30,4,FALSE)</f>
        <v>HKD</v>
      </c>
      <c r="E5" s="59">
        <v>9000</v>
      </c>
      <c r="F5" s="64">
        <f>C5*E5</f>
        <v>156060</v>
      </c>
      <c r="G5" s="61">
        <f>F5/$F$10</f>
        <v>0.16053879642831936</v>
      </c>
      <c r="H5" s="61">
        <f>VLOOKUP(B5,Opportunities!B$3:I$30,8,FALSE)</f>
        <v>0</v>
      </c>
      <c r="I5" s="84">
        <f>VLOOKUP(B5,Opportunities!B$3:N$30,12,FALSE)</f>
        <v>14.089656922489443</v>
      </c>
      <c r="J5" s="84">
        <f>VLOOKUP(B5,Opportunities!B$3:N$30,9,FALSE)</f>
        <v>11.255050523627583</v>
      </c>
      <c r="K5" s="84">
        <f>VLOOKUP(B5,Opportunities!B$3:N$30,11,FALSE)</f>
        <v>21.926793813522469</v>
      </c>
      <c r="L5" s="84">
        <f>VLOOKUP(B5,Opportunities!B$3:N$30,13,FALSE)</f>
        <v>19.570822175365333</v>
      </c>
    </row>
    <row r="6" spans="1:12">
      <c r="B6" s="66" t="s">
        <v>210</v>
      </c>
      <c r="C6" s="63">
        <f>VLOOKUP(B6,Opportunities!B$3:E$30,3,FALSE)</f>
        <v>19.059999999999999</v>
      </c>
      <c r="D6" s="62" t="str">
        <f>VLOOKUP(B6,Opportunities!B$3:E$30,4,FALSE)</f>
        <v>HKD</v>
      </c>
      <c r="E6" s="59">
        <v>8000</v>
      </c>
      <c r="F6" s="64">
        <f>C6*E6</f>
        <v>152480</v>
      </c>
      <c r="G6" s="61">
        <f>F6/$F$10</f>
        <v>0.15685605330892052</v>
      </c>
      <c r="H6" s="61">
        <f>VLOOKUP(B6,Opportunities!B$3:I$30,8,FALSE)</f>
        <v>0</v>
      </c>
      <c r="I6" s="84">
        <f>VLOOKUP(B6,Opportunities!B$3:N$30,12,FALSE)</f>
        <v>17.055695545191163</v>
      </c>
      <c r="J6" s="84">
        <f>VLOOKUP(B6,Opportunities!B$3:N$30,9,FALSE)</f>
        <v>13.72372315671452</v>
      </c>
      <c r="K6" s="84">
        <f>VLOOKUP(B6,Opportunities!B$3:N$30,11,FALSE)</f>
        <v>26.224603407862144</v>
      </c>
      <c r="L6" s="84">
        <f>VLOOKUP(B6,Opportunities!B$3:N$30,13,FALSE)</f>
        <v>23.473396579862911</v>
      </c>
    </row>
    <row r="7" spans="1:12">
      <c r="B7" s="66" t="s">
        <v>227</v>
      </c>
      <c r="C7" s="63">
        <f>VLOOKUP(B7,Opportunities!B$3:E$30,3,FALSE)</f>
        <v>6.33</v>
      </c>
      <c r="D7" s="62" t="str">
        <f>VLOOKUP(B7,Opportunities!B$3:E$30,4,FALSE)</f>
        <v>HKD</v>
      </c>
      <c r="E7" s="59">
        <v>10000</v>
      </c>
      <c r="F7" s="64">
        <f>C7*E7</f>
        <v>63300</v>
      </c>
      <c r="G7" s="61">
        <f t="shared" ref="G7" si="0">F7/$F$10</f>
        <v>6.5116659066465563E-2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2.89</v>
      </c>
      <c r="D8" s="62" t="str">
        <f>VLOOKUP(B8,Opportunities!B$3:E$30,4,FALSE)</f>
        <v>HKD</v>
      </c>
      <c r="E8" s="59">
        <v>40000</v>
      </c>
      <c r="F8" s="64">
        <f>C8*E8</f>
        <v>115600</v>
      </c>
      <c r="G8" s="61">
        <f t="shared" ref="G8" si="1">F8/$F$10</f>
        <v>0.11891762698394027</v>
      </c>
      <c r="H8" s="61">
        <f>VLOOKUP(B8,Opportunities!B$3:I$30,8,FALSE)</f>
        <v>0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972101.47</v>
      </c>
      <c r="G10" s="70">
        <f>SUM(G3:G8)</f>
        <v>1</v>
      </c>
      <c r="H10" s="76">
        <f>SUM(H3:H8)</f>
        <v>0.45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2.89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7.46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5.3497744196864634</v>
      </c>
      <c r="J14" s="84">
        <f>VLOOKUP(B14,Opportunities!B$3:N$30,9,FALSE)</f>
        <v>4.3050212121408382</v>
      </c>
      <c r="K14" s="84">
        <f>VLOOKUP(B14,Opportunities!B$3:N$30,11,FALSE)</f>
        <v>8.2245557979814095</v>
      </c>
      <c r="L14" s="84">
        <f>VLOOKUP(B14,Opportunities!B$3:N$30,13,FALSE)</f>
        <v>7.3619735184072059</v>
      </c>
    </row>
    <row r="15" spans="1:12">
      <c r="B15" s="66" t="s">
        <v>227</v>
      </c>
      <c r="C15" s="63">
        <f>VLOOKUP(B15,Opportunities!B$3:E$30,3,FALSE)</f>
        <v>6.33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19.059999999999999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17.055695545191163</v>
      </c>
      <c r="J16" s="84">
        <f>VLOOKUP(B16,Opportunities!B$3:N$30,9,FALSE)</f>
        <v>13.72372315671452</v>
      </c>
      <c r="K16" s="84">
        <f>VLOOKUP(B16,Opportunities!B$3:N$30,11,FALSE)</f>
        <v>26.224603407862144</v>
      </c>
      <c r="L16" s="84">
        <f>VLOOKUP(B16,Opportunities!B$3:N$30,13,FALSE)</f>
        <v>23.473396579862911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0.42182990423828903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237</v>
      </c>
      <c r="C20" s="58"/>
      <c r="D20" s="55"/>
      <c r="E20" s="59"/>
      <c r="F20" s="59"/>
    </row>
    <row r="21" spans="1:12" ht="13.15">
      <c r="C21" s="87" t="s">
        <v>238</v>
      </c>
      <c r="D21" s="87" t="s">
        <v>241</v>
      </c>
      <c r="E21" s="87" t="s">
        <v>242</v>
      </c>
    </row>
    <row r="22" spans="1:12" ht="14.25">
      <c r="B22" s="86" t="s">
        <v>239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240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243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2025-07-24T13:47:36Z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