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461611C-0496-4808-80F8-A57A4D01F41D}" xr6:coauthVersionLast="47" xr6:coauthVersionMax="47" xr10:uidLastSave="{00000000-0000-0000-0000-000000000000}"/>
  <bookViews>
    <workbookView xWindow="-98" yWindow="-98" windowWidth="17115" windowHeight="10755" firstSheet="4" activeTab="4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<sst xmlns="http://schemas.openxmlformats.org/spreadsheetml/2006/main" count="445" uniqueCount="378">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</sst>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6" sqref="P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3.97</v>
      </c>
      <c r="E3" s="12" t="s">
        <v>135</v>
      </c>
      <c r="F3" s="15">
        <v>0.22071966109380317</v>
      </c>
      <c r="G3" s="15">
        <f>F3 - Portfolio_Mgmt!$C$10</f>
        <v>0.10331966109380317</v>
      </c>
      <c r="H3" s="15">
        <f>F3 - Portfolio_Mgmt!$C$11</f>
        <v>0.18621966109380317</v>
      </c>
      <c r="I3" s="15">
        <v>9.6442377845556745E-2</v>
      </c>
      <c r="J3" s="2">
        <v>3.3569242646628044</v>
      </c>
      <c r="K3" s="2">
        <v>6.3243915532238484</v>
      </c>
      <c r="L3" s="71">
        <v>5.7582418061619247</v>
      </c>
      <c r="M3" s="2">
        <v>4.161826307936364</v>
      </c>
      <c r="N3" s="2">
        <v>5.1164408111201887</v>
      </c>
      <c r="O3" s="4">
        <v>0.10795776710784652</v>
      </c>
      <c r="P3" s="4">
        <v>6.0906801007556667E-2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1.2389098530085398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7.22</v>
      </c>
      <c r="E4" s="12" t="s">
        <v>135</v>
      </c>
      <c r="F4" s="15">
        <v>0.18832580279413663</v>
      </c>
      <c r="G4" s="15">
        <f>F4 - Portfolio_Mgmt!$C$10</f>
        <v>7.0925802794136628E-2</v>
      </c>
      <c r="H4" s="15">
        <f>F4 - Portfolio_Mgmt!$C$11</f>
        <v>0.15382580279413663</v>
      </c>
      <c r="I4" s="15">
        <v>5.9310012681545482E-2</v>
      </c>
      <c r="J4" s="2">
        <v>5.6360942162996679</v>
      </c>
      <c r="K4" s="2">
        <v>10.99988789549888</v>
      </c>
      <c r="L4" s="71">
        <v>9.7260442272295045</v>
      </c>
      <c r="M4" s="2">
        <v>7.0056997097396199</v>
      </c>
      <c r="N4" s="2">
        <v>8.6318843496189679</v>
      </c>
      <c r="O4" s="4">
        <v>9.4992954485918601E-2</v>
      </c>
      <c r="P4" s="4">
        <v>4.2918687157811643E-2</v>
      </c>
      <c r="Q4" s="4">
        <v>0.17171939788692719</v>
      </c>
      <c r="R4" s="4">
        <v>8.3605862337428685E-2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-2.8772043337788142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3.27</v>
      </c>
      <c r="E5" s="12" t="s">
        <v>135</v>
      </c>
      <c r="F5" s="15">
        <v>0.15908984282831048</v>
      </c>
      <c r="G5" s="15">
        <f>F5 - Portfolio_Mgmt!$C$10</f>
        <v>4.168984282831048E-2</v>
      </c>
      <c r="H5" s="15">
        <f>F5 - Portfolio_Mgmt!$C$11</f>
        <v>0.12458984282831048</v>
      </c>
      <c r="I5" s="15">
        <v>2.5077165932939252E-2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6.5903069182664351E-2</v>
      </c>
      <c r="P5" s="4">
        <v>8.2568807339449546E-2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158</v>
      </c>
      <c r="C6" s="11" t="s">
        <v>337</v>
      </c>
      <c r="D6" s="2">
        <v>17.02</v>
      </c>
      <c r="E6" s="12" t="s">
        <v>135</v>
      </c>
      <c r="F6" s="15">
        <v>0.15699291736923621</v>
      </c>
      <c r="G6" s="15">
        <f>F6 - Portfolio_Mgmt!$C$10</f>
        <v>3.9592917369236202E-2</v>
      </c>
      <c r="H6" s="15">
        <f>F6 - Portfolio_Mgmt!$C$11</f>
        <v>0.1224929173692362</v>
      </c>
      <c r="I6" s="15">
        <v>1.7007732838438292E-2</v>
      </c>
      <c r="J6" s="2">
        <v>12.265089887435929</v>
      </c>
      <c r="K6" s="2">
        <v>24.485370766790417</v>
      </c>
      <c r="L6" s="71">
        <v>21.249154532611808</v>
      </c>
      <c r="M6" s="2">
        <v>15.271735150637653</v>
      </c>
      <c r="N6" s="2">
        <v>18.844233311243645</v>
      </c>
      <c r="O6" s="4">
        <v>5.5995083797580815E-2</v>
      </c>
      <c r="P6" s="4">
        <v>3.1515109244144378E-2</v>
      </c>
      <c r="Q6" s="4">
        <v>0.11088664602945313</v>
      </c>
      <c r="R6" s="4">
        <v>0.11515149771331162</v>
      </c>
      <c r="S6" s="79">
        <v>0.71131521233544359</v>
      </c>
      <c r="T6" s="78">
        <v>1.3537783359692717</v>
      </c>
      <c r="U6" s="15">
        <v>6.5417684980282262E-2</v>
      </c>
      <c r="V6" s="76">
        <v>0.5742845428370501</v>
      </c>
      <c r="W6" s="71">
        <v>5.4382486507513237</v>
      </c>
      <c r="X6" s="13" t="s">
        <v>338</v>
      </c>
      <c r="Y6" s="11" t="s">
        <v>333</v>
      </c>
      <c r="Z6" s="14">
        <v>46081</v>
      </c>
      <c r="AA6" s="16" t="s">
        <v>183</v>
      </c>
    </row>
    <row r="7" spans="1:27">
      <c r="B7" s="11" t="s">
        <v>172</v>
      </c>
      <c r="C7" s="11" t="s">
        <v>339</v>
      </c>
      <c r="D7" s="2">
        <v>18.96</v>
      </c>
      <c r="E7" s="12" t="s">
        <v>135</v>
      </c>
      <c r="F7" s="15">
        <v>0.15354605837123353</v>
      </c>
      <c r="G7" s="15">
        <f>F7 - Portfolio_Mgmt!$C$10</f>
        <v>3.6146058371233525E-2</v>
      </c>
      <c r="H7" s="15">
        <f>F7 - Portfolio_Mgmt!$C$11</f>
        <v>0.11904605837123353</v>
      </c>
      <c r="I7" s="15">
        <v>3.2581650990393652E-3</v>
      </c>
      <c r="J7" s="2">
        <v>13.694207917544796</v>
      </c>
      <c r="K7" s="2">
        <v>24.71325100167191</v>
      </c>
      <c r="L7" s="71">
        <v>23.324223147183368</v>
      </c>
      <c r="M7" s="2">
        <v>16.92584699618542</v>
      </c>
      <c r="N7" s="2">
        <v>20.753359439314522</v>
      </c>
      <c r="O7" s="4">
        <v>0.12305512198399986</v>
      </c>
      <c r="P7" s="4">
        <v>6.6455696202531639E-2</v>
      </c>
      <c r="Q7" s="4">
        <v>0.17244225698759846</v>
      </c>
      <c r="R7" s="4">
        <v>0.32385684070512349</v>
      </c>
      <c r="S7" s="79">
        <v>0.37515442207937094</v>
      </c>
      <c r="T7" s="78">
        <v>1.419320754716981</v>
      </c>
      <c r="U7" s="15">
        <v>9.2018392262565404E-2</v>
      </c>
      <c r="V7" s="76">
        <v>0.52904635366009978</v>
      </c>
      <c r="W7" s="71">
        <v>0.44847740666269431</v>
      </c>
      <c r="X7" s="13" t="s">
        <v>340</v>
      </c>
      <c r="Y7" s="11" t="s">
        <v>341</v>
      </c>
      <c r="Z7" s="14">
        <v>46081</v>
      </c>
      <c r="AA7" s="16" t="s">
        <v>183</v>
      </c>
    </row>
    <row r="8" spans="1:27">
      <c r="B8" s="11" t="s">
        <v>346</v>
      </c>
      <c r="C8" s="11" t="s">
        <v>347</v>
      </c>
      <c r="D8" s="2">
        <v>98.75</v>
      </c>
      <c r="E8" s="12" t="s">
        <v>135</v>
      </c>
      <c r="F8" s="15">
        <v>0.13070040463832502</v>
      </c>
      <c r="G8" s="15">
        <f>F8 - Portfolio_Mgmt!$C$10</f>
        <v>1.330040463832502E-2</v>
      </c>
      <c r="H8" s="15">
        <f>F8 - Portfolio_Mgmt!$C$11</f>
        <v>9.6200404638325021E-2</v>
      </c>
      <c r="I8" s="15">
        <v>0</v>
      </c>
      <c r="J8" s="2">
        <v>65.783960005447739</v>
      </c>
      <c r="K8" s="2">
        <v>142.75119321182157</v>
      </c>
      <c r="L8" s="71">
        <v>115.71451635411509</v>
      </c>
      <c r="M8" s="2">
        <v>82.455562866034157</v>
      </c>
      <c r="N8" s="2">
        <v>102.31840134983725</v>
      </c>
      <c r="O8" s="4">
        <v>2.4159933083320251E-2</v>
      </c>
      <c r="P8" s="4">
        <v>0</v>
      </c>
      <c r="Q8" s="4">
        <v>0.14667015235144401</v>
      </c>
      <c r="R8" s="4">
        <v>8.0069983114389093E-2</v>
      </c>
      <c r="S8" s="79">
        <v>1.022390799101176</v>
      </c>
      <c r="T8" s="78">
        <v>1.7916578376478161</v>
      </c>
      <c r="U8" s="15">
        <v>0.27660377540313014</v>
      </c>
      <c r="V8" s="76">
        <v>1.7116972700897226</v>
      </c>
      <c r="W8" s="71">
        <v>3.4747227777920253</v>
      </c>
      <c r="X8" s="13" t="s">
        <v>348</v>
      </c>
      <c r="Y8" s="11" t="s">
        <v>349</v>
      </c>
      <c r="Z8" s="14">
        <v>46081</v>
      </c>
      <c r="AA8" s="16" t="s">
        <v>334</v>
      </c>
    </row>
    <row r="9" spans="1:27">
      <c r="B9" s="11" t="s">
        <v>329</v>
      </c>
      <c r="C9" s="11" t="s">
        <v>330</v>
      </c>
      <c r="D9" s="2">
        <v>6.48</v>
      </c>
      <c r="E9" s="12" t="s">
        <v>135</v>
      </c>
      <c r="F9" s="15">
        <v>0.12260045445698151</v>
      </c>
      <c r="G9" s="15">
        <f>F9 - Portfolio_Mgmt!$C$10</f>
        <v>5.2004544569815014E-3</v>
      </c>
      <c r="H9" s="15">
        <f>F9 - Portfolio_Mgmt!$C$11</f>
        <v>8.8100454456981503E-2</v>
      </c>
      <c r="I9" s="15">
        <v>0</v>
      </c>
      <c r="J9" s="2">
        <v>4.333028820025568</v>
      </c>
      <c r="K9" s="2">
        <v>7.8143613713918958</v>
      </c>
      <c r="L9" s="71">
        <v>7.3792932677079612</v>
      </c>
      <c r="M9" s="2">
        <v>5.3553121183397749</v>
      </c>
      <c r="N9" s="2">
        <v>6.5660659780940076</v>
      </c>
      <c r="O9" s="4">
        <v>6.1252134371271964E-2</v>
      </c>
      <c r="P9" s="4">
        <v>6.1728395061728392E-2</v>
      </c>
      <c r="Q9" s="4">
        <v>0.1167471410506614</v>
      </c>
      <c r="R9" s="4">
        <v>3.9086921133773919E-2</v>
      </c>
      <c r="S9" s="79">
        <v>1.3708738209065539</v>
      </c>
      <c r="T9" s="78">
        <v>2.1787997096988563</v>
      </c>
      <c r="U9" s="15">
        <v>0.77760119734648436</v>
      </c>
      <c r="V9" s="76">
        <v>5.3475400925918697</v>
      </c>
      <c r="W9" s="71">
        <v>-2.5047246524922007</v>
      </c>
      <c r="X9" s="13" t="s">
        <v>171</v>
      </c>
      <c r="Y9" s="11" t="s">
        <v>170</v>
      </c>
      <c r="Z9" s="14">
        <v>45991</v>
      </c>
      <c r="AA9" s="16" t="s">
        <v>183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abSelected="1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4.0300000000000002E-2</v>
      </c>
      <c r="D4" s="34">
        <v>7.2499999999999995E-2</v>
      </c>
      <c r="E4" s="35">
        <f>D4-C4</f>
        <v>3.2199999999999993E-2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0.68053673600663356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17.02</v>
      </c>
      <c r="E4" s="59" t="str">
        <f>VLOOKUP(B4,Opportunities!B$3:E$30,4,FALSE)</f>
        <v>HKD</v>
      </c>
      <c r="F4" s="57">
        <v>4500</v>
      </c>
      <c r="G4" s="61">
        <f>D4*F4</f>
        <v>76590</v>
      </c>
      <c r="H4" s="58">
        <f>G4/$G$9</f>
        <v>6.8141842507733683E-2</v>
      </c>
      <c r="I4" s="58">
        <f>VLOOKUP(B4,Opportunities!B$3:I$30,8,FALSE)</f>
        <v>1.7007732838438292E-2</v>
      </c>
      <c r="J4" s="81">
        <f>VLOOKUP(B4,Opportunities!B$3:N$30,12,FALSE)</f>
        <v>15.271735150637653</v>
      </c>
      <c r="K4" s="81">
        <f>VLOOKUP(B4,Opportunities!B$3:N$30,9,FALSE)</f>
        <v>12.265089887435929</v>
      </c>
      <c r="L4" s="81">
        <f>VLOOKUP(B4,Opportunities!B$3:N$30,11,FALSE)</f>
        <v>21.249154532611808</v>
      </c>
      <c r="M4" s="81">
        <f>VLOOKUP(B4,Opportunities!B$3:N$30,13,FALSE)</f>
        <v>18.844233311243645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18.96</v>
      </c>
      <c r="E5" s="59" t="str">
        <f>VLOOKUP(B5,Opportunities!B$3:E$30,4,FALSE)</f>
        <v>HKD</v>
      </c>
      <c r="F5" s="57">
        <v>8000</v>
      </c>
      <c r="G5" s="61">
        <f>D5*F5</f>
        <v>151680</v>
      </c>
      <c r="H5" s="58">
        <f>G5/$G$9</f>
        <v>0.13494914050885293</v>
      </c>
      <c r="I5" s="58">
        <f>VLOOKUP(B5,Opportunities!B$3:I$30,8,FALSE)</f>
        <v>3.2581650990393652E-3</v>
      </c>
      <c r="J5" s="81">
        <f>VLOOKUP(B5,Opportunities!B$3:N$30,12,FALSE)</f>
        <v>16.92584699618542</v>
      </c>
      <c r="K5" s="81">
        <f>VLOOKUP(B5,Opportunities!B$3:N$30,9,FALSE)</f>
        <v>13.694207917544796</v>
      </c>
      <c r="L5" s="81">
        <f>VLOOKUP(B5,Opportunities!B$3:N$30,11,FALSE)</f>
        <v>23.324223147183368</v>
      </c>
      <c r="M5" s="81">
        <f>VLOOKUP(B5,Opportunities!B$3:N$30,13,FALSE)</f>
        <v>20.753359439314522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>D6*F6</f>
        <v>130800</v>
      </c>
      <c r="H6" s="58">
        <f t="shared" ref="H6" si="0">G6/$G$9</f>
        <v>0.11637228097677982</v>
      </c>
      <c r="I6" s="58">
        <f>VLOOKUP(B6,Opportunities!B$3:I$30,8,FALSE)</f>
        <v>2.5077165932939252E-2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3.97</v>
      </c>
      <c r="E7" s="59" t="str">
        <f>VLOOKUP(B7,Opportunities!B$3:E$30,4,FALSE)</f>
        <v>HKD</v>
      </c>
      <c r="F7" s="57">
        <v>12000</v>
      </c>
      <c r="G7" s="61">
        <f>D7*F7</f>
        <v>47640</v>
      </c>
      <c r="H7" s="58">
        <f t="shared" ref="H7" si="1">G7/$G$9</f>
        <v>4.2385133530074851E-2</v>
      </c>
      <c r="I7" s="58">
        <f>VLOOKUP(B7,Opportunities!B$3:I$30,8,FALSE)</f>
        <v>9.6442377845556745E-2</v>
      </c>
      <c r="J7" s="81">
        <f>VLOOKUP(B7,Opportunities!B$3:N$30,12,FALSE)</f>
        <v>4.161826307936364</v>
      </c>
      <c r="K7" s="81">
        <f>VLOOKUP(B7,Opportunities!B$3:N$30,9,FALSE)</f>
        <v>3.3569242646628044</v>
      </c>
      <c r="L7" s="81">
        <f>VLOOKUP(B7,Opportunities!B$3:N$30,11,FALSE)</f>
        <v>5.7582418061619247</v>
      </c>
      <c r="M7" s="81">
        <f>VLOOKUP(B7,Opportunities!B$3:N$30,13,FALSE)</f>
        <v>5.1164408111201887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1123979</v>
      </c>
      <c r="H9" s="67">
        <f>SUM(H3:H6)</f>
        <v>1</v>
      </c>
      <c r="I9" s="73">
        <f>SUM(I3:I6)</f>
        <v>0.49534306387041693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17.02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1.7007732838438292E-2</v>
      </c>
      <c r="J12" s="81">
        <f>VLOOKUP(B12,Opportunities!B$3:N$30,12,FALSE)</f>
        <v>15.271735150637653</v>
      </c>
      <c r="K12" s="81">
        <f>VLOOKUP(B12,Opportunities!B$3:N$30,9,FALSE)</f>
        <v>12.265089887435929</v>
      </c>
      <c r="L12" s="81">
        <f>VLOOKUP(B12,Opportunities!B$3:N$30,11,FALSE)</f>
        <v>21.249154532611808</v>
      </c>
      <c r="M12" s="81">
        <f>VLOOKUP(B12,Opportunities!B$3:N$30,13,FALSE)</f>
        <v>18.844233311243645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18.96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3.2581650990393652E-3</v>
      </c>
      <c r="J13" s="81">
        <f>VLOOKUP(B13,Opportunities!B$3:N$30,12,FALSE)</f>
        <v>16.92584699618542</v>
      </c>
      <c r="K13" s="81">
        <f>VLOOKUP(B13,Opportunities!B$3:N$30,9,FALSE)</f>
        <v>13.694207917544796</v>
      </c>
      <c r="L13" s="81">
        <f>VLOOKUP(B13,Opportunities!B$3:N$30,11,FALSE)</f>
        <v>23.324223147183368</v>
      </c>
      <c r="M13" s="81">
        <f>VLOOKUP(B13,Opportunities!B$3:N$30,13,FALSE)</f>
        <v>20.753359439314522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3.27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2.5077165932939252E-2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3.97</v>
      </c>
      <c r="E15" s="59" t="str">
        <f>VLOOKUP(B15,Opportunities!B$3:E$30,4,FALSE)</f>
        <v>HKD</v>
      </c>
      <c r="F15" s="57">
        <v>8000</v>
      </c>
      <c r="G15" s="61">
        <f>-D15*F15</f>
        <v>-31760</v>
      </c>
      <c r="H15" s="58">
        <f>-G15/$G$9</f>
        <v>2.8256755686716567E-2</v>
      </c>
      <c r="I15" s="58">
        <f>VLOOKUP(B15,Opportunities!B$3:I$30,8,FALSE)</f>
        <v>9.6442377845556745E-2</v>
      </c>
      <c r="J15" s="81">
        <f>VLOOKUP(B15,Opportunities!B$3:N$30,12,FALSE)</f>
        <v>4.161826307936364</v>
      </c>
      <c r="K15" s="81">
        <f>VLOOKUP(B15,Opportunities!B$3:N$30,9,FALSE)</f>
        <v>3.3569242646628044</v>
      </c>
      <c r="L15" s="81">
        <f>VLOOKUP(B15,Opportunities!B$3:N$30,11,FALSE)</f>
        <v>5.7582418061619247</v>
      </c>
      <c r="M15" s="81">
        <f>VLOOKUP(B15,Opportunities!B$3:N$30,13,FALSE)</f>
        <v>5.1164408111201887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7.22</v>
      </c>
      <c r="E16" s="59" t="str">
        <f>VLOOKUP(B16,Opportunities!B$3:E$30,4,FALSE)</f>
        <v>HKD</v>
      </c>
      <c r="F16" s="57">
        <v>8000</v>
      </c>
      <c r="G16" s="61">
        <f>-D16*F16</f>
        <v>-57760</v>
      </c>
      <c r="H16" s="58">
        <f>-G16/$G$9</f>
        <v>5.1388860468033655E-2</v>
      </c>
      <c r="I16" s="58">
        <f>VLOOKUP(B16,Opportunities!B$3:I$30,8,FALSE)</f>
        <v>5.9310012681545482E-2</v>
      </c>
      <c r="J16" s="81">
        <f>VLOOKUP(B16,Opportunities!B$3:N$30,12,FALSE)</f>
        <v>7.0056997097396199</v>
      </c>
      <c r="K16" s="81">
        <f>VLOOKUP(B16,Opportunities!B$3:N$30,9,FALSE)</f>
        <v>5.6360942162996679</v>
      </c>
      <c r="L16" s="81">
        <f>VLOOKUP(B16,Opportunities!B$3:N$30,11,FALSE)</f>
        <v>9.7260442272295045</v>
      </c>
      <c r="M16" s="81">
        <f>VLOOKUP(B16,Opportunities!B$3:N$30,13,FALSE)</f>
        <v>8.6318843496189679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675389</v>
      </c>
      <c r="H18" s="73">
        <f t="shared" ref="H18" si="2">G18/$G$9</f>
        <v>0.60089111985188337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2025-10-16T09:58:17Z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