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73DF22F-7477-4A10-8DE3-EF2A81CE7200}" xr6:coauthVersionLast="47" xr6:coauthVersionMax="47" xr10:uidLastSave="{00000000-0000-0000-0000-000000000000}"/>
  <bookViews>
    <workbookView xWindow="-98" yWindow="-98" windowWidth="17115" windowHeight="10755" firstSheet="1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<sst xmlns="http://schemas.openxmlformats.org/spreadsheetml/2006/main" count="494" uniqueCount="392">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</sst>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43" t="s">
        <v>142</v>
      </c>
      <c r="C4" s="143"/>
      <c r="D4" s="143"/>
      <c r="E4" s="143"/>
    </row>
    <row r="6" spans="1:5">
      <c r="A6" s="20" t="s">
        <v>55</v>
      </c>
      <c r="B6" s="19" t="s">
        <v>136</v>
      </c>
      <c r="C6" s="47"/>
    </row>
    <row r="7" spans="1:5">
      <c r="B7" s="143" t="s">
        <v>198</v>
      </c>
      <c r="C7" s="143"/>
      <c r="D7" s="143"/>
      <c r="E7" s="143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43" t="s">
        <v>342</v>
      </c>
      <c r="C14" s="143"/>
      <c r="D14" s="143"/>
      <c r="E14" s="143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44" t="s">
        <v>200</v>
      </c>
      <c r="C27" s="143"/>
      <c r="D27" s="143"/>
      <c r="E27" s="143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43" t="s">
        <v>207</v>
      </c>
      <c r="C41" s="143"/>
      <c r="D41" s="143"/>
      <c r="E41" s="143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4" t="s">
        <v>344</v>
      </c>
      <c r="C50" s="143"/>
      <c r="D50" s="143"/>
      <c r="E50" s="143"/>
    </row>
    <row r="51" spans="1:5">
      <c r="B51" s="144" t="s">
        <v>220</v>
      </c>
      <c r="C51" s="144"/>
      <c r="D51" s="144"/>
      <c r="E51" s="144"/>
    </row>
    <row r="53" spans="1:5">
      <c r="A53" s="21" t="s">
        <v>131</v>
      </c>
      <c r="B53" s="21"/>
      <c r="C53" s="21"/>
      <c r="D53" s="21"/>
      <c r="E53" s="21"/>
    </row>
    <row r="55" spans="1:5">
      <c r="B55" s="143" t="s">
        <v>209</v>
      </c>
      <c r="C55" s="143"/>
      <c r="D55" s="143"/>
      <c r="E55" s="143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43" t="s">
        <v>132</v>
      </c>
      <c r="C81" s="143"/>
      <c r="D81" s="143"/>
      <c r="E81" s="143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7" t="s">
        <v>1</v>
      </c>
      <c r="E1" s="147"/>
      <c r="F1" s="147"/>
      <c r="G1" s="142"/>
      <c r="H1" s="149" t="s">
        <v>4</v>
      </c>
      <c r="I1" s="149"/>
      <c r="J1" s="149"/>
      <c r="K1" s="148" t="s">
        <v>160</v>
      </c>
      <c r="L1" s="148"/>
      <c r="M1" s="145" t="s">
        <v>7</v>
      </c>
      <c r="N1" s="145"/>
      <c r="O1" s="151" t="s">
        <v>173</v>
      </c>
      <c r="P1" s="151"/>
      <c r="Q1" s="151"/>
      <c r="R1" s="151"/>
      <c r="S1" s="150" t="s">
        <v>169</v>
      </c>
      <c r="T1" s="150"/>
      <c r="U1" s="150"/>
      <c r="V1" s="146" t="s">
        <v>46</v>
      </c>
      <c r="W1" s="146"/>
      <c r="X1" s="146"/>
      <c r="Y1" s="146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10.039999999999999</v>
      </c>
      <c r="E3" s="12" t="s">
        <v>129</v>
      </c>
      <c r="F3" s="15">
        <v>0.28454060669011283</v>
      </c>
      <c r="G3" s="15">
        <v>0.14436706932118828</v>
      </c>
      <c r="H3" s="2">
        <v>9.7015155485524485</v>
      </c>
      <c r="I3" s="2">
        <v>18.869377030369733</v>
      </c>
      <c r="J3" s="71">
        <v>16.896289690982773</v>
      </c>
      <c r="K3" s="2">
        <v>12.210514411556559</v>
      </c>
      <c r="L3" s="2">
        <v>15.003132646887639</v>
      </c>
      <c r="M3" s="4">
        <v>0.10166815085002423</v>
      </c>
      <c r="N3" s="4">
        <v>6.1030380478087655E-2</v>
      </c>
      <c r="O3" s="4">
        <v>0.10095803864413042</v>
      </c>
      <c r="P3" s="4">
        <v>0.12639812755577637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1.7706199849422439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3.8</v>
      </c>
      <c r="E4" s="12" t="s">
        <v>129</v>
      </c>
      <c r="F4" s="15">
        <v>0.24528170779829664</v>
      </c>
      <c r="G4" s="15">
        <v>7.8617510918519817E-2</v>
      </c>
      <c r="H4" s="2">
        <v>3.3614267028605243</v>
      </c>
      <c r="I4" s="2">
        <v>6.4202724661845734</v>
      </c>
      <c r="J4" s="71">
        <v>5.8359631422937932</v>
      </c>
      <c r="K4" s="2">
        <v>4.2247826771901469</v>
      </c>
      <c r="L4" s="2">
        <v>5.1851644519765356</v>
      </c>
      <c r="M4" s="4">
        <v>0.11331249527568812</v>
      </c>
      <c r="N4" s="4">
        <v>6.3631578947368414E-2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1.2894269588652951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68.7</v>
      </c>
      <c r="E5" s="12" t="s">
        <v>129</v>
      </c>
      <c r="F5" s="15">
        <v>0.24509071763545984</v>
      </c>
      <c r="G5" s="15">
        <v>7.8517502759313254E-2</v>
      </c>
      <c r="H5" s="2">
        <v>60.922525587632123</v>
      </c>
      <c r="I5" s="2">
        <v>108.3921847160278</v>
      </c>
      <c r="J5" s="71">
        <v>104.5289169978806</v>
      </c>
      <c r="K5" s="2">
        <v>76.165468006960538</v>
      </c>
      <c r="L5" s="2">
        <v>93.082667819031371</v>
      </c>
      <c r="M5" s="4">
        <v>0.132037754376061</v>
      </c>
      <c r="N5" s="4">
        <v>9.2861717612809314E-2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-19.253600074087114</v>
      </c>
      <c r="V5" s="13" t="s">
        <v>366</v>
      </c>
      <c r="W5" s="11" t="s">
        <v>363</v>
      </c>
      <c r="X5" s="14">
        <v>46081</v>
      </c>
      <c r="Y5" s="16" t="s">
        <v>352</v>
      </c>
    </row>
    <row r="6" spans="1:25">
      <c r="B6" s="11" t="s">
        <v>367</v>
      </c>
      <c r="C6" s="11" t="s">
        <v>368</v>
      </c>
      <c r="D6" s="2">
        <v>6.46</v>
      </c>
      <c r="E6" s="12" t="s">
        <v>129</v>
      </c>
      <c r="F6" s="15">
        <v>0.22185387994762482</v>
      </c>
      <c r="G6" s="15">
        <v>9.7541969989960425E-2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7.2929816386273799E-2</v>
      </c>
      <c r="N6" s="4">
        <v>2.198142414860681E-2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39.24</v>
      </c>
      <c r="E7" s="12" t="s">
        <v>129</v>
      </c>
      <c r="F7" s="15">
        <v>0.21952005351229451</v>
      </c>
      <c r="G7" s="15">
        <v>9.526673211287727E-2</v>
      </c>
      <c r="H7" s="2">
        <v>32.412397201021413</v>
      </c>
      <c r="I7" s="2">
        <v>70.643456650644055</v>
      </c>
      <c r="J7" s="71">
        <v>57.634740764491653</v>
      </c>
      <c r="K7" s="2">
        <v>41.180750376530121</v>
      </c>
      <c r="L7" s="2">
        <v>50.977021396723089</v>
      </c>
      <c r="M7" s="4">
        <v>5.9595096900573741E-2</v>
      </c>
      <c r="N7" s="4">
        <v>3.6187563710499485E-3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11.413144871814177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369</v>
      </c>
      <c r="C8" s="11" t="s">
        <v>370</v>
      </c>
      <c r="D8" s="2">
        <v>77.5</v>
      </c>
      <c r="E8" s="12" t="s">
        <v>129</v>
      </c>
      <c r="F8" s="15">
        <v>0.2119769735896283</v>
      </c>
      <c r="G8" s="15">
        <v>8.7562156408885428E-2</v>
      </c>
      <c r="H8" s="2">
        <v>63.443874639161436</v>
      </c>
      <c r="I8" s="2">
        <v>121.1080025822377</v>
      </c>
      <c r="J8" s="71">
        <v>110.13777643044463</v>
      </c>
      <c r="K8" s="2">
        <v>79.735441309165338</v>
      </c>
      <c r="L8" s="2">
        <v>97.857554448007377</v>
      </c>
      <c r="M8" s="4">
        <v>7.0208714251249957E-2</v>
      </c>
      <c r="N8" s="4">
        <v>5.9109677419354842E-2</v>
      </c>
      <c r="O8" s="4">
        <v>9.6671315574961933E-2</v>
      </c>
      <c r="P8" s="4">
        <v>0.13321568275625476</v>
      </c>
      <c r="Q8" s="79">
        <v>0.48913824057450628</v>
      </c>
      <c r="R8" s="78">
        <v>1.4835789300471205</v>
      </c>
      <c r="S8" s="15">
        <v>6.4100114768294941E-2</v>
      </c>
      <c r="T8" s="76">
        <v>0.67756727799881356</v>
      </c>
      <c r="U8" s="71">
        <v>1.4624616792827498</v>
      </c>
      <c r="V8" s="13" t="s">
        <v>371</v>
      </c>
      <c r="W8" s="11" t="s">
        <v>351</v>
      </c>
      <c r="X8" s="14">
        <v>46081</v>
      </c>
      <c r="Y8" s="16" t="s">
        <v>364</v>
      </c>
    </row>
    <row r="9" spans="1:25">
      <c r="B9" s="11" t="s">
        <v>319</v>
      </c>
      <c r="C9" s="11" t="s">
        <v>374</v>
      </c>
      <c r="D9" s="2">
        <v>4.43</v>
      </c>
      <c r="E9" s="12" t="s">
        <v>129</v>
      </c>
      <c r="F9" s="15">
        <v>0.19544617887049359</v>
      </c>
      <c r="G9" s="15">
        <v>4.5699627088065999E-2</v>
      </c>
      <c r="H9" s="2">
        <v>3.4947017610502455</v>
      </c>
      <c r="I9" s="2">
        <v>6.4808597690273908</v>
      </c>
      <c r="J9" s="71">
        <v>6.0371156176035647</v>
      </c>
      <c r="K9" s="2">
        <v>4.3824419959649257</v>
      </c>
      <c r="L9" s="2">
        <v>5.3690045329034906</v>
      </c>
      <c r="M9" s="4">
        <v>9.1179047099831517E-2</v>
      </c>
      <c r="N9" s="4">
        <v>6.7720090293453744E-2</v>
      </c>
      <c r="O9" s="4">
        <v>0.18</v>
      </c>
      <c r="P9" s="4">
        <v>5.5599077391744495E-2</v>
      </c>
      <c r="Q9" s="79">
        <v>1.4798367611150316</v>
      </c>
      <c r="R9" s="78">
        <v>2.187716833659914</v>
      </c>
      <c r="S9" s="15">
        <v>0.76701287002940366</v>
      </c>
      <c r="T9" s="76">
        <v>5.0983946232940358</v>
      </c>
      <c r="U9" s="71">
        <v>-2.4800067209187837</v>
      </c>
      <c r="V9" s="13" t="s">
        <v>366</v>
      </c>
      <c r="W9" s="11" t="s">
        <v>363</v>
      </c>
      <c r="X9" s="14">
        <v>46173</v>
      </c>
      <c r="Y9" s="16" t="s">
        <v>352</v>
      </c>
    </row>
    <row r="10" spans="1:25">
      <c r="B10" s="11" t="s">
        <v>355</v>
      </c>
      <c r="C10" s="11" t="s">
        <v>375</v>
      </c>
      <c r="D10" s="2">
        <v>112.4</v>
      </c>
      <c r="E10" s="12" t="s">
        <v>129</v>
      </c>
      <c r="F10" s="15">
        <v>0.18882315142641323</v>
      </c>
      <c r="G10" s="15">
        <v>5.9978435269387488E-2</v>
      </c>
      <c r="H10" s="2">
        <v>86.578023443536665</v>
      </c>
      <c r="I10" s="2">
        <v>176.2070175054501</v>
      </c>
      <c r="J10" s="71">
        <v>152.00333811739461</v>
      </c>
      <c r="K10" s="2">
        <v>109.36540364898732</v>
      </c>
      <c r="L10" s="2">
        <v>134.76644809121728</v>
      </c>
      <c r="M10" s="4">
        <v>-1.0215128247042619E-2</v>
      </c>
      <c r="N10" s="4">
        <v>3.1227758007117433E-2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-67.068081623722534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321</v>
      </c>
      <c r="C11" s="11" t="s">
        <v>353</v>
      </c>
      <c r="D11" s="2">
        <v>7.6</v>
      </c>
      <c r="E11" s="12" t="s">
        <v>129</v>
      </c>
      <c r="F11" s="15">
        <v>0.18744170376981326</v>
      </c>
      <c r="G11" s="15">
        <v>3.8741928027108685E-2</v>
      </c>
      <c r="H11" s="2">
        <v>5.849514535440214</v>
      </c>
      <c r="I11" s="2">
        <v>11.564576000210753</v>
      </c>
      <c r="J11" s="71">
        <v>10.216789887067552</v>
      </c>
      <c r="K11" s="2">
        <v>7.3718203641557594</v>
      </c>
      <c r="L11" s="2">
        <v>9.0671141587888737</v>
      </c>
      <c r="M11" s="4">
        <v>9.3923804176160766E-2</v>
      </c>
      <c r="N11" s="4">
        <v>4.2435280113157892E-2</v>
      </c>
      <c r="O11" s="4">
        <v>0.171720065311007</v>
      </c>
      <c r="P11" s="4">
        <v>8.3606187289451725E-2</v>
      </c>
      <c r="Q11" s="79">
        <v>1.3282158707615834</v>
      </c>
      <c r="R11" s="78">
        <v>1.5463719418456539</v>
      </c>
      <c r="S11" s="15">
        <v>0.22428295339746124</v>
      </c>
      <c r="T11" s="76">
        <v>1.2715557492373779</v>
      </c>
      <c r="U11" s="71">
        <v>-2.9945236331193272</v>
      </c>
      <c r="V11" s="13" t="s">
        <v>354</v>
      </c>
      <c r="W11" s="11" t="s">
        <v>351</v>
      </c>
      <c r="X11" s="14">
        <v>46081</v>
      </c>
      <c r="Y11" s="16" t="s">
        <v>352</v>
      </c>
    </row>
    <row r="12" spans="1:25">
      <c r="B12" s="11" t="s">
        <v>378</v>
      </c>
      <c r="C12" s="11" t="s">
        <v>379</v>
      </c>
      <c r="D12" s="2">
        <v>39.24</v>
      </c>
      <c r="E12" s="12" t="s">
        <v>129</v>
      </c>
      <c r="F12" s="15">
        <v>0.18117057243493942</v>
      </c>
      <c r="G12" s="15">
        <v>4.9279976540378474E-2</v>
      </c>
      <c r="H12" s="2">
        <v>29.702742651454763</v>
      </c>
      <c r="I12" s="2">
        <v>59.544035625246124</v>
      </c>
      <c r="J12" s="71">
        <v>52.006965839748617</v>
      </c>
      <c r="K12" s="2">
        <v>37.474418347943356</v>
      </c>
      <c r="L12" s="2">
        <v>46.133176357364029</v>
      </c>
      <c r="M12" s="4">
        <v>7.3199138926835092E-2</v>
      </c>
      <c r="N12" s="4">
        <v>3.6488328236493374E-2</v>
      </c>
      <c r="O12" s="4">
        <v>0.2658092571428613</v>
      </c>
      <c r="P12" s="4">
        <v>0.20771863979883598</v>
      </c>
      <c r="Q12" s="79">
        <v>0.65265738052043343</v>
      </c>
      <c r="R12" s="78">
        <v>1.9606920057834423</v>
      </c>
      <c r="S12" s="15">
        <v>0.67283405398617657</v>
      </c>
      <c r="T12" s="76">
        <v>2.2041306156151999</v>
      </c>
      <c r="U12" s="71">
        <v>-6.1947514242691177</v>
      </c>
      <c r="V12" s="13" t="s">
        <v>366</v>
      </c>
      <c r="W12" s="11" t="s">
        <v>351</v>
      </c>
      <c r="X12" s="14">
        <v>46081</v>
      </c>
      <c r="Y12" s="16" t="s">
        <v>364</v>
      </c>
    </row>
    <row r="13" spans="1:25">
      <c r="B13" s="11" t="s">
        <v>175</v>
      </c>
      <c r="C13" s="11" t="s">
        <v>376</v>
      </c>
      <c r="D13" s="2">
        <v>3.28</v>
      </c>
      <c r="E13" s="12" t="s">
        <v>129</v>
      </c>
      <c r="F13" s="15">
        <v>0.18093833485412103</v>
      </c>
      <c r="G13" s="15">
        <v>4.8940906207567789E-2</v>
      </c>
      <c r="H13" s="2">
        <v>2.5097460261535343</v>
      </c>
      <c r="I13" s="2">
        <v>4.4366120194593153</v>
      </c>
      <c r="J13" s="2">
        <v>4.3016714192105461</v>
      </c>
      <c r="K13" s="2">
        <v>3.1362338075574741</v>
      </c>
      <c r="L13" s="2">
        <v>3.8313906187252909</v>
      </c>
      <c r="M13" s="4">
        <v>7.403195978339322E-2</v>
      </c>
      <c r="N13" s="4">
        <v>8.2317073170731711E-2</v>
      </c>
      <c r="O13" s="4">
        <v>0.11354054587062024</v>
      </c>
      <c r="P13" s="4">
        <v>0.4243739445166862</v>
      </c>
      <c r="Q13" s="79">
        <v>0.22035988512352028</v>
      </c>
      <c r="R13" s="78">
        <v>1.2141426890285656</v>
      </c>
      <c r="S13" s="15">
        <v>2.3107986944995245E-3</v>
      </c>
      <c r="T13" s="76">
        <v>2.0454423835375664E-2</v>
      </c>
      <c r="U13" s="71">
        <v>0.79833937207218564</v>
      </c>
      <c r="V13" s="13" t="s">
        <v>377</v>
      </c>
      <c r="W13" s="11" t="s">
        <v>363</v>
      </c>
      <c r="X13" s="14">
        <v>46081</v>
      </c>
      <c r="Y13" s="16" t="s">
        <v>364</v>
      </c>
    </row>
    <row r="14" spans="1:25">
      <c r="B14" s="11" t="s">
        <v>380</v>
      </c>
      <c r="C14" s="11" t="s">
        <v>381</v>
      </c>
      <c r="D14" s="2">
        <v>4.5999999999999996</v>
      </c>
      <c r="E14" s="12" t="s">
        <v>129</v>
      </c>
      <c r="F14" s="15">
        <v>0.16031672131726196</v>
      </c>
      <c r="G14" s="15">
        <v>9.8997599369707052E-3</v>
      </c>
      <c r="H14" s="2">
        <v>3.3058505032532972</v>
      </c>
      <c r="I14" s="2">
        <v>6.6277455556474951</v>
      </c>
      <c r="J14" s="2">
        <v>5.7883592149489207</v>
      </c>
      <c r="K14" s="2">
        <v>4.170852752110819</v>
      </c>
      <c r="L14" s="2">
        <v>5.1345919269174427</v>
      </c>
      <c r="M14" s="4">
        <v>6.7436519861347993E-2</v>
      </c>
      <c r="N14" s="4">
        <v>3.4608695652173921E-2</v>
      </c>
      <c r="O14" s="4">
        <v>0.27382509866113364</v>
      </c>
      <c r="P14" s="4">
        <v>0.20764453215246689</v>
      </c>
      <c r="Q14" s="79">
        <v>0.86056930273853416</v>
      </c>
      <c r="R14" s="78">
        <v>1.532381509863507</v>
      </c>
      <c r="S14" s="15">
        <v>0.27351475277205878</v>
      </c>
      <c r="T14" s="76">
        <v>0.94608729427783522</v>
      </c>
      <c r="U14" s="71">
        <v>0.59749676752244707</v>
      </c>
      <c r="V14" s="13" t="s">
        <v>366</v>
      </c>
      <c r="W14" s="11" t="s">
        <v>351</v>
      </c>
      <c r="X14" s="14">
        <v>46173</v>
      </c>
      <c r="Y14" s="16" t="s">
        <v>352</v>
      </c>
    </row>
    <row r="15" spans="1:25">
      <c r="B15" s="11" t="s">
        <v>152</v>
      </c>
      <c r="C15" s="11" t="s">
        <v>382</v>
      </c>
      <c r="D15" s="2">
        <v>21.96</v>
      </c>
      <c r="E15" s="12" t="s">
        <v>129</v>
      </c>
      <c r="F15" s="15">
        <v>0.10787383634966216</v>
      </c>
      <c r="G15" s="15">
        <v>0</v>
      </c>
      <c r="H15" s="2">
        <v>13.745271179873887</v>
      </c>
      <c r="I15" s="2">
        <v>28.142024069727892</v>
      </c>
      <c r="J15" s="2">
        <v>24.158350035045206</v>
      </c>
      <c r="K15" s="2">
        <v>17.371516417135236</v>
      </c>
      <c r="L15" s="2">
        <v>21.414477801485649</v>
      </c>
      <c r="M15" s="4">
        <v>5.1712503787049509E-2</v>
      </c>
      <c r="N15" s="4">
        <v>2.3468698070940593E-2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5.659995682707061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90</v>
      </c>
      <c r="E16" s="12" t="s">
        <v>129</v>
      </c>
      <c r="F16" s="15">
        <v>2.1100294090824159E-2</v>
      </c>
      <c r="G16" s="15">
        <v>0</v>
      </c>
      <c r="H16" s="2">
        <v>43.613170206899568</v>
      </c>
      <c r="I16" s="2">
        <v>95.818134944558366</v>
      </c>
      <c r="J16" s="2">
        <v>77.670448096434683</v>
      </c>
      <c r="K16" s="2">
        <v>55.450309574397203</v>
      </c>
      <c r="L16" s="2">
        <v>68.678644060807045</v>
      </c>
      <c r="M16" s="4">
        <v>1.3820702013747219E-2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3.6164061601320228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28.5</v>
      </c>
      <c r="E17" s="12" t="s">
        <v>129</v>
      </c>
      <c r="F17" s="15">
        <v>1.4880705136250019E-2</v>
      </c>
      <c r="G17" s="15">
        <v>0</v>
      </c>
      <c r="H17" s="2">
        <v>14.102047724790182</v>
      </c>
      <c r="I17" s="2">
        <v>25.954798851364032</v>
      </c>
      <c r="J17" s="2">
        <v>24.330625305548786</v>
      </c>
      <c r="K17" s="2">
        <v>17.674304890835668</v>
      </c>
      <c r="L17" s="2">
        <v>21.643251764006529</v>
      </c>
      <c r="M17" s="4">
        <v>8.535819116974494E-2</v>
      </c>
      <c r="N17" s="4">
        <v>4.4210526315789471E-2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0.4667642744051097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4" t="s">
        <v>226</v>
      </c>
      <c r="C4" s="143"/>
      <c r="D4" s="143"/>
      <c r="E4" s="143"/>
    </row>
    <row r="6" spans="1:5">
      <c r="A6" s="20" t="s">
        <v>55</v>
      </c>
      <c r="B6" s="19" t="s">
        <v>227</v>
      </c>
      <c r="C6" s="47"/>
    </row>
    <row r="7" spans="1:5">
      <c r="B7" s="144" t="s">
        <v>317</v>
      </c>
      <c r="C7" s="143"/>
      <c r="D7" s="143"/>
      <c r="E7" s="143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44" t="s">
        <v>242</v>
      </c>
      <c r="C24" s="143"/>
      <c r="D24" s="143"/>
      <c r="E24" s="143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3" t="s">
        <v>262</v>
      </c>
      <c r="C40" s="143"/>
      <c r="D40" s="143"/>
      <c r="E40" s="143"/>
    </row>
    <row r="41" spans="1:5">
      <c r="B41" s="144" t="s">
        <v>263</v>
      </c>
      <c r="C41" s="143"/>
      <c r="D41" s="143"/>
      <c r="E41" s="143"/>
    </row>
    <row r="42" spans="1:5">
      <c r="B42" s="144" t="s">
        <v>264</v>
      </c>
      <c r="C42" s="143"/>
      <c r="D42" s="143"/>
      <c r="E42" s="143"/>
    </row>
    <row r="43" spans="1:5">
      <c r="B43" s="144" t="s">
        <v>265</v>
      </c>
      <c r="C43" s="144"/>
      <c r="D43" s="144"/>
      <c r="E43" s="144"/>
    </row>
    <row r="44" spans="1:5" ht="34.25" customHeight="1">
      <c r="B44" s="143" t="s">
        <v>316</v>
      </c>
      <c r="C44" s="143"/>
      <c r="D44" s="143"/>
      <c r="E44" s="143"/>
    </row>
    <row r="46" spans="1:5">
      <c r="A46" s="21" t="s">
        <v>266</v>
      </c>
      <c r="B46" s="21"/>
      <c r="C46" s="21"/>
      <c r="D46" s="21"/>
      <c r="E46" s="21"/>
    </row>
    <row r="48" spans="1:5">
      <c r="B48" s="143" t="s">
        <v>267</v>
      </c>
      <c r="C48" s="143"/>
      <c r="D48" s="143"/>
      <c r="E48" s="143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3" t="s">
        <v>299</v>
      </c>
      <c r="C74" s="143"/>
      <c r="D74" s="143"/>
      <c r="E74" s="143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4.3400000000000001E-2</v>
      </c>
      <c r="D4" s="34">
        <v>6.7500000000000004E-2</v>
      </c>
      <c r="E4" s="35">
        <f>D4-C4</f>
        <v>2.4100000000000003E-2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tabSelected="1" zoomScaleNormal="100" workbookViewId="0">
      <selection activeCell="E21" sqref="E2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 t="shared" ref="H3:H10" si="0">G3/$G$13</f>
        <v>0.34465059996456099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6.46</v>
      </c>
      <c r="E4" s="59" t="str">
        <f>VLOOKUP(B4,Opportunities!B$3:E$30,4,FALSE)</f>
        <v>HKD</v>
      </c>
      <c r="F4" s="57">
        <v>10000</v>
      </c>
      <c r="G4" s="61">
        <f t="shared" ref="G4:G11" si="1">D4*F4</f>
        <v>64600</v>
      </c>
      <c r="H4" s="58">
        <f t="shared" si="0"/>
        <v>4.8917973796322518E-2</v>
      </c>
      <c r="I4" s="58">
        <f>VLOOKUP(B4,Opportunities!B$3:H$30,6,FALSE)</f>
        <v>9.7541969989960425E-2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112.4</v>
      </c>
      <c r="E5" s="59" t="str">
        <f>VLOOKUP(B5,Opportunities!B$3:E$30,4,FALSE)</f>
        <v>HKD</v>
      </c>
      <c r="F5" s="57">
        <v>2500</v>
      </c>
      <c r="G5" s="61">
        <f t="shared" si="1"/>
        <v>281000</v>
      </c>
      <c r="H5" s="58">
        <f t="shared" si="0"/>
        <v>0.21278561357223882</v>
      </c>
      <c r="I5" s="58">
        <f>VLOOKUP(B5,Opportunities!B$3:H$30,6,FALSE)</f>
        <v>5.9978435269387488E-2</v>
      </c>
      <c r="J5" s="81">
        <f>VLOOKUP(B5,Opportunities!B$3:L$30,10,FALSE)</f>
        <v>109.36540364898732</v>
      </c>
      <c r="K5" s="81">
        <f>VLOOKUP(B5,Opportunities!B$3:L$30,7,FALSE)</f>
        <v>86.578023443536665</v>
      </c>
      <c r="L5" s="81">
        <f>VLOOKUP(B5,Opportunities!B$3:L$30,9,FALSE)</f>
        <v>152.00333811739461</v>
      </c>
      <c r="M5" s="81">
        <f>VLOOKUP(B5,Opportunities!B$3:L$30,11,FALSE)</f>
        <v>134.76644809121728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3.28</v>
      </c>
      <c r="E6" s="59" t="str">
        <f>VLOOKUP(B6,Opportunities!B$3:E$30,4,FALSE)</f>
        <v>HKD</v>
      </c>
      <c r="F6" s="57">
        <v>40000</v>
      </c>
      <c r="G6" s="61">
        <f t="shared" si="1"/>
        <v>131200</v>
      </c>
      <c r="H6" s="58">
        <f t="shared" si="0"/>
        <v>9.9350435945472368E-2</v>
      </c>
      <c r="I6" s="58">
        <f>VLOOKUP(B6,Opportunities!B$3:H$30,6,FALSE)</f>
        <v>4.8940906207567789E-2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7.6</v>
      </c>
      <c r="E7" s="59" t="str">
        <f>VLOOKUP(B7,Opportunities!B$3:E$30,4,FALSE)</f>
        <v>HKD</v>
      </c>
      <c r="F7" s="57">
        <v>8000</v>
      </c>
      <c r="G7" s="61">
        <f t="shared" si="1"/>
        <v>60800</v>
      </c>
      <c r="H7" s="58">
        <f t="shared" si="0"/>
        <v>4.6040445925950607E-2</v>
      </c>
      <c r="I7" s="58">
        <f>VLOOKUP(B7,Opportunities!B$3:H$30,6,FALSE)</f>
        <v>3.8741928027108685E-2</v>
      </c>
      <c r="J7" s="81">
        <f>VLOOKUP(B7,Opportunities!B$3:L$30,10,FALSE)</f>
        <v>7.3718203641557594</v>
      </c>
      <c r="K7" s="81">
        <f>VLOOKUP(B7,Opportunities!B$3:L$30,7,FALSE)</f>
        <v>5.849514535440214</v>
      </c>
      <c r="L7" s="81">
        <f>VLOOKUP(B7,Opportunities!B$3:L$30,9,FALSE)</f>
        <v>10.216789887067552</v>
      </c>
      <c r="M7" s="81">
        <f>VLOOKUP(B7,Opportunities!B$3:L$30,11,FALSE)</f>
        <v>9.0671141587888737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10.039999999999999</v>
      </c>
      <c r="E8" s="59" t="str">
        <f>VLOOKUP(B8,Opportunities!B$3:E$30,4,FALSE)</f>
        <v>HKD</v>
      </c>
      <c r="F8" s="57">
        <v>15000</v>
      </c>
      <c r="G8" s="61">
        <f t="shared" si="1"/>
        <v>150600</v>
      </c>
      <c r="H8" s="58">
        <f t="shared" si="0"/>
        <v>0.11404097296789739</v>
      </c>
      <c r="I8" s="58">
        <f>VLOOKUP(B8,Opportunities!B$3:H$30,6,FALSE)</f>
        <v>0.14436706932118828</v>
      </c>
      <c r="J8" s="81">
        <f>VLOOKUP(B8,Opportunities!B$3:L$30,10,FALSE)</f>
        <v>12.210514411556559</v>
      </c>
      <c r="K8" s="81">
        <f>VLOOKUP(B8,Opportunities!B$3:L$30,7,FALSE)</f>
        <v>9.7015155485524485</v>
      </c>
      <c r="L8" s="81">
        <f>VLOOKUP(B8,Opportunities!B$3:L$30,9,FALSE)</f>
        <v>16.896289690982773</v>
      </c>
      <c r="M8" s="81">
        <f>VLOOKUP(B8,Opportunities!B$3:L$30,11,FALSE)</f>
        <v>15.003132646887639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4.43</v>
      </c>
      <c r="E9" s="59" t="str">
        <f>VLOOKUP(B9,Opportunities!B$3:E$30,4,FALSE)</f>
        <v>HKD</v>
      </c>
      <c r="F9" s="57">
        <v>12000</v>
      </c>
      <c r="G9" s="61">
        <f t="shared" si="1"/>
        <v>53160</v>
      </c>
      <c r="H9" s="58">
        <f t="shared" si="0"/>
        <v>4.0255100418150232E-2</v>
      </c>
      <c r="I9" s="58">
        <f>VLOOKUP(B9,Opportunities!B$3:H$30,6,FALSE)</f>
        <v>4.5699627088065999E-2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39.24</v>
      </c>
      <c r="E10" s="59" t="str">
        <f>VLOOKUP(B10,Opportunities!B$3:E$30,4,FALSE)</f>
        <v>HKD</v>
      </c>
      <c r="F10" s="57">
        <v>2000</v>
      </c>
      <c r="G10" s="61">
        <f t="shared" ref="G10" si="2">D10*F10</f>
        <v>78480</v>
      </c>
      <c r="H10" s="58">
        <f t="shared" si="0"/>
        <v>5.9428522964944136E-2</v>
      </c>
      <c r="I10" s="58">
        <f>VLOOKUP(B10,Opportunities!B$3:H$30,6,FALSE)</f>
        <v>9.526673211287727E-2</v>
      </c>
      <c r="J10" s="81">
        <f>VLOOKUP(B10,Opportunities!B$3:L$30,10,FALSE)</f>
        <v>41.180750376530121</v>
      </c>
      <c r="K10" s="81">
        <f>VLOOKUP(B10,Opportunities!B$3:L$30,7,FALSE)</f>
        <v>32.412397201021413</v>
      </c>
      <c r="L10" s="81">
        <f>VLOOKUP(B10,Opportunities!B$3:L$30,9,FALSE)</f>
        <v>57.634740764491653</v>
      </c>
      <c r="M10" s="81">
        <f>VLOOKUP(B10,Opportunities!B$3:L$30,11,FALSE)</f>
        <v>50.977021396723089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3.8</v>
      </c>
      <c r="E11" s="59" t="str">
        <f>VLOOKUP(B11,Opportunities!B$3:E$30,4,FALSE)</f>
        <v>HKD</v>
      </c>
      <c r="F11" s="57">
        <v>12000</v>
      </c>
      <c r="G11" s="61">
        <f t="shared" si="1"/>
        <v>45600</v>
      </c>
      <c r="H11" s="58">
        <f t="shared" ref="H11" si="3">G11/$G$13</f>
        <v>3.4530334444462955E-2</v>
      </c>
      <c r="I11" s="58">
        <f>VLOOKUP(B11,Opportunities!B$3:H$30,6,FALSE)</f>
        <v>7.8617510918519817E-2</v>
      </c>
      <c r="J11" s="81">
        <f>VLOOKUP(B11,Opportunities!B$3:L$30,10,FALSE)</f>
        <v>4.2247826771901469</v>
      </c>
      <c r="K11" s="81">
        <f>VLOOKUP(B11,Opportunities!B$3:L$30,7,FALSE)</f>
        <v>3.3614267028605243</v>
      </c>
      <c r="L11" s="81">
        <f>VLOOKUP(B11,Opportunities!B$3:L$30,9,FALSE)</f>
        <v>5.8359631422937932</v>
      </c>
      <c r="M11" s="81">
        <f>VLOOKUP(B11,Opportunities!B$3:L$30,11,FALSE)</f>
        <v>5.1851644519765356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1320578</v>
      </c>
      <c r="H13" s="67">
        <f>SUM(H3:H11)</f>
        <v>1</v>
      </c>
      <c r="I13" s="73">
        <f>SUM(I3:I11)</f>
        <v>1.0591541789346757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112.4</v>
      </c>
      <c r="E16" s="59" t="str">
        <f>VLOOKUP(B16,Opportunities!B$3:E$30,4,FALSE)</f>
        <v>HKD</v>
      </c>
      <c r="F16" s="57">
        <v>0</v>
      </c>
      <c r="G16" s="61">
        <f t="shared" ref="G16:G21" si="4">-D16*F16</f>
        <v>0</v>
      </c>
      <c r="H16" s="58">
        <f t="shared" ref="H16:H21" si="5">-G16/$G$13</f>
        <v>0</v>
      </c>
      <c r="I16" s="58">
        <f>VLOOKUP(B16,Opportunities!B$3:G$30,6,FALSE)</f>
        <v>5.9978435269387488E-2</v>
      </c>
      <c r="J16" s="81">
        <f>VLOOKUP(B16,Opportunities!B$3:L$30,10,FALSE)</f>
        <v>109.36540364898732</v>
      </c>
      <c r="K16" s="81">
        <f>VLOOKUP(B16,Opportunities!B$3:L$30,7,FALSE)</f>
        <v>86.578023443536665</v>
      </c>
      <c r="L16" s="81">
        <f>VLOOKUP(B16,Opportunities!B$3:L$30,9,FALSE)</f>
        <v>152.00333811739461</v>
      </c>
      <c r="M16" s="81">
        <f>VLOOKUP(B16,Opportunities!B$3:L$30,11,FALSE)</f>
        <v>134.76644809121728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28.5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</v>
      </c>
      <c r="J17" s="81">
        <f>VLOOKUP(B17,Opportunities!B$3:L$30,10,FALSE)</f>
        <v>17.674304890835668</v>
      </c>
      <c r="K17" s="81">
        <f>VLOOKUP(B17,Opportunities!B$3:L$30,7,FALSE)</f>
        <v>14.102047724790182</v>
      </c>
      <c r="L17" s="81">
        <f>VLOOKUP(B17,Opportunities!B$3:L$30,9,FALSE)</f>
        <v>24.330625305548786</v>
      </c>
      <c r="M17" s="81">
        <f>VLOOKUP(B17,Opportunities!B$3:L$30,11,FALSE)</f>
        <v>21.643251764006529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3.28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4.8940906207567789E-2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39.24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9.526673211287727E-2</v>
      </c>
      <c r="J19" s="81">
        <f>VLOOKUP(B19,Opportunities!B$3:L$30,10,FALSE)</f>
        <v>41.180750376530121</v>
      </c>
      <c r="K19" s="81">
        <f>VLOOKUP(B19,Opportunities!B$3:L$30,7,FALSE)</f>
        <v>32.412397201021413</v>
      </c>
      <c r="L19" s="81">
        <f>VLOOKUP(B19,Opportunities!B$3:L$30,9,FALSE)</f>
        <v>57.634740764491653</v>
      </c>
      <c r="M19" s="81">
        <f>VLOOKUP(B19,Opportunities!B$3:L$30,11,FALSE)</f>
        <v>50.977021396723089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10.039999999999999</v>
      </c>
      <c r="E20" s="59" t="str">
        <f>VLOOKUP(B20,Opportunities!B$3:E$30,4,FALSE)</f>
        <v>HKD</v>
      </c>
      <c r="F20" s="57">
        <v>0</v>
      </c>
      <c r="G20" s="61">
        <f t="shared" si="4"/>
        <v>0</v>
      </c>
      <c r="H20" s="58">
        <f t="shared" si="5"/>
        <v>0</v>
      </c>
      <c r="I20" s="58">
        <f>VLOOKUP(B20,Opportunities!B$3:G$30,6,FALSE)</f>
        <v>0.14436706932118828</v>
      </c>
      <c r="J20" s="81">
        <f>VLOOKUP(B20,Opportunities!B$3:L$30,10,FALSE)</f>
        <v>12.210514411556559</v>
      </c>
      <c r="K20" s="81">
        <f>VLOOKUP(B20,Opportunities!B$3:L$30,7,FALSE)</f>
        <v>9.7015155485524485</v>
      </c>
      <c r="L20" s="81">
        <f>VLOOKUP(B20,Opportunities!B$3:L$30,9,FALSE)</f>
        <v>16.896289690982773</v>
      </c>
      <c r="M20" s="81">
        <f>VLOOKUP(B20,Opportunities!B$3:L$30,11,FALSE)</f>
        <v>15.003132646887639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7.6</v>
      </c>
      <c r="E21" s="59" t="str">
        <f>VLOOKUP(B21,Opportunities!B$3:E$30,4,FALSE)</f>
        <v>HKD</v>
      </c>
      <c r="F21" s="57">
        <v>0</v>
      </c>
      <c r="G21" s="61">
        <f t="shared" si="4"/>
        <v>0</v>
      </c>
      <c r="H21" s="58">
        <f t="shared" si="5"/>
        <v>0</v>
      </c>
      <c r="I21" s="58">
        <f>VLOOKUP(B21,Opportunities!B$3:G$30,6,FALSE)</f>
        <v>3.8741928027108685E-2</v>
      </c>
      <c r="J21" s="81">
        <f>VLOOKUP(B21,Opportunities!B$3:L$30,10,FALSE)</f>
        <v>7.3718203641557594</v>
      </c>
      <c r="K21" s="81">
        <f>VLOOKUP(B21,Opportunities!B$3:L$30,7,FALSE)</f>
        <v>5.849514535440214</v>
      </c>
      <c r="L21" s="81">
        <f>VLOOKUP(B21,Opportunities!B$3:L$30,9,FALSE)</f>
        <v>10.216789887067552</v>
      </c>
      <c r="M21" s="81">
        <f>VLOOKUP(B21,Opportunities!B$3:L$30,11,FALSE)</f>
        <v>9.0671141587888737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6">G24/$G$13</f>
        <v>0.34465059996456099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2026-03-25T08:56:06Z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