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08DDD53-DEA9-47D8-AC35-9001B835CB11}" xr6:coauthVersionLast="47" xr6:coauthVersionMax="47" xr10:uidLastSave="{00000000-0000-0000-0000-000000000000}"/>
  <bookViews>
    <workbookView xWindow="-28920" yWindow="6150" windowWidth="29040" windowHeight="15720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16" i="7" l="1"/>
  <c r="M17" i="7"/>
  <c r="M18" i="7"/>
  <c r="M19" i="7"/>
  <c r="M20" i="7"/>
  <c r="M15" i="7"/>
  <c r="L16" i="7"/>
  <c r="L17" i="7"/>
  <c r="L18" i="7"/>
  <c r="L19" i="7"/>
  <c r="L20" i="7"/>
  <c r="L15" i="7"/>
  <c r="M5" i="7"/>
  <c r="M6" i="7"/>
  <c r="M7" i="7"/>
  <c r="M8" i="7"/>
  <c r="M9" i="7"/>
  <c r="M10" i="7"/>
  <c r="M4" i="7"/>
  <c r="L5" i="7"/>
  <c r="L6" i="7"/>
  <c r="L7" i="7"/>
  <c r="L8" i="7"/>
  <c r="L9" i="7"/>
  <c r="L10" i="7"/>
  <c r="L4" i="7"/>
  <c r="K16" i="7"/>
  <c r="K17" i="7"/>
  <c r="K18" i="7"/>
  <c r="K19" i="7"/>
  <c r="K20" i="7"/>
  <c r="K15" i="7"/>
  <c r="J16" i="7"/>
  <c r="J17" i="7"/>
  <c r="J18" i="7"/>
  <c r="J19" i="7"/>
  <c r="J20" i="7"/>
  <c r="J15" i="7"/>
  <c r="J5" i="7"/>
  <c r="K5" i="7"/>
  <c r="J6" i="7"/>
  <c r="K6" i="7"/>
  <c r="J7" i="7"/>
  <c r="K7" i="7"/>
  <c r="J8" i="7"/>
  <c r="K8" i="7"/>
  <c r="J9" i="7"/>
  <c r="K9" i="7"/>
  <c r="J10" i="7"/>
  <c r="K10" i="7"/>
  <c r="K4" i="7"/>
  <c r="J4" i="7"/>
  <c r="I16" i="7"/>
  <c r="I17" i="7"/>
  <c r="I18" i="7"/>
  <c r="I19" i="7"/>
  <c r="I20" i="7"/>
  <c r="I15" i="7"/>
  <c r="I5" i="7"/>
  <c r="I6" i="7"/>
  <c r="I7" i="7"/>
  <c r="I8" i="7"/>
  <c r="I9" i="7"/>
  <c r="I10" i="7"/>
  <c r="I4" i="7"/>
  <c r="C7" i="7"/>
  <c r="D7" i="7"/>
  <c r="G7" i="7" s="1"/>
  <c r="E7" i="7"/>
  <c r="C9" i="7"/>
  <c r="D9" i="7"/>
  <c r="G9" i="7" s="1"/>
  <c r="E9" i="7"/>
  <c r="C8" i="7"/>
  <c r="D8" i="7"/>
  <c r="G8" i="7" s="1"/>
  <c r="E8" i="7"/>
  <c r="C19" i="7"/>
  <c r="D19" i="7"/>
  <c r="G19" i="7" s="1"/>
  <c r="E19" i="7"/>
  <c r="C19" i="11"/>
  <c r="E32" i="10"/>
  <c r="C7" i="11"/>
  <c r="C10" i="11"/>
  <c r="C16" i="2"/>
  <c r="C9" i="11"/>
  <c r="C16" i="7"/>
  <c r="C17" i="7"/>
  <c r="C18" i="7"/>
  <c r="C20" i="7"/>
  <c r="C15" i="7"/>
  <c r="C5" i="7"/>
  <c r="C6" i="7"/>
  <c r="C10" i="7"/>
  <c r="C4" i="7"/>
  <c r="D20" i="7"/>
  <c r="G20" i="7" s="1"/>
  <c r="E20" i="7"/>
  <c r="D18" i="7"/>
  <c r="G18" i="7" s="1"/>
  <c r="E18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D6" i="7"/>
  <c r="E6" i="7"/>
  <c r="D17" i="7"/>
  <c r="G17" i="7" s="1"/>
  <c r="E17" i="7"/>
  <c r="D16" i="7"/>
  <c r="G16" i="7" s="1"/>
  <c r="E16" i="7"/>
  <c r="D15" i="7"/>
  <c r="E15" i="7"/>
  <c r="D5" i="7"/>
  <c r="G5" i="7" s="1"/>
  <c r="E5" i="7"/>
  <c r="E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<sst xmlns="http://schemas.openxmlformats.org/spreadsheetml/2006/main" count="487" uniqueCount="389">
  <si>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</si>
  <si>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</si>
  <si>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</si>
  <si>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</si>
  <si>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</si>
  <si>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</si>
  <si>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</si>
  <si>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</si>
  <si>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</si>
  <si>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</si>
  <si>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</si>
  <si>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</si>
  <si>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</si>
  <si>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</si>
  <si>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</si>
  <si>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</si>
  <si>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</si>
  <si>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</si>
  <si>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</si>
  <si>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</si>
  <si>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</si>
  <si>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</si>
  <si>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</si>
  <si>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</si>
  <si>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</si>
  <si>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</si>
  <si>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</si>
  <si>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</si>
  <si>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</si>
  <si>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</si>
  <si>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</si>
  <si>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</si>
  <si>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</si>
  <si>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</si>
  <si>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</si>
  <si>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</si>
  <si>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</si>
  <si>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</si>
  <si>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</si>
  <si>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</si>
  <si>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</si>
  <si>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</si>
  <si>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</si>
  <si>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</si>
  <si>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</si>
  <si>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</si>
  <si>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</si>
  <si>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</si>
  <si>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</si>
  <si>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</si>
  <si>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</si>
  <si>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</si>
  <si>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</si>
  <si>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</si>
  <si>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</si>
  <si>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</si>
  <si>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</si>
  <si>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</si>
  <si>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</si>
  <si>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</si>
  <si>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</si>
  <si>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</si>
  <si>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</si>
  <si>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</si>
  <si>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</si>
  <si>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</si>
  <si>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</si>
  <si>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</si>
  <si>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</si>
  <si>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</si>
  <si>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</si>
  <si>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</si>
  <si>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</si>
  <si>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</si>
  <si>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</si>
  <si>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</si>
  <si>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</si>
  <si>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</si>
  <si>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</si>
  <si>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</si>
  <si>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</si>
  <si>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</si>
  <si>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</si>
  <si>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</si>
  <si>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</si>
  <si>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</si>
  <si>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</si>
  <si>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</si>
  <si>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</si>
  <si>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</si>
  <si>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</si>
  <si>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</si>
  <si>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</si>
  <si>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</si>
  <si>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</si>
  <si>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</si>
  <si>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</si>
  <si>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</si>
  <si>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</si>
  <si>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</si>
  <si>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</si>
  <si>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</si>
  <si>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</si>
  <si>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</si>
  <si>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</si>
  <si>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</si>
  <si>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</si>
  <si>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</si>
  <si>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</si>
  <si>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</si>
  <si>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</si>
  <si>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</si>
  <si>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</si>
  <si>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</si>
  <si>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</si>
  <si>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</si>
  <si>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</si>
  <si>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</si>
  <si>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</si>
  <si>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</si>
  <si>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</si>
  <si>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</si>
  <si>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</si>
  <si>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</si>
  <si>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</si>
  <si>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</si>
  <si>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</si>
  <si>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</si>
  <si>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</si>
  <si>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</si>
  <si>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</si>
  <si>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</si>
  <si>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</si>
  <si>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</si>
  <si>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</si>
  <si>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</si>
  <si>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</si>
  <si>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</si>
  <si>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</si>
  <si>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</si>
  <si>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</si>
  <si>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</si>
  <si>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</si>
  <si>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</si>
  <si>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</si>
  <si>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</si>
  <si>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</si>
  <si>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</si>
  <si>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</si>
  <si>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</si>
  <si>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</si>
  <si>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</si>
  <si>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</si>
  <si>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</si>
  <si>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</si>
  <si>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</si>
  <si>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</si>
  <si>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</si>
  <si>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</si>
  <si>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</si>
  <si>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</si>
  <si>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</si>
  <si>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</si>
  <si>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</si>
  <si>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</si>
  <si>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</si>
  <si>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</si>
  <si>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</si>
  <si>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</si>
  <si>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</si>
  <si>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</si>
  <si>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</si>
  <si>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</si>
  <si>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</si>
  <si>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</si>
  <si>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</si>
  <si>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</si>
  <si>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</si>
  <si>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</si>
  <si>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</si>
  <si>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</si>
  <si>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</si>
  <si>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</si>
  <si>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</si>
  <si>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</si>
  <si>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</si>
  <si>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</si>
  <si>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</si>
  <si>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</si>
  <si>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</si>
  <si>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</si>
  <si>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</si>
  <si>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</si>
  <si>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</si>
  <si>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</si>
  <si>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</si>
  <si>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</si>
  <si>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</si>
  <si>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</si>
  <si>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</si>
  <si>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</si>
  <si>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</si>
  <si>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</si>
  <si>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</si>
  <si>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</si>
  <si>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</si>
  <si>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</si>
  <si>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</si>
  <si>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</si>
  <si>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</si>
  <si>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</si>
  <si>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</si>
  <si>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</si>
  <si>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</si>
  <si>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</si>
  <si>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</si>
  <si>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</si>
  <si>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</si>
  <si>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</si>
  <si>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</si>
  <si>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</si>
  <si>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</si>
  <si>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</si>
  <si>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</si>
  <si>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</si>
  <si>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</si>
  <si>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</si>
  <si>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</si>
  <si>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</si>
  <si>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</si>
  <si>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</si>
  <si>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</si>
  <si>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</si>
  <si>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</si>
  <si>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</si>
  <si>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</si>
  <si>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</si>
  <si>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</si>
  <si>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</si>
  <si>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</si>
  <si>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</si>
  <si>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</si>
  <si>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</si>
  <si>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</si>
  <si>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</si>
  <si>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</si>
  <si>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</si>
  <si>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</si>
  <si>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</si>
  <si>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</si>
  <si>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</si>
  <si>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</si>
  <si>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</si>
  <si>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</si>
  <si>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</si>
  <si>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</si>
  <si>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</si>
  <si>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</si>
  <si>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</si>
  <si>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</si>
  <si>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</si>
  <si>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</si>
  <si>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</si>
  <si>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</si>
  <si>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</si>
  <si>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</si>
  <si>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</si>
  <si>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</si>
  <si>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</si>
  <si>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</si>
  <si>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</si>
  <si>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</si>
  <si>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</si>
  <si>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</si>
  <si>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</si>
  <si>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</si>
  <si>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</si>
  <si>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</si>
  <si>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</si>
  <si>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</si>
  <si>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</si>
  <si>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</si>
  <si>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</si>
  <si>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</si>
  <si>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</si>
  <si>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</si>
  <si>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</si>
  <si>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</si>
  <si>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</si>
  <si>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</si>
  <si>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</si>
  <si>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</si>
  <si>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</si>
  <si>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</si>
  <si>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</si>
  <si>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</si>
  <si>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</si>
  <si>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</si>
  <si>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</si>
  <si>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</si>
  <si>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</si>
  <si>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</si>
  <si>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</si>
  <si>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</si>
  <si>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</si>
  <si>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</si>
  <si>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</si>
  <si>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</si>
  <si>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</si>
  <si>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</si>
  <si>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</si>
  <si>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</si>
  <si>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</si>
  <si>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</si>
  <si>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</si>
  <si>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</si>
  <si>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</si>
  <si>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</si>
  <si>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</si>
  <si>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</si>
  <si>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</si>
  <si>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</si>
  <si>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</si>
  <si>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</si>
  <si>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</si>
  <si>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</si>
  <si>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</si>
  <si>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</si>
  <si>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</si>
  <si>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</si>
  <si>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</si>
  <si>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</si>
  <si>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</si>
  <si>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</si>
  <si>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</si>
  <si>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</si>
  <si>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</si>
  <si>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</si>
  <si>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</si>
  <si>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</si>
  <si>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</si>
  <si>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</si>
  <si>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</si>
  <si>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</si>
  <si>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</si>
  <si>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</si>
  <si>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</si>
  <si>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</si>
  <si>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</si>
  <si>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</si>
  <si>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</si>
  <si>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</si>
  <si>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</si>
  <si>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</si>
  <si>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</si>
  <si>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</si>
  <si>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</si>
  <si>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</si>
  <si>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</si>
  <si>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</si>
  <si>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</si>
  <si>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</si>
  <si>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</si>
  <si>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</si>
  <si>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</si>
  <si>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</si>
  <si>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</si>
  <si>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</si>
  <si>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</si>
  <si>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</si>
  <si>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</si>
  <si>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</si>
  <si>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</si>
  <si>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</si>
  <si>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</si>
  <si>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</si>
  <si>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首钢资源</t>
  </si>
  <si>
    <t>MAT_01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</si>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</sst>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Normal="100" workbookViewId="0">
      <selection activeCell="G52" sqref="G5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142</v>
      </c>
      <c r="C4" s="150"/>
      <c r="D4" s="150"/>
      <c r="E4" s="150"/>
    </row>
    <row r="6" spans="1:5">
      <c r="A6" s="20" t="s">
        <v>55</v>
      </c>
      <c r="B6" s="19" t="s">
        <v>136</v>
      </c>
      <c r="C6" s="47"/>
    </row>
    <row r="7" spans="1:5">
      <c r="B7" s="150" t="s">
        <v>198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341</v>
      </c>
      <c r="C12" s="77">
        <v>7.2499999999999995E-2</v>
      </c>
    </row>
    <row r="13" spans="1:5">
      <c r="C13" s="4"/>
    </row>
    <row r="14" spans="1:5" ht="46.5" customHeight="1">
      <c r="B14" s="150" t="s">
        <v>342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51" t="s">
        <v>200</v>
      </c>
      <c r="C27" s="150"/>
      <c r="D27" s="150"/>
      <c r="E27" s="150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340</v>
      </c>
      <c r="C35" s="43" t="s">
        <v>123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336</v>
      </c>
      <c r="C38" s="138">
        <v>-0.65</v>
      </c>
    </row>
    <row r="40" spans="1:5">
      <c r="B40" s="20" t="s">
        <v>208</v>
      </c>
    </row>
    <row r="41" spans="1:5">
      <c r="B41" s="150" t="s">
        <v>207</v>
      </c>
      <c r="C41" s="150"/>
      <c r="D41" s="150"/>
      <c r="E41" s="150"/>
    </row>
    <row r="43" spans="1:5">
      <c r="A43" s="20" t="s">
        <v>57</v>
      </c>
      <c r="B43" s="19" t="s">
        <v>347</v>
      </c>
    </row>
    <row r="45" spans="1:5">
      <c r="B45" s="43" t="s">
        <v>201</v>
      </c>
      <c r="C45" s="43"/>
      <c r="D45" s="43"/>
      <c r="E45" s="43"/>
    </row>
    <row r="46" spans="1:5">
      <c r="B46" s="26" t="s">
        <v>357</v>
      </c>
      <c r="C46" s="138">
        <v>0.3</v>
      </c>
      <c r="D46" s="137"/>
      <c r="E46" s="139"/>
    </row>
    <row r="47" spans="1:5">
      <c r="B47" s="26" t="s">
        <v>358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1" t="s">
        <v>344</v>
      </c>
      <c r="C50" s="150"/>
      <c r="D50" s="150"/>
      <c r="E50" s="150"/>
    </row>
    <row r="51" spans="1:5">
      <c r="B51" s="151" t="s">
        <v>220</v>
      </c>
      <c r="C51" s="151"/>
      <c r="D51" s="151"/>
      <c r="E51" s="151"/>
    </row>
    <row r="53" spans="1:5">
      <c r="A53" s="21" t="s">
        <v>131</v>
      </c>
      <c r="B53" s="21"/>
      <c r="C53" s="21"/>
      <c r="D53" s="21"/>
      <c r="E53" s="21"/>
    </row>
    <row r="55" spans="1:5">
      <c r="B55" s="150" t="s">
        <v>209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143</v>
      </c>
      <c r="E62" s="44"/>
    </row>
    <row r="64" spans="1:5">
      <c r="B64" s="23" t="s">
        <v>356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161</v>
      </c>
      <c r="D70" s="26" t="s">
        <v>162</v>
      </c>
      <c r="E70" s="40">
        <v>1</v>
      </c>
    </row>
    <row r="71" spans="1:5">
      <c r="B71" s="26" t="s">
        <v>190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132</v>
      </c>
      <c r="C81" s="150"/>
      <c r="D81" s="150"/>
      <c r="E81" s="150"/>
    </row>
    <row r="83" spans="1:5">
      <c r="A83" s="28" t="s">
        <v>55</v>
      </c>
      <c r="B83" s="20" t="s">
        <v>213</v>
      </c>
    </row>
    <row r="84" spans="1:5">
      <c r="B84" s="24" t="s">
        <v>144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M14" sqref="M1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160</v>
      </c>
      <c r="L1" s="146"/>
      <c r="M1" s="143" t="s">
        <v>7</v>
      </c>
      <c r="N1" s="143"/>
      <c r="O1" s="149" t="s">
        <v>173</v>
      </c>
      <c r="P1" s="149"/>
      <c r="Q1" s="149"/>
      <c r="R1" s="149"/>
      <c r="S1" s="148" t="s">
        <v>169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167</v>
      </c>
      <c r="F2" s="7" t="s">
        <v>166</v>
      </c>
      <c r="G2" s="7" t="s">
        <v>140</v>
      </c>
      <c r="H2" s="8" t="s">
        <v>176</v>
      </c>
      <c r="I2" s="8" t="s">
        <v>8</v>
      </c>
      <c r="J2" s="8" t="s">
        <v>165</v>
      </c>
      <c r="K2" s="8" t="s">
        <v>159</v>
      </c>
      <c r="L2" s="8" t="s">
        <v>164</v>
      </c>
      <c r="M2" s="7" t="s">
        <v>9</v>
      </c>
      <c r="N2" s="7" t="s">
        <v>6</v>
      </c>
      <c r="O2" s="7" t="s">
        <v>170</v>
      </c>
      <c r="P2" s="7" t="s">
        <v>174</v>
      </c>
      <c r="Q2" s="7" t="s">
        <v>171</v>
      </c>
      <c r="R2" s="7" t="s">
        <v>172</v>
      </c>
      <c r="S2" s="7" t="s">
        <v>157</v>
      </c>
      <c r="T2" s="7" t="s">
        <v>158</v>
      </c>
      <c r="U2" s="7" t="s">
        <v>360</v>
      </c>
      <c r="V2" s="7" t="s">
        <v>5</v>
      </c>
      <c r="W2" s="7" t="s">
        <v>168</v>
      </c>
      <c r="X2" s="9" t="s">
        <v>359</v>
      </c>
      <c r="Y2" s="10" t="s">
        <v>45</v>
      </c>
    </row>
    <row r="3" spans="1:25">
      <c r="B3" s="11" t="s">
        <v>350</v>
      </c>
      <c r="C3" s="11" t="s">
        <v>361</v>
      </c>
      <c r="D3" s="2">
        <v>10.33</v>
      </c>
      <c r="E3" s="12" t="s">
        <v>129</v>
      </c>
      <c r="F3" s="15">
        <v>0.27297465372290125</v>
      </c>
      <c r="G3" s="15">
        <v>0.13739311543482446</v>
      </c>
      <c r="H3" s="2">
        <v>9.7260569222967526</v>
      </c>
      <c r="I3" s="2">
        <v>18.917074216641684</v>
      </c>
      <c r="J3" s="71">
        <v>16.939025726778127</v>
      </c>
      <c r="K3" s="2">
        <v>12.241400849923641</v>
      </c>
      <c r="L3" s="2">
        <v>15.041081229321644</v>
      </c>
      <c r="M3" s="4">
        <v>9.9065508954713166E-2</v>
      </c>
      <c r="N3" s="4">
        <v>5.946795453406719E-2</v>
      </c>
      <c r="O3" s="4">
        <v>0.1009581771086502</v>
      </c>
      <c r="P3" s="4">
        <v>0.12639830091152165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1.7751248091872005</v>
      </c>
      <c r="V3" s="13" t="s">
        <v>362</v>
      </c>
      <c r="W3" s="11" t="s">
        <v>363</v>
      </c>
      <c r="X3" s="14">
        <v>46173</v>
      </c>
      <c r="Y3" s="16" t="s">
        <v>364</v>
      </c>
    </row>
    <row r="4" spans="1:25">
      <c r="B4" s="11" t="s">
        <v>320</v>
      </c>
      <c r="C4" s="11" t="s">
        <v>365</v>
      </c>
      <c r="D4" s="2">
        <v>3.92</v>
      </c>
      <c r="E4" s="12" t="s">
        <v>129</v>
      </c>
      <c r="F4" s="15">
        <v>0.23276804945693169</v>
      </c>
      <c r="G4" s="15">
        <v>7.1708128099682841E-2</v>
      </c>
      <c r="H4" s="2">
        <v>3.3688616158822438</v>
      </c>
      <c r="I4" s="2">
        <v>6.4366069700932913</v>
      </c>
      <c r="J4" s="71">
        <v>5.8492039368339626</v>
      </c>
      <c r="K4" s="2">
        <v>4.2342355151002842</v>
      </c>
      <c r="L4" s="2">
        <v>5.1968723774178507</v>
      </c>
      <c r="M4" s="4">
        <v>0.1101232106763978</v>
      </c>
      <c r="N4" s="4">
        <v>6.1683673469387752E-2</v>
      </c>
      <c r="O4" s="4">
        <v>0.17304079935938224</v>
      </c>
      <c r="P4" s="4">
        <v>0.22645563866550303</v>
      </c>
      <c r="Q4" s="79">
        <v>0.61200300518899786</v>
      </c>
      <c r="R4" s="78">
        <v>1.2485669045200241</v>
      </c>
      <c r="S4" s="15">
        <v>3.1120102042901991E-2</v>
      </c>
      <c r="T4" s="76">
        <v>0.17837624059729351</v>
      </c>
      <c r="U4" s="71">
        <v>1.2927075283131695</v>
      </c>
      <c r="V4" s="13" t="s">
        <v>366</v>
      </c>
      <c r="W4" s="11" t="s">
        <v>363</v>
      </c>
      <c r="X4" s="14">
        <v>46081</v>
      </c>
      <c r="Y4" s="16" t="s">
        <v>352</v>
      </c>
    </row>
    <row r="5" spans="1:25">
      <c r="B5" s="11" t="s">
        <v>367</v>
      </c>
      <c r="C5" s="11" t="s">
        <v>368</v>
      </c>
      <c r="D5" s="2">
        <v>6.52</v>
      </c>
      <c r="E5" s="12" t="s">
        <v>129</v>
      </c>
      <c r="F5" s="15">
        <v>0.21802994295402547</v>
      </c>
      <c r="G5" s="15">
        <v>9.378794191679117E-2</v>
      </c>
      <c r="H5" s="2">
        <v>5.3814365192952689</v>
      </c>
      <c r="I5" s="2">
        <v>11.25643603289171</v>
      </c>
      <c r="J5" s="71">
        <v>9.4954558038529377</v>
      </c>
      <c r="K5" s="2">
        <v>6.8132615931086278</v>
      </c>
      <c r="L5" s="2">
        <v>8.410757158764735</v>
      </c>
      <c r="M5" s="4">
        <v>7.2258683106645516E-2</v>
      </c>
      <c r="N5" s="4">
        <v>2.1779141104294478E-2</v>
      </c>
      <c r="O5" s="4">
        <v>0.3</v>
      </c>
      <c r="P5" s="4">
        <v>0.15217050538089463</v>
      </c>
      <c r="Q5" s="79">
        <v>1.1106245684847842</v>
      </c>
      <c r="R5" s="78">
        <v>1.775102743966247</v>
      </c>
      <c r="S5" s="15">
        <v>0.17709797868255178</v>
      </c>
      <c r="T5" s="76">
        <v>0.82178780749892033</v>
      </c>
      <c r="U5" s="71">
        <v>-0.17087844774809768</v>
      </c>
      <c r="V5" s="13" t="s">
        <v>366</v>
      </c>
      <c r="W5" s="11" t="s">
        <v>351</v>
      </c>
      <c r="X5" s="14">
        <v>46081</v>
      </c>
      <c r="Y5" s="16" t="s">
        <v>364</v>
      </c>
    </row>
    <row r="6" spans="1:25">
      <c r="B6" s="11" t="s">
        <v>369</v>
      </c>
      <c r="C6" s="11" t="s">
        <v>370</v>
      </c>
      <c r="D6" s="2">
        <v>80</v>
      </c>
      <c r="E6" s="12" t="s">
        <v>129</v>
      </c>
      <c r="F6" s="15">
        <v>0.19954824158241555</v>
      </c>
      <c r="G6" s="15">
        <v>7.3567352683517301E-2</v>
      </c>
      <c r="H6" s="2">
        <v>63.584122186313955</v>
      </c>
      <c r="I6" s="2">
        <v>121.41612644333178</v>
      </c>
      <c r="J6" s="71">
        <v>110.38754249377104</v>
      </c>
      <c r="K6" s="2">
        <v>79.913753728779966</v>
      </c>
      <c r="L6" s="2">
        <v>98.0784054277824</v>
      </c>
      <c r="M6" s="4">
        <v>6.8187735404839273E-2</v>
      </c>
      <c r="N6" s="4">
        <v>5.7262500000000008E-2</v>
      </c>
      <c r="O6" s="4">
        <v>9.6671315574961933E-2</v>
      </c>
      <c r="P6" s="4">
        <v>0.13321568275625476</v>
      </c>
      <c r="Q6" s="79">
        <v>0.48913824057450628</v>
      </c>
      <c r="R6" s="78">
        <v>1.4835789300471205</v>
      </c>
      <c r="S6" s="15">
        <v>6.4100114768294941E-2</v>
      </c>
      <c r="T6" s="76">
        <v>0.67756727799881356</v>
      </c>
      <c r="U6" s="71">
        <v>1.4661824849249427</v>
      </c>
      <c r="V6" s="13" t="s">
        <v>371</v>
      </c>
      <c r="W6" s="11" t="s">
        <v>351</v>
      </c>
      <c r="X6" s="14">
        <v>46081</v>
      </c>
      <c r="Y6" s="16" t="s">
        <v>364</v>
      </c>
    </row>
    <row r="7" spans="1:25">
      <c r="B7" s="11" t="s">
        <v>372</v>
      </c>
      <c r="C7" s="11" t="s">
        <v>373</v>
      </c>
      <c r="D7" s="2">
        <v>76.5</v>
      </c>
      <c r="E7" s="12" t="s">
        <v>129</v>
      </c>
      <c r="F7" s="15">
        <v>0.19853737511444283</v>
      </c>
      <c r="G7" s="15">
        <v>7.2350426803248699E-2</v>
      </c>
      <c r="H7" s="2">
        <v>60.980333302687782</v>
      </c>
      <c r="I7" s="2">
        <v>108.51918826600506</v>
      </c>
      <c r="J7" s="71">
        <v>104.63186643059791</v>
      </c>
      <c r="K7" s="2">
        <v>76.238965431715897</v>
      </c>
      <c r="L7" s="2">
        <v>93.173698933427346</v>
      </c>
      <c r="M7" s="4">
        <v>0.11871401627098241</v>
      </c>
      <c r="N7" s="4">
        <v>8.3393464052287578E-2</v>
      </c>
      <c r="O7" s="4">
        <v>0.08</v>
      </c>
      <c r="P7" s="4">
        <v>0.16758448420991445</v>
      </c>
      <c r="Q7" s="79">
        <v>0.26833431587768736</v>
      </c>
      <c r="R7" s="78">
        <v>1.7790164507082717</v>
      </c>
      <c r="S7" s="15">
        <v>0.29042568125650897</v>
      </c>
      <c r="T7" s="76">
        <v>2.3236948196964886</v>
      </c>
      <c r="U7" s="71">
        <v>-19.276159593167371</v>
      </c>
      <c r="V7" s="13" t="s">
        <v>366</v>
      </c>
      <c r="W7" s="11" t="s">
        <v>363</v>
      </c>
      <c r="X7" s="14">
        <v>46081</v>
      </c>
      <c r="Y7" s="16" t="s">
        <v>364</v>
      </c>
    </row>
    <row r="8" spans="1:25">
      <c r="B8" s="11" t="s">
        <v>319</v>
      </c>
      <c r="C8" s="11" t="s">
        <v>374</v>
      </c>
      <c r="D8" s="2">
        <v>4.42</v>
      </c>
      <c r="E8" s="12" t="s">
        <v>129</v>
      </c>
      <c r="F8" s="15">
        <v>0.19639807838697887</v>
      </c>
      <c r="G8" s="15">
        <v>4.6488607896534966E-2</v>
      </c>
      <c r="H8" s="2">
        <v>3.4947017610502455</v>
      </c>
      <c r="I8" s="2">
        <v>6.4808597690273908</v>
      </c>
      <c r="J8" s="71">
        <v>6.0371156176035647</v>
      </c>
      <c r="K8" s="2">
        <v>4.3824419959649257</v>
      </c>
      <c r="L8" s="2">
        <v>5.3690045329034906</v>
      </c>
      <c r="M8" s="4">
        <v>9.1385334536708968E-2</v>
      </c>
      <c r="N8" s="4">
        <v>6.7873303167420823E-2</v>
      </c>
      <c r="O8" s="4">
        <v>0.18</v>
      </c>
      <c r="P8" s="4">
        <v>5.5599077391744495E-2</v>
      </c>
      <c r="Q8" s="79">
        <v>1.4798367611150316</v>
      </c>
      <c r="R8" s="78">
        <v>2.187716833659914</v>
      </c>
      <c r="S8" s="15">
        <v>0.76701287002940366</v>
      </c>
      <c r="T8" s="76">
        <v>5.0983946232940358</v>
      </c>
      <c r="U8" s="71">
        <v>-2.4800067209187837</v>
      </c>
      <c r="V8" s="13" t="s">
        <v>366</v>
      </c>
      <c r="W8" s="11" t="s">
        <v>363</v>
      </c>
      <c r="X8" s="14">
        <v>46173</v>
      </c>
      <c r="Y8" s="16" t="s">
        <v>352</v>
      </c>
    </row>
    <row r="9" spans="1:25">
      <c r="B9" s="11" t="s">
        <v>355</v>
      </c>
      <c r="C9" s="11" t="s">
        <v>375</v>
      </c>
      <c r="D9" s="2">
        <v>112.1</v>
      </c>
      <c r="E9" s="12" t="s">
        <v>129</v>
      </c>
      <c r="F9" s="15">
        <v>0.19087453488483108</v>
      </c>
      <c r="G9" s="15">
        <v>6.2697954403659772E-2</v>
      </c>
      <c r="H9" s="2">
        <v>86.782077688254461</v>
      </c>
      <c r="I9" s="2">
        <v>176.6553246810951</v>
      </c>
      <c r="J9" s="71">
        <v>152.36673716745275</v>
      </c>
      <c r="K9" s="2">
        <v>109.62484067193003</v>
      </c>
      <c r="L9" s="2">
        <v>135.08777691862394</v>
      </c>
      <c r="M9" s="4">
        <v>-1.0268524745147821E-2</v>
      </c>
      <c r="N9" s="4">
        <v>3.1311329170383588E-2</v>
      </c>
      <c r="O9" s="4">
        <v>0.15</v>
      </c>
      <c r="P9" s="4">
        <v>3.3662787366748527E-2</v>
      </c>
      <c r="Q9" s="79">
        <v>1.883030950761003</v>
      </c>
      <c r="R9" s="78">
        <v>2.3663758624563029</v>
      </c>
      <c r="S9" s="15">
        <v>0.36286306559603515</v>
      </c>
      <c r="T9" s="76">
        <v>22.317734925377231</v>
      </c>
      <c r="U9" s="71">
        <v>-67.238716724834376</v>
      </c>
      <c r="V9" s="13" t="s">
        <v>366</v>
      </c>
      <c r="W9" s="11" t="s">
        <v>351</v>
      </c>
      <c r="X9" s="14">
        <v>46265</v>
      </c>
      <c r="Y9" s="16" t="s">
        <v>364</v>
      </c>
    </row>
    <row r="10" spans="1:25">
      <c r="B10" s="11" t="s">
        <v>175</v>
      </c>
      <c r="C10" s="11" t="s">
        <v>376</v>
      </c>
      <c r="D10" s="2">
        <v>3.22</v>
      </c>
      <c r="E10" s="12" t="s">
        <v>129</v>
      </c>
      <c r="F10" s="15">
        <v>0.18874907084051606</v>
      </c>
      <c r="G10" s="15">
        <v>5.9879100369844319E-2</v>
      </c>
      <c r="H10" s="2">
        <v>2.5097460261535343</v>
      </c>
      <c r="I10" s="2">
        <v>4.4366120194593153</v>
      </c>
      <c r="J10" s="71">
        <v>4.3016714192105461</v>
      </c>
      <c r="K10" s="2">
        <v>3.1362338075574741</v>
      </c>
      <c r="L10" s="2">
        <v>3.8313906187252909</v>
      </c>
      <c r="M10" s="4">
        <v>7.5411437294885003E-2</v>
      </c>
      <c r="N10" s="4">
        <v>8.3850931677018639E-2</v>
      </c>
      <c r="O10" s="4">
        <v>0.11354054587062024</v>
      </c>
      <c r="P10" s="4">
        <v>0.4243739445166862</v>
      </c>
      <c r="Q10" s="79">
        <v>0.22035988512352028</v>
      </c>
      <c r="R10" s="78">
        <v>1.2141426890285656</v>
      </c>
      <c r="S10" s="15">
        <v>2.3107986944995245E-3</v>
      </c>
      <c r="T10" s="76">
        <v>2.0454423835375664E-2</v>
      </c>
      <c r="U10" s="71">
        <v>0.79833937207218564</v>
      </c>
      <c r="V10" s="16" t="s">
        <v>377</v>
      </c>
      <c r="W10" s="11" t="s">
        <v>363</v>
      </c>
      <c r="X10" s="14">
        <v>46081</v>
      </c>
      <c r="Y10" s="16" t="s">
        <v>364</v>
      </c>
    </row>
    <row r="11" spans="1:25">
      <c r="B11" s="11" t="s">
        <v>378</v>
      </c>
      <c r="C11" s="11" t="s">
        <v>379</v>
      </c>
      <c r="D11" s="2">
        <v>39.200000000000003</v>
      </c>
      <c r="E11" s="12" t="s">
        <v>129</v>
      </c>
      <c r="F11" s="15">
        <v>0.17948453540306053</v>
      </c>
      <c r="G11" s="15">
        <v>4.6798060580081749E-2</v>
      </c>
      <c r="H11" s="2">
        <v>29.550699060656139</v>
      </c>
      <c r="I11" s="2">
        <v>59.20999585626155</v>
      </c>
      <c r="J11" s="71">
        <v>51.736192269024521</v>
      </c>
      <c r="K11" s="2">
        <v>37.281108296447655</v>
      </c>
      <c r="L11" s="2">
        <v>45.893749881264071</v>
      </c>
      <c r="M11" s="4">
        <v>7.2862768523132657E-2</v>
      </c>
      <c r="N11" s="4">
        <v>3.6525561224489793E-2</v>
      </c>
      <c r="O11" s="4">
        <v>0.2658092571428613</v>
      </c>
      <c r="P11" s="4">
        <v>0.20771863979883598</v>
      </c>
      <c r="Q11" s="79">
        <v>0.65265738052043343</v>
      </c>
      <c r="R11" s="78">
        <v>1.9606920057834423</v>
      </c>
      <c r="S11" s="15">
        <v>0.67283405398617657</v>
      </c>
      <c r="T11" s="76">
        <v>2.2041306156151999</v>
      </c>
      <c r="U11" s="71">
        <v>-6.1599991050325906</v>
      </c>
      <c r="V11" s="13" t="s">
        <v>366</v>
      </c>
      <c r="W11" s="11" t="s">
        <v>351</v>
      </c>
      <c r="X11" s="14">
        <v>46081</v>
      </c>
      <c r="Y11" s="16" t="s">
        <v>364</v>
      </c>
    </row>
    <row r="12" spans="1:25">
      <c r="B12" s="11" t="s">
        <v>380</v>
      </c>
      <c r="C12" s="11" t="s">
        <v>381</v>
      </c>
      <c r="D12" s="2">
        <v>4.7300000000000004</v>
      </c>
      <c r="E12" s="12" t="s">
        <v>129</v>
      </c>
      <c r="F12" s="15">
        <v>0.14927746889065724</v>
      </c>
      <c r="G12" s="15">
        <v>0</v>
      </c>
      <c r="H12" s="2">
        <v>3.3058505032532972</v>
      </c>
      <c r="I12" s="2">
        <v>6.6277455556474951</v>
      </c>
      <c r="J12" s="71">
        <v>5.7883592149489207</v>
      </c>
      <c r="K12" s="2">
        <v>4.170852752110819</v>
      </c>
      <c r="L12" s="2">
        <v>5.1345919269174427</v>
      </c>
      <c r="M12" s="4">
        <v>6.5583084854587886E-2</v>
      </c>
      <c r="N12" s="4">
        <v>3.3657505285412261E-2</v>
      </c>
      <c r="O12" s="4">
        <v>0.27382509866113364</v>
      </c>
      <c r="P12" s="4">
        <v>0.20764453215246689</v>
      </c>
      <c r="Q12" s="79">
        <v>0.86056930273853416</v>
      </c>
      <c r="R12" s="78">
        <v>1.532381509863507</v>
      </c>
      <c r="S12" s="15">
        <v>0.27351475277205878</v>
      </c>
      <c r="T12" s="76">
        <v>0.94608729427783522</v>
      </c>
      <c r="U12" s="71">
        <v>0.59749676752244707</v>
      </c>
      <c r="V12" s="13" t="s">
        <v>366</v>
      </c>
      <c r="W12" s="11" t="s">
        <v>351</v>
      </c>
      <c r="X12" s="14">
        <v>46173</v>
      </c>
      <c r="Y12" s="16" t="s">
        <v>352</v>
      </c>
    </row>
    <row r="13" spans="1:25">
      <c r="B13" s="11" t="s">
        <v>321</v>
      </c>
      <c r="C13" s="11" t="s">
        <v>353</v>
      </c>
      <c r="D13" s="2">
        <v>8.36</v>
      </c>
      <c r="E13" s="12" t="s">
        <v>129</v>
      </c>
      <c r="F13" s="15">
        <v>0.14916819532999456</v>
      </c>
      <c r="G13" s="15">
        <v>0</v>
      </c>
      <c r="H13" s="2">
        <v>5.8510572449824618</v>
      </c>
      <c r="I13" s="2">
        <v>11.567625121735071</v>
      </c>
      <c r="J13" s="2">
        <v>10.21948426028672</v>
      </c>
      <c r="K13" s="2">
        <v>7.3737645133249252</v>
      </c>
      <c r="L13" s="2">
        <v>9.0695053613491314</v>
      </c>
      <c r="M13" s="4">
        <v>8.5407855851071912E-2</v>
      </c>
      <c r="N13" s="4">
        <v>3.8587726657894741E-2</v>
      </c>
      <c r="O13" s="4">
        <v>0.1717200698149759</v>
      </c>
      <c r="P13" s="4">
        <v>8.3606189482321069E-2</v>
      </c>
      <c r="Q13" s="79">
        <v>1.3282158707615834</v>
      </c>
      <c r="R13" s="78">
        <v>1.5463719418456539</v>
      </c>
      <c r="S13" s="15">
        <v>0.22428295339746124</v>
      </c>
      <c r="T13" s="76">
        <v>1.2715557492373779</v>
      </c>
      <c r="U13" s="71">
        <v>-2.9953153373563772</v>
      </c>
      <c r="V13" s="13" t="s">
        <v>354</v>
      </c>
      <c r="W13" s="11" t="s">
        <v>351</v>
      </c>
      <c r="X13" s="14">
        <v>46081</v>
      </c>
      <c r="Y13" s="16" t="s">
        <v>352</v>
      </c>
    </row>
    <row r="14" spans="1:25">
      <c r="B14" s="11" t="s">
        <v>152</v>
      </c>
      <c r="C14" s="11" t="s">
        <v>382</v>
      </c>
      <c r="D14" s="2">
        <v>20.260000000000002</v>
      </c>
      <c r="E14" s="12" t="s">
        <v>129</v>
      </c>
      <c r="F14" s="15">
        <v>0.13955951946408185</v>
      </c>
      <c r="G14" s="15">
        <v>0</v>
      </c>
      <c r="H14" s="2">
        <v>13.775596401243055</v>
      </c>
      <c r="I14" s="2">
        <v>28.213867051028103</v>
      </c>
      <c r="J14" s="2">
        <v>24.213169464425253</v>
      </c>
      <c r="K14" s="2">
        <v>17.410337176319366</v>
      </c>
      <c r="L14" s="2">
        <v>21.462816592236042</v>
      </c>
      <c r="M14" s="4">
        <v>5.6194209565816437E-2</v>
      </c>
      <c r="N14" s="4">
        <v>2.5373382153593412E-2</v>
      </c>
      <c r="O14" s="4">
        <v>0.2</v>
      </c>
      <c r="P14" s="4">
        <v>0.13430424833028851</v>
      </c>
      <c r="Q14" s="79">
        <v>1.1000000000000001</v>
      </c>
      <c r="R14" s="78">
        <v>1.3537783359692717</v>
      </c>
      <c r="S14" s="15">
        <v>6.5417684980282262E-2</v>
      </c>
      <c r="T14" s="76">
        <v>0.50358953318926281</v>
      </c>
      <c r="U14" s="71">
        <v>5.6743958848930989</v>
      </c>
      <c r="V14" s="13" t="s">
        <v>383</v>
      </c>
      <c r="W14" s="11" t="s">
        <v>351</v>
      </c>
      <c r="X14" s="14">
        <v>46081</v>
      </c>
      <c r="Y14" s="16" t="s">
        <v>364</v>
      </c>
    </row>
    <row r="15" spans="1:25">
      <c r="B15" s="11" t="s">
        <v>384</v>
      </c>
      <c r="C15" s="11" t="s">
        <v>385</v>
      </c>
      <c r="D15" s="2">
        <v>80</v>
      </c>
      <c r="E15" s="12" t="s">
        <v>129</v>
      </c>
      <c r="F15" s="15">
        <v>6.2886977438624841E-2</v>
      </c>
      <c r="G15" s="15">
        <v>0</v>
      </c>
      <c r="H15" s="2">
        <v>43.724131151776675</v>
      </c>
      <c r="I15" s="2">
        <v>96.061916140453377</v>
      </c>
      <c r="J15" s="2">
        <v>77.868057815446704</v>
      </c>
      <c r="K15" s="2">
        <v>55.591386655354967</v>
      </c>
      <c r="L15" s="2">
        <v>68.853376766586379</v>
      </c>
      <c r="M15" s="4">
        <v>1.558784783738322E-2</v>
      </c>
      <c r="N15" s="4">
        <v>0</v>
      </c>
      <c r="O15" s="4">
        <v>0.15</v>
      </c>
      <c r="P15" s="4">
        <v>8.1887809309554582E-2</v>
      </c>
      <c r="Q15" s="79">
        <v>1.022390799101176</v>
      </c>
      <c r="R15" s="78">
        <v>1.7916578376478161</v>
      </c>
      <c r="S15" s="15">
        <v>0.27660377540313014</v>
      </c>
      <c r="T15" s="76">
        <v>3.1316510969641755</v>
      </c>
      <c r="U15" s="71">
        <v>3.6256070469899133</v>
      </c>
      <c r="V15" s="13" t="s">
        <v>386</v>
      </c>
      <c r="W15" s="11" t="s">
        <v>351</v>
      </c>
      <c r="X15" s="14">
        <v>46081</v>
      </c>
      <c r="Y15" s="16" t="s">
        <v>352</v>
      </c>
    </row>
    <row r="16" spans="1:25">
      <c r="B16" s="11" t="s">
        <v>163</v>
      </c>
      <c r="C16" s="11" t="s">
        <v>387</v>
      </c>
      <c r="D16" s="2">
        <v>28.8</v>
      </c>
      <c r="E16" s="12" t="s">
        <v>129</v>
      </c>
      <c r="F16" s="15">
        <v>1.1965553449704951E-2</v>
      </c>
      <c r="G16" s="15">
        <v>0</v>
      </c>
      <c r="H16" s="2">
        <v>14.132104342008923</v>
      </c>
      <c r="I16" s="2">
        <v>26.02083323939361</v>
      </c>
      <c r="J16" s="2">
        <v>24.384152965119689</v>
      </c>
      <c r="K16" s="2">
        <v>17.71251923576019</v>
      </c>
      <c r="L16" s="2">
        <v>21.6905825979231</v>
      </c>
      <c r="M16" s="4">
        <v>8.4683950099555788E-2</v>
      </c>
      <c r="N16" s="4">
        <v>4.3749999999999997E-2</v>
      </c>
      <c r="O16" s="4">
        <v>0.17275816461101692</v>
      </c>
      <c r="P16" s="4">
        <v>0.32389125963769955</v>
      </c>
      <c r="Q16" s="79">
        <v>0.37580175109499292</v>
      </c>
      <c r="R16" s="78">
        <v>1.419320754716981</v>
      </c>
      <c r="S16" s="15">
        <v>9.2018392262565404E-2</v>
      </c>
      <c r="T16" s="76">
        <v>0.52808720739977155</v>
      </c>
      <c r="U16" s="71">
        <v>0.46795181946723569</v>
      </c>
      <c r="V16" s="13" t="s">
        <v>388</v>
      </c>
      <c r="W16" s="11" t="s">
        <v>363</v>
      </c>
      <c r="X16" s="14">
        <v>46081</v>
      </c>
      <c r="Y16" s="16" t="s">
        <v>364</v>
      </c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1" t="s">
        <v>226</v>
      </c>
      <c r="C4" s="150"/>
      <c r="D4" s="150"/>
      <c r="E4" s="150"/>
    </row>
    <row r="6" spans="1:5">
      <c r="A6" s="20" t="s">
        <v>55</v>
      </c>
      <c r="B6" s="19" t="s">
        <v>227</v>
      </c>
      <c r="C6" s="47"/>
    </row>
    <row r="7" spans="1:5">
      <c r="B7" s="151" t="s">
        <v>317</v>
      </c>
      <c r="C7" s="150"/>
      <c r="D7" s="150"/>
      <c r="E7" s="150"/>
    </row>
    <row r="9" spans="1:5">
      <c r="B9" s="23" t="s">
        <v>228</v>
      </c>
    </row>
    <row r="10" spans="1:5">
      <c r="B10" s="1" t="s">
        <v>229</v>
      </c>
      <c r="C10" s="105">
        <f>benchmark</f>
        <v>0.1174</v>
      </c>
    </row>
    <row r="11" spans="1:5">
      <c r="B11" s="1" t="s">
        <v>230</v>
      </c>
      <c r="C11" s="105">
        <f>Cash_Yield</f>
        <v>3.4500000000000003E-2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56</v>
      </c>
      <c r="B23" s="19" t="s">
        <v>243</v>
      </c>
      <c r="C23" s="47"/>
    </row>
    <row r="24" spans="1:5">
      <c r="A24" s="18"/>
      <c r="B24" s="151" t="s">
        <v>242</v>
      </c>
      <c r="C24" s="150"/>
      <c r="D24" s="150"/>
      <c r="E24" s="150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57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0" t="s">
        <v>262</v>
      </c>
      <c r="C40" s="150"/>
      <c r="D40" s="150"/>
      <c r="E40" s="150"/>
    </row>
    <row r="41" spans="1:5">
      <c r="B41" s="151" t="s">
        <v>263</v>
      </c>
      <c r="C41" s="150"/>
      <c r="D41" s="150"/>
      <c r="E41" s="150"/>
    </row>
    <row r="42" spans="1:5">
      <c r="B42" s="151" t="s">
        <v>264</v>
      </c>
      <c r="C42" s="150"/>
      <c r="D42" s="150"/>
      <c r="E42" s="150"/>
    </row>
    <row r="43" spans="1:5">
      <c r="B43" s="151" t="s">
        <v>265</v>
      </c>
      <c r="C43" s="151"/>
      <c r="D43" s="151"/>
      <c r="E43" s="151"/>
    </row>
    <row r="44" spans="1:5" ht="34.25" customHeight="1">
      <c r="B44" s="150" t="s">
        <v>316</v>
      </c>
      <c r="C44" s="150"/>
      <c r="D44" s="150"/>
      <c r="E44" s="150"/>
    </row>
    <row r="46" spans="1:5">
      <c r="A46" s="21" t="s">
        <v>266</v>
      </c>
      <c r="B46" s="21"/>
      <c r="C46" s="21"/>
      <c r="D46" s="21"/>
      <c r="E46" s="21"/>
    </row>
    <row r="48" spans="1:5">
      <c r="B48" s="150" t="s">
        <v>267</v>
      </c>
      <c r="C48" s="150"/>
      <c r="D48" s="150"/>
      <c r="E48" s="150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0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1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0" t="s">
        <v>299</v>
      </c>
      <c r="C74" s="150"/>
      <c r="D74" s="150"/>
      <c r="E74" s="150"/>
    </row>
    <row r="76" spans="1:5">
      <c r="A76" s="28" t="s">
        <v>55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339</v>
      </c>
    </row>
    <row r="3" spans="1:4">
      <c r="B3" s="120" t="s">
        <v>345</v>
      </c>
    </row>
    <row r="5" spans="1:4">
      <c r="A5" s="121" t="s">
        <v>323</v>
      </c>
      <c r="B5" s="122" t="s">
        <v>10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332</v>
      </c>
    </row>
    <row r="9" spans="1:4">
      <c r="B9" s="127" t="s">
        <v>338</v>
      </c>
      <c r="C9" s="128">
        <f>1-C8</f>
        <v>0.4</v>
      </c>
    </row>
    <row r="10" spans="1:4">
      <c r="B10" s="127" t="s">
        <v>336</v>
      </c>
      <c r="C10" s="141">
        <f>Portfolio_Mgmt!C38</f>
        <v>-0.65</v>
      </c>
    </row>
    <row r="12" spans="1:4">
      <c r="B12" s="119" t="s">
        <v>208</v>
      </c>
    </row>
    <row r="13" spans="1:4">
      <c r="B13" s="152" t="s">
        <v>333</v>
      </c>
      <c r="C13" s="152"/>
      <c r="D13" s="152"/>
    </row>
    <row r="14" spans="1:4">
      <c r="B14" s="153" t="s">
        <v>334</v>
      </c>
      <c r="C14" s="154"/>
      <c r="D14" s="154"/>
    </row>
    <row r="16" spans="1:4">
      <c r="A16" s="121" t="s">
        <v>197</v>
      </c>
      <c r="B16" s="122" t="s">
        <v>324</v>
      </c>
    </row>
    <row r="17" spans="1:5">
      <c r="B17" s="123" t="s">
        <v>326</v>
      </c>
      <c r="C17" s="123" t="s">
        <v>337</v>
      </c>
      <c r="D17" s="123" t="s">
        <v>343</v>
      </c>
      <c r="E17" s="123" t="s">
        <v>335</v>
      </c>
    </row>
    <row r="18" spans="1:5">
      <c r="B18" s="127" t="s">
        <v>327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328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325</v>
      </c>
    </row>
    <row r="22" spans="1:5">
      <c r="B22" s="123" t="s">
        <v>331</v>
      </c>
      <c r="C22" s="123" t="s">
        <v>346</v>
      </c>
      <c r="D22" s="123" t="s">
        <v>206</v>
      </c>
    </row>
    <row r="23" spans="1:5">
      <c r="B23" s="127" t="s">
        <v>329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330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348</v>
      </c>
    </row>
    <row r="35" spans="1:5" ht="223.25" customHeight="1">
      <c r="B35" s="155" t="s">
        <v>349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M15" sqref="M15:M2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322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176</v>
      </c>
      <c r="L2" s="52" t="s">
        <v>177</v>
      </c>
      <c r="M2" s="52" t="s">
        <v>178</v>
      </c>
    </row>
    <row r="3" spans="1:13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v>606091</v>
      </c>
      <c r="H3" s="58">
        <f t="shared" ref="H3:H9" si="0">G3/$G$12</f>
        <v>0.45330432421799915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152</v>
      </c>
      <c r="C4" s="62" t="str">
        <f>VLOOKUP(B4,Opportunities!B$3:E$30,2,FALSE)</f>
        <v>李宁</v>
      </c>
      <c r="D4" s="60">
        <f>VLOOKUP(B4,Opportunities!B$3:E$30,3,FALSE)</f>
        <v>20.260000000000002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VLOOKUP(B4,Opportunities!B$3:H$30,6,FALSE)</f>
        <v>0</v>
      </c>
      <c r="J4" s="81">
        <f>VLOOKUP(B4,Opportunities!B$3:L$30,10,FALSE)</f>
        <v>17.410337176319366</v>
      </c>
      <c r="K4" s="81">
        <f>VLOOKUP(B4,Opportunities!B$3:L$30,7,FALSE)</f>
        <v>13.775596401243055</v>
      </c>
      <c r="L4" s="81">
        <f>VLOOKUP(B4,Opportunities!B$3:L$30,9,FALSE)</f>
        <v>24.213169464425253</v>
      </c>
      <c r="M4" s="81">
        <f>VLOOKUP(B4,Opportunities!B$3:L$30,11,FALSE)</f>
        <v>21.462816592236042</v>
      </c>
    </row>
    <row r="5" spans="1:13">
      <c r="B5" s="63" t="s">
        <v>355</v>
      </c>
      <c r="C5" s="62" t="str">
        <f>VLOOKUP(B5,Opportunities!B$3:E$30,2,FALSE)</f>
        <v>京东集团</v>
      </c>
      <c r="D5" s="60">
        <f>VLOOKUP(B5,Opportunities!B$3:E$30,3,FALSE)</f>
        <v>112.1</v>
      </c>
      <c r="E5" s="59" t="str">
        <f>VLOOKUP(B5,Opportunities!B$3:E$30,4,FALSE)</f>
        <v>HKD</v>
      </c>
      <c r="F5" s="57">
        <v>2500</v>
      </c>
      <c r="G5" s="61">
        <f t="shared" si="1"/>
        <v>280250</v>
      </c>
      <c r="H5" s="58">
        <f t="shared" si="0"/>
        <v>0.20960307422828298</v>
      </c>
      <c r="I5" s="58">
        <f>VLOOKUP(B5,Opportunities!B$3:H$30,6,FALSE)</f>
        <v>6.2697954403659772E-2</v>
      </c>
      <c r="J5" s="81">
        <f>VLOOKUP(B5,Opportunities!B$3:L$30,10,FALSE)</f>
        <v>109.62484067193003</v>
      </c>
      <c r="K5" s="81">
        <f>VLOOKUP(B5,Opportunities!B$3:L$30,7,FALSE)</f>
        <v>86.782077688254461</v>
      </c>
      <c r="L5" s="81">
        <f>VLOOKUP(B5,Opportunities!B$3:L$30,9,FALSE)</f>
        <v>152.36673716745275</v>
      </c>
      <c r="M5" s="81">
        <f>VLOOKUP(B5,Opportunities!B$3:L$30,11,FALSE)</f>
        <v>135.08777691862394</v>
      </c>
    </row>
    <row r="6" spans="1:13">
      <c r="B6" s="63" t="s">
        <v>175</v>
      </c>
      <c r="C6" s="62" t="str">
        <f>VLOOKUP(B6,Opportunities!B$3:E$30,2,FALSE)</f>
        <v>首钢资源</v>
      </c>
      <c r="D6" s="60">
        <f>VLOOKUP(B6,Opportunities!B$3:E$30,3,FALSE)</f>
        <v>3.22</v>
      </c>
      <c r="E6" s="59" t="str">
        <f>VLOOKUP(B6,Opportunities!B$3:E$30,4,FALSE)</f>
        <v>HKD</v>
      </c>
      <c r="F6" s="57">
        <v>40000</v>
      </c>
      <c r="G6" s="61">
        <f t="shared" si="1"/>
        <v>128800.00000000001</v>
      </c>
      <c r="H6" s="58">
        <f t="shared" si="0"/>
        <v>9.633140396290045E-2</v>
      </c>
      <c r="I6" s="58">
        <f>VLOOKUP(B6,Opportunities!B$3:H$30,6,FALSE)</f>
        <v>5.9879100369844319E-2</v>
      </c>
      <c r="J6" s="81">
        <f>VLOOKUP(B6,Opportunities!B$3:L$30,10,FALSE)</f>
        <v>3.1362338075574741</v>
      </c>
      <c r="K6" s="81">
        <f>VLOOKUP(B6,Opportunities!B$3:L$30,7,FALSE)</f>
        <v>2.5097460261535343</v>
      </c>
      <c r="L6" s="81">
        <f>VLOOKUP(B6,Opportunities!B$3:L$30,9,FALSE)</f>
        <v>4.3016714192105461</v>
      </c>
      <c r="M6" s="81">
        <f>VLOOKUP(B6,Opportunities!B$3:L$30,11,FALSE)</f>
        <v>3.8313906187252909</v>
      </c>
    </row>
    <row r="7" spans="1:13">
      <c r="B7" s="63" t="s">
        <v>321</v>
      </c>
      <c r="C7" s="62" t="str">
        <f>VLOOKUP(B7,Opportunities!B$3:E$30,2,FALSE)</f>
        <v>昆仑能源</v>
      </c>
      <c r="D7" s="60">
        <f>VLOOKUP(B7,Opportunities!B$3:E$30,3,FALSE)</f>
        <v>8.36</v>
      </c>
      <c r="E7" s="59" t="str">
        <f>VLOOKUP(B7,Opportunities!B$3:E$30,4,FALSE)</f>
        <v>HKD</v>
      </c>
      <c r="F7" s="57">
        <v>8000</v>
      </c>
      <c r="G7" s="61">
        <f t="shared" si="1"/>
        <v>66880</v>
      </c>
      <c r="H7" s="58">
        <f t="shared" si="0"/>
        <v>5.0020530256512277E-2</v>
      </c>
      <c r="I7" s="58">
        <f>VLOOKUP(B7,Opportunities!B$3:H$30,6,FALSE)</f>
        <v>0</v>
      </c>
      <c r="J7" s="81">
        <f>VLOOKUP(B7,Opportunities!B$3:L$30,10,FALSE)</f>
        <v>7.3737645133249252</v>
      </c>
      <c r="K7" s="81">
        <f>VLOOKUP(B7,Opportunities!B$3:L$30,7,FALSE)</f>
        <v>5.8510572449824618</v>
      </c>
      <c r="L7" s="81">
        <f>VLOOKUP(B7,Opportunities!B$3:L$30,9,FALSE)</f>
        <v>10.21948426028672</v>
      </c>
      <c r="M7" s="81">
        <f>VLOOKUP(B7,Opportunities!B$3:L$30,11,FALSE)</f>
        <v>9.0695053613491314</v>
      </c>
    </row>
    <row r="8" spans="1:13">
      <c r="B8" s="63" t="s">
        <v>350</v>
      </c>
      <c r="C8" s="62" t="str">
        <f>VLOOKUP(B8,Opportunities!B$3:E$30,2,FALSE)</f>
        <v>新华文轩</v>
      </c>
      <c r="D8" s="60">
        <f>VLOOKUP(B8,Opportunities!B$3:E$30,3,FALSE)</f>
        <v>10.33</v>
      </c>
      <c r="E8" s="59" t="str">
        <f>VLOOKUP(B8,Opportunities!B$3:E$30,4,FALSE)</f>
        <v>HKD</v>
      </c>
      <c r="F8" s="57">
        <v>15000</v>
      </c>
      <c r="G8" s="61">
        <f t="shared" si="1"/>
        <v>154950</v>
      </c>
      <c r="H8" s="58">
        <f t="shared" si="0"/>
        <v>0.11588937146002658</v>
      </c>
      <c r="I8" s="58">
        <f>VLOOKUP(B8,Opportunities!B$3:H$30,6,FALSE)</f>
        <v>0.13739311543482446</v>
      </c>
      <c r="J8" s="81">
        <f>VLOOKUP(B8,Opportunities!B$3:L$30,10,FALSE)</f>
        <v>12.241400849923641</v>
      </c>
      <c r="K8" s="81">
        <f>VLOOKUP(B8,Opportunities!B$3:L$30,7,FALSE)</f>
        <v>9.7260569222967526</v>
      </c>
      <c r="L8" s="81">
        <f>VLOOKUP(B8,Opportunities!B$3:L$30,9,FALSE)</f>
        <v>16.939025726778127</v>
      </c>
      <c r="M8" s="81">
        <f>VLOOKUP(B8,Opportunities!B$3:L$30,11,FALSE)</f>
        <v>15.041081229321644</v>
      </c>
    </row>
    <row r="9" spans="1:13">
      <c r="B9" s="63" t="s">
        <v>319</v>
      </c>
      <c r="C9" s="62" t="str">
        <f>VLOOKUP(B9,Opportunities!B$3:E$30,2,FALSE)</f>
        <v>大家乐集团</v>
      </c>
      <c r="D9" s="60">
        <f>VLOOKUP(B9,Opportunities!B$3:E$30,3,FALSE)</f>
        <v>4.42</v>
      </c>
      <c r="E9" s="59" t="str">
        <f>VLOOKUP(B9,Opportunities!B$3:E$30,4,FALSE)</f>
        <v>HKD</v>
      </c>
      <c r="F9" s="57">
        <v>12000</v>
      </c>
      <c r="G9" s="61">
        <f t="shared" si="1"/>
        <v>53040</v>
      </c>
      <c r="H9" s="58">
        <f t="shared" si="0"/>
        <v>3.9669391818262727E-2</v>
      </c>
      <c r="I9" s="58">
        <f>VLOOKUP(B9,Opportunities!B$3:H$30,6,FALSE)</f>
        <v>4.6488607896534966E-2</v>
      </c>
      <c r="J9" s="81">
        <f>VLOOKUP(B9,Opportunities!B$3:L$30,10,FALSE)</f>
        <v>4.3824419959649257</v>
      </c>
      <c r="K9" s="81">
        <f>VLOOKUP(B9,Opportunities!B$3:L$30,7,FALSE)</f>
        <v>3.4947017610502455</v>
      </c>
      <c r="L9" s="81">
        <f>VLOOKUP(B9,Opportunities!B$3:L$30,9,FALSE)</f>
        <v>6.0371156176035647</v>
      </c>
      <c r="M9" s="81">
        <f>VLOOKUP(B9,Opportunities!B$3:L$30,11,FALSE)</f>
        <v>5.3690045329034906</v>
      </c>
    </row>
    <row r="10" spans="1:13">
      <c r="B10" s="63" t="s">
        <v>320</v>
      </c>
      <c r="C10" s="62" t="str">
        <f>VLOOKUP(B10,Opportunities!B$3:E$30,2,FALSE)</f>
        <v>中国飞鹤</v>
      </c>
      <c r="D10" s="60">
        <f>VLOOKUP(B10,Opportunities!B$3:E$30,3,FALSE)</f>
        <v>3.92</v>
      </c>
      <c r="E10" s="59" t="str">
        <f>VLOOKUP(B10,Opportunities!B$3:E$30,4,FALSE)</f>
        <v>HKD</v>
      </c>
      <c r="F10" s="57">
        <v>12000</v>
      </c>
      <c r="G10" s="61">
        <f t="shared" si="1"/>
        <v>47040</v>
      </c>
      <c r="H10" s="58">
        <f t="shared" ref="H10" si="2">G10/$G$12</f>
        <v>3.5181904056015817E-2</v>
      </c>
      <c r="I10" s="58">
        <f>VLOOKUP(B10,Opportunities!B$3:H$30,6,FALSE)</f>
        <v>7.1708128099682841E-2</v>
      </c>
      <c r="J10" s="81">
        <f>VLOOKUP(B10,Opportunities!B$3:L$30,10,FALSE)</f>
        <v>4.2342355151002842</v>
      </c>
      <c r="K10" s="81">
        <f>VLOOKUP(B10,Opportunities!B$3:L$30,7,FALSE)</f>
        <v>3.3688616158822438</v>
      </c>
      <c r="L10" s="81">
        <f>VLOOKUP(B10,Opportunities!B$3:L$30,9,FALSE)</f>
        <v>5.8492039368339626</v>
      </c>
      <c r="M10" s="81">
        <f>VLOOKUP(B10,Opportunities!B$3:L$30,11,FALSE)</f>
        <v>5.1968723774178507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155</v>
      </c>
      <c r="G12" s="66">
        <f>SUM(G3:G10)</f>
        <v>1337051</v>
      </c>
      <c r="H12" s="67">
        <f>SUM(H3:H10)</f>
        <v>0.99999999999999989</v>
      </c>
      <c r="I12" s="73">
        <f>SUM(I3:I10)</f>
        <v>0.82816690620454647</v>
      </c>
      <c r="J12" s="82" t="s">
        <v>179</v>
      </c>
      <c r="K12" s="82" t="s">
        <v>179</v>
      </c>
      <c r="L12" s="82" t="s">
        <v>179</v>
      </c>
      <c r="M12" s="82" t="s">
        <v>179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153</v>
      </c>
      <c r="C14" s="115"/>
    </row>
    <row r="15" spans="1:13">
      <c r="B15" s="63" t="s">
        <v>355</v>
      </c>
      <c r="C15" s="62" t="str">
        <f>VLOOKUP(B15,Opportunities!B$3:E$30,2,FALSE)</f>
        <v>京东集团</v>
      </c>
      <c r="D15" s="60">
        <f>VLOOKUP(B15,Opportunities!B$3:E$30,3,FALSE)</f>
        <v>112.1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VLOOKUP(B15,Opportunities!B$3:G$30,6,FALSE)</f>
        <v>6.2697954403659772E-2</v>
      </c>
      <c r="J15" s="81">
        <f>VLOOKUP(B15,Opportunities!B$3:L$30,10,FALSE)</f>
        <v>109.62484067193003</v>
      </c>
      <c r="K15" s="81">
        <f>VLOOKUP(B15,Opportunities!B$3:L$30,7,FALSE)</f>
        <v>86.782077688254461</v>
      </c>
      <c r="L15" s="81">
        <f>VLOOKUP(B15,Opportunities!B$3:L$30,9,FALSE)</f>
        <v>152.36673716745275</v>
      </c>
      <c r="M15" s="81">
        <f>VLOOKUP(B15,Opportunities!B$3:L$30,11,FALSE)</f>
        <v>135.08777691862394</v>
      </c>
    </row>
    <row r="16" spans="1:13">
      <c r="B16" s="63" t="s">
        <v>163</v>
      </c>
      <c r="C16" s="62" t="str">
        <f>VLOOKUP(B16,Opportunities!B$3:E$30,2,FALSE)</f>
        <v>中国海油</v>
      </c>
      <c r="D16" s="60">
        <f>VLOOKUP(B16,Opportunities!B$3:E$30,3,FALSE)</f>
        <v>28.8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VLOOKUP(B16,Opportunities!B$3:G$30,6,FALSE)</f>
        <v>0</v>
      </c>
      <c r="J16" s="81">
        <f>VLOOKUP(B16,Opportunities!B$3:L$30,10,FALSE)</f>
        <v>17.71251923576019</v>
      </c>
      <c r="K16" s="81">
        <f>VLOOKUP(B16,Opportunities!B$3:L$30,7,FALSE)</f>
        <v>14.132104342008923</v>
      </c>
      <c r="L16" s="81">
        <f>VLOOKUP(B16,Opportunities!B$3:L$30,9,FALSE)</f>
        <v>24.384152965119689</v>
      </c>
      <c r="M16" s="81">
        <f>VLOOKUP(B16,Opportunities!B$3:L$30,11,FALSE)</f>
        <v>21.6905825979231</v>
      </c>
    </row>
    <row r="17" spans="1:13">
      <c r="B17" s="63" t="s">
        <v>175</v>
      </c>
      <c r="C17" s="62" t="str">
        <f>VLOOKUP(B17,Opportunities!B$3:E$30,2,FALSE)</f>
        <v>首钢资源</v>
      </c>
      <c r="D17" s="60">
        <f>VLOOKUP(B17,Opportunities!B$3:E$30,3,FALSE)</f>
        <v>3.22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VLOOKUP(B17,Opportunities!B$3:G$30,6,FALSE)</f>
        <v>5.9879100369844319E-2</v>
      </c>
      <c r="J17" s="81">
        <f>VLOOKUP(B17,Opportunities!B$3:L$30,10,FALSE)</f>
        <v>3.1362338075574741</v>
      </c>
      <c r="K17" s="81">
        <f>VLOOKUP(B17,Opportunities!B$3:L$30,7,FALSE)</f>
        <v>2.5097460261535343</v>
      </c>
      <c r="L17" s="81">
        <f>VLOOKUP(B17,Opportunities!B$3:L$30,9,FALSE)</f>
        <v>4.3016714192105461</v>
      </c>
      <c r="M17" s="81">
        <f>VLOOKUP(B17,Opportunities!B$3:L$30,11,FALSE)</f>
        <v>3.8313906187252909</v>
      </c>
    </row>
    <row r="18" spans="1:13">
      <c r="B18" s="63" t="s">
        <v>320</v>
      </c>
      <c r="C18" s="62" t="str">
        <f>VLOOKUP(B18,Opportunities!B$3:E$30,2,FALSE)</f>
        <v>中国飞鹤</v>
      </c>
      <c r="D18" s="60">
        <f>VLOOKUP(B18,Opportunities!B$3:E$30,3,FALSE)</f>
        <v>3.92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VLOOKUP(B18,Opportunities!B$3:G$30,6,FALSE)</f>
        <v>7.1708128099682841E-2</v>
      </c>
      <c r="J18" s="81">
        <f>VLOOKUP(B18,Opportunities!B$3:L$30,10,FALSE)</f>
        <v>4.2342355151002842</v>
      </c>
      <c r="K18" s="81">
        <f>VLOOKUP(B18,Opportunities!B$3:L$30,7,FALSE)</f>
        <v>3.3688616158822438</v>
      </c>
      <c r="L18" s="81">
        <f>VLOOKUP(B18,Opportunities!B$3:L$30,9,FALSE)</f>
        <v>5.8492039368339626</v>
      </c>
      <c r="M18" s="81">
        <f>VLOOKUP(B18,Opportunities!B$3:L$30,11,FALSE)</f>
        <v>5.1968723774178507</v>
      </c>
    </row>
    <row r="19" spans="1:13">
      <c r="B19" s="63" t="s">
        <v>350</v>
      </c>
      <c r="C19" s="62" t="str">
        <f>VLOOKUP(B19,Opportunities!B$3:E$30,2,FALSE)</f>
        <v>新华文轩</v>
      </c>
      <c r="D19" s="60">
        <f>VLOOKUP(B19,Opportunities!B$3:E$30,3,FALSE)</f>
        <v>10.33</v>
      </c>
      <c r="E19" s="59" t="str">
        <f>VLOOKUP(B19,Opportunities!B$3:E$30,4,FALSE)</f>
        <v>HKD</v>
      </c>
      <c r="F19" s="57">
        <v>5000</v>
      </c>
      <c r="G19" s="61">
        <f t="shared" si="3"/>
        <v>-51650</v>
      </c>
      <c r="H19" s="58">
        <f t="shared" si="4"/>
        <v>3.862979048667553E-2</v>
      </c>
      <c r="I19" s="58">
        <f>VLOOKUP(B19,Opportunities!B$3:G$30,6,FALSE)</f>
        <v>0.13739311543482446</v>
      </c>
      <c r="J19" s="81">
        <f>VLOOKUP(B19,Opportunities!B$3:L$30,10,FALSE)</f>
        <v>12.241400849923641</v>
      </c>
      <c r="K19" s="81">
        <f>VLOOKUP(B19,Opportunities!B$3:L$30,7,FALSE)</f>
        <v>9.7260569222967526</v>
      </c>
      <c r="L19" s="81">
        <f>VLOOKUP(B19,Opportunities!B$3:L$30,9,FALSE)</f>
        <v>16.939025726778127</v>
      </c>
      <c r="M19" s="81">
        <f>VLOOKUP(B19,Opportunities!B$3:L$30,11,FALSE)</f>
        <v>15.041081229321644</v>
      </c>
    </row>
    <row r="20" spans="1:13">
      <c r="B20" s="63" t="s">
        <v>321</v>
      </c>
      <c r="C20" s="62" t="str">
        <f>VLOOKUP(B20,Opportunities!B$3:E$30,2,FALSE)</f>
        <v>昆仑能源</v>
      </c>
      <c r="D20" s="60">
        <f>VLOOKUP(B20,Opportunities!B$3:E$30,3,FALSE)</f>
        <v>8.36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VLOOKUP(B20,Opportunities!B$3:G$30,6,FALSE)</f>
        <v>0</v>
      </c>
      <c r="J20" s="81">
        <f>VLOOKUP(B20,Opportunities!B$3:L$30,10,FALSE)</f>
        <v>7.3737645133249252</v>
      </c>
      <c r="K20" s="81">
        <f>VLOOKUP(B20,Opportunities!B$3:L$30,7,FALSE)</f>
        <v>5.8510572449824618</v>
      </c>
      <c r="L20" s="81">
        <f>VLOOKUP(B20,Opportunities!B$3:L$30,9,FALSE)</f>
        <v>10.21948426028672</v>
      </c>
      <c r="M20" s="81">
        <f>VLOOKUP(B20,Opportunities!B$3:L$30,11,FALSE)</f>
        <v>9.0695053613491314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154</v>
      </c>
      <c r="C23" s="68"/>
      <c r="D23" s="69" t="s">
        <v>150</v>
      </c>
      <c r="E23" s="70" t="s">
        <v>129</v>
      </c>
      <c r="F23" s="69" t="s">
        <v>150</v>
      </c>
      <c r="G23" s="66">
        <f>G3+SUM(G15:G20)</f>
        <v>554441</v>
      </c>
      <c r="H23" s="73">
        <f t="shared" ref="H23" si="5">G23/$G$12</f>
        <v>0.41467453373132362</v>
      </c>
      <c r="I23" s="73">
        <f>Portfolio_Mgmt!E73</f>
        <v>0.45</v>
      </c>
      <c r="J23" s="82" t="s">
        <v>179</v>
      </c>
      <c r="K23" s="82" t="s">
        <v>179</v>
      </c>
      <c r="L23" s="82" t="s">
        <v>179</v>
      </c>
      <c r="M23" s="82" t="s">
        <v>179</v>
      </c>
    </row>
    <row r="25" spans="1:13" ht="13.15">
      <c r="A25" s="49"/>
      <c r="B25" s="50" t="s">
        <v>180</v>
      </c>
      <c r="C25" s="115"/>
      <c r="D25" s="56"/>
      <c r="E25" s="53"/>
      <c r="F25" s="57"/>
      <c r="G25" s="57"/>
    </row>
    <row r="26" spans="1:13" ht="13.15">
      <c r="C26" s="84" t="s">
        <v>181</v>
      </c>
      <c r="D26" s="84" t="s">
        <v>184</v>
      </c>
      <c r="F26" s="84" t="s">
        <v>185</v>
      </c>
    </row>
    <row r="27" spans="1:13" ht="14.25">
      <c r="B27" s="83" t="s">
        <v>182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183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186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2026-03-17T10:03:29Z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