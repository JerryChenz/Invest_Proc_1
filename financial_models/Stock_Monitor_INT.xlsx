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209408E-803F-4318-B9E2-1FCCF6BF98E6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<sst xmlns="http://schemas.openxmlformats.org/spreadsheetml/2006/main" count="443" uniqueCount="376">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</sst>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3.86</v>
      </c>
      <c r="E3" s="12" t="s">
        <v>135</v>
      </c>
      <c r="F3" s="15">
        <v>0.23694116234606433</v>
      </c>
      <c r="G3" s="15">
        <f>F3 - Portfolio_Mgmt!$C$10</f>
        <v>0.11954116234606432</v>
      </c>
      <c r="H3" s="15">
        <f>F3 - Portfolio_Mgmt!$C$11</f>
        <v>0.20244116234606432</v>
      </c>
      <c r="I3" s="15">
        <v>0.11114344453738439</v>
      </c>
      <c r="J3" s="2">
        <v>3.3891802254695973</v>
      </c>
      <c r="K3" s="2">
        <v>6.3943869881745883</v>
      </c>
      <c r="L3" s="71">
        <v>5.8149803014423274</v>
      </c>
      <c r="M3" s="2">
        <v>4.202256884081196</v>
      </c>
      <c r="N3" s="2">
        <v>5.1666107665847232</v>
      </c>
      <c r="O3" s="4">
        <v>8.0966430654678623E-2</v>
      </c>
      <c r="P3" s="4">
        <v>6.2642487046632125E-2</v>
      </c>
      <c r="Q3" s="4">
        <v>0.13051754934484086</v>
      </c>
      <c r="R3" s="4">
        <v>0.21350770384328224</v>
      </c>
      <c r="S3" s="79">
        <v>0.48960240415119827</v>
      </c>
      <c r="T3" s="78">
        <v>1.2485669045200241</v>
      </c>
      <c r="U3" s="15">
        <v>3.1120102042901991E-2</v>
      </c>
      <c r="V3" s="76">
        <v>0.2356683101838101</v>
      </c>
      <c r="W3" s="71">
        <v>1.2426556823404187</v>
      </c>
      <c r="X3" s="13" t="s">
        <v>171</v>
      </c>
      <c r="Y3" s="11" t="s">
        <v>333</v>
      </c>
      <c r="Z3" s="14">
        <v>46081</v>
      </c>
      <c r="AA3" s="16" t="s">
        <v>334</v>
      </c>
    </row>
    <row r="4" spans="1:27">
      <c r="B4" s="11" t="s">
        <v>185</v>
      </c>
      <c r="C4" s="11" t="s">
        <v>335</v>
      </c>
      <c r="D4" s="2">
        <v>2.75</v>
      </c>
      <c r="E4" s="12" t="s">
        <v>135</v>
      </c>
      <c r="F4" s="15">
        <v>0.21161685845549613</v>
      </c>
      <c r="G4" s="15">
        <f>F4 - Portfolio_Mgmt!$C$10</f>
        <v>9.4216858455496127E-2</v>
      </c>
      <c r="H4" s="15">
        <f>F4 - Portfolio_Mgmt!$C$11</f>
        <v>0.17711685845549613</v>
      </c>
      <c r="I4" s="15">
        <v>0.17436055633392492</v>
      </c>
      <c r="J4" s="2">
        <v>2.2903031954036961</v>
      </c>
      <c r="K4" s="2">
        <v>3.8978478955831006</v>
      </c>
      <c r="L4" s="71">
        <v>3.864947713995857</v>
      </c>
      <c r="M4" s="2">
        <v>2.8195455541861039</v>
      </c>
      <c r="N4" s="2">
        <v>3.4452258335534998</v>
      </c>
      <c r="O4" s="4">
        <v>5.849434636468287E-2</v>
      </c>
      <c r="P4" s="4">
        <v>9.818181818181819E-2</v>
      </c>
      <c r="Q4" s="4">
        <v>7.6203822690338374E-2</v>
      </c>
      <c r="R4" s="4">
        <v>0.40688947062135006</v>
      </c>
      <c r="S4" s="79">
        <v>0.1542519195864642</v>
      </c>
      <c r="T4" s="78">
        <v>1.2141426890285656</v>
      </c>
      <c r="U4" s="15">
        <v>2.3107986944995245E-3</v>
      </c>
      <c r="V4" s="76">
        <v>3.0499352531108609E-2</v>
      </c>
      <c r="W4" s="71">
        <v>0.79833937207218564</v>
      </c>
      <c r="X4" s="13" t="s">
        <v>336</v>
      </c>
      <c r="Y4" s="11" t="s">
        <v>333</v>
      </c>
      <c r="Z4" s="14">
        <v>46081</v>
      </c>
      <c r="AA4" s="16" t="s">
        <v>183</v>
      </c>
    </row>
    <row r="5" spans="1:27">
      <c r="B5" s="11" t="s">
        <v>342</v>
      </c>
      <c r="C5" s="11" t="s">
        <v>343</v>
      </c>
      <c r="D5" s="2">
        <v>6.85</v>
      </c>
      <c r="E5" s="12" t="s">
        <v>135</v>
      </c>
      <c r="F5" s="15">
        <v>0.19723548810142041</v>
      </c>
      <c r="G5" s="15">
        <f>F5 - Portfolio_Mgmt!$C$10</f>
        <v>7.983548810142041E-2</v>
      </c>
      <c r="H5" s="15">
        <f>F5 - Portfolio_Mgmt!$C$11</f>
        <v>0.16273548810142041</v>
      </c>
      <c r="I5" s="15">
        <v>7.0764412420417713E-2</v>
      </c>
      <c r="J5" s="2">
        <v>5.4658566548794374</v>
      </c>
      <c r="K5" s="2">
        <v>10.626752176805129</v>
      </c>
      <c r="L5" s="71">
        <v>9.4260268971938039</v>
      </c>
      <c r="M5" s="2">
        <v>6.7921412879786383</v>
      </c>
      <c r="N5" s="2">
        <v>8.366695806169254</v>
      </c>
      <c r="O5" s="4">
        <v>0.10042674672183101</v>
      </c>
      <c r="P5" s="4">
        <v>4.5373696117226275E-2</v>
      </c>
      <c r="Q5" s="4">
        <v>0.17171944737623687</v>
      </c>
      <c r="R5" s="4">
        <v>8.360588643253071E-2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-2.8859035271552376</v>
      </c>
      <c r="X5" s="13" t="s">
        <v>344</v>
      </c>
      <c r="Y5" s="11" t="s">
        <v>170</v>
      </c>
      <c r="Z5" s="14">
        <v>46081</v>
      </c>
      <c r="AA5" s="16" t="s">
        <v>334</v>
      </c>
    </row>
    <row r="6" spans="1:27">
      <c r="B6" s="11" t="s">
        <v>172</v>
      </c>
      <c r="C6" s="11" t="s">
        <v>339</v>
      </c>
      <c r="D6" s="2">
        <v>18.5</v>
      </c>
      <c r="E6" s="12" t="s">
        <v>135</v>
      </c>
      <c r="F6" s="15">
        <v>0.16463974064983045</v>
      </c>
      <c r="G6" s="15">
        <f>F6 - Portfolio_Mgmt!$C$10</f>
        <v>4.7239740649830442E-2</v>
      </c>
      <c r="H6" s="15">
        <f>F6 - Portfolio_Mgmt!$C$11</f>
        <v>0.13013974064983044</v>
      </c>
      <c r="I6" s="15">
        <v>4.5429296313933665E-2</v>
      </c>
      <c r="J6" s="2">
        <v>13.728641200031211</v>
      </c>
      <c r="K6" s="2">
        <v>24.78797122466743</v>
      </c>
      <c r="L6" s="71">
        <v>23.38479156886352</v>
      </c>
      <c r="M6" s="2">
        <v>16.9690066917785</v>
      </c>
      <c r="N6" s="2">
        <v>20.806915935714944</v>
      </c>
      <c r="O6" s="4">
        <v>0.12649617778832595</v>
      </c>
      <c r="P6" s="4">
        <v>6.8108108108108106E-2</v>
      </c>
      <c r="Q6" s="4">
        <v>0.17244225698759846</v>
      </c>
      <c r="R6" s="4">
        <v>0.32385684070512349</v>
      </c>
      <c r="S6" s="79">
        <v>0.37515442207937094</v>
      </c>
      <c r="T6" s="78">
        <v>1.419320754716981</v>
      </c>
      <c r="U6" s="15">
        <v>9.2018392262565404E-2</v>
      </c>
      <c r="V6" s="76">
        <v>0.52904635366009978</v>
      </c>
      <c r="W6" s="71">
        <v>0.44983337281348612</v>
      </c>
      <c r="X6" s="13" t="s">
        <v>340</v>
      </c>
      <c r="Y6" s="11" t="s">
        <v>341</v>
      </c>
      <c r="Z6" s="14">
        <v>46081</v>
      </c>
      <c r="AA6" s="16" t="s">
        <v>183</v>
      </c>
    </row>
    <row r="7" spans="1:27">
      <c r="B7" s="11" t="s">
        <v>158</v>
      </c>
      <c r="C7" s="11" t="s">
        <v>337</v>
      </c>
      <c r="D7" s="2">
        <v>17.28</v>
      </c>
      <c r="E7" s="12" t="s">
        <v>135</v>
      </c>
      <c r="F7" s="15">
        <v>0.15513076110032606</v>
      </c>
      <c r="G7" s="15">
        <f>F7 - Portfolio_Mgmt!$C$10</f>
        <v>3.7730761100326055E-2</v>
      </c>
      <c r="H7" s="15">
        <f>F7 - Portfolio_Mgmt!$C$11</f>
        <v>0.12063076110032606</v>
      </c>
      <c r="I7" s="15">
        <v>9.656424594880279E-3</v>
      </c>
      <c r="J7" s="2">
        <v>12.392370580334187</v>
      </c>
      <c r="K7" s="2">
        <v>24.767990108662961</v>
      </c>
      <c r="L7" s="71">
        <v>21.474022685878328</v>
      </c>
      <c r="M7" s="2">
        <v>15.431579075525329</v>
      </c>
      <c r="N7" s="2">
        <v>19.042902792179028</v>
      </c>
      <c r="O7" s="4">
        <v>5.5319241564089912E-2</v>
      </c>
      <c r="P7" s="4">
        <v>3.0947354610898682E-2</v>
      </c>
      <c r="Q7" s="4">
        <v>0.11088649220138132</v>
      </c>
      <c r="R7" s="4">
        <v>0.11515133796880231</v>
      </c>
      <c r="S7" s="79">
        <v>0.71131521233544359</v>
      </c>
      <c r="T7" s="78">
        <v>1.3537783359692717</v>
      </c>
      <c r="U7" s="15">
        <v>6.5417684980282262E-2</v>
      </c>
      <c r="V7" s="76">
        <v>0.5742845428370501</v>
      </c>
      <c r="W7" s="71">
        <v>5.45469113142138</v>
      </c>
      <c r="X7" s="13" t="s">
        <v>338</v>
      </c>
      <c r="Y7" s="11" t="s">
        <v>333</v>
      </c>
      <c r="Z7" s="14">
        <v>46081</v>
      </c>
      <c r="AA7" s="16" t="s">
        <v>183</v>
      </c>
    </row>
    <row r="8" spans="1:27">
      <c r="B8" s="11" t="s">
        <v>329</v>
      </c>
      <c r="C8" s="11" t="s">
        <v>330</v>
      </c>
      <c r="D8" s="2">
        <v>6.5</v>
      </c>
      <c r="E8" s="12" t="s">
        <v>135</v>
      </c>
      <c r="F8" s="15">
        <v>0.12138349206304627</v>
      </c>
      <c r="G8" s="15">
        <f>F8 - Portfolio_Mgmt!$C$10</f>
        <v>3.9834920630462678E-3</v>
      </c>
      <c r="H8" s="15">
        <f>F8 - Portfolio_Mgmt!$C$11</f>
        <v>8.6883492063046269E-2</v>
      </c>
      <c r="I8" s="15">
        <v>0</v>
      </c>
      <c r="J8" s="2">
        <v>4.333028820025568</v>
      </c>
      <c r="K8" s="2">
        <v>7.8143613713918958</v>
      </c>
      <c r="L8" s="71">
        <v>7.3792932677079612</v>
      </c>
      <c r="M8" s="2">
        <v>5.3553121183397749</v>
      </c>
      <c r="N8" s="2">
        <v>6.5660659780940076</v>
      </c>
      <c r="O8" s="4">
        <v>6.1063666265514203E-2</v>
      </c>
      <c r="P8" s="4">
        <v>6.1538461538461542E-2</v>
      </c>
      <c r="Q8" s="4">
        <v>0.1167471410506614</v>
      </c>
      <c r="R8" s="4">
        <v>3.9086921133773919E-2</v>
      </c>
      <c r="S8" s="79">
        <v>1.3708738209065539</v>
      </c>
      <c r="T8" s="78">
        <v>2.1787997096988563</v>
      </c>
      <c r="U8" s="15">
        <v>0.77760119734648436</v>
      </c>
      <c r="V8" s="76">
        <v>5.3475400925918697</v>
      </c>
      <c r="W8" s="71">
        <v>-2.5047246524922007</v>
      </c>
      <c r="X8" s="13" t="s">
        <v>171</v>
      </c>
      <c r="Y8" s="11" t="s">
        <v>170</v>
      </c>
      <c r="Z8" s="14">
        <v>45991</v>
      </c>
      <c r="AA8" s="16" t="s">
        <v>183</v>
      </c>
    </row>
    <row r="9" spans="1:27">
      <c r="B9" s="11" t="s">
        <v>346</v>
      </c>
      <c r="C9" s="11" t="s">
        <v>347</v>
      </c>
      <c r="D9" s="2">
        <v>103</v>
      </c>
      <c r="E9" s="12" t="s">
        <v>135</v>
      </c>
      <c r="F9" s="15">
        <v>0.11605228724075245</v>
      </c>
      <c r="G9" s="15">
        <f>F9 - Portfolio_Mgmt!$C$10</f>
        <v>-1.3477127592475546E-3</v>
      </c>
      <c r="H9" s="15">
        <f>F9 - Portfolio_Mgmt!$C$11</f>
        <v>8.1552287240752447E-2</v>
      </c>
      <c r="I9" s="15">
        <v>0</v>
      </c>
      <c r="J9" s="2">
        <v>65.982857032828036</v>
      </c>
      <c r="K9" s="2">
        <v>143.18279976123679</v>
      </c>
      <c r="L9" s="71">
        <v>116.06437782985591</v>
      </c>
      <c r="M9" s="2">
        <v>82.704866288079046</v>
      </c>
      <c r="N9" s="2">
        <v>102.62775982982387</v>
      </c>
      <c r="O9" s="4">
        <v>2.3233075826856991E-2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3.4852285611382419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7" sqref="C17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7.2499999999999995E-2</v>
      </c>
      <c r="E4" s="35">
        <f>D4-C4</f>
        <v>3.0699999999999998E-2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>
        <f>G3/$G$9</f>
        <v>0.69898550152945771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17.28</v>
      </c>
      <c r="E4" s="59" t="str">
        <f>VLOOKUP(B4,Opportunities!B$3:E$30,4,FALSE)</f>
        <v>HKD</v>
      </c>
      <c r="F4" s="57">
        <v>4500</v>
      </c>
      <c r="G4" s="61">
        <f>D4*F4</f>
        <v>77760</v>
      </c>
      <c r="H4" s="58">
        <f>G4/$G$9</f>
        <v>6.9713150467802493E-2</v>
      </c>
      <c r="I4" s="58">
        <f>VLOOKUP(B4,Opportunities!B$3:I$30,8,FALSE)</f>
        <v>9.656424594880279E-3</v>
      </c>
      <c r="J4" s="81">
        <f>VLOOKUP(B4,Opportunities!B$3:N$30,12,FALSE)</f>
        <v>15.431579075525329</v>
      </c>
      <c r="K4" s="81">
        <f>VLOOKUP(B4,Opportunities!B$3:N$30,9,FALSE)</f>
        <v>12.392370580334187</v>
      </c>
      <c r="L4" s="81">
        <f>VLOOKUP(B4,Opportunities!B$3:N$30,11,FALSE)</f>
        <v>21.474022685878328</v>
      </c>
      <c r="M4" s="81">
        <f>VLOOKUP(B4,Opportunities!B$3:N$30,13,FALSE)</f>
        <v>19.042902792179028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18.5</v>
      </c>
      <c r="E5" s="59" t="str">
        <f>VLOOKUP(B5,Opportunities!B$3:E$30,4,FALSE)</f>
        <v>HKD</v>
      </c>
      <c r="F5" s="57">
        <v>8000</v>
      </c>
      <c r="G5" s="61">
        <f>D5*F5</f>
        <v>148000</v>
      </c>
      <c r="H5" s="58">
        <f>G5/$G$9</f>
        <v>0.13268449420312203</v>
      </c>
      <c r="I5" s="58">
        <f>VLOOKUP(B5,Opportunities!B$3:I$30,8,FALSE)</f>
        <v>4.5429296313933665E-2</v>
      </c>
      <c r="J5" s="81">
        <f>VLOOKUP(B5,Opportunities!B$3:N$30,12,FALSE)</f>
        <v>16.9690066917785</v>
      </c>
      <c r="K5" s="81">
        <f>VLOOKUP(B5,Opportunities!B$3:N$30,9,FALSE)</f>
        <v>13.728641200031211</v>
      </c>
      <c r="L5" s="81">
        <f>VLOOKUP(B5,Opportunities!B$3:N$30,11,FALSE)</f>
        <v>23.38479156886352</v>
      </c>
      <c r="M5" s="81">
        <f>VLOOKUP(B5,Opportunities!B$3:N$30,13,FALSE)</f>
        <v>20.806915935714944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2.75</v>
      </c>
      <c r="E6" s="59" t="str">
        <f>VLOOKUP(B6,Opportunities!B$3:E$30,4,FALSE)</f>
        <v>HKD</v>
      </c>
      <c r="F6" s="57">
        <v>40000</v>
      </c>
      <c r="G6" s="61">
        <f>D6*F6</f>
        <v>110000</v>
      </c>
      <c r="H6" s="58">
        <f t="shared" ref="H6" si="0">G6/$G$9</f>
        <v>9.8616853799617724E-2</v>
      </c>
      <c r="I6" s="58">
        <f>VLOOKUP(B6,Opportunities!B$3:I$30,8,FALSE)</f>
        <v>0.17436055633392492</v>
      </c>
      <c r="J6" s="81">
        <f>VLOOKUP(B6,Opportunities!B$3:N$30,12,FALSE)</f>
        <v>2.8195455541861039</v>
      </c>
      <c r="K6" s="81">
        <f>VLOOKUP(B6,Opportunities!B$3:N$30,9,FALSE)</f>
        <v>2.2903031954036961</v>
      </c>
      <c r="L6" s="81">
        <f>VLOOKUP(B6,Opportunities!B$3:N$30,11,FALSE)</f>
        <v>3.864947713995857</v>
      </c>
      <c r="M6" s="81">
        <f>VLOOKUP(B6,Opportunities!B$3:N$30,13,FALSE)</f>
        <v>3.4452258335534998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3.86</v>
      </c>
      <c r="E7" s="59" t="str">
        <f>VLOOKUP(B7,Opportunities!B$3:E$30,4,FALSE)</f>
        <v>HKD</v>
      </c>
      <c r="F7" s="57">
        <v>9000</v>
      </c>
      <c r="G7" s="61">
        <f>D7*F7</f>
        <v>34740</v>
      </c>
      <c r="H7" s="58">
        <f t="shared" ref="H7" si="1">G7/$G$9</f>
        <v>3.1144995463624724E-2</v>
      </c>
      <c r="I7" s="58">
        <f>VLOOKUP(B7,Opportunities!B$3:I$30,8,FALSE)</f>
        <v>0.11114344453738439</v>
      </c>
      <c r="J7" s="81">
        <f>VLOOKUP(B7,Opportunities!B$3:N$30,12,FALSE)</f>
        <v>4.202256884081196</v>
      </c>
      <c r="K7" s="81">
        <f>VLOOKUP(B7,Opportunities!B$3:N$30,9,FALSE)</f>
        <v>3.3891802254695973</v>
      </c>
      <c r="L7" s="81">
        <f>VLOOKUP(B7,Opportunities!B$3:N$30,11,FALSE)</f>
        <v>5.8149803014423274</v>
      </c>
      <c r="M7" s="81">
        <f>VLOOKUP(B7,Opportunities!B$3:N$30,13,FALSE)</f>
        <v>5.1666107665847232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1115428</v>
      </c>
      <c r="H9" s="67">
        <f>SUM(H3:H6)</f>
        <v>0.99999999999999989</v>
      </c>
      <c r="I9" s="73">
        <f>SUM(I3:I6)</f>
        <v>0.67944627724273887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17.28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9.656424594880279E-3</v>
      </c>
      <c r="J12" s="81">
        <f>VLOOKUP(B12,Opportunities!B$3:N$30,12,FALSE)</f>
        <v>15.431579075525329</v>
      </c>
      <c r="K12" s="81">
        <f>VLOOKUP(B12,Opportunities!B$3:N$30,9,FALSE)</f>
        <v>12.392370580334187</v>
      </c>
      <c r="L12" s="81">
        <f>VLOOKUP(B12,Opportunities!B$3:N$30,11,FALSE)</f>
        <v>21.474022685878328</v>
      </c>
      <c r="M12" s="81">
        <f>VLOOKUP(B12,Opportunities!B$3:N$30,13,FALSE)</f>
        <v>19.042902792179028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18.5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4.5429296313933665E-2</v>
      </c>
      <c r="J13" s="81">
        <f>VLOOKUP(B13,Opportunities!B$3:N$30,12,FALSE)</f>
        <v>16.9690066917785</v>
      </c>
      <c r="K13" s="81">
        <f>VLOOKUP(B13,Opportunities!B$3:N$30,9,FALSE)</f>
        <v>13.728641200031211</v>
      </c>
      <c r="L13" s="81">
        <f>VLOOKUP(B13,Opportunities!B$3:N$30,11,FALSE)</f>
        <v>23.38479156886352</v>
      </c>
      <c r="M13" s="81">
        <f>VLOOKUP(B13,Opportunities!B$3:N$30,13,FALSE)</f>
        <v>20.806915935714944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2.75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0.17436055633392492</v>
      </c>
      <c r="J14" s="81">
        <f>VLOOKUP(B14,Opportunities!B$3:N$30,12,FALSE)</f>
        <v>2.8195455541861039</v>
      </c>
      <c r="K14" s="81">
        <f>VLOOKUP(B14,Opportunities!B$3:N$30,9,FALSE)</f>
        <v>2.2903031954036961</v>
      </c>
      <c r="L14" s="81">
        <f>VLOOKUP(B14,Opportunities!B$3:N$30,11,FALSE)</f>
        <v>3.864947713995857</v>
      </c>
      <c r="M14" s="81">
        <f>VLOOKUP(B14,Opportunities!B$3:N$30,13,FALSE)</f>
        <v>3.4452258335534998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3.86</v>
      </c>
      <c r="E15" s="59" t="str">
        <f>VLOOKUP(B15,Opportunities!B$3:E$30,4,FALSE)</f>
        <v>HKD</v>
      </c>
      <c r="F15" s="57">
        <v>3000</v>
      </c>
      <c r="G15" s="61">
        <f>-D15*F15</f>
        <v>-11580</v>
      </c>
      <c r="H15" s="58">
        <f>-G15/$G$9</f>
        <v>1.0381665154541576E-2</v>
      </c>
      <c r="I15" s="58">
        <f>VLOOKUP(B15,Opportunities!B$3:I$30,8,FALSE)</f>
        <v>0.11114344453738439</v>
      </c>
      <c r="J15" s="81">
        <f>VLOOKUP(B15,Opportunities!B$3:N$30,12,FALSE)</f>
        <v>4.202256884081196</v>
      </c>
      <c r="K15" s="81">
        <f>VLOOKUP(B15,Opportunities!B$3:N$30,9,FALSE)</f>
        <v>3.3891802254695973</v>
      </c>
      <c r="L15" s="81">
        <f>VLOOKUP(B15,Opportunities!B$3:N$30,11,FALSE)</f>
        <v>5.8149803014423274</v>
      </c>
      <c r="M15" s="81">
        <f>VLOOKUP(B15,Opportunities!B$3:N$30,13,FALSE)</f>
        <v>5.1666107665847232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6.85</v>
      </c>
      <c r="E16" s="59" t="str">
        <f>VLOOKUP(B16,Opportunities!B$3:E$30,4,FALSE)</f>
        <v>HKD</v>
      </c>
      <c r="F16" s="57">
        <v>8000</v>
      </c>
      <c r="G16" s="61">
        <f>-D16*F16</f>
        <v>-54800</v>
      </c>
      <c r="H16" s="58">
        <f>-G16/$G$9</f>
        <v>4.9129123529264102E-2</v>
      </c>
      <c r="I16" s="58">
        <f>VLOOKUP(B16,Opportunities!B$3:I$30,8,FALSE)</f>
        <v>7.0764412420417713E-2</v>
      </c>
      <c r="J16" s="81">
        <f>VLOOKUP(B16,Opportunities!B$3:N$30,12,FALSE)</f>
        <v>6.7921412879786383</v>
      </c>
      <c r="K16" s="81">
        <f>VLOOKUP(B16,Opportunities!B$3:N$30,9,FALSE)</f>
        <v>5.4658566548794374</v>
      </c>
      <c r="L16" s="81">
        <f>VLOOKUP(B16,Opportunities!B$3:N$30,11,FALSE)</f>
        <v>9.4260268971938039</v>
      </c>
      <c r="M16" s="81">
        <f>VLOOKUP(B16,Opportunities!B$3:N$30,13,FALSE)</f>
        <v>8.366695806169254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713288</v>
      </c>
      <c r="H18" s="73">
        <f t="shared" ref="H18" si="2">G18/$G$9</f>
        <v>0.63947471284565205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6" t="s">
        <v>87</v>
      </c>
      <c r="C3" s="156"/>
      <c r="D3" s="156"/>
    </row>
    <row r="5" spans="1:4">
      <c r="B5" s="157" t="s">
        <v>89</v>
      </c>
      <c r="C5" s="158"/>
      <c r="D5" s="158"/>
    </row>
    <row r="6" spans="1:4">
      <c r="B6" s="157" t="s">
        <v>90</v>
      </c>
      <c r="C6" s="158"/>
      <c r="D6" s="158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6" t="s">
        <v>92</v>
      </c>
      <c r="C11" s="156"/>
      <c r="D11" s="156"/>
    </row>
    <row r="12" spans="1:4">
      <c r="B12" s="156" t="s">
        <v>93</v>
      </c>
      <c r="C12" s="156"/>
      <c r="D12" s="156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6" t="s">
        <v>105</v>
      </c>
      <c r="C28" s="156"/>
      <c r="D28" s="156"/>
    </row>
    <row r="29" spans="1:4">
      <c r="B29" s="156" t="s">
        <v>106</v>
      </c>
      <c r="C29" s="156"/>
      <c r="D29" s="156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2025-10-08T04:01:07Z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