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064D2B1-C67A-4F6F-A302-203B2FBF3B28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s="1"/>
  <c r="E33" i="10" l="1"/>
  <c r="H7" i="7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<sst xmlns="http://schemas.openxmlformats.org/spreadsheetml/2006/main" count="467" uniqueCount="385">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</sst>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367</v>
      </c>
      <c r="C12" s="77">
        <v>7.2499999999999995E-2</v>
      </c>
    </row>
    <row r="13" spans="1:5">
      <c r="C13" s="4"/>
    </row>
    <row r="14" spans="1:5" ht="46.5" customHeight="1">
      <c r="B14" s="143" t="s">
        <v>368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366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362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374</v>
      </c>
    </row>
    <row r="45" spans="1:5">
      <c r="B45" s="43" t="s">
        <v>210</v>
      </c>
      <c r="C45" s="43" t="s">
        <v>363</v>
      </c>
      <c r="D45" s="43" t="s">
        <v>370</v>
      </c>
      <c r="E45" s="43" t="s">
        <v>369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371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7" sqref="B7:N7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382</v>
      </c>
      <c r="C3" s="11" t="s">
        <v>383</v>
      </c>
      <c r="D3" s="2">
        <v>10.199999999999999</v>
      </c>
      <c r="E3" s="12" t="s">
        <v>135</v>
      </c>
      <c r="F3" s="15">
        <v>0.24164439429930151</v>
      </c>
      <c r="G3" s="15">
        <f>F3 - Portfolio_Mgmt!$C$10</f>
        <v>0.12424439429930151</v>
      </c>
      <c r="H3" s="15">
        <f>F3 - Portfolio_Mgmt!$C$11</f>
        <v>0.20714439429930151</v>
      </c>
      <c r="I3" s="15">
        <v>0.11502744645049783</v>
      </c>
      <c r="J3" s="2">
        <v>9.0497901235721319</v>
      </c>
      <c r="K3" s="2">
        <v>17.244227766406713</v>
      </c>
      <c r="L3" s="71">
        <v>15.553111578033977</v>
      </c>
      <c r="M3" s="2">
        <v>11.228981216429396</v>
      </c>
      <c r="N3" s="2">
        <v>13.814437518083643</v>
      </c>
      <c r="O3" s="4">
        <v>9.8457773478140262E-2</v>
      </c>
      <c r="P3" s="4">
        <v>5.9103764163746568E-2</v>
      </c>
      <c r="Q3" s="4">
        <v>0.10095716052324116</v>
      </c>
      <c r="R3" s="4">
        <v>0.12639702816005058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1.7420510758931296</v>
      </c>
      <c r="X3" s="13" t="s">
        <v>384</v>
      </c>
      <c r="Y3" s="11" t="s">
        <v>332</v>
      </c>
      <c r="Z3" s="14">
        <v>46173</v>
      </c>
      <c r="AA3" s="16" t="s">
        <v>333</v>
      </c>
    </row>
    <row r="4" spans="1:27">
      <c r="B4" s="11" t="s">
        <v>330</v>
      </c>
      <c r="C4" s="11" t="s">
        <v>331</v>
      </c>
      <c r="D4" s="2">
        <v>4.09</v>
      </c>
      <c r="E4" s="12" t="s">
        <v>135</v>
      </c>
      <c r="F4" s="15">
        <v>0.21689041384271771</v>
      </c>
      <c r="G4" s="15">
        <f>F4 - Portfolio_Mgmt!$C$10</f>
        <v>9.9490413842717701E-2</v>
      </c>
      <c r="H4" s="15">
        <f>F4 - Portfolio_Mgmt!$C$11</f>
        <v>0.1823904138427177</v>
      </c>
      <c r="I4" s="15">
        <v>9.2643035967794413E-2</v>
      </c>
      <c r="J4" s="2">
        <v>3.4268206342457499</v>
      </c>
      <c r="K4" s="2">
        <v>6.4760666752188394</v>
      </c>
      <c r="L4" s="71">
        <v>5.8811900841392495</v>
      </c>
      <c r="M4" s="2">
        <v>4.2494364867060339</v>
      </c>
      <c r="N4" s="2">
        <v>5.2251555311718869</v>
      </c>
      <c r="O4" s="4">
        <v>0.10730344213104163</v>
      </c>
      <c r="P4" s="4">
        <v>5.9119804400977992E-2</v>
      </c>
      <c r="Q4" s="4">
        <v>0.17911384235321903</v>
      </c>
      <c r="R4" s="4">
        <v>0.23440332981639811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1.2686220872233995</v>
      </c>
      <c r="X4" s="13" t="s">
        <v>170</v>
      </c>
      <c r="Y4" s="11" t="s">
        <v>340</v>
      </c>
      <c r="Z4" s="14">
        <v>46081</v>
      </c>
      <c r="AA4" s="16" t="s">
        <v>333</v>
      </c>
    </row>
    <row r="5" spans="1:27">
      <c r="B5" s="11" t="s">
        <v>184</v>
      </c>
      <c r="C5" s="11" t="s">
        <v>334</v>
      </c>
      <c r="D5" s="2">
        <v>2.96</v>
      </c>
      <c r="E5" s="12" t="s">
        <v>135</v>
      </c>
      <c r="F5" s="15">
        <v>0.18873516486553216</v>
      </c>
      <c r="G5" s="15">
        <f>F5 - Portfolio_Mgmt!$C$10</f>
        <v>7.1335164865532152E-2</v>
      </c>
      <c r="H5" s="15">
        <f>F5 - Portfolio_Mgmt!$C$11</f>
        <v>0.15423516486553215</v>
      </c>
      <c r="I5" s="15">
        <v>0.11972088990270867</v>
      </c>
      <c r="J5" s="2">
        <v>2.3372346420267727</v>
      </c>
      <c r="K5" s="2">
        <v>3.9996891347551768</v>
      </c>
      <c r="L5" s="71">
        <v>3.9475005072198974</v>
      </c>
      <c r="M5" s="2">
        <v>2.87837081868983</v>
      </c>
      <c r="N5" s="2">
        <v>3.5182216001675917</v>
      </c>
      <c r="O5" s="4">
        <v>6.8189912262231006E-2</v>
      </c>
      <c r="P5" s="4">
        <v>9.1216216216216228E-2</v>
      </c>
      <c r="Q5" s="4">
        <v>9.4872184280479305E-2</v>
      </c>
      <c r="R5" s="4">
        <v>0.41717445526566538</v>
      </c>
      <c r="S5" s="79">
        <v>0.18730590235499223</v>
      </c>
      <c r="T5" s="78">
        <v>1.2141426890285656</v>
      </c>
      <c r="U5" s="15">
        <v>2.3107986944995245E-3</v>
      </c>
      <c r="V5" s="76">
        <v>2.4486769298072242E-2</v>
      </c>
      <c r="W5" s="71">
        <v>0.79833937207218564</v>
      </c>
      <c r="X5" s="13" t="s">
        <v>335</v>
      </c>
      <c r="Y5" s="11" t="s">
        <v>340</v>
      </c>
      <c r="Z5" s="14">
        <v>46081</v>
      </c>
      <c r="AA5" s="16" t="s">
        <v>182</v>
      </c>
    </row>
    <row r="6" spans="1:27">
      <c r="B6" s="11" t="s">
        <v>341</v>
      </c>
      <c r="C6" s="11" t="s">
        <v>342</v>
      </c>
      <c r="D6" s="2">
        <v>7.47</v>
      </c>
      <c r="E6" s="12" t="s">
        <v>135</v>
      </c>
      <c r="F6" s="15">
        <v>0.1840689867253108</v>
      </c>
      <c r="G6" s="15">
        <f>F6 - Portfolio_Mgmt!$C$10</f>
        <v>6.6668986725310797E-2</v>
      </c>
      <c r="H6" s="15">
        <f>F6 - Portfolio_Mgmt!$C$11</f>
        <v>0.1495689867253108</v>
      </c>
      <c r="I6" s="15">
        <v>5.3438514700436909E-2</v>
      </c>
      <c r="J6" s="2">
        <v>5.7709301653949323</v>
      </c>
      <c r="K6" s="2">
        <v>11.262972882255315</v>
      </c>
      <c r="L6" s="71">
        <v>9.9587156423965038</v>
      </c>
      <c r="M6" s="2">
        <v>7.1732981612070983</v>
      </c>
      <c r="N6" s="2">
        <v>8.8383826216699077</v>
      </c>
      <c r="O6" s="4">
        <v>9.4016199284043173E-2</v>
      </c>
      <c r="P6" s="4">
        <v>4.2477171123091004E-2</v>
      </c>
      <c r="Q6" s="4">
        <v>0.1717197904403058</v>
      </c>
      <c r="R6" s="4">
        <v>8.3606053461810298E-2</v>
      </c>
      <c r="S6" s="79">
        <v>1.3282158707615834</v>
      </c>
      <c r="T6" s="78">
        <v>1.5463719418456539</v>
      </c>
      <c r="U6" s="15">
        <v>0.22428295339746124</v>
      </c>
      <c r="V6" s="76">
        <v>1.2715557492373779</v>
      </c>
      <c r="W6" s="71">
        <v>-2.9462070694029183</v>
      </c>
      <c r="X6" s="13" t="s">
        <v>343</v>
      </c>
      <c r="Y6" s="11" t="s">
        <v>332</v>
      </c>
      <c r="Z6" s="14">
        <v>46081</v>
      </c>
      <c r="AA6" s="16" t="s">
        <v>333</v>
      </c>
    </row>
    <row r="7" spans="1:27">
      <c r="B7" s="11" t="s">
        <v>328</v>
      </c>
      <c r="C7" s="11" t="s">
        <v>329</v>
      </c>
      <c r="D7" s="2">
        <v>5</v>
      </c>
      <c r="E7" s="12" t="s">
        <v>135</v>
      </c>
      <c r="F7" s="15">
        <v>0.18005239374449097</v>
      </c>
      <c r="G7" s="15">
        <f>F7 - Portfolio_Mgmt!$C$10</f>
        <v>6.265239374449097E-2</v>
      </c>
      <c r="H7" s="15">
        <f>F7 - Portfolio_Mgmt!$C$11</f>
        <v>0.14555239374449097</v>
      </c>
      <c r="I7" s="15">
        <v>9.5278499949696768E-2</v>
      </c>
      <c r="J7" s="2">
        <v>3.8413432749614111</v>
      </c>
      <c r="K7" s="2">
        <v>7.1444815306185729</v>
      </c>
      <c r="L7" s="71">
        <v>6.5750492730557024</v>
      </c>
      <c r="M7" s="2">
        <v>4.757977519556075</v>
      </c>
      <c r="N7" s="2">
        <v>5.8446623275547616</v>
      </c>
      <c r="O7" s="4">
        <v>8.2803719766148892E-2</v>
      </c>
      <c r="P7" s="4">
        <v>6.0000000000000012E-2</v>
      </c>
      <c r="Q7" s="4">
        <v>0.1219703636183504</v>
      </c>
      <c r="R7" s="4">
        <v>3.7674664923977114E-2</v>
      </c>
      <c r="S7" s="79">
        <v>1.4798367611150316</v>
      </c>
      <c r="T7" s="78">
        <v>2.187716833659914</v>
      </c>
      <c r="U7" s="15">
        <v>0.76701287002940366</v>
      </c>
      <c r="V7" s="76">
        <v>5.0100833509211817</v>
      </c>
      <c r="W7" s="71">
        <v>-2.4800067209187837</v>
      </c>
      <c r="X7" s="13" t="s">
        <v>170</v>
      </c>
      <c r="Y7" s="11" t="s">
        <v>332</v>
      </c>
      <c r="Z7" s="14">
        <v>46173</v>
      </c>
      <c r="AA7" s="16" t="s">
        <v>182</v>
      </c>
    </row>
    <row r="8" spans="1:27">
      <c r="B8" s="11" t="s">
        <v>377</v>
      </c>
      <c r="C8" s="11" t="s">
        <v>378</v>
      </c>
      <c r="D8" s="2">
        <v>0.47</v>
      </c>
      <c r="E8" s="12" t="s">
        <v>135</v>
      </c>
      <c r="F8" s="15">
        <v>0.16697578761628093</v>
      </c>
      <c r="G8" s="15">
        <f>F8 - Portfolio_Mgmt!$C$10</f>
        <v>4.9575787616280925E-2</v>
      </c>
      <c r="H8" s="15">
        <f>F8 - Portfolio_Mgmt!$C$11</f>
        <v>0.13247578761628093</v>
      </c>
      <c r="I8" s="15">
        <v>2.6792836960964895E-2</v>
      </c>
      <c r="J8" s="2">
        <v>0.34970930174976633</v>
      </c>
      <c r="K8" s="2">
        <v>0.65165818095270089</v>
      </c>
      <c r="L8" s="71">
        <v>0.59877007466972609</v>
      </c>
      <c r="M8" s="2">
        <v>0.43321716416627298</v>
      </c>
      <c r="N8" s="2">
        <v>0.53222305829131278</v>
      </c>
      <c r="O8" s="4">
        <v>0.11436669694956282</v>
      </c>
      <c r="P8" s="4">
        <v>5.7446808510638298E-2</v>
      </c>
      <c r="Q8" s="4">
        <v>3.931859133292645E-2</v>
      </c>
      <c r="R8" s="4">
        <v>1.9127481481925439E-2</v>
      </c>
      <c r="S8" s="79">
        <v>1.4656521003611329</v>
      </c>
      <c r="T8" s="78">
        <v>1.4025206525126881</v>
      </c>
      <c r="U8" s="15">
        <v>0.16239287772638675</v>
      </c>
      <c r="V8" s="76">
        <v>3.5496550732945478</v>
      </c>
      <c r="W8" s="71">
        <v>0.59259267587355635</v>
      </c>
      <c r="X8" s="13" t="s">
        <v>379</v>
      </c>
      <c r="Y8" s="11" t="s">
        <v>340</v>
      </c>
      <c r="Z8" s="14">
        <v>46081</v>
      </c>
      <c r="AA8" s="16" t="s">
        <v>333</v>
      </c>
    </row>
    <row r="9" spans="1:27">
      <c r="B9" s="11" t="s">
        <v>345</v>
      </c>
      <c r="C9" s="11" t="s">
        <v>346</v>
      </c>
      <c r="D9" s="2">
        <v>105.1</v>
      </c>
      <c r="E9" s="12" t="s">
        <v>135</v>
      </c>
      <c r="F9" s="15">
        <v>0.13923664503566627</v>
      </c>
      <c r="G9" s="15">
        <f>F9 - Portfolio_Mgmt!$C$10</f>
        <v>2.1836645035666263E-2</v>
      </c>
      <c r="H9" s="15">
        <f>F9 - Portfolio_Mgmt!$C$11</f>
        <v>0.10473664503566626</v>
      </c>
      <c r="I9" s="15">
        <v>0</v>
      </c>
      <c r="J9" s="2">
        <v>71.611838023373707</v>
      </c>
      <c r="K9" s="2">
        <v>155.39768851072091</v>
      </c>
      <c r="L9" s="71">
        <v>125.96580080338259</v>
      </c>
      <c r="M9" s="2">
        <v>89.760397695723313</v>
      </c>
      <c r="N9" s="2">
        <v>111.38290829053619</v>
      </c>
      <c r="O9" s="4">
        <v>2.324463209788679E-2</v>
      </c>
      <c r="P9" s="4">
        <v>0</v>
      </c>
      <c r="Q9" s="4">
        <v>0.14667015235144401</v>
      </c>
      <c r="R9" s="4">
        <v>8.0069983114389093E-2</v>
      </c>
      <c r="S9" s="79">
        <v>1.022390799101176</v>
      </c>
      <c r="T9" s="78">
        <v>1.7916578376478161</v>
      </c>
      <c r="U9" s="15">
        <v>0.27660377540313014</v>
      </c>
      <c r="V9" s="76">
        <v>1.7116972700897226</v>
      </c>
      <c r="W9" s="71">
        <v>3.5580555374393512</v>
      </c>
      <c r="X9" s="13" t="s">
        <v>347</v>
      </c>
      <c r="Y9" s="11" t="s">
        <v>348</v>
      </c>
      <c r="Z9" s="14">
        <v>46081</v>
      </c>
      <c r="AA9" s="16" t="s">
        <v>333</v>
      </c>
    </row>
    <row r="10" spans="1:27">
      <c r="B10" s="11" t="s">
        <v>171</v>
      </c>
      <c r="C10" s="11" t="s">
        <v>338</v>
      </c>
      <c r="D10" s="2">
        <v>20.84</v>
      </c>
      <c r="E10" s="12" t="s">
        <v>135</v>
      </c>
      <c r="F10" s="15">
        <v>0.12373970649345947</v>
      </c>
      <c r="G10" s="15">
        <f>F10 - Portfolio_Mgmt!$C$10</f>
        <v>6.3397064934594682E-3</v>
      </c>
      <c r="H10" s="15">
        <f>F10 - Portfolio_Mgmt!$C$11</f>
        <v>8.923970649345947E-2</v>
      </c>
      <c r="I10" s="15">
        <v>0</v>
      </c>
      <c r="J10" s="2">
        <v>13.967335618616442</v>
      </c>
      <c r="K10" s="2">
        <v>25.305938112997381</v>
      </c>
      <c r="L10" s="71">
        <v>23.804656976794718</v>
      </c>
      <c r="M10" s="2">
        <v>17.268193342077389</v>
      </c>
      <c r="N10" s="2">
        <v>21.178174086162976</v>
      </c>
      <c r="O10" s="4">
        <v>0.11463912830986017</v>
      </c>
      <c r="P10" s="4">
        <v>6.0460652591170824E-2</v>
      </c>
      <c r="Q10" s="4">
        <v>0.17244225698759846</v>
      </c>
      <c r="R10" s="4">
        <v>0.32385684070512349</v>
      </c>
      <c r="S10" s="79">
        <v>0.37515442207937094</v>
      </c>
      <c r="T10" s="78">
        <v>1.419320754716981</v>
      </c>
      <c r="U10" s="15">
        <v>9.2018392262565404E-2</v>
      </c>
      <c r="V10" s="76">
        <v>0.52904635366009978</v>
      </c>
      <c r="W10" s="71">
        <v>0.4592330445442368</v>
      </c>
      <c r="X10" s="16" t="s">
        <v>339</v>
      </c>
      <c r="Y10" s="11" t="s">
        <v>340</v>
      </c>
      <c r="Z10" s="14">
        <v>46081</v>
      </c>
      <c r="AA10" s="16" t="s">
        <v>182</v>
      </c>
    </row>
    <row r="11" spans="1:27">
      <c r="B11" s="11" t="s">
        <v>158</v>
      </c>
      <c r="C11" s="11" t="s">
        <v>336</v>
      </c>
      <c r="D11" s="2">
        <v>19.399999999999999</v>
      </c>
      <c r="E11" s="12" t="s">
        <v>135</v>
      </c>
      <c r="F11" s="15">
        <v>0.11417442599706432</v>
      </c>
      <c r="G11" s="15">
        <f>F11 - Portfolio_Mgmt!$C$10</f>
        <v>-3.2255740029356883E-3</v>
      </c>
      <c r="H11" s="15">
        <f>F11 - Portfolio_Mgmt!$C$11</f>
        <v>7.9674425997064313E-2</v>
      </c>
      <c r="I11" s="15">
        <v>0</v>
      </c>
      <c r="J11" s="2">
        <v>12.513721621307619</v>
      </c>
      <c r="K11" s="2">
        <v>25.074785140196219</v>
      </c>
      <c r="L11" s="71">
        <v>21.694117104444985</v>
      </c>
      <c r="M11" s="2">
        <v>15.585759231846879</v>
      </c>
      <c r="N11" s="2">
        <v>19.236393489781086</v>
      </c>
      <c r="O11" s="4">
        <v>5.0303199056176834E-2</v>
      </c>
      <c r="P11" s="4">
        <v>2.7001263138476762E-2</v>
      </c>
      <c r="Q11" s="4">
        <v>0.11088545082703867</v>
      </c>
      <c r="R11" s="4">
        <v>0.11515025654178175</v>
      </c>
      <c r="S11" s="79">
        <v>0.71131521233544359</v>
      </c>
      <c r="T11" s="78">
        <v>1.3537783359692717</v>
      </c>
      <c r="U11" s="15">
        <v>6.5417684980282262E-2</v>
      </c>
      <c r="V11" s="76">
        <v>0.5742845428370501</v>
      </c>
      <c r="W11" s="71">
        <v>5.5686717943217667</v>
      </c>
      <c r="X11" s="13" t="s">
        <v>337</v>
      </c>
      <c r="Y11" s="11" t="s">
        <v>332</v>
      </c>
      <c r="Z11" s="14">
        <v>46081</v>
      </c>
      <c r="AA11" s="16" t="s">
        <v>182</v>
      </c>
    </row>
    <row r="12" spans="1:27">
      <c r="B12" s="11" t="s">
        <v>380</v>
      </c>
      <c r="C12" s="11" t="s">
        <v>381</v>
      </c>
      <c r="D12" s="2">
        <v>6.37</v>
      </c>
      <c r="E12" s="12" t="s">
        <v>135</v>
      </c>
      <c r="F12" s="15">
        <v>0.1056555578812557</v>
      </c>
      <c r="G12" s="15">
        <f>F12 - Portfolio_Mgmt!$C$10</f>
        <v>-1.17444421187443E-2</v>
      </c>
      <c r="H12" s="15">
        <f>F12 - Portfolio_Mgmt!$C$11</f>
        <v>7.1155557881255702E-2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4.9216776024788217E-2</v>
      </c>
      <c r="P12" s="4">
        <v>4.2386185243328101E-2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170</v>
      </c>
      <c r="Y12" s="11" t="s">
        <v>348</v>
      </c>
      <c r="Z12" s="14">
        <v>46081</v>
      </c>
      <c r="AA12" s="16" t="s">
        <v>182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365</v>
      </c>
    </row>
    <row r="3" spans="1:4">
      <c r="B3" s="120" t="s">
        <v>372</v>
      </c>
    </row>
    <row r="5" spans="1:4">
      <c r="A5" s="121" t="s">
        <v>349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358</v>
      </c>
    </row>
    <row r="9" spans="1:4">
      <c r="B9" s="127" t="s">
        <v>364</v>
      </c>
      <c r="C9" s="128">
        <f>1-C8</f>
        <v>0.4</v>
      </c>
    </row>
    <row r="10" spans="1:4">
      <c r="B10" s="127" t="s">
        <v>362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359</v>
      </c>
      <c r="C13" s="153"/>
      <c r="D13" s="153"/>
    </row>
    <row r="14" spans="1:4">
      <c r="B14" s="154" t="s">
        <v>360</v>
      </c>
      <c r="C14" s="155"/>
      <c r="D14" s="155"/>
    </row>
    <row r="16" spans="1:4">
      <c r="A16" s="121" t="s">
        <v>206</v>
      </c>
      <c r="B16" s="122" t="s">
        <v>350</v>
      </c>
    </row>
    <row r="17" spans="1:5">
      <c r="B17" s="123" t="s">
        <v>352</v>
      </c>
      <c r="C17" s="123" t="s">
        <v>363</v>
      </c>
      <c r="D17" s="123" t="s">
        <v>370</v>
      </c>
      <c r="E17" s="123" t="s">
        <v>361</v>
      </c>
    </row>
    <row r="18" spans="1:5">
      <c r="B18" s="127" t="s">
        <v>353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354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351</v>
      </c>
    </row>
    <row r="22" spans="1:5">
      <c r="B22" s="123" t="s">
        <v>357</v>
      </c>
      <c r="C22" s="123" t="s">
        <v>373</v>
      </c>
      <c r="D22" s="123" t="s">
        <v>215</v>
      </c>
    </row>
    <row r="23" spans="1:5">
      <c r="B23" s="127" t="s">
        <v>355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356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4.1799999999999997E-2</v>
      </c>
      <c r="D4" s="34">
        <v>6.7500000000000004E-2</v>
      </c>
      <c r="E4" s="35">
        <f>D4-C4</f>
        <v>2.5700000000000008E-2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375</v>
      </c>
    </row>
    <row r="35" spans="1:5" ht="223.15" customHeight="1">
      <c r="B35" s="156" t="s">
        <v>376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344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0.60853328969788856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19.399999999999999</v>
      </c>
      <c r="E4" s="59" t="str">
        <f>VLOOKUP(B4,Opportunities!B$3:E$30,4,FALSE)</f>
        <v>HKD</v>
      </c>
      <c r="F4" s="57">
        <v>4500</v>
      </c>
      <c r="G4" s="61">
        <f t="shared" ref="G4:G10" si="1">D4*F4</f>
        <v>87300</v>
      </c>
      <c r="H4" s="58">
        <f t="shared" si="0"/>
        <v>7.2883437426688694E-2</v>
      </c>
      <c r="I4" s="58">
        <f>VLOOKUP(B4,Opportunities!B$3:I$30,8,FALSE)</f>
        <v>0</v>
      </c>
      <c r="J4" s="81">
        <f>VLOOKUP(B4,Opportunities!B$3:N$30,12,FALSE)</f>
        <v>15.585759231846879</v>
      </c>
      <c r="K4" s="81">
        <f>VLOOKUP(B4,Opportunities!B$3:N$30,9,FALSE)</f>
        <v>12.513721621307619</v>
      </c>
      <c r="L4" s="81">
        <f>VLOOKUP(B4,Opportunities!B$3:N$30,11,FALSE)</f>
        <v>21.694117104444985</v>
      </c>
      <c r="M4" s="81">
        <f>VLOOKUP(B4,Opportunities!B$3:N$30,13,FALSE)</f>
        <v>19.236393489781086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20.84</v>
      </c>
      <c r="E5" s="59" t="str">
        <f>VLOOKUP(B5,Opportunities!B$3:E$30,4,FALSE)</f>
        <v>HKD</v>
      </c>
      <c r="F5" s="57">
        <v>4000</v>
      </c>
      <c r="G5" s="61">
        <f t="shared" si="1"/>
        <v>83360</v>
      </c>
      <c r="H5" s="58">
        <f t="shared" si="0"/>
        <v>6.9594081831486479E-2</v>
      </c>
      <c r="I5" s="58">
        <f>VLOOKUP(B5,Opportunities!B$3:I$30,8,FALSE)</f>
        <v>0</v>
      </c>
      <c r="J5" s="81">
        <f>VLOOKUP(B5,Opportunities!B$3:N$30,12,FALSE)</f>
        <v>17.268193342077389</v>
      </c>
      <c r="K5" s="81">
        <f>VLOOKUP(B5,Opportunities!B$3:N$30,9,FALSE)</f>
        <v>13.967335618616442</v>
      </c>
      <c r="L5" s="81">
        <f>VLOOKUP(B5,Opportunities!B$3:N$30,11,FALSE)</f>
        <v>23.804656976794718</v>
      </c>
      <c r="M5" s="81">
        <f>VLOOKUP(B5,Opportunities!B$3:N$30,13,FALSE)</f>
        <v>21.178174086162976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2.96</v>
      </c>
      <c r="E6" s="59" t="str">
        <f>VLOOKUP(B6,Opportunities!B$3:E$30,4,FALSE)</f>
        <v>HKD</v>
      </c>
      <c r="F6" s="57">
        <v>40000</v>
      </c>
      <c r="G6" s="61">
        <f t="shared" si="1"/>
        <v>118400</v>
      </c>
      <c r="H6" s="58">
        <f t="shared" si="0"/>
        <v>9.8847640221305169E-2</v>
      </c>
      <c r="I6" s="58">
        <f>VLOOKUP(B6,Opportunities!B$3:I$30,8,FALSE)</f>
        <v>0.11972088990270867</v>
      </c>
      <c r="J6" s="81">
        <f>VLOOKUP(B6,Opportunities!B$3:N$30,12,FALSE)</f>
        <v>2.87837081868983</v>
      </c>
      <c r="K6" s="81">
        <f>VLOOKUP(B6,Opportunities!B$3:N$30,9,FALSE)</f>
        <v>2.3372346420267727</v>
      </c>
      <c r="L6" s="81">
        <f>VLOOKUP(B6,Opportunities!B$3:N$30,11,FALSE)</f>
        <v>3.9475005072198974</v>
      </c>
      <c r="M6" s="81">
        <f>VLOOKUP(B6,Opportunities!B$3:N$30,13,FALSE)</f>
        <v>3.5182216001675917</v>
      </c>
    </row>
    <row r="7" spans="1:13">
      <c r="B7" s="63" t="s">
        <v>341</v>
      </c>
      <c r="C7" s="62" t="str">
        <f>VLOOKUP(B7,Opportunities!B$3:E$30,2,FALSE)</f>
        <v>昆仑能源</v>
      </c>
      <c r="D7" s="60">
        <f>VLOOKUP(B7,Opportunities!B$3:E$30,3,FALSE)</f>
        <v>7.47</v>
      </c>
      <c r="E7" s="59" t="str">
        <f>VLOOKUP(B7,Opportunities!B$3:E$30,4,FALSE)</f>
        <v>HKD</v>
      </c>
      <c r="F7" s="57">
        <v>8000</v>
      </c>
      <c r="G7" s="61">
        <f t="shared" si="1"/>
        <v>59760</v>
      </c>
      <c r="H7" s="58">
        <f t="shared" si="0"/>
        <v>4.9891342733320923E-2</v>
      </c>
      <c r="I7" s="58">
        <f>VLOOKUP(B7,Opportunities!B$3:I$30,8,FALSE)</f>
        <v>5.3438514700436909E-2</v>
      </c>
      <c r="J7" s="81">
        <f>VLOOKUP(B7,Opportunities!B$3:N$30,12,FALSE)</f>
        <v>7.1732981612070983</v>
      </c>
      <c r="K7" s="81">
        <f>VLOOKUP(B7,Opportunities!B$3:N$30,9,FALSE)</f>
        <v>5.7709301653949323</v>
      </c>
      <c r="L7" s="81">
        <f>VLOOKUP(B7,Opportunities!B$3:N$30,11,FALSE)</f>
        <v>9.9587156423965038</v>
      </c>
      <c r="M7" s="81">
        <f>VLOOKUP(B7,Opportunities!B$3:N$30,13,FALSE)</f>
        <v>8.8383826216699077</v>
      </c>
    </row>
    <row r="8" spans="1:13">
      <c r="B8" s="63" t="s">
        <v>382</v>
      </c>
      <c r="C8" s="62" t="str">
        <f>VLOOKUP(B8,Opportunities!B$3:E$30,2,FALSE)</f>
        <v>新华文轩</v>
      </c>
      <c r="D8" s="60">
        <f>VLOOKUP(B8,Opportunities!B$3:E$30,3,FALSE)</f>
        <v>10.199999999999999</v>
      </c>
      <c r="E8" s="59" t="str">
        <f>VLOOKUP(B8,Opportunities!B$3:E$30,4,FALSE)</f>
        <v>HKD</v>
      </c>
      <c r="F8" s="57">
        <v>5000</v>
      </c>
      <c r="G8" s="61">
        <f t="shared" si="1"/>
        <v>51000</v>
      </c>
      <c r="H8" s="58">
        <f t="shared" si="0"/>
        <v>4.2577953135866251E-2</v>
      </c>
      <c r="I8" s="58">
        <f>VLOOKUP(B8,Opportunities!B$3:I$30,8,FALSE)</f>
        <v>0.11502744645049783</v>
      </c>
      <c r="J8" s="81">
        <f>VLOOKUP(B8,Opportunities!B$3:N$30,12,FALSE)</f>
        <v>11.228981216429396</v>
      </c>
      <c r="K8" s="81">
        <f>VLOOKUP(B8,Opportunities!B$3:N$30,9,FALSE)</f>
        <v>9.0497901235721319</v>
      </c>
      <c r="L8" s="81">
        <f>VLOOKUP(B8,Opportunities!B$3:N$30,11,FALSE)</f>
        <v>15.553111578033977</v>
      </c>
      <c r="M8" s="81">
        <f>VLOOKUP(B8,Opportunities!B$3:N$30,13,FALSE)</f>
        <v>13.814437518083643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5</v>
      </c>
      <c r="E9" s="59" t="str">
        <f>VLOOKUP(B9,Opportunities!B$3:E$30,4,FALSE)</f>
        <v>HKD</v>
      </c>
      <c r="F9" s="57">
        <v>4000</v>
      </c>
      <c r="G9" s="61">
        <f t="shared" si="1"/>
        <v>20000</v>
      </c>
      <c r="H9" s="58">
        <f t="shared" si="0"/>
        <v>1.6697236523869115E-2</v>
      </c>
      <c r="I9" s="58">
        <f>VLOOKUP(B9,Opportunities!B$3:I$30,8,FALSE)</f>
        <v>9.5278499949696768E-2</v>
      </c>
      <c r="J9" s="81">
        <f>VLOOKUP(B9,Opportunities!B$3:N$30,12,FALSE)</f>
        <v>4.757977519556075</v>
      </c>
      <c r="K9" s="81">
        <f>VLOOKUP(B9,Opportunities!B$3:N$30,9,FALSE)</f>
        <v>3.8413432749614111</v>
      </c>
      <c r="L9" s="81">
        <f>VLOOKUP(B9,Opportunities!B$3:N$30,11,FALSE)</f>
        <v>6.5750492730557024</v>
      </c>
      <c r="M9" s="81">
        <f>VLOOKUP(B9,Opportunities!B$3:N$30,13,FALSE)</f>
        <v>5.8446623275547616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4.09</v>
      </c>
      <c r="E10" s="59" t="str">
        <f>VLOOKUP(B10,Opportunities!B$3:E$30,4,FALSE)</f>
        <v>HKD</v>
      </c>
      <c r="F10" s="57">
        <v>12000</v>
      </c>
      <c r="G10" s="61">
        <f t="shared" si="1"/>
        <v>49080</v>
      </c>
      <c r="H10" s="58">
        <f t="shared" ref="H10" si="2">G10/$G$12</f>
        <v>4.0975018429574815E-2</v>
      </c>
      <c r="I10" s="58">
        <f>VLOOKUP(B10,Opportunities!B$3:I$30,8,FALSE)</f>
        <v>9.2643035967794413E-2</v>
      </c>
      <c r="J10" s="81">
        <f>VLOOKUP(B10,Opportunities!B$3:N$30,12,FALSE)</f>
        <v>4.2494364867060339</v>
      </c>
      <c r="K10" s="81">
        <f>VLOOKUP(B10,Opportunities!B$3:N$30,9,FALSE)</f>
        <v>3.4268206342457499</v>
      </c>
      <c r="L10" s="81">
        <f>VLOOKUP(B10,Opportunities!B$3:N$30,11,FALSE)</f>
        <v>5.8811900841392495</v>
      </c>
      <c r="M10" s="81">
        <f>VLOOKUP(B10,Opportunities!B$3:N$30,13,FALSE)</f>
        <v>5.2251555311718869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1197803</v>
      </c>
      <c r="H12" s="67">
        <f>SUM(H3:H10)</f>
        <v>1</v>
      </c>
      <c r="I12" s="73">
        <f>SUM(I3:I10)</f>
        <v>0.92610838697113451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19.399999999999999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15.585759231846879</v>
      </c>
      <c r="K15" s="81">
        <f>VLOOKUP(B15,Opportunities!B$3:N$30,9,FALSE)</f>
        <v>12.513721621307619</v>
      </c>
      <c r="L15" s="81">
        <f>VLOOKUP(B15,Opportunities!B$3:N$30,11,FALSE)</f>
        <v>21.694117104444985</v>
      </c>
      <c r="M15" s="81">
        <f>VLOOKUP(B15,Opportunities!B$3:N$30,13,FALSE)</f>
        <v>19.236393489781086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20.84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17.268193342077389</v>
      </c>
      <c r="K16" s="81">
        <f>VLOOKUP(B16,Opportunities!B$3:N$30,9,FALSE)</f>
        <v>13.967335618616442</v>
      </c>
      <c r="L16" s="81">
        <f>VLOOKUP(B16,Opportunities!B$3:N$30,11,FALSE)</f>
        <v>23.804656976794718</v>
      </c>
      <c r="M16" s="81">
        <f>VLOOKUP(B16,Opportunities!B$3:N$30,13,FALSE)</f>
        <v>21.178174086162976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2.96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0.11972088990270867</v>
      </c>
      <c r="J17" s="81">
        <f>VLOOKUP(B17,Opportunities!B$3:N$30,12,FALSE)</f>
        <v>2.87837081868983</v>
      </c>
      <c r="K17" s="81">
        <f>VLOOKUP(B17,Opportunities!B$3:N$30,9,FALSE)</f>
        <v>2.3372346420267727</v>
      </c>
      <c r="L17" s="81">
        <f>VLOOKUP(B17,Opportunities!B$3:N$30,11,FALSE)</f>
        <v>3.9475005072198974</v>
      </c>
      <c r="M17" s="81">
        <f>VLOOKUP(B17,Opportunities!B$3:N$30,13,FALSE)</f>
        <v>3.5182216001675917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4.09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9.2643035967794413E-2</v>
      </c>
      <c r="J18" s="81">
        <f>VLOOKUP(B18,Opportunities!B$3:N$30,12,FALSE)</f>
        <v>4.2494364867060339</v>
      </c>
      <c r="K18" s="81">
        <f>VLOOKUP(B18,Opportunities!B$3:N$30,9,FALSE)</f>
        <v>3.4268206342457499</v>
      </c>
      <c r="L18" s="81">
        <f>VLOOKUP(B18,Opportunities!B$3:N$30,11,FALSE)</f>
        <v>5.8811900841392495</v>
      </c>
      <c r="M18" s="81">
        <f>VLOOKUP(B18,Opportunities!B$3:N$30,13,FALSE)</f>
        <v>5.2251555311718869</v>
      </c>
    </row>
    <row r="19" spans="1:13">
      <c r="B19" s="63" t="s">
        <v>382</v>
      </c>
      <c r="C19" s="62" t="str">
        <f>VLOOKUP(B19,Opportunities!B$3:E$30,2,FALSE)</f>
        <v>新华文轩</v>
      </c>
      <c r="D19" s="60">
        <f>VLOOKUP(B19,Opportunities!B$3:E$30,3,FALSE)</f>
        <v>10.199999999999999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0.11502744645049783</v>
      </c>
      <c r="J19" s="81">
        <f>VLOOKUP(B19,Opportunities!B$3:N$30,12,FALSE)</f>
        <v>11.228981216429396</v>
      </c>
      <c r="K19" s="81">
        <f>VLOOKUP(B19,Opportunities!B$3:N$30,9,FALSE)</f>
        <v>9.0497901235721319</v>
      </c>
      <c r="L19" s="81">
        <f>VLOOKUP(B19,Opportunities!B$3:N$30,11,FALSE)</f>
        <v>15.553111578033977</v>
      </c>
      <c r="M19" s="81">
        <f>VLOOKUP(B19,Opportunities!B$3:N$30,13,FALSE)</f>
        <v>13.814437518083643</v>
      </c>
    </row>
    <row r="20" spans="1:13">
      <c r="B20" s="63" t="s">
        <v>341</v>
      </c>
      <c r="C20" s="62" t="str">
        <f>VLOOKUP(B20,Opportunities!B$3:E$30,2,FALSE)</f>
        <v>昆仑能源</v>
      </c>
      <c r="D20" s="60">
        <f>VLOOKUP(B20,Opportunities!B$3:E$30,3,FALSE)</f>
        <v>7.47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5.3438514700436909E-2</v>
      </c>
      <c r="J20" s="81">
        <f>VLOOKUP(B20,Opportunities!B$3:N$30,12,FALSE)</f>
        <v>7.1732981612070983</v>
      </c>
      <c r="K20" s="81">
        <f>VLOOKUP(B20,Opportunities!B$3:N$30,9,FALSE)</f>
        <v>5.7709301653949323</v>
      </c>
      <c r="L20" s="81">
        <f>VLOOKUP(B20,Opportunities!B$3:N$30,11,FALSE)</f>
        <v>9.9587156423965038</v>
      </c>
      <c r="M20" s="81">
        <f>VLOOKUP(B20,Opportunities!B$3:N$30,13,FALSE)</f>
        <v>8.8383826216699077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0.60853328969788856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2026-01-05T02:54:48Z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