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2046EF02-CD3F-4D2E-A6A2-20DA4ED8EA25}" xr6:coauthVersionLast="47" xr6:coauthVersionMax="47" xr10:uidLastSave="{00000000-0000-0000-0000-000000000000}"/>
  <bookViews>
    <workbookView xWindow="735" yWindow="735" windowWidth="12690" windowHeight="7643" firstSheet="1"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H19" i="1"/>
  <c r="G3" i="1"/>
  <c r="G4" i="1"/>
  <c r="G5" i="1"/>
  <c r="G6" i="1"/>
  <c r="G7" i="1"/>
  <c r="G8" i="1"/>
  <c r="G9" i="1"/>
  <c r="G10" i="1"/>
  <c r="G11" i="1"/>
  <c r="G12" i="1"/>
  <c r="G13" i="1"/>
  <c r="G14" i="1"/>
  <c r="G15" i="1"/>
  <c r="G16" i="1"/>
  <c r="G17" i="1"/>
  <c r="G18" i="1"/>
  <c r="G19" i="1"/>
  <c r="E23" i="7"/>
  <c r="C24" i="7" s="1"/>
  <c r="E24" i="7" s="1"/>
  <c r="E26" i="7" s="1"/>
  <c r="F3" i="7"/>
  <c r="H9" i="7"/>
  <c r="I9" i="7"/>
  <c r="J9" i="7"/>
  <c r="K9" i="7"/>
  <c r="L9" i="7"/>
  <c r="C9" i="7"/>
  <c r="D9" i="7"/>
  <c r="H17" i="7"/>
  <c r="I17" i="7"/>
  <c r="J17" i="7"/>
  <c r="K17" i="7"/>
  <c r="L17" i="7"/>
  <c r="C17" i="7"/>
  <c r="F17" i="7" s="1"/>
  <c r="D17" i="7"/>
  <c r="H16" i="7"/>
  <c r="I16" i="7"/>
  <c r="J16" i="7"/>
  <c r="K16" i="7"/>
  <c r="L16" i="7"/>
  <c r="C16" i="7"/>
  <c r="F16" i="7" s="1"/>
  <c r="D16" i="7"/>
  <c r="C14" i="7"/>
  <c r="D14" i="7"/>
  <c r="H14" i="7"/>
  <c r="I14" i="7"/>
  <c r="J14" i="7"/>
  <c r="K14" i="7"/>
  <c r="L14" i="7"/>
  <c r="I15" i="7"/>
  <c r="J15" i="7"/>
  <c r="K15" i="7"/>
  <c r="L15" i="7"/>
  <c r="H15" i="7"/>
  <c r="C15" i="7"/>
  <c r="F15" i="7" s="1"/>
  <c r="D15" i="7"/>
  <c r="I4" i="7"/>
  <c r="J4" i="7"/>
  <c r="K4" i="7"/>
  <c r="L4" i="7"/>
  <c r="I5" i="7"/>
  <c r="J5" i="7"/>
  <c r="K5" i="7"/>
  <c r="L5" i="7"/>
  <c r="I6" i="7"/>
  <c r="J6" i="7"/>
  <c r="K6" i="7"/>
  <c r="L6" i="7"/>
  <c r="I7" i="7"/>
  <c r="J7" i="7"/>
  <c r="K7" i="7"/>
  <c r="L7" i="7"/>
  <c r="I8" i="7"/>
  <c r="J8" i="7"/>
  <c r="K8" i="7"/>
  <c r="L8" i="7"/>
  <c r="H8" i="7"/>
  <c r="C8" i="7"/>
  <c r="F8" i="7" s="1"/>
  <c r="D8" i="7"/>
  <c r="C36" i="5"/>
  <c r="H6" i="7"/>
  <c r="C6" i="7"/>
  <c r="F6" i="7" s="1"/>
  <c r="D6" i="7"/>
  <c r="E7" i="7"/>
  <c r="H7" i="7"/>
  <c r="C7" i="7"/>
  <c r="D7" i="7"/>
  <c r="D4" i="7"/>
  <c r="D5" i="7"/>
  <c r="H4" i="7"/>
  <c r="H5" i="7"/>
  <c r="C4" i="7"/>
  <c r="C5" i="7"/>
  <c r="F9" i="7" l="1"/>
  <c r="F14" i="7"/>
  <c r="F19" i="7" s="1"/>
  <c r="F7" i="7"/>
  <c r="F5" i="7"/>
  <c r="F4" i="7" l="1"/>
  <c r="F11" i="7" s="1"/>
  <c r="G9" i="7" s="1"/>
  <c r="C31" i="5"/>
  <c r="G17" i="7" l="1"/>
  <c r="E60" i="5"/>
  <c r="G15" i="7" l="1"/>
  <c r="G16" i="7"/>
  <c r="G8" i="7"/>
  <c r="G14" i="7"/>
  <c r="G6" i="7"/>
  <c r="G7" i="7"/>
  <c r="G5" i="7"/>
  <c r="G19" i="7"/>
  <c r="E61" i="5"/>
  <c r="C16" i="2"/>
  <c r="C10" i="5" s="1"/>
  <c r="C11" i="5"/>
  <c r="E6" i="2"/>
  <c r="E5" i="2"/>
  <c r="E4" i="2"/>
  <c r="E36" i="5" l="1"/>
  <c r="C35" i="5" s="1"/>
  <c r="C64" i="5" s="1"/>
  <c r="C65" i="5" s="1"/>
  <c r="H19" i="7"/>
  <c r="H3" i="7"/>
  <c r="H11" i="7" s="1"/>
  <c r="D112" i="5"/>
  <c r="G3" i="7" l="1"/>
  <c r="G4" i="7"/>
  <c r="G11" i="7" l="1"/>
</calcChain>
</file>

<file path=xl/sharedStrings.xml><?xml version="1.0" encoding="utf-8"?>
<sst xmlns="http://schemas.openxmlformats.org/spreadsheetml/2006/main" count="385" uniqueCount="303">
  <si>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</si>
  <si>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</si>
  <si>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</si>
  <si>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</si>
  <si>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</si>
  <si>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</si>
  <si>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</si>
  <si>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</si>
  <si>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</si>
  <si>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</si>
  <si>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</si>
  <si>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</si>
  <si>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</si>
  <si>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</si>
  <si>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</si>
  <si>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</si>
  <si>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</si>
  <si>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</si>
  <si>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</si>
  <si>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</si>
  <si>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</si>
  <si>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</si>
  <si>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</si>
  <si>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</si>
  <si>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</si>
  <si>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</si>
  <si>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</si>
  <si>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</si>
  <si>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</si>
  <si>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</si>
  <si>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</si>
  <si>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</si>
  <si>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</si>
  <si>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</si>
  <si>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</si>
  <si>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</si>
  <si>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</si>
  <si>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</si>
  <si>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</si>
  <si>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</si>
  <si>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</si>
  <si>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</si>
  <si>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</si>
  <si>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</si>
  <si>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</si>
  <si>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</si>
  <si>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</si>
  <si>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</si>
  <si>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</si>
  <si>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</si>
  <si>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</si>
  <si>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</si>
  <si>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</si>
  <si>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</si>
  <si>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</si>
  <si>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</si>
  <si>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</si>
  <si>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</si>
  <si>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</si>
  <si>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</si>
  <si>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</si>
  <si>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</si>
  <si>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</si>
  <si>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</si>
  <si>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</si>
  <si>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</si>
  <si>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</si>
  <si>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</si>
  <si>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</si>
  <si>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</si>
  <si>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</si>
  <si>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</si>
  <si>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</si>
  <si>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</si>
  <si>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</si>
  <si>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</si>
  <si>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</si>
  <si>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</si>
  <si>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</si>
  <si>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</si>
  <si>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</si>
  <si>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</si>
  <si>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</si>
  <si>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</si>
  <si>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</si>
  <si>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</si>
  <si>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</si>
  <si>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</si>
  <si>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</si>
  <si>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</si>
  <si>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</si>
  <si>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</si>
  <si>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</si>
  <si>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</si>
  <si>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</si>
  <si>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</si>
  <si>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</si>
  <si>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</si>
  <si>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</si>
  <si>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</si>
  <si>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</si>
  <si>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</si>
  <si>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</si>
  <si>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</si>
  <si>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</si>
  <si>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</si>
  <si>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</si>
  <si>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</si>
  <si>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</si>
  <si>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</si>
  <si>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</si>
  <si>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</si>
  <si>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</si>
  <si>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</si>
  <si>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</si>
  <si>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</si>
  <si>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</si>
  <si>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</si>
  <si>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</si>
  <si>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</si>
  <si>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</si>
  <si>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</si>
  <si>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</si>
  <si>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</si>
  <si>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</si>
  <si>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</si>
  <si>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</si>
  <si>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</si>
  <si>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</si>
  <si>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</si>
  <si>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</si>
  <si>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</si>
  <si>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</si>
  <si>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</si>
  <si>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</si>
  <si>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</si>
  <si>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</si>
  <si>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</si>
  <si>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</si>
  <si>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</si>
  <si>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</si>
  <si>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</si>
  <si>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</si>
  <si>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</si>
  <si>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</si>
  <si>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</si>
  <si>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</si>
  <si>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</si>
  <si>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</si>
  <si>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</si>
  <si>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</si>
  <si>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</si>
  <si>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</si>
  <si>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</si>
  <si>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</si>
  <si>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</si>
  <si>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</si>
  <si>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</si>
  <si>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</si>
  <si>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</si>
  <si>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</si>
  <si>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</si>
  <si>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</si>
  <si>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</si>
  <si>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</si>
  <si>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</si>
  <si>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</si>
  <si>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</si>
  <si>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</si>
  <si>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</si>
  <si>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</si>
  <si>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</si>
  <si>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</si>
  <si>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</si>
  <si>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</si>
  <si>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</si>
  <si>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</si>
  <si>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</si>
  <si>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</si>
  <si>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</si>
  <si>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</si>
  <si>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</si>
  <si>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</si>
  <si>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</si>
  <si>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</si>
  <si>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</si>
  <si>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</si>
  <si>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</si>
  <si>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</si>
  <si>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</si>
  <si>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</si>
  <si>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</si>
  <si>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</si>
  <si>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</si>
  <si>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</si>
  <si>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</si>
  <si>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</si>
  <si>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</si>
  <si>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</si>
  <si>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</si>
  <si>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</si>
  <si>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</si>
  <si>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</si>
  <si>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</si>
  <si>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</si>
  <si>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</si>
  <si>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</si>
  <si>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</si>
  <si>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</si>
  <si>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</si>
  <si>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</si>
  <si>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</si>
  <si>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</si>
  <si>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</si>
  <si>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</si>
  <si>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</si>
  <si>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</si>
  <si>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</si>
  <si>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</si>
  <si>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</si>
  <si>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</si>
  <si>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</si>
  <si>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</si>
  <si>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</si>
  <si>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</si>
  <si>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</si>
  <si>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</si>
  <si>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</si>
  <si>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</si>
  <si>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</si>
  <si>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</si>
  <si>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</si>
  <si>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</si>
  <si>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</si>
  <si>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</si>
  <si>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</si>
  <si>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</si>
  <si>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</si>
  <si>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</si>
  <si>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</si>
  <si>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</si>
  <si>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</si>
  <si>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</si>
  <si>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</si>
  <si>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</si>
  <si>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</si>
  <si>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</si>
  <si>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</si>
  <si>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</si>
  <si>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</si>
  <si>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</si>
  <si>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</si>
  <si>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</si>
  <si>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</si>
  <si>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</si>
  <si>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</si>
  <si>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</si>
  <si>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</si>
  <si>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</si>
  <si>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</si>
  <si>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</si>
  <si>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</si>
  <si>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</si>
  <si>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</si>
  <si>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</si>
  <si>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</si>
  <si>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</si>
  <si>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</si>
  <si>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</si>
  <si>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</si>
  <si>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</si>
  <si>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</si>
  <si>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</si>
  <si>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</si>
  <si>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</si>
  <si>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</si>
  <si>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</si>
  <si>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</si>
  <si>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</si>
  <si>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</si>
  <si>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</si>
  <si>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</si>
  <si>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</si>
  <si>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</si>
  <si>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</si>
  <si>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</si>
  <si>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</si>
  <si>
    <t>0639.HK</t>
  </si>
  <si>
    <t>首钢资源</t>
  </si>
  <si>
    <t>MAT_01</t>
  </si>
  <si>
    <t>Target Price</t>
  </si>
  <si>
    <t>Exit Price</t>
  </si>
  <si>
    <t>Sell Price</t>
  </si>
  <si>
    <t>nm</t>
  </si>
  <si>
    <t>1913.HK</t>
  </si>
  <si>
    <t>PRADA</t>
  </si>
  <si>
    <t>Forex Cost</t>
  </si>
  <si>
    <t>From</t>
  </si>
  <si>
    <t>HKD to USD</t>
  </si>
  <si>
    <t>USD to HKD</t>
  </si>
  <si>
    <t>HKDUSD</t>
  </si>
  <si>
    <t>To</t>
  </si>
  <si>
    <t>Est.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</si>
</sst>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numFmt numFmtId="165" formatCode="[$-13C09]d\ mmm\ yyyy;@"/>
    <numFmt numFmtId="166" formatCode="0&quot; yrs&quot;"/>
    <numFmt numFmtId="167" formatCode="0.0\x"/>
    <numFmt numFmtId="168" formatCode="#,##0.00&quot;x&quot;"/>
    <numFmt numFmtId="169" formatCode="0.00000"/>
    <numFmt numFmtId="170" formatCode="_-[$HKD]\ * #,##0_-;\-[$HKD]\ * #,##0_-;_-[$HKD]\ * &quot;-&quot;_-;_-@_-"/>
    <numFmt numFmtId="171" formatCode="_-[$USD]\ * #,##0_-;\-[$USD]\ * #,##0_-;_-[$USD]\ * &quot;-&quot;_-;_-@_-"/>
  </numFmts>
  <fonts count="36">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
      <b/>
      <sz val="11"/>
      <color theme="1"/>
      <name val="Calibri"/>
      <family val="2"/>
      <scheme val="minor"/>
    </font>
    <font>
      <sz val="11"/>
      <color rgb="FF0000FF"/>
      <name val="Calibri"/>
      <family val="2"/>
      <scheme val="minor"/>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9">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4" fontId="28" fillId="0" borderId="0" xfId="0" applyNumberFormat="1" applyFont="1" applyAlignment="1">
      <alignment horizontal="right"/>
    </xf>
    <xf numFmtId="4" fontId="28" fillId="0" borderId="0" xfId="0" applyNumberFormat="1" applyFont="1"/>
    <xf numFmtId="4" fontId="28" fillId="0" borderId="3" xfId="0" applyNumberFormat="1" applyFont="1" applyBorder="1" applyAlignment="1">
      <alignment horizontal="right"/>
    </xf>
    <xf numFmtId="0" fontId="29" fillId="0" borderId="0" xfId="0" applyFont="1"/>
    <xf numFmtId="0" fontId="29" fillId="0" borderId="0" xfId="0" applyFont="1" applyAlignment="1">
      <alignment horizontal="center"/>
    </xf>
    <xf numFmtId="170" fontId="0" fillId="0" borderId="0" xfId="0" applyNumberFormat="1"/>
    <xf numFmtId="171" fontId="0" fillId="0" borderId="0" xfId="0" applyNumberFormat="1"/>
    <xf numFmtId="0" fontId="34" fillId="0" borderId="0" xfId="0" applyFont="1" applyAlignment="1">
      <alignment horizontal="left" indent="1"/>
    </xf>
    <xf numFmtId="170" fontId="35" fillId="0" borderId="0" xfId="0" applyNumberFormat="1" applyFont="1"/>
    <xf numFmtId="169" fontId="35"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B24" sqref="B24:E24"/>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105" t="s">
        <v>205</v>
      </c>
      <c r="C4" s="105"/>
      <c r="D4" s="105"/>
      <c r="E4" s="105"/>
    </row>
    <row r="6" spans="1:5">
      <c r="A6" s="20" t="s">
        <v>63</v>
      </c>
      <c r="B6" s="19" t="s">
        <v>188</v>
      </c>
      <c r="C6" s="60"/>
    </row>
    <row r="7" spans="1:5">
      <c r="B7" s="105" t="s">
        <v>193</v>
      </c>
      <c r="C7" s="105"/>
      <c r="D7" s="105"/>
      <c r="E7" s="105"/>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105" t="s">
        <v>204</v>
      </c>
      <c r="C24" s="105"/>
      <c r="D24" s="105"/>
      <c r="E24" s="105"/>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227</v>
      </c>
      <c r="E36" s="47">
        <f>benchmark+10%</f>
        <v>0.21740000000000001</v>
      </c>
    </row>
    <row r="38" spans="1:5">
      <c r="B38" s="20" t="s">
        <v>82</v>
      </c>
    </row>
    <row r="39" spans="1:5">
      <c r="B39" s="105" t="s">
        <v>151</v>
      </c>
      <c r="C39" s="105"/>
      <c r="D39" s="105"/>
      <c r="E39" s="105"/>
    </row>
    <row r="40" spans="1:5" ht="46.5" customHeight="1">
      <c r="B40" s="105" t="s">
        <v>217</v>
      </c>
      <c r="C40" s="105"/>
      <c r="D40" s="105"/>
      <c r="E40" s="105"/>
    </row>
    <row r="42" spans="1:5">
      <c r="A42" s="21" t="s">
        <v>171</v>
      </c>
      <c r="B42" s="21"/>
      <c r="C42" s="21"/>
      <c r="D42" s="21"/>
      <c r="E42" s="21"/>
    </row>
    <row r="44" spans="1:5">
      <c r="B44" s="105" t="s">
        <v>192</v>
      </c>
      <c r="C44" s="105"/>
      <c r="D44" s="105"/>
      <c r="E44" s="105"/>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231</v>
      </c>
      <c r="D58" s="26" t="s">
        <v>232</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105" t="s">
        <v>180</v>
      </c>
      <c r="C71" s="105"/>
      <c r="D71" s="105"/>
      <c r="E71" s="105"/>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108" t="s">
        <v>176</v>
      </c>
      <c r="C85" s="108"/>
      <c r="D85" s="108"/>
      <c r="E85" s="108"/>
    </row>
    <row r="86" spans="1:5">
      <c r="B86" s="107" t="s">
        <v>174</v>
      </c>
      <c r="C86" s="107"/>
      <c r="D86" s="107"/>
      <c r="E86" s="107"/>
    </row>
    <row r="87" spans="1:5" ht="24.5" customHeight="1">
      <c r="B87" s="105" t="s">
        <v>173</v>
      </c>
      <c r="C87" s="105"/>
      <c r="D87" s="105"/>
      <c r="E87" s="105"/>
    </row>
    <row r="88" spans="1:5" ht="24.5" customHeight="1">
      <c r="B88" s="105" t="s">
        <v>209</v>
      </c>
      <c r="C88" s="105"/>
      <c r="D88" s="105"/>
      <c r="E88" s="105"/>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106" t="s">
        <v>195</v>
      </c>
      <c r="C97" s="106"/>
      <c r="D97" s="106"/>
      <c r="E97" s="106"/>
    </row>
    <row r="99" spans="1:5">
      <c r="B99" s="24" t="s">
        <v>199</v>
      </c>
    </row>
    <row r="100" spans="1:5" ht="12.4">
      <c r="B100" s="106" t="s">
        <v>196</v>
      </c>
      <c r="C100" s="106"/>
      <c r="D100" s="106"/>
      <c r="E100" s="106"/>
    </row>
    <row r="101" spans="1:5" ht="58.5" customHeight="1">
      <c r="B101" s="105" t="s">
        <v>203</v>
      </c>
      <c r="C101" s="105"/>
      <c r="D101" s="105"/>
      <c r="E101" s="105"/>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0.17533904933787436</v>
      </c>
      <c r="D112" s="60" t="str">
        <f>IF(C112&lt;benchmark,"Warning: Return is lower than the Benchmark.","")</f>
        <v/>
      </c>
    </row>
    <row r="114" spans="1:5" ht="24.5" customHeight="1">
      <c r="B114" s="105" t="s">
        <v>201</v>
      </c>
      <c r="C114" s="105"/>
      <c r="D114" s="105"/>
      <c r="E114" s="105"/>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6" zoomScaleNormal="100" workbookViewId="0">
      <pane xSplit="3" ySplit="2" topLeftCell="D3" activePane="bottomRight" state="frozen"/>
      <selection pane="topRight" activeCell="D1" sqref="D1"/>
      <selection pane="bottomLeft" activeCell="A5" sqref="A5"/>
      <selection pane="bottomRight" activeCell="C17" sqref="C17"/>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11" t="s">
        <v>1</v>
      </c>
      <c r="E1" s="111"/>
      <c r="F1" s="111"/>
      <c r="G1" s="112" t="s">
        <v>96</v>
      </c>
      <c r="H1" s="112"/>
      <c r="I1" s="112"/>
      <c r="J1" s="114" t="s">
        <v>4</v>
      </c>
      <c r="K1" s="114"/>
      <c r="L1" s="114"/>
      <c r="M1" s="113" t="s">
        <v>229</v>
      </c>
      <c r="N1" s="113"/>
      <c r="O1" s="109" t="s">
        <v>8</v>
      </c>
      <c r="P1" s="109"/>
      <c r="Q1" s="116" t="s">
        <v>280</v>
      </c>
      <c r="R1" s="116"/>
      <c r="S1" s="116"/>
      <c r="T1" s="116"/>
      <c r="U1" s="115" t="s">
        <v>276</v>
      </c>
      <c r="V1" s="115"/>
      <c r="W1" s="115"/>
      <c r="X1" s="110" t="s">
        <v>50</v>
      </c>
      <c r="Y1" s="110"/>
      <c r="Z1" s="110"/>
      <c r="AA1" s="110"/>
    </row>
    <row r="2" spans="1:27" ht="26" customHeight="1">
      <c r="B2" s="7" t="s">
        <v>2</v>
      </c>
      <c r="C2" s="7" t="s">
        <v>0</v>
      </c>
      <c r="D2" s="8" t="s">
        <v>1</v>
      </c>
      <c r="E2" s="7" t="s">
        <v>272</v>
      </c>
      <c r="F2" s="7" t="s">
        <v>271</v>
      </c>
      <c r="G2" s="7" t="s">
        <v>58</v>
      </c>
      <c r="H2" s="7" t="s">
        <v>59</v>
      </c>
      <c r="I2" s="7" t="s">
        <v>198</v>
      </c>
      <c r="J2" s="8" t="s">
        <v>7</v>
      </c>
      <c r="K2" s="8" t="s">
        <v>10</v>
      </c>
      <c r="L2" s="8" t="s">
        <v>270</v>
      </c>
      <c r="M2" s="8" t="s">
        <v>228</v>
      </c>
      <c r="N2" s="8" t="s">
        <v>269</v>
      </c>
      <c r="O2" s="7" t="s">
        <v>11</v>
      </c>
      <c r="P2" s="7" t="s">
        <v>6</v>
      </c>
      <c r="Q2" s="7" t="s">
        <v>277</v>
      </c>
      <c r="R2" s="7" t="s">
        <v>283</v>
      </c>
      <c r="S2" s="7" t="s">
        <v>278</v>
      </c>
      <c r="T2" s="7" t="s">
        <v>279</v>
      </c>
      <c r="U2" s="7" t="s">
        <v>224</v>
      </c>
      <c r="V2" s="7" t="s">
        <v>226</v>
      </c>
      <c r="W2" s="7" t="s">
        <v>225</v>
      </c>
      <c r="X2" s="7" t="s">
        <v>5</v>
      </c>
      <c r="Y2" s="7" t="s">
        <v>275</v>
      </c>
      <c r="Z2" s="9" t="s">
        <v>9</v>
      </c>
      <c r="AA2" s="10" t="s">
        <v>49</v>
      </c>
    </row>
    <row r="3" spans="1:27">
      <c r="B3" s="11" t="s">
        <v>287</v>
      </c>
      <c r="C3" s="11" t="s">
        <v>288</v>
      </c>
      <c r="D3" s="2">
        <v>2.69</v>
      </c>
      <c r="E3" s="12" t="s">
        <v>153</v>
      </c>
      <c r="F3" s="15">
        <v>0.27199281553693067</v>
      </c>
      <c r="G3" s="15">
        <f>F3 - Portfolio_Mgmt!$C$10</f>
        <v>0.15459281553693066</v>
      </c>
      <c r="H3" s="15">
        <f>F3 - Portfolio_Mgmt!$C$11</f>
        <v>0.23749281553693066</v>
      </c>
      <c r="I3" s="15">
        <v>0.22209538557724331</v>
      </c>
      <c r="J3" s="2">
        <v>2.2019752270440667</v>
      </c>
      <c r="K3" s="2">
        <v>4.4858408799140586</v>
      </c>
      <c r="L3" s="85">
        <v>4.3130669791905083</v>
      </c>
      <c r="M3" s="2">
        <v>3.039853505232323</v>
      </c>
      <c r="N3" s="2">
        <v>3.8666759160925035</v>
      </c>
      <c r="O3" s="4">
        <v>7.9724725033409882E-2</v>
      </c>
      <c r="P3" s="4">
        <v>0.10037174721189591</v>
      </c>
      <c r="Q3" s="4">
        <v>0.10048924474005361</v>
      </c>
      <c r="R3" s="4">
        <v>0.42143224397986156</v>
      </c>
      <c r="S3" s="94">
        <v>0.19639123104483397</v>
      </c>
      <c r="T3" s="93">
        <v>1.2141426890285656</v>
      </c>
      <c r="U3" s="15">
        <v>2.3107986944995245E-3</v>
      </c>
      <c r="V3" s="90">
        <v>2.3228129203780753E-2</v>
      </c>
      <c r="W3" s="85">
        <v>0.79833937207218564</v>
      </c>
      <c r="X3" s="13" t="s">
        <v>289</v>
      </c>
      <c r="Y3" s="11" t="s">
        <v>154</v>
      </c>
      <c r="Z3" s="14">
        <v>45900</v>
      </c>
      <c r="AA3" s="16" t="s">
        <v>281</v>
      </c>
    </row>
    <row r="4" spans="1:27">
      <c r="B4" s="11" t="s">
        <v>256</v>
      </c>
      <c r="C4" s="11" t="s">
        <v>257</v>
      </c>
      <c r="D4" s="2">
        <v>1.99</v>
      </c>
      <c r="E4" s="12" t="s">
        <v>153</v>
      </c>
      <c r="F4" s="15">
        <v>0.22075936403533269</v>
      </c>
      <c r="G4" s="15">
        <f>F4 - Portfolio_Mgmt!$C$10</f>
        <v>0.10335936403533269</v>
      </c>
      <c r="H4" s="15">
        <f>F4 - Portfolio_Mgmt!$C$11</f>
        <v>0.18625936403533269</v>
      </c>
      <c r="I4" s="15">
        <v>0.18026077629450138</v>
      </c>
      <c r="J4" s="2">
        <v>1.4344998625246426</v>
      </c>
      <c r="K4" s="2">
        <v>3.2862980871825522</v>
      </c>
      <c r="L4" s="85">
        <v>2.8793876964252627</v>
      </c>
      <c r="M4" s="2">
        <v>2.0059433277310297</v>
      </c>
      <c r="N4" s="2">
        <v>2.5726225898672386</v>
      </c>
      <c r="O4" s="4">
        <v>6.7833978728865568E-2</v>
      </c>
      <c r="P4" s="4">
        <v>4.522613065326634E-2</v>
      </c>
      <c r="Q4" s="4">
        <v>4.7832973362251327E-2</v>
      </c>
      <c r="R4" s="4">
        <v>7.8104812973574481E-2</v>
      </c>
      <c r="S4" s="94">
        <v>0.49619793491400876</v>
      </c>
      <c r="T4" s="93">
        <v>1.2342258232843137</v>
      </c>
      <c r="U4" s="15">
        <v>0.10863424600069688</v>
      </c>
      <c r="V4" s="90">
        <v>2.2824569622635926</v>
      </c>
      <c r="W4" s="85">
        <v>1.8471306498375326</v>
      </c>
      <c r="X4" s="13" t="s">
        <v>258</v>
      </c>
      <c r="Y4" s="11" t="s">
        <v>154</v>
      </c>
      <c r="Z4" s="14">
        <v>45900</v>
      </c>
      <c r="AA4" s="16" t="s">
        <v>281</v>
      </c>
    </row>
    <row r="5" spans="1:27">
      <c r="B5" s="11" t="s">
        <v>267</v>
      </c>
      <c r="C5" s="11" t="s">
        <v>268</v>
      </c>
      <c r="D5" s="2">
        <v>18.2</v>
      </c>
      <c r="E5" s="12" t="s">
        <v>153</v>
      </c>
      <c r="F5" s="15">
        <v>0.2206254654422366</v>
      </c>
      <c r="G5" s="15">
        <f>F5 - Portfolio_Mgmt!$C$10</f>
        <v>0.1032254654422366</v>
      </c>
      <c r="H5" s="15">
        <f>F5 - Portfolio_Mgmt!$C$11</f>
        <v>0.1861254654422366</v>
      </c>
      <c r="I5" s="15">
        <v>0.18015144156959984</v>
      </c>
      <c r="J5" s="2">
        <v>13.205422300699611</v>
      </c>
      <c r="K5" s="2">
        <v>28.423993628137147</v>
      </c>
      <c r="L5" s="85">
        <v>26.156856530881274</v>
      </c>
      <c r="M5" s="2">
        <v>18.337300584497786</v>
      </c>
      <c r="N5" s="2">
        <v>23.413072782636526</v>
      </c>
      <c r="O5" s="4">
        <v>0.11363650465530026</v>
      </c>
      <c r="P5" s="4">
        <v>6.9230769230769235E-2</v>
      </c>
      <c r="Q5" s="4">
        <v>0.16035109536268838</v>
      </c>
      <c r="R5" s="4">
        <v>0.31929962351402291</v>
      </c>
      <c r="S5" s="94">
        <v>0.35631048934895165</v>
      </c>
      <c r="T5" s="93">
        <v>1.4094345614568822</v>
      </c>
      <c r="U5" s="15">
        <v>0.12260820136742831</v>
      </c>
      <c r="V5" s="90">
        <v>0.75207444874659302</v>
      </c>
      <c r="W5" s="85">
        <v>-0.45826628536842867</v>
      </c>
      <c r="X5" s="13" t="s">
        <v>218</v>
      </c>
      <c r="Y5" s="11" t="s">
        <v>154</v>
      </c>
      <c r="Z5" s="14">
        <v>45900</v>
      </c>
      <c r="AA5" s="16" t="s">
        <v>281</v>
      </c>
    </row>
    <row r="6" spans="1:27">
      <c r="B6" s="11" t="s">
        <v>219</v>
      </c>
      <c r="C6" s="11" t="s">
        <v>249</v>
      </c>
      <c r="D6" s="2">
        <v>15.34</v>
      </c>
      <c r="E6" s="12" t="s">
        <v>153</v>
      </c>
      <c r="F6" s="15">
        <v>0.21312400503113826</v>
      </c>
      <c r="G6" s="15">
        <f>F6 - Portfolio_Mgmt!$C$10</f>
        <v>9.572400503113826E-2</v>
      </c>
      <c r="H6" s="15">
        <f>F6 - Portfolio_Mgmt!$C$11</f>
        <v>0.17862400503113826</v>
      </c>
      <c r="I6" s="15">
        <v>0.1174923965586554</v>
      </c>
      <c r="J6" s="2">
        <v>10.815599169312769</v>
      </c>
      <c r="K6" s="2">
        <v>25.613007191602325</v>
      </c>
      <c r="L6" s="85">
        <v>21.869291517229851</v>
      </c>
      <c r="M6" s="2">
        <v>15.182840115395532</v>
      </c>
      <c r="N6" s="2">
        <v>19.519758327401224</v>
      </c>
      <c r="O6" s="4">
        <v>6.6724191261390522E-2</v>
      </c>
      <c r="P6" s="4">
        <v>3.1380442856056207E-2</v>
      </c>
      <c r="Q6" s="4">
        <v>0.12359664322190862</v>
      </c>
      <c r="R6" s="4">
        <v>0.12331904686939428</v>
      </c>
      <c r="S6" s="94">
        <v>0.73266920679685343</v>
      </c>
      <c r="T6" s="93">
        <v>1.3679448142367923</v>
      </c>
      <c r="U6" s="15">
        <v>7.4171010848313429E-2</v>
      </c>
      <c r="V6" s="90">
        <v>0.60402076709908736</v>
      </c>
      <c r="W6" s="85">
        <v>4.6094187480588218</v>
      </c>
      <c r="X6" s="13" t="s">
        <v>238</v>
      </c>
      <c r="Y6" s="11" t="s">
        <v>154</v>
      </c>
      <c r="Z6" s="14">
        <v>45900</v>
      </c>
      <c r="AA6" s="16" t="s">
        <v>281</v>
      </c>
    </row>
    <row r="7" spans="1:27">
      <c r="B7" s="11" t="s">
        <v>262</v>
      </c>
      <c r="C7" s="11" t="s">
        <v>273</v>
      </c>
      <c r="D7" s="2">
        <v>21.9</v>
      </c>
      <c r="E7" s="12" t="s">
        <v>263</v>
      </c>
      <c r="F7" s="15">
        <v>0.16575312216238114</v>
      </c>
      <c r="G7" s="15">
        <f>F7 - Portfolio_Mgmt!$C$10</f>
        <v>4.8353122162381135E-2</v>
      </c>
      <c r="H7" s="15">
        <f>F7 - Portfolio_Mgmt!$C$11</f>
        <v>0.13125312216238114</v>
      </c>
      <c r="I7" s="15">
        <v>0</v>
      </c>
      <c r="J7" s="2">
        <v>13.685702538649531</v>
      </c>
      <c r="K7" s="2">
        <v>33.230161875234657</v>
      </c>
      <c r="L7" s="85">
        <v>27.829540483416785</v>
      </c>
      <c r="M7" s="2">
        <v>19.269562535958798</v>
      </c>
      <c r="N7" s="2">
        <v>24.820548736528732</v>
      </c>
      <c r="O7" s="4">
        <v>0.20817176015242897</v>
      </c>
      <c r="P7" s="4">
        <v>1.8973515981735162E-2</v>
      </c>
      <c r="Q7" s="4">
        <v>0.18752610102828118</v>
      </c>
      <c r="R7" s="4">
        <v>0.23497655430253014</v>
      </c>
      <c r="S7" s="94">
        <v>0.32112750263435197</v>
      </c>
      <c r="T7" s="93">
        <v>2.4851905363915479</v>
      </c>
      <c r="U7" s="15">
        <v>0.95241105291674188</v>
      </c>
      <c r="V7" s="90">
        <v>4.0148803043206254</v>
      </c>
      <c r="W7" s="85">
        <v>-38.360607814419353</v>
      </c>
      <c r="X7" s="13" t="s">
        <v>264</v>
      </c>
      <c r="Y7" s="11" t="s">
        <v>154</v>
      </c>
      <c r="Z7" s="14">
        <v>45900</v>
      </c>
      <c r="AA7" s="16" t="s">
        <v>282</v>
      </c>
    </row>
    <row r="8" spans="1:27">
      <c r="B8" s="11" t="s">
        <v>236</v>
      </c>
      <c r="C8" s="11" t="s">
        <v>237</v>
      </c>
      <c r="D8" s="2">
        <v>55.8</v>
      </c>
      <c r="E8" s="12" t="s">
        <v>153</v>
      </c>
      <c r="F8" s="15">
        <v>0.16488223886474151</v>
      </c>
      <c r="G8" s="15">
        <f>F8 - Portfolio_Mgmt!$C$10</f>
        <v>4.7482238864741511E-2</v>
      </c>
      <c r="H8" s="15">
        <f>F8 - Portfolio_Mgmt!$C$11</f>
        <v>0.13038223886474151</v>
      </c>
      <c r="I8" s="15">
        <v>0</v>
      </c>
      <c r="J8" s="2">
        <v>35.925415515890386</v>
      </c>
      <c r="K8" s="2">
        <v>70.234509988296864</v>
      </c>
      <c r="L8" s="85">
        <v>69.803503405373107</v>
      </c>
      <c r="M8" s="2">
        <v>49.387813192480067</v>
      </c>
      <c r="N8" s="2">
        <v>62.65005424048384</v>
      </c>
      <c r="O8" s="4">
        <v>9.5303570131671872E-2</v>
      </c>
      <c r="P8" s="4">
        <v>9.1431003584229412E-2</v>
      </c>
      <c r="Q8" s="4">
        <v>0.32755394896836565</v>
      </c>
      <c r="R8" s="4">
        <v>8.9976704126159421E-2</v>
      </c>
      <c r="S8" s="94">
        <v>1.5891874956485419</v>
      </c>
      <c r="T8" s="93">
        <v>2.2907496012759174</v>
      </c>
      <c r="U8" s="15">
        <v>0.24768740031897937</v>
      </c>
      <c r="V8" s="90">
        <v>0.73855199466278643</v>
      </c>
      <c r="W8" s="85">
        <v>-2.6744866808105301</v>
      </c>
      <c r="X8" s="13" t="s">
        <v>241</v>
      </c>
      <c r="Y8" s="11" t="s">
        <v>154</v>
      </c>
      <c r="Z8" s="14">
        <v>45808</v>
      </c>
      <c r="AA8" s="16" t="s">
        <v>281</v>
      </c>
    </row>
    <row r="9" spans="1:27">
      <c r="B9" s="11" t="s">
        <v>239</v>
      </c>
      <c r="C9" s="11" t="s">
        <v>240</v>
      </c>
      <c r="D9" s="2">
        <v>50.65</v>
      </c>
      <c r="E9" s="12" t="s">
        <v>153</v>
      </c>
      <c r="F9" s="15">
        <v>0.16139924149762863</v>
      </c>
      <c r="G9" s="15">
        <f>F9 - Portfolio_Mgmt!$C$10</f>
        <v>4.3999241497628627E-2</v>
      </c>
      <c r="H9" s="15">
        <f>F9 - Portfolio_Mgmt!$C$11</f>
        <v>0.12689924149762863</v>
      </c>
      <c r="I9" s="15">
        <v>0</v>
      </c>
      <c r="J9" s="2">
        <v>31.548853367091088</v>
      </c>
      <c r="K9" s="2">
        <v>72.989037726323929</v>
      </c>
      <c r="L9" s="85">
        <v>63.46264664962284</v>
      </c>
      <c r="M9" s="2">
        <v>44.16676904360078</v>
      </c>
      <c r="N9" s="2">
        <v>56.684687444136223</v>
      </c>
      <c r="O9" s="4">
        <v>4.5546153188747329E-2</v>
      </c>
      <c r="P9" s="4">
        <v>3.5753642642439847E-2</v>
      </c>
      <c r="Q9" s="4">
        <v>0.13507591778949038</v>
      </c>
      <c r="R9" s="4">
        <v>0.12563568222497271</v>
      </c>
      <c r="S9" s="94">
        <v>0.62432788948992113</v>
      </c>
      <c r="T9" s="93">
        <v>1.7220755031358876</v>
      </c>
      <c r="U9" s="15">
        <v>9.5579625064196368E-3</v>
      </c>
      <c r="V9" s="90">
        <v>7.3592411949940734E-2</v>
      </c>
      <c r="W9" s="85">
        <v>1.3589450968407313</v>
      </c>
      <c r="X9" s="13" t="s">
        <v>238</v>
      </c>
      <c r="Y9" s="11" t="s">
        <v>154</v>
      </c>
      <c r="Z9" s="14">
        <v>45900</v>
      </c>
      <c r="AA9" s="16" t="s">
        <v>282</v>
      </c>
    </row>
    <row r="10" spans="1:27">
      <c r="B10" s="11" t="s">
        <v>265</v>
      </c>
      <c r="C10" s="11" t="s">
        <v>274</v>
      </c>
      <c r="D10" s="2">
        <v>25.79</v>
      </c>
      <c r="E10" s="12" t="s">
        <v>263</v>
      </c>
      <c r="F10" s="15">
        <v>0.1580581060854378</v>
      </c>
      <c r="G10" s="15">
        <f>F10 - Portfolio_Mgmt!$C$10</f>
        <v>4.0658106085437795E-2</v>
      </c>
      <c r="H10" s="15">
        <f>F10 - Portfolio_Mgmt!$C$11</f>
        <v>0.1235581060854378</v>
      </c>
      <c r="I10" s="15">
        <v>0</v>
      </c>
      <c r="J10" s="2">
        <v>15.989209461106965</v>
      </c>
      <c r="K10" s="2">
        <v>36.134621832566509</v>
      </c>
      <c r="L10" s="85">
        <v>31.999534598013469</v>
      </c>
      <c r="M10" s="2">
        <v>22.32380510445234</v>
      </c>
      <c r="N10" s="2">
        <v>28.601981247202922</v>
      </c>
      <c r="O10" s="4">
        <v>9.8455502418883206E-2</v>
      </c>
      <c r="P10" s="4">
        <v>4.3427685149282663E-2</v>
      </c>
      <c r="Q10" s="4">
        <v>8.3350635997632802E-2</v>
      </c>
      <c r="R10" s="4">
        <v>0.15660042549334799</v>
      </c>
      <c r="S10" s="94">
        <v>0.29736257886212014</v>
      </c>
      <c r="T10" s="93">
        <v>1.7899036999493159</v>
      </c>
      <c r="U10" s="15">
        <v>0.40281804358844397</v>
      </c>
      <c r="V10" s="90">
        <v>3.955391512509995</v>
      </c>
      <c r="W10" s="85">
        <v>-26.938493611476797</v>
      </c>
      <c r="X10" s="16" t="s">
        <v>266</v>
      </c>
      <c r="Y10" s="11" t="s">
        <v>154</v>
      </c>
      <c r="Z10" s="14">
        <v>45900</v>
      </c>
      <c r="AA10" s="16" t="s">
        <v>282</v>
      </c>
    </row>
    <row r="11" spans="1:27">
      <c r="B11" s="11" t="s">
        <v>284</v>
      </c>
      <c r="C11" s="11" t="s">
        <v>285</v>
      </c>
      <c r="D11" s="2">
        <v>5.64</v>
      </c>
      <c r="E11" s="12" t="s">
        <v>153</v>
      </c>
      <c r="F11" s="15">
        <v>0.15172626756600405</v>
      </c>
      <c r="G11" s="15">
        <f>F11 - Portfolio_Mgmt!$C$10</f>
        <v>3.4326267566004043E-2</v>
      </c>
      <c r="H11" s="15">
        <f>F11 - Portfolio_Mgmt!$C$11</f>
        <v>0.11722626756600404</v>
      </c>
      <c r="I11" s="15">
        <v>0</v>
      </c>
      <c r="J11" s="2">
        <v>3.4769479145113666</v>
      </c>
      <c r="K11" s="2">
        <v>7.3642693066239637</v>
      </c>
      <c r="L11" s="85">
        <v>6.8641356814360206</v>
      </c>
      <c r="M11" s="2">
        <v>4.8197379854720408</v>
      </c>
      <c r="N11" s="2">
        <v>6.1469536878205542</v>
      </c>
      <c r="O11" s="4">
        <v>6.5496832330582455E-2</v>
      </c>
      <c r="P11" s="4">
        <v>6.3829787234042548E-2</v>
      </c>
      <c r="Q11" s="4">
        <v>7.0630420943605887E-2</v>
      </c>
      <c r="R11" s="4">
        <v>9.3039179367971361E-2</v>
      </c>
      <c r="S11" s="94">
        <v>0.62627525695225639</v>
      </c>
      <c r="T11" s="93">
        <v>1.2121620122817016</v>
      </c>
      <c r="U11" s="15">
        <v>1.1610019159010268E-2</v>
      </c>
      <c r="V11" s="90">
        <v>0.16381589511191816</v>
      </c>
      <c r="W11" s="85">
        <v>3.7980767021052162</v>
      </c>
      <c r="X11" s="13" t="s">
        <v>286</v>
      </c>
      <c r="Y11" s="11" t="s">
        <v>154</v>
      </c>
      <c r="Z11" s="14">
        <v>45900</v>
      </c>
      <c r="AA11" s="16" t="s">
        <v>281</v>
      </c>
    </row>
    <row r="12" spans="1:27">
      <c r="B12" s="11" t="s">
        <v>250</v>
      </c>
      <c r="C12" s="11" t="s">
        <v>251</v>
      </c>
      <c r="D12" s="2">
        <v>14.16</v>
      </c>
      <c r="E12" s="12" t="s">
        <v>153</v>
      </c>
      <c r="F12" s="15">
        <v>0.14992546121868622</v>
      </c>
      <c r="G12" s="15">
        <f>F12 - Portfolio_Mgmt!$C$10</f>
        <v>3.2525461218686214E-2</v>
      </c>
      <c r="H12" s="15">
        <f>F12 - Portfolio_Mgmt!$C$11</f>
        <v>0.11542546121868622</v>
      </c>
      <c r="I12" s="15">
        <v>0</v>
      </c>
      <c r="J12" s="2">
        <v>8.673629740920477</v>
      </c>
      <c r="K12" s="2">
        <v>18.604352969562942</v>
      </c>
      <c r="L12" s="85">
        <v>17.16796851130125</v>
      </c>
      <c r="M12" s="2">
        <v>12.039782032434532</v>
      </c>
      <c r="N12" s="2">
        <v>15.368645802121934</v>
      </c>
      <c r="O12" s="4">
        <v>0.10968132403342014</v>
      </c>
      <c r="P12" s="4">
        <v>5.9532669491525428E-2</v>
      </c>
      <c r="Q12" s="4">
        <v>0.26418096924803175</v>
      </c>
      <c r="R12" s="4">
        <v>0.11373783578225743</v>
      </c>
      <c r="S12" s="94">
        <v>0.70652858717908329</v>
      </c>
      <c r="T12" s="93">
        <v>3.2875080906148866</v>
      </c>
      <c r="U12" s="15">
        <v>1.5035598705501618</v>
      </c>
      <c r="V12" s="90">
        <v>4.1998196571663646</v>
      </c>
      <c r="W12" s="85">
        <v>-12.276561128802012</v>
      </c>
      <c r="X12" s="13" t="s">
        <v>238</v>
      </c>
      <c r="Y12" s="11" t="s">
        <v>252</v>
      </c>
      <c r="Z12" s="14">
        <v>45900</v>
      </c>
      <c r="AA12" s="16" t="s">
        <v>282</v>
      </c>
    </row>
    <row r="13" spans="1:27">
      <c r="B13" s="11" t="s">
        <v>244</v>
      </c>
      <c r="C13" s="11" t="s">
        <v>245</v>
      </c>
      <c r="D13" s="2">
        <v>3.76</v>
      </c>
      <c r="E13" s="12" t="s">
        <v>153</v>
      </c>
      <c r="F13" s="15">
        <v>0.1465876659198535</v>
      </c>
      <c r="G13" s="15">
        <f>F13 - Portfolio_Mgmt!$C$10</f>
        <v>2.91876659198535E-2</v>
      </c>
      <c r="H13" s="15">
        <f>F13 - Portfolio_Mgmt!$C$11</f>
        <v>0.1120876659198535</v>
      </c>
      <c r="I13" s="15">
        <v>0</v>
      </c>
      <c r="J13" s="2">
        <v>2.2556276815093281</v>
      </c>
      <c r="K13" s="2">
        <v>5.2246962590200807</v>
      </c>
      <c r="L13" s="2">
        <v>4.5385417708791076</v>
      </c>
      <c r="M13" s="2">
        <v>3.1582019073444916</v>
      </c>
      <c r="N13" s="2">
        <v>4.0536685441183486</v>
      </c>
      <c r="O13" s="4">
        <v>7.5521951437150139E-2</v>
      </c>
      <c r="P13" s="4">
        <v>3.4042553191489362E-2</v>
      </c>
      <c r="Q13" s="4">
        <v>0.10112859174992994</v>
      </c>
      <c r="R13" s="4">
        <v>5.8835781303360896E-2</v>
      </c>
      <c r="S13" s="94">
        <v>1.2277297326073906</v>
      </c>
      <c r="T13" s="93">
        <v>1.4000052396569989</v>
      </c>
      <c r="U13" s="15">
        <v>0.10646655543311496</v>
      </c>
      <c r="V13" s="90">
        <v>0.9804830051022897</v>
      </c>
      <c r="W13" s="85">
        <v>1.6698226477450393</v>
      </c>
      <c r="X13" s="13" t="s">
        <v>246</v>
      </c>
      <c r="Y13" s="11" t="s">
        <v>154</v>
      </c>
      <c r="Z13" s="14">
        <v>45808</v>
      </c>
      <c r="AA13" s="16" t="s">
        <v>281</v>
      </c>
    </row>
    <row r="14" spans="1:27">
      <c r="B14" s="11" t="s">
        <v>242</v>
      </c>
      <c r="C14" s="11" t="s">
        <v>243</v>
      </c>
      <c r="D14" s="2">
        <v>7</v>
      </c>
      <c r="E14" s="12" t="s">
        <v>153</v>
      </c>
      <c r="F14" s="15">
        <v>0.13626554530769597</v>
      </c>
      <c r="G14" s="15">
        <f>F14 - Portfolio_Mgmt!$C$10</f>
        <v>1.8865545307695963E-2</v>
      </c>
      <c r="H14" s="15">
        <f>F14 - Portfolio_Mgmt!$C$11</f>
        <v>0.10176554530769596</v>
      </c>
      <c r="I14" s="15">
        <v>0</v>
      </c>
      <c r="J14" s="2">
        <v>4.1425095190074117</v>
      </c>
      <c r="K14" s="2">
        <v>8.9060030795384737</v>
      </c>
      <c r="L14" s="2">
        <v>8.2033288760043543</v>
      </c>
      <c r="M14" s="2">
        <v>5.7516264485219777</v>
      </c>
      <c r="N14" s="2">
        <v>7.3430724473298525</v>
      </c>
      <c r="O14" s="4">
        <v>0.11258687777660091</v>
      </c>
      <c r="P14" s="4">
        <v>5.6820794194798581E-2</v>
      </c>
      <c r="Q14" s="4">
        <v>0.12477871842229639</v>
      </c>
      <c r="R14" s="4">
        <v>7.7304831872868032E-2</v>
      </c>
      <c r="S14" s="94">
        <v>1.0025080757150273</v>
      </c>
      <c r="T14" s="93">
        <v>1.6100746083165727</v>
      </c>
      <c r="U14" s="15">
        <v>0.16360901428944893</v>
      </c>
      <c r="V14" s="90">
        <v>1.1309485990394448</v>
      </c>
      <c r="W14" s="85">
        <v>-3.8795591320307818</v>
      </c>
      <c r="X14" s="13" t="s">
        <v>218</v>
      </c>
      <c r="Y14" s="11" t="s">
        <v>154</v>
      </c>
      <c r="Z14" s="14">
        <v>45900</v>
      </c>
      <c r="AA14" s="16" t="s">
        <v>281</v>
      </c>
    </row>
    <row r="15" spans="1:27">
      <c r="B15" s="11" t="s">
        <v>155</v>
      </c>
      <c r="C15" s="11" t="s">
        <v>233</v>
      </c>
      <c r="D15" s="2">
        <v>8.3000000000000007</v>
      </c>
      <c r="E15" s="12" t="s">
        <v>153</v>
      </c>
      <c r="F15" s="15">
        <v>0.10830485636224174</v>
      </c>
      <c r="G15" s="15">
        <f>F15 - Portfolio_Mgmt!$C$10</f>
        <v>-9.0951436377582628E-3</v>
      </c>
      <c r="H15" s="15">
        <f>F15 - Portfolio_Mgmt!$C$11</f>
        <v>7.3804856362241739E-2</v>
      </c>
      <c r="I15" s="15">
        <v>0</v>
      </c>
      <c r="J15" s="2">
        <v>4.6237469150396135</v>
      </c>
      <c r="K15" s="2">
        <v>9.3641570609339322</v>
      </c>
      <c r="L15" s="2">
        <v>9.0460821298724845</v>
      </c>
      <c r="M15" s="2">
        <v>6.3792496771334868</v>
      </c>
      <c r="N15" s="2">
        <v>8.1111667082917602</v>
      </c>
      <c r="O15" s="4">
        <v>3.721667132316446E-2</v>
      </c>
      <c r="P15" s="4">
        <v>6.9879518072289148E-2</v>
      </c>
      <c r="Q15" s="4">
        <v>2.0056091670558843E-2</v>
      </c>
      <c r="R15" s="4">
        <v>0.38237459335905039</v>
      </c>
      <c r="S15" s="94">
        <v>4.8426484563194767E-2</v>
      </c>
      <c r="T15" s="93">
        <v>1.0831144117242246</v>
      </c>
      <c r="U15" s="15">
        <v>1.8509098960546238E-2</v>
      </c>
      <c r="V15" s="90">
        <v>1.1933697905849452</v>
      </c>
      <c r="W15" s="85">
        <v>11.511512740854835</v>
      </c>
      <c r="X15" s="13" t="s">
        <v>235</v>
      </c>
      <c r="Y15" s="11" t="s">
        <v>234</v>
      </c>
      <c r="Z15" s="14">
        <v>45900</v>
      </c>
      <c r="AA15" s="16" t="s">
        <v>281</v>
      </c>
    </row>
    <row r="16" spans="1:27">
      <c r="B16" s="11" t="s">
        <v>247</v>
      </c>
      <c r="C16" s="11" t="s">
        <v>248</v>
      </c>
      <c r="D16" s="2">
        <v>21.1</v>
      </c>
      <c r="E16" s="12" t="s">
        <v>153</v>
      </c>
      <c r="F16" s="15">
        <v>7.717272420633603E-2</v>
      </c>
      <c r="G16" s="15">
        <f>F16 - Portfolio_Mgmt!$C$10</f>
        <v>-4.0227275793663975E-2</v>
      </c>
      <c r="H16" s="15">
        <f>F16 - Portfolio_Mgmt!$C$11</f>
        <v>4.2672724206336027E-2</v>
      </c>
      <c r="I16" s="15">
        <v>0</v>
      </c>
      <c r="J16" s="2">
        <v>10.846357673848024</v>
      </c>
      <c r="K16" s="2">
        <v>21.968758226348868</v>
      </c>
      <c r="L16" s="2">
        <v>21.220699139526428</v>
      </c>
      <c r="M16" s="2">
        <v>14.964572530067358</v>
      </c>
      <c r="N16" s="2">
        <v>19.027476031641555</v>
      </c>
      <c r="O16" s="4">
        <v>8.1895072008039305E-2</v>
      </c>
      <c r="P16" s="4">
        <v>6.4454976303317535E-2</v>
      </c>
      <c r="Q16" s="4">
        <v>0.10515362778966494</v>
      </c>
      <c r="R16" s="4">
        <v>0.11295218450174714</v>
      </c>
      <c r="S16" s="94">
        <v>0.71055479556740742</v>
      </c>
      <c r="T16" s="93">
        <v>1.3101832741522048</v>
      </c>
      <c r="U16" s="15">
        <v>0.15818859882129041</v>
      </c>
      <c r="V16" s="90">
        <v>1.4550387206421544</v>
      </c>
      <c r="W16" s="85">
        <v>5.8696003638854428</v>
      </c>
      <c r="X16" s="13" t="s">
        <v>246</v>
      </c>
      <c r="Y16" s="11" t="s">
        <v>154</v>
      </c>
      <c r="Z16" s="14">
        <v>45808</v>
      </c>
      <c r="AA16" s="16" t="s">
        <v>281</v>
      </c>
    </row>
    <row r="17" spans="2:27">
      <c r="B17" s="11" t="s">
        <v>259</v>
      </c>
      <c r="C17" s="11" t="s">
        <v>260</v>
      </c>
      <c r="D17" s="2">
        <v>2.85</v>
      </c>
      <c r="E17" s="12" t="s">
        <v>153</v>
      </c>
      <c r="F17" s="15">
        <v>3.7660568177665388E-2</v>
      </c>
      <c r="G17" s="15">
        <f>F17 - Portfolio_Mgmt!$C$10</f>
        <v>-7.9739431822334617E-2</v>
      </c>
      <c r="H17" s="15">
        <f>F17 - Portfolio_Mgmt!$C$11</f>
        <v>3.1605681776653849E-3</v>
      </c>
      <c r="I17" s="15">
        <v>0</v>
      </c>
      <c r="J17" s="2">
        <v>1.2944444492305225</v>
      </c>
      <c r="K17" s="2">
        <v>2.8367655336578039</v>
      </c>
      <c r="L17" s="2">
        <v>2.5736564254802947</v>
      </c>
      <c r="M17" s="2">
        <v>1.8010449981708196</v>
      </c>
      <c r="N17" s="2">
        <v>2.3024844118623693</v>
      </c>
      <c r="O17" s="4">
        <v>2.9545458676217266E-2</v>
      </c>
      <c r="P17" s="4">
        <v>3.9151600918027371E-2</v>
      </c>
      <c r="Q17" s="4">
        <v>4.334330007172759E-2</v>
      </c>
      <c r="R17" s="4">
        <v>8.412822268238776E-2</v>
      </c>
      <c r="S17" s="94">
        <v>0.42808280043619051</v>
      </c>
      <c r="T17" s="93">
        <v>1.2035176992971439</v>
      </c>
      <c r="U17" s="15">
        <v>1.0763175939415467E-2</v>
      </c>
      <c r="V17" s="90">
        <v>0.29882156160837919</v>
      </c>
      <c r="W17" s="85">
        <v>1.9119559782289508</v>
      </c>
      <c r="X17" s="13" t="s">
        <v>261</v>
      </c>
      <c r="Y17" s="11" t="s">
        <v>255</v>
      </c>
      <c r="Z17" s="14">
        <v>45900</v>
      </c>
      <c r="AA17" s="11" t="s">
        <v>281</v>
      </c>
    </row>
    <row r="18" spans="2:27">
      <c r="B18" s="11" t="s">
        <v>230</v>
      </c>
      <c r="C18" s="11" t="s">
        <v>253</v>
      </c>
      <c r="D18" s="2">
        <v>2.0699999999999998</v>
      </c>
      <c r="E18" s="12" t="s">
        <v>153</v>
      </c>
      <c r="F18" s="15">
        <v>6.8929809946252085E-3</v>
      </c>
      <c r="G18" s="15">
        <f>F18 - Portfolio_Mgmt!$C$10</f>
        <v>-0.1105070190053748</v>
      </c>
      <c r="H18" s="15">
        <f>F18 - Portfolio_Mgmt!$C$11</f>
        <v>-2.7607019005374794E-2</v>
      </c>
      <c r="I18" s="15">
        <v>0</v>
      </c>
      <c r="J18" s="2">
        <v>0.82648230361166808</v>
      </c>
      <c r="K18" s="2">
        <v>2.1131011468081908</v>
      </c>
      <c r="L18" s="2">
        <v>1.7009631025661165</v>
      </c>
      <c r="M18" s="2">
        <v>1.1711712249606363</v>
      </c>
      <c r="N18" s="2">
        <v>1.514587208466269</v>
      </c>
      <c r="O18" s="4">
        <v>4.6317179925299112E-3</v>
      </c>
      <c r="P18" s="4">
        <v>0</v>
      </c>
      <c r="Q18" s="4">
        <v>3.7288355461672987E-3</v>
      </c>
      <c r="R18" s="4">
        <v>2.8327145387125552E-2</v>
      </c>
      <c r="S18" s="94">
        <v>0.11998888979909481</v>
      </c>
      <c r="T18" s="93">
        <v>1.0970574812713703</v>
      </c>
      <c r="U18" s="15">
        <v>1.4790654865358754E-2</v>
      </c>
      <c r="V18" s="90">
        <v>3.4432102574884196</v>
      </c>
      <c r="W18" s="85">
        <v>2.0258239687205015</v>
      </c>
      <c r="X18" s="13" t="s">
        <v>254</v>
      </c>
      <c r="Y18" s="11" t="s">
        <v>255</v>
      </c>
      <c r="Z18" s="14">
        <v>45900</v>
      </c>
      <c r="AA18" s="11" t="s">
        <v>281</v>
      </c>
    </row>
    <row r="19" spans="2:27">
      <c r="B19" s="11" t="s">
        <v>294</v>
      </c>
      <c r="C19" s="11" t="s">
        <v>295</v>
      </c>
      <c r="D19" s="2">
        <v>47.6</v>
      </c>
      <c r="E19" s="12" t="s">
        <v>153</v>
      </c>
      <c r="F19" s="15">
        <v>-7.9180969336304363E-2</v>
      </c>
      <c r="G19" s="15">
        <f>F19 - Portfolio_Mgmt!$C$10</f>
        <v>-0.19658096933630437</v>
      </c>
      <c r="H19" s="15">
        <f>F19 - Portfolio_Mgmt!$C$11</f>
        <v>-0.11368096933630437</v>
      </c>
      <c r="I19" s="15">
        <v>0</v>
      </c>
      <c r="J19" s="2">
        <v>15.389927198904168</v>
      </c>
      <c r="K19" s="2">
        <v>33.047848014072677</v>
      </c>
      <c r="L19" s="2">
        <v>30.46890066324962</v>
      </c>
      <c r="M19" s="2">
        <v>21.365246731530732</v>
      </c>
      <c r="N19" s="2">
        <v>27.274655074840922</v>
      </c>
      <c r="O19" s="4">
        <v>5.1600389812170917E-2</v>
      </c>
      <c r="P19" s="4">
        <v>3.1237107218487398E-2</v>
      </c>
      <c r="Q19" s="4">
        <v>0.21039827332068567</v>
      </c>
      <c r="R19" s="4">
        <v>0.21042753223383909</v>
      </c>
      <c r="S19" s="94">
        <v>0.51682300464832642</v>
      </c>
      <c r="T19" s="93">
        <v>1.9346293526540752</v>
      </c>
      <c r="U19" s="15">
        <v>0.19606600851240996</v>
      </c>
      <c r="V19" s="90">
        <v>0.84886197155458731</v>
      </c>
      <c r="W19" s="85">
        <v>-5.8921637019123594</v>
      </c>
      <c r="X19" s="13" t="s">
        <v>261</v>
      </c>
      <c r="Y19" s="11" t="s">
        <v>154</v>
      </c>
      <c r="Z19" s="14">
        <v>45900</v>
      </c>
      <c r="AA19" s="11" t="s">
        <v>281</v>
      </c>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4.41E-2</v>
      </c>
      <c r="D4" s="34">
        <v>7.4999999999999997E-2</v>
      </c>
      <c r="E4" s="35">
        <f>D4-C4</f>
        <v>3.0899999999999997E-2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6"/>
  <sheetViews>
    <sheetView showGridLines="0" tabSelected="1" zoomScaleNormal="100" workbookViewId="0">
      <selection activeCell="K8" sqref="K8"/>
    </sheetView>
  </sheetViews>
  <sheetFormatPr defaultColWidth="9" defaultRowHeight="12.75"/>
  <cols>
    <col min="1" max="1" width="2.6640625" style="64" customWidth="1"/>
    <col min="2" max="2" width="17.33203125" style="64" bestFit="1" customWidth="1"/>
    <col min="3" max="3" width="13.796875" style="64" bestFit="1" customWidth="1"/>
    <col min="4" max="4" width="9" style="64"/>
    <col min="5" max="6" width="15.6640625" style="64" customWidth="1"/>
    <col min="7" max="8" width="10" style="64" customWidth="1"/>
    <col min="9" max="16384" width="9" style="64"/>
  </cols>
  <sheetData>
    <row r="1" spans="1:12" ht="13.15">
      <c r="A1" s="62"/>
      <c r="B1" s="63" t="s">
        <v>210</v>
      </c>
    </row>
    <row r="2" spans="1:12" ht="29.75" customHeight="1">
      <c r="B2" s="65" t="s">
        <v>2</v>
      </c>
      <c r="C2" s="65" t="s">
        <v>213</v>
      </c>
      <c r="D2" s="65" t="s">
        <v>212</v>
      </c>
      <c r="E2" s="65" t="s">
        <v>211</v>
      </c>
      <c r="F2" s="65" t="s">
        <v>216</v>
      </c>
      <c r="G2" s="65" t="s">
        <v>223</v>
      </c>
      <c r="H2" s="65" t="s">
        <v>198</v>
      </c>
      <c r="I2" s="65" t="s">
        <v>228</v>
      </c>
      <c r="J2" s="65" t="s">
        <v>290</v>
      </c>
      <c r="K2" s="65" t="s">
        <v>291</v>
      </c>
      <c r="L2" s="65" t="s">
        <v>292</v>
      </c>
    </row>
    <row r="3" spans="1:12">
      <c r="B3" s="76" t="s">
        <v>27</v>
      </c>
      <c r="C3" s="74" t="s">
        <v>215</v>
      </c>
      <c r="D3" s="73" t="s">
        <v>214</v>
      </c>
      <c r="E3" s="75" t="s">
        <v>215</v>
      </c>
      <c r="F3" s="70">
        <f>261699.08+56485.43</f>
        <v>318184.51</v>
      </c>
      <c r="G3" s="72">
        <f>F3/$F$11</f>
        <v>0.34274399920779408</v>
      </c>
      <c r="H3" s="89">
        <f>Portfolio_Mgmt!E61</f>
        <v>0.3</v>
      </c>
      <c r="I3" s="95" t="s">
        <v>293</v>
      </c>
      <c r="J3" s="95" t="s">
        <v>293</v>
      </c>
      <c r="K3" s="95" t="s">
        <v>293</v>
      </c>
      <c r="L3" s="95" t="s">
        <v>293</v>
      </c>
    </row>
    <row r="4" spans="1:12">
      <c r="B4" s="77" t="s">
        <v>242</v>
      </c>
      <c r="C4" s="74">
        <f>VLOOKUP(B4,Opportunities!B$3:E$30,3,FALSE)</f>
        <v>7</v>
      </c>
      <c r="D4" s="73" t="str">
        <f>VLOOKUP(B4,Opportunities!B$3:E$30,4,FALSE)</f>
        <v>HKD</v>
      </c>
      <c r="E4" s="70">
        <v>10000</v>
      </c>
      <c r="F4" s="75">
        <f>E4*C4</f>
        <v>70000</v>
      </c>
      <c r="G4" s="72">
        <f>F4/$F$11</f>
        <v>7.5403041915980087E-2</v>
      </c>
      <c r="H4" s="72">
        <f>VLOOKUP(B4,Opportunities!B$3:I$30,8,FALSE)</f>
        <v>0</v>
      </c>
      <c r="I4" s="96">
        <f>VLOOKUP(B4,Opportunities!B$3:N$30,12,FALSE)</f>
        <v>5.7516264485219777</v>
      </c>
      <c r="J4" s="96">
        <f>VLOOKUP(B4,Opportunities!B$3:N$30,9,FALSE)</f>
        <v>4.1425095190074117</v>
      </c>
      <c r="K4" s="96">
        <f>VLOOKUP(B4,Opportunities!B$3:N$30,11,FALSE)</f>
        <v>8.2033288760043543</v>
      </c>
      <c r="L4" s="96">
        <f>VLOOKUP(B4,Opportunities!B$3:N$30,13,FALSE)</f>
        <v>7.3430724473298525</v>
      </c>
    </row>
    <row r="5" spans="1:12">
      <c r="B5" s="77" t="s">
        <v>219</v>
      </c>
      <c r="C5" s="74">
        <f>VLOOKUP(B5,Opportunities!B$3:E$30,3,FALSE)</f>
        <v>15.34</v>
      </c>
      <c r="D5" s="73" t="str">
        <f>VLOOKUP(B5,Opportunities!B$3:E$30,4,FALSE)</f>
        <v>HKD</v>
      </c>
      <c r="E5" s="70">
        <v>9000</v>
      </c>
      <c r="F5" s="75">
        <f>C5*E5</f>
        <v>138060</v>
      </c>
      <c r="G5" s="72">
        <f>F5/$F$11</f>
        <v>0.14871634238457446</v>
      </c>
      <c r="H5" s="72">
        <f>VLOOKUP(B5,Opportunities!B$3:I$30,8,FALSE)</f>
        <v>0.1174923965586554</v>
      </c>
      <c r="I5" s="96">
        <f>VLOOKUP(B5,Opportunities!B$3:N$30,12,FALSE)</f>
        <v>15.182840115395532</v>
      </c>
      <c r="J5" s="96">
        <f>VLOOKUP(B5,Opportunities!B$3:N$30,9,FALSE)</f>
        <v>10.815599169312769</v>
      </c>
      <c r="K5" s="96">
        <f>VLOOKUP(B5,Opportunities!B$3:N$30,11,FALSE)</f>
        <v>21.869291517229851</v>
      </c>
      <c r="L5" s="96">
        <f>VLOOKUP(B5,Opportunities!B$3:N$30,13,FALSE)</f>
        <v>19.519758327401224</v>
      </c>
    </row>
    <row r="6" spans="1:12">
      <c r="B6" s="77" t="s">
        <v>267</v>
      </c>
      <c r="C6" s="74">
        <f>VLOOKUP(B6,Opportunities!B$3:E$30,3,FALSE)</f>
        <v>18.2</v>
      </c>
      <c r="D6" s="73" t="str">
        <f>VLOOKUP(B6,Opportunities!B$3:E$30,4,FALSE)</f>
        <v>HKD</v>
      </c>
      <c r="E6" s="70">
        <v>8000</v>
      </c>
      <c r="F6" s="75">
        <f>C6*E6</f>
        <v>145600</v>
      </c>
      <c r="G6" s="72">
        <f>F6/$F$11</f>
        <v>0.1568383271852386</v>
      </c>
      <c r="H6" s="72">
        <f>VLOOKUP(B6,Opportunities!B$3:I$30,8,FALSE)</f>
        <v>0.18015144156959984</v>
      </c>
      <c r="I6" s="96">
        <f>VLOOKUP(B6,Opportunities!B$3:N$30,12,FALSE)</f>
        <v>18.337300584497786</v>
      </c>
      <c r="J6" s="96">
        <f>VLOOKUP(B6,Opportunities!B$3:N$30,9,FALSE)</f>
        <v>13.205422300699611</v>
      </c>
      <c r="K6" s="96">
        <f>VLOOKUP(B6,Opportunities!B$3:N$30,11,FALSE)</f>
        <v>26.156856530881274</v>
      </c>
      <c r="L6" s="96">
        <f>VLOOKUP(B6,Opportunities!B$3:N$30,13,FALSE)</f>
        <v>23.413072782636526</v>
      </c>
    </row>
    <row r="7" spans="1:12">
      <c r="B7" s="77" t="s">
        <v>256</v>
      </c>
      <c r="C7" s="74">
        <f>VLOOKUP(B7,Opportunities!B$3:E$30,3,FALSE)</f>
        <v>1.99</v>
      </c>
      <c r="D7" s="73" t="str">
        <f>VLOOKUP(B7,Opportunities!B$3:E$30,4,FALSE)</f>
        <v>HKD</v>
      </c>
      <c r="E7" s="70">
        <f>2000*30</f>
        <v>60000</v>
      </c>
      <c r="F7" s="75">
        <f>C7*E7</f>
        <v>119400</v>
      </c>
      <c r="G7" s="72">
        <f>F7/$F$11</f>
        <v>0.12861604578240032</v>
      </c>
      <c r="H7" s="72">
        <f>VLOOKUP(B7,Opportunities!B$3:I$30,8,FALSE)</f>
        <v>0.18026077629450138</v>
      </c>
      <c r="I7" s="96">
        <f>VLOOKUP(B7,Opportunities!B$3:N$30,12,FALSE)</f>
        <v>2.0059433277310297</v>
      </c>
      <c r="J7" s="96">
        <f>VLOOKUP(B7,Opportunities!B$3:N$30,9,FALSE)</f>
        <v>1.4344998625246426</v>
      </c>
      <c r="K7" s="96">
        <f>VLOOKUP(B7,Opportunities!B$3:N$30,11,FALSE)</f>
        <v>2.8793876964252627</v>
      </c>
      <c r="L7" s="96">
        <f>VLOOKUP(B7,Opportunities!B$3:N$30,13,FALSE)</f>
        <v>2.5726225898672386</v>
      </c>
    </row>
    <row r="8" spans="1:12">
      <c r="B8" s="77" t="s">
        <v>284</v>
      </c>
      <c r="C8" s="74">
        <f>VLOOKUP(B8,Opportunities!B$3:E$30,3,FALSE)</f>
        <v>5.64</v>
      </c>
      <c r="D8" s="73" t="str">
        <f>VLOOKUP(B8,Opportunities!B$3:E$30,4,FALSE)</f>
        <v>HKD</v>
      </c>
      <c r="E8" s="70">
        <v>10000</v>
      </c>
      <c r="F8" s="75">
        <f>C8*E8</f>
        <v>56400</v>
      </c>
      <c r="G8" s="72">
        <f t="shared" ref="G8" si="0">F8/$F$11</f>
        <v>6.0753308058018242E-2</v>
      </c>
      <c r="H8" s="72">
        <f>VLOOKUP(B8,Opportunities!B$3:I$30,8,FALSE)</f>
        <v>0</v>
      </c>
      <c r="I8" s="96">
        <f>VLOOKUP(B8,Opportunities!B$3:N$30,12,FALSE)</f>
        <v>4.8197379854720408</v>
      </c>
      <c r="J8" s="96">
        <f>VLOOKUP(B8,Opportunities!B$3:N$30,9,FALSE)</f>
        <v>3.4769479145113666</v>
      </c>
      <c r="K8" s="96">
        <f>VLOOKUP(B8,Opportunities!B$3:N$30,11,FALSE)</f>
        <v>6.8641356814360206</v>
      </c>
      <c r="L8" s="96">
        <f>VLOOKUP(B8,Opportunities!B$3:N$30,13,FALSE)</f>
        <v>6.1469536878205542</v>
      </c>
    </row>
    <row r="9" spans="1:12">
      <c r="B9" s="77" t="s">
        <v>287</v>
      </c>
      <c r="C9" s="74">
        <f>VLOOKUP(B9,Opportunities!B$3:E$30,3,FALSE)</f>
        <v>2.69</v>
      </c>
      <c r="D9" s="73" t="str">
        <f>VLOOKUP(B9,Opportunities!B$3:E$30,4,FALSE)</f>
        <v>HKD</v>
      </c>
      <c r="E9" s="70">
        <v>30000</v>
      </c>
      <c r="F9" s="75">
        <f>C9*E9</f>
        <v>80700</v>
      </c>
      <c r="G9" s="72">
        <f t="shared" ref="G9" si="1">F9/$F$11</f>
        <v>8.6928935465994187E-2</v>
      </c>
      <c r="H9" s="72">
        <f>VLOOKUP(B9,Opportunities!B$3:I$30,8,FALSE)</f>
        <v>0.22209538557724331</v>
      </c>
      <c r="I9" s="96">
        <f>VLOOKUP(B9,Opportunities!B$3:N$30,12,FALSE)</f>
        <v>3.039853505232323</v>
      </c>
      <c r="J9" s="96">
        <f>VLOOKUP(B9,Opportunities!B$3:N$30,9,FALSE)</f>
        <v>2.2019752270440667</v>
      </c>
      <c r="K9" s="96">
        <f>VLOOKUP(B9,Opportunities!B$3:N$30,11,FALSE)</f>
        <v>4.3130669791905083</v>
      </c>
      <c r="L9" s="96">
        <f>VLOOKUP(B9,Opportunities!B$3:N$30,13,FALSE)</f>
        <v>3.8666759160925035</v>
      </c>
    </row>
    <row r="10" spans="1:12">
      <c r="B10" s="66"/>
      <c r="C10" s="69"/>
      <c r="D10" s="66"/>
      <c r="H10" s="88"/>
    </row>
    <row r="11" spans="1:12" ht="13.15">
      <c r="B11" s="78"/>
      <c r="C11" s="79"/>
      <c r="D11" s="78"/>
      <c r="E11" s="80" t="s">
        <v>222</v>
      </c>
      <c r="F11" s="80">
        <f>SUM(F3:F9)</f>
        <v>928344.51</v>
      </c>
      <c r="G11" s="81">
        <f>SUM(G3:G9)</f>
        <v>1</v>
      </c>
      <c r="H11" s="87">
        <f>SUM(H3:H9)</f>
        <v>0.99999999999999989</v>
      </c>
      <c r="I11" s="97" t="s">
        <v>293</v>
      </c>
      <c r="J11" s="97" t="s">
        <v>293</v>
      </c>
      <c r="K11" s="97" t="s">
        <v>293</v>
      </c>
      <c r="L11" s="97" t="s">
        <v>293</v>
      </c>
    </row>
    <row r="12" spans="1:12">
      <c r="B12" s="66"/>
      <c r="C12" s="69"/>
      <c r="D12" s="66"/>
      <c r="E12" s="70"/>
      <c r="F12" s="70"/>
    </row>
    <row r="13" spans="1:12" ht="13.15">
      <c r="A13" s="62"/>
      <c r="B13" s="63" t="s">
        <v>220</v>
      </c>
    </row>
    <row r="14" spans="1:12">
      <c r="B14" s="77" t="s">
        <v>287</v>
      </c>
      <c r="C14" s="74">
        <f>VLOOKUP(B14,Opportunities!B$3:E$30,3,FALSE)</f>
        <v>2.69</v>
      </c>
      <c r="D14" s="73" t="str">
        <f>VLOOKUP(B14,Opportunities!B$3:E$30,4,FALSE)</f>
        <v>HKD</v>
      </c>
      <c r="E14" s="70">
        <v>0</v>
      </c>
      <c r="F14" s="75">
        <f>-C14*E14</f>
        <v>0</v>
      </c>
      <c r="G14" s="72">
        <f>-F14/$F$11</f>
        <v>0</v>
      </c>
      <c r="H14" s="72">
        <f>VLOOKUP(B14,Opportunities!B$3:I$30,8,FALSE)</f>
        <v>0.22209538557724331</v>
      </c>
      <c r="I14" s="96">
        <f>VLOOKUP(B14,Opportunities!B$3:N$30,12,FALSE)</f>
        <v>3.039853505232323</v>
      </c>
      <c r="J14" s="96">
        <f>VLOOKUP(B14,Opportunities!B$3:N$30,9,FALSE)</f>
        <v>2.2019752270440667</v>
      </c>
      <c r="K14" s="96">
        <f>VLOOKUP(B14,Opportunities!B$3:N$30,11,FALSE)</f>
        <v>4.3130669791905083</v>
      </c>
      <c r="L14" s="96">
        <f>VLOOKUP(B14,Opportunities!B$3:N$30,13,FALSE)</f>
        <v>3.8666759160925035</v>
      </c>
    </row>
    <row r="15" spans="1:12">
      <c r="B15" s="77" t="s">
        <v>242</v>
      </c>
      <c r="C15" s="74">
        <f>VLOOKUP(B15,Opportunities!B$3:E$30,3,FALSE)</f>
        <v>7</v>
      </c>
      <c r="D15" s="73" t="str">
        <f>VLOOKUP(B15,Opportunities!B$3:E$30,4,FALSE)</f>
        <v>HKD</v>
      </c>
      <c r="E15" s="70">
        <v>0</v>
      </c>
      <c r="F15" s="75">
        <f>-C15*E15</f>
        <v>0</v>
      </c>
      <c r="G15" s="72">
        <f>-F15/$F$11</f>
        <v>0</v>
      </c>
      <c r="H15" s="72">
        <f>VLOOKUP(B15,Opportunities!B$3:I$30,8,FALSE)</f>
        <v>0</v>
      </c>
      <c r="I15" s="96">
        <f>VLOOKUP(B15,Opportunities!B$3:N$30,12,FALSE)</f>
        <v>5.7516264485219777</v>
      </c>
      <c r="J15" s="96">
        <f>VLOOKUP(B15,Opportunities!B$3:N$30,9,FALSE)</f>
        <v>4.1425095190074117</v>
      </c>
      <c r="K15" s="96">
        <f>VLOOKUP(B15,Opportunities!B$3:N$30,11,FALSE)</f>
        <v>8.2033288760043543</v>
      </c>
      <c r="L15" s="96">
        <f>VLOOKUP(B15,Opportunities!B$3:N$30,13,FALSE)</f>
        <v>7.3430724473298525</v>
      </c>
    </row>
    <row r="16" spans="1:12">
      <c r="B16" s="77" t="s">
        <v>284</v>
      </c>
      <c r="C16" s="74">
        <f>VLOOKUP(B16,Opportunities!B$3:E$30,3,FALSE)</f>
        <v>5.64</v>
      </c>
      <c r="D16" s="73" t="str">
        <f>VLOOKUP(B16,Opportunities!B$3:E$30,4,FALSE)</f>
        <v>HKD</v>
      </c>
      <c r="E16" s="70">
        <v>0</v>
      </c>
      <c r="F16" s="75">
        <f>-C16*E16</f>
        <v>0</v>
      </c>
      <c r="G16" s="72">
        <f>-F16/$F$11</f>
        <v>0</v>
      </c>
      <c r="H16" s="72">
        <f>VLOOKUP(B16,Opportunities!B$3:I$30,8,FALSE)</f>
        <v>0</v>
      </c>
      <c r="I16" s="96">
        <f>VLOOKUP(B16,Opportunities!B$3:N$30,12,FALSE)</f>
        <v>4.8197379854720408</v>
      </c>
      <c r="J16" s="96">
        <f>VLOOKUP(B16,Opportunities!B$3:N$30,9,FALSE)</f>
        <v>3.4769479145113666</v>
      </c>
      <c r="K16" s="96">
        <f>VLOOKUP(B16,Opportunities!B$3:N$30,11,FALSE)</f>
        <v>6.8641356814360206</v>
      </c>
      <c r="L16" s="96">
        <f>VLOOKUP(B16,Opportunities!B$3:N$30,13,FALSE)</f>
        <v>6.1469536878205542</v>
      </c>
    </row>
    <row r="17" spans="1:12">
      <c r="B17" s="77" t="s">
        <v>267</v>
      </c>
      <c r="C17" s="74">
        <f>VLOOKUP(B17,Opportunities!B$3:E$30,3,FALSE)</f>
        <v>18.2</v>
      </c>
      <c r="D17" s="73" t="str">
        <f>VLOOKUP(B17,Opportunities!B$3:E$30,4,FALSE)</f>
        <v>HKD</v>
      </c>
      <c r="E17" s="70">
        <v>0</v>
      </c>
      <c r="F17" s="75">
        <f>-C17*E17</f>
        <v>0</v>
      </c>
      <c r="G17" s="72">
        <f>-F17/$F$11</f>
        <v>0</v>
      </c>
      <c r="H17" s="72">
        <f>VLOOKUP(B17,Opportunities!B$3:I$30,8,FALSE)</f>
        <v>0.18015144156959984</v>
      </c>
      <c r="I17" s="96">
        <f>VLOOKUP(B17,Opportunities!B$3:N$30,12,FALSE)</f>
        <v>18.337300584497786</v>
      </c>
      <c r="J17" s="96">
        <f>VLOOKUP(B17,Opportunities!B$3:N$30,9,FALSE)</f>
        <v>13.205422300699611</v>
      </c>
      <c r="K17" s="96">
        <f>VLOOKUP(B17,Opportunities!B$3:N$30,11,FALSE)</f>
        <v>26.156856530881274</v>
      </c>
      <c r="L17" s="96">
        <f>VLOOKUP(B17,Opportunities!B$3:N$30,13,FALSE)</f>
        <v>23.413072782636526</v>
      </c>
    </row>
    <row r="18" spans="1:12">
      <c r="G18" s="86"/>
      <c r="H18" s="86"/>
    </row>
    <row r="19" spans="1:12" ht="13.15">
      <c r="B19" s="82" t="s">
        <v>221</v>
      </c>
      <c r="C19" s="83" t="s">
        <v>215</v>
      </c>
      <c r="D19" s="84" t="s">
        <v>153</v>
      </c>
      <c r="E19" s="83" t="s">
        <v>215</v>
      </c>
      <c r="F19" s="80">
        <f>F3+SUM(F14:F17)</f>
        <v>318184.51</v>
      </c>
      <c r="G19" s="87">
        <f t="shared" ref="G19" si="2">F19/$F$11</f>
        <v>0.34274399920779408</v>
      </c>
      <c r="H19" s="87">
        <f>Portfolio_Mgmt!E61</f>
        <v>0.3</v>
      </c>
      <c r="I19" s="97" t="s">
        <v>293</v>
      </c>
      <c r="J19" s="97" t="s">
        <v>293</v>
      </c>
      <c r="K19" s="97" t="s">
        <v>293</v>
      </c>
      <c r="L19" s="97" t="s">
        <v>293</v>
      </c>
    </row>
    <row r="21" spans="1:12" ht="13.15">
      <c r="A21" s="62"/>
      <c r="B21" s="63" t="s">
        <v>296</v>
      </c>
      <c r="C21" s="69"/>
      <c r="D21" s="66"/>
      <c r="E21" s="70"/>
      <c r="F21" s="70"/>
    </row>
    <row r="22" spans="1:12" ht="13.15">
      <c r="C22" s="99" t="s">
        <v>297</v>
      </c>
      <c r="D22" s="99" t="s">
        <v>300</v>
      </c>
      <c r="E22" s="99" t="s">
        <v>301</v>
      </c>
    </row>
    <row r="23" spans="1:12" ht="14.25">
      <c r="B23" s="98" t="s">
        <v>298</v>
      </c>
      <c r="C23" s="103">
        <v>200000</v>
      </c>
      <c r="D23" s="104">
        <v>7.8629699999999998</v>
      </c>
      <c r="E23" s="101">
        <f>C23/D23</f>
        <v>25435.681428264383</v>
      </c>
    </row>
    <row r="24" spans="1:12" ht="14.25">
      <c r="B24" s="98" t="s">
        <v>299</v>
      </c>
      <c r="C24" s="101">
        <f>E23</f>
        <v>25435.681428264383</v>
      </c>
      <c r="D24" s="104">
        <v>7.8387000000000002</v>
      </c>
      <c r="E24" s="100">
        <f>C24*D24</f>
        <v>199382.67601173601</v>
      </c>
    </row>
    <row r="25" spans="1:12" ht="14.25">
      <c r="C25"/>
      <c r="D25"/>
      <c r="E25"/>
    </row>
    <row r="26" spans="1:12" ht="14.25">
      <c r="C26"/>
      <c r="D26" s="102" t="s">
        <v>302</v>
      </c>
      <c r="E26" s="100">
        <f>C23-E24</f>
        <v>617.32398826399003</v>
      </c>
    </row>
    <row r="31" spans="1:12">
      <c r="B31" s="66"/>
      <c r="C31" s="69"/>
      <c r="D31" s="66"/>
      <c r="E31" s="70"/>
      <c r="F31" s="70"/>
    </row>
    <row r="32" spans="1:12">
      <c r="B32" s="66"/>
      <c r="C32" s="69"/>
      <c r="D32" s="66"/>
      <c r="E32" s="70"/>
      <c r="F32" s="70"/>
    </row>
    <row r="33" spans="2:6">
      <c r="B33" s="66"/>
      <c r="C33" s="69"/>
      <c r="D33" s="66"/>
      <c r="E33" s="70"/>
      <c r="F33" s="70"/>
    </row>
    <row r="34" spans="2:6">
      <c r="B34" s="66"/>
      <c r="C34" s="69"/>
      <c r="D34" s="66"/>
      <c r="E34" s="70"/>
      <c r="F34" s="70"/>
    </row>
    <row r="35" spans="2:6">
      <c r="B35" s="66"/>
      <c r="C35" s="69"/>
      <c r="D35" s="66"/>
      <c r="E35" s="70"/>
      <c r="F35" s="70"/>
    </row>
    <row r="36" spans="2:6">
      <c r="B36" s="66"/>
      <c r="C36" s="67"/>
      <c r="D36" s="66"/>
      <c r="E36" s="68"/>
      <c r="F36"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7" t="s">
        <v>99</v>
      </c>
      <c r="C3" s="117"/>
      <c r="D3" s="117"/>
    </row>
    <row r="5" spans="1:4">
      <c r="B5" s="118" t="s">
        <v>101</v>
      </c>
      <c r="C5" s="106"/>
      <c r="D5" s="106"/>
    </row>
    <row r="6" spans="1:4">
      <c r="B6" s="118" t="s">
        <v>102</v>
      </c>
      <c r="C6" s="106"/>
      <c r="D6" s="106"/>
    </row>
    <row r="8" spans="1:4">
      <c r="B8" s="1" t="s">
        <v>100</v>
      </c>
    </row>
    <row r="10" spans="1:4">
      <c r="A10" s="5"/>
      <c r="B10" s="6" t="s">
        <v>103</v>
      </c>
    </row>
    <row r="11" spans="1:4">
      <c r="B11" s="117" t="s">
        <v>104</v>
      </c>
      <c r="C11" s="117"/>
      <c r="D11" s="117"/>
    </row>
    <row r="12" spans="1:4">
      <c r="B12" s="117" t="s">
        <v>105</v>
      </c>
      <c r="C12" s="117"/>
      <c r="D12" s="117"/>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7" t="s">
        <v>117</v>
      </c>
      <c r="C28" s="117"/>
      <c r="D28" s="117"/>
    </row>
    <row r="29" spans="1:4">
      <c r="B29" s="117" t="s">
        <v>118</v>
      </c>
      <c r="C29" s="117"/>
      <c r="D29" s="117"/>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2025-06-17T05:46:29Z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