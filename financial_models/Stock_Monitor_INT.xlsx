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D6190EB-AE59-4995-A05C-C06B2E85F52D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<sst xmlns="http://schemas.openxmlformats.org/spreadsheetml/2006/main" count="486" uniqueCount="389">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</sst>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142</v>
      </c>
      <c r="C4" s="150"/>
      <c r="D4" s="150"/>
      <c r="E4" s="150"/>
    </row>
    <row r="6" spans="1:5">
      <c r="A6" s="20" t="s">
        <v>55</v>
      </c>
      <c r="B6" s="19" t="s">
        <v>136</v>
      </c>
      <c r="C6" s="47"/>
    </row>
    <row r="7" spans="1:5">
      <c r="B7" s="150" t="s">
        <v>197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340</v>
      </c>
      <c r="C12" s="77">
        <v>7.2499999999999995E-2</v>
      </c>
    </row>
    <row r="13" spans="1:5">
      <c r="C13" s="4"/>
    </row>
    <row r="14" spans="1:5" ht="46.5" customHeight="1">
      <c r="B14" s="150" t="s">
        <v>341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221</v>
      </c>
    </row>
    <row r="23" spans="1:5">
      <c r="B23" s="24" t="s">
        <v>198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51" t="s">
        <v>199</v>
      </c>
      <c r="C27" s="150"/>
      <c r="D27" s="150"/>
      <c r="E27" s="150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186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339</v>
      </c>
      <c r="C35" s="43" t="s">
        <v>123</v>
      </c>
    </row>
    <row r="36" spans="1:5">
      <c r="B36" s="131" t="s">
        <v>204</v>
      </c>
      <c r="C36" s="132">
        <v>3</v>
      </c>
    </row>
    <row r="37" spans="1:5">
      <c r="B37" s="26" t="s">
        <v>203</v>
      </c>
      <c r="C37" s="136">
        <v>0.55000000000000004</v>
      </c>
    </row>
    <row r="38" spans="1:5">
      <c r="B38" s="26" t="s">
        <v>335</v>
      </c>
      <c r="C38" s="138">
        <v>-0.65</v>
      </c>
    </row>
    <row r="40" spans="1:5">
      <c r="B40" s="20" t="s">
        <v>207</v>
      </c>
    </row>
    <row r="41" spans="1:5">
      <c r="B41" s="150" t="s">
        <v>206</v>
      </c>
      <c r="C41" s="150"/>
      <c r="D41" s="150"/>
      <c r="E41" s="150"/>
    </row>
    <row r="43" spans="1:5">
      <c r="A43" s="20" t="s">
        <v>57</v>
      </c>
      <c r="B43" s="19" t="s">
        <v>346</v>
      </c>
    </row>
    <row r="45" spans="1:5">
      <c r="B45" s="43" t="s">
        <v>200</v>
      </c>
      <c r="C45" s="43"/>
      <c r="D45" s="43"/>
      <c r="E45" s="43"/>
    </row>
    <row r="46" spans="1:5">
      <c r="B46" s="26" t="s">
        <v>356</v>
      </c>
      <c r="C46" s="138">
        <v>0.3</v>
      </c>
      <c r="D46" s="137"/>
      <c r="E46" s="139"/>
    </row>
    <row r="47" spans="1:5">
      <c r="B47" s="26" t="s">
        <v>357</v>
      </c>
      <c r="C47" s="138">
        <v>0.2</v>
      </c>
      <c r="D47" s="137"/>
      <c r="E47" s="139"/>
    </row>
    <row r="49" spans="1:5">
      <c r="B49" s="20" t="s">
        <v>207</v>
      </c>
    </row>
    <row r="50" spans="1:5">
      <c r="B50" s="151" t="s">
        <v>343</v>
      </c>
      <c r="C50" s="150"/>
      <c r="D50" s="150"/>
      <c r="E50" s="150"/>
    </row>
    <row r="51" spans="1:5">
      <c r="B51" s="151" t="s">
        <v>219</v>
      </c>
      <c r="C51" s="151"/>
      <c r="D51" s="151"/>
      <c r="E51" s="151"/>
    </row>
    <row r="53" spans="1:5">
      <c r="A53" s="21" t="s">
        <v>131</v>
      </c>
      <c r="B53" s="21"/>
      <c r="C53" s="21"/>
      <c r="D53" s="21"/>
      <c r="E53" s="21"/>
    </row>
    <row r="55" spans="1:5">
      <c r="B55" s="150" t="s">
        <v>208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195</v>
      </c>
      <c r="C60" s="29">
        <v>0.45</v>
      </c>
      <c r="D60" s="46"/>
      <c r="E60" s="44"/>
    </row>
    <row r="61" spans="1:5">
      <c r="B61" s="26" t="s">
        <v>194</v>
      </c>
      <c r="C61" s="29">
        <v>0.3</v>
      </c>
      <c r="D61" s="46"/>
      <c r="E61" s="44"/>
    </row>
    <row r="62" spans="1:5">
      <c r="B62" s="26" t="s">
        <v>193</v>
      </c>
      <c r="C62" s="29">
        <v>0.15</v>
      </c>
      <c r="D62" s="48" t="s">
        <v>143</v>
      </c>
      <c r="E62" s="44"/>
    </row>
    <row r="64" spans="1:5">
      <c r="B64" s="23" t="s">
        <v>355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190</v>
      </c>
      <c r="C69" s="26" t="s">
        <v>191</v>
      </c>
      <c r="D69" s="26" t="s">
        <v>192</v>
      </c>
      <c r="E69" s="40">
        <v>1</v>
      </c>
    </row>
    <row r="70" spans="1:5">
      <c r="B70" s="26" t="s">
        <v>188</v>
      </c>
      <c r="C70" s="26" t="s">
        <v>161</v>
      </c>
      <c r="D70" s="26" t="s">
        <v>162</v>
      </c>
      <c r="E70" s="40">
        <v>1</v>
      </c>
    </row>
    <row r="71" spans="1:5">
      <c r="B71" s="26" t="s">
        <v>189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210</v>
      </c>
    </row>
    <row r="76" spans="1:5">
      <c r="B76" s="1" t="s">
        <v>220</v>
      </c>
    </row>
    <row r="77" spans="1:5">
      <c r="B77" s="1" t="s">
        <v>209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132</v>
      </c>
      <c r="C81" s="150"/>
      <c r="D81" s="150"/>
      <c r="E81" s="150"/>
    </row>
    <row r="83" spans="1:5">
      <c r="A83" s="28" t="s">
        <v>55</v>
      </c>
      <c r="B83" s="20" t="s">
        <v>212</v>
      </c>
    </row>
    <row r="84" spans="1:5">
      <c r="B84" s="24" t="s">
        <v>144</v>
      </c>
    </row>
    <row r="86" spans="1:5">
      <c r="A86" s="28" t="s">
        <v>196</v>
      </c>
      <c r="B86" s="20" t="s">
        <v>211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215</v>
      </c>
      <c r="C88" s="91" t="s">
        <v>222</v>
      </c>
    </row>
    <row r="89" spans="1:5">
      <c r="B89" s="104" t="s">
        <v>214</v>
      </c>
      <c r="C89" s="91" t="s">
        <v>187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213</v>
      </c>
    </row>
    <row r="93" spans="1:5">
      <c r="B93" s="1" t="s">
        <v>216</v>
      </c>
    </row>
    <row r="94" spans="1:5">
      <c r="B94" s="1" t="s">
        <v>218</v>
      </c>
    </row>
    <row r="95" spans="1:5">
      <c r="B95" s="1" t="s">
        <v>217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H12" sqref="H1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160</v>
      </c>
      <c r="L1" s="146"/>
      <c r="M1" s="143" t="s">
        <v>7</v>
      </c>
      <c r="N1" s="143"/>
      <c r="O1" s="149" t="s">
        <v>173</v>
      </c>
      <c r="P1" s="149"/>
      <c r="Q1" s="149"/>
      <c r="R1" s="149"/>
      <c r="S1" s="148" t="s">
        <v>169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175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359</v>
      </c>
      <c r="V2" s="7" t="s">
        <v>5</v>
      </c>
      <c r="W2" s="7" t="s">
        <v>168</v>
      </c>
      <c r="X2" s="9" t="s">
        <v>358</v>
      </c>
      <c r="Y2" s="10" t="s">
        <v>45</v>
      </c>
    </row>
    <row r="3" spans="1:25">
      <c r="B3" s="11" t="s">
        <v>349</v>
      </c>
      <c r="C3" s="11" t="s">
        <v>360</v>
      </c>
      <c r="D3" s="2">
        <v>10.220000000000001</v>
      </c>
      <c r="E3" s="12" t="s">
        <v>129</v>
      </c>
      <c r="F3" s="15">
        <v>0.27688421282304937</v>
      </c>
      <c r="G3" s="15">
        <v>0.13981796576577574</v>
      </c>
      <c r="H3" s="2">
        <v>9.7075341889511311</v>
      </c>
      <c r="I3" s="2">
        <v>18.881074526525641</v>
      </c>
      <c r="J3" s="71">
        <v>16.906770477370156</v>
      </c>
      <c r="K3" s="2">
        <v>12.218089145906044</v>
      </c>
      <c r="L3" s="2">
        <v>15.012439335256746</v>
      </c>
      <c r="M3" s="4">
        <v>9.9939871661782059E-2</v>
      </c>
      <c r="N3" s="4">
        <v>5.9992890410958899E-2</v>
      </c>
      <c r="O3" s="4">
        <v>0.10095807260143744</v>
      </c>
      <c r="P3" s="4">
        <v>0.12639817006987511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1.7717247567650212</v>
      </c>
      <c r="V3" s="13" t="s">
        <v>361</v>
      </c>
      <c r="W3" s="11" t="s">
        <v>362</v>
      </c>
      <c r="X3" s="14">
        <v>46173</v>
      </c>
      <c r="Y3" s="16" t="s">
        <v>363</v>
      </c>
    </row>
    <row r="4" spans="1:25">
      <c r="B4" s="11" t="s">
        <v>386</v>
      </c>
      <c r="C4" s="11" t="s">
        <v>387</v>
      </c>
      <c r="D4" s="2">
        <v>36.479999999999997</v>
      </c>
      <c r="E4" s="12" t="s">
        <v>129</v>
      </c>
      <c r="F4" s="15">
        <v>0.24987629123293953</v>
      </c>
      <c r="G4" s="15">
        <v>0.12146397439639096</v>
      </c>
      <c r="H4" s="2">
        <v>32.432459888673442</v>
      </c>
      <c r="I4" s="2">
        <v>70.687534375415567</v>
      </c>
      <c r="J4" s="71">
        <v>57.670470291434079</v>
      </c>
      <c r="K4" s="2">
        <v>41.206258319106226</v>
      </c>
      <c r="L4" s="2">
        <v>51.008614564053516</v>
      </c>
      <c r="M4" s="4">
        <v>6.4143933883932178E-2</v>
      </c>
      <c r="N4" s="4">
        <v>3.8925438596491228E-3</v>
      </c>
      <c r="O4" s="4">
        <v>0.11150835231775919</v>
      </c>
      <c r="P4" s="4">
        <v>0.28146521974317368</v>
      </c>
      <c r="Q4" s="79">
        <v>0.32092624022161098</v>
      </c>
      <c r="R4" s="78">
        <v>1.2344611679711017</v>
      </c>
      <c r="S4" s="15">
        <v>3.8049367850692354E-3</v>
      </c>
      <c r="T4" s="76">
        <v>3.432051788351935E-2</v>
      </c>
      <c r="U4" s="71">
        <v>11.420266061550475</v>
      </c>
      <c r="V4" s="13" t="s">
        <v>370</v>
      </c>
      <c r="W4" s="11" t="s">
        <v>350</v>
      </c>
      <c r="X4" s="14">
        <v>46265</v>
      </c>
      <c r="Y4" s="16" t="s">
        <v>363</v>
      </c>
    </row>
    <row r="5" spans="1:25">
      <c r="B5" s="11" t="s">
        <v>371</v>
      </c>
      <c r="C5" s="11" t="s">
        <v>372</v>
      </c>
      <c r="D5" s="2">
        <v>68.5</v>
      </c>
      <c r="E5" s="12" t="s">
        <v>129</v>
      </c>
      <c r="F5" s="15">
        <v>0.24694203782500182</v>
      </c>
      <c r="G5" s="15">
        <v>7.9480205523640227E-2</v>
      </c>
      <c r="H5" s="2">
        <v>60.996890955404538</v>
      </c>
      <c r="I5" s="2">
        <v>108.55556542902379</v>
      </c>
      <c r="J5" s="71">
        <v>104.66135386065253</v>
      </c>
      <c r="K5" s="2">
        <v>76.260017030685063</v>
      </c>
      <c r="L5" s="2">
        <v>93.199772643089418</v>
      </c>
      <c r="M5" s="4">
        <v>0.1326228690896413</v>
      </c>
      <c r="N5" s="4">
        <v>9.3132846715328468E-2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-19.282621233832952</v>
      </c>
      <c r="V5" s="13" t="s">
        <v>365</v>
      </c>
      <c r="W5" s="11" t="s">
        <v>362</v>
      </c>
      <c r="X5" s="14">
        <v>46081</v>
      </c>
      <c r="Y5" s="16" t="s">
        <v>351</v>
      </c>
    </row>
    <row r="6" spans="1:25">
      <c r="B6" s="11" t="s">
        <v>366</v>
      </c>
      <c r="C6" s="11" t="s">
        <v>367</v>
      </c>
      <c r="D6" s="2">
        <v>6.34</v>
      </c>
      <c r="E6" s="12" t="s">
        <v>129</v>
      </c>
      <c r="F6" s="15">
        <v>0.22964743940995341</v>
      </c>
      <c r="G6" s="15">
        <v>0.10479684973015331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7.4310191459831018E-2</v>
      </c>
      <c r="N6" s="4">
        <v>2.2397476340694004E-2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365</v>
      </c>
      <c r="W6" s="11" t="s">
        <v>350</v>
      </c>
      <c r="X6" s="14">
        <v>46081</v>
      </c>
      <c r="Y6" s="16" t="s">
        <v>363</v>
      </c>
    </row>
    <row r="7" spans="1:25">
      <c r="B7" s="11" t="s">
        <v>320</v>
      </c>
      <c r="C7" s="11" t="s">
        <v>352</v>
      </c>
      <c r="D7" s="2">
        <v>7.18</v>
      </c>
      <c r="E7" s="12" t="s">
        <v>129</v>
      </c>
      <c r="F7" s="15">
        <v>0.2112352065443189</v>
      </c>
      <c r="G7" s="15">
        <v>5.7849405855317892E-2</v>
      </c>
      <c r="H7" s="2">
        <v>5.8531553267288263</v>
      </c>
      <c r="I7" s="2">
        <v>11.571771919909434</v>
      </c>
      <c r="J7" s="71">
        <v>10.223148602110554</v>
      </c>
      <c r="K7" s="2">
        <v>7.3764085520869402</v>
      </c>
      <c r="L7" s="2">
        <v>9.0727573917430053</v>
      </c>
      <c r="M7" s="4">
        <v>9.9479999006785419E-2</v>
      </c>
      <c r="N7" s="4">
        <v>4.4945592844011138E-2</v>
      </c>
      <c r="O7" s="4">
        <v>0.17172007594037353</v>
      </c>
      <c r="P7" s="4">
        <v>8.360619246462335E-2</v>
      </c>
      <c r="Q7" s="79">
        <v>1.3282158707615834</v>
      </c>
      <c r="R7" s="78">
        <v>1.5463719418456539</v>
      </c>
      <c r="S7" s="15">
        <v>0.22428295339746124</v>
      </c>
      <c r="T7" s="76">
        <v>1.2715557492373779</v>
      </c>
      <c r="U7" s="71">
        <v>-2.9963920551187653</v>
      </c>
      <c r="V7" s="13" t="s">
        <v>353</v>
      </c>
      <c r="W7" s="11" t="s">
        <v>350</v>
      </c>
      <c r="X7" s="14">
        <v>46081</v>
      </c>
      <c r="Y7" s="16" t="s">
        <v>351</v>
      </c>
    </row>
    <row r="8" spans="1:25">
      <c r="B8" s="11" t="s">
        <v>318</v>
      </c>
      <c r="C8" s="11" t="s">
        <v>373</v>
      </c>
      <c r="D8" s="2">
        <v>4.37</v>
      </c>
      <c r="E8" s="12" t="s">
        <v>129</v>
      </c>
      <c r="F8" s="15">
        <v>0.20120265203006818</v>
      </c>
      <c r="G8" s="15">
        <v>5.0354730619717264E-2</v>
      </c>
      <c r="H8" s="2">
        <v>3.4947017610502455</v>
      </c>
      <c r="I8" s="2">
        <v>6.4808597690273908</v>
      </c>
      <c r="J8" s="71">
        <v>6.0371156176035647</v>
      </c>
      <c r="K8" s="2">
        <v>4.3824419959649257</v>
      </c>
      <c r="L8" s="2">
        <v>5.3690045329034906</v>
      </c>
      <c r="M8" s="4">
        <v>9.2430933330035159E-2</v>
      </c>
      <c r="N8" s="4">
        <v>6.8649885583524042E-2</v>
      </c>
      <c r="O8" s="4">
        <v>0.18</v>
      </c>
      <c r="P8" s="4">
        <v>5.5599077391744495E-2</v>
      </c>
      <c r="Q8" s="79">
        <v>1.4798367611150316</v>
      </c>
      <c r="R8" s="78">
        <v>2.187716833659914</v>
      </c>
      <c r="S8" s="15">
        <v>0.76701287002940366</v>
      </c>
      <c r="T8" s="76">
        <v>5.0983946232940358</v>
      </c>
      <c r="U8" s="71">
        <v>-2.4800067209187837</v>
      </c>
      <c r="V8" s="13" t="s">
        <v>365</v>
      </c>
      <c r="W8" s="11" t="s">
        <v>362</v>
      </c>
      <c r="X8" s="14">
        <v>46173</v>
      </c>
      <c r="Y8" s="16" t="s">
        <v>351</v>
      </c>
    </row>
    <row r="9" spans="1:25">
      <c r="B9" s="11" t="s">
        <v>368</v>
      </c>
      <c r="C9" s="11" t="s">
        <v>369</v>
      </c>
      <c r="D9" s="2">
        <v>79.8</v>
      </c>
      <c r="E9" s="12" t="s">
        <v>129</v>
      </c>
      <c r="F9" s="15">
        <v>0.1998906433334835</v>
      </c>
      <c r="G9" s="15">
        <v>7.3976704764234125E-2</v>
      </c>
      <c r="H9" s="2">
        <v>63.478269219256582</v>
      </c>
      <c r="I9" s="2">
        <v>121.18356747470673</v>
      </c>
      <c r="J9" s="71">
        <v>110.19902954356174</v>
      </c>
      <c r="K9" s="2">
        <v>79.779170992307144</v>
      </c>
      <c r="L9" s="2">
        <v>97.911716370031598</v>
      </c>
      <c r="M9" s="4">
        <v>6.8227698694334107E-2</v>
      </c>
      <c r="N9" s="4">
        <v>5.7406015037593995E-2</v>
      </c>
      <c r="O9" s="4">
        <v>9.6671315574961933E-2</v>
      </c>
      <c r="P9" s="4">
        <v>0.13321568275625476</v>
      </c>
      <c r="Q9" s="79">
        <v>0.48913824057450628</v>
      </c>
      <c r="R9" s="78">
        <v>1.4835789300471205</v>
      </c>
      <c r="S9" s="15">
        <v>6.4100114768294941E-2</v>
      </c>
      <c r="T9" s="76">
        <v>0.67756727799881356</v>
      </c>
      <c r="U9" s="71">
        <v>1.463374176864898</v>
      </c>
      <c r="V9" s="13" t="s">
        <v>370</v>
      </c>
      <c r="W9" s="11" t="s">
        <v>350</v>
      </c>
      <c r="X9" s="14">
        <v>46081</v>
      </c>
      <c r="Y9" s="16" t="s">
        <v>363</v>
      </c>
    </row>
    <row r="10" spans="1:25">
      <c r="B10" s="11" t="s">
        <v>375</v>
      </c>
      <c r="C10" s="11" t="s">
        <v>376</v>
      </c>
      <c r="D10" s="2">
        <v>37.54</v>
      </c>
      <c r="E10" s="12" t="s">
        <v>129</v>
      </c>
      <c r="F10" s="15">
        <v>0.19768609694462866</v>
      </c>
      <c r="G10" s="15">
        <v>7.1315774021508682E-2</v>
      </c>
      <c r="H10" s="2">
        <v>29.58897514146128</v>
      </c>
      <c r="I10" s="2">
        <v>59.294088405790447</v>
      </c>
      <c r="J10" s="71">
        <v>51.804357924797927</v>
      </c>
      <c r="K10" s="2">
        <v>37.329772966313911</v>
      </c>
      <c r="L10" s="2">
        <v>45.954024090114018</v>
      </c>
      <c r="M10" s="4">
        <v>7.6192782411883403E-2</v>
      </c>
      <c r="N10" s="4">
        <v>3.8140703249866813E-2</v>
      </c>
      <c r="O10" s="4">
        <v>0.2658092571428613</v>
      </c>
      <c r="P10" s="4">
        <v>0.20771863979883598</v>
      </c>
      <c r="Q10" s="79">
        <v>0.65265738052043343</v>
      </c>
      <c r="R10" s="78">
        <v>1.9606920057834423</v>
      </c>
      <c r="S10" s="15">
        <v>0.67283405398617657</v>
      </c>
      <c r="T10" s="76">
        <v>2.2041306156151999</v>
      </c>
      <c r="U10" s="71">
        <v>-6.1687477972482672</v>
      </c>
      <c r="V10" s="16" t="s">
        <v>365</v>
      </c>
      <c r="W10" s="11" t="s">
        <v>350</v>
      </c>
      <c r="X10" s="14">
        <v>46081</v>
      </c>
      <c r="Y10" s="16" t="s">
        <v>363</v>
      </c>
    </row>
    <row r="11" spans="1:25">
      <c r="B11" s="11" t="s">
        <v>354</v>
      </c>
      <c r="C11" s="11" t="s">
        <v>374</v>
      </c>
      <c r="D11" s="2">
        <v>112.9</v>
      </c>
      <c r="E11" s="12" t="s">
        <v>129</v>
      </c>
      <c r="F11" s="15">
        <v>0.18725701800349778</v>
      </c>
      <c r="G11" s="15">
        <v>5.7861363833229977E-2</v>
      </c>
      <c r="H11" s="2">
        <v>86.628066101723547</v>
      </c>
      <c r="I11" s="2">
        <v>176.31696122548666</v>
      </c>
      <c r="J11" s="71">
        <v>152.09245880426215</v>
      </c>
      <c r="K11" s="2">
        <v>109.42902848697145</v>
      </c>
      <c r="L11" s="2">
        <v>134.84525139520019</v>
      </c>
      <c r="M11" s="4">
        <v>-1.01762339939025E-2</v>
      </c>
      <c r="N11" s="4">
        <v>3.1089459698848534E-2</v>
      </c>
      <c r="O11" s="4">
        <v>0.15</v>
      </c>
      <c r="P11" s="4">
        <v>3.3662787366748527E-2</v>
      </c>
      <c r="Q11" s="79">
        <v>1.883030950761003</v>
      </c>
      <c r="R11" s="78">
        <v>2.3663758624563029</v>
      </c>
      <c r="S11" s="15">
        <v>0.36286306559603515</v>
      </c>
      <c r="T11" s="76">
        <v>22.317734925377231</v>
      </c>
      <c r="U11" s="71">
        <v>-67.109928506405282</v>
      </c>
      <c r="V11" s="13" t="s">
        <v>365</v>
      </c>
      <c r="W11" s="11" t="s">
        <v>350</v>
      </c>
      <c r="X11" s="14">
        <v>46265</v>
      </c>
      <c r="Y11" s="16" t="s">
        <v>363</v>
      </c>
    </row>
    <row r="12" spans="1:25">
      <c r="B12" s="11" t="s">
        <v>377</v>
      </c>
      <c r="C12" s="11" t="s">
        <v>378</v>
      </c>
      <c r="D12" s="2">
        <v>4.71</v>
      </c>
      <c r="E12" s="12" t="s">
        <v>129</v>
      </c>
      <c r="F12" s="15">
        <v>0.15094880681171671</v>
      </c>
      <c r="G12" s="15">
        <v>0</v>
      </c>
      <c r="H12" s="2">
        <v>3.3058505032532972</v>
      </c>
      <c r="I12" s="2">
        <v>6.6277455556474951</v>
      </c>
      <c r="J12" s="71">
        <v>5.7883592149489207</v>
      </c>
      <c r="K12" s="2">
        <v>4.170852752110819</v>
      </c>
      <c r="L12" s="2">
        <v>5.1345919269174427</v>
      </c>
      <c r="M12" s="4">
        <v>6.5861569291337727E-2</v>
      </c>
      <c r="N12" s="4">
        <v>3.3800424628450107E-2</v>
      </c>
      <c r="O12" s="4">
        <v>0.27382509866113364</v>
      </c>
      <c r="P12" s="4">
        <v>0.20764453215246689</v>
      </c>
      <c r="Q12" s="79">
        <v>0.86056930273853416</v>
      </c>
      <c r="R12" s="78">
        <v>1.532381509863507</v>
      </c>
      <c r="S12" s="15">
        <v>0.27351475277205878</v>
      </c>
      <c r="T12" s="76">
        <v>0.94608729427783522</v>
      </c>
      <c r="U12" s="71">
        <v>0.59749676752244707</v>
      </c>
      <c r="V12" s="13" t="s">
        <v>365</v>
      </c>
      <c r="W12" s="11" t="s">
        <v>350</v>
      </c>
      <c r="X12" s="14">
        <v>46173</v>
      </c>
      <c r="Y12" s="16" t="s">
        <v>351</v>
      </c>
    </row>
    <row r="13" spans="1:25">
      <c r="B13" s="11" t="s">
        <v>319</v>
      </c>
      <c r="C13" s="11" t="s">
        <v>364</v>
      </c>
      <c r="D13" s="2">
        <v>3.5</v>
      </c>
      <c r="E13" s="12" t="s">
        <v>129</v>
      </c>
      <c r="F13" s="15">
        <v>0.13572195046448565</v>
      </c>
      <c r="G13" s="15">
        <v>0</v>
      </c>
      <c r="H13" s="2">
        <v>2.3958673745457557</v>
      </c>
      <c r="I13" s="2">
        <v>4.298938621877026</v>
      </c>
      <c r="J13" s="2">
        <v>4.1164039967851194</v>
      </c>
      <c r="K13" s="2">
        <v>2.9971589246973531</v>
      </c>
      <c r="L13" s="2">
        <v>3.6646763720150561</v>
      </c>
      <c r="M13" s="4">
        <v>6.9180242807047168E-2</v>
      </c>
      <c r="N13" s="4">
        <v>6.9085714285714278E-2</v>
      </c>
      <c r="O13" s="4">
        <v>0.10655464759808782</v>
      </c>
      <c r="P13" s="4">
        <v>0.15367027669312136</v>
      </c>
      <c r="Q13" s="79">
        <v>0.53211669431065411</v>
      </c>
      <c r="R13" s="78">
        <v>1.3030936828713586</v>
      </c>
      <c r="S13" s="15">
        <v>3.2740324747196639E-2</v>
      </c>
      <c r="T13" s="76">
        <v>0.3030737490948841</v>
      </c>
      <c r="U13" s="71">
        <v>1.0839220500741433</v>
      </c>
      <c r="V13" s="13" t="s">
        <v>365</v>
      </c>
      <c r="W13" s="11" t="s">
        <v>362</v>
      </c>
      <c r="X13" s="14">
        <v>46265</v>
      </c>
      <c r="Y13" s="16" t="s">
        <v>351</v>
      </c>
    </row>
    <row r="14" spans="1:25">
      <c r="B14" s="11" t="s">
        <v>152</v>
      </c>
      <c r="C14" s="11" t="s">
        <v>379</v>
      </c>
      <c r="D14" s="2">
        <v>21.72</v>
      </c>
      <c r="E14" s="12" t="s">
        <v>129</v>
      </c>
      <c r="F14" s="15">
        <v>0.1122345466429588</v>
      </c>
      <c r="G14" s="15">
        <v>0</v>
      </c>
      <c r="H14" s="2">
        <v>13.752707078011102</v>
      </c>
      <c r="I14" s="2">
        <v>28.159642981607451</v>
      </c>
      <c r="J14" s="2">
        <v>24.171792450066203</v>
      </c>
      <c r="K14" s="2">
        <v>17.381035598687642</v>
      </c>
      <c r="L14" s="2">
        <v>21.426331015104591</v>
      </c>
      <c r="M14" s="4">
        <v>5.2316522423972264E-2</v>
      </c>
      <c r="N14" s="4">
        <v>2.3713224922145889E-2</v>
      </c>
      <c r="O14" s="4">
        <v>0.2</v>
      </c>
      <c r="P14" s="4">
        <v>0.13430424833028851</v>
      </c>
      <c r="Q14" s="79">
        <v>1.1000000000000001</v>
      </c>
      <c r="R14" s="78">
        <v>1.3537783359692717</v>
      </c>
      <c r="S14" s="15">
        <v>6.5417684980282262E-2</v>
      </c>
      <c r="T14" s="76">
        <v>0.50358953318926281</v>
      </c>
      <c r="U14" s="71">
        <v>5.6635272161814783</v>
      </c>
      <c r="V14" s="13" t="s">
        <v>380</v>
      </c>
      <c r="W14" s="11" t="s">
        <v>350</v>
      </c>
      <c r="X14" s="14">
        <v>46081</v>
      </c>
      <c r="Y14" s="16" t="s">
        <v>363</v>
      </c>
    </row>
    <row r="15" spans="1:25">
      <c r="B15" s="11" t="s">
        <v>381</v>
      </c>
      <c r="C15" s="11" t="s">
        <v>382</v>
      </c>
      <c r="D15" s="2">
        <v>81.95</v>
      </c>
      <c r="E15" s="12" t="s">
        <v>129</v>
      </c>
      <c r="F15" s="15">
        <v>5.3715129412594882E-2</v>
      </c>
      <c r="G15" s="15">
        <v>0</v>
      </c>
      <c r="H15" s="2">
        <v>43.640382483930402</v>
      </c>
      <c r="I15" s="2">
        <v>95.87792031719512</v>
      </c>
      <c r="J15" s="2">
        <v>77.718910286655728</v>
      </c>
      <c r="K15" s="2">
        <v>55.484907590969399</v>
      </c>
      <c r="L15" s="2">
        <v>68.721495847994703</v>
      </c>
      <c r="M15" s="4">
        <v>1.5187788713741327E-2</v>
      </c>
      <c r="N15" s="4">
        <v>0</v>
      </c>
      <c r="O15" s="4">
        <v>0.15</v>
      </c>
      <c r="P15" s="4">
        <v>8.1887809309554582E-2</v>
      </c>
      <c r="Q15" s="79">
        <v>1.022390799101176</v>
      </c>
      <c r="R15" s="78">
        <v>1.7916578376478161</v>
      </c>
      <c r="S15" s="15">
        <v>0.27660377540313014</v>
      </c>
      <c r="T15" s="76">
        <v>3.1316510969641755</v>
      </c>
      <c r="U15" s="71">
        <v>3.6186626034453302</v>
      </c>
      <c r="V15" s="13" t="s">
        <v>383</v>
      </c>
      <c r="W15" s="11" t="s">
        <v>350</v>
      </c>
      <c r="X15" s="14">
        <v>46081</v>
      </c>
      <c r="Y15" s="16" t="s">
        <v>351</v>
      </c>
    </row>
    <row r="16" spans="1:25">
      <c r="B16" s="11" t="s">
        <v>163</v>
      </c>
      <c r="C16" s="11" t="s">
        <v>384</v>
      </c>
      <c r="D16" s="2">
        <v>26.96</v>
      </c>
      <c r="E16" s="12" t="s">
        <v>129</v>
      </c>
      <c r="F16" s="15">
        <v>3.4925124633160547E-2</v>
      </c>
      <c r="G16" s="15">
        <v>0</v>
      </c>
      <c r="H16" s="2">
        <v>14.109418867810565</v>
      </c>
      <c r="I16" s="2">
        <v>25.970993252579817</v>
      </c>
      <c r="J16" s="2">
        <v>24.343752532454332</v>
      </c>
      <c r="K16" s="2">
        <v>17.683676650798503</v>
      </c>
      <c r="L16" s="2">
        <v>21.654859269386595</v>
      </c>
      <c r="M16" s="4">
        <v>9.0290294058620324E-2</v>
      </c>
      <c r="N16" s="4">
        <v>4.6735905044510383E-2</v>
      </c>
      <c r="O16" s="4">
        <v>0.17275816461101692</v>
      </c>
      <c r="P16" s="4">
        <v>0.32389125963769955</v>
      </c>
      <c r="Q16" s="79">
        <v>0.37580175109499292</v>
      </c>
      <c r="R16" s="78">
        <v>1.419320754716981</v>
      </c>
      <c r="S16" s="15">
        <v>9.2018392262565404E-2</v>
      </c>
      <c r="T16" s="76">
        <v>0.52808720739977155</v>
      </c>
      <c r="U16" s="71">
        <v>0.46705551025618292</v>
      </c>
      <c r="V16" s="13" t="s">
        <v>385</v>
      </c>
      <c r="W16" s="11" t="s">
        <v>362</v>
      </c>
      <c r="X16" s="14">
        <v>46081</v>
      </c>
      <c r="Y16" s="16" t="s">
        <v>363</v>
      </c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223</v>
      </c>
    </row>
    <row r="2" spans="1:5">
      <c r="A2" s="21" t="s">
        <v>224</v>
      </c>
      <c r="B2" s="21"/>
      <c r="C2" s="21"/>
      <c r="D2" s="21"/>
      <c r="E2" s="21"/>
    </row>
    <row r="4" spans="1:5">
      <c r="B4" s="151" t="s">
        <v>225</v>
      </c>
      <c r="C4" s="150"/>
      <c r="D4" s="150"/>
      <c r="E4" s="150"/>
    </row>
    <row r="6" spans="1:5">
      <c r="A6" s="20" t="s">
        <v>55</v>
      </c>
      <c r="B6" s="19" t="s">
        <v>226</v>
      </c>
      <c r="C6" s="47"/>
    </row>
    <row r="7" spans="1:5">
      <c r="B7" s="151" t="s">
        <v>316</v>
      </c>
      <c r="C7" s="150"/>
      <c r="D7" s="150"/>
      <c r="E7" s="150"/>
    </row>
    <row r="9" spans="1:5">
      <c r="B9" s="23" t="s">
        <v>227</v>
      </c>
    </row>
    <row r="10" spans="1:5">
      <c r="B10" s="1" t="s">
        <v>228</v>
      </c>
      <c r="C10" s="105">
        <f>benchmark</f>
        <v>0.1174</v>
      </c>
    </row>
    <row r="11" spans="1:5">
      <c r="B11" s="1" t="s">
        <v>229</v>
      </c>
      <c r="C11" s="105">
        <f>Cash_Yield</f>
        <v>3.4500000000000003E-2</v>
      </c>
    </row>
    <row r="12" spans="1:5">
      <c r="C12" s="4"/>
    </row>
    <row r="13" spans="1:5">
      <c r="B13" s="23" t="s">
        <v>230</v>
      </c>
      <c r="C13" s="4"/>
    </row>
    <row r="14" spans="1:5">
      <c r="B14" s="1" t="s">
        <v>231</v>
      </c>
      <c r="C14" s="4" t="s">
        <v>234</v>
      </c>
    </row>
    <row r="15" spans="1:5">
      <c r="B15" s="1" t="s">
        <v>232</v>
      </c>
      <c r="C15" s="24" t="s">
        <v>235</v>
      </c>
    </row>
    <row r="16" spans="1:5">
      <c r="B16" s="1" t="s">
        <v>233</v>
      </c>
      <c r="C16" s="24" t="s">
        <v>236</v>
      </c>
    </row>
    <row r="18" spans="1:5">
      <c r="B18" s="23" t="s">
        <v>237</v>
      </c>
    </row>
    <row r="19" spans="1:5">
      <c r="B19" s="24" t="s">
        <v>238</v>
      </c>
    </row>
    <row r="20" spans="1:5">
      <c r="B20" s="24" t="s">
        <v>239</v>
      </c>
    </row>
    <row r="21" spans="1:5">
      <c r="B21" s="24" t="s">
        <v>240</v>
      </c>
    </row>
    <row r="23" spans="1:5">
      <c r="A23" s="25" t="s">
        <v>56</v>
      </c>
      <c r="B23" s="19" t="s">
        <v>242</v>
      </c>
      <c r="C23" s="47"/>
    </row>
    <row r="24" spans="1:5">
      <c r="A24" s="18"/>
      <c r="B24" s="151" t="s">
        <v>241</v>
      </c>
      <c r="C24" s="150"/>
      <c r="D24" s="150"/>
      <c r="E24" s="150"/>
    </row>
    <row r="25" spans="1:5">
      <c r="A25" s="18"/>
    </row>
    <row r="26" spans="1:5">
      <c r="A26" s="18"/>
      <c r="B26" s="43" t="s">
        <v>243</v>
      </c>
      <c r="C26" s="43" t="s">
        <v>244</v>
      </c>
    </row>
    <row r="27" spans="1:5">
      <c r="B27" s="26" t="s">
        <v>245</v>
      </c>
      <c r="C27" s="106">
        <f>Portfolio_Mgmt!C30</f>
        <v>6</v>
      </c>
    </row>
    <row r="28" spans="1:5">
      <c r="B28" s="26" t="s">
        <v>246</v>
      </c>
      <c r="C28" s="107">
        <f>Portfolio_Mgmt!C31</f>
        <v>0.3</v>
      </c>
    </row>
    <row r="30" spans="1:5">
      <c r="A30" s="20" t="s">
        <v>57</v>
      </c>
      <c r="B30" s="92" t="s">
        <v>247</v>
      </c>
      <c r="C30" s="47"/>
    </row>
    <row r="31" spans="1:5">
      <c r="A31" s="20"/>
      <c r="B31" s="43" t="s">
        <v>248</v>
      </c>
      <c r="C31" s="43" t="s">
        <v>249</v>
      </c>
      <c r="D31" s="43" t="s">
        <v>250</v>
      </c>
      <c r="E31" s="43" t="s">
        <v>249</v>
      </c>
    </row>
    <row r="32" spans="1:5" ht="12" thickBot="1">
      <c r="A32" s="20"/>
      <c r="B32" s="93" t="s">
        <v>251</v>
      </c>
      <c r="C32" s="108">
        <f>Portfolio_Mgmt!C46</f>
        <v>0.3</v>
      </c>
      <c r="D32" s="93" t="s">
        <v>311</v>
      </c>
      <c r="E32" s="108">
        <f>Portfolio_Mgmt!E46</f>
        <v>0</v>
      </c>
    </row>
    <row r="33" spans="1:5">
      <c r="B33" s="95" t="s">
        <v>252</v>
      </c>
      <c r="C33" s="109">
        <f>Portfolio_Mgmt!C47</f>
        <v>0.2</v>
      </c>
      <c r="D33" s="96" t="s">
        <v>257</v>
      </c>
      <c r="E33" s="97">
        <f>(C32*C33+(1-C32)*C34)/(2*C33)</f>
        <v>0.49999999999999994</v>
      </c>
    </row>
    <row r="34" spans="1:5" ht="12" thickBot="1">
      <c r="B34" s="98" t="s">
        <v>253</v>
      </c>
      <c r="C34" s="99">
        <f>E32+C33</f>
        <v>0.2</v>
      </c>
      <c r="D34" s="100" t="s">
        <v>258</v>
      </c>
      <c r="E34" s="101">
        <f>-C33/C34</f>
        <v>-1</v>
      </c>
    </row>
    <row r="35" spans="1:5">
      <c r="B35" s="95" t="s">
        <v>254</v>
      </c>
      <c r="C35" s="109"/>
      <c r="D35" s="96" t="s">
        <v>257</v>
      </c>
      <c r="E35" s="97"/>
    </row>
    <row r="36" spans="1:5" ht="12" thickBot="1">
      <c r="B36" s="98" t="s">
        <v>255</v>
      </c>
      <c r="C36" s="99"/>
      <c r="D36" s="100" t="s">
        <v>258</v>
      </c>
      <c r="E36" s="101"/>
    </row>
    <row r="37" spans="1:5">
      <c r="B37" s="102" t="s">
        <v>256</v>
      </c>
      <c r="C37" s="110"/>
      <c r="D37" s="94" t="s">
        <v>259</v>
      </c>
      <c r="E37" s="111"/>
    </row>
    <row r="38" spans="1:5">
      <c r="C38" s="90"/>
    </row>
    <row r="39" spans="1:5">
      <c r="B39" s="20" t="s">
        <v>260</v>
      </c>
    </row>
    <row r="40" spans="1:5">
      <c r="B40" s="150" t="s">
        <v>261</v>
      </c>
      <c r="C40" s="150"/>
      <c r="D40" s="150"/>
      <c r="E40" s="150"/>
    </row>
    <row r="41" spans="1:5">
      <c r="B41" s="151" t="s">
        <v>262</v>
      </c>
      <c r="C41" s="150"/>
      <c r="D41" s="150"/>
      <c r="E41" s="150"/>
    </row>
    <row r="42" spans="1:5">
      <c r="B42" s="151" t="s">
        <v>263</v>
      </c>
      <c r="C42" s="150"/>
      <c r="D42" s="150"/>
      <c r="E42" s="150"/>
    </row>
    <row r="43" spans="1:5">
      <c r="B43" s="151" t="s">
        <v>264</v>
      </c>
      <c r="C43" s="151"/>
      <c r="D43" s="151"/>
      <c r="E43" s="151"/>
    </row>
    <row r="44" spans="1:5" ht="34.25" customHeight="1">
      <c r="B44" s="150" t="s">
        <v>315</v>
      </c>
      <c r="C44" s="150"/>
      <c r="D44" s="150"/>
      <c r="E44" s="150"/>
    </row>
    <row r="46" spans="1:5">
      <c r="A46" s="21" t="s">
        <v>265</v>
      </c>
      <c r="B46" s="21"/>
      <c r="C46" s="21"/>
      <c r="D46" s="21"/>
      <c r="E46" s="21"/>
    </row>
    <row r="48" spans="1:5">
      <c r="B48" s="150" t="s">
        <v>266</v>
      </c>
      <c r="C48" s="150"/>
      <c r="D48" s="150"/>
      <c r="E48" s="150"/>
    </row>
    <row r="50" spans="2:5">
      <c r="B50" s="23" t="s">
        <v>267</v>
      </c>
    </row>
    <row r="52" spans="2:5">
      <c r="B52" s="43" t="s">
        <v>268</v>
      </c>
      <c r="C52" s="43" t="s">
        <v>269</v>
      </c>
      <c r="D52" s="45"/>
      <c r="E52" s="45"/>
    </row>
    <row r="53" spans="2:5">
      <c r="B53" s="26" t="s">
        <v>270</v>
      </c>
      <c r="C53" s="112">
        <f>Portfolio_Mgmt!C60</f>
        <v>0.45</v>
      </c>
      <c r="D53" s="46"/>
      <c r="E53" s="44"/>
    </row>
    <row r="54" spans="2:5">
      <c r="B54" s="26" t="s">
        <v>271</v>
      </c>
      <c r="C54" s="112">
        <f>Portfolio_Mgmt!C61</f>
        <v>0.3</v>
      </c>
      <c r="D54" s="46"/>
      <c r="E54" s="44"/>
    </row>
    <row r="55" spans="2:5">
      <c r="B55" s="26" t="s">
        <v>272</v>
      </c>
      <c r="C55" s="112">
        <f>Portfolio_Mgmt!C62</f>
        <v>0.15</v>
      </c>
      <c r="D55" s="114" t="s">
        <v>313</v>
      </c>
      <c r="E55" s="44"/>
    </row>
    <row r="57" spans="2:5">
      <c r="B57" s="23" t="s">
        <v>273</v>
      </c>
    </row>
    <row r="59" spans="2:5">
      <c r="B59" s="43" t="s">
        <v>250</v>
      </c>
      <c r="C59" s="43" t="s">
        <v>274</v>
      </c>
      <c r="D59" s="43" t="s">
        <v>275</v>
      </c>
      <c r="E59" s="43" t="s">
        <v>276</v>
      </c>
    </row>
    <row r="60" spans="2:5">
      <c r="B60" s="26" t="s">
        <v>277</v>
      </c>
      <c r="C60" s="26" t="s">
        <v>282</v>
      </c>
      <c r="D60" s="26" t="s">
        <v>283</v>
      </c>
      <c r="E60" s="113">
        <f>Portfolio_Mgmt!E67</f>
        <v>1</v>
      </c>
    </row>
    <row r="61" spans="2:5">
      <c r="B61" s="26" t="s">
        <v>278</v>
      </c>
      <c r="C61" s="26" t="s">
        <v>284</v>
      </c>
      <c r="D61" s="26" t="s">
        <v>285</v>
      </c>
      <c r="E61" s="113">
        <f>Portfolio_Mgmt!E68</f>
        <v>0</v>
      </c>
    </row>
    <row r="62" spans="2:5">
      <c r="B62" s="26" t="s">
        <v>279</v>
      </c>
      <c r="C62" s="26" t="s">
        <v>286</v>
      </c>
      <c r="D62" s="26" t="s">
        <v>287</v>
      </c>
      <c r="E62" s="113">
        <f>Portfolio_Mgmt!E69</f>
        <v>1</v>
      </c>
    </row>
    <row r="63" spans="2:5">
      <c r="B63" s="26" t="s">
        <v>280</v>
      </c>
      <c r="C63" s="26" t="s">
        <v>288</v>
      </c>
      <c r="D63" s="26" t="s">
        <v>289</v>
      </c>
      <c r="E63" s="113">
        <f>Portfolio_Mgmt!E70</f>
        <v>1</v>
      </c>
    </row>
    <row r="64" spans="2:5">
      <c r="B64" s="26" t="s">
        <v>281</v>
      </c>
      <c r="C64" s="26" t="s">
        <v>290</v>
      </c>
      <c r="D64" s="26" t="s">
        <v>291</v>
      </c>
      <c r="E64" s="113">
        <f>Portfolio_Mgmt!E71</f>
        <v>1</v>
      </c>
    </row>
    <row r="65" spans="1:5">
      <c r="D65" s="27" t="s">
        <v>292</v>
      </c>
      <c r="E65" s="39">
        <f>SUM(E60:E64)</f>
        <v>4</v>
      </c>
    </row>
    <row r="66" spans="1:5" ht="12" thickBot="1">
      <c r="D66" s="41" t="s">
        <v>293</v>
      </c>
      <c r="E66" s="42">
        <f>IF(E65&lt;=4,C53,IF(E65&gt;=8,C55,C54))</f>
        <v>0.45</v>
      </c>
    </row>
    <row r="67" spans="1:5" ht="12" thickTop="1"/>
    <row r="68" spans="1:5">
      <c r="B68" s="1" t="s">
        <v>294</v>
      </c>
    </row>
    <row r="69" spans="1:5">
      <c r="B69" s="1" t="s">
        <v>295</v>
      </c>
    </row>
    <row r="70" spans="1:5">
      <c r="B70" s="1" t="s">
        <v>296</v>
      </c>
    </row>
    <row r="72" spans="1:5">
      <c r="A72" s="21" t="s">
        <v>297</v>
      </c>
      <c r="B72" s="21"/>
      <c r="C72" s="21"/>
      <c r="D72" s="21"/>
      <c r="E72" s="21"/>
    </row>
    <row r="74" spans="1:5">
      <c r="B74" s="150" t="s">
        <v>298</v>
      </c>
      <c r="C74" s="150"/>
      <c r="D74" s="150"/>
      <c r="E74" s="150"/>
    </row>
    <row r="76" spans="1:5">
      <c r="A76" s="28" t="s">
        <v>55</v>
      </c>
      <c r="B76" s="20" t="s">
        <v>300</v>
      </c>
    </row>
    <row r="77" spans="1:5">
      <c r="B77" s="24" t="s">
        <v>299</v>
      </c>
    </row>
    <row r="79" spans="1:5">
      <c r="A79" s="28" t="s">
        <v>196</v>
      </c>
      <c r="B79" s="20" t="s">
        <v>301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302</v>
      </c>
      <c r="C81" s="91" t="s">
        <v>312</v>
      </c>
    </row>
    <row r="82" spans="1:5">
      <c r="B82" s="104" t="s">
        <v>303</v>
      </c>
      <c r="C82" s="91" t="s">
        <v>187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304</v>
      </c>
    </row>
    <row r="86" spans="1:5">
      <c r="B86" s="1" t="s">
        <v>314</v>
      </c>
    </row>
    <row r="87" spans="1:5">
      <c r="B87" s="1" t="s">
        <v>305</v>
      </c>
    </row>
    <row r="88" spans="1:5">
      <c r="B88" s="1" t="s">
        <v>306</v>
      </c>
    </row>
    <row r="90" spans="1:5">
      <c r="A90" s="21" t="s">
        <v>310</v>
      </c>
      <c r="B90" s="21"/>
      <c r="C90" s="21"/>
      <c r="D90" s="21"/>
      <c r="E90" s="21"/>
    </row>
    <row r="92" spans="1:5">
      <c r="B92" s="20" t="s">
        <v>307</v>
      </c>
    </row>
    <row r="93" spans="1:5">
      <c r="B93" s="24" t="s">
        <v>308</v>
      </c>
    </row>
    <row r="94" spans="1:5">
      <c r="B94" s="24" t="s">
        <v>309</v>
      </c>
    </row>
    <row r="95" spans="1:5">
      <c r="B95" s="24" t="s">
        <v>317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338</v>
      </c>
    </row>
    <row r="3" spans="1:4">
      <c r="B3" s="120" t="s">
        <v>344</v>
      </c>
    </row>
    <row r="5" spans="1:4">
      <c r="A5" s="121" t="s">
        <v>322</v>
      </c>
      <c r="B5" s="122" t="s">
        <v>10</v>
      </c>
    </row>
    <row r="6" spans="1:4">
      <c r="B6" s="123" t="s">
        <v>202</v>
      </c>
      <c r="C6" s="123" t="s">
        <v>201</v>
      </c>
      <c r="D6" s="124"/>
    </row>
    <row r="7" spans="1:4">
      <c r="B7" s="125" t="s">
        <v>204</v>
      </c>
      <c r="C7" s="126">
        <f>Portfolio_Mgmt!C36</f>
        <v>3</v>
      </c>
    </row>
    <row r="8" spans="1:4">
      <c r="B8" s="127" t="s">
        <v>203</v>
      </c>
      <c r="C8" s="128">
        <v>0.6</v>
      </c>
      <c r="D8" s="120" t="s">
        <v>331</v>
      </c>
    </row>
    <row r="9" spans="1:4">
      <c r="B9" s="127" t="s">
        <v>337</v>
      </c>
      <c r="C9" s="128">
        <f>1-C8</f>
        <v>0.4</v>
      </c>
    </row>
    <row r="10" spans="1:4">
      <c r="B10" s="127" t="s">
        <v>335</v>
      </c>
      <c r="C10" s="141">
        <f>Portfolio_Mgmt!C38</f>
        <v>-0.65</v>
      </c>
    </row>
    <row r="12" spans="1:4">
      <c r="B12" s="119" t="s">
        <v>207</v>
      </c>
    </row>
    <row r="13" spans="1:4">
      <c r="B13" s="152" t="s">
        <v>332</v>
      </c>
      <c r="C13" s="152"/>
      <c r="D13" s="152"/>
    </row>
    <row r="14" spans="1:4">
      <c r="B14" s="153" t="s">
        <v>333</v>
      </c>
      <c r="C14" s="154"/>
      <c r="D14" s="154"/>
    </row>
    <row r="16" spans="1:4">
      <c r="A16" s="121" t="s">
        <v>196</v>
      </c>
      <c r="B16" s="122" t="s">
        <v>323</v>
      </c>
    </row>
    <row r="17" spans="1:5">
      <c r="B17" s="123" t="s">
        <v>325</v>
      </c>
      <c r="C17" s="123" t="s">
        <v>336</v>
      </c>
      <c r="D17" s="123" t="s">
        <v>342</v>
      </c>
      <c r="E17" s="123" t="s">
        <v>334</v>
      </c>
    </row>
    <row r="18" spans="1:5">
      <c r="B18" s="127" t="s">
        <v>326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327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324</v>
      </c>
    </row>
    <row r="22" spans="1:5">
      <c r="B22" s="123" t="s">
        <v>330</v>
      </c>
      <c r="C22" s="123" t="s">
        <v>345</v>
      </c>
      <c r="D22" s="123" t="s">
        <v>205</v>
      </c>
    </row>
    <row r="23" spans="1:5">
      <c r="B23" s="127" t="s">
        <v>328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329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4.3499999999999997E-2</v>
      </c>
      <c r="D4" s="34">
        <v>6.7500000000000004E-2</v>
      </c>
      <c r="E4" s="35">
        <f>D4-C4</f>
        <v>2.4000000000000007E-2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347</v>
      </c>
    </row>
    <row r="35" spans="1:5" ht="223.25" customHeight="1">
      <c r="B35" s="155" t="s">
        <v>348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321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175</v>
      </c>
      <c r="L2" s="52" t="s">
        <v>176</v>
      </c>
      <c r="M2" s="52" t="s">
        <v>177</v>
      </c>
    </row>
    <row r="3" spans="1:13" hidden="1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f>462445+111100</f>
        <v>573545</v>
      </c>
      <c r="H3" s="58">
        <f t="shared" ref="H3:H9" si="0">G3/$G$12</f>
        <v>0.44209475578782659</v>
      </c>
      <c r="I3" s="75">
        <f>Portfolio_Mgmt!E73</f>
        <v>0.45</v>
      </c>
      <c r="J3" s="80" t="s">
        <v>178</v>
      </c>
      <c r="K3" s="80" t="s">
        <v>178</v>
      </c>
      <c r="L3" s="80" t="s">
        <v>178</v>
      </c>
      <c r="M3" s="80" t="s">
        <v>178</v>
      </c>
    </row>
    <row r="4" spans="1:13">
      <c r="B4" s="63" t="s">
        <v>366</v>
      </c>
      <c r="C4" s="62" t="str">
        <f>VLOOKUP(B4,Opportunities!B$3:E$30,2,FALSE)</f>
        <v>维他奶</v>
      </c>
      <c r="D4" s="60">
        <f>VLOOKUP(B4,Opportunities!B$3:E$30,3,FALSE)</f>
        <v>6.34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63400</v>
      </c>
      <c r="H4" s="58">
        <f t="shared" si="0"/>
        <v>4.8869413066016103E-2</v>
      </c>
      <c r="I4" s="58">
        <f>VLOOKUP(B4,Opportunities!B$3:H$30,6,FALSE)</f>
        <v>0.10479684973015331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354</v>
      </c>
      <c r="C5" s="62" t="str">
        <f>VLOOKUP(B5,Opportunities!B$3:E$30,2,FALSE)</f>
        <v>京东集团</v>
      </c>
      <c r="D5" s="60">
        <f>VLOOKUP(B5,Opportunities!B$3:E$30,3,FALSE)</f>
        <v>112.9</v>
      </c>
      <c r="E5" s="59" t="str">
        <f>VLOOKUP(B5,Opportunities!B$3:E$30,4,FALSE)</f>
        <v>HKD</v>
      </c>
      <c r="F5" s="57">
        <v>2500</v>
      </c>
      <c r="G5" s="61">
        <f t="shared" si="1"/>
        <v>282250</v>
      </c>
      <c r="H5" s="58">
        <f t="shared" si="0"/>
        <v>0.21756138545556852</v>
      </c>
      <c r="I5" s="58">
        <f>VLOOKUP(B5,Opportunities!B$3:H$30,6,FALSE)</f>
        <v>5.7861363833229977E-2</v>
      </c>
      <c r="J5" s="81">
        <f>VLOOKUP(B5,Opportunities!B$3:L$30,10,FALSE)</f>
        <v>109.42902848697145</v>
      </c>
      <c r="K5" s="81">
        <f>VLOOKUP(B5,Opportunities!B$3:L$30,7,FALSE)</f>
        <v>86.628066101723547</v>
      </c>
      <c r="L5" s="81">
        <f>VLOOKUP(B5,Opportunities!B$3:L$30,9,FALSE)</f>
        <v>152.09245880426215</v>
      </c>
      <c r="M5" s="81">
        <f>VLOOKUP(B5,Opportunities!B$3:L$30,11,FALSE)</f>
        <v>134.84525139520019</v>
      </c>
    </row>
    <row r="6" spans="1:13">
      <c r="B6" s="63" t="s">
        <v>320</v>
      </c>
      <c r="C6" s="62" t="str">
        <f>VLOOKUP(B6,Opportunities!B$3:E$30,2,FALSE)</f>
        <v>昆仑能源</v>
      </c>
      <c r="D6" s="60">
        <f>VLOOKUP(B6,Opportunities!B$3:E$30,3,FALSE)</f>
        <v>7.18</v>
      </c>
      <c r="E6" s="59" t="str">
        <f>VLOOKUP(B6,Opportunities!B$3:E$30,4,FALSE)</f>
        <v>HKD</v>
      </c>
      <c r="F6" s="57">
        <v>8000</v>
      </c>
      <c r="G6" s="61">
        <f t="shared" si="1"/>
        <v>57440</v>
      </c>
      <c r="H6" s="58">
        <f t="shared" si="0"/>
        <v>4.4275379913437933E-2</v>
      </c>
      <c r="I6" s="58">
        <f>VLOOKUP(B6,Opportunities!B$3:H$30,6,FALSE)</f>
        <v>5.7849405855317892E-2</v>
      </c>
      <c r="J6" s="81">
        <f>VLOOKUP(B6,Opportunities!B$3:L$30,10,FALSE)</f>
        <v>7.3764085520869402</v>
      </c>
      <c r="K6" s="81">
        <f>VLOOKUP(B6,Opportunities!B$3:L$30,7,FALSE)</f>
        <v>5.8531553267288263</v>
      </c>
      <c r="L6" s="81">
        <f>VLOOKUP(B6,Opportunities!B$3:L$30,9,FALSE)</f>
        <v>10.223148602110554</v>
      </c>
      <c r="M6" s="81">
        <f>VLOOKUP(B6,Opportunities!B$3:L$30,11,FALSE)</f>
        <v>9.0727573917430053</v>
      </c>
    </row>
    <row r="7" spans="1:13">
      <c r="B7" s="63" t="s">
        <v>349</v>
      </c>
      <c r="C7" s="62" t="str">
        <f>VLOOKUP(B7,Opportunities!B$3:E$30,2,FALSE)</f>
        <v>新华文轩</v>
      </c>
      <c r="D7" s="60">
        <f>VLOOKUP(B7,Opportunities!B$3:E$30,3,FALSE)</f>
        <v>10.220000000000001</v>
      </c>
      <c r="E7" s="59" t="str">
        <f>VLOOKUP(B7,Opportunities!B$3:E$30,4,FALSE)</f>
        <v>HKD</v>
      </c>
      <c r="F7" s="57">
        <v>15000</v>
      </c>
      <c r="G7" s="61">
        <f t="shared" si="1"/>
        <v>153300</v>
      </c>
      <c r="H7" s="58">
        <f t="shared" si="0"/>
        <v>0.11816531582050897</v>
      </c>
      <c r="I7" s="58">
        <f>VLOOKUP(B7,Opportunities!B$3:H$30,6,FALSE)</f>
        <v>0.13981796576577574</v>
      </c>
      <c r="J7" s="81">
        <f>VLOOKUP(B7,Opportunities!B$3:L$30,10,FALSE)</f>
        <v>12.218089145906044</v>
      </c>
      <c r="K7" s="81">
        <f>VLOOKUP(B7,Opportunities!B$3:L$30,7,FALSE)</f>
        <v>9.7075341889511311</v>
      </c>
      <c r="L7" s="81">
        <f>VLOOKUP(B7,Opportunities!B$3:L$30,9,FALSE)</f>
        <v>16.906770477370156</v>
      </c>
      <c r="M7" s="81">
        <f>VLOOKUP(B7,Opportunities!B$3:L$30,11,FALSE)</f>
        <v>15.012439335256746</v>
      </c>
    </row>
    <row r="8" spans="1:13">
      <c r="B8" s="63" t="s">
        <v>318</v>
      </c>
      <c r="C8" s="62" t="str">
        <f>VLOOKUP(B8,Opportunities!B$3:E$30,2,FALSE)</f>
        <v>大家乐集团</v>
      </c>
      <c r="D8" s="60">
        <f>VLOOKUP(B8,Opportunities!B$3:E$30,3,FALSE)</f>
        <v>4.37</v>
      </c>
      <c r="E8" s="59" t="str">
        <f>VLOOKUP(B8,Opportunities!B$3:E$30,4,FALSE)</f>
        <v>HKD</v>
      </c>
      <c r="F8" s="57">
        <v>12000</v>
      </c>
      <c r="G8" s="61">
        <f t="shared" si="1"/>
        <v>52440</v>
      </c>
      <c r="H8" s="58">
        <f t="shared" si="0"/>
        <v>4.0421325255234772E-2</v>
      </c>
      <c r="I8" s="58">
        <f>VLOOKUP(B8,Opportunities!B$3:H$30,6,FALSE)</f>
        <v>5.0354730619717264E-2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388</v>
      </c>
      <c r="C9" s="62" t="str">
        <f>VLOOKUP(B9,Opportunities!B$3:E$30,2,FALSE)</f>
        <v>腾讯音乐</v>
      </c>
      <c r="D9" s="60">
        <f>VLOOKUP(B9,Opportunities!B$3:E$30,3,FALSE)</f>
        <v>36.479999999999997</v>
      </c>
      <c r="E9" s="59" t="str">
        <f>VLOOKUP(B9,Opportunities!B$3:E$30,4,FALSE)</f>
        <v>HKD</v>
      </c>
      <c r="F9" s="57">
        <v>2000</v>
      </c>
      <c r="G9" s="61">
        <f t="shared" ref="G9" si="2">D9*F9</f>
        <v>72960</v>
      </c>
      <c r="H9" s="58">
        <f t="shared" si="0"/>
        <v>5.6238365572500552E-2</v>
      </c>
      <c r="I9" s="58">
        <f>VLOOKUP(B9,Opportunities!B$3:H$30,6,FALSE)</f>
        <v>0.12146397439639096</v>
      </c>
      <c r="J9" s="81">
        <f>VLOOKUP(B9,Opportunities!B$3:L$30,10,FALSE)</f>
        <v>41.206258319106226</v>
      </c>
      <c r="K9" s="81">
        <f>VLOOKUP(B9,Opportunities!B$3:L$30,7,FALSE)</f>
        <v>32.432459888673442</v>
      </c>
      <c r="L9" s="81">
        <f>VLOOKUP(B9,Opportunities!B$3:L$30,9,FALSE)</f>
        <v>57.670470291434079</v>
      </c>
      <c r="M9" s="81">
        <f>VLOOKUP(B9,Opportunities!B$3:L$30,11,FALSE)</f>
        <v>51.008614564053516</v>
      </c>
    </row>
    <row r="10" spans="1:13">
      <c r="B10" s="63" t="s">
        <v>319</v>
      </c>
      <c r="C10" s="62" t="str">
        <f>VLOOKUP(B10,Opportunities!B$3:E$30,2,FALSE)</f>
        <v>中国飞鹤</v>
      </c>
      <c r="D10" s="60">
        <f>VLOOKUP(B10,Opportunities!B$3:E$30,3,FALSE)</f>
        <v>3.5</v>
      </c>
      <c r="E10" s="59" t="str">
        <f>VLOOKUP(B10,Opportunities!B$3:E$30,4,FALSE)</f>
        <v>HKD</v>
      </c>
      <c r="F10" s="57">
        <v>12000</v>
      </c>
      <c r="G10" s="61">
        <f t="shared" si="1"/>
        <v>42000</v>
      </c>
      <c r="H10" s="58">
        <f t="shared" ref="H10" si="3">G10/$G$12</f>
        <v>3.237405912890657E-2</v>
      </c>
      <c r="I10" s="58">
        <f>VLOOKUP(B10,Opportunities!B$3:H$30,6,FALSE)</f>
        <v>0</v>
      </c>
      <c r="J10" s="81">
        <f>VLOOKUP(B10,Opportunities!B$3:L$30,10,FALSE)</f>
        <v>2.9971589246973531</v>
      </c>
      <c r="K10" s="81">
        <f>VLOOKUP(B10,Opportunities!B$3:L$30,7,FALSE)</f>
        <v>2.3958673745457557</v>
      </c>
      <c r="L10" s="81">
        <f>VLOOKUP(B10,Opportunities!B$3:L$30,9,FALSE)</f>
        <v>4.1164039967851194</v>
      </c>
      <c r="M10" s="81">
        <f>VLOOKUP(B10,Opportunities!B$3:L$30,11,FALSE)</f>
        <v>3.6646763720150561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155</v>
      </c>
      <c r="G12" s="66">
        <f>SUM(G3:G10)</f>
        <v>1297335</v>
      </c>
      <c r="H12" s="67">
        <f>SUM(H3:H10)</f>
        <v>0.99999999999999989</v>
      </c>
      <c r="I12" s="73">
        <f>SUM(I3:I10)</f>
        <v>0.98214429020058525</v>
      </c>
      <c r="J12" s="82" t="s">
        <v>178</v>
      </c>
      <c r="K12" s="82" t="s">
        <v>178</v>
      </c>
      <c r="L12" s="82" t="s">
        <v>178</v>
      </c>
      <c r="M12" s="82" t="s">
        <v>178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153</v>
      </c>
      <c r="C14" s="115"/>
    </row>
    <row r="15" spans="1:13">
      <c r="B15" s="63" t="s">
        <v>354</v>
      </c>
      <c r="C15" s="62" t="str">
        <f>VLOOKUP(B15,Opportunities!B$3:E$30,2,FALSE)</f>
        <v>京东集团</v>
      </c>
      <c r="D15" s="60">
        <f>VLOOKUP(B15,Opportunities!B$3:E$30,3,FALSE)</f>
        <v>112.9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5.7861363833229977E-2</v>
      </c>
      <c r="J15" s="81">
        <f>VLOOKUP(B15,Opportunities!B$3:L$30,10,FALSE)</f>
        <v>109.42902848697145</v>
      </c>
      <c r="K15" s="81">
        <f>VLOOKUP(B15,Opportunities!B$3:L$30,7,FALSE)</f>
        <v>86.628066101723547</v>
      </c>
      <c r="L15" s="81">
        <f>VLOOKUP(B15,Opportunities!B$3:L$30,9,FALSE)</f>
        <v>152.09245880426215</v>
      </c>
      <c r="M15" s="81">
        <f>VLOOKUP(B15,Opportunities!B$3:L$30,11,FALSE)</f>
        <v>134.84525139520019</v>
      </c>
    </row>
    <row r="16" spans="1:13">
      <c r="B16" s="63" t="s">
        <v>163</v>
      </c>
      <c r="C16" s="62" t="str">
        <f>VLOOKUP(B16,Opportunities!B$3:E$30,2,FALSE)</f>
        <v>中国海油</v>
      </c>
      <c r="D16" s="60">
        <f>VLOOKUP(B16,Opportunities!B$3:E$30,3,FALSE)</f>
        <v>26.96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17.683676650798503</v>
      </c>
      <c r="K16" s="81">
        <f>VLOOKUP(B16,Opportunities!B$3:L$30,7,FALSE)</f>
        <v>14.109418867810565</v>
      </c>
      <c r="L16" s="81">
        <f>VLOOKUP(B16,Opportunities!B$3:L$30,9,FALSE)</f>
        <v>24.343752532454332</v>
      </c>
      <c r="M16" s="81">
        <f>VLOOKUP(B16,Opportunities!B$3:L$30,11,FALSE)</f>
        <v>21.654859269386595</v>
      </c>
    </row>
    <row r="17" spans="1:13">
      <c r="B17" s="63" t="s">
        <v>388</v>
      </c>
      <c r="C17" s="62" t="str">
        <f>VLOOKUP(B17,Opportunities!B$3:E$30,2,FALSE)</f>
        <v>腾讯音乐</v>
      </c>
      <c r="D17" s="60">
        <f>VLOOKUP(B17,Opportunities!B$3:E$30,3,FALSE)</f>
        <v>36.479999999999997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0.12146397439639096</v>
      </c>
      <c r="J17" s="81">
        <f>VLOOKUP(B17,Opportunities!B$3:L$30,10,FALSE)</f>
        <v>41.206258319106226</v>
      </c>
      <c r="K17" s="81">
        <f>VLOOKUP(B17,Opportunities!B$3:L$30,7,FALSE)</f>
        <v>32.432459888673442</v>
      </c>
      <c r="L17" s="81">
        <f>VLOOKUP(B17,Opportunities!B$3:L$30,9,FALSE)</f>
        <v>57.670470291434079</v>
      </c>
      <c r="M17" s="81">
        <f>VLOOKUP(B17,Opportunities!B$3:L$30,11,FALSE)</f>
        <v>51.008614564053516</v>
      </c>
    </row>
    <row r="18" spans="1:13">
      <c r="B18" s="63" t="s">
        <v>349</v>
      </c>
      <c r="C18" s="62" t="str">
        <f>VLOOKUP(B18,Opportunities!B$3:E$30,2,FALSE)</f>
        <v>新华文轩</v>
      </c>
      <c r="D18" s="60">
        <f>VLOOKUP(B18,Opportunities!B$3:E$30,3,FALSE)</f>
        <v>10.220000000000001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0.13981796576577574</v>
      </c>
      <c r="J18" s="81">
        <f>VLOOKUP(B18,Opportunities!B$3:L$30,10,FALSE)</f>
        <v>12.218089145906044</v>
      </c>
      <c r="K18" s="81">
        <f>VLOOKUP(B18,Opportunities!B$3:L$30,7,FALSE)</f>
        <v>9.7075341889511311</v>
      </c>
      <c r="L18" s="81">
        <f>VLOOKUP(B18,Opportunities!B$3:L$30,9,FALSE)</f>
        <v>16.906770477370156</v>
      </c>
      <c r="M18" s="81">
        <f>VLOOKUP(B18,Opportunities!B$3:L$30,11,FALSE)</f>
        <v>15.012439335256746</v>
      </c>
    </row>
    <row r="19" spans="1:13">
      <c r="B19" s="63" t="s">
        <v>320</v>
      </c>
      <c r="C19" s="62" t="str">
        <f>VLOOKUP(B19,Opportunities!B$3:E$30,2,FALSE)</f>
        <v>昆仑能源</v>
      </c>
      <c r="D19" s="60">
        <f>VLOOKUP(B19,Opportunities!B$3:E$30,3,FALSE)</f>
        <v>7.18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5.7849405855317892E-2</v>
      </c>
      <c r="J19" s="81">
        <f>VLOOKUP(B19,Opportunities!B$3:L$30,10,FALSE)</f>
        <v>7.3764085520869402</v>
      </c>
      <c r="K19" s="81">
        <f>VLOOKUP(B19,Opportunities!B$3:L$30,7,FALSE)</f>
        <v>5.8531553267288263</v>
      </c>
      <c r="L19" s="81">
        <f>VLOOKUP(B19,Opportunities!B$3:L$30,9,FALSE)</f>
        <v>10.223148602110554</v>
      </c>
      <c r="M19" s="81">
        <f>VLOOKUP(B19,Opportunities!B$3:L$30,11,FALSE)</f>
        <v>9.0727573917430053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154</v>
      </c>
      <c r="C22" s="68"/>
      <c r="D22" s="69" t="s">
        <v>150</v>
      </c>
      <c r="E22" s="70" t="s">
        <v>129</v>
      </c>
      <c r="F22" s="69" t="s">
        <v>150</v>
      </c>
      <c r="G22" s="66">
        <f>G3+SUM(G15:G19)</f>
        <v>573545</v>
      </c>
      <c r="H22" s="73">
        <f t="shared" ref="H22" si="6">G22/$G$12</f>
        <v>0.44209475578782659</v>
      </c>
      <c r="I22" s="73">
        <f>Portfolio_Mgmt!E73</f>
        <v>0.45</v>
      </c>
      <c r="J22" s="82" t="s">
        <v>178</v>
      </c>
      <c r="K22" s="82" t="s">
        <v>178</v>
      </c>
      <c r="L22" s="82" t="s">
        <v>178</v>
      </c>
      <c r="M22" s="82" t="s">
        <v>178</v>
      </c>
    </row>
    <row r="24" spans="1:13" ht="13.15">
      <c r="A24" s="49"/>
      <c r="B24" s="50" t="s">
        <v>179</v>
      </c>
      <c r="C24" s="115"/>
      <c r="D24" s="56"/>
      <c r="E24" s="53"/>
      <c r="F24" s="57"/>
      <c r="G24" s="57"/>
    </row>
    <row r="25" spans="1:13" ht="13.15">
      <c r="C25" s="84" t="s">
        <v>180</v>
      </c>
      <c r="D25" s="84" t="s">
        <v>183</v>
      </c>
      <c r="F25" s="84" t="s">
        <v>184</v>
      </c>
    </row>
    <row r="26" spans="1:13" ht="14.25">
      <c r="B26" s="83" t="s">
        <v>181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182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185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2026-04-01T09:20:07Z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