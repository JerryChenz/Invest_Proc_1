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24BDAA5-5D12-4461-AF63-04450B7385E4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<sst xmlns="http://schemas.openxmlformats.org/spreadsheetml/2006/main" count="472" uniqueCount="384">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</sst>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2.62</v>
      </c>
      <c r="E3" s="12" t="s">
        <v>136</v>
      </c>
      <c r="F3" s="15">
        <v>0.28412064787572122</v>
      </c>
      <c r="G3" s="15">
        <f>F3 - Portfolio_Mgmt!$C$10</f>
        <v>0.16672064787572122</v>
      </c>
      <c r="H3" s="15">
        <f>F3 - Portfolio_Mgmt!$C$11</f>
        <v>0.24962064787572122</v>
      </c>
      <c r="I3" s="15">
        <v>0.14803684368711717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8.1854774938882657E-2</v>
      </c>
      <c r="P3" s="4">
        <v>0.10305343511450382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18.34</v>
      </c>
      <c r="E4" s="12" t="s">
        <v>136</v>
      </c>
      <c r="F4" s="15">
        <v>0.21764337272581025</v>
      </c>
      <c r="G4" s="15">
        <f>F4 - Portfolio_Mgmt!$C$10</f>
        <v>0.10024337272581024</v>
      </c>
      <c r="H4" s="15">
        <f>F4 - Portfolio_Mgmt!$C$11</f>
        <v>0.18314337272581024</v>
      </c>
      <c r="I4" s="15">
        <v>0</v>
      </c>
      <c r="J4" s="2">
        <v>13.699135319546153</v>
      </c>
      <c r="K4" s="2">
        <v>28.447660061828369</v>
      </c>
      <c r="L4" s="74">
        <v>26.175907076823623</v>
      </c>
      <c r="M4" s="2">
        <v>17.024721951656126</v>
      </c>
      <c r="N4" s="2">
        <v>23.430035944950305</v>
      </c>
      <c r="O4" s="4">
        <v>0.11286294437894925</v>
      </c>
      <c r="P4" s="4">
        <v>6.8702290076335881E-2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-0.45864784781871226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2.08</v>
      </c>
      <c r="E5" s="12" t="s">
        <v>136</v>
      </c>
      <c r="F5" s="15">
        <v>0.20257445758646853</v>
      </c>
      <c r="G5" s="15">
        <f>F5 - Portfolio_Mgmt!$C$10</f>
        <v>8.5174457586468522E-2</v>
      </c>
      <c r="H5" s="15">
        <f>F5 - Portfolio_Mgmt!$C$11</f>
        <v>0.16807445758646852</v>
      </c>
      <c r="I5" s="15">
        <v>0</v>
      </c>
      <c r="J5" s="2">
        <v>1.4894312168913264</v>
      </c>
      <c r="K5" s="2">
        <v>3.2890343302589979</v>
      </c>
      <c r="L5" s="74">
        <v>2.881590264210395</v>
      </c>
      <c r="M5" s="2">
        <v>1.8596655770926069</v>
      </c>
      <c r="N5" s="2">
        <v>2.5745838205300959</v>
      </c>
      <c r="O5" s="4">
        <v>6.4952890843471014E-2</v>
      </c>
      <c r="P5" s="4">
        <v>4.3269230769230775E-2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1.8486686108860511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3.37</v>
      </c>
      <c r="E6" s="12" t="s">
        <v>136</v>
      </c>
      <c r="F6" s="15">
        <v>0.19052491213845579</v>
      </c>
      <c r="G6" s="15">
        <f>F6 - Portfolio_Mgmt!$C$10</f>
        <v>7.3124912138455789E-2</v>
      </c>
      <c r="H6" s="15">
        <f>F6 - Portfolio_Mgmt!$C$11</f>
        <v>0.15602491213845579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8.4261880535217951E-2</v>
      </c>
      <c r="P6" s="4">
        <v>3.7982195845697328E-2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16.28</v>
      </c>
      <c r="E7" s="12" t="s">
        <v>136</v>
      </c>
      <c r="F7" s="15">
        <v>0.18902850902186308</v>
      </c>
      <c r="G7" s="15">
        <f>F7 - Portfolio_Mgmt!$C$10</f>
        <v>7.1628509021863074E-2</v>
      </c>
      <c r="H7" s="15">
        <f>F7 - Portfolio_Mgmt!$C$11</f>
        <v>0.15452850902186308</v>
      </c>
      <c r="I7" s="15">
        <v>0</v>
      </c>
      <c r="J7" s="2">
        <v>11.234570427933917</v>
      </c>
      <c r="K7" s="2">
        <v>25.634385847920406</v>
      </c>
      <c r="L7" s="74">
        <v>21.885459058351316</v>
      </c>
      <c r="M7" s="2">
        <v>14.063669774558749</v>
      </c>
      <c r="N7" s="2">
        <v>19.534115524754309</v>
      </c>
      <c r="O7" s="4">
        <v>6.292382579082581E-2</v>
      </c>
      <c r="P7" s="4">
        <v>2.954395102935755E-2</v>
      </c>
      <c r="Q7" s="4">
        <v>0.12359646957218277</v>
      </c>
      <c r="R7" s="4">
        <v>0.1233188736096833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4.613256650099725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52.2</v>
      </c>
      <c r="E8" s="12" t="s">
        <v>136</v>
      </c>
      <c r="F8" s="15">
        <v>0.14971866535879585</v>
      </c>
      <c r="G8" s="15">
        <f>F8 - Portfolio_Mgmt!$C$10</f>
        <v>3.2318665358795851E-2</v>
      </c>
      <c r="H8" s="15">
        <f>F8 - Portfolio_Mgmt!$C$11</f>
        <v>0.11521866535879585</v>
      </c>
      <c r="I8" s="15">
        <v>0</v>
      </c>
      <c r="J8" s="2">
        <v>32.759109647409261</v>
      </c>
      <c r="K8" s="2">
        <v>73.04990846995436</v>
      </c>
      <c r="L8" s="74">
        <v>63.507727353800057</v>
      </c>
      <c r="M8" s="2">
        <v>40.933532078018317</v>
      </c>
      <c r="N8" s="2">
        <v>56.724682454402206</v>
      </c>
      <c r="O8" s="4">
        <v>4.4230375279018005E-2</v>
      </c>
      <c r="P8" s="4">
        <v>3.4663131059230724E-2</v>
      </c>
      <c r="Q8" s="4">
        <v>0.13507548051899534</v>
      </c>
      <c r="R8" s="4">
        <v>0.12563527551459933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1.3600765840077056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208</v>
      </c>
      <c r="C9" s="11" t="s">
        <v>217</v>
      </c>
      <c r="D9" s="2">
        <v>26.45</v>
      </c>
      <c r="E9" s="12" t="s">
        <v>206</v>
      </c>
      <c r="F9" s="15">
        <v>0.14798816961555117</v>
      </c>
      <c r="G9" s="15">
        <f>F9 - Portfolio_Mgmt!$C$10</f>
        <v>3.0588169615551164E-2</v>
      </c>
      <c r="H9" s="15">
        <f>F9 - Portfolio_Mgmt!$C$11</f>
        <v>0.11348816961555117</v>
      </c>
      <c r="I9" s="15">
        <v>0</v>
      </c>
      <c r="J9" s="2">
        <v>16.586017104127016</v>
      </c>
      <c r="K9" s="2">
        <v>36.134621832566509</v>
      </c>
      <c r="L9" s="74">
        <v>31.999534598013469</v>
      </c>
      <c r="M9" s="2">
        <v>20.68716637827405</v>
      </c>
      <c r="N9" s="2">
        <v>28.601981247202922</v>
      </c>
      <c r="O9" s="4">
        <v>9.5998767764952656E-2</v>
      </c>
      <c r="P9" s="4">
        <v>4.2344045368620034E-2</v>
      </c>
      <c r="Q9" s="4">
        <v>8.3350635997632802E-2</v>
      </c>
      <c r="R9" s="4">
        <v>0.15660042549334799</v>
      </c>
      <c r="S9" s="82">
        <v>0.29736257886212014</v>
      </c>
      <c r="T9" s="81">
        <v>1.7899036999493159</v>
      </c>
      <c r="U9" s="15">
        <v>0.40281804358844397</v>
      </c>
      <c r="V9" s="79">
        <v>3.955391512509995</v>
      </c>
      <c r="W9" s="74">
        <v>-26.938493611476797</v>
      </c>
      <c r="X9" s="13" t="s">
        <v>209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58.7</v>
      </c>
      <c r="E10" s="12" t="s">
        <v>136</v>
      </c>
      <c r="F10" s="15">
        <v>0.14387950858103093</v>
      </c>
      <c r="G10" s="15">
        <f>F10 - Portfolio_Mgmt!$C$10</f>
        <v>2.6479508581030931E-2</v>
      </c>
      <c r="H10" s="15">
        <f>F10 - Portfolio_Mgmt!$C$11</f>
        <v>0.10937950858103093</v>
      </c>
      <c r="I10" s="15">
        <v>0</v>
      </c>
      <c r="J10" s="2">
        <v>37.202495852576902</v>
      </c>
      <c r="K10" s="2">
        <v>70.242180695783915</v>
      </c>
      <c r="L10" s="74">
        <v>69.811199329998246</v>
      </c>
      <c r="M10" s="2">
        <v>45.923949636241368</v>
      </c>
      <c r="N10" s="2">
        <v>62.656963672625629</v>
      </c>
      <c r="O10" s="4">
        <v>9.0605604617771354E-2</v>
      </c>
      <c r="P10" s="4">
        <v>8.6923935264054508E-2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-2.6747933489227389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185</v>
      </c>
      <c r="C11" s="11" t="s">
        <v>186</v>
      </c>
      <c r="D11" s="2">
        <v>7.01</v>
      </c>
      <c r="E11" s="12" t="s">
        <v>136</v>
      </c>
      <c r="F11" s="15">
        <v>0.13598481858615585</v>
      </c>
      <c r="G11" s="15">
        <f>F11 - Portfolio_Mgmt!$C$10</f>
        <v>1.8584818586155849E-2</v>
      </c>
      <c r="H11" s="15">
        <f>F11 - Portfolio_Mgmt!$C$11</f>
        <v>0.10148481858615585</v>
      </c>
      <c r="I11" s="15">
        <v>0</v>
      </c>
      <c r="J11" s="2">
        <v>4.2973171802442138</v>
      </c>
      <c r="K11" s="2">
        <v>8.9134184108987782</v>
      </c>
      <c r="L11" s="74">
        <v>8.2092979253592482</v>
      </c>
      <c r="M11" s="2">
        <v>5.3400695582579019</v>
      </c>
      <c r="N11" s="2">
        <v>7.348387463149999</v>
      </c>
      <c r="O11" s="4">
        <v>0.11251987737140491</v>
      </c>
      <c r="P11" s="4">
        <v>5.6739737427045661E-2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-3.88278933712267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24.27</v>
      </c>
      <c r="E12" s="12" t="s">
        <v>206</v>
      </c>
      <c r="F12" s="15">
        <v>0.125910335738461</v>
      </c>
      <c r="G12" s="15">
        <f>F12 - Portfolio_Mgmt!$C$10</f>
        <v>8.5103357384609946E-3</v>
      </c>
      <c r="H12" s="15">
        <f>F12 - Portfolio_Mgmt!$C$11</f>
        <v>9.1410335738460996E-2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0.18784349185571464</v>
      </c>
      <c r="P12" s="4">
        <v>1.7120725175113309E-2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6.09</v>
      </c>
      <c r="E13" s="12" t="s">
        <v>136</v>
      </c>
      <c r="F13" s="15">
        <v>0.12105828462833323</v>
      </c>
      <c r="G13" s="15">
        <f>F13 - Portfolio_Mgmt!$C$10</f>
        <v>3.6582846283332304E-3</v>
      </c>
      <c r="H13" s="15">
        <f>F13 - Portfolio_Mgmt!$C$11</f>
        <v>8.6558284628333232E-2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6.0657164916992627E-2</v>
      </c>
      <c r="P13" s="4">
        <v>5.9113300492610835E-2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16.059999999999999</v>
      </c>
      <c r="E14" s="12" t="s">
        <v>136</v>
      </c>
      <c r="F14" s="15">
        <v>0.10038068682203893</v>
      </c>
      <c r="G14" s="15">
        <f>F14 - Portfolio_Mgmt!$C$10</f>
        <v>-1.7019313177961071E-2</v>
      </c>
      <c r="H14" s="15">
        <f>F14 - Portfolio_Mgmt!$C$11</f>
        <v>6.5880686822038931E-2</v>
      </c>
      <c r="I14" s="15">
        <v>0</v>
      </c>
      <c r="J14" s="2">
        <v>8.9922022406924391</v>
      </c>
      <c r="K14" s="2">
        <v>18.606441375593661</v>
      </c>
      <c r="L14" s="2">
        <v>17.169900962627121</v>
      </c>
      <c r="M14" s="2">
        <v>11.172188699823955</v>
      </c>
      <c r="N14" s="2">
        <v>15.37037589106744</v>
      </c>
      <c r="O14" s="4">
        <v>9.6716474822229823E-2</v>
      </c>
      <c r="P14" s="4">
        <v>5.2495595267745956E-2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8.6199999999999992</v>
      </c>
      <c r="E15" s="12" t="s">
        <v>136</v>
      </c>
      <c r="F15" s="15">
        <v>9.3530507710383848E-2</v>
      </c>
      <c r="G15" s="15">
        <f>F15 - Portfolio_Mgmt!$C$10</f>
        <v>-2.3869492289616157E-2</v>
      </c>
      <c r="H15" s="15">
        <f>F15 - Portfolio_Mgmt!$C$11</f>
        <v>5.9030507710383845E-2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3.583507795617924E-2</v>
      </c>
      <c r="P15" s="4">
        <v>6.7285382830626447E-2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21.1</v>
      </c>
      <c r="E16" s="12" t="s">
        <v>136</v>
      </c>
      <c r="F16" s="15">
        <v>7.717272420633603E-2</v>
      </c>
      <c r="G16" s="15">
        <f>F16 - Portfolio_Mgmt!$C$10</f>
        <v>-4.0227275793663975E-2</v>
      </c>
      <c r="H16" s="15">
        <f>F16 - Portfolio_Mgmt!$C$11</f>
        <v>4.2672724206336027E-2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8.1895072008039305E-2</v>
      </c>
      <c r="P16" s="4">
        <v>6.4454976303317535E-2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2.63</v>
      </c>
      <c r="E17" s="12" t="s">
        <v>136</v>
      </c>
      <c r="F17" s="15">
        <v>6.7197000829367193E-2</v>
      </c>
      <c r="G17" s="15">
        <f>F17 - Portfolio_Mgmt!$C$10</f>
        <v>-5.0202999170632812E-2</v>
      </c>
      <c r="H17" s="15">
        <f>F17 - Portfolio_Mgmt!$C$11</f>
        <v>3.269700082936719E-2</v>
      </c>
      <c r="I17" s="15">
        <v>0</v>
      </c>
      <c r="J17" s="2">
        <v>1.3430276346333139</v>
      </c>
      <c r="K17" s="2">
        <v>2.8391627866051792</v>
      </c>
      <c r="L17" s="2">
        <v>2.5753447170516051</v>
      </c>
      <c r="M17" s="2">
        <v>1.671278332020137</v>
      </c>
      <c r="N17" s="2">
        <v>2.3039787098477307</v>
      </c>
      <c r="O17" s="4">
        <v>3.2043163996879433E-2</v>
      </c>
      <c r="P17" s="4">
        <v>4.2391343825633698E-2</v>
      </c>
      <c r="Q17" s="4">
        <v>4.334271043779122E-2</v>
      </c>
      <c r="R17" s="4">
        <v>8.4127078218191029E-2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1.9135479142521319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2.19</v>
      </c>
      <c r="E18" s="12" t="s">
        <v>136</v>
      </c>
      <c r="F18" s="15">
        <v>-1.1844276894026895E-2</v>
      </c>
      <c r="G18" s="15">
        <f>F18 - Portfolio_Mgmt!$C$10</f>
        <v>-0.1292442768940269</v>
      </c>
      <c r="H18" s="15">
        <f>F18 - Portfolio_Mgmt!$C$11</f>
        <v>-4.6344276894026898E-2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4.3779252258159427E-3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4.4199999999999996E-2</v>
      </c>
      <c r="D4" s="34">
        <v>7.4999999999999997E-2</v>
      </c>
      <c r="E4" s="35">
        <f>D4-C4</f>
        <v>3.0800000000000001E-2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0.43665299554903264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7.01</v>
      </c>
      <c r="D4" s="62" t="str">
        <f>VLOOKUP(B4,Opportunities!B$3:E$30,4,FALSE)</f>
        <v>HKD</v>
      </c>
      <c r="E4" s="59">
        <v>10000</v>
      </c>
      <c r="F4" s="64">
        <f>E4*C4</f>
        <v>70100</v>
      </c>
      <c r="G4" s="61">
        <f>F4/$F$10</f>
        <v>7.4645820754598538E-2</v>
      </c>
      <c r="H4" s="61">
        <f>VLOOKUP(B4,Opportunities!B$3:I$30,8,FALSE)</f>
        <v>0</v>
      </c>
      <c r="I4" s="84">
        <f>VLOOKUP(B4,Opportunities!B$3:N$30,12,FALSE)</f>
        <v>5.3400695582579019</v>
      </c>
      <c r="J4" s="84">
        <f>VLOOKUP(B4,Opportunities!B$3:N$30,9,FALSE)</f>
        <v>4.2973171802442138</v>
      </c>
      <c r="K4" s="84">
        <f>VLOOKUP(B4,Opportunities!B$3:N$30,11,FALSE)</f>
        <v>8.2092979253592482</v>
      </c>
      <c r="L4" s="84">
        <f>VLOOKUP(B4,Opportunities!B$3:N$30,13,FALSE)</f>
        <v>7.348387463149999</v>
      </c>
    </row>
    <row r="5" spans="1:12">
      <c r="B5" s="66" t="s">
        <v>163</v>
      </c>
      <c r="C5" s="63">
        <f>VLOOKUP(B5,Opportunities!B$3:E$30,3,FALSE)</f>
        <v>16.28</v>
      </c>
      <c r="D5" s="62" t="str">
        <f>VLOOKUP(B5,Opportunities!B$3:E$30,4,FALSE)</f>
        <v>HKD</v>
      </c>
      <c r="E5" s="59">
        <v>9000</v>
      </c>
      <c r="F5" s="64">
        <f>C5*E5</f>
        <v>146520</v>
      </c>
      <c r="G5" s="61">
        <f>F5/$F$10</f>
        <v>0.15602147870133778</v>
      </c>
      <c r="H5" s="61">
        <f>VLOOKUP(B5,Opportunities!B$3:I$30,8,FALSE)</f>
        <v>0</v>
      </c>
      <c r="I5" s="84">
        <f>VLOOKUP(B5,Opportunities!B$3:N$30,12,FALSE)</f>
        <v>14.063669774558749</v>
      </c>
      <c r="J5" s="84">
        <f>VLOOKUP(B5,Opportunities!B$3:N$30,9,FALSE)</f>
        <v>11.234570427933917</v>
      </c>
      <c r="K5" s="84">
        <f>VLOOKUP(B5,Opportunities!B$3:N$30,11,FALSE)</f>
        <v>21.885459058351316</v>
      </c>
      <c r="L5" s="84">
        <f>VLOOKUP(B5,Opportunities!B$3:N$30,13,FALSE)</f>
        <v>19.534115524754309</v>
      </c>
    </row>
    <row r="6" spans="1:12">
      <c r="B6" s="66" t="s">
        <v>210</v>
      </c>
      <c r="C6" s="63">
        <f>VLOOKUP(B6,Opportunities!B$3:E$30,3,FALSE)</f>
        <v>18.34</v>
      </c>
      <c r="D6" s="62" t="str">
        <f>VLOOKUP(B6,Opportunities!B$3:E$30,4,FALSE)</f>
        <v>HKD</v>
      </c>
      <c r="E6" s="59">
        <v>8000</v>
      </c>
      <c r="F6" s="64">
        <f>C6*E6</f>
        <v>146720</v>
      </c>
      <c r="G6" s="61">
        <f>F6/$F$10</f>
        <v>0.15623444823273464</v>
      </c>
      <c r="H6" s="61">
        <f>VLOOKUP(B6,Opportunities!B$3:I$30,8,FALSE)</f>
        <v>0</v>
      </c>
      <c r="I6" s="84">
        <f>VLOOKUP(B6,Opportunities!B$3:N$30,12,FALSE)</f>
        <v>17.024721951656126</v>
      </c>
      <c r="J6" s="84">
        <f>VLOOKUP(B6,Opportunities!B$3:N$30,9,FALSE)</f>
        <v>13.699135319546153</v>
      </c>
      <c r="K6" s="84">
        <f>VLOOKUP(B6,Opportunities!B$3:N$30,11,FALSE)</f>
        <v>26.175907076823623</v>
      </c>
      <c r="L6" s="84">
        <f>VLOOKUP(B6,Opportunities!B$3:N$30,13,FALSE)</f>
        <v>23.430035944950305</v>
      </c>
    </row>
    <row r="7" spans="1:12">
      <c r="B7" s="66" t="s">
        <v>227</v>
      </c>
      <c r="C7" s="63">
        <f>VLOOKUP(B7,Opportunities!B$3:E$30,3,FALSE)</f>
        <v>6.09</v>
      </c>
      <c r="D7" s="62" t="str">
        <f>VLOOKUP(B7,Opportunities!B$3:E$30,4,FALSE)</f>
        <v>HKD</v>
      </c>
      <c r="E7" s="59">
        <v>10000</v>
      </c>
      <c r="F7" s="64">
        <f>C7*E7</f>
        <v>60900</v>
      </c>
      <c r="G7" s="61">
        <f t="shared" ref="G7" si="0">F7/$F$10</f>
        <v>6.4849222310343096E-2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2.62</v>
      </c>
      <c r="D8" s="62" t="str">
        <f>VLOOKUP(B8,Opportunities!B$3:E$30,4,FALSE)</f>
        <v>HKD</v>
      </c>
      <c r="E8" s="59">
        <v>40000</v>
      </c>
      <c r="F8" s="64">
        <f>C8*E8</f>
        <v>104800</v>
      </c>
      <c r="G8" s="61">
        <f t="shared" ref="G8" si="1">F8/$F$10</f>
        <v>0.11159603445195332</v>
      </c>
      <c r="H8" s="61">
        <f>VLOOKUP(B8,Opportunities!B$3:I$30,8,FALSE)</f>
        <v>0.14803684368711717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939101.47</v>
      </c>
      <c r="G10" s="70">
        <f>SUM(G3:G8)</f>
        <v>0.99999999999999989</v>
      </c>
      <c r="H10" s="76">
        <f>SUM(H3:H8)</f>
        <v>0.59803684368711718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2.62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0.14803684368711717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7.01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5.3400695582579019</v>
      </c>
      <c r="J14" s="84">
        <f>VLOOKUP(B14,Opportunities!B$3:N$30,9,FALSE)</f>
        <v>4.2973171802442138</v>
      </c>
      <c r="K14" s="84">
        <f>VLOOKUP(B14,Opportunities!B$3:N$30,11,FALSE)</f>
        <v>8.2092979253592482</v>
      </c>
      <c r="L14" s="84">
        <f>VLOOKUP(B14,Opportunities!B$3:N$30,13,FALSE)</f>
        <v>7.348387463149999</v>
      </c>
    </row>
    <row r="15" spans="1:12">
      <c r="B15" s="66" t="s">
        <v>227</v>
      </c>
      <c r="C15" s="63">
        <f>VLOOKUP(B15,Opportunities!B$3:E$30,3,FALSE)</f>
        <v>6.09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18.34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17.024721951656126</v>
      </c>
      <c r="J16" s="84">
        <f>VLOOKUP(B16,Opportunities!B$3:N$30,9,FALSE)</f>
        <v>13.699135319546153</v>
      </c>
      <c r="K16" s="84">
        <f>VLOOKUP(B16,Opportunities!B$3:N$30,11,FALSE)</f>
        <v>26.175907076823623</v>
      </c>
      <c r="L16" s="84">
        <f>VLOOKUP(B16,Opportunities!B$3:N$30,13,FALSE)</f>
        <v>23.430035944950305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0.43665299554903264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2025-07-11T02:26:42Z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