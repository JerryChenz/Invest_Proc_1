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E89BE8C8-2098-4EFA-9E8C-6DC429CED2B6}" xr6:coauthVersionLast="47" xr6:coauthVersionMax="47" xr10:uidLastSave="{00000000-0000-0000-0000-000000000000}"/>
  <bookViews>
    <workbookView xWindow="-98" yWindow="-98" windowWidth="17115" windowHeight="10755"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F16" i="7" l="1"/>
  <c r="G16" i="7"/>
  <c r="H16" i="7"/>
  <c r="I16" i="7"/>
  <c r="J16" i="7"/>
  <c r="K16" i="7"/>
  <c r="L16" i="7"/>
  <c r="C16" i="7"/>
  <c r="D16" i="7"/>
  <c r="H3" i="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H15" i="7"/>
  <c r="I15" i="7"/>
  <c r="J15" i="7"/>
  <c r="K15" i="7"/>
  <c r="L15" i="7"/>
  <c r="C15" i="7"/>
  <c r="F15" i="7" s="1"/>
  <c r="D15" i="7"/>
  <c r="E13" i="7"/>
  <c r="F3" i="7"/>
  <c r="C13" i="7"/>
  <c r="D13" i="7"/>
  <c r="H13" i="7"/>
  <c r="I13" i="7"/>
  <c r="J13" i="7"/>
  <c r="K13" i="7"/>
  <c r="L13" i="7"/>
  <c r="I14" i="7"/>
  <c r="J14" i="7"/>
  <c r="K14" i="7"/>
  <c r="L14" i="7"/>
  <c r="H14" i="7"/>
  <c r="C14" i="7"/>
  <c r="F14" i="7" s="1"/>
  <c r="D14" i="7"/>
  <c r="I4" i="7"/>
  <c r="J4" i="7"/>
  <c r="K4" i="7"/>
  <c r="L4" i="7"/>
  <c r="I5" i="7"/>
  <c r="J5" i="7"/>
  <c r="K5" i="7"/>
  <c r="L5" i="7"/>
  <c r="I6" i="7"/>
  <c r="J6" i="7"/>
  <c r="K6" i="7"/>
  <c r="L6" i="7"/>
  <c r="I7" i="7"/>
  <c r="J7" i="7"/>
  <c r="K7" i="7"/>
  <c r="L7" i="7"/>
  <c r="I8" i="7"/>
  <c r="J8" i="7"/>
  <c r="K8" i="7"/>
  <c r="L8" i="7"/>
  <c r="H8" i="7"/>
  <c r="C8" i="7"/>
  <c r="F8" i="7" s="1"/>
  <c r="D8" i="7"/>
  <c r="C36" i="5"/>
  <c r="H6" i="7"/>
  <c r="C6" i="7"/>
  <c r="F6" i="7" s="1"/>
  <c r="D6" i="7"/>
  <c r="E7" i="7"/>
  <c r="H7" i="7"/>
  <c r="C7" i="7"/>
  <c r="D7" i="7"/>
  <c r="D4" i="7"/>
  <c r="D5" i="7"/>
  <c r="H4" i="7"/>
  <c r="H5" i="7"/>
  <c r="C4" i="7"/>
  <c r="C5" i="7"/>
  <c r="F13" i="7" l="1"/>
  <c r="F18" i="7" s="1"/>
  <c r="F7" i="7"/>
  <c r="F5" i="7"/>
  <c r="F4" i="7" l="1"/>
  <c r="C31" i="5"/>
  <c r="F10" i="7" l="1"/>
  <c r="E60" i="5"/>
  <c r="G14" i="7" l="1"/>
  <c r="G15" i="7"/>
  <c r="G8" i="7"/>
  <c r="G13" i="7"/>
  <c r="G6" i="7"/>
  <c r="G7" i="7"/>
  <c r="G5" i="7"/>
  <c r="G18" i="7"/>
  <c r="E61" i="5"/>
  <c r="C16" i="2"/>
  <c r="C10" i="5" s="1"/>
  <c r="C11" i="5"/>
  <c r="E6" i="2"/>
  <c r="E5" i="2"/>
  <c r="E4" i="2"/>
  <c r="E36" i="5" l="1"/>
  <c r="C35" i="5" s="1"/>
  <c r="C64" i="5" s="1"/>
  <c r="C65" i="5" s="1"/>
  <c r="H18" i="7"/>
  <c r="H3" i="7"/>
  <c r="H10" i="7" s="1"/>
  <c r="D112" i="5"/>
  <c r="G3" i="7" l="1"/>
  <c r="G4" i="7"/>
  <c r="G10" i="7" l="1"/>
</calcChain>
</file>

<file path=xl/sharedStrings.xml><?xml version="1.0" encoding="utf-8"?>
<sst xmlns="http://schemas.openxmlformats.org/spreadsheetml/2006/main" count="371" uniqueCount="294">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</sst>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2">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D9" sqref="D9"/>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9" t="s">
        <v>205</v>
      </c>
      <c r="C4" s="99"/>
      <c r="D4" s="99"/>
      <c r="E4" s="99"/>
    </row>
    <row r="6" spans="1:5">
      <c r="A6" s="20" t="s">
        <v>63</v>
      </c>
      <c r="B6" s="19" t="s">
        <v>188</v>
      </c>
      <c r="C6" s="60"/>
    </row>
    <row r="7" spans="1:5">
      <c r="B7" s="99" t="s">
        <v>193</v>
      </c>
      <c r="C7" s="99"/>
      <c r="D7" s="99"/>
      <c r="E7" s="99"/>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9" t="s">
        <v>204</v>
      </c>
      <c r="C24" s="99"/>
      <c r="D24" s="99"/>
      <c r="E24" s="99"/>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99" t="s">
        <v>151</v>
      </c>
      <c r="C39" s="99"/>
      <c r="D39" s="99"/>
      <c r="E39" s="99"/>
    </row>
    <row r="40" spans="1:5" ht="46.5" customHeight="1">
      <c r="B40" s="99" t="s">
        <v>217</v>
      </c>
      <c r="C40" s="99"/>
      <c r="D40" s="99"/>
      <c r="E40" s="99"/>
    </row>
    <row r="42" spans="1:5">
      <c r="A42" s="21" t="s">
        <v>171</v>
      </c>
      <c r="B42" s="21"/>
      <c r="C42" s="21"/>
      <c r="D42" s="21"/>
      <c r="E42" s="21"/>
    </row>
    <row r="44" spans="1:5">
      <c r="B44" s="99" t="s">
        <v>192</v>
      </c>
      <c r="C44" s="99"/>
      <c r="D44" s="99"/>
      <c r="E44" s="99"/>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9" t="s">
        <v>180</v>
      </c>
      <c r="C71" s="99"/>
      <c r="D71" s="99"/>
      <c r="E71" s="99"/>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0" t="s">
        <v>176</v>
      </c>
      <c r="C85" s="100"/>
      <c r="D85" s="100"/>
      <c r="E85" s="100"/>
    </row>
    <row r="86" spans="1:5">
      <c r="B86" s="98" t="s">
        <v>174</v>
      </c>
      <c r="C86" s="98"/>
      <c r="D86" s="98"/>
      <c r="E86" s="98"/>
    </row>
    <row r="87" spans="1:5" ht="24.5" customHeight="1">
      <c r="B87" s="99" t="s">
        <v>173</v>
      </c>
      <c r="C87" s="99"/>
      <c r="D87" s="99"/>
      <c r="E87" s="99"/>
    </row>
    <row r="88" spans="1:5" ht="24.5" customHeight="1">
      <c r="B88" s="99" t="s">
        <v>209</v>
      </c>
      <c r="C88" s="99"/>
      <c r="D88" s="99"/>
      <c r="E88" s="99"/>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101" t="s">
        <v>195</v>
      </c>
      <c r="C97" s="101"/>
      <c r="D97" s="101"/>
      <c r="E97" s="101"/>
    </row>
    <row r="99" spans="1:5">
      <c r="B99" s="24" t="s">
        <v>199</v>
      </c>
    </row>
    <row r="100" spans="1:5" ht="12.4">
      <c r="B100" s="101" t="s">
        <v>196</v>
      </c>
      <c r="C100" s="101"/>
      <c r="D100" s="101"/>
      <c r="E100" s="101"/>
    </row>
    <row r="101" spans="1:5" ht="58.5" customHeight="1">
      <c r="B101" s="99" t="s">
        <v>203</v>
      </c>
      <c r="C101" s="99"/>
      <c r="D101" s="99"/>
      <c r="E101" s="99"/>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0.18468307629257602</v>
      </c>
      <c r="D112" s="60" t="str">
        <f>IF(C112&lt;benchmark,"Warning: Return is lower than the Benchmark.","")</f>
        <v/>
      </c>
    </row>
    <row r="114" spans="1:5" ht="24.5" customHeight="1">
      <c r="B114" s="99" t="s">
        <v>201</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6" zoomScaleNormal="100" workbookViewId="0">
      <pane xSplit="3" ySplit="2" topLeftCell="D3" activePane="bottomRight" state="frozen"/>
      <selection pane="topRight" activeCell="D1" sqref="D1"/>
      <selection pane="bottomLeft" activeCell="A5" sqref="A5"/>
      <selection pane="bottomRight" activeCell="K12" sqref="K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4" t="s">
        <v>1</v>
      </c>
      <c r="E1" s="104"/>
      <c r="F1" s="104"/>
      <c r="G1" s="105" t="s">
        <v>96</v>
      </c>
      <c r="H1" s="105"/>
      <c r="I1" s="105"/>
      <c r="J1" s="107" t="s">
        <v>4</v>
      </c>
      <c r="K1" s="107"/>
      <c r="L1" s="107"/>
      <c r="M1" s="106" t="s">
        <v>229</v>
      </c>
      <c r="N1" s="106"/>
      <c r="O1" s="102" t="s">
        <v>8</v>
      </c>
      <c r="P1" s="102"/>
      <c r="Q1" s="109" t="s">
        <v>280</v>
      </c>
      <c r="R1" s="109"/>
      <c r="S1" s="109"/>
      <c r="T1" s="109"/>
      <c r="U1" s="108" t="s">
        <v>276</v>
      </c>
      <c r="V1" s="108"/>
      <c r="W1" s="108"/>
      <c r="X1" s="103" t="s">
        <v>50</v>
      </c>
      <c r="Y1" s="103"/>
      <c r="Z1" s="103"/>
      <c r="AA1" s="103"/>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2.67</v>
      </c>
      <c r="E3" s="12" t="s">
        <v>153</v>
      </c>
      <c r="F3" s="15">
        <v>0.28511828789831495</v>
      </c>
      <c r="G3" s="15">
        <f>F3 - Portfolio_Mgmt!$C$10</f>
        <v>0.16771828789831494</v>
      </c>
      <c r="H3" s="15">
        <f>F3 - Portfolio_Mgmt!$C$11</f>
        <v>0.25061828789831497</v>
      </c>
      <c r="I3" s="15">
        <v>0.23281297324304429</v>
      </c>
      <c r="J3" s="2">
        <v>2.2516930066250125</v>
      </c>
      <c r="K3" s="2">
        <v>4.4858408799140586</v>
      </c>
      <c r="L3" s="85">
        <v>4.3910827513866675</v>
      </c>
      <c r="M3" s="2">
        <v>3.101365529948271</v>
      </c>
      <c r="N3" s="2">
        <v>3.939054009870663</v>
      </c>
      <c r="O3" s="4">
        <v>8.0321913984971002E-2</v>
      </c>
      <c r="P3" s="4">
        <v>0.11235955056179775</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256</v>
      </c>
      <c r="C4" s="11" t="s">
        <v>257</v>
      </c>
      <c r="D4" s="2">
        <v>1.91</v>
      </c>
      <c r="E4" s="12" t="s">
        <v>153</v>
      </c>
      <c r="F4" s="15">
        <v>0.2424695079117154</v>
      </c>
      <c r="G4" s="15">
        <f>F4 - Portfolio_Mgmt!$C$10</f>
        <v>0.12506950791171539</v>
      </c>
      <c r="H4" s="15">
        <f>F4 - Portfolio_Mgmt!$C$11</f>
        <v>0.2079695079117154</v>
      </c>
      <c r="I4" s="15">
        <v>0.19798816650385034</v>
      </c>
      <c r="J4" s="2">
        <v>1.4504992982672484</v>
      </c>
      <c r="K4" s="2">
        <v>3.2848326720589527</v>
      </c>
      <c r="L4" s="85">
        <v>2.9042133524315217</v>
      </c>
      <c r="M4" s="2">
        <v>2.025635140099181</v>
      </c>
      <c r="N4" s="2">
        <v>2.5956982696067041</v>
      </c>
      <c r="O4" s="4">
        <v>7.0643677250608952E-2</v>
      </c>
      <c r="P4" s="4">
        <v>5.2356020942408384E-2</v>
      </c>
      <c r="Q4" s="4">
        <v>4.7832973362251327E-2</v>
      </c>
      <c r="R4" s="4">
        <v>7.8104812973574481E-2</v>
      </c>
      <c r="S4" s="94">
        <v>0.49619793491400876</v>
      </c>
      <c r="T4" s="93">
        <v>1.2342258232843137</v>
      </c>
      <c r="U4" s="15">
        <v>0.10863424600069688</v>
      </c>
      <c r="V4" s="90">
        <v>2.2824569622635926</v>
      </c>
      <c r="W4" s="85">
        <v>1.8463069834756483</v>
      </c>
      <c r="X4" s="13" t="s">
        <v>258</v>
      </c>
      <c r="Y4" s="11" t="s">
        <v>154</v>
      </c>
      <c r="Z4" s="14">
        <v>45900</v>
      </c>
      <c r="AA4" s="16" t="s">
        <v>281</v>
      </c>
    </row>
    <row r="5" spans="1:27">
      <c r="B5" s="11" t="s">
        <v>267</v>
      </c>
      <c r="C5" s="11" t="s">
        <v>268</v>
      </c>
      <c r="D5" s="2">
        <v>18.22</v>
      </c>
      <c r="E5" s="12" t="s">
        <v>153</v>
      </c>
      <c r="F5" s="15">
        <v>0.22673325494528251</v>
      </c>
      <c r="G5" s="15">
        <f>F5 - Portfolio_Mgmt!$C$10</f>
        <v>0.10933325494528251</v>
      </c>
      <c r="H5" s="15">
        <f>F5 - Portfolio_Mgmt!$C$11</f>
        <v>0.19223325494528251</v>
      </c>
      <c r="I5" s="15">
        <v>0.18513874927486323</v>
      </c>
      <c r="J5" s="2">
        <v>13.432481226833289</v>
      </c>
      <c r="K5" s="2">
        <v>28.411318895343356</v>
      </c>
      <c r="L5" s="85">
        <v>26.510727474335276</v>
      </c>
      <c r="M5" s="2">
        <v>18.617331819674209</v>
      </c>
      <c r="N5" s="2">
        <v>23.741752473809299</v>
      </c>
      <c r="O5" s="4">
        <v>0.11346114966068152</v>
      </c>
      <c r="P5" s="4">
        <v>7.6838638858397368E-2</v>
      </c>
      <c r="Q5" s="4">
        <v>0.16035109536268838</v>
      </c>
      <c r="R5" s="4">
        <v>0.31929962351402291</v>
      </c>
      <c r="S5" s="94">
        <v>0.35631048934895165</v>
      </c>
      <c r="T5" s="93">
        <v>1.4094345614568822</v>
      </c>
      <c r="U5" s="15">
        <v>0.12260820136742831</v>
      </c>
      <c r="V5" s="90">
        <v>0.75207444874659302</v>
      </c>
      <c r="W5" s="85">
        <v>-0.45806193678914608</v>
      </c>
      <c r="X5" s="13" t="s">
        <v>218</v>
      </c>
      <c r="Y5" s="11" t="s">
        <v>154</v>
      </c>
      <c r="Z5" s="14">
        <v>45900</v>
      </c>
      <c r="AA5" s="16" t="s">
        <v>281</v>
      </c>
    </row>
    <row r="6" spans="1:27">
      <c r="B6" s="11" t="s">
        <v>219</v>
      </c>
      <c r="C6" s="11" t="s">
        <v>249</v>
      </c>
      <c r="D6" s="2">
        <v>15.42</v>
      </c>
      <c r="E6" s="12" t="s">
        <v>153</v>
      </c>
      <c r="F6" s="15">
        <v>0.21378315122061653</v>
      </c>
      <c r="G6" s="15">
        <f>F6 - Portfolio_Mgmt!$C$10</f>
        <v>9.6383151220616525E-2</v>
      </c>
      <c r="H6" s="15">
        <f>F6 - Portfolio_Mgmt!$C$11</f>
        <v>0.17928315122061653</v>
      </c>
      <c r="I6" s="15">
        <v>8.4060110978242175E-2</v>
      </c>
      <c r="J6" s="2">
        <v>10.900156986932091</v>
      </c>
      <c r="K6" s="2">
        <v>25.60155769482315</v>
      </c>
      <c r="L6" s="85">
        <v>21.999787931935927</v>
      </c>
      <c r="M6" s="2">
        <v>15.286651753077706</v>
      </c>
      <c r="N6" s="2">
        <v>19.641168478905442</v>
      </c>
      <c r="O6" s="4">
        <v>6.6348472577301809E-2</v>
      </c>
      <c r="P6" s="4">
        <v>3.4701739642291569E-2</v>
      </c>
      <c r="Q6" s="4">
        <v>0.12359673634025405</v>
      </c>
      <c r="R6" s="4">
        <v>0.12331913977859717</v>
      </c>
      <c r="S6" s="94">
        <v>0.73266920679685343</v>
      </c>
      <c r="T6" s="93">
        <v>1.3679448142367923</v>
      </c>
      <c r="U6" s="15">
        <v>7.4171010848313429E-2</v>
      </c>
      <c r="V6" s="90">
        <v>0.60402076709908736</v>
      </c>
      <c r="W6" s="85">
        <v>4.6073633313664786</v>
      </c>
      <c r="X6" s="13" t="s">
        <v>238</v>
      </c>
      <c r="Y6" s="11" t="s">
        <v>154</v>
      </c>
      <c r="Z6" s="14">
        <v>45900</v>
      </c>
      <c r="AA6" s="16" t="s">
        <v>281</v>
      </c>
    </row>
    <row r="7" spans="1:27">
      <c r="B7" s="11" t="s">
        <v>236</v>
      </c>
      <c r="C7" s="11" t="s">
        <v>237</v>
      </c>
      <c r="D7" s="2">
        <v>53.85</v>
      </c>
      <c r="E7" s="12" t="s">
        <v>153</v>
      </c>
      <c r="F7" s="15">
        <v>0.17973588177930644</v>
      </c>
      <c r="G7" s="15">
        <f>F7 - Portfolio_Mgmt!$C$10</f>
        <v>6.2335881779306435E-2</v>
      </c>
      <c r="H7" s="15">
        <f>F7 - Portfolio_Mgmt!$C$11</f>
        <v>0.14523588177930644</v>
      </c>
      <c r="I7" s="15">
        <v>0</v>
      </c>
      <c r="J7" s="2">
        <v>35.909977520843078</v>
      </c>
      <c r="K7" s="2">
        <v>70.204678625013898</v>
      </c>
      <c r="L7" s="85">
        <v>69.773574138137391</v>
      </c>
      <c r="M7" s="2">
        <v>49.366614710475517</v>
      </c>
      <c r="N7" s="2">
        <v>62.623183628701462</v>
      </c>
      <c r="O7" s="4">
        <v>9.8710637986318975E-2</v>
      </c>
      <c r="P7" s="4">
        <v>9.4699628597957303E-2</v>
      </c>
      <c r="Q7" s="4">
        <v>0.32755394896836565</v>
      </c>
      <c r="R7" s="4">
        <v>8.9976704126159421E-2</v>
      </c>
      <c r="S7" s="94">
        <v>1.5891874956485419</v>
      </c>
      <c r="T7" s="93">
        <v>2.2907496012759174</v>
      </c>
      <c r="U7" s="15">
        <v>0.24768740031897937</v>
      </c>
      <c r="V7" s="90">
        <v>0.73855199466278643</v>
      </c>
      <c r="W7" s="85">
        <v>-2.6732940825963833</v>
      </c>
      <c r="X7" s="13" t="s">
        <v>238</v>
      </c>
      <c r="Y7" s="11" t="s">
        <v>154</v>
      </c>
      <c r="Z7" s="14">
        <v>45808</v>
      </c>
      <c r="AA7" s="16" t="s">
        <v>281</v>
      </c>
    </row>
    <row r="8" spans="1:27">
      <c r="B8" s="11" t="s">
        <v>262</v>
      </c>
      <c r="C8" s="11" t="s">
        <v>273</v>
      </c>
      <c r="D8" s="2">
        <v>21.785</v>
      </c>
      <c r="E8" s="12" t="s">
        <v>263</v>
      </c>
      <c r="F8" s="15">
        <v>0.17500458980300393</v>
      </c>
      <c r="G8" s="15">
        <f>F8 - Portfolio_Mgmt!$C$10</f>
        <v>5.7604589803003925E-2</v>
      </c>
      <c r="H8" s="15">
        <f>F8 - Portfolio_Mgmt!$C$11</f>
        <v>0.14050458980300393</v>
      </c>
      <c r="I8" s="15">
        <v>0</v>
      </c>
      <c r="J8" s="2">
        <v>13.980827278242025</v>
      </c>
      <c r="K8" s="2">
        <v>33.230161875234657</v>
      </c>
      <c r="L8" s="85">
        <v>28.292642107173183</v>
      </c>
      <c r="M8" s="2">
        <v>19.634697914672664</v>
      </c>
      <c r="N8" s="2">
        <v>25.250185101195886</v>
      </c>
      <c r="O8" s="4">
        <v>0.20927067006372246</v>
      </c>
      <c r="P8" s="4">
        <v>2.7248106495294928E-2</v>
      </c>
      <c r="Q8" s="4">
        <v>0.18752610102828118</v>
      </c>
      <c r="R8" s="4">
        <v>0.23497655430253014</v>
      </c>
      <c r="S8" s="94">
        <v>0.32112750263435197</v>
      </c>
      <c r="T8" s="93">
        <v>2.4851905363915479</v>
      </c>
      <c r="U8" s="15">
        <v>0.95241105291674188</v>
      </c>
      <c r="V8" s="90">
        <v>4.0148803043206254</v>
      </c>
      <c r="W8" s="85">
        <v>-38.360607814419353</v>
      </c>
      <c r="X8" s="13" t="s">
        <v>264</v>
      </c>
      <c r="Y8" s="11" t="s">
        <v>154</v>
      </c>
      <c r="Z8" s="14">
        <v>45900</v>
      </c>
      <c r="AA8" s="16" t="s">
        <v>282</v>
      </c>
    </row>
    <row r="9" spans="1:27">
      <c r="B9" s="11" t="s">
        <v>284</v>
      </c>
      <c r="C9" s="11" t="s">
        <v>285</v>
      </c>
      <c r="D9" s="2">
        <v>5.46</v>
      </c>
      <c r="E9" s="12" t="s">
        <v>153</v>
      </c>
      <c r="F9" s="15">
        <v>0.16495710313199985</v>
      </c>
      <c r="G9" s="15">
        <f>F9 - Portfolio_Mgmt!$C$10</f>
        <v>4.7557103131999845E-2</v>
      </c>
      <c r="H9" s="15">
        <f>F9 - Portfolio_Mgmt!$C$11</f>
        <v>0.13045710313199985</v>
      </c>
      <c r="I9" s="15">
        <v>0</v>
      </c>
      <c r="J9" s="2">
        <v>3.4769479145113666</v>
      </c>
      <c r="K9" s="2">
        <v>7.3642693066239637</v>
      </c>
      <c r="L9" s="85">
        <v>6.8641356814360206</v>
      </c>
      <c r="M9" s="2">
        <v>4.8197379854720408</v>
      </c>
      <c r="N9" s="2">
        <v>6.1469536878205542</v>
      </c>
      <c r="O9" s="4">
        <v>6.765606856126101E-2</v>
      </c>
      <c r="P9" s="4">
        <v>6.5934065934065936E-2</v>
      </c>
      <c r="Q9" s="4">
        <v>7.0630420943605887E-2</v>
      </c>
      <c r="R9" s="4">
        <v>9.3039179367971361E-2</v>
      </c>
      <c r="S9" s="94">
        <v>0.62627525695225639</v>
      </c>
      <c r="T9" s="93">
        <v>1.2121620122817016</v>
      </c>
      <c r="U9" s="15">
        <v>1.1610019159010268E-2</v>
      </c>
      <c r="V9" s="90">
        <v>0.16381589511191816</v>
      </c>
      <c r="W9" s="85">
        <v>3.7980767021052162</v>
      </c>
      <c r="X9" s="13" t="s">
        <v>286</v>
      </c>
      <c r="Y9" s="11" t="s">
        <v>154</v>
      </c>
      <c r="Z9" s="14">
        <v>45900</v>
      </c>
      <c r="AA9" s="16" t="s">
        <v>281</v>
      </c>
    </row>
    <row r="10" spans="1:27">
      <c r="B10" s="11" t="s">
        <v>244</v>
      </c>
      <c r="C10" s="11" t="s">
        <v>245</v>
      </c>
      <c r="D10" s="2">
        <v>3.59</v>
      </c>
      <c r="E10" s="12" t="s">
        <v>153</v>
      </c>
      <c r="F10" s="15">
        <v>0.16494017618254819</v>
      </c>
      <c r="G10" s="15">
        <f>F10 - Portfolio_Mgmt!$C$10</f>
        <v>4.7540176182548188E-2</v>
      </c>
      <c r="H10" s="15">
        <f>F10 - Portfolio_Mgmt!$C$11</f>
        <v>0.13044017618254819</v>
      </c>
      <c r="I10" s="15">
        <v>0</v>
      </c>
      <c r="J10" s="2">
        <v>2.2556276815093281</v>
      </c>
      <c r="K10" s="2">
        <v>5.2246962590200807</v>
      </c>
      <c r="L10" s="85">
        <v>4.5385417708791076</v>
      </c>
      <c r="M10" s="2">
        <v>3.1582019073444916</v>
      </c>
      <c r="N10" s="2">
        <v>4.0536685441183486</v>
      </c>
      <c r="O10" s="4">
        <v>7.9098199833895419E-2</v>
      </c>
      <c r="P10" s="4">
        <v>3.5654596100278553E-2</v>
      </c>
      <c r="Q10" s="4">
        <v>0.10112859174992994</v>
      </c>
      <c r="R10" s="4">
        <v>5.8835781303360896E-2</v>
      </c>
      <c r="S10" s="94">
        <v>1.2277297326073906</v>
      </c>
      <c r="T10" s="93">
        <v>1.4000052396569989</v>
      </c>
      <c r="U10" s="15">
        <v>0.10646655543311496</v>
      </c>
      <c r="V10" s="90">
        <v>0.9804830051022897</v>
      </c>
      <c r="W10" s="85">
        <v>1.6698226477450393</v>
      </c>
      <c r="X10" s="16" t="s">
        <v>246</v>
      </c>
      <c r="Y10" s="11" t="s">
        <v>154</v>
      </c>
      <c r="Z10" s="14">
        <v>45808</v>
      </c>
      <c r="AA10" s="16" t="s">
        <v>281</v>
      </c>
    </row>
    <row r="11" spans="1:27">
      <c r="B11" s="11" t="s">
        <v>250</v>
      </c>
      <c r="C11" s="11" t="s">
        <v>251</v>
      </c>
      <c r="D11" s="2">
        <v>13.78</v>
      </c>
      <c r="E11" s="12" t="s">
        <v>153</v>
      </c>
      <c r="F11" s="15">
        <v>0.16077415276123608</v>
      </c>
      <c r="G11" s="15">
        <f>F11 - Portfolio_Mgmt!$C$10</f>
        <v>4.3374152761236073E-2</v>
      </c>
      <c r="H11" s="15">
        <f>F11 - Portfolio_Mgmt!$C$11</f>
        <v>0.12627415276123607</v>
      </c>
      <c r="I11" s="15">
        <v>0</v>
      </c>
      <c r="J11" s="2">
        <v>8.6698302031597514</v>
      </c>
      <c r="K11" s="2">
        <v>18.596231292793618</v>
      </c>
      <c r="L11" s="85">
        <v>17.160453344118022</v>
      </c>
      <c r="M11" s="2">
        <v>12.034509905396973</v>
      </c>
      <c r="N11" s="2">
        <v>15.361917608373775</v>
      </c>
      <c r="O11" s="4">
        <v>0.11265539144424729</v>
      </c>
      <c r="P11" s="4">
        <v>6.114707547169812E-2</v>
      </c>
      <c r="Q11" s="4">
        <v>0.2641804053450123</v>
      </c>
      <c r="R11" s="4">
        <v>0.11373759300508388</v>
      </c>
      <c r="S11" s="94">
        <v>0.70652858717908329</v>
      </c>
      <c r="T11" s="93">
        <v>3.2875080906148866</v>
      </c>
      <c r="U11" s="15">
        <v>1.5035598705501618</v>
      </c>
      <c r="V11" s="90">
        <v>4.1998196571663646</v>
      </c>
      <c r="W11" s="85">
        <v>-12.271086805454987</v>
      </c>
      <c r="X11" s="13" t="s">
        <v>238</v>
      </c>
      <c r="Y11" s="11" t="s">
        <v>252</v>
      </c>
      <c r="Z11" s="14">
        <v>45900</v>
      </c>
      <c r="AA11" s="16" t="s">
        <v>282</v>
      </c>
    </row>
    <row r="12" spans="1:27">
      <c r="B12" s="11" t="s">
        <v>265</v>
      </c>
      <c r="C12" s="11" t="s">
        <v>274</v>
      </c>
      <c r="D12" s="2">
        <v>26.7</v>
      </c>
      <c r="E12" s="12" t="s">
        <v>263</v>
      </c>
      <c r="F12" s="15">
        <v>0.16065988574099754</v>
      </c>
      <c r="G12" s="15">
        <f>F12 - Portfolio_Mgmt!$C$10</f>
        <v>4.3259885740997539E-2</v>
      </c>
      <c r="H12" s="15">
        <f>F12 - Portfolio_Mgmt!$C$11</f>
        <v>0.12615988574099754</v>
      </c>
      <c r="I12" s="15">
        <v>0</v>
      </c>
      <c r="J12" s="2">
        <v>16.7846939344021</v>
      </c>
      <c r="K12" s="2">
        <v>36.134621832566509</v>
      </c>
      <c r="L12" s="85">
        <v>33.247786953152008</v>
      </c>
      <c r="M12" s="2">
        <v>23.307997499907511</v>
      </c>
      <c r="N12" s="2">
        <v>29.760030747653474</v>
      </c>
      <c r="O12" s="4">
        <v>9.5099902898239608E-2</v>
      </c>
      <c r="P12" s="4">
        <v>5.9925093632958809E-2</v>
      </c>
      <c r="Q12" s="4">
        <v>8.3350635997632802E-2</v>
      </c>
      <c r="R12" s="4">
        <v>0.15660042549334799</v>
      </c>
      <c r="S12" s="94">
        <v>0.29736257886212014</v>
      </c>
      <c r="T12" s="93">
        <v>1.7899036999493159</v>
      </c>
      <c r="U12" s="15">
        <v>0.40281804358844397</v>
      </c>
      <c r="V12" s="90">
        <v>3.955391512509995</v>
      </c>
      <c r="W12" s="85">
        <v>-26.938493611476797</v>
      </c>
      <c r="X12" s="13" t="s">
        <v>266</v>
      </c>
      <c r="Y12" s="11" t="s">
        <v>154</v>
      </c>
      <c r="Z12" s="14">
        <v>45900</v>
      </c>
      <c r="AA12" s="16" t="s">
        <v>282</v>
      </c>
    </row>
    <row r="13" spans="1:27">
      <c r="B13" s="11" t="s">
        <v>242</v>
      </c>
      <c r="C13" s="11" t="s">
        <v>243</v>
      </c>
      <c r="D13" s="2">
        <v>6.73</v>
      </c>
      <c r="E13" s="12" t="s">
        <v>153</v>
      </c>
      <c r="F13" s="15">
        <v>0.15791306152903029</v>
      </c>
      <c r="G13" s="15">
        <f>F13 - Portfolio_Mgmt!$C$10</f>
        <v>4.0513061529030281E-2</v>
      </c>
      <c r="H13" s="15">
        <f>F13 - Portfolio_Mgmt!$C$11</f>
        <v>0.12341306152903028</v>
      </c>
      <c r="I13" s="15">
        <v>0</v>
      </c>
      <c r="J13" s="2">
        <v>4.2141970759453118</v>
      </c>
      <c r="K13" s="2">
        <v>8.9020317442373678</v>
      </c>
      <c r="L13" s="2">
        <v>8.3150596149058611</v>
      </c>
      <c r="M13" s="2">
        <v>5.8400406779062131</v>
      </c>
      <c r="N13" s="2">
        <v>7.4468484159062847</v>
      </c>
      <c r="O13" s="4">
        <v>0.1170515176628676</v>
      </c>
      <c r="P13" s="4">
        <v>6.566708921307414E-2</v>
      </c>
      <c r="Q13" s="4">
        <v>0.12477871842229639</v>
      </c>
      <c r="R13" s="4">
        <v>7.7304831872868032E-2</v>
      </c>
      <c r="S13" s="94">
        <v>1.0025080757150273</v>
      </c>
      <c r="T13" s="93">
        <v>1.6100746083165727</v>
      </c>
      <c r="U13" s="15">
        <v>0.16360901428944893</v>
      </c>
      <c r="V13" s="90">
        <v>1.1309485990394448</v>
      </c>
      <c r="W13" s="85">
        <v>-3.8778291719133016</v>
      </c>
      <c r="X13" s="13" t="s">
        <v>218</v>
      </c>
      <c r="Y13" s="11" t="s">
        <v>154</v>
      </c>
      <c r="Z13" s="14">
        <v>45900</v>
      </c>
      <c r="AA13" s="16" t="s">
        <v>281</v>
      </c>
    </row>
    <row r="14" spans="1:27">
      <c r="B14" s="11" t="s">
        <v>239</v>
      </c>
      <c r="C14" s="11" t="s">
        <v>240</v>
      </c>
      <c r="D14" s="2">
        <v>55</v>
      </c>
      <c r="E14" s="12" t="s">
        <v>153</v>
      </c>
      <c r="F14" s="15">
        <v>0.1322260329543623</v>
      </c>
      <c r="G14" s="15">
        <f>F14 - Portfolio_Mgmt!$C$10</f>
        <v>1.48260329543623E-2</v>
      </c>
      <c r="H14" s="15">
        <f>F14 - Portfolio_Mgmt!$C$11</f>
        <v>9.7726032954362302E-2</v>
      </c>
      <c r="I14" s="15">
        <v>0</v>
      </c>
      <c r="J14" s="2">
        <v>31.87105351851725</v>
      </c>
      <c r="K14" s="2">
        <v>72.956437951446901</v>
      </c>
      <c r="L14" s="2">
        <v>63.962000495784395</v>
      </c>
      <c r="M14" s="2">
        <v>44.563109823359255</v>
      </c>
      <c r="N14" s="2">
        <v>57.148935331071101</v>
      </c>
      <c r="O14" s="4">
        <v>4.1925239544884411E-2</v>
      </c>
      <c r="P14" s="4">
        <v>3.660060364460576E-2</v>
      </c>
      <c r="Q14" s="4">
        <v>0.13507615227246925</v>
      </c>
      <c r="R14" s="4">
        <v>0.12563590032031866</v>
      </c>
      <c r="S14" s="94">
        <v>0.62432788948992113</v>
      </c>
      <c r="T14" s="93">
        <v>1.7220755031358876</v>
      </c>
      <c r="U14" s="15">
        <v>9.5579625064196368E-3</v>
      </c>
      <c r="V14" s="90">
        <v>7.3592411949940734E-2</v>
      </c>
      <c r="W14" s="85">
        <v>1.3583391205585373</v>
      </c>
      <c r="X14" s="13" t="s">
        <v>241</v>
      </c>
      <c r="Y14" s="11" t="s">
        <v>154</v>
      </c>
      <c r="Z14" s="14">
        <v>45900</v>
      </c>
      <c r="AA14" s="16" t="s">
        <v>282</v>
      </c>
    </row>
    <row r="15" spans="1:27">
      <c r="B15" s="11" t="s">
        <v>155</v>
      </c>
      <c r="C15" s="11" t="s">
        <v>233</v>
      </c>
      <c r="D15" s="2">
        <v>8.0399999999999991</v>
      </c>
      <c r="E15" s="12" t="s">
        <v>153</v>
      </c>
      <c r="F15" s="15">
        <v>0.12090447808566029</v>
      </c>
      <c r="G15" s="15">
        <f>F15 - Portfolio_Mgmt!$C$10</f>
        <v>3.5044780856602897E-3</v>
      </c>
      <c r="H15" s="15">
        <f>F15 - Portfolio_Mgmt!$C$11</f>
        <v>8.6404478085660291E-2</v>
      </c>
      <c r="I15" s="15">
        <v>0</v>
      </c>
      <c r="J15" s="2">
        <v>4.6237469150396135</v>
      </c>
      <c r="K15" s="2">
        <v>9.3641570609339322</v>
      </c>
      <c r="L15" s="2">
        <v>9.0460821298724845</v>
      </c>
      <c r="M15" s="2">
        <v>6.3792496771334868</v>
      </c>
      <c r="N15" s="2">
        <v>8.1111667082917602</v>
      </c>
      <c r="O15" s="4">
        <v>3.8420195520182221E-2</v>
      </c>
      <c r="P15" s="4">
        <v>7.2139303482587069E-2</v>
      </c>
      <c r="Q15" s="4">
        <v>2.0056091670558843E-2</v>
      </c>
      <c r="R15" s="4">
        <v>0.38237459335905039</v>
      </c>
      <c r="S15" s="94">
        <v>4.8426484563194767E-2</v>
      </c>
      <c r="T15" s="93">
        <v>1.0831144117242246</v>
      </c>
      <c r="U15" s="15">
        <v>1.8509098960546238E-2</v>
      </c>
      <c r="V15" s="90">
        <v>1.1933697905849452</v>
      </c>
      <c r="W15" s="85">
        <v>11.511512740854835</v>
      </c>
      <c r="X15" s="13" t="s">
        <v>235</v>
      </c>
      <c r="Y15" s="11" t="s">
        <v>234</v>
      </c>
      <c r="Z15" s="14">
        <v>45900</v>
      </c>
      <c r="AA15" s="16" t="s">
        <v>281</v>
      </c>
    </row>
    <row r="16" spans="1:27">
      <c r="B16" s="11" t="s">
        <v>247</v>
      </c>
      <c r="C16" s="11" t="s">
        <v>248</v>
      </c>
      <c r="D16" s="2">
        <v>19.100000000000001</v>
      </c>
      <c r="E16" s="12" t="s">
        <v>153</v>
      </c>
      <c r="F16" s="15">
        <v>0.11589093073065238</v>
      </c>
      <c r="G16" s="15">
        <f>F16 - Portfolio_Mgmt!$C$10</f>
        <v>-1.5090692693476293E-3</v>
      </c>
      <c r="H16" s="15">
        <f>F16 - Portfolio_Mgmt!$C$11</f>
        <v>8.1390930730652372E-2</v>
      </c>
      <c r="I16" s="15">
        <v>0</v>
      </c>
      <c r="J16" s="2">
        <v>10.846357673848024</v>
      </c>
      <c r="K16" s="2">
        <v>21.968758226348868</v>
      </c>
      <c r="L16" s="2">
        <v>21.220699139526428</v>
      </c>
      <c r="M16" s="2">
        <v>14.964572530067358</v>
      </c>
      <c r="N16" s="2">
        <v>19.027476031641555</v>
      </c>
      <c r="O16" s="4">
        <v>9.0470472218305203E-2</v>
      </c>
      <c r="P16" s="4">
        <v>7.1204188481675396E-2</v>
      </c>
      <c r="Q16" s="4">
        <v>0.10515362778966494</v>
      </c>
      <c r="R16" s="4">
        <v>0.11295218450174714</v>
      </c>
      <c r="S16" s="94">
        <v>0.71055479556740742</v>
      </c>
      <c r="T16" s="93">
        <v>1.3101832741522048</v>
      </c>
      <c r="U16" s="15">
        <v>0.15818859882129041</v>
      </c>
      <c r="V16" s="90">
        <v>1.4550387206421544</v>
      </c>
      <c r="W16" s="85">
        <v>5.8696003638854428</v>
      </c>
      <c r="X16" s="13" t="s">
        <v>246</v>
      </c>
      <c r="Y16" s="11" t="s">
        <v>154</v>
      </c>
      <c r="Z16" s="14">
        <v>45808</v>
      </c>
      <c r="AA16" s="16" t="s">
        <v>281</v>
      </c>
    </row>
    <row r="17" spans="2:27">
      <c r="B17" s="11" t="s">
        <v>230</v>
      </c>
      <c r="C17" s="11" t="s">
        <v>253</v>
      </c>
      <c r="D17" s="2">
        <v>1.75</v>
      </c>
      <c r="E17" s="12" t="s">
        <v>153</v>
      </c>
      <c r="F17" s="15">
        <v>6.486383811742602E-2</v>
      </c>
      <c r="G17" s="15">
        <f>F17 - Portfolio_Mgmt!$C$10</f>
        <v>-5.2536161882573984E-2</v>
      </c>
      <c r="H17" s="15">
        <f>F17 - Portfolio_Mgmt!$C$11</f>
        <v>3.0363838117426017E-2</v>
      </c>
      <c r="I17" s="15">
        <v>0</v>
      </c>
      <c r="J17" s="2">
        <v>0.82648230361166808</v>
      </c>
      <c r="K17" s="2">
        <v>2.1131011468081908</v>
      </c>
      <c r="L17" s="2">
        <v>1.7009631025661165</v>
      </c>
      <c r="M17" s="2">
        <v>1.1711712249606363</v>
      </c>
      <c r="N17" s="2">
        <v>1.514587208466269</v>
      </c>
      <c r="O17" s="4">
        <v>5.4786607111639513E-3</v>
      </c>
      <c r="P17" s="4">
        <v>0</v>
      </c>
      <c r="Q17" s="4">
        <v>3.7288355461672987E-3</v>
      </c>
      <c r="R17" s="4">
        <v>2.8327145387125552E-2</v>
      </c>
      <c r="S17" s="94">
        <v>0.11998888979909481</v>
      </c>
      <c r="T17" s="93">
        <v>1.0970574812713703</v>
      </c>
      <c r="U17" s="15">
        <v>1.4790654865358754E-2</v>
      </c>
      <c r="V17" s="90">
        <v>3.4432102574884196</v>
      </c>
      <c r="W17" s="85">
        <v>2.0258239687205015</v>
      </c>
      <c r="X17" s="13" t="s">
        <v>254</v>
      </c>
      <c r="Y17" s="11" t="s">
        <v>255</v>
      </c>
      <c r="Z17" s="14">
        <v>45900</v>
      </c>
      <c r="AA17" s="11" t="s">
        <v>281</v>
      </c>
    </row>
    <row r="18" spans="2:27">
      <c r="B18" s="11" t="s">
        <v>259</v>
      </c>
      <c r="C18" s="11" t="s">
        <v>260</v>
      </c>
      <c r="D18" s="2">
        <v>3.07</v>
      </c>
      <c r="E18" s="12" t="s">
        <v>153</v>
      </c>
      <c r="F18" s="15">
        <v>1.1181322240449099E-2</v>
      </c>
      <c r="G18" s="15">
        <f>F18 - Portfolio_Mgmt!$C$10</f>
        <v>-0.10621867775955091</v>
      </c>
      <c r="H18" s="15">
        <f>F18 - Portfolio_Mgmt!$C$11</f>
        <v>-2.3318677759550904E-2</v>
      </c>
      <c r="I18" s="15">
        <v>0</v>
      </c>
      <c r="J18" s="2">
        <v>1.294024795504787</v>
      </c>
      <c r="K18" s="2">
        <v>2.835481667193446</v>
      </c>
      <c r="L18" s="2">
        <v>2.5727524138696536</v>
      </c>
      <c r="M18" s="2">
        <v>1.8004354902253441</v>
      </c>
      <c r="N18" s="2">
        <v>2.3016842829947048</v>
      </c>
      <c r="O18" s="4">
        <v>2.7416163844956841E-2</v>
      </c>
      <c r="P18" s="4">
        <v>3.6362163229982918E-2</v>
      </c>
      <c r="Q18" s="4">
        <v>4.3343616258443587E-2</v>
      </c>
      <c r="R18" s="4">
        <v>8.4128836392613066E-2</v>
      </c>
      <c r="S18" s="94">
        <v>0.42808280043619051</v>
      </c>
      <c r="T18" s="93">
        <v>1.2035176992971439</v>
      </c>
      <c r="U18" s="15">
        <v>1.0763175939415467E-2</v>
      </c>
      <c r="V18" s="90">
        <v>0.29882156160837919</v>
      </c>
      <c r="W18" s="85">
        <v>1.9111034051720264</v>
      </c>
      <c r="X18" s="13" t="s">
        <v>261</v>
      </c>
      <c r="Y18" s="11" t="s">
        <v>255</v>
      </c>
      <c r="Z18" s="14">
        <v>45900</v>
      </c>
      <c r="AA18" s="11" t="s">
        <v>281</v>
      </c>
    </row>
    <row r="19" spans="2:27">
      <c r="B19" s="11"/>
      <c r="C19" s="11"/>
      <c r="E19" s="12"/>
      <c r="O19" s="4"/>
      <c r="P19" s="4"/>
      <c r="Q19" s="4"/>
      <c r="R19" s="4"/>
      <c r="X19" s="13"/>
      <c r="Y19" s="11"/>
      <c r="Z19" s="14"/>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abSelected="1" topLeftCell="C1" zoomScale="128" zoomScaleNormal="100" workbookViewId="0">
      <selection activeCell="L8" sqref="L8"/>
    </sheetView>
  </sheetViews>
  <sheetFormatPr defaultColWidth="9" defaultRowHeight="12.75"/>
  <cols>
    <col min="1" max="1" width="2.6640625" style="64" customWidth="1"/>
    <col min="2" max="2" width="17.33203125" style="64" bestFit="1" customWidth="1"/>
    <col min="3"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f>239918.82+101905.53</f>
        <v>341824.35</v>
      </c>
      <c r="G3" s="72">
        <f>F3/$F$10</f>
        <v>0.37288396198839896</v>
      </c>
      <c r="H3" s="89">
        <f>Portfolio_Mgmt!E61</f>
        <v>0.3</v>
      </c>
      <c r="I3" s="95" t="s">
        <v>293</v>
      </c>
      <c r="J3" s="95" t="s">
        <v>293</v>
      </c>
      <c r="K3" s="95" t="s">
        <v>293</v>
      </c>
      <c r="L3" s="95" t="s">
        <v>293</v>
      </c>
    </row>
    <row r="4" spans="1:12">
      <c r="B4" s="77" t="s">
        <v>242</v>
      </c>
      <c r="C4" s="74">
        <f>VLOOKUP(B4,Opportunities!B$3:E$30,3,FALSE)</f>
        <v>6.73</v>
      </c>
      <c r="D4" s="73" t="str">
        <f>VLOOKUP(B4,Opportunities!B$3:E$30,4,FALSE)</f>
        <v>HKD</v>
      </c>
      <c r="E4" s="70">
        <v>18000</v>
      </c>
      <c r="F4" s="75">
        <f>E4*C4</f>
        <v>121140.00000000001</v>
      </c>
      <c r="G4" s="72">
        <f>F4/$F$10</f>
        <v>0.13214729481757126</v>
      </c>
      <c r="H4" s="72">
        <f>VLOOKUP(B4,Opportunities!B$3:I$30,8,FALSE)</f>
        <v>0</v>
      </c>
      <c r="I4" s="96">
        <f>VLOOKUP(B4,Opportunities!B$3:N$30,12,FALSE)</f>
        <v>5.8400406779062131</v>
      </c>
      <c r="J4" s="96">
        <f>VLOOKUP(B4,Opportunities!B$3:N$30,9,FALSE)</f>
        <v>4.2141970759453118</v>
      </c>
      <c r="K4" s="96">
        <f>VLOOKUP(B4,Opportunities!B$3:N$30,11,FALSE)</f>
        <v>8.3150596149058611</v>
      </c>
      <c r="L4" s="96">
        <f>VLOOKUP(B4,Opportunities!B$3:N$30,13,FALSE)</f>
        <v>7.4468484159062847</v>
      </c>
    </row>
    <row r="5" spans="1:12">
      <c r="B5" s="77" t="s">
        <v>219</v>
      </c>
      <c r="C5" s="74">
        <f>VLOOKUP(B5,Opportunities!B$3:E$30,3,FALSE)</f>
        <v>15.42</v>
      </c>
      <c r="D5" s="73" t="str">
        <f>VLOOKUP(B5,Opportunities!B$3:E$30,4,FALSE)</f>
        <v>HKD</v>
      </c>
      <c r="E5" s="70">
        <v>9000</v>
      </c>
      <c r="F5" s="75">
        <f>C5*E5</f>
        <v>138780</v>
      </c>
      <c r="G5" s="72">
        <f>F5/$F$10</f>
        <v>0.15139014012533047</v>
      </c>
      <c r="H5" s="72">
        <f>VLOOKUP(B5,Opportunities!B$3:I$30,8,FALSE)</f>
        <v>8.4060110978242175E-2</v>
      </c>
      <c r="I5" s="96">
        <f>VLOOKUP(B5,Opportunities!B$3:N$30,12,FALSE)</f>
        <v>15.286651753077706</v>
      </c>
      <c r="J5" s="96">
        <f>VLOOKUP(B5,Opportunities!B$3:N$30,9,FALSE)</f>
        <v>10.900156986932091</v>
      </c>
      <c r="K5" s="96">
        <f>VLOOKUP(B5,Opportunities!B$3:N$30,11,FALSE)</f>
        <v>21.999787931935927</v>
      </c>
      <c r="L5" s="96">
        <f>VLOOKUP(B5,Opportunities!B$3:N$30,13,FALSE)</f>
        <v>19.641168478905442</v>
      </c>
    </row>
    <row r="6" spans="1:12">
      <c r="B6" s="77" t="s">
        <v>267</v>
      </c>
      <c r="C6" s="74">
        <f>VLOOKUP(B6,Opportunities!B$3:E$30,3,FALSE)</f>
        <v>18.22</v>
      </c>
      <c r="D6" s="73" t="str">
        <f>VLOOKUP(B6,Opportunities!B$3:E$30,4,FALSE)</f>
        <v>HKD</v>
      </c>
      <c r="E6" s="70">
        <v>8000</v>
      </c>
      <c r="F6" s="75">
        <f>C6*E6</f>
        <v>145760</v>
      </c>
      <c r="G6" s="72">
        <f>F6/$F$10</f>
        <v>0.15900437256570235</v>
      </c>
      <c r="H6" s="72">
        <f>VLOOKUP(B6,Opportunities!B$3:I$30,8,FALSE)</f>
        <v>0.18513874927486323</v>
      </c>
      <c r="I6" s="96">
        <f>VLOOKUP(B6,Opportunities!B$3:N$30,12,FALSE)</f>
        <v>18.617331819674209</v>
      </c>
      <c r="J6" s="96">
        <f>VLOOKUP(B6,Opportunities!B$3:N$30,9,FALSE)</f>
        <v>13.432481226833289</v>
      </c>
      <c r="K6" s="96">
        <f>VLOOKUP(B6,Opportunities!B$3:N$30,11,FALSE)</f>
        <v>26.510727474335276</v>
      </c>
      <c r="L6" s="96">
        <f>VLOOKUP(B6,Opportunities!B$3:N$30,13,FALSE)</f>
        <v>23.741752473809299</v>
      </c>
    </row>
    <row r="7" spans="1:12">
      <c r="B7" s="77" t="s">
        <v>256</v>
      </c>
      <c r="C7" s="74">
        <f>VLOOKUP(B7,Opportunities!B$3:E$30,3,FALSE)</f>
        <v>1.91</v>
      </c>
      <c r="D7" s="73" t="str">
        <f>VLOOKUP(B7,Opportunities!B$3:E$30,4,FALSE)</f>
        <v>HKD</v>
      </c>
      <c r="E7" s="70">
        <f>2000*30</f>
        <v>60000</v>
      </c>
      <c r="F7" s="75">
        <f>C7*E7</f>
        <v>114600</v>
      </c>
      <c r="G7" s="72">
        <f>F7/$F$10</f>
        <v>0.12501304264564689</v>
      </c>
      <c r="H7" s="72">
        <f>VLOOKUP(B7,Opportunities!B$3:I$30,8,FALSE)</f>
        <v>0.19798816650385034</v>
      </c>
      <c r="I7" s="96">
        <f>VLOOKUP(B7,Opportunities!B$3:N$30,12,FALSE)</f>
        <v>2.025635140099181</v>
      </c>
      <c r="J7" s="96">
        <f>VLOOKUP(B7,Opportunities!B$3:N$30,9,FALSE)</f>
        <v>1.4504992982672484</v>
      </c>
      <c r="K7" s="96">
        <f>VLOOKUP(B7,Opportunities!B$3:N$30,11,FALSE)</f>
        <v>2.9042133524315217</v>
      </c>
      <c r="L7" s="96">
        <f>VLOOKUP(B7,Opportunities!B$3:N$30,13,FALSE)</f>
        <v>2.5956982696067041</v>
      </c>
    </row>
    <row r="8" spans="1:12">
      <c r="B8" s="77" t="s">
        <v>284</v>
      </c>
      <c r="C8" s="74">
        <f>VLOOKUP(B8,Opportunities!B$3:E$30,3,FALSE)</f>
        <v>5.46</v>
      </c>
      <c r="D8" s="73" t="str">
        <f>VLOOKUP(B8,Opportunities!B$3:E$30,4,FALSE)</f>
        <v>HKD</v>
      </c>
      <c r="E8" s="70">
        <v>10000</v>
      </c>
      <c r="F8" s="75">
        <f>C8*E8</f>
        <v>54600</v>
      </c>
      <c r="G8" s="72">
        <f t="shared" ref="G8" si="0">F8/$F$10</f>
        <v>5.9561187857350081E-2</v>
      </c>
      <c r="H8" s="72">
        <f>VLOOKUP(B8,Opportunities!B$3:I$30,8,FALSE)</f>
        <v>0</v>
      </c>
      <c r="I8" s="96">
        <f>VLOOKUP(B8,Opportunities!B$3:N$30,12,FALSE)</f>
        <v>4.8197379854720408</v>
      </c>
      <c r="J8" s="96">
        <f>VLOOKUP(B8,Opportunities!B$3:N$30,9,FALSE)</f>
        <v>3.4769479145113666</v>
      </c>
      <c r="K8" s="96">
        <f>VLOOKUP(B8,Opportunities!B$3:N$30,11,FALSE)</f>
        <v>6.8641356814360206</v>
      </c>
      <c r="L8" s="96">
        <f>VLOOKUP(B8,Opportunities!B$3:N$30,13,FALSE)</f>
        <v>6.1469536878205542</v>
      </c>
    </row>
    <row r="9" spans="1:12">
      <c r="B9" s="66"/>
      <c r="C9" s="69"/>
      <c r="D9" s="66"/>
      <c r="H9" s="88"/>
    </row>
    <row r="10" spans="1:12" ht="13.15">
      <c r="B10" s="78"/>
      <c r="C10" s="79"/>
      <c r="D10" s="78"/>
      <c r="E10" s="80" t="s">
        <v>222</v>
      </c>
      <c r="F10" s="80">
        <f>SUM(F3:F8)</f>
        <v>916704.35</v>
      </c>
      <c r="G10" s="81">
        <f>SUM(G3:G8)</f>
        <v>1</v>
      </c>
      <c r="H10" s="87">
        <f>SUM(H3:H8)</f>
        <v>0.76718702675695571</v>
      </c>
      <c r="I10" s="97" t="s">
        <v>293</v>
      </c>
      <c r="J10" s="97" t="s">
        <v>293</v>
      </c>
      <c r="K10" s="97" t="s">
        <v>293</v>
      </c>
      <c r="L10" s="97" t="s">
        <v>293</v>
      </c>
    </row>
    <row r="11" spans="1:12">
      <c r="B11" s="66"/>
      <c r="C11" s="69"/>
      <c r="D11" s="66"/>
      <c r="E11" s="70"/>
      <c r="F11" s="70"/>
    </row>
    <row r="12" spans="1:12" ht="13.15">
      <c r="A12" s="62"/>
      <c r="B12" s="63" t="s">
        <v>220</v>
      </c>
    </row>
    <row r="13" spans="1:12">
      <c r="B13" s="77" t="s">
        <v>287</v>
      </c>
      <c r="C13" s="74">
        <f>VLOOKUP(B13,Opportunities!B$3:E$30,3,FALSE)</f>
        <v>2.67</v>
      </c>
      <c r="D13" s="73" t="str">
        <f>VLOOKUP(B13,Opportunities!B$3:E$30,4,FALSE)</f>
        <v>HKD</v>
      </c>
      <c r="E13" s="70">
        <f>2000*10</f>
        <v>20000</v>
      </c>
      <c r="F13" s="75">
        <f>-C13*E13</f>
        <v>-53400</v>
      </c>
      <c r="G13" s="72">
        <f>-F13/$F$10</f>
        <v>5.8252150761584146E-2</v>
      </c>
      <c r="H13" s="72">
        <f>VLOOKUP(B13,Opportunities!B$3:I$30,8,FALSE)</f>
        <v>0.23281297324304429</v>
      </c>
      <c r="I13" s="96">
        <f>VLOOKUP(B13,Opportunities!B$3:N$30,12,FALSE)</f>
        <v>3.101365529948271</v>
      </c>
      <c r="J13" s="96">
        <f>VLOOKUP(B13,Opportunities!B$3:N$30,9,FALSE)</f>
        <v>2.2516930066250125</v>
      </c>
      <c r="K13" s="96">
        <f>VLOOKUP(B13,Opportunities!B$3:N$30,11,FALSE)</f>
        <v>4.3910827513866675</v>
      </c>
      <c r="L13" s="96">
        <f>VLOOKUP(B13,Opportunities!B$3:N$30,13,FALSE)</f>
        <v>3.939054009870663</v>
      </c>
    </row>
    <row r="14" spans="1:12">
      <c r="B14" s="77" t="s">
        <v>242</v>
      </c>
      <c r="C14" s="74">
        <f>VLOOKUP(B14,Opportunities!B$3:E$30,3,FALSE)</f>
        <v>6.73</v>
      </c>
      <c r="D14" s="73" t="str">
        <f>VLOOKUP(B14,Opportunities!B$3:E$30,4,FALSE)</f>
        <v>HKD</v>
      </c>
      <c r="E14" s="70">
        <v>-8000</v>
      </c>
      <c r="F14" s="75">
        <f>-C14*E14</f>
        <v>53840</v>
      </c>
      <c r="G14" s="72">
        <f>-F14/$F$10</f>
        <v>-5.8732131030031658E-2</v>
      </c>
      <c r="H14" s="72">
        <f>VLOOKUP(B14,Opportunities!B$3:I$30,8,FALSE)</f>
        <v>0</v>
      </c>
      <c r="I14" s="96">
        <f>VLOOKUP(B14,Opportunities!B$3:N$30,12,FALSE)</f>
        <v>5.8400406779062131</v>
      </c>
      <c r="J14" s="96">
        <f>VLOOKUP(B14,Opportunities!B$3:N$30,9,FALSE)</f>
        <v>4.2141970759453118</v>
      </c>
      <c r="K14" s="96">
        <f>VLOOKUP(B14,Opportunities!B$3:N$30,11,FALSE)</f>
        <v>8.3150596149058611</v>
      </c>
      <c r="L14" s="96">
        <f>VLOOKUP(B14,Opportunities!B$3:N$30,13,FALSE)</f>
        <v>7.4468484159062847</v>
      </c>
    </row>
    <row r="15" spans="1:12">
      <c r="B15" s="77" t="s">
        <v>284</v>
      </c>
      <c r="C15" s="74">
        <f>VLOOKUP(B15,Opportunities!B$3:E$30,3,FALSE)</f>
        <v>5.46</v>
      </c>
      <c r="D15" s="73" t="str">
        <f>VLOOKUP(B15,Opportunities!B$3:E$30,4,FALSE)</f>
        <v>HKD</v>
      </c>
      <c r="E15" s="70">
        <v>0</v>
      </c>
      <c r="F15" s="75">
        <f>-C15*E15</f>
        <v>0</v>
      </c>
      <c r="G15" s="72">
        <f>-F15/$F$10</f>
        <v>0</v>
      </c>
      <c r="H15" s="72">
        <f>VLOOKUP(B15,Opportunities!B$3:I$30,8,FALSE)</f>
        <v>0</v>
      </c>
      <c r="I15" s="96">
        <f>VLOOKUP(B15,Opportunities!B$3:N$30,12,FALSE)</f>
        <v>4.8197379854720408</v>
      </c>
      <c r="J15" s="96">
        <f>VLOOKUP(B15,Opportunities!B$3:N$30,9,FALSE)</f>
        <v>3.4769479145113666</v>
      </c>
      <c r="K15" s="96">
        <f>VLOOKUP(B15,Opportunities!B$3:N$30,11,FALSE)</f>
        <v>6.8641356814360206</v>
      </c>
      <c r="L15" s="96">
        <f>VLOOKUP(B15,Opportunities!B$3:N$30,13,FALSE)</f>
        <v>6.1469536878205542</v>
      </c>
    </row>
    <row r="16" spans="1:12">
      <c r="B16" s="77" t="s">
        <v>267</v>
      </c>
      <c r="C16" s="74">
        <f>VLOOKUP(B16,Opportunities!B$3:E$30,3,FALSE)</f>
        <v>18.22</v>
      </c>
      <c r="D16" s="73" t="str">
        <f>VLOOKUP(B16,Opportunities!B$3:E$30,4,FALSE)</f>
        <v>HKD</v>
      </c>
      <c r="E16" s="70">
        <v>2000</v>
      </c>
      <c r="F16" s="75">
        <f>-C16*E16</f>
        <v>-36440</v>
      </c>
      <c r="G16" s="72">
        <f>-F16/$F$10</f>
        <v>3.9751093141425588E-2</v>
      </c>
      <c r="H16" s="72">
        <f>VLOOKUP(B16,Opportunities!B$3:I$30,8,FALSE)</f>
        <v>0.18513874927486323</v>
      </c>
      <c r="I16" s="96">
        <f>VLOOKUP(B16,Opportunities!B$3:N$30,12,FALSE)</f>
        <v>18.617331819674209</v>
      </c>
      <c r="J16" s="96">
        <f>VLOOKUP(B16,Opportunities!B$3:N$30,9,FALSE)</f>
        <v>13.432481226833289</v>
      </c>
      <c r="K16" s="96">
        <f>VLOOKUP(B16,Opportunities!B$3:N$30,11,FALSE)</f>
        <v>26.510727474335276</v>
      </c>
      <c r="L16" s="96">
        <f>VLOOKUP(B16,Opportunities!B$3:N$30,13,FALSE)</f>
        <v>23.741752473809299</v>
      </c>
    </row>
    <row r="17" spans="2:12">
      <c r="G17" s="86"/>
      <c r="H17" s="86"/>
    </row>
    <row r="18" spans="2:12" ht="13.15">
      <c r="B18" s="82" t="s">
        <v>221</v>
      </c>
      <c r="C18" s="83" t="s">
        <v>215</v>
      </c>
      <c r="D18" s="84" t="s">
        <v>153</v>
      </c>
      <c r="E18" s="83" t="s">
        <v>215</v>
      </c>
      <c r="F18" s="80">
        <f>F3+SUM(F13:F15)</f>
        <v>342264.35</v>
      </c>
      <c r="G18" s="87">
        <f t="shared" ref="G18" si="1">F18/$F$10</f>
        <v>0.37336394225684649</v>
      </c>
      <c r="H18" s="87">
        <f>Portfolio_Mgmt!E61</f>
        <v>0.3</v>
      </c>
      <c r="I18" s="97" t="s">
        <v>293</v>
      </c>
      <c r="J18" s="97" t="s">
        <v>293</v>
      </c>
      <c r="K18" s="97" t="s">
        <v>293</v>
      </c>
      <c r="L18" s="97" t="s">
        <v>293</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0" t="s">
        <v>99</v>
      </c>
      <c r="C3" s="110"/>
      <c r="D3" s="110"/>
    </row>
    <row r="5" spans="1:4">
      <c r="B5" s="111" t="s">
        <v>101</v>
      </c>
      <c r="C5" s="101"/>
      <c r="D5" s="101"/>
    </row>
    <row r="6" spans="1:4">
      <c r="B6" s="111" t="s">
        <v>102</v>
      </c>
      <c r="C6" s="101"/>
      <c r="D6" s="101"/>
    </row>
    <row r="8" spans="1:4">
      <c r="B8" s="1" t="s">
        <v>100</v>
      </c>
    </row>
    <row r="10" spans="1:4">
      <c r="A10" s="5"/>
      <c r="B10" s="6" t="s">
        <v>103</v>
      </c>
    </row>
    <row r="11" spans="1:4">
      <c r="B11" s="110" t="s">
        <v>104</v>
      </c>
      <c r="C11" s="110"/>
      <c r="D11" s="110"/>
    </row>
    <row r="12" spans="1:4">
      <c r="B12" s="110" t="s">
        <v>105</v>
      </c>
      <c r="C12" s="110"/>
      <c r="D12" s="110"/>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0" t="s">
        <v>117</v>
      </c>
      <c r="C28" s="110"/>
      <c r="D28" s="110"/>
    </row>
    <row r="29" spans="1:4">
      <c r="B29" s="110" t="s">
        <v>118</v>
      </c>
      <c r="C29" s="110"/>
      <c r="D29" s="110"/>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2025-06-05T02:40:47Z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