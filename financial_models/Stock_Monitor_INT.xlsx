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03DCFAC-0003-4698-ABB3-577023FB9E64}" xr6:coauthVersionLast="47" xr6:coauthVersionMax="47" xr10:uidLastSave="{00000000-0000-0000-0000-000000000000}"/>
  <bookViews>
    <workbookView xWindow="-28920" yWindow="6150" windowWidth="29040" windowHeight="15720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<sst xmlns="http://schemas.openxmlformats.org/spreadsheetml/2006/main" count="491" uniqueCount="391">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</sst>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Normal="100" workbookViewId="0">
      <selection activeCell="E72" sqref="E7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134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146</v>
      </c>
      <c r="C4" s="143"/>
      <c r="D4" s="143"/>
      <c r="E4" s="143"/>
    </row>
    <row r="6" spans="1:5">
      <c r="A6" s="20" t="s">
        <v>58</v>
      </c>
      <c r="B6" s="19" t="s">
        <v>140</v>
      </c>
      <c r="C6" s="47"/>
    </row>
    <row r="7" spans="1:5">
      <c r="B7" s="143" t="s">
        <v>205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349</v>
      </c>
      <c r="C12" s="77">
        <v>7.2499999999999995E-2</v>
      </c>
    </row>
    <row r="13" spans="1:5">
      <c r="C13" s="4"/>
    </row>
    <row r="14" spans="1:5" ht="46.5" customHeight="1">
      <c r="B14" s="143" t="s">
        <v>350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142</v>
      </c>
      <c r="C17" s="4" t="s">
        <v>143</v>
      </c>
    </row>
    <row r="18" spans="1:5">
      <c r="B18" s="1" t="s">
        <v>130</v>
      </c>
      <c r="C18" s="24" t="s">
        <v>128</v>
      </c>
    </row>
    <row r="19" spans="1:5">
      <c r="B19" s="1" t="s">
        <v>131</v>
      </c>
      <c r="C19" s="24" t="s">
        <v>129</v>
      </c>
    </row>
    <row r="21" spans="1:5">
      <c r="B21" s="23" t="s">
        <v>53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141</v>
      </c>
    </row>
    <row r="26" spans="1:5">
      <c r="A26" s="25" t="s">
        <v>59</v>
      </c>
      <c r="B26" s="19" t="s">
        <v>139</v>
      </c>
      <c r="C26" s="47"/>
    </row>
    <row r="27" spans="1:5">
      <c r="A27" s="18"/>
      <c r="B27" s="144" t="s">
        <v>207</v>
      </c>
      <c r="C27" s="143"/>
      <c r="D27" s="143"/>
      <c r="E27" s="143"/>
    </row>
    <row r="28" spans="1:5">
      <c r="A28" s="18"/>
    </row>
    <row r="29" spans="1:5">
      <c r="A29" s="18"/>
      <c r="B29" s="43" t="s">
        <v>132</v>
      </c>
      <c r="C29" s="43" t="s">
        <v>127</v>
      </c>
    </row>
    <row r="30" spans="1:5">
      <c r="B30" s="26" t="s">
        <v>73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348</v>
      </c>
      <c r="C35" s="43" t="s">
        <v>127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344</v>
      </c>
      <c r="C38" s="138">
        <v>-0.65</v>
      </c>
    </row>
    <row r="40" spans="1:5">
      <c r="B40" s="20" t="s">
        <v>215</v>
      </c>
    </row>
    <row r="41" spans="1:5">
      <c r="B41" s="143" t="s">
        <v>214</v>
      </c>
      <c r="C41" s="143"/>
      <c r="D41" s="143"/>
      <c r="E41" s="143"/>
    </row>
    <row r="43" spans="1:5">
      <c r="A43" s="20" t="s">
        <v>60</v>
      </c>
      <c r="B43" s="19" t="s">
        <v>356</v>
      </c>
    </row>
    <row r="45" spans="1:5">
      <c r="B45" s="43" t="s">
        <v>208</v>
      </c>
      <c r="C45" s="43" t="s">
        <v>345</v>
      </c>
      <c r="D45" s="43" t="s">
        <v>352</v>
      </c>
      <c r="E45" s="43" t="s">
        <v>351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4" t="s">
        <v>353</v>
      </c>
      <c r="C50" s="143"/>
      <c r="D50" s="143"/>
      <c r="E50" s="143"/>
    </row>
    <row r="51" spans="1:5">
      <c r="B51" s="144" t="s">
        <v>227</v>
      </c>
      <c r="C51" s="144"/>
      <c r="D51" s="144"/>
      <c r="E51" s="144"/>
    </row>
    <row r="53" spans="1:5">
      <c r="A53" s="21" t="s">
        <v>135</v>
      </c>
      <c r="B53" s="21"/>
      <c r="C53" s="21"/>
      <c r="D53" s="21"/>
      <c r="E53" s="21"/>
    </row>
    <row r="55" spans="1:5">
      <c r="B55" s="143" t="s">
        <v>216</v>
      </c>
      <c r="C55" s="143"/>
      <c r="D55" s="143"/>
      <c r="E55" s="143"/>
    </row>
    <row r="57" spans="1:5">
      <c r="B57" s="23" t="s">
        <v>74</v>
      </c>
    </row>
    <row r="59" spans="1:5">
      <c r="B59" s="43" t="s">
        <v>75</v>
      </c>
      <c r="C59" s="43" t="s">
        <v>138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147</v>
      </c>
      <c r="E62" s="44"/>
    </row>
    <row r="64" spans="1:5">
      <c r="B64" s="23" t="s">
        <v>390</v>
      </c>
    </row>
    <row r="66" spans="1:5">
      <c r="B66" s="43" t="s">
        <v>76</v>
      </c>
      <c r="C66" s="43" t="s">
        <v>77</v>
      </c>
      <c r="D66" s="43" t="s">
        <v>78</v>
      </c>
      <c r="E66" s="43" t="s">
        <v>79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0</v>
      </c>
    </row>
    <row r="69" spans="1:5">
      <c r="B69" s="26" t="s">
        <v>198</v>
      </c>
      <c r="C69" s="26" t="s">
        <v>199</v>
      </c>
      <c r="D69" s="26" t="s">
        <v>200</v>
      </c>
      <c r="E69" s="40">
        <v>1</v>
      </c>
    </row>
    <row r="70" spans="1:5">
      <c r="B70" s="26" t="s">
        <v>196</v>
      </c>
      <c r="C70" s="26" t="s">
        <v>166</v>
      </c>
      <c r="D70" s="26" t="s">
        <v>167</v>
      </c>
      <c r="E70" s="40">
        <v>1</v>
      </c>
    </row>
    <row r="71" spans="1:5">
      <c r="B71" s="26" t="s">
        <v>197</v>
      </c>
      <c r="C71" s="26" t="s">
        <v>64</v>
      </c>
      <c r="D71" s="26" t="s">
        <v>68</v>
      </c>
      <c r="E71" s="40">
        <v>1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137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136</v>
      </c>
      <c r="C81" s="143"/>
      <c r="D81" s="143"/>
      <c r="E81" s="143"/>
    </row>
    <row r="83" spans="1:5">
      <c r="A83" s="28" t="s">
        <v>58</v>
      </c>
      <c r="B83" s="20" t="s">
        <v>220</v>
      </c>
    </row>
    <row r="84" spans="1:5">
      <c r="B84" s="24" t="s">
        <v>148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80</v>
      </c>
    </row>
    <row r="101" spans="1:5">
      <c r="B101" s="24" t="s">
        <v>81</v>
      </c>
    </row>
    <row r="102" spans="1:5">
      <c r="B102" s="24" t="s">
        <v>145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P11" sqref="P11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82</v>
      </c>
      <c r="H1" s="148"/>
      <c r="I1" s="148"/>
      <c r="J1" s="150" t="s">
        <v>4</v>
      </c>
      <c r="K1" s="150"/>
      <c r="L1" s="150"/>
      <c r="M1" s="149" t="s">
        <v>165</v>
      </c>
      <c r="N1" s="149"/>
      <c r="O1" s="145" t="s">
        <v>7</v>
      </c>
      <c r="P1" s="145"/>
      <c r="Q1" s="152" t="s">
        <v>179</v>
      </c>
      <c r="R1" s="152"/>
      <c r="S1" s="152"/>
      <c r="T1" s="152"/>
      <c r="U1" s="151" t="s">
        <v>175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54</v>
      </c>
      <c r="H2" s="7" t="s">
        <v>55</v>
      </c>
      <c r="I2" s="7" t="s">
        <v>144</v>
      </c>
      <c r="J2" s="8" t="s">
        <v>183</v>
      </c>
      <c r="K2" s="8" t="s">
        <v>9</v>
      </c>
      <c r="L2" s="8" t="s">
        <v>171</v>
      </c>
      <c r="M2" s="8" t="s">
        <v>164</v>
      </c>
      <c r="N2" s="8" t="s">
        <v>170</v>
      </c>
      <c r="O2" s="7" t="s">
        <v>10</v>
      </c>
      <c r="P2" s="7" t="s">
        <v>6</v>
      </c>
      <c r="Q2" s="7" t="s">
        <v>176</v>
      </c>
      <c r="R2" s="7" t="s">
        <v>181</v>
      </c>
      <c r="S2" s="7" t="s">
        <v>177</v>
      </c>
      <c r="T2" s="7" t="s">
        <v>178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174</v>
      </c>
      <c r="Z2" s="9" t="s">
        <v>8</v>
      </c>
      <c r="AA2" s="10" t="s">
        <v>46</v>
      </c>
    </row>
    <row r="3" spans="1:27">
      <c r="B3" s="11" t="s">
        <v>359</v>
      </c>
      <c r="C3" s="11" t="s">
        <v>364</v>
      </c>
      <c r="D3" s="2">
        <v>10.199999999999999</v>
      </c>
      <c r="E3" s="12" t="s">
        <v>133</v>
      </c>
      <c r="F3" s="15">
        <v>0.25844452584577116</v>
      </c>
      <c r="G3" s="15">
        <f>F3 - Portfolio_Mgmt!$C$10</f>
        <v>0.14104452584577115</v>
      </c>
      <c r="H3" s="15">
        <f>F3 - Portfolio_Mgmt!$C$11</f>
        <v>0.22394452584577115</v>
      </c>
      <c r="I3" s="15">
        <v>0.1277155817111581</v>
      </c>
      <c r="J3" s="2">
        <v>9.789873521822285</v>
      </c>
      <c r="K3" s="2">
        <v>18.817662535886061</v>
      </c>
      <c r="L3" s="71">
        <v>16.849954353185421</v>
      </c>
      <c r="M3" s="2">
        <v>12.155069726420979</v>
      </c>
      <c r="N3" s="2">
        <v>14.961987975362611</v>
      </c>
      <c r="O3" s="4">
        <v>9.5850377583797677E-2</v>
      </c>
      <c r="P3" s="4">
        <v>5.7538119099503869E-2</v>
      </c>
      <c r="Q3" s="4">
        <v>0.10095788852256718</v>
      </c>
      <c r="R3" s="4">
        <v>0.126397939605567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1.7657359087982438</v>
      </c>
      <c r="X3" s="13" t="s">
        <v>365</v>
      </c>
      <c r="Y3" s="11" t="s">
        <v>360</v>
      </c>
      <c r="Z3" s="14">
        <v>46173</v>
      </c>
      <c r="AA3" s="16" t="s">
        <v>366</v>
      </c>
    </row>
    <row r="4" spans="1:27">
      <c r="B4" s="11" t="s">
        <v>379</v>
      </c>
      <c r="C4" s="11" t="s">
        <v>380</v>
      </c>
      <c r="D4" s="2">
        <v>103.8</v>
      </c>
      <c r="E4" s="12" t="s">
        <v>133</v>
      </c>
      <c r="F4" s="15">
        <v>0.25085546041516749</v>
      </c>
      <c r="G4" s="15">
        <f>F4 - Portfolio_Mgmt!$C$10</f>
        <v>0.13345546041516748</v>
      </c>
      <c r="H4" s="15">
        <f>F4 - Portfolio_Mgmt!$C$11</f>
        <v>0.21635546041516748</v>
      </c>
      <c r="I4" s="15">
        <v>0.24440134347771827</v>
      </c>
      <c r="J4" s="2">
        <v>93.869096074266068</v>
      </c>
      <c r="K4" s="2">
        <v>189.75850798139936</v>
      </c>
      <c r="L4" s="71">
        <v>162.9882141875724</v>
      </c>
      <c r="M4" s="2">
        <v>116.99285629904411</v>
      </c>
      <c r="N4" s="2">
        <v>144.47961973069502</v>
      </c>
      <c r="O4" s="4">
        <v>8.3011294104839359E-2</v>
      </c>
      <c r="P4" s="4">
        <v>3.3815028901734101E-2</v>
      </c>
      <c r="Q4" s="4">
        <v>0.15</v>
      </c>
      <c r="R4" s="4">
        <v>3.9404773307997187E-2</v>
      </c>
      <c r="S4" s="79">
        <v>1.6240671367246462</v>
      </c>
      <c r="T4" s="78">
        <v>2.3438965902371725</v>
      </c>
      <c r="U4" s="15">
        <v>0.36820511135930623</v>
      </c>
      <c r="V4" s="76">
        <v>2.8852377432054559</v>
      </c>
      <c r="W4" s="71">
        <v>-65.299983728895668</v>
      </c>
      <c r="X4" s="13" t="s">
        <v>168</v>
      </c>
      <c r="Y4" s="11" t="s">
        <v>363</v>
      </c>
      <c r="Z4" s="14">
        <v>46173</v>
      </c>
      <c r="AA4" s="16" t="s">
        <v>180</v>
      </c>
    </row>
    <row r="5" spans="1:27">
      <c r="B5" s="11" t="s">
        <v>328</v>
      </c>
      <c r="C5" s="11" t="s">
        <v>367</v>
      </c>
      <c r="D5" s="2">
        <v>3.91</v>
      </c>
      <c r="E5" s="12" t="s">
        <v>133</v>
      </c>
      <c r="F5" s="15">
        <v>0.24192072114076554</v>
      </c>
      <c r="G5" s="15">
        <f>F5 - Portfolio_Mgmt!$C$10</f>
        <v>0.12452072114076554</v>
      </c>
      <c r="H5" s="15">
        <f>F5 - Portfolio_Mgmt!$C$11</f>
        <v>0.20742072114076554</v>
      </c>
      <c r="I5" s="15">
        <v>0.11525081585762552</v>
      </c>
      <c r="J5" s="2">
        <v>3.4722069389485957</v>
      </c>
      <c r="K5" s="2">
        <v>6.5745549564240156</v>
      </c>
      <c r="L5" s="71">
        <v>5.9610249602603496</v>
      </c>
      <c r="M5" s="2">
        <v>4.3063250245862799</v>
      </c>
      <c r="N5" s="2">
        <v>5.2957480303158606</v>
      </c>
      <c r="O5" s="4">
        <v>0.11376929563574673</v>
      </c>
      <c r="P5" s="4">
        <v>6.1841432225063935E-2</v>
      </c>
      <c r="Q5" s="4">
        <v>0.17911384235321903</v>
      </c>
      <c r="R5" s="4">
        <v>0.23440332981639808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1.2858702050147901</v>
      </c>
      <c r="X5" s="13" t="s">
        <v>168</v>
      </c>
      <c r="Y5" s="11" t="s">
        <v>360</v>
      </c>
      <c r="Z5" s="14">
        <v>46081</v>
      </c>
      <c r="AA5" s="16" t="s">
        <v>366</v>
      </c>
    </row>
    <row r="6" spans="1:27">
      <c r="B6" s="11" t="s">
        <v>381</v>
      </c>
      <c r="C6" s="11" t="s">
        <v>382</v>
      </c>
      <c r="D6" s="2">
        <v>78.5</v>
      </c>
      <c r="E6" s="12" t="s">
        <v>133</v>
      </c>
      <c r="F6" s="15">
        <v>0.20553937277082149</v>
      </c>
      <c r="G6" s="15">
        <f>F6 - Portfolio_Mgmt!$C$10</f>
        <v>8.8139372770821484E-2</v>
      </c>
      <c r="H6" s="15">
        <f>F6 - Portfolio_Mgmt!$C$11</f>
        <v>0.17103937277082149</v>
      </c>
      <c r="I6" s="15">
        <v>0.16105829745259287</v>
      </c>
      <c r="J6" s="2">
        <v>64.03874288409996</v>
      </c>
      <c r="K6" s="2">
        <v>120.7739384062487</v>
      </c>
      <c r="L6" s="71">
        <v>109.86698307533452</v>
      </c>
      <c r="M6" s="2">
        <v>79.399561739478642</v>
      </c>
      <c r="N6" s="2">
        <v>97.618110477933342</v>
      </c>
      <c r="O6" s="4">
        <v>6.9123139141263654E-2</v>
      </c>
      <c r="P6" s="4">
        <v>5.8356687898089177E-2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1.4584276266570915</v>
      </c>
      <c r="X6" s="13" t="s">
        <v>376</v>
      </c>
      <c r="Y6" s="11" t="s">
        <v>363</v>
      </c>
      <c r="Z6" s="14">
        <v>46081</v>
      </c>
      <c r="AA6" s="16" t="s">
        <v>180</v>
      </c>
    </row>
    <row r="7" spans="1:27">
      <c r="B7" s="11" t="s">
        <v>383</v>
      </c>
      <c r="C7" s="11" t="s">
        <v>384</v>
      </c>
      <c r="D7" s="2">
        <v>77.400000000000006</v>
      </c>
      <c r="E7" s="12" t="s">
        <v>133</v>
      </c>
      <c r="F7" s="15">
        <v>0.19255135221428826</v>
      </c>
      <c r="G7" s="15">
        <f>F7 - Portfolio_Mgmt!$C$10</f>
        <v>7.5151352214288258E-2</v>
      </c>
      <c r="H7" s="15">
        <f>F7 - Portfolio_Mgmt!$C$11</f>
        <v>0.15805135221428826</v>
      </c>
      <c r="I7" s="15">
        <v>0.12975415863075493</v>
      </c>
      <c r="J7" s="2">
        <v>61.540774633691498</v>
      </c>
      <c r="K7" s="2">
        <v>108.21150613566442</v>
      </c>
      <c r="L7" s="71">
        <v>104.38245843545533</v>
      </c>
      <c r="M7" s="2">
        <v>75.92754467119029</v>
      </c>
      <c r="N7" s="2">
        <v>92.953164568760769</v>
      </c>
      <c r="O7" s="4">
        <v>0.11700094723101183</v>
      </c>
      <c r="P7" s="4">
        <v>8.2423772609819118E-2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-19.221506310709398</v>
      </c>
      <c r="X7" s="13" t="s">
        <v>168</v>
      </c>
      <c r="Y7" s="11" t="s">
        <v>360</v>
      </c>
      <c r="Z7" s="14">
        <v>46081</v>
      </c>
      <c r="AA7" s="16" t="s">
        <v>180</v>
      </c>
    </row>
    <row r="8" spans="1:27">
      <c r="B8" s="11" t="s">
        <v>182</v>
      </c>
      <c r="C8" s="11" t="s">
        <v>370</v>
      </c>
      <c r="D8" s="2">
        <v>3.27</v>
      </c>
      <c r="E8" s="12" t="s">
        <v>133</v>
      </c>
      <c r="F8" s="15">
        <v>0.18222622082566256</v>
      </c>
      <c r="G8" s="15">
        <f>F8 - Portfolio_Mgmt!$C$10</f>
        <v>6.4826220825662556E-2</v>
      </c>
      <c r="H8" s="15">
        <f>F8 - Portfolio_Mgmt!$C$11</f>
        <v>0.14772622082566256</v>
      </c>
      <c r="I8" s="15">
        <v>0.10162032351301863</v>
      </c>
      <c r="J8" s="2">
        <v>2.5385815935033342</v>
      </c>
      <c r="K8" s="2">
        <v>4.4366120194593153</v>
      </c>
      <c r="L8" s="71">
        <v>4.3016714192105461</v>
      </c>
      <c r="M8" s="2">
        <v>3.1307450481218235</v>
      </c>
      <c r="N8" s="2">
        <v>3.8313906187252909</v>
      </c>
      <c r="O8" s="4">
        <v>7.4258357213923459E-2</v>
      </c>
      <c r="P8" s="4">
        <v>8.2568807339449546E-2</v>
      </c>
      <c r="Q8" s="4">
        <v>0.11354054587062024</v>
      </c>
      <c r="R8" s="4">
        <v>0.4243739445166862</v>
      </c>
      <c r="S8" s="79">
        <v>0.22035988512352028</v>
      </c>
      <c r="T8" s="78">
        <v>1.2141426890285656</v>
      </c>
      <c r="U8" s="15">
        <v>2.3107986944995245E-3</v>
      </c>
      <c r="V8" s="76">
        <v>2.0454423835375664E-2</v>
      </c>
      <c r="W8" s="71">
        <v>0.79833937207218564</v>
      </c>
      <c r="X8" s="13" t="s">
        <v>371</v>
      </c>
      <c r="Y8" s="11" t="s">
        <v>360</v>
      </c>
      <c r="Z8" s="14">
        <v>46081</v>
      </c>
      <c r="AA8" s="16" t="s">
        <v>180</v>
      </c>
    </row>
    <row r="9" spans="1:27">
      <c r="B9" s="11" t="s">
        <v>361</v>
      </c>
      <c r="C9" s="11" t="s">
        <v>362</v>
      </c>
      <c r="D9" s="2">
        <v>7.02</v>
      </c>
      <c r="E9" s="12" t="s">
        <v>133</v>
      </c>
      <c r="F9" s="15">
        <v>0.17795125135209935</v>
      </c>
      <c r="G9" s="15">
        <f>F9 - Portfolio_Mgmt!$C$10</f>
        <v>6.055125135209935E-2</v>
      </c>
      <c r="H9" s="15">
        <f>F9 - Portfolio_Mgmt!$C$11</f>
        <v>0.14345125135209935</v>
      </c>
      <c r="I9" s="15">
        <v>8.8998967276653046E-2</v>
      </c>
      <c r="J9" s="2">
        <v>5.3141281403824898</v>
      </c>
      <c r="K9" s="2">
        <v>10.967807599967429</v>
      </c>
      <c r="L9" s="71">
        <v>9.2614927891107719</v>
      </c>
      <c r="M9" s="2">
        <v>6.6339642861251669</v>
      </c>
      <c r="N9" s="2">
        <v>8.2038797297466814</v>
      </c>
      <c r="O9" s="4">
        <v>6.5393180968379747E-2</v>
      </c>
      <c r="P9" s="4">
        <v>2.0227920227920228E-2</v>
      </c>
      <c r="Q9" s="4">
        <v>0.3</v>
      </c>
      <c r="R9" s="4">
        <v>0.15217050538089463</v>
      </c>
      <c r="S9" s="79">
        <v>1.1106245684847842</v>
      </c>
      <c r="T9" s="78">
        <v>1.775102743966247</v>
      </c>
      <c r="U9" s="15">
        <v>0.17709797868255178</v>
      </c>
      <c r="V9" s="76">
        <v>0.82178780749892033</v>
      </c>
      <c r="W9" s="71">
        <v>-0.16650139591844174</v>
      </c>
      <c r="X9" s="13" t="s">
        <v>168</v>
      </c>
      <c r="Y9" s="11" t="s">
        <v>363</v>
      </c>
      <c r="Z9" s="14">
        <v>46081</v>
      </c>
      <c r="AA9" s="16" t="s">
        <v>180</v>
      </c>
    </row>
    <row r="10" spans="1:27">
      <c r="B10" s="11" t="s">
        <v>326</v>
      </c>
      <c r="C10" s="11" t="s">
        <v>327</v>
      </c>
      <c r="D10" s="2">
        <v>4.68</v>
      </c>
      <c r="E10" s="12" t="s">
        <v>133</v>
      </c>
      <c r="F10" s="15">
        <v>0.17373265724922368</v>
      </c>
      <c r="G10" s="15">
        <f>F10 - Portfolio_Mgmt!$C$10</f>
        <v>5.6332657249223678E-2</v>
      </c>
      <c r="H10" s="15">
        <f>F10 - Portfolio_Mgmt!$C$11</f>
        <v>0.13923265724922368</v>
      </c>
      <c r="I10" s="15">
        <v>7.5924905471577375E-2</v>
      </c>
      <c r="J10" s="2">
        <v>3.5453162653105039</v>
      </c>
      <c r="K10" s="2">
        <v>6.5021029196761031</v>
      </c>
      <c r="L10" s="71">
        <v>6.0543353749158966</v>
      </c>
      <c r="M10" s="2">
        <v>4.3869285024051887</v>
      </c>
      <c r="N10" s="2">
        <v>5.3842307819113344</v>
      </c>
      <c r="O10" s="4">
        <v>8.6308371506891801E-2</v>
      </c>
      <c r="P10" s="4">
        <v>6.4102564102564111E-2</v>
      </c>
      <c r="Q10" s="4">
        <v>0.18</v>
      </c>
      <c r="R10" s="4">
        <v>5.5599077391744495E-2</v>
      </c>
      <c r="S10" s="79">
        <v>1.4798367611150316</v>
      </c>
      <c r="T10" s="78">
        <v>2.187716833659914</v>
      </c>
      <c r="U10" s="15">
        <v>0.76701287002940366</v>
      </c>
      <c r="V10" s="76">
        <v>5.0983946232940358</v>
      </c>
      <c r="W10" s="71">
        <v>-2.4800067209187837</v>
      </c>
      <c r="X10" s="16" t="s">
        <v>168</v>
      </c>
      <c r="Y10" s="11" t="s">
        <v>360</v>
      </c>
      <c r="Z10" s="14">
        <v>46173</v>
      </c>
      <c r="AA10" s="16" t="s">
        <v>180</v>
      </c>
    </row>
    <row r="11" spans="1:27">
      <c r="B11" s="11" t="s">
        <v>387</v>
      </c>
      <c r="C11" s="11" t="s">
        <v>388</v>
      </c>
      <c r="D11" s="2">
        <v>80.75</v>
      </c>
      <c r="E11" s="12" t="s">
        <v>133</v>
      </c>
      <c r="F11" s="15">
        <v>0.17107262855059663</v>
      </c>
      <c r="G11" s="15">
        <f>F11 - Portfolio_Mgmt!$C$10</f>
        <v>5.3672628550596624E-2</v>
      </c>
      <c r="H11" s="15">
        <f>F11 - Portfolio_Mgmt!$C$11</f>
        <v>0.13657262855059663</v>
      </c>
      <c r="I11" s="15">
        <v>3.3672128716753458E-2</v>
      </c>
      <c r="J11" s="2">
        <v>59.763261181597592</v>
      </c>
      <c r="K11" s="2">
        <v>129.68627676406675</v>
      </c>
      <c r="L11" s="71">
        <v>105.12405855166726</v>
      </c>
      <c r="M11" s="2">
        <v>74.909040730146884</v>
      </c>
      <c r="N11" s="2">
        <v>92.953986702038947</v>
      </c>
      <c r="O11" s="4">
        <v>1.5361388364816216E-2</v>
      </c>
      <c r="P11" s="4">
        <v>0</v>
      </c>
      <c r="Q11" s="4">
        <v>0.2</v>
      </c>
      <c r="R11" s="4">
        <v>0.10918374574607279</v>
      </c>
      <c r="S11" s="79">
        <v>1.022390799101176</v>
      </c>
      <c r="T11" s="78">
        <v>1.7916578376478161</v>
      </c>
      <c r="U11" s="15">
        <v>0.27660377540313014</v>
      </c>
      <c r="V11" s="76">
        <v>3.1316510969641755</v>
      </c>
      <c r="W11" s="71">
        <v>3.6064306695107011</v>
      </c>
      <c r="X11" s="13" t="s">
        <v>389</v>
      </c>
      <c r="Y11" s="11" t="s">
        <v>363</v>
      </c>
      <c r="Z11" s="14">
        <v>46081</v>
      </c>
      <c r="AA11" s="16" t="s">
        <v>366</v>
      </c>
    </row>
    <row r="12" spans="1:27">
      <c r="B12" s="11" t="s">
        <v>385</v>
      </c>
      <c r="C12" s="11" t="s">
        <v>386</v>
      </c>
      <c r="D12" s="2">
        <v>42.2</v>
      </c>
      <c r="E12" s="12" t="s">
        <v>133</v>
      </c>
      <c r="F12" s="15">
        <v>0.15751340909520897</v>
      </c>
      <c r="G12" s="15">
        <f>F12 - Portfolio_Mgmt!$C$10</f>
        <v>4.0113409095208968E-2</v>
      </c>
      <c r="H12" s="15">
        <f>F12 - Portfolio_Mgmt!$C$11</f>
        <v>0.12301340909520897</v>
      </c>
      <c r="I12" s="15">
        <v>1.9031013070483428E-2</v>
      </c>
      <c r="J12" s="2">
        <v>30.472338478979687</v>
      </c>
      <c r="K12" s="2">
        <v>60.439606731746466</v>
      </c>
      <c r="L12" s="71">
        <v>52.732918282721435</v>
      </c>
      <c r="M12" s="2">
        <v>37.923481236889849</v>
      </c>
      <c r="N12" s="2">
        <v>46.775086255631912</v>
      </c>
      <c r="O12" s="4">
        <v>6.9088519142746635E-2</v>
      </c>
      <c r="P12" s="4">
        <v>3.392895734597156E-2</v>
      </c>
      <c r="Q12" s="4">
        <v>0.2658092571428613</v>
      </c>
      <c r="R12" s="4">
        <v>0.20771863979883598</v>
      </c>
      <c r="S12" s="79">
        <v>0.65265738052043343</v>
      </c>
      <c r="T12" s="78">
        <v>1.9606920057834423</v>
      </c>
      <c r="U12" s="15">
        <v>0.67283405398617657</v>
      </c>
      <c r="V12" s="76">
        <v>2.2041306156151999</v>
      </c>
      <c r="W12" s="71">
        <v>-6.2879234830533743</v>
      </c>
      <c r="X12" s="13" t="s">
        <v>168</v>
      </c>
      <c r="Y12" s="11" t="s">
        <v>363</v>
      </c>
      <c r="Z12" s="14">
        <v>46081</v>
      </c>
      <c r="AA12" s="16" t="s">
        <v>180</v>
      </c>
    </row>
    <row r="13" spans="1:27">
      <c r="B13" s="11" t="s">
        <v>329</v>
      </c>
      <c r="C13" s="11" t="s">
        <v>368</v>
      </c>
      <c r="D13" s="2">
        <v>8.26</v>
      </c>
      <c r="E13" s="12" t="s">
        <v>133</v>
      </c>
      <c r="F13" s="15">
        <v>0.15274183509108599</v>
      </c>
      <c r="G13" s="15">
        <f>F13 - Portfolio_Mgmt!$C$10</f>
        <v>3.5341835091085988E-2</v>
      </c>
      <c r="H13" s="15">
        <f>F13 - Portfolio_Mgmt!$C$11</f>
        <v>0.11824183509108599</v>
      </c>
      <c r="I13" s="15">
        <v>0</v>
      </c>
      <c r="J13" s="2">
        <v>5.9031516383650837</v>
      </c>
      <c r="K13" s="2">
        <v>11.532763326181085</v>
      </c>
      <c r="L13" s="2">
        <v>10.188678459731804</v>
      </c>
      <c r="M13" s="2">
        <v>7.3382105844185963</v>
      </c>
      <c r="N13" s="2">
        <v>9.0421658277011385</v>
      </c>
      <c r="O13" s="4">
        <v>8.6180567737079425E-2</v>
      </c>
      <c r="P13" s="4">
        <v>3.8936867167764254E-2</v>
      </c>
      <c r="Q13" s="4">
        <v>0.17172001831973296</v>
      </c>
      <c r="R13" s="4">
        <v>8.3606164410580511E-2</v>
      </c>
      <c r="S13" s="79">
        <v>1.3282158707615834</v>
      </c>
      <c r="T13" s="78">
        <v>1.5463719418456539</v>
      </c>
      <c r="U13" s="15">
        <v>0.22428295339746124</v>
      </c>
      <c r="V13" s="76">
        <v>1.2715557492373779</v>
      </c>
      <c r="W13" s="71">
        <v>-2.9862635425501813</v>
      </c>
      <c r="X13" s="13" t="s">
        <v>369</v>
      </c>
      <c r="Y13" s="11" t="s">
        <v>363</v>
      </c>
      <c r="Z13" s="14">
        <v>46081</v>
      </c>
      <c r="AA13" s="16" t="s">
        <v>366</v>
      </c>
    </row>
    <row r="14" spans="1:27">
      <c r="B14" s="11" t="s">
        <v>377</v>
      </c>
      <c r="C14" s="11" t="s">
        <v>378</v>
      </c>
      <c r="D14" s="2">
        <v>4.95</v>
      </c>
      <c r="E14" s="12" t="s">
        <v>133</v>
      </c>
      <c r="F14" s="15">
        <v>0.13150443474697285</v>
      </c>
      <c r="G14" s="15">
        <f>F14 - Portfolio_Mgmt!$C$10</f>
        <v>1.4104434746972844E-2</v>
      </c>
      <c r="H14" s="15">
        <f>F14 - Portfolio_Mgmt!$C$11</f>
        <v>9.7004434746972845E-2</v>
      </c>
      <c r="I14" s="15">
        <v>0</v>
      </c>
      <c r="J14" s="2">
        <v>3.3455729956390798</v>
      </c>
      <c r="K14" s="2">
        <v>6.6277455556474951</v>
      </c>
      <c r="L14" s="2">
        <v>5.7883592149489207</v>
      </c>
      <c r="M14" s="2">
        <v>4.1632581103676909</v>
      </c>
      <c r="N14" s="2">
        <v>5.1345919269174427</v>
      </c>
      <c r="O14" s="4">
        <v>6.2668281083272867E-2</v>
      </c>
      <c r="P14" s="4">
        <v>3.2161616161616162E-2</v>
      </c>
      <c r="Q14" s="4">
        <v>0.27382509866113364</v>
      </c>
      <c r="R14" s="4">
        <v>0.20764453215246689</v>
      </c>
      <c r="S14" s="79">
        <v>0.86056930273853416</v>
      </c>
      <c r="T14" s="78">
        <v>1.532381509863507</v>
      </c>
      <c r="U14" s="15">
        <v>0.27351475277205878</v>
      </c>
      <c r="V14" s="76">
        <v>0.94608729427783522</v>
      </c>
      <c r="W14" s="71">
        <v>0.59749676752244707</v>
      </c>
      <c r="X14" s="13" t="s">
        <v>168</v>
      </c>
      <c r="Y14" s="11" t="s">
        <v>363</v>
      </c>
      <c r="Z14" s="14">
        <v>46173</v>
      </c>
      <c r="AA14" s="16" t="s">
        <v>366</v>
      </c>
    </row>
    <row r="15" spans="1:27">
      <c r="B15" s="11" t="s">
        <v>156</v>
      </c>
      <c r="C15" s="11" t="s">
        <v>372</v>
      </c>
      <c r="D15" s="2">
        <v>21.96</v>
      </c>
      <c r="E15" s="12" t="s">
        <v>133</v>
      </c>
      <c r="F15" s="15">
        <v>0.10694958984444163</v>
      </c>
      <c r="G15" s="15">
        <f>F15 - Portfolio_Mgmt!$C$10</f>
        <v>-1.0450410155558379E-2</v>
      </c>
      <c r="H15" s="15">
        <f>F15 - Portfolio_Mgmt!$C$11</f>
        <v>7.2449589844441623E-2</v>
      </c>
      <c r="I15" s="15">
        <v>0</v>
      </c>
      <c r="J15" s="2">
        <v>13.878443981089484</v>
      </c>
      <c r="K15" s="2">
        <v>28.064132775417118</v>
      </c>
      <c r="L15" s="2">
        <v>24.098935167488882</v>
      </c>
      <c r="M15" s="2">
        <v>17.297674738091306</v>
      </c>
      <c r="N15" s="2">
        <v>21.362087657956575</v>
      </c>
      <c r="O15" s="4">
        <v>5.1569915168282222E-2</v>
      </c>
      <c r="P15" s="4">
        <v>2.3533613162607409E-2</v>
      </c>
      <c r="Q15" s="4">
        <v>0.2</v>
      </c>
      <c r="R15" s="4">
        <v>0.13430424833028851</v>
      </c>
      <c r="S15" s="79">
        <v>1.1000000000000001</v>
      </c>
      <c r="T15" s="78">
        <v>1.3537783359692717</v>
      </c>
      <c r="U15" s="15">
        <v>6.5417684980282262E-2</v>
      </c>
      <c r="V15" s="76">
        <v>0.50358953318926281</v>
      </c>
      <c r="W15" s="71">
        <v>5.6443831570809282</v>
      </c>
      <c r="X15" s="13" t="s">
        <v>373</v>
      </c>
      <c r="Y15" s="11" t="s">
        <v>363</v>
      </c>
      <c r="Z15" s="14">
        <v>46081</v>
      </c>
      <c r="AA15" s="16" t="s">
        <v>180</v>
      </c>
    </row>
    <row r="16" spans="1:27">
      <c r="B16" s="11" t="s">
        <v>169</v>
      </c>
      <c r="C16" s="11" t="s">
        <v>374</v>
      </c>
      <c r="D16" s="2">
        <v>25.7</v>
      </c>
      <c r="E16" s="12" t="s">
        <v>133</v>
      </c>
      <c r="F16" s="15">
        <v>5.1285635794498345E-2</v>
      </c>
      <c r="G16" s="15">
        <f>F16 - Portfolio_Mgmt!$C$10</f>
        <v>-6.6114364205501652E-2</v>
      </c>
      <c r="H16" s="15">
        <f>F16 - Portfolio_Mgmt!$C$11</f>
        <v>1.6785635794498342E-2</v>
      </c>
      <c r="I16" s="15">
        <v>0</v>
      </c>
      <c r="J16" s="2">
        <v>14.23335730104111</v>
      </c>
      <c r="K16" s="2">
        <v>25.883205163858914</v>
      </c>
      <c r="L16" s="2">
        <v>24.272591262279043</v>
      </c>
      <c r="M16" s="2">
        <v>17.601632793838561</v>
      </c>
      <c r="N16" s="2">
        <v>21.591936244412981</v>
      </c>
      <c r="O16" s="4">
        <v>9.4396811989593807E-2</v>
      </c>
      <c r="P16" s="4">
        <v>4.9027237354085602E-2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0.46547675236374525</v>
      </c>
      <c r="X16" s="13" t="s">
        <v>375</v>
      </c>
      <c r="Y16" s="11" t="s">
        <v>360</v>
      </c>
      <c r="Z16" s="14">
        <v>46081</v>
      </c>
      <c r="AA16" s="16" t="s">
        <v>180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4" t="s">
        <v>233</v>
      </c>
      <c r="C4" s="143"/>
      <c r="D4" s="143"/>
      <c r="E4" s="143"/>
    </row>
    <row r="6" spans="1:5">
      <c r="A6" s="20" t="s">
        <v>58</v>
      </c>
      <c r="B6" s="19" t="s">
        <v>234</v>
      </c>
      <c r="C6" s="47"/>
    </row>
    <row r="7" spans="1:5">
      <c r="B7" s="144" t="s">
        <v>324</v>
      </c>
      <c r="C7" s="143"/>
      <c r="D7" s="143"/>
      <c r="E7" s="143"/>
    </row>
    <row r="9" spans="1:5">
      <c r="B9" s="23" t="s">
        <v>235</v>
      </c>
    </row>
    <row r="10" spans="1:5">
      <c r="B10" s="1" t="s">
        <v>236</v>
      </c>
      <c r="C10" s="105">
        <f>benchmark</f>
        <v>0.1174</v>
      </c>
    </row>
    <row r="11" spans="1:5">
      <c r="B11" s="1" t="s">
        <v>237</v>
      </c>
      <c r="C11" s="105">
        <f>Cash_Yield</f>
        <v>3.4500000000000003E-2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59</v>
      </c>
      <c r="B23" s="19" t="s">
        <v>250</v>
      </c>
      <c r="C23" s="47"/>
    </row>
    <row r="24" spans="1:5">
      <c r="A24" s="18"/>
      <c r="B24" s="144" t="s">
        <v>249</v>
      </c>
      <c r="C24" s="143"/>
      <c r="D24" s="143"/>
      <c r="E24" s="143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60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0.29465259038036606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0.20075184365903009</v>
      </c>
      <c r="D33" s="96" t="s">
        <v>265</v>
      </c>
      <c r="E33" s="97">
        <f>(C32*C33+(1-C32)*C34)/(2*C33)</f>
        <v>3.6621760332915154</v>
      </c>
    </row>
    <row r="34" spans="1:5" ht="12" thickBot="1">
      <c r="B34" s="98" t="s">
        <v>261</v>
      </c>
      <c r="C34" s="99">
        <f>E32+C33</f>
        <v>2.0007518436590295</v>
      </c>
      <c r="D34" s="100" t="s">
        <v>266</v>
      </c>
      <c r="E34" s="101">
        <f>-C33/C34</f>
        <v>-0.10033820250885769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3" t="s">
        <v>269</v>
      </c>
      <c r="C40" s="143"/>
      <c r="D40" s="143"/>
      <c r="E40" s="143"/>
    </row>
    <row r="41" spans="1:5">
      <c r="B41" s="144" t="s">
        <v>270</v>
      </c>
      <c r="C41" s="143"/>
      <c r="D41" s="143"/>
      <c r="E41" s="143"/>
    </row>
    <row r="42" spans="1:5">
      <c r="B42" s="144" t="s">
        <v>271</v>
      </c>
      <c r="C42" s="143"/>
      <c r="D42" s="143"/>
      <c r="E42" s="143"/>
    </row>
    <row r="43" spans="1:5">
      <c r="B43" s="144" t="s">
        <v>272</v>
      </c>
      <c r="C43" s="144"/>
      <c r="D43" s="144"/>
      <c r="E43" s="144"/>
    </row>
    <row r="44" spans="1:5" ht="34.25" customHeight="1">
      <c r="B44" s="143" t="s">
        <v>323</v>
      </c>
      <c r="C44" s="143"/>
      <c r="D44" s="143"/>
      <c r="E44" s="143"/>
    </row>
    <row r="46" spans="1:5">
      <c r="A46" s="21" t="s">
        <v>273</v>
      </c>
      <c r="B46" s="21"/>
      <c r="C46" s="21"/>
      <c r="D46" s="21"/>
      <c r="E46" s="21"/>
    </row>
    <row r="48" spans="1:5">
      <c r="B48" s="143" t="s">
        <v>274</v>
      </c>
      <c r="C48" s="143"/>
      <c r="D48" s="143"/>
      <c r="E48" s="143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0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1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1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1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3" t="s">
        <v>306</v>
      </c>
      <c r="C74" s="143"/>
      <c r="D74" s="143"/>
      <c r="E74" s="143"/>
    </row>
    <row r="76" spans="1:5">
      <c r="A76" s="28" t="s">
        <v>58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347</v>
      </c>
    </row>
    <row r="3" spans="1:4">
      <c r="B3" s="120" t="s">
        <v>354</v>
      </c>
    </row>
    <row r="5" spans="1:4">
      <c r="A5" s="121" t="s">
        <v>331</v>
      </c>
      <c r="B5" s="122" t="s">
        <v>11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340</v>
      </c>
    </row>
    <row r="9" spans="1:4">
      <c r="B9" s="127" t="s">
        <v>346</v>
      </c>
      <c r="C9" s="128">
        <f>1-C8</f>
        <v>0.4</v>
      </c>
    </row>
    <row r="10" spans="1:4">
      <c r="B10" s="127" t="s">
        <v>344</v>
      </c>
      <c r="C10" s="141">
        <f>Portfolio_Mgmt!C38</f>
        <v>-0.65</v>
      </c>
    </row>
    <row r="12" spans="1:4">
      <c r="B12" s="119" t="s">
        <v>215</v>
      </c>
    </row>
    <row r="13" spans="1:4">
      <c r="B13" s="153" t="s">
        <v>341</v>
      </c>
      <c r="C13" s="153"/>
      <c r="D13" s="153"/>
    </row>
    <row r="14" spans="1:4">
      <c r="B14" s="154" t="s">
        <v>342</v>
      </c>
      <c r="C14" s="155"/>
      <c r="D14" s="155"/>
    </row>
    <row r="16" spans="1:4">
      <c r="A16" s="121" t="s">
        <v>204</v>
      </c>
      <c r="B16" s="122" t="s">
        <v>332</v>
      </c>
    </row>
    <row r="17" spans="1:5">
      <c r="B17" s="123" t="s">
        <v>334</v>
      </c>
      <c r="C17" s="123" t="s">
        <v>345</v>
      </c>
      <c r="D17" s="123" t="s">
        <v>352</v>
      </c>
      <c r="E17" s="123" t="s">
        <v>343</v>
      </c>
    </row>
    <row r="18" spans="1:5">
      <c r="B18" s="127" t="s">
        <v>335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336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333</v>
      </c>
    </row>
    <row r="22" spans="1:5">
      <c r="B22" s="123" t="s">
        <v>339</v>
      </c>
      <c r="C22" s="123" t="s">
        <v>355</v>
      </c>
      <c r="D22" s="123" t="s">
        <v>213</v>
      </c>
    </row>
    <row r="23" spans="1:5">
      <c r="B23" s="127" t="s">
        <v>337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338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126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4.0800000000000003E-2</v>
      </c>
      <c r="D4" s="34">
        <v>6.7500000000000004E-2</v>
      </c>
      <c r="E4" s="35">
        <f>D4-C4</f>
        <v>2.6700000000000002E-2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357</v>
      </c>
    </row>
    <row r="35" spans="1:5" ht="223.25" customHeight="1">
      <c r="B35" s="156" t="s">
        <v>358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K8" sqref="K8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149</v>
      </c>
      <c r="C1" s="115"/>
    </row>
    <row r="2" spans="1:13" ht="29.75" customHeight="1">
      <c r="B2" s="52" t="s">
        <v>2</v>
      </c>
      <c r="C2" s="52" t="s">
        <v>330</v>
      </c>
      <c r="D2" s="52" t="s">
        <v>152</v>
      </c>
      <c r="E2" s="52" t="s">
        <v>151</v>
      </c>
      <c r="F2" s="52" t="s">
        <v>150</v>
      </c>
      <c r="G2" s="52" t="s">
        <v>155</v>
      </c>
      <c r="H2" s="52" t="s">
        <v>160</v>
      </c>
      <c r="I2" s="52" t="s">
        <v>144</v>
      </c>
      <c r="J2" s="52" t="s">
        <v>164</v>
      </c>
      <c r="K2" s="52" t="s">
        <v>183</v>
      </c>
      <c r="L2" s="52" t="s">
        <v>184</v>
      </c>
      <c r="M2" s="52" t="s">
        <v>185</v>
      </c>
    </row>
    <row r="3" spans="1:13">
      <c r="B3" s="62" t="s">
        <v>24</v>
      </c>
      <c r="C3" s="62"/>
      <c r="D3" s="60" t="s">
        <v>154</v>
      </c>
      <c r="E3" s="59" t="s">
        <v>153</v>
      </c>
      <c r="F3" s="61" t="s">
        <v>154</v>
      </c>
      <c r="G3" s="57">
        <v>654701</v>
      </c>
      <c r="H3" s="58">
        <f t="shared" ref="H3:H9" si="0">G3/$G$12</f>
        <v>0.49777268542137265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156</v>
      </c>
      <c r="C4" s="62" t="str">
        <f>VLOOKUP(B4,Opportunities!B$3:E$30,2,FALSE)</f>
        <v>李宁</v>
      </c>
      <c r="D4" s="60">
        <f>VLOOKUP(B4,Opportunities!B$3:E$30,3,FALSE)</f>
        <v>21.96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17.297674738091306</v>
      </c>
      <c r="K4" s="81">
        <f>VLOOKUP(B4,Opportunities!B$3:N$30,9,FALSE)</f>
        <v>13.878443981089484</v>
      </c>
      <c r="L4" s="81">
        <f>VLOOKUP(B4,Opportunities!B$3:N$30,11,FALSE)</f>
        <v>24.098935167488882</v>
      </c>
      <c r="M4" s="81">
        <f>VLOOKUP(B4,Opportunities!B$3:N$30,13,FALSE)</f>
        <v>21.362087657956575</v>
      </c>
    </row>
    <row r="5" spans="1:13">
      <c r="B5" s="63" t="s">
        <v>379</v>
      </c>
      <c r="C5" s="62" t="str">
        <f>VLOOKUP(B5,Opportunities!B$3:E$30,2,FALSE)</f>
        <v>京东集团</v>
      </c>
      <c r="D5" s="60">
        <f>VLOOKUP(B5,Opportunities!B$3:E$30,3,FALSE)</f>
        <v>103.8</v>
      </c>
      <c r="E5" s="59" t="str">
        <f>VLOOKUP(B5,Opportunities!B$3:E$30,4,FALSE)</f>
        <v>HKD</v>
      </c>
      <c r="F5" s="57">
        <v>2000</v>
      </c>
      <c r="G5" s="61">
        <f t="shared" si="1"/>
        <v>207600</v>
      </c>
      <c r="H5" s="58">
        <f t="shared" si="0"/>
        <v>0.15783939461445295</v>
      </c>
      <c r="I5" s="58">
        <f>VLOOKUP(B5,Opportunities!B$3:I$30,8,FALSE)</f>
        <v>0.24440134347771827</v>
      </c>
      <c r="J5" s="81">
        <f>VLOOKUP(B5,Opportunities!B$3:N$30,12,FALSE)</f>
        <v>116.99285629904411</v>
      </c>
      <c r="K5" s="81">
        <f>VLOOKUP(B5,Opportunities!B$3:N$30,9,FALSE)</f>
        <v>93.869096074266068</v>
      </c>
      <c r="L5" s="81">
        <f>VLOOKUP(B5,Opportunities!B$3:N$30,11,FALSE)</f>
        <v>162.9882141875724</v>
      </c>
      <c r="M5" s="81">
        <f>VLOOKUP(B5,Opportunities!B$3:N$30,13,FALSE)</f>
        <v>144.47961973069502</v>
      </c>
    </row>
    <row r="6" spans="1:13">
      <c r="B6" s="63" t="s">
        <v>182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 t="shared" si="1"/>
        <v>130800</v>
      </c>
      <c r="H6" s="58">
        <f t="shared" si="0"/>
        <v>9.9447942271533946E-2</v>
      </c>
      <c r="I6" s="58">
        <f>VLOOKUP(B6,Opportunities!B$3:I$30,8,FALSE)</f>
        <v>0.10162032351301863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329</v>
      </c>
      <c r="C7" s="62" t="str">
        <f>VLOOKUP(B7,Opportunities!B$3:E$30,2,FALSE)</f>
        <v>昆仑能源</v>
      </c>
      <c r="D7" s="60">
        <f>VLOOKUP(B7,Opportunities!B$3:E$30,3,FALSE)</f>
        <v>8.26</v>
      </c>
      <c r="E7" s="59" t="str">
        <f>VLOOKUP(B7,Opportunities!B$3:E$30,4,FALSE)</f>
        <v>HKD</v>
      </c>
      <c r="F7" s="57">
        <v>8000</v>
      </c>
      <c r="G7" s="61">
        <f t="shared" si="1"/>
        <v>66080</v>
      </c>
      <c r="H7" s="58">
        <f t="shared" si="0"/>
        <v>5.0240978786719896E-2</v>
      </c>
      <c r="I7" s="58">
        <f>VLOOKUP(B7,Opportunities!B$3:I$30,8,FALSE)</f>
        <v>0</v>
      </c>
      <c r="J7" s="81">
        <f>VLOOKUP(B7,Opportunities!B$3:N$30,12,FALSE)</f>
        <v>7.3382105844185963</v>
      </c>
      <c r="K7" s="81">
        <f>VLOOKUP(B7,Opportunities!B$3:N$30,9,FALSE)</f>
        <v>5.9031516383650837</v>
      </c>
      <c r="L7" s="81">
        <f>VLOOKUP(B7,Opportunities!B$3:N$30,11,FALSE)</f>
        <v>10.188678459731804</v>
      </c>
      <c r="M7" s="81">
        <f>VLOOKUP(B7,Opportunities!B$3:N$30,13,FALSE)</f>
        <v>9.0421658277011385</v>
      </c>
    </row>
    <row r="8" spans="1:13">
      <c r="B8" s="63" t="s">
        <v>359</v>
      </c>
      <c r="C8" s="62" t="str">
        <f>VLOOKUP(B8,Opportunities!B$3:E$30,2,FALSE)</f>
        <v>新华文轩</v>
      </c>
      <c r="D8" s="60">
        <f>VLOOKUP(B8,Opportunities!B$3:E$30,3,FALSE)</f>
        <v>10.199999999999999</v>
      </c>
      <c r="E8" s="59" t="str">
        <f>VLOOKUP(B8,Opportunities!B$3:E$30,4,FALSE)</f>
        <v>HKD</v>
      </c>
      <c r="F8" s="57">
        <v>15000</v>
      </c>
      <c r="G8" s="61">
        <f t="shared" si="1"/>
        <v>153000</v>
      </c>
      <c r="H8" s="58">
        <f t="shared" si="0"/>
        <v>0.11632672146440896</v>
      </c>
      <c r="I8" s="58">
        <f>VLOOKUP(B8,Opportunities!B$3:I$30,8,FALSE)</f>
        <v>0.1277155817111581</v>
      </c>
      <c r="J8" s="81">
        <f>VLOOKUP(B8,Opportunities!B$3:N$30,12,FALSE)</f>
        <v>12.155069726420979</v>
      </c>
      <c r="K8" s="81">
        <f>VLOOKUP(B8,Opportunities!B$3:N$30,9,FALSE)</f>
        <v>9.789873521822285</v>
      </c>
      <c r="L8" s="81">
        <f>VLOOKUP(B8,Opportunities!B$3:N$30,11,FALSE)</f>
        <v>16.849954353185421</v>
      </c>
      <c r="M8" s="81">
        <f>VLOOKUP(B8,Opportunities!B$3:N$30,13,FALSE)</f>
        <v>14.961987975362611</v>
      </c>
    </row>
    <row r="9" spans="1:13">
      <c r="B9" s="63" t="s">
        <v>326</v>
      </c>
      <c r="C9" s="62" t="str">
        <f>VLOOKUP(B9,Opportunities!B$3:E$30,2,FALSE)</f>
        <v>大家乐集团</v>
      </c>
      <c r="D9" s="60">
        <f>VLOOKUP(B9,Opportunities!B$3:E$30,3,FALSE)</f>
        <v>4.68</v>
      </c>
      <c r="E9" s="59" t="str">
        <f>VLOOKUP(B9,Opportunities!B$3:E$30,4,FALSE)</f>
        <v>HKD</v>
      </c>
      <c r="F9" s="57">
        <v>12000</v>
      </c>
      <c r="G9" s="61">
        <f t="shared" si="1"/>
        <v>56160</v>
      </c>
      <c r="H9" s="58">
        <f t="shared" si="0"/>
        <v>4.2698749525759527E-2</v>
      </c>
      <c r="I9" s="58">
        <f>VLOOKUP(B9,Opportunities!B$3:I$30,8,FALSE)</f>
        <v>7.5924905471577375E-2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328</v>
      </c>
      <c r="C10" s="62" t="str">
        <f>VLOOKUP(B10,Opportunities!B$3:E$30,2,FALSE)</f>
        <v>中国飞鹤</v>
      </c>
      <c r="D10" s="60">
        <f>VLOOKUP(B10,Opportunities!B$3:E$30,3,FALSE)</f>
        <v>3.91</v>
      </c>
      <c r="E10" s="59" t="str">
        <f>VLOOKUP(B10,Opportunities!B$3:E$30,4,FALSE)</f>
        <v>HKD</v>
      </c>
      <c r="F10" s="57">
        <v>12000</v>
      </c>
      <c r="G10" s="61">
        <f t="shared" si="1"/>
        <v>46920</v>
      </c>
      <c r="H10" s="58">
        <f t="shared" ref="H10" si="2">G10/$G$12</f>
        <v>3.5673527915752082E-2</v>
      </c>
      <c r="I10" s="58">
        <f>VLOOKUP(B10,Opportunities!B$3:I$30,8,FALSE)</f>
        <v>0.11525081585762552</v>
      </c>
      <c r="J10" s="81">
        <f>VLOOKUP(B10,Opportunities!B$3:N$30,12,FALSE)</f>
        <v>4.3063250245862799</v>
      </c>
      <c r="K10" s="81">
        <f>VLOOKUP(B10,Opportunities!B$3:N$30,9,FALSE)</f>
        <v>3.4722069389485957</v>
      </c>
      <c r="L10" s="81">
        <f>VLOOKUP(B10,Opportunities!B$3:N$30,11,FALSE)</f>
        <v>5.9610249602603496</v>
      </c>
      <c r="M10" s="81">
        <f>VLOOKUP(B10,Opportunities!B$3:N$30,13,FALSE)</f>
        <v>5.2957480303158606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159</v>
      </c>
      <c r="G12" s="66">
        <f>SUM(G3:G10)</f>
        <v>1315261</v>
      </c>
      <c r="H12" s="67">
        <f>SUM(H3:H10)</f>
        <v>1</v>
      </c>
      <c r="I12" s="73">
        <f>SUM(I3:I10)</f>
        <v>1.114912970031098</v>
      </c>
      <c r="J12" s="82" t="s">
        <v>186</v>
      </c>
      <c r="K12" s="82" t="s">
        <v>186</v>
      </c>
      <c r="L12" s="82" t="s">
        <v>186</v>
      </c>
      <c r="M12" s="82" t="s">
        <v>186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157</v>
      </c>
      <c r="C14" s="115"/>
    </row>
    <row r="15" spans="1:13">
      <c r="B15" s="63" t="s">
        <v>379</v>
      </c>
      <c r="C15" s="62" t="str">
        <f>VLOOKUP(B15,Opportunities!B$3:E$30,2,FALSE)</f>
        <v>京东集团</v>
      </c>
      <c r="D15" s="60">
        <f>VLOOKUP(B15,Opportunities!B$3:E$30,3,FALSE)</f>
        <v>103.8</v>
      </c>
      <c r="E15" s="59" t="str">
        <f>VLOOKUP(B15,Opportunities!B$3:E$30,4,FALSE)</f>
        <v>HKD</v>
      </c>
      <c r="F15" s="57">
        <v>1000</v>
      </c>
      <c r="G15" s="61">
        <f t="shared" ref="G15:G20" si="3">-D15*F15</f>
        <v>-103800</v>
      </c>
      <c r="H15" s="58">
        <f t="shared" ref="H15:H20" si="4">-G15/$G$12</f>
        <v>7.8919697307226477E-2</v>
      </c>
      <c r="I15" s="58">
        <f>VLOOKUP(B15,Opportunities!B$3:I$30,8,FALSE)</f>
        <v>0.24440134347771827</v>
      </c>
      <c r="J15" s="81">
        <f>VLOOKUP(B15,Opportunities!B$3:N$30,12,FALSE)</f>
        <v>116.99285629904411</v>
      </c>
      <c r="K15" s="81">
        <f>VLOOKUP(B15,Opportunities!B$3:N$30,9,FALSE)</f>
        <v>93.869096074266068</v>
      </c>
      <c r="L15" s="81">
        <f>VLOOKUP(B15,Opportunities!B$3:N$30,11,FALSE)</f>
        <v>162.9882141875724</v>
      </c>
      <c r="M15" s="81">
        <f>VLOOKUP(B15,Opportunities!B$3:N$30,13,FALSE)</f>
        <v>144.47961973069502</v>
      </c>
    </row>
    <row r="16" spans="1:13">
      <c r="B16" s="63" t="s">
        <v>169</v>
      </c>
      <c r="C16" s="62" t="str">
        <f>VLOOKUP(B16,Opportunities!B$3:E$30,2,FALSE)</f>
        <v>中国海油</v>
      </c>
      <c r="D16" s="60">
        <f>VLOOKUP(B16,Opportunities!B$3:E$30,3,FALSE)</f>
        <v>25.7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17.601632793838561</v>
      </c>
      <c r="K16" s="81">
        <f>VLOOKUP(B16,Opportunities!B$3:N$30,9,FALSE)</f>
        <v>14.23335730104111</v>
      </c>
      <c r="L16" s="81">
        <f>VLOOKUP(B16,Opportunities!B$3:N$30,11,FALSE)</f>
        <v>24.272591262279043</v>
      </c>
      <c r="M16" s="81">
        <f>VLOOKUP(B16,Opportunities!B$3:N$30,13,FALSE)</f>
        <v>21.591936244412981</v>
      </c>
    </row>
    <row r="17" spans="1:13">
      <c r="B17" s="63" t="s">
        <v>182</v>
      </c>
      <c r="C17" s="62" t="str">
        <f>VLOOKUP(B17,Opportunities!B$3:E$30,2,FALSE)</f>
        <v>首钢资源</v>
      </c>
      <c r="D17" s="60">
        <f>VLOOKUP(B17,Opportunities!B$3:E$30,3,FALSE)</f>
        <v>3.27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0.10162032351301863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328</v>
      </c>
      <c r="C18" s="62" t="str">
        <f>VLOOKUP(B18,Opportunities!B$3:E$30,2,FALSE)</f>
        <v>中国飞鹤</v>
      </c>
      <c r="D18" s="60">
        <f>VLOOKUP(B18,Opportunities!B$3:E$30,3,FALSE)</f>
        <v>3.91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0.11525081585762552</v>
      </c>
      <c r="J18" s="81">
        <f>VLOOKUP(B18,Opportunities!B$3:N$30,12,FALSE)</f>
        <v>4.3063250245862799</v>
      </c>
      <c r="K18" s="81">
        <f>VLOOKUP(B18,Opportunities!B$3:N$30,9,FALSE)</f>
        <v>3.4722069389485957</v>
      </c>
      <c r="L18" s="81">
        <f>VLOOKUP(B18,Opportunities!B$3:N$30,11,FALSE)</f>
        <v>5.9610249602603496</v>
      </c>
      <c r="M18" s="81">
        <f>VLOOKUP(B18,Opportunities!B$3:N$30,13,FALSE)</f>
        <v>5.2957480303158606</v>
      </c>
    </row>
    <row r="19" spans="1:13">
      <c r="B19" s="63" t="s">
        <v>359</v>
      </c>
      <c r="C19" s="62" t="str">
        <f>VLOOKUP(B19,Opportunities!B$3:E$30,2,FALSE)</f>
        <v>新华文轩</v>
      </c>
      <c r="D19" s="60">
        <f>VLOOKUP(B19,Opportunities!B$3:E$30,3,FALSE)</f>
        <v>10.199999999999999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0.1277155817111581</v>
      </c>
      <c r="J19" s="81">
        <f>VLOOKUP(B19,Opportunities!B$3:N$30,12,FALSE)</f>
        <v>12.155069726420979</v>
      </c>
      <c r="K19" s="81">
        <f>VLOOKUP(B19,Opportunities!B$3:N$30,9,FALSE)</f>
        <v>9.789873521822285</v>
      </c>
      <c r="L19" s="81">
        <f>VLOOKUP(B19,Opportunities!B$3:N$30,11,FALSE)</f>
        <v>16.849954353185421</v>
      </c>
      <c r="M19" s="81">
        <f>VLOOKUP(B19,Opportunities!B$3:N$30,13,FALSE)</f>
        <v>14.961987975362611</v>
      </c>
    </row>
    <row r="20" spans="1:13">
      <c r="B20" s="63" t="s">
        <v>329</v>
      </c>
      <c r="C20" s="62" t="str">
        <f>VLOOKUP(B20,Opportunities!B$3:E$30,2,FALSE)</f>
        <v>昆仑能源</v>
      </c>
      <c r="D20" s="60">
        <f>VLOOKUP(B20,Opportunities!B$3:E$30,3,FALSE)</f>
        <v>8.26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0</v>
      </c>
      <c r="J20" s="81">
        <f>VLOOKUP(B20,Opportunities!B$3:N$30,12,FALSE)</f>
        <v>7.3382105844185963</v>
      </c>
      <c r="K20" s="81">
        <f>VLOOKUP(B20,Opportunities!B$3:N$30,9,FALSE)</f>
        <v>5.9031516383650837</v>
      </c>
      <c r="L20" s="81">
        <f>VLOOKUP(B20,Opportunities!B$3:N$30,11,FALSE)</f>
        <v>10.188678459731804</v>
      </c>
      <c r="M20" s="81">
        <f>VLOOKUP(B20,Opportunities!B$3:N$30,13,FALSE)</f>
        <v>9.0421658277011385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158</v>
      </c>
      <c r="C23" s="68"/>
      <c r="D23" s="69" t="s">
        <v>154</v>
      </c>
      <c r="E23" s="70" t="s">
        <v>133</v>
      </c>
      <c r="F23" s="69" t="s">
        <v>154</v>
      </c>
      <c r="G23" s="66">
        <f>G3+SUM(G15:G20)</f>
        <v>550901</v>
      </c>
      <c r="H23" s="73">
        <f t="shared" ref="H23" si="5">G23/$G$12</f>
        <v>0.41885298811414617</v>
      </c>
      <c r="I23" s="73">
        <f>Portfolio_Mgmt!E73</f>
        <v>0.45</v>
      </c>
      <c r="J23" s="82" t="s">
        <v>186</v>
      </c>
      <c r="K23" s="82" t="s">
        <v>186</v>
      </c>
      <c r="L23" s="82" t="s">
        <v>186</v>
      </c>
      <c r="M23" s="82" t="s">
        <v>186</v>
      </c>
    </row>
    <row r="25" spans="1:13" ht="13.15">
      <c r="A25" s="49"/>
      <c r="B25" s="50" t="s">
        <v>187</v>
      </c>
      <c r="C25" s="115"/>
      <c r="D25" s="56"/>
      <c r="E25" s="53"/>
      <c r="F25" s="57"/>
      <c r="G25" s="57"/>
    </row>
    <row r="26" spans="1:13" ht="13.15">
      <c r="C26" s="84" t="s">
        <v>188</v>
      </c>
      <c r="D26" s="84" t="s">
        <v>191</v>
      </c>
      <c r="F26" s="84" t="s">
        <v>192</v>
      </c>
    </row>
    <row r="27" spans="1:13" ht="14.25">
      <c r="B27" s="83" t="s">
        <v>189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190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193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83</v>
      </c>
    </row>
    <row r="2" spans="1:4">
      <c r="A2" s="5"/>
      <c r="B2" s="6" t="s">
        <v>84</v>
      </c>
    </row>
    <row r="3" spans="1:4">
      <c r="B3" s="157" t="s">
        <v>85</v>
      </c>
      <c r="C3" s="157"/>
      <c r="D3" s="157"/>
    </row>
    <row r="5" spans="1:4">
      <c r="B5" s="158" t="s">
        <v>87</v>
      </c>
      <c r="C5" s="159"/>
      <c r="D5" s="159"/>
    </row>
    <row r="6" spans="1:4">
      <c r="B6" s="158" t="s">
        <v>88</v>
      </c>
      <c r="C6" s="159"/>
      <c r="D6" s="159"/>
    </row>
    <row r="8" spans="1:4">
      <c r="B8" s="1" t="s">
        <v>86</v>
      </c>
    </row>
    <row r="10" spans="1:4">
      <c r="A10" s="5"/>
      <c r="B10" s="6" t="s">
        <v>89</v>
      </c>
    </row>
    <row r="11" spans="1:4">
      <c r="B11" s="157" t="s">
        <v>90</v>
      </c>
      <c r="C11" s="157"/>
      <c r="D11" s="157"/>
    </row>
    <row r="12" spans="1:4">
      <c r="B12" s="157" t="s">
        <v>91</v>
      </c>
      <c r="C12" s="157"/>
      <c r="D12" s="157"/>
    </row>
    <row r="14" spans="1:4">
      <c r="B14" s="23" t="s">
        <v>123</v>
      </c>
    </row>
    <row r="16" spans="1:4" ht="12.4">
      <c r="B16" s="30" t="s">
        <v>100</v>
      </c>
      <c r="C16" s="30" t="s">
        <v>101</v>
      </c>
    </row>
    <row r="17" spans="1:4">
      <c r="B17" s="26" t="s">
        <v>92</v>
      </c>
      <c r="C17" s="26" t="s">
        <v>96</v>
      </c>
    </row>
    <row r="18" spans="1:4">
      <c r="B18" s="26" t="s">
        <v>93</v>
      </c>
      <c r="C18" s="26" t="s">
        <v>97</v>
      </c>
    </row>
    <row r="19" spans="1:4">
      <c r="B19" s="26" t="s">
        <v>94</v>
      </c>
      <c r="C19" s="26" t="s">
        <v>98</v>
      </c>
    </row>
    <row r="20" spans="1:4">
      <c r="B20" s="26" t="s">
        <v>95</v>
      </c>
      <c r="C20" s="26" t="s">
        <v>99</v>
      </c>
    </row>
    <row r="21" spans="1:4">
      <c r="B21" s="26" t="s">
        <v>115</v>
      </c>
      <c r="C21" s="26" t="s">
        <v>116</v>
      </c>
    </row>
    <row r="22" spans="1:4">
      <c r="B22" s="26" t="s">
        <v>117</v>
      </c>
      <c r="C22" s="26" t="s">
        <v>118</v>
      </c>
    </row>
    <row r="23" spans="1:4">
      <c r="B23" s="26" t="s">
        <v>119</v>
      </c>
      <c r="C23" s="26" t="s">
        <v>120</v>
      </c>
    </row>
    <row r="24" spans="1:4">
      <c r="B24" s="26" t="s">
        <v>124</v>
      </c>
      <c r="C24" s="26" t="s">
        <v>125</v>
      </c>
    </row>
    <row r="25" spans="1:4">
      <c r="B25" s="26" t="s">
        <v>121</v>
      </c>
      <c r="C25" s="26" t="s">
        <v>122</v>
      </c>
    </row>
    <row r="27" spans="1:4">
      <c r="A27" s="5"/>
      <c r="B27" s="6" t="s">
        <v>102</v>
      </c>
    </row>
    <row r="28" spans="1:4">
      <c r="B28" s="157" t="s">
        <v>103</v>
      </c>
      <c r="C28" s="157"/>
      <c r="D28" s="157"/>
    </row>
    <row r="29" spans="1:4">
      <c r="B29" s="157" t="s">
        <v>104</v>
      </c>
      <c r="C29" s="157"/>
      <c r="D29" s="157"/>
    </row>
    <row r="31" spans="1:4">
      <c r="A31" s="5"/>
      <c r="B31" s="6" t="s">
        <v>105</v>
      </c>
    </row>
    <row r="32" spans="1:4">
      <c r="A32" s="28" t="s">
        <v>58</v>
      </c>
      <c r="B32" s="23" t="s">
        <v>106</v>
      </c>
    </row>
    <row r="33" spans="1:2">
      <c r="B33" s="1" t="s">
        <v>107</v>
      </c>
    </row>
    <row r="35" spans="1:2">
      <c r="A35" s="28" t="s">
        <v>109</v>
      </c>
      <c r="B35" s="23" t="s">
        <v>108</v>
      </c>
    </row>
    <row r="36" spans="1:2">
      <c r="B36" s="1" t="s">
        <v>110</v>
      </c>
    </row>
    <row r="38" spans="1:2">
      <c r="A38" s="5"/>
      <c r="B38" s="6" t="s">
        <v>111</v>
      </c>
    </row>
    <row r="39" spans="1:2">
      <c r="B39" s="24" t="s">
        <v>112</v>
      </c>
    </row>
    <row r="40" spans="1:2">
      <c r="B40" s="1" t="s">
        <v>113</v>
      </c>
    </row>
    <row r="41" spans="1:2">
      <c r="B41" s="1" t="s">
        <v>114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2026-02-26T02:29:08Z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