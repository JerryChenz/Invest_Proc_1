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jerry\PycharmProjects\Invest_Proc\financial_models\"/>
    </mc:Choice>
  </mc:AlternateContent>
  <xr:revisionPtr revIDLastSave="0" documentId="13_ncr:1_{B573BDB0-E6AF-42C0-85E6-0F1D4906BAC9}" xr6:coauthVersionLast="47" xr6:coauthVersionMax="47" xr10:uidLastSave="{00000000-0000-0000-0000-000000000000}"/>
  <bookViews>
    <workbookView xWindow="735" yWindow="735" windowWidth="12690" windowHeight="7643" firstSheet="1" activeTab="4" xr2:uid="{00000000-000D-0000-FFFF-FFFF00000000}"/>
  </bookViews>
  <sheets>
    <sheet name="Portfolio_Mgmt" sheetId="5" r:id="rId1"/>
    <sheet name="Opportunities" sheetId="1" r:id="rId2"/>
    <sheet name="Aux&gt;" sheetId="8" r:id="rId3"/>
    <sheet name="Market_Yield" sheetId="2" r:id="rId4"/>
    <sheet name="Holdings" sheetId="7" r:id="rId5"/>
    <sheet name="Comp_Group" sheetId="6" r:id="rId6"/>
  </sheets>
  <definedNames>
    <definedName name="_xlnm._FilterDatabase" localSheetId="1" hidden="1">Opportunities!$B$2:$AA$2</definedName>
    <definedName name="AuraStyleDefaultsReset" hidden="1">#N/A</definedName>
    <definedName name="benchmark">Portfolio_Mgmt!$C$10</definedName>
    <definedName name="Cash_Yield">Portfolio_Mgmt!$C$11</definedName>
    <definedName name="WW3f877d8e32714ec8a8180854ed7f8276_634328481945590045" hidden="1">#REF!</definedName>
    <definedName name="WW3f877d8e32714ec8a8180854ed7f8276_634328482352282765" hidden="1">#REF!</definedName>
  </definedNames>
  <calcPr calcId="191029"/>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G3" i="1"/>
  <c r="G4" i="1"/>
  <c r="G5" i="1"/>
  <c r="G6" i="1"/>
  <c r="G7" i="1"/>
  <c r="G8" i="1"/>
  <c r="G9" i="1"/>
  <c r="G10" i="1"/>
  <c r="G11" i="1"/>
  <c r="G12" i="1"/>
  <c r="G13" i="1"/>
  <c r="G14" i="1"/>
  <c r="G15" i="1"/>
  <c r="G16" i="1"/>
  <c r="G17" i="1"/>
  <c r="G18" i="1"/>
  <c r="G19" i="1"/>
  <c r="E23" i="7"/>
  <c r="C24" i="7" s="1"/>
  <c r="E24" i="7" s="1"/>
  <c r="E26" i="7" s="1"/>
  <c r="F3" i="7"/>
  <c r="H9" i="7"/>
  <c r="I9" i="7"/>
  <c r="J9" i="7"/>
  <c r="K9" i="7"/>
  <c r="L9" i="7"/>
  <c r="C9" i="7"/>
  <c r="D9" i="7"/>
  <c r="H17" i="7"/>
  <c r="I17" i="7"/>
  <c r="J17" i="7"/>
  <c r="K17" i="7"/>
  <c r="L17" i="7"/>
  <c r="C17" i="7"/>
  <c r="F17" i="7" s="1"/>
  <c r="D17" i="7"/>
  <c r="H16" i="7"/>
  <c r="I16" i="7"/>
  <c r="J16" i="7"/>
  <c r="K16" i="7"/>
  <c r="L16" i="7"/>
  <c r="C16" i="7"/>
  <c r="F16" i="7" s="1"/>
  <c r="D16" i="7"/>
  <c r="C14" i="7"/>
  <c r="D14" i="7"/>
  <c r="H14" i="7"/>
  <c r="I14" i="7"/>
  <c r="J14" i="7"/>
  <c r="K14" i="7"/>
  <c r="L14" i="7"/>
  <c r="I15" i="7"/>
  <c r="J15" i="7"/>
  <c r="K15" i="7"/>
  <c r="L15" i="7"/>
  <c r="H15" i="7"/>
  <c r="C15" i="7"/>
  <c r="F15" i="7" s="1"/>
  <c r="D15" i="7"/>
  <c r="I4" i="7"/>
  <c r="J4" i="7"/>
  <c r="K4" i="7"/>
  <c r="L4" i="7"/>
  <c r="I5" i="7"/>
  <c r="J5" i="7"/>
  <c r="K5" i="7"/>
  <c r="L5" i="7"/>
  <c r="I6" i="7"/>
  <c r="J6" i="7"/>
  <c r="K6" i="7"/>
  <c r="L6" i="7"/>
  <c r="I7" i="7"/>
  <c r="J7" i="7"/>
  <c r="K7" i="7"/>
  <c r="L7" i="7"/>
  <c r="I8" i="7"/>
  <c r="J8" i="7"/>
  <c r="K8" i="7"/>
  <c r="L8" i="7"/>
  <c r="H8" i="7"/>
  <c r="C8" i="7"/>
  <c r="F8" i="7" s="1"/>
  <c r="D8" i="7"/>
  <c r="C36" i="5"/>
  <c r="H6" i="7"/>
  <c r="C6" i="7"/>
  <c r="F6" i="7" s="1"/>
  <c r="D6" i="7"/>
  <c r="E7" i="7"/>
  <c r="H7" i="7"/>
  <c r="C7" i="7"/>
  <c r="D7" i="7"/>
  <c r="D4" i="7"/>
  <c r="D5" i="7"/>
  <c r="H4" i="7"/>
  <c r="H5" i="7"/>
  <c r="C4" i="7"/>
  <c r="C5" i="7"/>
  <c r="F9" i="7" l="1"/>
  <c r="F14" i="7"/>
  <c r="F19" i="7" s="1"/>
  <c r="F7" i="7"/>
  <c r="F5" i="7"/>
  <c r="F4" i="7" l="1"/>
  <c r="F11" i="7" s="1"/>
  <c r="G9" i="7" s="1"/>
  <c r="C31" i="5"/>
  <c r="G17" i="7" l="1"/>
  <c r="E60" i="5"/>
  <c r="G15" i="7" l="1"/>
  <c r="G16" i="7"/>
  <c r="G8" i="7"/>
  <c r="G14" i="7"/>
  <c r="G6" i="7"/>
  <c r="G7" i="7"/>
  <c r="G5" i="7"/>
  <c r="G19" i="7"/>
  <c r="E61" i="5"/>
  <c r="C16" i="2"/>
  <c r="C10" i="5" s="1"/>
  <c r="C11" i="5"/>
  <c r="E6" i="2"/>
  <c r="E5" i="2"/>
  <c r="E4" i="2"/>
  <c r="E36" i="5" l="1"/>
  <c r="C35" i="5" s="1"/>
  <c r="C64" i="5" s="1"/>
  <c r="C65" i="5" s="1"/>
  <c r="H19" i="7"/>
  <c r="H3" i="7"/>
  <c r="H11" i="7" s="1"/>
  <c r="D112" i="5"/>
  <c r="G3" i="7" l="1"/>
  <c r="G4" i="7"/>
  <c r="G11" i="7" l="1"/>
</calcChain>
</file>

<file path=xl/sharedStrings.xml><?xml version="1.0" encoding="utf-8"?>
<sst xmlns="http://schemas.openxmlformats.org/spreadsheetml/2006/main" count="385" uniqueCount="303">
  <si>
    <t>Name</t>
  </si>
  <si>
    <t>Price</t>
  </si>
  <si>
    <t>Symbol</t>
  </si>
  <si>
    <t>Stock Monitor</t>
  </si>
  <si>
    <t>Valuation</t>
  </si>
  <si>
    <t>Comp Group</t>
  </si>
  <si>
    <t>Dividend Yield</t>
    <phoneticPr fontId="2" type="noConversion"/>
  </si>
  <si>
    <t>Target Price</t>
    <phoneticPr fontId="2" type="noConversion"/>
  </si>
  <si>
    <t>Yield</t>
    <phoneticPr fontId="2" type="noConversion"/>
  </si>
  <si>
    <t>Update 
Required After</t>
    <phoneticPr fontId="2" type="noConversion"/>
  </si>
  <si>
    <t>Equity Value</t>
    <phoneticPr fontId="2" type="noConversion"/>
  </si>
  <si>
    <t>FCFE
 Yield</t>
    <phoneticPr fontId="2" type="noConversion"/>
  </si>
  <si>
    <t>Valuation Model Assumptions</t>
    <phoneticPr fontId="2" type="noConversion"/>
  </si>
  <si>
    <t>Target Annual Return</t>
    <phoneticPr fontId="2" type="noConversion"/>
  </si>
  <si>
    <t>Base Cost of Equity</t>
    <phoneticPr fontId="2" type="noConversion"/>
  </si>
  <si>
    <t>Market Yields:</t>
    <phoneticPr fontId="2" type="noConversion"/>
  </si>
  <si>
    <t>Riskfree rate</t>
    <phoneticPr fontId="2" type="noConversion"/>
  </si>
  <si>
    <t>Prime Rate</t>
    <phoneticPr fontId="2" type="noConversion"/>
  </si>
  <si>
    <t>Risk Premium</t>
    <phoneticPr fontId="2" type="noConversion"/>
  </si>
  <si>
    <t>US</t>
  </si>
  <si>
    <t>China</t>
    <phoneticPr fontId="2" type="noConversion"/>
  </si>
  <si>
    <t>HK</t>
    <phoneticPr fontId="2" type="noConversion"/>
  </si>
  <si>
    <t>Benchmarket Return:</t>
    <phoneticPr fontId="2" type="noConversion"/>
  </si>
  <si>
    <t>US (1928-2024)</t>
    <phoneticPr fontId="2" type="noConversion"/>
  </si>
  <si>
    <t>Stocks</t>
    <phoneticPr fontId="2" type="noConversion"/>
  </si>
  <si>
    <t>Small caps</t>
    <phoneticPr fontId="2" type="noConversion"/>
  </si>
  <si>
    <t>Bonds</t>
    <phoneticPr fontId="2" type="noConversion"/>
  </si>
  <si>
    <t>Cash</t>
    <phoneticPr fontId="2" type="noConversion"/>
  </si>
  <si>
    <t>Real estate</t>
    <phoneticPr fontId="2" type="noConversion"/>
  </si>
  <si>
    <t>Gold</t>
    <phoneticPr fontId="2" type="noConversion"/>
  </si>
  <si>
    <t>Notes</t>
    <phoneticPr fontId="2" type="noConversion"/>
  </si>
  <si>
    <t>US 10Y Treasury yield</t>
    <phoneticPr fontId="2" type="noConversion"/>
  </si>
  <si>
    <t>https://fred.stlouisfed.org/series/DGS10</t>
  </si>
  <si>
    <t>US Fed Fund Rate</t>
    <phoneticPr fontId="2" type="noConversion"/>
  </si>
  <si>
    <t>https://fred.stlouisfed.org/series/FEDFUNDS</t>
    <phoneticPr fontId="2" type="noConversion"/>
  </si>
  <si>
    <t>Bank Prime Loan Rate</t>
    <phoneticPr fontId="2" type="noConversion"/>
  </si>
  <si>
    <t>https://fred.stlouisfed.org/series/DPRIME</t>
    <phoneticPr fontId="2" type="noConversion"/>
  </si>
  <si>
    <t>CN 10Y Government Bond Yield</t>
    <phoneticPr fontId="2" type="noConversion"/>
  </si>
  <si>
    <t>https://tradingeconomics.com/china/government-bond-yield</t>
    <phoneticPr fontId="2" type="noConversion"/>
  </si>
  <si>
    <t>CN Loan Prime Rate</t>
    <phoneticPr fontId="2" type="noConversion"/>
  </si>
  <si>
    <t>https://tradingeconomics.com/china/interest-rate</t>
    <phoneticPr fontId="2" type="noConversion"/>
  </si>
  <si>
    <t>HK 10Y Government Bond Yield</t>
    <phoneticPr fontId="2" type="noConversion"/>
  </si>
  <si>
    <t>https://tradingeconomics.com/hong-kong/government-bond-yield</t>
    <phoneticPr fontId="2" type="noConversion"/>
  </si>
  <si>
    <t>HK Prime Lending Rate</t>
    <phoneticPr fontId="2" type="noConversion"/>
  </si>
  <si>
    <t>https://tradingeconomics.com/hong-kong/bank-lending-rate</t>
    <phoneticPr fontId="2" type="noConversion"/>
  </si>
  <si>
    <t>All-in-One Bond Prices</t>
    <phoneticPr fontId="2" type="noConversion"/>
  </si>
  <si>
    <t>https://tradingeconomics.com/bonds</t>
    <phoneticPr fontId="2" type="noConversion"/>
  </si>
  <si>
    <t>Historical Returns</t>
    <phoneticPr fontId="2" type="noConversion"/>
  </si>
  <si>
    <t>https://awealthofcommonsense.com/2025/01/historical-returns-for-stocks-bonds-cash-real-estate-and-gold/</t>
    <phoneticPr fontId="2" type="noConversion"/>
  </si>
  <si>
    <t>Selected</t>
    <phoneticPr fontId="2" type="noConversion"/>
  </si>
  <si>
    <t>Others</t>
    <phoneticPr fontId="2" type="noConversion"/>
  </si>
  <si>
    <t>Cash Yield</t>
    <phoneticPr fontId="2" type="noConversion"/>
  </si>
  <si>
    <t>Executive Summary</t>
    <phoneticPr fontId="2" type="noConversion"/>
  </si>
  <si>
    <t>assuming a Lock-up period of</t>
    <phoneticPr fontId="2" type="noConversion"/>
  </si>
  <si>
    <t>Historical Avg Return</t>
    <phoneticPr fontId="2" type="noConversion"/>
  </si>
  <si>
    <t>Key Metrics:</t>
    <phoneticPr fontId="2" type="noConversion"/>
  </si>
  <si>
    <t>Key Calculation:</t>
    <phoneticPr fontId="2" type="noConversion"/>
  </si>
  <si>
    <t>Decision Rules:</t>
    <phoneticPr fontId="2" type="noConversion"/>
  </si>
  <si>
    <t>ERB</t>
    <phoneticPr fontId="2" type="noConversion"/>
  </si>
  <si>
    <t>ERC</t>
    <phoneticPr fontId="2" type="noConversion"/>
  </si>
  <si>
    <t>Single Investment Cap</t>
    <phoneticPr fontId="2" type="noConversion"/>
  </si>
  <si>
    <t>Benchmark Return</t>
    <phoneticPr fontId="2" type="noConversion"/>
  </si>
  <si>
    <t>Benchmarket Return</t>
    <phoneticPr fontId="2" type="noConversion"/>
  </si>
  <si>
    <t>i.</t>
    <phoneticPr fontId="2" type="noConversion"/>
  </si>
  <si>
    <t xml:space="preserve">ii. </t>
    <phoneticPr fontId="2" type="noConversion"/>
  </si>
  <si>
    <t xml:space="preserve">iii. </t>
    <phoneticPr fontId="2" type="noConversion"/>
  </si>
  <si>
    <t>1. Market P/E Ratio</t>
    <phoneticPr fontId="2" type="noConversion"/>
  </si>
  <si>
    <t xml:space="preserve">2. Credit Spreads	</t>
    <phoneticPr fontId="2" type="noConversion"/>
  </si>
  <si>
    <t xml:space="preserve">3. Economic Growth Forecast	</t>
    <phoneticPr fontId="2" type="noConversion"/>
  </si>
  <si>
    <t xml:space="preserve">4. Investor Sentiment**	</t>
    <phoneticPr fontId="2" type="noConversion"/>
  </si>
  <si>
    <t xml:space="preserve">Narrow (below historical median)	</t>
    <phoneticPr fontId="2" type="noConversion"/>
  </si>
  <si>
    <t xml:space="preserve">Overly bullish	</t>
    <phoneticPr fontId="2" type="noConversion"/>
  </si>
  <si>
    <t xml:space="preserve">&gt; Historical 75th percentile	</t>
    <phoneticPr fontId="2" type="noConversion"/>
  </si>
  <si>
    <t>&lt; Historical 25th percentile</t>
    <phoneticPr fontId="2" type="noConversion"/>
  </si>
  <si>
    <t>Wide (above historical median)</t>
    <phoneticPr fontId="2" type="noConversion"/>
  </si>
  <si>
    <t>Panic/selling</t>
    <phoneticPr fontId="2" type="noConversion"/>
  </si>
  <si>
    <t>Risk Appetite Score</t>
    <phoneticPr fontId="2" type="noConversion"/>
  </si>
  <si>
    <t>Step 2: Portfolio Allocation</t>
    <phoneticPr fontId="2" type="noConversion"/>
  </si>
  <si>
    <t>Step 3: Monitoring &amp; Rebalancing</t>
    <phoneticPr fontId="2" type="noConversion"/>
  </si>
  <si>
    <t>Rebalance if:</t>
    <phoneticPr fontId="2" type="noConversion"/>
  </si>
  <si>
    <r>
      <t xml:space="preserve">- Only investments with </t>
    </r>
    <r>
      <rPr>
        <b/>
        <sz val="9"/>
        <color theme="1"/>
        <rFont val="Arial"/>
        <family val="2"/>
      </rPr>
      <t>ERB &gt; 0</t>
    </r>
    <r>
      <rPr>
        <sz val="9"/>
        <color theme="1"/>
        <rFont val="Arial"/>
        <family val="2"/>
      </rPr>
      <t xml:space="preserve"> are eligible for portfolio allocation.</t>
    </r>
    <phoneticPr fontId="2" type="noConversion"/>
  </si>
  <si>
    <t>Maximum Number of Holdings</t>
    <phoneticPr fontId="2" type="noConversion"/>
  </si>
  <si>
    <t>Notes:</t>
    <phoneticPr fontId="2" type="noConversion"/>
  </si>
  <si>
    <t>Indicators and Scoring:</t>
    <phoneticPr fontId="2" type="noConversion"/>
  </si>
  <si>
    <t>Score &lt;= 2</t>
    <phoneticPr fontId="2" type="noConversion"/>
  </si>
  <si>
    <t>Score 3–5</t>
    <phoneticPr fontId="2" type="noConversion"/>
  </si>
  <si>
    <t>Score &gt;= 6</t>
    <phoneticPr fontId="2" type="noConversion"/>
  </si>
  <si>
    <t>Cash Allocation Rule:</t>
    <phoneticPr fontId="2" type="noConversion"/>
  </si>
  <si>
    <t>Scenario</t>
    <phoneticPr fontId="17" type="noConversion"/>
  </si>
  <si>
    <t xml:space="preserve">Indicator	</t>
    <phoneticPr fontId="17" type="noConversion"/>
  </si>
  <si>
    <t>Low Risk Appetite (Hold Cash)</t>
    <phoneticPr fontId="17" type="noConversion"/>
  </si>
  <si>
    <t>High Risk Appetite (Deploy Cash)</t>
    <phoneticPr fontId="17" type="noConversion"/>
  </si>
  <si>
    <t>Score (0-2)</t>
    <phoneticPr fontId="17" type="noConversion"/>
  </si>
  <si>
    <r>
      <t xml:space="preserve">- </t>
    </r>
    <r>
      <rPr>
        <b/>
        <sz val="9"/>
        <color theme="1"/>
        <rFont val="Arial"/>
        <family val="2"/>
      </rPr>
      <t>New Opportunities:</t>
    </r>
    <r>
      <rPr>
        <sz val="9"/>
        <color theme="1"/>
        <rFont val="Arial"/>
        <family val="2"/>
      </rPr>
      <t xml:space="preserve"> If new investments have higher ERB than current holdings, replace underperformers.</t>
    </r>
    <phoneticPr fontId="2" type="noConversion"/>
  </si>
  <si>
    <r>
      <t xml:space="preserve">- </t>
    </r>
    <r>
      <rPr>
        <b/>
        <sz val="9"/>
        <color theme="1"/>
        <rFont val="Arial"/>
        <family val="2"/>
      </rPr>
      <t xml:space="preserve">Market Shifts: </t>
    </r>
    <r>
      <rPr>
        <sz val="9"/>
        <color theme="1"/>
        <rFont val="Arial"/>
        <family val="2"/>
      </rPr>
      <t>If market cycle indicators change significantly, reassess the Risk Appetite Score.</t>
    </r>
    <phoneticPr fontId="2" type="noConversion"/>
  </si>
  <si>
    <r>
      <t xml:space="preserve">- Only investments with </t>
    </r>
    <r>
      <rPr>
        <b/>
        <sz val="9"/>
        <color theme="1"/>
        <rFont val="Arial"/>
        <family val="2"/>
      </rPr>
      <t>the Selected Flag</t>
    </r>
    <r>
      <rPr>
        <sz val="9"/>
        <color theme="1"/>
        <rFont val="Arial"/>
        <family val="2"/>
      </rPr>
      <t xml:space="preserve"> are eligible for portfolio allocation.</t>
    </r>
    <phoneticPr fontId="2" type="noConversion"/>
  </si>
  <si>
    <t>Portfolio Management</t>
    <phoneticPr fontId="2" type="noConversion"/>
  </si>
  <si>
    <t>Guidance Note: Comparison Group Classification System</t>
    <phoneticPr fontId="2" type="noConversion"/>
  </si>
  <si>
    <t>Overview</t>
    <phoneticPr fontId="2" type="noConversion"/>
  </si>
  <si>
    <t>The classification uses two mutually exclusive and collectively exhaustive (MECE) layers:</t>
    <phoneticPr fontId="2" type="noConversion"/>
  </si>
  <si>
    <t>Format: [Layer 1 Code]_[Layer 2 Number] (e.g., TMT_02, CNS_10).</t>
    <phoneticPr fontId="2" type="noConversion"/>
  </si>
  <si>
    <t>- Layer 1: Broad industry categories (3-character codes).</t>
    <phoneticPr fontId="2" type="noConversion"/>
  </si>
  <si>
    <t>- Layer 2: Granular subcategories (two-digit numbers, 01–99).</t>
    <phoneticPr fontId="2" type="noConversion"/>
  </si>
  <si>
    <t>Layer 1: Broad Industry Categories</t>
    <phoneticPr fontId="2" type="noConversion"/>
  </si>
  <si>
    <r>
      <rPr>
        <b/>
        <sz val="9"/>
        <color theme="1"/>
        <rFont val="Arial"/>
        <family val="2"/>
      </rPr>
      <t xml:space="preserve">Purpose: </t>
    </r>
    <r>
      <rPr>
        <sz val="9"/>
        <color theme="1"/>
        <rFont val="Arial"/>
        <family val="2"/>
      </rPr>
      <t>Group investments by overarching industries.</t>
    </r>
    <phoneticPr fontId="2" type="noConversion"/>
  </si>
  <si>
    <r>
      <rPr>
        <b/>
        <sz val="9"/>
        <color theme="1"/>
        <rFont val="Arial"/>
        <family val="2"/>
      </rPr>
      <t xml:space="preserve">Structure: </t>
    </r>
    <r>
      <rPr>
        <sz val="9"/>
        <color theme="1"/>
        <rFont val="Arial"/>
        <family val="2"/>
      </rPr>
      <t>3-character codes (e.g., TMT, CNS, FIN).</t>
    </r>
    <phoneticPr fontId="2" type="noConversion"/>
  </si>
  <si>
    <t>TMT</t>
    <phoneticPr fontId="2" type="noConversion"/>
  </si>
  <si>
    <t>CNS</t>
    <phoneticPr fontId="2" type="noConversion"/>
  </si>
  <si>
    <t>FIN</t>
    <phoneticPr fontId="2" type="noConversion"/>
  </si>
  <si>
    <t>HLT</t>
    <phoneticPr fontId="2" type="noConversion"/>
  </si>
  <si>
    <t>Technology, Media, Telecom</t>
    <phoneticPr fontId="2" type="noConversion"/>
  </si>
  <si>
    <t>Consumer</t>
    <phoneticPr fontId="2" type="noConversion"/>
  </si>
  <si>
    <t>Financials</t>
    <phoneticPr fontId="2" type="noConversion"/>
  </si>
  <si>
    <t>Healthcare</t>
    <phoneticPr fontId="2" type="noConversion"/>
  </si>
  <si>
    <t>Code</t>
    <phoneticPr fontId="17" type="noConversion"/>
  </si>
  <si>
    <t>Industry</t>
    <phoneticPr fontId="17" type="noConversion"/>
  </si>
  <si>
    <t>Layer 2: Subcategory Numbering</t>
    <phoneticPr fontId="2" type="noConversion"/>
  </si>
  <si>
    <r>
      <rPr>
        <b/>
        <sz val="9"/>
        <color theme="1"/>
        <rFont val="Arial"/>
        <family val="2"/>
      </rPr>
      <t xml:space="preserve">Purpose: </t>
    </r>
    <r>
      <rPr>
        <sz val="9"/>
        <color theme="1"/>
        <rFont val="Arial"/>
        <family val="2"/>
      </rPr>
      <t>Refine peer groups into specific segments within Layer 1 industries.</t>
    </r>
    <phoneticPr fontId="2" type="noConversion"/>
  </si>
  <si>
    <r>
      <rPr>
        <b/>
        <sz val="9"/>
        <color theme="1"/>
        <rFont val="Arial"/>
        <family val="2"/>
      </rPr>
      <t xml:space="preserve">Purpose: </t>
    </r>
    <r>
      <rPr>
        <sz val="9"/>
        <color theme="1"/>
        <rFont val="Arial"/>
        <family val="2"/>
      </rPr>
      <t>Two-digit numbers (01–99), appended to Layer 1 codes (e.g., TMT_01).</t>
    </r>
    <phoneticPr fontId="2" type="noConversion"/>
  </si>
  <si>
    <t>Assigning Classifications</t>
    <phoneticPr fontId="2" type="noConversion"/>
  </si>
  <si>
    <t>Identify Layer 1:</t>
    <phoneticPr fontId="2" type="noConversion"/>
  </si>
  <si>
    <t>Map the investment to the broadest applicable industry (e.g., a fintech firm → FIN).</t>
    <phoneticPr fontId="2" type="noConversion"/>
  </si>
  <si>
    <t>Assign Layer 2:</t>
    <phoneticPr fontId="2" type="noConversion"/>
  </si>
  <si>
    <t>ii.</t>
    <phoneticPr fontId="2" type="noConversion"/>
  </si>
  <si>
    <t>Select the most specific subcategory number (e.g., fintech → FIN_10).</t>
    <phoneticPr fontId="2" type="noConversion"/>
  </si>
  <si>
    <t>Use Cases</t>
    <phoneticPr fontId="2" type="noConversion"/>
  </si>
  <si>
    <r>
      <rPr>
        <b/>
        <sz val="9"/>
        <color theme="1"/>
        <rFont val="Arial"/>
        <family val="2"/>
      </rPr>
      <t>Peer Benchmarking:</t>
    </r>
    <r>
      <rPr>
        <sz val="9"/>
        <color theme="1"/>
        <rFont val="Arial"/>
        <family val="2"/>
      </rPr>
      <t xml:space="preserve"> Compare HLT_03 (Biotech) companies against each other.</t>
    </r>
    <phoneticPr fontId="2" type="noConversion"/>
  </si>
  <si>
    <r>
      <rPr>
        <b/>
        <sz val="9"/>
        <color theme="1"/>
        <rFont val="Arial"/>
        <family val="2"/>
      </rPr>
      <t>Portfolio Analysis:</t>
    </r>
    <r>
      <rPr>
        <sz val="9"/>
        <color theme="1"/>
        <rFont val="Arial"/>
        <family val="2"/>
      </rPr>
      <t xml:space="preserve"> Aggregate exposures by Layer 1 (e.g., “30% of portfolio is in TMT”).</t>
    </r>
    <phoneticPr fontId="2" type="noConversion"/>
  </si>
  <si>
    <r>
      <rPr>
        <b/>
        <sz val="9"/>
        <color theme="1"/>
        <rFont val="Arial"/>
        <family val="2"/>
      </rPr>
      <t>Reporting:</t>
    </r>
    <r>
      <rPr>
        <sz val="9"/>
        <color theme="1"/>
        <rFont val="Arial"/>
        <family val="2"/>
      </rPr>
      <t xml:space="preserve"> Standardize disclosures using codes (e.g., “Investment X (CNS_05) outperformed peers”).</t>
    </r>
    <phoneticPr fontId="2" type="noConversion"/>
  </si>
  <si>
    <t>IND</t>
    <phoneticPr fontId="2" type="noConversion"/>
  </si>
  <si>
    <t>Industrials</t>
    <phoneticPr fontId="2" type="noConversion"/>
  </si>
  <si>
    <t>ENG</t>
    <phoneticPr fontId="2" type="noConversion"/>
  </si>
  <si>
    <t>Energy</t>
    <phoneticPr fontId="2" type="noConversion"/>
  </si>
  <si>
    <t>MAT</t>
    <phoneticPr fontId="2" type="noConversion"/>
  </si>
  <si>
    <t>Materials</t>
    <phoneticPr fontId="2" type="noConversion"/>
  </si>
  <si>
    <t>UTL</t>
    <phoneticPr fontId="2" type="noConversion"/>
  </si>
  <si>
    <t>Utilities</t>
    <phoneticPr fontId="2" type="noConversion"/>
  </si>
  <si>
    <t>9 Standard Industry Codes:</t>
    <phoneticPr fontId="2" type="noConversion"/>
  </si>
  <si>
    <t>RES</t>
    <phoneticPr fontId="2" type="noConversion"/>
  </si>
  <si>
    <t>Real Estate</t>
    <phoneticPr fontId="2" type="noConversion"/>
  </si>
  <si>
    <t>Market Yields Tracker</t>
    <phoneticPr fontId="2" type="noConversion"/>
  </si>
  <si>
    <t>iii.</t>
    <phoneticPr fontId="2" type="noConversion"/>
  </si>
  <si>
    <t>High Growth</t>
  </si>
  <si>
    <t>Cap</t>
    <phoneticPr fontId="17" type="noConversion"/>
  </si>
  <si>
    <t>Negative or Low Growth</t>
    <phoneticPr fontId="17" type="noConversion"/>
  </si>
  <si>
    <t>= R_i - Benchmark Return</t>
    <phoneticPr fontId="2" type="noConversion"/>
  </si>
  <si>
    <t>= R_i - Cash Yield</t>
    <phoneticPr fontId="2" type="noConversion"/>
  </si>
  <si>
    <t>Excess Return over Benchmark (ERB_i)</t>
    <phoneticPr fontId="2" type="noConversion"/>
  </si>
  <si>
    <t>Excess Return over Cash (ERC_i)</t>
    <phoneticPr fontId="2" type="noConversion"/>
  </si>
  <si>
    <t>Portfolio Limits</t>
    <phoneticPr fontId="17" type="noConversion"/>
  </si>
  <si>
    <t>Growth Classification Limits</t>
    <phoneticPr fontId="17" type="noConversion"/>
  </si>
  <si>
    <r>
      <rPr>
        <b/>
        <i/>
        <sz val="9"/>
        <color theme="1"/>
        <rFont val="Arial"/>
        <family val="2"/>
      </rPr>
      <t>Target Annual Return</t>
    </r>
    <r>
      <rPr>
        <i/>
        <sz val="9"/>
        <color theme="1"/>
        <rFont val="Arial"/>
        <family val="2"/>
      </rPr>
      <t>: The target return reflects the investor’s hurdle rate over the lock-up period.</t>
    </r>
    <phoneticPr fontId="2" type="noConversion"/>
  </si>
  <si>
    <t>Key Outputs:</t>
    <phoneticPr fontId="17" type="noConversion"/>
  </si>
  <si>
    <t>HKD</t>
  </si>
  <si>
    <t xml:space="preserve">Low Growth </t>
  </si>
  <si>
    <t>0083.HK</t>
  </si>
  <si>
    <t>Portfolio Management Plan</t>
    <phoneticPr fontId="2" type="noConversion"/>
  </si>
  <si>
    <t>Opportunity Cost</t>
    <phoneticPr fontId="2" type="noConversion"/>
  </si>
  <si>
    <t>Portfolio Return</t>
    <phoneticPr fontId="17" type="noConversion"/>
  </si>
  <si>
    <t>Projected Cash %</t>
    <phoneticPr fontId="17" type="noConversion"/>
  </si>
  <si>
    <t>Projected Portfolio Return</t>
    <phoneticPr fontId="17" type="noConversion"/>
  </si>
  <si>
    <t>Find Eligible Investments (Data Cleaning)</t>
    <phoneticPr fontId="2" type="noConversion"/>
  </si>
  <si>
    <t>Display Investment Opportunities (Data Preparation)</t>
    <phoneticPr fontId="2" type="noConversion"/>
  </si>
  <si>
    <t>Filters:</t>
    <phoneticPr fontId="17" type="noConversion"/>
  </si>
  <si>
    <t>- Retain investments with Selected Flag = True and ERB &gt; 0.</t>
    <phoneticPr fontId="17" type="noConversion"/>
  </si>
  <si>
    <t>- Enforce Maximum Number of Holdings and Growth Classification Limits.</t>
    <phoneticPr fontId="17" type="noConversion"/>
  </si>
  <si>
    <t>Logic:</t>
    <phoneticPr fontId="17" type="noConversion"/>
  </si>
  <si>
    <t>- If R_i &lt; Target Annual Return: Penalty proportional to the shortfall.</t>
    <phoneticPr fontId="17" type="noConversion"/>
  </si>
  <si>
    <t>Portfolio Management Output</t>
    <phoneticPr fontId="2" type="noConversion"/>
  </si>
  <si>
    <t>iv.</t>
    <phoneticPr fontId="2" type="noConversion"/>
  </si>
  <si>
    <t>2. Projected Portfolio Return:</t>
    <phoneticPr fontId="17" type="noConversion"/>
  </si>
  <si>
    <t>Step 1: Determine Risk Appetite &amp; Cash Reserve</t>
    <phoneticPr fontId="2" type="noConversion"/>
  </si>
  <si>
    <t>- If no eligible investments exist, Set Projected Cash % = 100% and Projected Portfolio Return = Cash Yield.</t>
    <phoneticPr fontId="2" type="noConversion"/>
  </si>
  <si>
    <r>
      <rPr>
        <b/>
        <i/>
        <sz val="9"/>
        <color theme="1"/>
        <rFont val="Arial"/>
        <family val="2"/>
      </rPr>
      <t>Single Investment Cap:</t>
    </r>
    <r>
      <rPr>
        <i/>
        <sz val="9"/>
        <color theme="1"/>
        <rFont val="Arial"/>
        <family val="2"/>
      </rPr>
      <t xml:space="preserve"> If If an investment’s provisional allocation exceeds the cap, set its allocation to the cap. Excess weight is moved to cash (do not redistribute to other investments).</t>
    </r>
    <phoneticPr fontId="17" type="noConversion"/>
  </si>
  <si>
    <t>Note:</t>
    <phoneticPr fontId="17" type="noConversion"/>
  </si>
  <si>
    <t>1. Provisional Weight:</t>
    <phoneticPr fontId="17" type="noConversion"/>
  </si>
  <si>
    <t>provisional_weight_i = Single Investment Cap, for each eligible investment i with ERB&gt;0.</t>
    <phoneticPr fontId="17" type="noConversion"/>
  </si>
  <si>
    <t>Δweight_i = MAX(0, (Target Annual Return - R_i)/Target Annual Return)</t>
    <phoneticPr fontId="17" type="noConversion"/>
  </si>
  <si>
    <t>2. Δweight Adjustment:</t>
    <phoneticPr fontId="17" type="noConversion"/>
  </si>
  <si>
    <t>- If R_i &gt;= Target Annual Return: Δweight_i = 0</t>
    <phoneticPr fontId="17" type="noConversion"/>
  </si>
  <si>
    <r>
      <rPr>
        <b/>
        <i/>
        <sz val="9"/>
        <color theme="1"/>
        <rFont val="Arial"/>
        <family val="2"/>
      </rPr>
      <t>Purpose:</t>
    </r>
    <r>
      <rPr>
        <i/>
        <sz val="9"/>
        <color theme="1"/>
        <rFont val="Arial"/>
        <family val="2"/>
      </rPr>
      <t xml:space="preserve"> Given current market price, how much should be allocated to each eligible investments.</t>
    </r>
    <phoneticPr fontId="2" type="noConversion"/>
  </si>
  <si>
    <t>Minimium Cash Reserve %</t>
    <phoneticPr fontId="2" type="noConversion"/>
  </si>
  <si>
    <t>Cost of the Minimium Cash Reserve when all investments are earning Targeting Annual Return</t>
    <phoneticPr fontId="2" type="noConversion"/>
  </si>
  <si>
    <t>Min. Cash Reserve</t>
    <phoneticPr fontId="17" type="noConversion"/>
  </si>
  <si>
    <t>1. Projected Cash Reserve %:</t>
    <phoneticPr fontId="17" type="noConversion"/>
  </si>
  <si>
    <t xml:space="preserve">Projected Cash Reserve % = 1 - allocated_weight </t>
    <phoneticPr fontId="17" type="noConversion"/>
  </si>
  <si>
    <r>
      <t xml:space="preserve">Note: </t>
    </r>
    <r>
      <rPr>
        <i/>
        <sz val="9"/>
        <color theme="1"/>
        <rFont val="Arial"/>
        <family val="2"/>
      </rPr>
      <t>Opportunity Cost = Minimium Cash Reserve % × (Target Annual Return - Cash Yield)</t>
    </r>
    <phoneticPr fontId="2" type="noConversion"/>
  </si>
  <si>
    <t>Diversification Rules</t>
    <phoneticPr fontId="2" type="noConversion"/>
  </si>
  <si>
    <t>Market Benchmarks</t>
    <phoneticPr fontId="2" type="noConversion"/>
  </si>
  <si>
    <r>
      <t xml:space="preserve">- Cash reserve is determined by </t>
    </r>
    <r>
      <rPr>
        <b/>
        <sz val="9"/>
        <color theme="1"/>
        <rFont val="Arial"/>
        <family val="2"/>
      </rPr>
      <t>Risk Appetite Score (Step 1)</t>
    </r>
    <r>
      <rPr>
        <sz val="9"/>
        <color theme="1"/>
        <rFont val="Arial"/>
        <family val="2"/>
      </rPr>
      <t xml:space="preserve"> and </t>
    </r>
    <r>
      <rPr>
        <b/>
        <sz val="9"/>
        <color theme="1"/>
        <rFont val="Arial"/>
        <family val="2"/>
      </rPr>
      <t>Portfolio Allocation (Step 2)</t>
    </r>
    <r>
      <rPr>
        <sz val="9"/>
        <color theme="1"/>
        <rFont val="Arial"/>
        <family val="2"/>
      </rPr>
      <t>.</t>
    </r>
    <phoneticPr fontId="2" type="noConversion"/>
  </si>
  <si>
    <t>Market Annual Return (R_i)</t>
    <phoneticPr fontId="2" type="noConversion"/>
  </si>
  <si>
    <t>Imported from Valuation models to Opportunities Sheet</t>
    <phoneticPr fontId="17" type="noConversion"/>
  </si>
  <si>
    <r>
      <rPr>
        <b/>
        <i/>
        <sz val="9"/>
        <color theme="1"/>
        <rFont val="Arial"/>
        <family val="2"/>
      </rPr>
      <t xml:space="preserve">Process: </t>
    </r>
    <r>
      <rPr>
        <i/>
        <sz val="9"/>
        <color theme="1"/>
        <rFont val="Arial"/>
        <family val="2"/>
      </rPr>
      <t>Calculate a Risk Appetite Score (0–8 scale) using four market indicators to set cash reserves.</t>
    </r>
    <phoneticPr fontId="2" type="noConversion"/>
  </si>
  <si>
    <r>
      <rPr>
        <b/>
        <i/>
        <sz val="9"/>
        <color theme="1"/>
        <rFont val="Arial"/>
        <family val="2"/>
      </rPr>
      <t xml:space="preserve">Objective: </t>
    </r>
    <r>
      <rPr>
        <i/>
        <sz val="9"/>
        <color theme="1"/>
        <rFont val="Arial"/>
        <family val="2"/>
      </rPr>
      <t>Determine the optimal capital allocation at current market prices, while reserving capital for strategic deployment.</t>
    </r>
    <phoneticPr fontId="2" type="noConversion"/>
  </si>
  <si>
    <t>3. Allocation Weight:</t>
    <phoneticPr fontId="17" type="noConversion"/>
  </si>
  <si>
    <t>allocation_weight_i = provisional_weight_i * (1-Δweight_i)</t>
    <phoneticPr fontId="17" type="noConversion"/>
  </si>
  <si>
    <r>
      <t>allocated_weight = Σ</t>
    </r>
    <r>
      <rPr>
        <sz val="9"/>
        <color theme="1"/>
        <rFont val="Microsoft YaHei UI"/>
        <family val="2"/>
        <charset val="134"/>
      </rPr>
      <t>(</t>
    </r>
    <r>
      <rPr>
        <sz val="9"/>
        <color theme="1"/>
        <rFont val="Arial"/>
        <family val="2"/>
      </rPr>
      <t>allocation_weight_i)</t>
    </r>
    <phoneticPr fontId="17" type="noConversion"/>
  </si>
  <si>
    <t>Return = Σ(allocation_weight_i× R_i) + (Projected Cash % × Cash Yield)</t>
    <phoneticPr fontId="17" type="noConversion"/>
  </si>
  <si>
    <t>Allocation Weight</t>
    <phoneticPr fontId="2" type="noConversion"/>
  </si>
  <si>
    <t>4. Total Allocated Weight:</t>
    <phoneticPr fontId="17" type="noConversion"/>
  </si>
  <si>
    <t>Calculate Allocation Weight (Data Processing)</t>
    <phoneticPr fontId="2" type="noConversion"/>
  </si>
  <si>
    <r>
      <rPr>
        <b/>
        <i/>
        <sz val="9"/>
        <color theme="1"/>
        <rFont val="Arial"/>
        <family val="2"/>
      </rPr>
      <t xml:space="preserve">Note: </t>
    </r>
    <r>
      <rPr>
        <i/>
        <sz val="9"/>
        <color theme="1"/>
        <rFont val="Arial"/>
        <family val="2"/>
      </rPr>
      <t>When the Projected Portfolio Return falls below the benchmark, it is due to overly conservative cash reserve settings or a lack of eligible opportunities. Manual corrective action is needed to address these issues.</t>
    </r>
    <phoneticPr fontId="17" type="noConversion"/>
  </si>
  <si>
    <r>
      <t xml:space="preserve">- </t>
    </r>
    <r>
      <rPr>
        <b/>
        <sz val="9"/>
        <color theme="1"/>
        <rFont val="Arial"/>
        <family val="2"/>
      </rPr>
      <t xml:space="preserve">Valuation Changes: </t>
    </r>
    <r>
      <rPr>
        <sz val="9"/>
        <color theme="1"/>
        <rFont val="Arial"/>
        <family val="2"/>
      </rPr>
      <t>If the market annual return output by valuation model changes materially.</t>
    </r>
    <phoneticPr fontId="2" type="noConversion"/>
  </si>
  <si>
    <r>
      <rPr>
        <b/>
        <i/>
        <sz val="9"/>
        <color theme="1"/>
        <rFont val="Arial"/>
        <family val="2"/>
      </rPr>
      <t xml:space="preserve">Note on Allocation: </t>
    </r>
    <r>
      <rPr>
        <i/>
        <sz val="9"/>
        <color theme="1"/>
        <rFont val="Arial"/>
        <family val="2"/>
      </rPr>
      <t>The allocation process prioritizes higher return potential relative to the benchmark. Eligible investments (meeting criteria in Step 2.ii) are ranked by ERB (descending). Capital is allocated sequentially down this ranked list. Each investment receives its calculated `allocation_weight_i` (from Step iii.3) until the total investable capital (100% - Minimum Cash Reserve % from Step 1) is exhausted. Lower-ranked investments may receive partial allocation (only the remaining capital) or no allocation if capital runs out before they are reached.</t>
    </r>
    <phoneticPr fontId="17" type="noConversion"/>
  </si>
  <si>
    <r>
      <rPr>
        <b/>
        <i/>
        <sz val="9"/>
        <color theme="1"/>
        <rFont val="Arial"/>
        <family val="2"/>
      </rPr>
      <t xml:space="preserve">Objective: </t>
    </r>
    <r>
      <rPr>
        <i/>
        <sz val="9"/>
        <color theme="1"/>
        <rFont val="Arial"/>
        <family val="2"/>
      </rPr>
      <t>Balance high-conviction bets with diversification rules.</t>
    </r>
    <phoneticPr fontId="2" type="noConversion"/>
  </si>
  <si>
    <r>
      <rPr>
        <b/>
        <i/>
        <sz val="9"/>
        <color theme="1"/>
        <rFont val="Arial"/>
        <family val="2"/>
      </rPr>
      <t xml:space="preserve">Guidance Note: </t>
    </r>
    <r>
      <rPr>
        <i/>
        <sz val="9"/>
        <color theme="1"/>
        <rFont val="Arial"/>
        <family val="2"/>
      </rPr>
      <t>This plan deploys capital into investments exceeding the benchmark return while strategically reserving cash for future opportunities.</t>
    </r>
    <phoneticPr fontId="2" type="noConversion"/>
  </si>
  <si>
    <t>Strategic reserve for compelling opportunities.</t>
    <phoneticPr fontId="17" type="noConversion"/>
  </si>
  <si>
    <t>- Display all opportunities, regardless of ERB or Selected Flag, for full visibility.</t>
    <phoneticPr fontId="2" type="noConversion"/>
  </si>
  <si>
    <t>- Sort all potential investments by ERB (descending) in the Opportunities Sheet.</t>
    <phoneticPr fontId="2" type="noConversion"/>
  </si>
  <si>
    <r>
      <rPr>
        <b/>
        <i/>
        <sz val="9"/>
        <color theme="1"/>
        <rFont val="Arial"/>
        <family val="2"/>
      </rPr>
      <t>Capital Constraints:</t>
    </r>
    <r>
      <rPr>
        <i/>
        <sz val="9"/>
        <color theme="1"/>
        <rFont val="Arial"/>
        <family val="2"/>
      </rPr>
      <t xml:space="preserve"> This step calculates the desired weight for each eligible investment before considering capital constraints</t>
    </r>
    <phoneticPr fontId="17" type="noConversion"/>
  </si>
  <si>
    <t>Current Holdings</t>
    <phoneticPr fontId="2" type="noConversion"/>
  </si>
  <si>
    <t>Number of Shares</t>
    <phoneticPr fontId="2" type="noConversion"/>
  </si>
  <si>
    <t>Price
Currency</t>
    <phoneticPr fontId="2" type="noConversion"/>
  </si>
  <si>
    <t>Market Price</t>
    <phoneticPr fontId="2" type="noConversion"/>
  </si>
  <si>
    <t>HKD</t>
    <phoneticPr fontId="2" type="noConversion"/>
  </si>
  <si>
    <t>nm</t>
    <phoneticPr fontId="2" type="noConversion"/>
  </si>
  <si>
    <t>Market Value (HKD)</t>
    <phoneticPr fontId="2" type="noConversion"/>
  </si>
  <si>
    <r>
      <rPr>
        <b/>
        <i/>
        <sz val="9"/>
        <color theme="1"/>
        <rFont val="Arial"/>
        <family val="2"/>
      </rPr>
      <t>Cost of Equity</t>
    </r>
    <r>
      <rPr>
        <i/>
        <sz val="9"/>
        <color theme="1"/>
        <rFont val="Arial"/>
        <family val="2"/>
      </rPr>
      <t>: This plan employs a value investing framework, defining true risk as the potential for permanent capital loss due to deteriorating business fundamentals or overvaluation, rather than short-term price volatility (beta). The model uses a standardized base cost of equity as the discount rate in DCF analysis,which serves as the minimum acceptable long-term return threshold, reflecting long-term risk-free rates plus an equity risk premium to account for ownership risks.</t>
    </r>
    <phoneticPr fontId="2" type="noConversion"/>
  </si>
  <si>
    <t>ENG_01</t>
  </si>
  <si>
    <t>2331.HK</t>
  </si>
  <si>
    <t>Planning</t>
    <phoneticPr fontId="2" type="noConversion"/>
  </si>
  <si>
    <t>End. Cash Balance</t>
    <phoneticPr fontId="2" type="noConversion"/>
  </si>
  <si>
    <t>Total Value</t>
    <phoneticPr fontId="2" type="noConversion"/>
  </si>
  <si>
    <t>Actual %</t>
    <phoneticPr fontId="2" type="noConversion"/>
  </si>
  <si>
    <t>Debt/
Equity</t>
    <phoneticPr fontId="2" type="noConversion"/>
  </si>
  <si>
    <t>Realizable Value</t>
    <phoneticPr fontId="2" type="noConversion"/>
  </si>
  <si>
    <t>Debt/EBIT</t>
    <phoneticPr fontId="2" type="noConversion"/>
  </si>
  <si>
    <t>open a position at a yield of</t>
  </si>
  <si>
    <t>Entry Price</t>
  </si>
  <si>
    <t>Execution</t>
  </si>
  <si>
    <t>9959.HK</t>
  </si>
  <si>
    <t>Expansion expected</t>
  </si>
  <si>
    <t>Recession expected</t>
  </si>
  <si>
    <t>SINO LAND</t>
  </si>
  <si>
    <t>Negative Growth Asset Play</t>
  </si>
  <si>
    <t>RES_01</t>
  </si>
  <si>
    <t>0303.HK</t>
  </si>
  <si>
    <t>偉易達</t>
  </si>
  <si>
    <t>CNS_02</t>
  </si>
  <si>
    <t>0168.HK</t>
  </si>
  <si>
    <t>青島啤酒股份</t>
  </si>
  <si>
    <t>CNS_03</t>
  </si>
  <si>
    <t>0857.HK</t>
  </si>
  <si>
    <t>中国石油股份</t>
  </si>
  <si>
    <t>0398.HK</t>
  </si>
  <si>
    <t>東方表行集團</t>
  </si>
  <si>
    <t>CNS_05</t>
  </si>
  <si>
    <t>0590.HK</t>
  </si>
  <si>
    <t>六福珠宝</t>
  </si>
  <si>
    <t>李宁</t>
  </si>
  <si>
    <t>1910.HK</t>
  </si>
  <si>
    <t>新秀麗</t>
  </si>
  <si>
    <t xml:space="preserve">High Growth </t>
  </si>
  <si>
    <t>聯易融科技</t>
  </si>
  <si>
    <t>FIN_03</t>
  </si>
  <si>
    <t>Low Growth Asset Play</t>
  </si>
  <si>
    <t>3983.HK</t>
  </si>
  <si>
    <t>中海石油化学</t>
  </si>
  <si>
    <t>ENG_02</t>
  </si>
  <si>
    <t>6601.HK</t>
  </si>
  <si>
    <t>朝云集团</t>
  </si>
  <si>
    <t>CNS_04</t>
  </si>
  <si>
    <t>SIRI</t>
  </si>
  <si>
    <t>USD</t>
  </si>
  <si>
    <t>TMT_05</t>
  </si>
  <si>
    <t>KHC</t>
  </si>
  <si>
    <t>CNS_01</t>
  </si>
  <si>
    <t>0883.HK</t>
  </si>
  <si>
    <t>中国海油</t>
  </si>
  <si>
    <t>Exit 
Price</t>
  </si>
  <si>
    <t>Sell 
Price</t>
  </si>
  <si>
    <t>Market  Yield</t>
  </si>
  <si>
    <t>CCY</t>
  </si>
  <si>
    <t>Sirius XM</t>
  </si>
  <si>
    <t>The Kraft Heinz</t>
  </si>
  <si>
    <t>Growth 
Classification</t>
  </si>
  <si>
    <t>Balance Sheet Strength</t>
  </si>
  <si>
    <t>ROE</t>
  </si>
  <si>
    <t>Sales/ Assets</t>
  </si>
  <si>
    <t>Assets/ Equity</t>
  </si>
  <si>
    <t>ROE Analysis</t>
  </si>
  <si>
    <t>Y</t>
  </si>
  <si>
    <t>N</t>
  </si>
  <si>
    <t xml:space="preserve"> Profit/ Sales</t>
  </si>
  <si>
    <t>0327.HK</t>
  </si>
  <si>
    <t>百富环球</t>
  </si>
  <si>
    <t>IND_02</t>
  </si>
  <si>
    <t>0639.HK</t>
  </si>
  <si>
    <t>首钢资源</t>
  </si>
  <si>
    <t>MAT_01</t>
  </si>
  <si>
    <t>Target Price</t>
  </si>
  <si>
    <t>Exit Price</t>
  </si>
  <si>
    <t>Sell Price</t>
  </si>
  <si>
    <t>nm</t>
  </si>
  <si>
    <t>1913.HK</t>
  </si>
  <si>
    <t>PRADA</t>
  </si>
  <si>
    <t>Forex Cost</t>
  </si>
  <si>
    <t>From</t>
  </si>
  <si>
    <t>HKD to USD</t>
  </si>
  <si>
    <t>USD to HKD</t>
  </si>
  <si>
    <t>HKDUSD</t>
  </si>
  <si>
    <t>To</t>
  </si>
  <si>
    <t>Est.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</si>
</sst>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13C09]d\ mmm\ yyyy;@"/>
    <numFmt numFmtId="166" formatCode="0&quot; yrs&quot;"/>
    <numFmt numFmtId="167" formatCode="0.0\x"/>
    <numFmt numFmtId="168" formatCode="#,##0.00&quot;x&quot;"/>
    <numFmt numFmtId="169" formatCode="0.00000"/>
    <numFmt numFmtId="170" formatCode="_-[$HKD]\ * #,##0_-;\-[$HKD]\ * #,##0_-;_-[$HKD]\ * &quot;-&quot;_-;_-@_-"/>
    <numFmt numFmtId="171" formatCode="_-[$USD]\ * #,##0_-;\-[$USD]\ * #,##0_-;_-[$USD]\ * &quot;-&quot;_-;_-@_-"/>
  </numFmts>
  <fonts count="36">
    <font>
      <sz val="11"/>
      <color theme="1"/>
      <name val="Calibri"/>
      <family val="2"/>
      <scheme val="minor"/>
    </font>
    <font>
      <sz val="10"/>
      <color rgb="FF000000"/>
      <name val="Calibri"/>
      <family val="2"/>
      <scheme val="minor"/>
    </font>
    <font>
      <sz val="9"/>
      <name val="Calibri"/>
      <family val="3"/>
      <charset val="134"/>
      <scheme val="minor"/>
    </font>
    <font>
      <sz val="9"/>
      <color theme="1"/>
      <name val="Arial"/>
      <family val="2"/>
    </font>
    <font>
      <sz val="9"/>
      <color rgb="FF000000"/>
      <name val="Arial"/>
      <family val="2"/>
    </font>
    <font>
      <b/>
      <sz val="9"/>
      <color rgb="FF002060"/>
      <name val="Arial"/>
      <family val="2"/>
    </font>
    <font>
      <b/>
      <sz val="9"/>
      <color theme="1"/>
      <name val="Arial"/>
      <family val="2"/>
    </font>
    <font>
      <u/>
      <sz val="11"/>
      <color theme="10"/>
      <name val="Calibri"/>
      <family val="2"/>
      <scheme val="minor"/>
    </font>
    <font>
      <b/>
      <sz val="9"/>
      <name val="Arial"/>
      <family val="2"/>
    </font>
    <font>
      <sz val="9"/>
      <name val="Arial"/>
      <family val="2"/>
    </font>
    <font>
      <sz val="9"/>
      <color theme="0"/>
      <name val="Arial"/>
      <family val="2"/>
    </font>
    <font>
      <sz val="9"/>
      <color rgb="FFFF0000"/>
      <name val="Arial"/>
      <family val="2"/>
    </font>
    <font>
      <i/>
      <sz val="9"/>
      <color theme="1"/>
      <name val="Arial"/>
      <family val="2"/>
    </font>
    <font>
      <b/>
      <i/>
      <sz val="9"/>
      <color theme="1"/>
      <name val="Arial"/>
      <family val="2"/>
    </font>
    <font>
      <b/>
      <u/>
      <sz val="9"/>
      <color theme="1"/>
      <name val="Arial"/>
      <family val="2"/>
    </font>
    <font>
      <b/>
      <sz val="9"/>
      <color rgb="FF000000"/>
      <name val="Arial"/>
      <family val="2"/>
    </font>
    <font>
      <sz val="9"/>
      <color theme="0"/>
      <name val="Microsoft YaHei"/>
      <family val="2"/>
    </font>
    <font>
      <sz val="9"/>
      <name val="DengXian"/>
      <family val="3"/>
      <charset val="134"/>
    </font>
    <font>
      <sz val="9"/>
      <color rgb="FF0000FF"/>
      <name val="Arial"/>
      <family val="2"/>
    </font>
    <font>
      <u/>
      <sz val="9"/>
      <color theme="10"/>
      <name val="Arial"/>
      <family val="2"/>
    </font>
    <font>
      <b/>
      <sz val="9"/>
      <color rgb="FF0000FF"/>
      <name val="Arial"/>
      <family val="2"/>
    </font>
    <font>
      <b/>
      <sz val="9"/>
      <color rgb="FFFF0000"/>
      <name val="Arial"/>
      <family val="2"/>
    </font>
    <font>
      <b/>
      <sz val="9"/>
      <color rgb="FF00B050"/>
      <name val="Arial"/>
      <family val="2"/>
    </font>
    <font>
      <i/>
      <u/>
      <sz val="9"/>
      <color theme="1"/>
      <name val="Arial"/>
      <family val="2"/>
    </font>
    <font>
      <sz val="9"/>
      <color theme="1"/>
      <name val="Microsoft YaHei UI"/>
      <family val="2"/>
      <charset val="134"/>
    </font>
    <font>
      <i/>
      <sz val="9"/>
      <color rgb="FF7030A0"/>
      <name val="Arial"/>
      <family val="2"/>
    </font>
    <font>
      <sz val="10"/>
      <color rgb="FF000000"/>
      <name val="Arial"/>
      <family val="2"/>
    </font>
    <font>
      <b/>
      <sz val="10"/>
      <color rgb="FF002060"/>
      <name val="Arial"/>
      <family val="2"/>
    </font>
    <font>
      <sz val="10"/>
      <color theme="1"/>
      <name val="Arial"/>
      <family val="2"/>
    </font>
    <font>
      <b/>
      <sz val="10"/>
      <color theme="1"/>
      <name val="Arial"/>
      <family val="2"/>
    </font>
    <font>
      <sz val="10"/>
      <color rgb="FF0000FF"/>
      <name val="Arial"/>
      <family val="2"/>
    </font>
    <font>
      <b/>
      <sz val="10"/>
      <name val="Arial"/>
      <family val="2"/>
    </font>
    <font>
      <sz val="12"/>
      <name val="Calibri"/>
      <family val="2"/>
    </font>
    <font>
      <sz val="10"/>
      <name val="Arial"/>
      <family val="2"/>
    </font>
    <font>
      <b/>
      <sz val="11"/>
      <color theme="1"/>
      <name val="Calibri"/>
      <family val="2"/>
      <scheme val="minor"/>
    </font>
    <font>
      <sz val="11"/>
      <color rgb="FF0000FF"/>
      <name val="Calibri"/>
      <family val="2"/>
      <scheme val="minor"/>
    </font>
  </fonts>
  <fills count="9">
    <fill>
      <patternFill patternType="none"/>
    </fill>
    <fill>
      <patternFill patternType="gray125"/>
    </fill>
    <fill>
      <patternFill patternType="solid">
        <fgColor rgb="FF00206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3871"/>
        <bgColor indexed="64"/>
      </patternFill>
    </fill>
    <fill>
      <patternFill patternType="solid">
        <fgColor rgb="FF0047AB"/>
        <bgColor indexed="64"/>
      </patternFill>
    </fill>
    <fill>
      <patternFill patternType="solid">
        <fgColor theme="7" tint="0.59999389629810485"/>
        <bgColor indexed="64"/>
      </patternFill>
    </fill>
  </fills>
  <borders count="6">
    <border>
      <left/>
      <right/>
      <top/>
      <bottom/>
      <diagonal/>
    </border>
    <border>
      <left/>
      <right/>
      <top/>
      <bottom style="thin">
        <color rgb="FF000000"/>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4">
    <xf numFmtId="0" fontId="0" fillId="0" borderId="0"/>
    <xf numFmtId="0" fontId="1" fillId="0" borderId="0"/>
    <xf numFmtId="0" fontId="7" fillId="0" borderId="0" applyNumberFormat="0" applyFill="0" applyBorder="0" applyAlignment="0" applyProtection="0"/>
    <xf numFmtId="0" fontId="32" fillId="0" borderId="0">
      <alignment vertical="center"/>
    </xf>
  </cellStyleXfs>
  <cellXfs count="119">
    <xf numFmtId="0" fontId="0" fillId="0" borderId="0" xfId="0"/>
    <xf numFmtId="0" fontId="3" fillId="0" borderId="0" xfId="0" applyFont="1"/>
    <xf numFmtId="4" fontId="3" fillId="0" borderId="0" xfId="0" applyNumberFormat="1" applyFont="1"/>
    <xf numFmtId="165" fontId="3" fillId="0" borderId="0" xfId="0" applyNumberFormat="1" applyFont="1"/>
    <xf numFmtId="10" fontId="3" fillId="0" borderId="0" xfId="0" applyNumberFormat="1" applyFont="1"/>
    <xf numFmtId="0" fontId="4" fillId="2" borderId="0" xfId="1" applyFont="1" applyFill="1"/>
    <xf numFmtId="0" fontId="5" fillId="0" borderId="1" xfId="1" applyFont="1" applyBorder="1" applyAlignment="1">
      <alignment vertical="center"/>
    </xf>
    <xf numFmtId="0" fontId="6" fillId="0" borderId="2" xfId="0" applyFont="1" applyBorder="1" applyAlignment="1">
      <alignment horizontal="center" vertical="center" wrapText="1"/>
    </xf>
    <xf numFmtId="4" fontId="6" fillId="0" borderId="2"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10" fontId="6" fillId="0" borderId="2" xfId="0" quotePrefix="1" applyNumberFormat="1" applyFont="1" applyBorder="1" applyAlignment="1">
      <alignment horizontal="center" vertical="center" wrapText="1"/>
    </xf>
    <xf numFmtId="0" fontId="3" fillId="0" borderId="0" xfId="0" applyFont="1" applyAlignment="1">
      <alignment horizontal="center"/>
    </xf>
    <xf numFmtId="4" fontId="3" fillId="0" borderId="0" xfId="0" applyNumberFormat="1" applyFont="1" applyAlignment="1">
      <alignment horizontal="center"/>
    </xf>
    <xf numFmtId="164" fontId="3" fillId="0" borderId="0" xfId="0" applyNumberFormat="1" applyFont="1" applyAlignment="1">
      <alignment horizontal="center"/>
    </xf>
    <xf numFmtId="165" fontId="3" fillId="0" borderId="0" xfId="0" applyNumberFormat="1" applyFont="1" applyAlignment="1">
      <alignment horizontal="center"/>
    </xf>
    <xf numFmtId="10" fontId="3" fillId="0" borderId="0" xfId="0" applyNumberFormat="1" applyFont="1" applyAlignment="1">
      <alignment horizontal="right"/>
    </xf>
    <xf numFmtId="14" fontId="3" fillId="0" borderId="0" xfId="0" applyNumberFormat="1" applyFont="1" applyAlignment="1">
      <alignment horizontal="center"/>
    </xf>
    <xf numFmtId="164" fontId="3" fillId="0" borderId="0" xfId="0" applyNumberFormat="1" applyFont="1"/>
    <xf numFmtId="0" fontId="4" fillId="0" borderId="0" xfId="0" applyFont="1"/>
    <xf numFmtId="0" fontId="8" fillId="0" borderId="2" xfId="0" applyFont="1" applyBorder="1"/>
    <xf numFmtId="0" fontId="6" fillId="0" borderId="0" xfId="0" applyFont="1"/>
    <xf numFmtId="0" fontId="10" fillId="6" borderId="0" xfId="0" applyFont="1" applyFill="1"/>
    <xf numFmtId="0" fontId="5" fillId="0" borderId="0" xfId="0" applyFont="1"/>
    <xf numFmtId="0" fontId="14" fillId="0" borderId="0" xfId="0" applyFont="1"/>
    <xf numFmtId="0" fontId="3" fillId="0" borderId="0" xfId="0" quotePrefix="1" applyFont="1"/>
    <xf numFmtId="0" fontId="15" fillId="0" borderId="0" xfId="0" applyFont="1"/>
    <xf numFmtId="0" fontId="3" fillId="0" borderId="4" xfId="0" applyFont="1" applyBorder="1"/>
    <xf numFmtId="0" fontId="6" fillId="0" borderId="0" xfId="0" applyFont="1" applyAlignment="1">
      <alignment horizontal="left" indent="1"/>
    </xf>
    <xf numFmtId="0" fontId="6" fillId="0" borderId="0" xfId="0" applyFont="1" applyAlignment="1">
      <alignment horizontal="center"/>
    </xf>
    <xf numFmtId="9" fontId="11" fillId="0" borderId="4" xfId="0" applyNumberFormat="1" applyFont="1" applyBorder="1" applyAlignment="1">
      <alignment horizontal="center"/>
    </xf>
    <xf numFmtId="0" fontId="16" fillId="7" borderId="2" xfId="0" applyFont="1" applyFill="1" applyBorder="1" applyAlignment="1">
      <alignment horizontal="center"/>
    </xf>
    <xf numFmtId="0" fontId="4" fillId="2" borderId="0" xfId="0" applyFont="1" applyFill="1"/>
    <xf numFmtId="0" fontId="5" fillId="0" borderId="2" xfId="0" applyFont="1" applyBorder="1"/>
    <xf numFmtId="0" fontId="3" fillId="0" borderId="4" xfId="0" applyFont="1" applyBorder="1" applyAlignment="1">
      <alignment horizontal="left"/>
    </xf>
    <xf numFmtId="10" fontId="18" fillId="0" borderId="4" xfId="0" applyNumberFormat="1" applyFont="1" applyBorder="1" applyAlignment="1">
      <alignment horizontal="right"/>
    </xf>
    <xf numFmtId="10" fontId="3" fillId="0" borderId="4" xfId="0" applyNumberFormat="1" applyFont="1" applyBorder="1" applyAlignment="1">
      <alignment horizontal="right"/>
    </xf>
    <xf numFmtId="0" fontId="6" fillId="0" borderId="4" xfId="0" applyFont="1" applyBorder="1" applyAlignment="1">
      <alignment horizontal="left" indent="1"/>
    </xf>
    <xf numFmtId="10" fontId="6" fillId="0" borderId="4" xfId="0" applyNumberFormat="1" applyFont="1" applyBorder="1"/>
    <xf numFmtId="0" fontId="19" fillId="0" borderId="0" xfId="2" applyFont="1"/>
    <xf numFmtId="0" fontId="13" fillId="0" borderId="0" xfId="0" applyFont="1"/>
    <xf numFmtId="0" fontId="6" fillId="0" borderId="0" xfId="0" applyFont="1" applyAlignment="1">
      <alignment horizontal="right"/>
    </xf>
    <xf numFmtId="0" fontId="11" fillId="0" borderId="4" xfId="0" applyFont="1" applyBorder="1" applyAlignment="1">
      <alignment horizontal="right"/>
    </xf>
    <xf numFmtId="0" fontId="6" fillId="0" borderId="5" xfId="0" applyFont="1" applyBorder="1" applyAlignment="1">
      <alignment horizontal="left" indent="1"/>
    </xf>
    <xf numFmtId="9" fontId="6" fillId="0" borderId="5" xfId="0" applyNumberFormat="1" applyFont="1" applyBorder="1" applyAlignment="1">
      <alignment horizontal="right"/>
    </xf>
    <xf numFmtId="10" fontId="20" fillId="0" borderId="0" xfId="0" applyNumberFormat="1" applyFont="1" applyAlignment="1">
      <alignment horizontal="right"/>
    </xf>
    <xf numFmtId="0" fontId="6" fillId="0" borderId="0" xfId="0" applyFont="1" applyAlignment="1">
      <alignment horizontal="left" wrapText="1"/>
    </xf>
    <xf numFmtId="10" fontId="8" fillId="0" borderId="0" xfId="0" applyNumberFormat="1" applyFont="1" applyAlignment="1">
      <alignment horizontal="right"/>
    </xf>
    <xf numFmtId="9" fontId="21" fillId="0" borderId="0" xfId="0" applyNumberFormat="1" applyFont="1" applyAlignment="1">
      <alignment horizontal="right"/>
    </xf>
    <xf numFmtId="10" fontId="22" fillId="0" borderId="0" xfId="0" applyNumberFormat="1" applyFont="1" applyAlignment="1">
      <alignment horizontal="right"/>
    </xf>
    <xf numFmtId="0" fontId="10" fillId="7" borderId="2" xfId="0" applyFont="1" applyFill="1" applyBorder="1" applyAlignment="1">
      <alignment horizontal="center"/>
    </xf>
    <xf numFmtId="0" fontId="11" fillId="0" borderId="4" xfId="0" applyFont="1" applyBorder="1"/>
    <xf numFmtId="9" fontId="11" fillId="0" borderId="4" xfId="0" applyNumberFormat="1" applyFont="1" applyBorder="1"/>
    <xf numFmtId="0" fontId="3" fillId="0" borderId="0" xfId="0" applyFont="1" applyAlignment="1">
      <alignment horizontal="left" wrapText="1"/>
    </xf>
    <xf numFmtId="10" fontId="9" fillId="0" borderId="0" xfId="0" applyNumberFormat="1" applyFont="1" applyAlignment="1">
      <alignment horizontal="right"/>
    </xf>
    <xf numFmtId="0" fontId="3" fillId="0" borderId="0" xfId="0" applyFont="1" applyAlignment="1">
      <alignment horizontal="left"/>
    </xf>
    <xf numFmtId="0" fontId="10" fillId="0" borderId="0" xfId="0" applyFont="1" applyAlignment="1">
      <alignment horizontal="center"/>
    </xf>
    <xf numFmtId="39" fontId="11" fillId="0" borderId="0" xfId="0" applyNumberFormat="1" applyFont="1" applyAlignment="1">
      <alignment horizontal="center"/>
    </xf>
    <xf numFmtId="37" fontId="11" fillId="0" borderId="4" xfId="0" applyNumberFormat="1" applyFont="1" applyBorder="1" applyAlignment="1">
      <alignment horizontal="right"/>
    </xf>
    <xf numFmtId="37" fontId="9" fillId="0" borderId="4" xfId="0" applyNumberFormat="1" applyFont="1" applyBorder="1" applyAlignment="1">
      <alignment horizontal="right"/>
    </xf>
    <xf numFmtId="0" fontId="12" fillId="0" borderId="0" xfId="0" applyFont="1"/>
    <xf numFmtId="0" fontId="9" fillId="0" borderId="0" xfId="0" applyFont="1"/>
    <xf numFmtId="39" fontId="25" fillId="0" borderId="0" xfId="0" applyNumberFormat="1" applyFont="1" applyAlignment="1">
      <alignment horizontal="left"/>
    </xf>
    <xf numFmtId="0" fontId="26" fillId="2" borderId="0" xfId="1" applyFont="1" applyFill="1"/>
    <xf numFmtId="0" fontId="27" fillId="0" borderId="1" xfId="1" applyFont="1" applyBorder="1" applyAlignment="1">
      <alignment vertical="center"/>
    </xf>
    <xf numFmtId="0" fontId="28" fillId="0" borderId="0" xfId="0" applyFont="1"/>
    <xf numFmtId="0" fontId="29" fillId="0" borderId="2" xfId="0" applyFont="1" applyBorder="1" applyAlignment="1">
      <alignment horizontal="center" vertical="center" wrapText="1"/>
    </xf>
    <xf numFmtId="0" fontId="30" fillId="0" borderId="0" xfId="0" applyFont="1" applyAlignment="1">
      <alignment horizontal="center"/>
    </xf>
    <xf numFmtId="39" fontId="30" fillId="0" borderId="0" xfId="0" applyNumberFormat="1" applyFont="1" applyAlignment="1">
      <alignment horizontal="center"/>
    </xf>
    <xf numFmtId="37" fontId="30" fillId="0" borderId="0" xfId="0" applyNumberFormat="1" applyFont="1" applyAlignment="1">
      <alignment horizontal="center"/>
    </xf>
    <xf numFmtId="39" fontId="30" fillId="0" borderId="0" xfId="0" applyNumberFormat="1" applyFont="1" applyAlignment="1">
      <alignment horizontal="right"/>
    </xf>
    <xf numFmtId="37" fontId="30" fillId="0" borderId="0" xfId="0" applyNumberFormat="1" applyFont="1" applyAlignment="1">
      <alignment horizontal="right"/>
    </xf>
    <xf numFmtId="0" fontId="32" fillId="0" borderId="0" xfId="3">
      <alignment vertical="center"/>
    </xf>
    <xf numFmtId="10" fontId="28" fillId="0" borderId="0" xfId="0" applyNumberFormat="1" applyFont="1"/>
    <xf numFmtId="0" fontId="33" fillId="0" borderId="0" xfId="0" applyFont="1" applyAlignment="1">
      <alignment horizontal="center"/>
    </xf>
    <xf numFmtId="39" fontId="33" fillId="0" borderId="0" xfId="0" applyNumberFormat="1" applyFont="1" applyAlignment="1">
      <alignment horizontal="right"/>
    </xf>
    <xf numFmtId="37" fontId="33" fillId="0" borderId="0" xfId="0" applyNumberFormat="1" applyFont="1" applyAlignment="1">
      <alignment horizontal="right"/>
    </xf>
    <xf numFmtId="0" fontId="33" fillId="0" borderId="0" xfId="0" applyFont="1" applyAlignment="1">
      <alignment horizontal="left"/>
    </xf>
    <xf numFmtId="0" fontId="30" fillId="0" borderId="0" xfId="0" applyFont="1" applyAlignment="1">
      <alignment horizontal="left"/>
    </xf>
    <xf numFmtId="0" fontId="30" fillId="0" borderId="3" xfId="0" applyFont="1" applyBorder="1" applyAlignment="1">
      <alignment horizontal="center"/>
    </xf>
    <xf numFmtId="39" fontId="30" fillId="0" borderId="3" xfId="0" applyNumberFormat="1" applyFont="1" applyBorder="1" applyAlignment="1">
      <alignment horizontal="right"/>
    </xf>
    <xf numFmtId="37" fontId="31" fillId="0" borderId="3" xfId="0" applyNumberFormat="1" applyFont="1" applyBorder="1" applyAlignment="1">
      <alignment horizontal="right"/>
    </xf>
    <xf numFmtId="10" fontId="29" fillId="0" borderId="3" xfId="0" applyNumberFormat="1" applyFont="1" applyBorder="1"/>
    <xf numFmtId="0" fontId="31" fillId="0" borderId="3" xfId="0" applyFont="1" applyBorder="1" applyAlignment="1">
      <alignment horizontal="left"/>
    </xf>
    <xf numFmtId="39" fontId="31" fillId="0" borderId="3" xfId="0" applyNumberFormat="1" applyFont="1" applyBorder="1" applyAlignment="1">
      <alignment horizontal="right"/>
    </xf>
    <xf numFmtId="0" fontId="31" fillId="0" borderId="3" xfId="0" applyFont="1" applyBorder="1" applyAlignment="1">
      <alignment horizontal="center"/>
    </xf>
    <xf numFmtId="39" fontId="3" fillId="0" borderId="0" xfId="0" applyNumberFormat="1" applyFont="1" applyAlignment="1">
      <alignment horizontal="right"/>
    </xf>
    <xf numFmtId="10" fontId="28" fillId="0" borderId="2" xfId="0" applyNumberFormat="1" applyFont="1" applyBorder="1"/>
    <xf numFmtId="10" fontId="29" fillId="0" borderId="0" xfId="0" applyNumberFormat="1" applyFont="1"/>
    <xf numFmtId="0" fontId="28" fillId="0" borderId="2" xfId="0" applyFont="1" applyBorder="1"/>
    <xf numFmtId="10" fontId="33" fillId="0" borderId="0" xfId="0" applyNumberFormat="1" applyFont="1" applyAlignment="1">
      <alignment horizontal="right"/>
    </xf>
    <xf numFmtId="167" fontId="3" fillId="0" borderId="0" xfId="0" applyNumberFormat="1" applyFont="1" applyAlignment="1">
      <alignment horizontal="right"/>
    </xf>
    <xf numFmtId="166" fontId="22" fillId="0" borderId="0" xfId="0" applyNumberFormat="1" applyFont="1" applyAlignment="1">
      <alignment horizontal="right"/>
    </xf>
    <xf numFmtId="10" fontId="21" fillId="0" borderId="0" xfId="0" applyNumberFormat="1" applyFont="1"/>
    <xf numFmtId="168" fontId="3" fillId="0" borderId="0" xfId="0" applyNumberFormat="1" applyFont="1" applyAlignment="1">
      <alignment horizontal="right"/>
    </xf>
    <xf numFmtId="168" fontId="3" fillId="0" borderId="0" xfId="0" applyNumberFormat="1" applyFont="1"/>
    <xf numFmtId="4" fontId="28" fillId="0" borderId="0" xfId="0" applyNumberFormat="1" applyFont="1" applyAlignment="1">
      <alignment horizontal="right"/>
    </xf>
    <xf numFmtId="4" fontId="28" fillId="0" borderId="0" xfId="0" applyNumberFormat="1" applyFont="1"/>
    <xf numFmtId="4" fontId="28" fillId="0" borderId="3" xfId="0" applyNumberFormat="1" applyFont="1" applyBorder="1" applyAlignment="1">
      <alignment horizontal="right"/>
    </xf>
    <xf numFmtId="0" fontId="29" fillId="0" borderId="0" xfId="0" applyFont="1"/>
    <xf numFmtId="0" fontId="29" fillId="0" borderId="0" xfId="0" applyFont="1" applyAlignment="1">
      <alignment horizontal="center"/>
    </xf>
    <xf numFmtId="170" fontId="0" fillId="0" borderId="0" xfId="0" applyNumberFormat="1"/>
    <xf numFmtId="171" fontId="0" fillId="0" borderId="0" xfId="0" applyNumberFormat="1"/>
    <xf numFmtId="0" fontId="34" fillId="0" borderId="0" xfId="0" applyFont="1" applyAlignment="1">
      <alignment horizontal="left" indent="1"/>
    </xf>
    <xf numFmtId="170" fontId="35" fillId="0" borderId="0" xfId="0" applyNumberFormat="1" applyFont="1"/>
    <xf numFmtId="169" fontId="35" fillId="0" borderId="0" xfId="0" applyNumberFormat="1" applyFont="1"/>
    <xf numFmtId="0" fontId="12" fillId="0" borderId="0" xfId="0" applyFont="1" applyAlignment="1">
      <alignment horizontal="left" wrapText="1"/>
    </xf>
    <xf numFmtId="0" fontId="3" fillId="0" borderId="0" xfId="0" applyFont="1" applyAlignment="1">
      <alignment horizontal="left"/>
    </xf>
    <xf numFmtId="0" fontId="23" fillId="0" borderId="0" xfId="0" quotePrefix="1" applyFont="1" applyAlignment="1">
      <alignment horizontal="left" wrapText="1"/>
    </xf>
    <xf numFmtId="0" fontId="3" fillId="0" borderId="0" xfId="0" quotePrefix="1" applyFont="1" applyAlignment="1">
      <alignment horizontal="left" wrapText="1"/>
    </xf>
    <xf numFmtId="0" fontId="6" fillId="3" borderId="3" xfId="0" applyFont="1" applyFill="1" applyBorder="1" applyAlignment="1">
      <alignment horizontal="center"/>
    </xf>
    <xf numFmtId="0" fontId="6" fillId="4" borderId="3" xfId="0" applyFont="1" applyFill="1" applyBorder="1" applyAlignment="1">
      <alignment horizontal="center"/>
    </xf>
    <xf numFmtId="0" fontId="6" fillId="3" borderId="0" xfId="0" applyFont="1" applyFill="1" applyAlignment="1">
      <alignment horizontal="center"/>
    </xf>
    <xf numFmtId="0" fontId="6" fillId="8" borderId="0" xfId="0" applyFont="1" applyFill="1" applyAlignment="1">
      <alignment horizontal="center"/>
    </xf>
    <xf numFmtId="4" fontId="6" fillId="8" borderId="3" xfId="0" applyNumberFormat="1" applyFont="1" applyFill="1" applyBorder="1" applyAlignment="1">
      <alignment horizontal="center"/>
    </xf>
    <xf numFmtId="4" fontId="6" fillId="5" borderId="3" xfId="0" applyNumberFormat="1" applyFont="1" applyFill="1" applyBorder="1" applyAlignment="1">
      <alignment horizontal="center"/>
    </xf>
    <xf numFmtId="0" fontId="8" fillId="5" borderId="3" xfId="0" applyFont="1" applyFill="1" applyBorder="1" applyAlignment="1">
      <alignment horizontal="center"/>
    </xf>
    <xf numFmtId="0" fontId="6" fillId="8" borderId="3" xfId="0" applyFont="1" applyFill="1" applyBorder="1" applyAlignment="1">
      <alignment horizontal="center"/>
    </xf>
    <xf numFmtId="0" fontId="3" fillId="0" borderId="0" xfId="0" applyFont="1" applyAlignment="1">
      <alignment horizontal="left" wrapText="1"/>
    </xf>
    <xf numFmtId="0" fontId="3" fillId="0" borderId="0" xfId="0" quotePrefix="1" applyFont="1" applyAlignment="1">
      <alignment horizontal="left"/>
    </xf>
  </cellXfs>
  <cellStyles count="4">
    <cellStyle name="Normal 2" xfId="1" xr:uid="{00000000-0005-0000-0000-000001000000}"/>
    <cellStyle name="常规" xfId="0" builtinId="0"/>
    <cellStyle name="常规 2" xfId="3" xr:uid="{32ADA8AA-F280-4250-ABBF-7E6B9CB799DC}"/>
    <cellStyle name="超链接" xfId="2" builtinId="8"/>
  </cellStyles>
  <dxfs count="5">
    <dxf>
      <fill>
        <patternFill>
          <bgColor theme="5"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s>
  <tableStyles count="0" defaultTableStyle="TableStyleMedium2" defaultPivotStyle="PivotStyleLight16"/>
  <colors>
    <mruColors>
      <color rgb="FF0000FF"/>
      <color rgb="FFFFFFCC"/>
      <color rgb="FFB6D7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fred.stlouisfed.org/series/DPRIME" TargetMode="External"/><Relationship Id="rId3" Type="http://schemas.openxmlformats.org/officeDocument/2006/relationships/hyperlink" Target="https://tradingeconomics.com/bonds" TargetMode="External"/><Relationship Id="rId7" Type="http://schemas.openxmlformats.org/officeDocument/2006/relationships/hyperlink" Target="https://tradingeconomics.com/hong-kong/bank-lending-rate" TargetMode="External"/><Relationship Id="rId2" Type="http://schemas.openxmlformats.org/officeDocument/2006/relationships/hyperlink" Target="https://fred.stlouisfed.org/series/DGS10" TargetMode="External"/><Relationship Id="rId1" Type="http://schemas.openxmlformats.org/officeDocument/2006/relationships/hyperlink" Target="https://tradingeconomics.com/china/government-bond-yield" TargetMode="External"/><Relationship Id="rId6" Type="http://schemas.openxmlformats.org/officeDocument/2006/relationships/hyperlink" Target="https://tradingeconomics.com/hong-kong/government-bond-yield" TargetMode="External"/><Relationship Id="rId5" Type="http://schemas.openxmlformats.org/officeDocument/2006/relationships/hyperlink" Target="https://tradingeconomics.com/china/interest-rate" TargetMode="External"/><Relationship Id="rId10" Type="http://schemas.openxmlformats.org/officeDocument/2006/relationships/printerSettings" Target="../printerSettings/printerSettings4.bin"/><Relationship Id="rId4" Type="http://schemas.openxmlformats.org/officeDocument/2006/relationships/hyperlink" Target="https://fred.stlouisfed.org/series/FEDFUNDS" TargetMode="External"/><Relationship Id="rId9" Type="http://schemas.openxmlformats.org/officeDocument/2006/relationships/hyperlink" Target="https://awealthofcommonsense.com/2025/01/historical-returns-for-stocks-bonds-cash-real-estate-and-gol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3BBF0-63C3-41BD-B5E6-C3103399E754}">
  <sheetPr>
    <pageSetUpPr fitToPage="1"/>
  </sheetPr>
  <dimension ref="A1:E121"/>
  <sheetViews>
    <sheetView showGridLines="0" workbookViewId="0">
      <selection activeCell="B24" sqref="B24:E24"/>
    </sheetView>
  </sheetViews>
  <sheetFormatPr defaultColWidth="9" defaultRowHeight="11.65"/>
  <cols>
    <col min="1" max="1" width="2.6640625" style="1" customWidth="1"/>
    <col min="2" max="2" width="30" style="1" bestFit="1" customWidth="1"/>
    <col min="3" max="4" width="25.6640625" style="1" customWidth="1"/>
    <col min="5" max="5" width="10.6640625" style="1" customWidth="1"/>
    <col min="6" max="16384" width="9" style="1"/>
  </cols>
  <sheetData>
    <row r="1" spans="1:5">
      <c r="A1" s="20" t="s">
        <v>156</v>
      </c>
    </row>
    <row r="2" spans="1:5">
      <c r="A2" s="21" t="s">
        <v>52</v>
      </c>
      <c r="B2" s="21"/>
      <c r="C2" s="21"/>
      <c r="D2" s="21"/>
      <c r="E2" s="21"/>
    </row>
    <row r="4" spans="1:5" ht="24.5" customHeight="1">
      <c r="B4" s="105" t="s">
        <v>205</v>
      </c>
      <c r="C4" s="105"/>
      <c r="D4" s="105"/>
      <c r="E4" s="105"/>
    </row>
    <row r="6" spans="1:5">
      <c r="A6" s="20" t="s">
        <v>63</v>
      </c>
      <c r="B6" s="19" t="s">
        <v>188</v>
      </c>
      <c r="C6" s="60"/>
    </row>
    <row r="7" spans="1:5">
      <c r="B7" s="105" t="s">
        <v>193</v>
      </c>
      <c r="C7" s="105"/>
      <c r="D7" s="105"/>
      <c r="E7" s="105"/>
    </row>
    <row r="9" spans="1:5">
      <c r="B9" s="23" t="s">
        <v>55</v>
      </c>
    </row>
    <row r="10" spans="1:5">
      <c r="B10" s="1" t="s">
        <v>61</v>
      </c>
      <c r="C10" s="92">
        <f>Market_Yield!C16</f>
        <v>0.1174</v>
      </c>
    </row>
    <row r="11" spans="1:5">
      <c r="B11" s="1" t="s">
        <v>51</v>
      </c>
      <c r="C11" s="92">
        <f>Market_Yield!C6</f>
        <v>3.4500000000000003E-2</v>
      </c>
    </row>
    <row r="12" spans="1:5">
      <c r="C12" s="4"/>
    </row>
    <row r="13" spans="1:5">
      <c r="B13" s="23" t="s">
        <v>56</v>
      </c>
      <c r="C13" s="4"/>
    </row>
    <row r="14" spans="1:5">
      <c r="B14" s="1" t="s">
        <v>190</v>
      </c>
      <c r="C14" s="4" t="s">
        <v>191</v>
      </c>
    </row>
    <row r="15" spans="1:5">
      <c r="B15" s="1" t="s">
        <v>147</v>
      </c>
      <c r="C15" s="24" t="s">
        <v>145</v>
      </c>
    </row>
    <row r="16" spans="1:5">
      <c r="B16" s="1" t="s">
        <v>148</v>
      </c>
      <c r="C16" s="24" t="s">
        <v>146</v>
      </c>
    </row>
    <row r="18" spans="1:5">
      <c r="B18" s="23" t="s">
        <v>57</v>
      </c>
    </row>
    <row r="19" spans="1:5">
      <c r="B19" s="24" t="s">
        <v>95</v>
      </c>
    </row>
    <row r="20" spans="1:5">
      <c r="B20" s="24" t="s">
        <v>80</v>
      </c>
    </row>
    <row r="21" spans="1:5">
      <c r="B21" s="24" t="s">
        <v>189</v>
      </c>
    </row>
    <row r="23" spans="1:5">
      <c r="A23" s="25" t="s">
        <v>64</v>
      </c>
      <c r="B23" s="19" t="s">
        <v>187</v>
      </c>
      <c r="C23" s="60"/>
    </row>
    <row r="24" spans="1:5">
      <c r="A24" s="18"/>
      <c r="B24" s="105" t="s">
        <v>204</v>
      </c>
      <c r="C24" s="105"/>
      <c r="D24" s="105"/>
      <c r="E24" s="105"/>
    </row>
    <row r="25" spans="1:5">
      <c r="A25" s="18"/>
    </row>
    <row r="26" spans="1:5">
      <c r="A26" s="18"/>
      <c r="B26" s="49" t="s">
        <v>149</v>
      </c>
      <c r="C26" s="49" t="s">
        <v>143</v>
      </c>
    </row>
    <row r="27" spans="1:5">
      <c r="B27" s="26" t="s">
        <v>81</v>
      </c>
      <c r="C27" s="50">
        <v>6</v>
      </c>
    </row>
    <row r="28" spans="1:5">
      <c r="B28" s="26" t="s">
        <v>60</v>
      </c>
      <c r="C28" s="51">
        <v>0.3</v>
      </c>
    </row>
    <row r="30" spans="1:5">
      <c r="B30" s="49" t="s">
        <v>150</v>
      </c>
      <c r="C30" s="49" t="s">
        <v>143</v>
      </c>
    </row>
    <row r="31" spans="1:5">
      <c r="B31" s="26" t="s">
        <v>144</v>
      </c>
      <c r="C31" s="58">
        <f>C27-C32</f>
        <v>5</v>
      </c>
    </row>
    <row r="32" spans="1:5">
      <c r="B32" s="26" t="s">
        <v>142</v>
      </c>
      <c r="C32" s="57">
        <v>1</v>
      </c>
    </row>
    <row r="34" spans="1:5">
      <c r="A34" s="20" t="s">
        <v>65</v>
      </c>
      <c r="B34" s="19" t="s">
        <v>12</v>
      </c>
      <c r="C34" s="60"/>
      <c r="D34" s="22"/>
    </row>
    <row r="35" spans="1:5">
      <c r="B35" s="1" t="s">
        <v>13</v>
      </c>
      <c r="C35" s="47">
        <f>E36+15%</f>
        <v>0.3674</v>
      </c>
      <c r="D35" s="18" t="s">
        <v>53</v>
      </c>
      <c r="E35" s="91">
        <v>3</v>
      </c>
    </row>
    <row r="36" spans="1:5">
      <c r="B36" s="1" t="s">
        <v>14</v>
      </c>
      <c r="C36" s="48">
        <f>MAX(6%,Market_Yield!C4:D4,Market_Yield!C6:D6)</f>
        <v>7.4999999999999997E-2</v>
      </c>
      <c r="D36" s="1" t="s">
        <v>227</v>
      </c>
      <c r="E36" s="47">
        <f>benchmark+10%</f>
        <v>0.21740000000000001</v>
      </c>
    </row>
    <row r="38" spans="1:5">
      <c r="B38" s="20" t="s">
        <v>82</v>
      </c>
    </row>
    <row r="39" spans="1:5">
      <c r="B39" s="105" t="s">
        <v>151</v>
      </c>
      <c r="C39" s="105"/>
      <c r="D39" s="105"/>
      <c r="E39" s="105"/>
    </row>
    <row r="40" spans="1:5" ht="46.5" customHeight="1">
      <c r="B40" s="105" t="s">
        <v>217</v>
      </c>
      <c r="C40" s="105"/>
      <c r="D40" s="105"/>
      <c r="E40" s="105"/>
    </row>
    <row r="42" spans="1:5">
      <c r="A42" s="21" t="s">
        <v>171</v>
      </c>
      <c r="B42" s="21"/>
      <c r="C42" s="21"/>
      <c r="D42" s="21"/>
      <c r="E42" s="21"/>
    </row>
    <row r="44" spans="1:5">
      <c r="B44" s="105" t="s">
        <v>192</v>
      </c>
      <c r="C44" s="105"/>
      <c r="D44" s="105"/>
      <c r="E44" s="105"/>
    </row>
    <row r="46" spans="1:5">
      <c r="B46" s="23" t="s">
        <v>87</v>
      </c>
    </row>
    <row r="48" spans="1:5">
      <c r="B48" s="49" t="s">
        <v>88</v>
      </c>
      <c r="C48" s="49" t="s">
        <v>183</v>
      </c>
      <c r="D48" s="55"/>
      <c r="E48" s="55"/>
    </row>
    <row r="49" spans="2:5">
      <c r="B49" s="26" t="s">
        <v>84</v>
      </c>
      <c r="C49" s="29">
        <v>0.5</v>
      </c>
      <c r="D49" s="56"/>
      <c r="E49" s="54"/>
    </row>
    <row r="50" spans="2:5">
      <c r="B50" s="26" t="s">
        <v>85</v>
      </c>
      <c r="C50" s="29">
        <v>0.3</v>
      </c>
      <c r="D50" s="56"/>
      <c r="E50" s="54"/>
    </row>
    <row r="51" spans="2:5">
      <c r="B51" s="26" t="s">
        <v>86</v>
      </c>
      <c r="C51" s="29">
        <v>0.2</v>
      </c>
      <c r="D51" s="61" t="s">
        <v>206</v>
      </c>
      <c r="E51" s="54"/>
    </row>
    <row r="53" spans="2:5">
      <c r="B53" s="23" t="s">
        <v>83</v>
      </c>
    </row>
    <row r="55" spans="2:5">
      <c r="B55" s="49" t="s">
        <v>89</v>
      </c>
      <c r="C55" s="49" t="s">
        <v>90</v>
      </c>
      <c r="D55" s="49" t="s">
        <v>91</v>
      </c>
      <c r="E55" s="49" t="s">
        <v>92</v>
      </c>
    </row>
    <row r="56" spans="2:5">
      <c r="B56" s="26" t="s">
        <v>66</v>
      </c>
      <c r="C56" s="26" t="s">
        <v>72</v>
      </c>
      <c r="D56" s="26" t="s">
        <v>73</v>
      </c>
      <c r="E56" s="41">
        <v>1</v>
      </c>
    </row>
    <row r="57" spans="2:5">
      <c r="B57" s="26" t="s">
        <v>67</v>
      </c>
      <c r="C57" s="26" t="s">
        <v>70</v>
      </c>
      <c r="D57" s="26" t="s">
        <v>74</v>
      </c>
      <c r="E57" s="41">
        <v>1</v>
      </c>
    </row>
    <row r="58" spans="2:5">
      <c r="B58" s="26" t="s">
        <v>68</v>
      </c>
      <c r="C58" s="26" t="s">
        <v>231</v>
      </c>
      <c r="D58" s="26" t="s">
        <v>232</v>
      </c>
      <c r="E58" s="41">
        <v>2</v>
      </c>
    </row>
    <row r="59" spans="2:5">
      <c r="B59" s="26" t="s">
        <v>69</v>
      </c>
      <c r="C59" s="26" t="s">
        <v>71</v>
      </c>
      <c r="D59" s="26" t="s">
        <v>75</v>
      </c>
      <c r="E59" s="41">
        <v>1</v>
      </c>
    </row>
    <row r="60" spans="2:5">
      <c r="D60" s="27" t="s">
        <v>76</v>
      </c>
      <c r="E60" s="40">
        <f>SUM(E56:E59)</f>
        <v>5</v>
      </c>
    </row>
    <row r="61" spans="2:5" ht="12" thickBot="1">
      <c r="D61" s="42" t="s">
        <v>181</v>
      </c>
      <c r="E61" s="43">
        <f>IF(E60&lt;=2,C49,IF(E60&gt;=6,C51,C50))</f>
        <v>0.3</v>
      </c>
    </row>
    <row r="62" spans="2:5" ht="12" thickTop="1"/>
    <row r="63" spans="2:5">
      <c r="B63" s="23" t="s">
        <v>182</v>
      </c>
    </row>
    <row r="64" spans="2:5">
      <c r="B64" s="52" t="s">
        <v>157</v>
      </c>
      <c r="C64" s="53">
        <f>-E61*(C35-Cash_Yield)</f>
        <v>-9.9869999999999987E-2</v>
      </c>
    </row>
    <row r="65" spans="1:5">
      <c r="B65" s="52" t="s">
        <v>158</v>
      </c>
      <c r="C65" s="53">
        <f>C35+C64</f>
        <v>0.26753000000000005</v>
      </c>
    </row>
    <row r="66" spans="1:5">
      <c r="B66" s="45"/>
      <c r="C66" s="46"/>
    </row>
    <row r="67" spans="1:5">
      <c r="B67" s="39" t="s">
        <v>186</v>
      </c>
    </row>
    <row r="69" spans="1:5">
      <c r="A69" s="21" t="s">
        <v>77</v>
      </c>
      <c r="B69" s="21"/>
      <c r="C69" s="21"/>
      <c r="D69" s="21"/>
      <c r="E69" s="21"/>
    </row>
    <row r="71" spans="1:5">
      <c r="B71" s="105" t="s">
        <v>180</v>
      </c>
      <c r="C71" s="105"/>
      <c r="D71" s="105"/>
      <c r="E71" s="105"/>
    </row>
    <row r="73" spans="1:5">
      <c r="A73" s="28" t="s">
        <v>63</v>
      </c>
      <c r="B73" s="20" t="s">
        <v>162</v>
      </c>
    </row>
    <row r="74" spans="1:5">
      <c r="B74" s="24" t="s">
        <v>208</v>
      </c>
    </row>
    <row r="75" spans="1:5">
      <c r="B75" s="24" t="s">
        <v>207</v>
      </c>
    </row>
    <row r="77" spans="1:5">
      <c r="A77" s="28" t="s">
        <v>123</v>
      </c>
      <c r="B77" s="20" t="s">
        <v>161</v>
      </c>
    </row>
    <row r="78" spans="1:5">
      <c r="B78" s="39" t="s">
        <v>163</v>
      </c>
    </row>
    <row r="79" spans="1:5">
      <c r="B79" s="24" t="s">
        <v>164</v>
      </c>
    </row>
    <row r="80" spans="1:5">
      <c r="B80" s="24" t="s">
        <v>165</v>
      </c>
    </row>
    <row r="81" spans="1:5">
      <c r="B81" s="24" t="s">
        <v>172</v>
      </c>
    </row>
    <row r="83" spans="1:5">
      <c r="A83" s="28" t="s">
        <v>141</v>
      </c>
      <c r="B83" s="20" t="s">
        <v>200</v>
      </c>
    </row>
    <row r="84" spans="1:5">
      <c r="B84" s="24" t="s">
        <v>175</v>
      </c>
    </row>
    <row r="85" spans="1:5">
      <c r="B85" s="108" t="s">
        <v>176</v>
      </c>
      <c r="C85" s="108"/>
      <c r="D85" s="108"/>
      <c r="E85" s="108"/>
    </row>
    <row r="86" spans="1:5">
      <c r="B86" s="107" t="s">
        <v>174</v>
      </c>
      <c r="C86" s="107"/>
      <c r="D86" s="107"/>
      <c r="E86" s="107"/>
    </row>
    <row r="87" spans="1:5" ht="24.5" customHeight="1">
      <c r="B87" s="105" t="s">
        <v>173</v>
      </c>
      <c r="C87" s="105"/>
      <c r="D87" s="105"/>
      <c r="E87" s="105"/>
    </row>
    <row r="88" spans="1:5" ht="24.5" customHeight="1">
      <c r="B88" s="105" t="s">
        <v>209</v>
      </c>
      <c r="C88" s="105"/>
      <c r="D88" s="105"/>
      <c r="E88" s="105"/>
    </row>
    <row r="90" spans="1:5">
      <c r="B90" s="24" t="s">
        <v>178</v>
      </c>
    </row>
    <row r="91" spans="1:5">
      <c r="B91" s="1" t="s">
        <v>177</v>
      </c>
    </row>
    <row r="92" spans="1:5">
      <c r="B92" s="59" t="s">
        <v>166</v>
      </c>
    </row>
    <row r="93" spans="1:5">
      <c r="B93" s="24" t="s">
        <v>179</v>
      </c>
    </row>
    <row r="94" spans="1:5">
      <c r="B94" s="24" t="s">
        <v>167</v>
      </c>
    </row>
    <row r="96" spans="1:5">
      <c r="B96" s="24" t="s">
        <v>194</v>
      </c>
    </row>
    <row r="97" spans="1:5">
      <c r="B97" s="106" t="s">
        <v>195</v>
      </c>
      <c r="C97" s="106"/>
      <c r="D97" s="106"/>
      <c r="E97" s="106"/>
    </row>
    <row r="99" spans="1:5">
      <c r="B99" s="24" t="s">
        <v>199</v>
      </c>
    </row>
    <row r="100" spans="1:5" ht="12.4">
      <c r="B100" s="106" t="s">
        <v>196</v>
      </c>
      <c r="C100" s="106"/>
      <c r="D100" s="106"/>
      <c r="E100" s="106"/>
    </row>
    <row r="101" spans="1:5" ht="58.5" customHeight="1">
      <c r="B101" s="105" t="s">
        <v>203</v>
      </c>
      <c r="C101" s="105"/>
      <c r="D101" s="105"/>
      <c r="E101" s="105"/>
    </row>
    <row r="103" spans="1:5">
      <c r="A103" s="28" t="s">
        <v>169</v>
      </c>
      <c r="B103" s="20" t="s">
        <v>168</v>
      </c>
    </row>
    <row r="104" spans="1:5">
      <c r="B104" s="1" t="s">
        <v>184</v>
      </c>
    </row>
    <row r="105" spans="1:5">
      <c r="B105" s="1" t="s">
        <v>185</v>
      </c>
    </row>
    <row r="107" spans="1:5">
      <c r="B107" s="1" t="s">
        <v>170</v>
      </c>
    </row>
    <row r="108" spans="1:5">
      <c r="B108" s="1" t="s">
        <v>197</v>
      </c>
    </row>
    <row r="110" spans="1:5">
      <c r="B110" s="23" t="s">
        <v>152</v>
      </c>
    </row>
    <row r="111" spans="1:5">
      <c r="B111" s="1" t="s">
        <v>159</v>
      </c>
      <c r="C111" s="44">
        <v>0.30000000000000004</v>
      </c>
    </row>
    <row r="112" spans="1:5">
      <c r="B112" s="1" t="s">
        <v>160</v>
      </c>
      <c r="C112" s="44">
        <v>0.17533904933787436</v>
      </c>
      <c r="D112" s="60" t="str">
        <f>IF(C112&lt;benchmark,"Warning: Return is lower than the Benchmark.","")</f>
        <v/>
      </c>
    </row>
    <row r="114" spans="1:5" ht="24.5" customHeight="1">
      <c r="B114" s="105" t="s">
        <v>201</v>
      </c>
      <c r="C114" s="105"/>
      <c r="D114" s="105"/>
      <c r="E114" s="105"/>
    </row>
    <row r="116" spans="1:5">
      <c r="A116" s="21" t="s">
        <v>78</v>
      </c>
      <c r="B116" s="21"/>
      <c r="C116" s="21"/>
      <c r="D116" s="21"/>
      <c r="E116" s="21"/>
    </row>
    <row r="118" spans="1:5">
      <c r="B118" s="20" t="s">
        <v>79</v>
      </c>
    </row>
    <row r="119" spans="1:5">
      <c r="B119" s="24" t="s">
        <v>93</v>
      </c>
    </row>
    <row r="120" spans="1:5">
      <c r="B120" s="24" t="s">
        <v>94</v>
      </c>
    </row>
    <row r="121" spans="1:5">
      <c r="B121" s="24" t="s">
        <v>202</v>
      </c>
    </row>
  </sheetData>
  <mergeCells count="15">
    <mergeCell ref="B86:E86"/>
    <mergeCell ref="B71:E71"/>
    <mergeCell ref="B85:E85"/>
    <mergeCell ref="B44:E44"/>
    <mergeCell ref="B4:E4"/>
    <mergeCell ref="B7:E7"/>
    <mergeCell ref="B24:E24"/>
    <mergeCell ref="B39:E39"/>
    <mergeCell ref="B40:E40"/>
    <mergeCell ref="B114:E114"/>
    <mergeCell ref="B97:E97"/>
    <mergeCell ref="B100:E100"/>
    <mergeCell ref="B101:E101"/>
    <mergeCell ref="B87:E87"/>
    <mergeCell ref="B88:E88"/>
  </mergeCells>
  <phoneticPr fontId="17" type="noConversion"/>
  <pageMargins left="0.25" right="0.25" top="0.75" bottom="0.75" header="0.3" footer="0.3"/>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358"/>
  <sheetViews>
    <sheetView showGridLines="0" zoomScale="116" zoomScaleNormal="100" workbookViewId="0">
      <pane xSplit="3" ySplit="2" topLeftCell="D3" activePane="bottomRight" state="frozen"/>
      <selection pane="topRight" activeCell="D1" sqref="D1"/>
      <selection pane="bottomLeft" activeCell="A5" sqref="A5"/>
      <selection pane="bottomRight" activeCell="C17" sqref="C17"/>
    </sheetView>
  </sheetViews>
  <sheetFormatPr defaultColWidth="8.796875" defaultRowHeight="11.65"/>
  <cols>
    <col min="1" max="1" width="2.46484375" style="1" customWidth="1"/>
    <col min="2" max="2" width="10.6640625" style="1" customWidth="1"/>
    <col min="3" max="3" width="18.6640625" style="1" customWidth="1"/>
    <col min="4" max="4" width="8.6640625" style="2" customWidth="1"/>
    <col min="5" max="5" width="5.6640625" style="1" customWidth="1"/>
    <col min="6" max="9" width="8.6640625" style="15" customWidth="1"/>
    <col min="10" max="14" width="8.6640625" style="2" customWidth="1"/>
    <col min="15" max="18" width="8.6640625" style="1" customWidth="1"/>
    <col min="19" max="19" width="8.6640625" style="94" customWidth="1"/>
    <col min="20" max="20" width="8.6640625" style="93" customWidth="1"/>
    <col min="21" max="21" width="8.6640625" style="15" customWidth="1"/>
    <col min="22" max="22" width="8.6640625" style="90" customWidth="1"/>
    <col min="23" max="23" width="8.6640625" style="85" customWidth="1"/>
    <col min="24" max="24" width="8.6640625" style="1" customWidth="1"/>
    <col min="25" max="25" width="20.6640625" style="1" bestFit="1" customWidth="1"/>
    <col min="26" max="26" width="11.796875" style="3" bestFit="1" customWidth="1"/>
    <col min="27" max="27" width="8.796875" style="11"/>
    <col min="28" max="16384" width="8.796875" style="1"/>
  </cols>
  <sheetData>
    <row r="1" spans="1:27">
      <c r="A1" s="5"/>
      <c r="B1" s="6" t="s">
        <v>3</v>
      </c>
      <c r="C1" s="11"/>
      <c r="D1" s="111" t="s">
        <v>1</v>
      </c>
      <c r="E1" s="111"/>
      <c r="F1" s="111"/>
      <c r="G1" s="112" t="s">
        <v>96</v>
      </c>
      <c r="H1" s="112"/>
      <c r="I1" s="112"/>
      <c r="J1" s="114" t="s">
        <v>4</v>
      </c>
      <c r="K1" s="114"/>
      <c r="L1" s="114"/>
      <c r="M1" s="113" t="s">
        <v>229</v>
      </c>
      <c r="N1" s="113"/>
      <c r="O1" s="109" t="s">
        <v>8</v>
      </c>
      <c r="P1" s="109"/>
      <c r="Q1" s="116" t="s">
        <v>280</v>
      </c>
      <c r="R1" s="116"/>
      <c r="S1" s="116"/>
      <c r="T1" s="116"/>
      <c r="U1" s="115" t="s">
        <v>276</v>
      </c>
      <c r="V1" s="115"/>
      <c r="W1" s="115"/>
      <c r="X1" s="110" t="s">
        <v>50</v>
      </c>
      <c r="Y1" s="110"/>
      <c r="Z1" s="110"/>
      <c r="AA1" s="110"/>
    </row>
    <row r="2" spans="1:27" ht="26" customHeight="1">
      <c r="B2" s="7" t="s">
        <v>2</v>
      </c>
      <c r="C2" s="7" t="s">
        <v>0</v>
      </c>
      <c r="D2" s="8" t="s">
        <v>1</v>
      </c>
      <c r="E2" s="7" t="s">
        <v>272</v>
      </c>
      <c r="F2" s="7" t="s">
        <v>271</v>
      </c>
      <c r="G2" s="7" t="s">
        <v>58</v>
      </c>
      <c r="H2" s="7" t="s">
        <v>59</v>
      </c>
      <c r="I2" s="7" t="s">
        <v>198</v>
      </c>
      <c r="J2" s="8" t="s">
        <v>7</v>
      </c>
      <c r="K2" s="8" t="s">
        <v>10</v>
      </c>
      <c r="L2" s="8" t="s">
        <v>270</v>
      </c>
      <c r="M2" s="8" t="s">
        <v>228</v>
      </c>
      <c r="N2" s="8" t="s">
        <v>269</v>
      </c>
      <c r="O2" s="7" t="s">
        <v>11</v>
      </c>
      <c r="P2" s="7" t="s">
        <v>6</v>
      </c>
      <c r="Q2" s="7" t="s">
        <v>277</v>
      </c>
      <c r="R2" s="7" t="s">
        <v>283</v>
      </c>
      <c r="S2" s="7" t="s">
        <v>278</v>
      </c>
      <c r="T2" s="7" t="s">
        <v>279</v>
      </c>
      <c r="U2" s="7" t="s">
        <v>224</v>
      </c>
      <c r="V2" s="7" t="s">
        <v>226</v>
      </c>
      <c r="W2" s="7" t="s">
        <v>225</v>
      </c>
      <c r="X2" s="7" t="s">
        <v>5</v>
      </c>
      <c r="Y2" s="7" t="s">
        <v>275</v>
      </c>
      <c r="Z2" s="9" t="s">
        <v>9</v>
      </c>
      <c r="AA2" s="10" t="s">
        <v>49</v>
      </c>
    </row>
    <row r="3" spans="1:27">
      <c r="B3" s="11" t="s">
        <v>287</v>
      </c>
      <c r="C3" s="11" t="s">
        <v>288</v>
      </c>
      <c r="D3" s="2">
        <v>2.69</v>
      </c>
      <c r="E3" s="12" t="s">
        <v>153</v>
      </c>
      <c r="F3" s="15">
        <v>0.27199281553693067</v>
      </c>
      <c r="G3" s="15">
        <f>F3 - Portfolio_Mgmt!$C$10</f>
        <v>0.15459281553693066</v>
      </c>
      <c r="H3" s="15">
        <f>F3 - Portfolio_Mgmt!$C$11</f>
        <v>0.23749281553693066</v>
      </c>
      <c r="I3" s="15">
        <v>0.22209538557724331</v>
      </c>
      <c r="J3" s="2">
        <v>2.2019752270440667</v>
      </c>
      <c r="K3" s="2">
        <v>4.4858408799140586</v>
      </c>
      <c r="L3" s="85">
        <v>4.3130669791905083</v>
      </c>
      <c r="M3" s="2">
        <v>3.039853505232323</v>
      </c>
      <c r="N3" s="2">
        <v>3.8666759160925035</v>
      </c>
      <c r="O3" s="4">
        <v>7.9724725033409882E-2</v>
      </c>
      <c r="P3" s="4">
        <v>0.10037174721189591</v>
      </c>
      <c r="Q3" s="4">
        <v>0.10048924474005361</v>
      </c>
      <c r="R3" s="4">
        <v>0.42143224397986156</v>
      </c>
      <c r="S3" s="94">
        <v>0.19639123104483397</v>
      </c>
      <c r="T3" s="93">
        <v>1.2141426890285656</v>
      </c>
      <c r="U3" s="15">
        <v>2.3107986944995245E-3</v>
      </c>
      <c r="V3" s="90">
        <v>2.3228129203780753E-2</v>
      </c>
      <c r="W3" s="85">
        <v>0.79833937207218564</v>
      </c>
      <c r="X3" s="13" t="s">
        <v>289</v>
      </c>
      <c r="Y3" s="11" t="s">
        <v>154</v>
      </c>
      <c r="Z3" s="14">
        <v>45900</v>
      </c>
      <c r="AA3" s="16" t="s">
        <v>281</v>
      </c>
    </row>
    <row r="4" spans="1:27">
      <c r="B4" s="11" t="s">
        <v>256</v>
      </c>
      <c r="C4" s="11" t="s">
        <v>257</v>
      </c>
      <c r="D4" s="2">
        <v>1.99</v>
      </c>
      <c r="E4" s="12" t="s">
        <v>153</v>
      </c>
      <c r="F4" s="15">
        <v>0.22075936403533269</v>
      </c>
      <c r="G4" s="15">
        <f>F4 - Portfolio_Mgmt!$C$10</f>
        <v>0.10335936403533269</v>
      </c>
      <c r="H4" s="15">
        <f>F4 - Portfolio_Mgmt!$C$11</f>
        <v>0.18625936403533269</v>
      </c>
      <c r="I4" s="15">
        <v>0.18026077629450138</v>
      </c>
      <c r="J4" s="2">
        <v>1.4344998625246426</v>
      </c>
      <c r="K4" s="2">
        <v>3.2862980871825522</v>
      </c>
      <c r="L4" s="85">
        <v>2.8793876964252627</v>
      </c>
      <c r="M4" s="2">
        <v>2.0059433277310297</v>
      </c>
      <c r="N4" s="2">
        <v>2.5726225898672386</v>
      </c>
      <c r="O4" s="4">
        <v>6.7833978728865568E-2</v>
      </c>
      <c r="P4" s="4">
        <v>4.522613065326634E-2</v>
      </c>
      <c r="Q4" s="4">
        <v>4.7832973362251327E-2</v>
      </c>
      <c r="R4" s="4">
        <v>7.8104812973574481E-2</v>
      </c>
      <c r="S4" s="94">
        <v>0.49619793491400876</v>
      </c>
      <c r="T4" s="93">
        <v>1.2342258232843137</v>
      </c>
      <c r="U4" s="15">
        <v>0.10863424600069688</v>
      </c>
      <c r="V4" s="90">
        <v>2.2824569622635926</v>
      </c>
      <c r="W4" s="85">
        <v>1.8471306498375326</v>
      </c>
      <c r="X4" s="13" t="s">
        <v>258</v>
      </c>
      <c r="Y4" s="11" t="s">
        <v>154</v>
      </c>
      <c r="Z4" s="14">
        <v>45900</v>
      </c>
      <c r="AA4" s="16" t="s">
        <v>281</v>
      </c>
    </row>
    <row r="5" spans="1:27">
      <c r="B5" s="11" t="s">
        <v>267</v>
      </c>
      <c r="C5" s="11" t="s">
        <v>268</v>
      </c>
      <c r="D5" s="2">
        <v>18.2</v>
      </c>
      <c r="E5" s="12" t="s">
        <v>153</v>
      </c>
      <c r="F5" s="15">
        <v>0.2206254654422366</v>
      </c>
      <c r="G5" s="15">
        <f>F5 - Portfolio_Mgmt!$C$10</f>
        <v>0.1032254654422366</v>
      </c>
      <c r="H5" s="15">
        <f>F5 - Portfolio_Mgmt!$C$11</f>
        <v>0.1861254654422366</v>
      </c>
      <c r="I5" s="15">
        <v>0.18015144156959984</v>
      </c>
      <c r="J5" s="2">
        <v>13.205422300699611</v>
      </c>
      <c r="K5" s="2">
        <v>28.423993628137147</v>
      </c>
      <c r="L5" s="85">
        <v>26.156856530881274</v>
      </c>
      <c r="M5" s="2">
        <v>18.337300584497786</v>
      </c>
      <c r="N5" s="2">
        <v>23.413072782636526</v>
      </c>
      <c r="O5" s="4">
        <v>0.11363650465530026</v>
      </c>
      <c r="P5" s="4">
        <v>6.9230769230769235E-2</v>
      </c>
      <c r="Q5" s="4">
        <v>0.16035109536268838</v>
      </c>
      <c r="R5" s="4">
        <v>0.31929962351402291</v>
      </c>
      <c r="S5" s="94">
        <v>0.35631048934895165</v>
      </c>
      <c r="T5" s="93">
        <v>1.4094345614568822</v>
      </c>
      <c r="U5" s="15">
        <v>0.12260820136742831</v>
      </c>
      <c r="V5" s="90">
        <v>0.75207444874659302</v>
      </c>
      <c r="W5" s="85">
        <v>-0.45826628536842867</v>
      </c>
      <c r="X5" s="13" t="s">
        <v>218</v>
      </c>
      <c r="Y5" s="11" t="s">
        <v>154</v>
      </c>
      <c r="Z5" s="14">
        <v>45900</v>
      </c>
      <c r="AA5" s="16" t="s">
        <v>281</v>
      </c>
    </row>
    <row r="6" spans="1:27">
      <c r="B6" s="11" t="s">
        <v>219</v>
      </c>
      <c r="C6" s="11" t="s">
        <v>249</v>
      </c>
      <c r="D6" s="2">
        <v>15.34</v>
      </c>
      <c r="E6" s="12" t="s">
        <v>153</v>
      </c>
      <c r="F6" s="15">
        <v>0.21312400503113826</v>
      </c>
      <c r="G6" s="15">
        <f>F6 - Portfolio_Mgmt!$C$10</f>
        <v>9.572400503113826E-2</v>
      </c>
      <c r="H6" s="15">
        <f>F6 - Portfolio_Mgmt!$C$11</f>
        <v>0.17862400503113826</v>
      </c>
      <c r="I6" s="15">
        <v>0.1174923965586554</v>
      </c>
      <c r="J6" s="2">
        <v>10.815599169312769</v>
      </c>
      <c r="K6" s="2">
        <v>25.613007191602325</v>
      </c>
      <c r="L6" s="85">
        <v>21.869291517229851</v>
      </c>
      <c r="M6" s="2">
        <v>15.182840115395532</v>
      </c>
      <c r="N6" s="2">
        <v>19.519758327401224</v>
      </c>
      <c r="O6" s="4">
        <v>6.6724191261390522E-2</v>
      </c>
      <c r="P6" s="4">
        <v>3.1380442856056207E-2</v>
      </c>
      <c r="Q6" s="4">
        <v>0.12359664322190862</v>
      </c>
      <c r="R6" s="4">
        <v>0.12331904686939428</v>
      </c>
      <c r="S6" s="94">
        <v>0.73266920679685343</v>
      </c>
      <c r="T6" s="93">
        <v>1.3679448142367923</v>
      </c>
      <c r="U6" s="15">
        <v>7.4171010848313429E-2</v>
      </c>
      <c r="V6" s="90">
        <v>0.60402076709908736</v>
      </c>
      <c r="W6" s="85">
        <v>4.6094187480588218</v>
      </c>
      <c r="X6" s="13" t="s">
        <v>238</v>
      </c>
      <c r="Y6" s="11" t="s">
        <v>154</v>
      </c>
      <c r="Z6" s="14">
        <v>45900</v>
      </c>
      <c r="AA6" s="16" t="s">
        <v>281</v>
      </c>
    </row>
    <row r="7" spans="1:27">
      <c r="B7" s="11" t="s">
        <v>262</v>
      </c>
      <c r="C7" s="11" t="s">
        <v>273</v>
      </c>
      <c r="D7" s="2">
        <v>21.9</v>
      </c>
      <c r="E7" s="12" t="s">
        <v>263</v>
      </c>
      <c r="F7" s="15">
        <v>0.16575312216238114</v>
      </c>
      <c r="G7" s="15">
        <f>F7 - Portfolio_Mgmt!$C$10</f>
        <v>4.8353122162381135E-2</v>
      </c>
      <c r="H7" s="15">
        <f>F7 - Portfolio_Mgmt!$C$11</f>
        <v>0.13125312216238114</v>
      </c>
      <c r="I7" s="15">
        <v>0</v>
      </c>
      <c r="J7" s="2">
        <v>13.685702538649531</v>
      </c>
      <c r="K7" s="2">
        <v>33.230161875234657</v>
      </c>
      <c r="L7" s="85">
        <v>27.829540483416785</v>
      </c>
      <c r="M7" s="2">
        <v>19.269562535958798</v>
      </c>
      <c r="N7" s="2">
        <v>24.820548736528732</v>
      </c>
      <c r="O7" s="4">
        <v>0.20817176015242897</v>
      </c>
      <c r="P7" s="4">
        <v>1.8973515981735162E-2</v>
      </c>
      <c r="Q7" s="4">
        <v>0.18752610102828118</v>
      </c>
      <c r="R7" s="4">
        <v>0.23497655430253014</v>
      </c>
      <c r="S7" s="94">
        <v>0.32112750263435197</v>
      </c>
      <c r="T7" s="93">
        <v>2.4851905363915479</v>
      </c>
      <c r="U7" s="15">
        <v>0.95241105291674188</v>
      </c>
      <c r="V7" s="90">
        <v>4.0148803043206254</v>
      </c>
      <c r="W7" s="85">
        <v>-38.360607814419353</v>
      </c>
      <c r="X7" s="13" t="s">
        <v>264</v>
      </c>
      <c r="Y7" s="11" t="s">
        <v>154</v>
      </c>
      <c r="Z7" s="14">
        <v>45900</v>
      </c>
      <c r="AA7" s="16" t="s">
        <v>282</v>
      </c>
    </row>
    <row r="8" spans="1:27">
      <c r="B8" s="11" t="s">
        <v>236</v>
      </c>
      <c r="C8" s="11" t="s">
        <v>237</v>
      </c>
      <c r="D8" s="2">
        <v>55.8</v>
      </c>
      <c r="E8" s="12" t="s">
        <v>153</v>
      </c>
      <c r="F8" s="15">
        <v>0.16488223886474151</v>
      </c>
      <c r="G8" s="15">
        <f>F8 - Portfolio_Mgmt!$C$10</f>
        <v>4.7482238864741511E-2</v>
      </c>
      <c r="H8" s="15">
        <f>F8 - Portfolio_Mgmt!$C$11</f>
        <v>0.13038223886474151</v>
      </c>
      <c r="I8" s="15">
        <v>0</v>
      </c>
      <c r="J8" s="2">
        <v>35.925415515890386</v>
      </c>
      <c r="K8" s="2">
        <v>70.234509988296864</v>
      </c>
      <c r="L8" s="85">
        <v>69.803503405373107</v>
      </c>
      <c r="M8" s="2">
        <v>49.387813192480067</v>
      </c>
      <c r="N8" s="2">
        <v>62.65005424048384</v>
      </c>
      <c r="O8" s="4">
        <v>9.5303570131671872E-2</v>
      </c>
      <c r="P8" s="4">
        <v>9.1431003584229412E-2</v>
      </c>
      <c r="Q8" s="4">
        <v>0.32755394896836565</v>
      </c>
      <c r="R8" s="4">
        <v>8.9976704126159421E-2</v>
      </c>
      <c r="S8" s="94">
        <v>1.5891874956485419</v>
      </c>
      <c r="T8" s="93">
        <v>2.2907496012759174</v>
      </c>
      <c r="U8" s="15">
        <v>0.24768740031897937</v>
      </c>
      <c r="V8" s="90">
        <v>0.73855199466278643</v>
      </c>
      <c r="W8" s="85">
        <v>-2.6744866808105301</v>
      </c>
      <c r="X8" s="13" t="s">
        <v>241</v>
      </c>
      <c r="Y8" s="11" t="s">
        <v>154</v>
      </c>
      <c r="Z8" s="14">
        <v>45808</v>
      </c>
      <c r="AA8" s="16" t="s">
        <v>281</v>
      </c>
    </row>
    <row r="9" spans="1:27">
      <c r="B9" s="11" t="s">
        <v>239</v>
      </c>
      <c r="C9" s="11" t="s">
        <v>240</v>
      </c>
      <c r="D9" s="2">
        <v>50.65</v>
      </c>
      <c r="E9" s="12" t="s">
        <v>153</v>
      </c>
      <c r="F9" s="15">
        <v>0.16139924149762863</v>
      </c>
      <c r="G9" s="15">
        <f>F9 - Portfolio_Mgmt!$C$10</f>
        <v>4.3999241497628627E-2</v>
      </c>
      <c r="H9" s="15">
        <f>F9 - Portfolio_Mgmt!$C$11</f>
        <v>0.12689924149762863</v>
      </c>
      <c r="I9" s="15">
        <v>0</v>
      </c>
      <c r="J9" s="2">
        <v>31.548853367091088</v>
      </c>
      <c r="K9" s="2">
        <v>72.989037726323929</v>
      </c>
      <c r="L9" s="85">
        <v>63.46264664962284</v>
      </c>
      <c r="M9" s="2">
        <v>44.16676904360078</v>
      </c>
      <c r="N9" s="2">
        <v>56.684687444136223</v>
      </c>
      <c r="O9" s="4">
        <v>4.5546153188747329E-2</v>
      </c>
      <c r="P9" s="4">
        <v>3.5753642642439847E-2</v>
      </c>
      <c r="Q9" s="4">
        <v>0.13507591778949038</v>
      </c>
      <c r="R9" s="4">
        <v>0.12563568222497271</v>
      </c>
      <c r="S9" s="94">
        <v>0.62432788948992113</v>
      </c>
      <c r="T9" s="93">
        <v>1.7220755031358876</v>
      </c>
      <c r="U9" s="15">
        <v>9.5579625064196368E-3</v>
      </c>
      <c r="V9" s="90">
        <v>7.3592411949940734E-2</v>
      </c>
      <c r="W9" s="85">
        <v>1.3589450968407313</v>
      </c>
      <c r="X9" s="13" t="s">
        <v>238</v>
      </c>
      <c r="Y9" s="11" t="s">
        <v>154</v>
      </c>
      <c r="Z9" s="14">
        <v>45900</v>
      </c>
      <c r="AA9" s="16" t="s">
        <v>282</v>
      </c>
    </row>
    <row r="10" spans="1:27">
      <c r="B10" s="11" t="s">
        <v>265</v>
      </c>
      <c r="C10" s="11" t="s">
        <v>274</v>
      </c>
      <c r="D10" s="2">
        <v>25.79</v>
      </c>
      <c r="E10" s="12" t="s">
        <v>263</v>
      </c>
      <c r="F10" s="15">
        <v>0.1580581060854378</v>
      </c>
      <c r="G10" s="15">
        <f>F10 - Portfolio_Mgmt!$C$10</f>
        <v>4.0658106085437795E-2</v>
      </c>
      <c r="H10" s="15">
        <f>F10 - Portfolio_Mgmt!$C$11</f>
        <v>0.1235581060854378</v>
      </c>
      <c r="I10" s="15">
        <v>0</v>
      </c>
      <c r="J10" s="2">
        <v>15.989209461106965</v>
      </c>
      <c r="K10" s="2">
        <v>36.134621832566509</v>
      </c>
      <c r="L10" s="85">
        <v>31.999534598013469</v>
      </c>
      <c r="M10" s="2">
        <v>22.32380510445234</v>
      </c>
      <c r="N10" s="2">
        <v>28.601981247202922</v>
      </c>
      <c r="O10" s="4">
        <v>9.8455502418883206E-2</v>
      </c>
      <c r="P10" s="4">
        <v>4.3427685149282663E-2</v>
      </c>
      <c r="Q10" s="4">
        <v>8.3350635997632802E-2</v>
      </c>
      <c r="R10" s="4">
        <v>0.15660042549334799</v>
      </c>
      <c r="S10" s="94">
        <v>0.29736257886212014</v>
      </c>
      <c r="T10" s="93">
        <v>1.7899036999493159</v>
      </c>
      <c r="U10" s="15">
        <v>0.40281804358844397</v>
      </c>
      <c r="V10" s="90">
        <v>3.955391512509995</v>
      </c>
      <c r="W10" s="85">
        <v>-26.938493611476797</v>
      </c>
      <c r="X10" s="16" t="s">
        <v>266</v>
      </c>
      <c r="Y10" s="11" t="s">
        <v>154</v>
      </c>
      <c r="Z10" s="14">
        <v>45900</v>
      </c>
      <c r="AA10" s="16" t="s">
        <v>282</v>
      </c>
    </row>
    <row r="11" spans="1:27">
      <c r="B11" s="11" t="s">
        <v>284</v>
      </c>
      <c r="C11" s="11" t="s">
        <v>285</v>
      </c>
      <c r="D11" s="2">
        <v>5.64</v>
      </c>
      <c r="E11" s="12" t="s">
        <v>153</v>
      </c>
      <c r="F11" s="15">
        <v>0.15172626756600405</v>
      </c>
      <c r="G11" s="15">
        <f>F11 - Portfolio_Mgmt!$C$10</f>
        <v>3.4326267566004043E-2</v>
      </c>
      <c r="H11" s="15">
        <f>F11 - Portfolio_Mgmt!$C$11</f>
        <v>0.11722626756600404</v>
      </c>
      <c r="I11" s="15">
        <v>0</v>
      </c>
      <c r="J11" s="2">
        <v>3.4769479145113666</v>
      </c>
      <c r="K11" s="2">
        <v>7.3642693066239637</v>
      </c>
      <c r="L11" s="85">
        <v>6.8641356814360206</v>
      </c>
      <c r="M11" s="2">
        <v>4.8197379854720408</v>
      </c>
      <c r="N11" s="2">
        <v>6.1469536878205542</v>
      </c>
      <c r="O11" s="4">
        <v>6.5496832330582455E-2</v>
      </c>
      <c r="P11" s="4">
        <v>6.3829787234042548E-2</v>
      </c>
      <c r="Q11" s="4">
        <v>7.0630420943605887E-2</v>
      </c>
      <c r="R11" s="4">
        <v>9.3039179367971361E-2</v>
      </c>
      <c r="S11" s="94">
        <v>0.62627525695225639</v>
      </c>
      <c r="T11" s="93">
        <v>1.2121620122817016</v>
      </c>
      <c r="U11" s="15">
        <v>1.1610019159010268E-2</v>
      </c>
      <c r="V11" s="90">
        <v>0.16381589511191816</v>
      </c>
      <c r="W11" s="85">
        <v>3.7980767021052162</v>
      </c>
      <c r="X11" s="13" t="s">
        <v>286</v>
      </c>
      <c r="Y11" s="11" t="s">
        <v>154</v>
      </c>
      <c r="Z11" s="14">
        <v>45900</v>
      </c>
      <c r="AA11" s="16" t="s">
        <v>281</v>
      </c>
    </row>
    <row r="12" spans="1:27">
      <c r="B12" s="11" t="s">
        <v>250</v>
      </c>
      <c r="C12" s="11" t="s">
        <v>251</v>
      </c>
      <c r="D12" s="2">
        <v>14.16</v>
      </c>
      <c r="E12" s="12" t="s">
        <v>153</v>
      </c>
      <c r="F12" s="15">
        <v>0.14992546121868622</v>
      </c>
      <c r="G12" s="15">
        <f>F12 - Portfolio_Mgmt!$C$10</f>
        <v>3.2525461218686214E-2</v>
      </c>
      <c r="H12" s="15">
        <f>F12 - Portfolio_Mgmt!$C$11</f>
        <v>0.11542546121868622</v>
      </c>
      <c r="I12" s="15">
        <v>0</v>
      </c>
      <c r="J12" s="2">
        <v>8.673629740920477</v>
      </c>
      <c r="K12" s="2">
        <v>18.604352969562942</v>
      </c>
      <c r="L12" s="85">
        <v>17.16796851130125</v>
      </c>
      <c r="M12" s="2">
        <v>12.039782032434532</v>
      </c>
      <c r="N12" s="2">
        <v>15.368645802121934</v>
      </c>
      <c r="O12" s="4">
        <v>0.10968132403342014</v>
      </c>
      <c r="P12" s="4">
        <v>5.9532669491525428E-2</v>
      </c>
      <c r="Q12" s="4">
        <v>0.26418096924803175</v>
      </c>
      <c r="R12" s="4">
        <v>0.11373783578225743</v>
      </c>
      <c r="S12" s="94">
        <v>0.70652858717908329</v>
      </c>
      <c r="T12" s="93">
        <v>3.2875080906148866</v>
      </c>
      <c r="U12" s="15">
        <v>1.5035598705501618</v>
      </c>
      <c r="V12" s="90">
        <v>4.1998196571663646</v>
      </c>
      <c r="W12" s="85">
        <v>-12.276561128802012</v>
      </c>
      <c r="X12" s="13" t="s">
        <v>238</v>
      </c>
      <c r="Y12" s="11" t="s">
        <v>252</v>
      </c>
      <c r="Z12" s="14">
        <v>45900</v>
      </c>
      <c r="AA12" s="16" t="s">
        <v>282</v>
      </c>
    </row>
    <row r="13" spans="1:27">
      <c r="B13" s="11" t="s">
        <v>244</v>
      </c>
      <c r="C13" s="11" t="s">
        <v>245</v>
      </c>
      <c r="D13" s="2">
        <v>3.76</v>
      </c>
      <c r="E13" s="12" t="s">
        <v>153</v>
      </c>
      <c r="F13" s="15">
        <v>0.1465876659198535</v>
      </c>
      <c r="G13" s="15">
        <f>F13 - Portfolio_Mgmt!$C$10</f>
        <v>2.91876659198535E-2</v>
      </c>
      <c r="H13" s="15">
        <f>F13 - Portfolio_Mgmt!$C$11</f>
        <v>0.1120876659198535</v>
      </c>
      <c r="I13" s="15">
        <v>0</v>
      </c>
      <c r="J13" s="2">
        <v>2.2556276815093281</v>
      </c>
      <c r="K13" s="2">
        <v>5.2246962590200807</v>
      </c>
      <c r="L13" s="2">
        <v>4.5385417708791076</v>
      </c>
      <c r="M13" s="2">
        <v>3.1582019073444916</v>
      </c>
      <c r="N13" s="2">
        <v>4.0536685441183486</v>
      </c>
      <c r="O13" s="4">
        <v>7.5521951437150139E-2</v>
      </c>
      <c r="P13" s="4">
        <v>3.4042553191489362E-2</v>
      </c>
      <c r="Q13" s="4">
        <v>0.10112859174992994</v>
      </c>
      <c r="R13" s="4">
        <v>5.8835781303360896E-2</v>
      </c>
      <c r="S13" s="94">
        <v>1.2277297326073906</v>
      </c>
      <c r="T13" s="93">
        <v>1.4000052396569989</v>
      </c>
      <c r="U13" s="15">
        <v>0.10646655543311496</v>
      </c>
      <c r="V13" s="90">
        <v>0.9804830051022897</v>
      </c>
      <c r="W13" s="85">
        <v>1.6698226477450393</v>
      </c>
      <c r="X13" s="13" t="s">
        <v>246</v>
      </c>
      <c r="Y13" s="11" t="s">
        <v>154</v>
      </c>
      <c r="Z13" s="14">
        <v>45808</v>
      </c>
      <c r="AA13" s="16" t="s">
        <v>281</v>
      </c>
    </row>
    <row r="14" spans="1:27">
      <c r="B14" s="11" t="s">
        <v>242</v>
      </c>
      <c r="C14" s="11" t="s">
        <v>243</v>
      </c>
      <c r="D14" s="2">
        <v>7</v>
      </c>
      <c r="E14" s="12" t="s">
        <v>153</v>
      </c>
      <c r="F14" s="15">
        <v>0.13626554530769597</v>
      </c>
      <c r="G14" s="15">
        <f>F14 - Portfolio_Mgmt!$C$10</f>
        <v>1.8865545307695963E-2</v>
      </c>
      <c r="H14" s="15">
        <f>F14 - Portfolio_Mgmt!$C$11</f>
        <v>0.10176554530769596</v>
      </c>
      <c r="I14" s="15">
        <v>0</v>
      </c>
      <c r="J14" s="2">
        <v>4.1425095190074117</v>
      </c>
      <c r="K14" s="2">
        <v>8.9060030795384737</v>
      </c>
      <c r="L14" s="2">
        <v>8.2033288760043543</v>
      </c>
      <c r="M14" s="2">
        <v>5.7516264485219777</v>
      </c>
      <c r="N14" s="2">
        <v>7.3430724473298525</v>
      </c>
      <c r="O14" s="4">
        <v>0.11258687777660091</v>
      </c>
      <c r="P14" s="4">
        <v>5.6820794194798581E-2</v>
      </c>
      <c r="Q14" s="4">
        <v>0.12477871842229639</v>
      </c>
      <c r="R14" s="4">
        <v>7.7304831872868032E-2</v>
      </c>
      <c r="S14" s="94">
        <v>1.0025080757150273</v>
      </c>
      <c r="T14" s="93">
        <v>1.6100746083165727</v>
      </c>
      <c r="U14" s="15">
        <v>0.16360901428944893</v>
      </c>
      <c r="V14" s="90">
        <v>1.1309485990394448</v>
      </c>
      <c r="W14" s="85">
        <v>-3.8795591320307818</v>
      </c>
      <c r="X14" s="13" t="s">
        <v>218</v>
      </c>
      <c r="Y14" s="11" t="s">
        <v>154</v>
      </c>
      <c r="Z14" s="14">
        <v>45900</v>
      </c>
      <c r="AA14" s="16" t="s">
        <v>281</v>
      </c>
    </row>
    <row r="15" spans="1:27">
      <c r="B15" s="11" t="s">
        <v>155</v>
      </c>
      <c r="C15" s="11" t="s">
        <v>233</v>
      </c>
      <c r="D15" s="2">
        <v>8.3000000000000007</v>
      </c>
      <c r="E15" s="12" t="s">
        <v>153</v>
      </c>
      <c r="F15" s="15">
        <v>0.10830485636224174</v>
      </c>
      <c r="G15" s="15">
        <f>F15 - Portfolio_Mgmt!$C$10</f>
        <v>-9.0951436377582628E-3</v>
      </c>
      <c r="H15" s="15">
        <f>F15 - Portfolio_Mgmt!$C$11</f>
        <v>7.3804856362241739E-2</v>
      </c>
      <c r="I15" s="15">
        <v>0</v>
      </c>
      <c r="J15" s="2">
        <v>4.6237469150396135</v>
      </c>
      <c r="K15" s="2">
        <v>9.3641570609339322</v>
      </c>
      <c r="L15" s="2">
        <v>9.0460821298724845</v>
      </c>
      <c r="M15" s="2">
        <v>6.3792496771334868</v>
      </c>
      <c r="N15" s="2">
        <v>8.1111667082917602</v>
      </c>
      <c r="O15" s="4">
        <v>3.721667132316446E-2</v>
      </c>
      <c r="P15" s="4">
        <v>6.9879518072289148E-2</v>
      </c>
      <c r="Q15" s="4">
        <v>2.0056091670558843E-2</v>
      </c>
      <c r="R15" s="4">
        <v>0.38237459335905039</v>
      </c>
      <c r="S15" s="94">
        <v>4.8426484563194767E-2</v>
      </c>
      <c r="T15" s="93">
        <v>1.0831144117242246</v>
      </c>
      <c r="U15" s="15">
        <v>1.8509098960546238E-2</v>
      </c>
      <c r="V15" s="90">
        <v>1.1933697905849452</v>
      </c>
      <c r="W15" s="85">
        <v>11.511512740854835</v>
      </c>
      <c r="X15" s="13" t="s">
        <v>235</v>
      </c>
      <c r="Y15" s="11" t="s">
        <v>234</v>
      </c>
      <c r="Z15" s="14">
        <v>45900</v>
      </c>
      <c r="AA15" s="16" t="s">
        <v>281</v>
      </c>
    </row>
    <row r="16" spans="1:27">
      <c r="B16" s="11" t="s">
        <v>247</v>
      </c>
      <c r="C16" s="11" t="s">
        <v>248</v>
      </c>
      <c r="D16" s="2">
        <v>21.1</v>
      </c>
      <c r="E16" s="12" t="s">
        <v>153</v>
      </c>
      <c r="F16" s="15">
        <v>7.717272420633603E-2</v>
      </c>
      <c r="G16" s="15">
        <f>F16 - Portfolio_Mgmt!$C$10</f>
        <v>-4.0227275793663975E-2</v>
      </c>
      <c r="H16" s="15">
        <f>F16 - Portfolio_Mgmt!$C$11</f>
        <v>4.2672724206336027E-2</v>
      </c>
      <c r="I16" s="15">
        <v>0</v>
      </c>
      <c r="J16" s="2">
        <v>10.846357673848024</v>
      </c>
      <c r="K16" s="2">
        <v>21.968758226348868</v>
      </c>
      <c r="L16" s="2">
        <v>21.220699139526428</v>
      </c>
      <c r="M16" s="2">
        <v>14.964572530067358</v>
      </c>
      <c r="N16" s="2">
        <v>19.027476031641555</v>
      </c>
      <c r="O16" s="4">
        <v>8.1895072008039305E-2</v>
      </c>
      <c r="P16" s="4">
        <v>6.4454976303317535E-2</v>
      </c>
      <c r="Q16" s="4">
        <v>0.10515362778966494</v>
      </c>
      <c r="R16" s="4">
        <v>0.11295218450174714</v>
      </c>
      <c r="S16" s="94">
        <v>0.71055479556740742</v>
      </c>
      <c r="T16" s="93">
        <v>1.3101832741522048</v>
      </c>
      <c r="U16" s="15">
        <v>0.15818859882129041</v>
      </c>
      <c r="V16" s="90">
        <v>1.4550387206421544</v>
      </c>
      <c r="W16" s="85">
        <v>5.8696003638854428</v>
      </c>
      <c r="X16" s="13" t="s">
        <v>246</v>
      </c>
      <c r="Y16" s="11" t="s">
        <v>154</v>
      </c>
      <c r="Z16" s="14">
        <v>45808</v>
      </c>
      <c r="AA16" s="16" t="s">
        <v>281</v>
      </c>
    </row>
    <row r="17" spans="2:27">
      <c r="B17" s="11" t="s">
        <v>259</v>
      </c>
      <c r="C17" s="11" t="s">
        <v>260</v>
      </c>
      <c r="D17" s="2">
        <v>2.85</v>
      </c>
      <c r="E17" s="12" t="s">
        <v>153</v>
      </c>
      <c r="F17" s="15">
        <v>3.7660568177665388E-2</v>
      </c>
      <c r="G17" s="15">
        <f>F17 - Portfolio_Mgmt!$C$10</f>
        <v>-7.9739431822334617E-2</v>
      </c>
      <c r="H17" s="15">
        <f>F17 - Portfolio_Mgmt!$C$11</f>
        <v>3.1605681776653849E-3</v>
      </c>
      <c r="I17" s="15">
        <v>0</v>
      </c>
      <c r="J17" s="2">
        <v>1.2944444492305225</v>
      </c>
      <c r="K17" s="2">
        <v>2.8367655336578039</v>
      </c>
      <c r="L17" s="2">
        <v>2.5736564254802947</v>
      </c>
      <c r="M17" s="2">
        <v>1.8010449981708196</v>
      </c>
      <c r="N17" s="2">
        <v>2.3024844118623693</v>
      </c>
      <c r="O17" s="4">
        <v>2.9545458676217266E-2</v>
      </c>
      <c r="P17" s="4">
        <v>3.9151600918027371E-2</v>
      </c>
      <c r="Q17" s="4">
        <v>4.334330007172759E-2</v>
      </c>
      <c r="R17" s="4">
        <v>8.412822268238776E-2</v>
      </c>
      <c r="S17" s="94">
        <v>0.42808280043619051</v>
      </c>
      <c r="T17" s="93">
        <v>1.2035176992971439</v>
      </c>
      <c r="U17" s="15">
        <v>1.0763175939415467E-2</v>
      </c>
      <c r="V17" s="90">
        <v>0.29882156160837919</v>
      </c>
      <c r="W17" s="85">
        <v>1.9119559782289508</v>
      </c>
      <c r="X17" s="13" t="s">
        <v>261</v>
      </c>
      <c r="Y17" s="11" t="s">
        <v>255</v>
      </c>
      <c r="Z17" s="14">
        <v>45900</v>
      </c>
      <c r="AA17" s="11" t="s">
        <v>281</v>
      </c>
    </row>
    <row r="18" spans="2:27">
      <c r="B18" s="11" t="s">
        <v>230</v>
      </c>
      <c r="C18" s="11" t="s">
        <v>253</v>
      </c>
      <c r="D18" s="2">
        <v>2.0699999999999998</v>
      </c>
      <c r="E18" s="12" t="s">
        <v>153</v>
      </c>
      <c r="F18" s="15">
        <v>6.8929809946252085E-3</v>
      </c>
      <c r="G18" s="15">
        <f>F18 - Portfolio_Mgmt!$C$10</f>
        <v>-0.1105070190053748</v>
      </c>
      <c r="H18" s="15">
        <f>F18 - Portfolio_Mgmt!$C$11</f>
        <v>-2.7607019005374794E-2</v>
      </c>
      <c r="I18" s="15">
        <v>0</v>
      </c>
      <c r="J18" s="2">
        <v>0.82648230361166808</v>
      </c>
      <c r="K18" s="2">
        <v>2.1131011468081908</v>
      </c>
      <c r="L18" s="2">
        <v>1.7009631025661165</v>
      </c>
      <c r="M18" s="2">
        <v>1.1711712249606363</v>
      </c>
      <c r="N18" s="2">
        <v>1.514587208466269</v>
      </c>
      <c r="O18" s="4">
        <v>4.6317179925299112E-3</v>
      </c>
      <c r="P18" s="4">
        <v>0</v>
      </c>
      <c r="Q18" s="4">
        <v>3.7288355461672987E-3</v>
      </c>
      <c r="R18" s="4">
        <v>2.8327145387125552E-2</v>
      </c>
      <c r="S18" s="94">
        <v>0.11998888979909481</v>
      </c>
      <c r="T18" s="93">
        <v>1.0970574812713703</v>
      </c>
      <c r="U18" s="15">
        <v>1.4790654865358754E-2</v>
      </c>
      <c r="V18" s="90">
        <v>3.4432102574884196</v>
      </c>
      <c r="W18" s="85">
        <v>2.0258239687205015</v>
      </c>
      <c r="X18" s="13" t="s">
        <v>254</v>
      </c>
      <c r="Y18" s="11" t="s">
        <v>255</v>
      </c>
      <c r="Z18" s="14">
        <v>45900</v>
      </c>
      <c r="AA18" s="11" t="s">
        <v>281</v>
      </c>
    </row>
    <row r="19" spans="2:27">
      <c r="B19" s="11" t="s">
        <v>294</v>
      </c>
      <c r="C19" s="11" t="s">
        <v>295</v>
      </c>
      <c r="D19" s="2">
        <v>47.6</v>
      </c>
      <c r="E19" s="12" t="s">
        <v>153</v>
      </c>
      <c r="F19" s="15">
        <v>-7.9180969336304363E-2</v>
      </c>
      <c r="G19" s="15">
        <f>F19 - Portfolio_Mgmt!$C$10</f>
        <v>-0.19658096933630437</v>
      </c>
      <c r="H19" s="15">
        <f>F19 - Portfolio_Mgmt!$C$11</f>
        <v>-0.11368096933630437</v>
      </c>
      <c r="I19" s="15">
        <v>0</v>
      </c>
      <c r="J19" s="2">
        <v>15.389927198904168</v>
      </c>
      <c r="K19" s="2">
        <v>33.047848014072677</v>
      </c>
      <c r="L19" s="2">
        <v>30.46890066324962</v>
      </c>
      <c r="M19" s="2">
        <v>21.365246731530732</v>
      </c>
      <c r="N19" s="2">
        <v>27.274655074840922</v>
      </c>
      <c r="O19" s="4">
        <v>5.1600389812170917E-2</v>
      </c>
      <c r="P19" s="4">
        <v>3.1237107218487398E-2</v>
      </c>
      <c r="Q19" s="4">
        <v>0.21039827332068567</v>
      </c>
      <c r="R19" s="4">
        <v>0.21042753223383909</v>
      </c>
      <c r="S19" s="94">
        <v>0.51682300464832642</v>
      </c>
      <c r="T19" s="93">
        <v>1.9346293526540752</v>
      </c>
      <c r="U19" s="15">
        <v>0.19606600851240996</v>
      </c>
      <c r="V19" s="90">
        <v>0.84886197155458731</v>
      </c>
      <c r="W19" s="85">
        <v>-5.8921637019123594</v>
      </c>
      <c r="X19" s="13" t="s">
        <v>261</v>
      </c>
      <c r="Y19" s="11" t="s">
        <v>154</v>
      </c>
      <c r="Z19" s="14">
        <v>45900</v>
      </c>
      <c r="AA19" s="11" t="s">
        <v>281</v>
      </c>
    </row>
    <row r="20" spans="2:27">
      <c r="B20" s="11"/>
      <c r="C20" s="11"/>
      <c r="E20" s="12"/>
      <c r="O20" s="4"/>
      <c r="P20" s="4"/>
      <c r="Q20" s="4"/>
      <c r="R20" s="4"/>
      <c r="X20" s="13"/>
      <c r="Y20" s="11"/>
      <c r="Z20" s="14"/>
    </row>
    <row r="21" spans="2:27">
      <c r="B21" s="11"/>
      <c r="C21" s="11"/>
      <c r="E21" s="12"/>
      <c r="O21" s="4"/>
      <c r="P21" s="4"/>
      <c r="Q21" s="4"/>
      <c r="R21" s="4"/>
      <c r="X21" s="13"/>
      <c r="Y21" s="11"/>
      <c r="Z21" s="14"/>
    </row>
    <row r="22" spans="2:27">
      <c r="B22" s="11"/>
      <c r="C22" s="11"/>
      <c r="E22" s="12"/>
      <c r="O22" s="4"/>
      <c r="P22" s="4"/>
      <c r="Q22" s="4"/>
      <c r="R22" s="4"/>
      <c r="X22" s="13"/>
      <c r="Y22" s="11"/>
      <c r="Z22" s="14"/>
    </row>
    <row r="23" spans="2:27">
      <c r="B23" s="11"/>
      <c r="C23" s="11"/>
      <c r="E23" s="12"/>
      <c r="O23" s="4"/>
      <c r="P23" s="4"/>
      <c r="Q23" s="4"/>
      <c r="R23" s="4"/>
      <c r="X23" s="13"/>
      <c r="Y23" s="11"/>
      <c r="Z23" s="14"/>
    </row>
    <row r="24" spans="2:27">
      <c r="B24" s="11"/>
      <c r="C24" s="11"/>
      <c r="E24" s="12"/>
      <c r="O24" s="4"/>
      <c r="P24" s="4"/>
      <c r="Q24" s="4"/>
      <c r="R24" s="4"/>
      <c r="X24" s="13"/>
      <c r="Y24" s="11"/>
      <c r="Z24" s="14"/>
    </row>
    <row r="25" spans="2:27">
      <c r="B25" s="11"/>
      <c r="C25" s="11"/>
      <c r="E25" s="12"/>
      <c r="O25" s="4"/>
      <c r="P25" s="4"/>
      <c r="Q25" s="4"/>
      <c r="R25" s="4"/>
      <c r="X25" s="13"/>
      <c r="Y25" s="11"/>
      <c r="Z25" s="14"/>
    </row>
    <row r="26" spans="2:27">
      <c r="B26" s="11"/>
      <c r="C26" s="11"/>
      <c r="E26" s="12"/>
      <c r="O26" s="4"/>
      <c r="P26" s="4"/>
      <c r="Q26" s="4"/>
      <c r="R26" s="4"/>
      <c r="X26" s="13"/>
      <c r="Y26" s="11"/>
      <c r="Z26" s="14"/>
    </row>
    <row r="27" spans="2:27">
      <c r="B27" s="11"/>
      <c r="C27" s="11"/>
      <c r="E27" s="12"/>
      <c r="O27" s="4"/>
      <c r="P27" s="4"/>
      <c r="Q27" s="4"/>
      <c r="R27" s="4"/>
      <c r="X27" s="13"/>
      <c r="Y27" s="11"/>
      <c r="Z27" s="14"/>
    </row>
    <row r="28" spans="2:27">
      <c r="B28" s="11"/>
      <c r="C28" s="11"/>
      <c r="E28" s="12"/>
      <c r="O28" s="4"/>
      <c r="P28" s="4"/>
      <c r="Q28" s="4"/>
      <c r="R28" s="4"/>
      <c r="X28" s="13"/>
      <c r="Y28" s="11"/>
      <c r="Z28" s="14"/>
    </row>
    <row r="29" spans="2:27">
      <c r="B29" s="11"/>
      <c r="C29" s="11"/>
      <c r="E29" s="12"/>
      <c r="O29" s="4"/>
      <c r="P29" s="4"/>
      <c r="Q29" s="4"/>
      <c r="R29" s="4"/>
      <c r="X29" s="13"/>
      <c r="Y29" s="11"/>
      <c r="Z29" s="14"/>
    </row>
    <row r="30" spans="2:27">
      <c r="B30" s="11"/>
      <c r="C30" s="11"/>
      <c r="E30" s="12"/>
      <c r="O30" s="4"/>
      <c r="P30" s="4"/>
      <c r="Q30" s="4"/>
      <c r="R30" s="4"/>
      <c r="X30" s="13"/>
      <c r="Y30" s="11"/>
      <c r="Z30" s="14"/>
    </row>
    <row r="31" spans="2:27">
      <c r="B31" s="11"/>
      <c r="C31" s="11"/>
      <c r="E31" s="12"/>
      <c r="O31" s="4"/>
      <c r="P31" s="4"/>
      <c r="Q31" s="4"/>
      <c r="R31" s="4"/>
      <c r="X31" s="16"/>
      <c r="Y31" s="11"/>
      <c r="Z31" s="14"/>
    </row>
    <row r="32" spans="2:27">
      <c r="B32" s="11"/>
      <c r="C32" s="11"/>
      <c r="E32" s="12"/>
      <c r="O32" s="4"/>
      <c r="P32" s="4"/>
      <c r="Q32" s="4"/>
      <c r="R32" s="4"/>
      <c r="X32" s="13"/>
      <c r="Y32" s="11"/>
      <c r="Z32" s="14"/>
    </row>
    <row r="33" spans="2:26">
      <c r="B33" s="11"/>
      <c r="C33" s="11"/>
      <c r="E33" s="12"/>
      <c r="O33" s="4"/>
      <c r="P33" s="4"/>
      <c r="Q33" s="4"/>
      <c r="R33" s="4"/>
      <c r="X33" s="13"/>
      <c r="Y33" s="11"/>
      <c r="Z33" s="14"/>
    </row>
    <row r="34" spans="2:26">
      <c r="B34" s="11"/>
      <c r="C34" s="11"/>
      <c r="E34" s="12"/>
      <c r="O34" s="4"/>
      <c r="P34" s="4"/>
      <c r="Q34" s="4"/>
      <c r="R34" s="4"/>
      <c r="X34" s="16"/>
      <c r="Y34" s="11"/>
      <c r="Z34" s="14"/>
    </row>
    <row r="35" spans="2:26">
      <c r="B35" s="11"/>
      <c r="C35" s="11"/>
      <c r="E35" s="12"/>
      <c r="O35" s="4"/>
      <c r="P35" s="4"/>
      <c r="Q35" s="4"/>
      <c r="R35" s="4"/>
      <c r="X35" s="13"/>
      <c r="Y35" s="11"/>
      <c r="Z35" s="14"/>
    </row>
    <row r="36" spans="2:26">
      <c r="B36" s="11"/>
      <c r="C36" s="11"/>
      <c r="E36" s="12"/>
      <c r="O36" s="4"/>
      <c r="P36" s="4"/>
      <c r="Q36" s="4"/>
      <c r="R36" s="4"/>
      <c r="X36" s="13"/>
      <c r="Y36" s="11"/>
      <c r="Z36" s="14"/>
    </row>
    <row r="37" spans="2:26">
      <c r="B37" s="11"/>
      <c r="C37" s="11"/>
      <c r="E37" s="12"/>
      <c r="O37" s="4"/>
      <c r="P37" s="4"/>
      <c r="Q37" s="4"/>
      <c r="R37" s="4"/>
      <c r="X37" s="13"/>
      <c r="Y37" s="11"/>
      <c r="Z37" s="14"/>
    </row>
    <row r="38" spans="2:26">
      <c r="B38" s="11"/>
      <c r="C38" s="11"/>
      <c r="E38" s="12"/>
      <c r="O38" s="4"/>
      <c r="P38" s="4"/>
      <c r="Q38" s="4"/>
      <c r="R38" s="4"/>
      <c r="X38" s="13"/>
      <c r="Y38" s="11"/>
      <c r="Z38" s="14"/>
    </row>
    <row r="39" spans="2:26">
      <c r="B39" s="11"/>
      <c r="C39" s="11"/>
      <c r="E39" s="12"/>
      <c r="O39" s="4"/>
      <c r="P39" s="4"/>
      <c r="Q39" s="4"/>
      <c r="R39" s="4"/>
      <c r="X39" s="13"/>
      <c r="Y39" s="11"/>
      <c r="Z39" s="14"/>
    </row>
    <row r="40" spans="2:26">
      <c r="B40" s="11"/>
      <c r="C40" s="11"/>
      <c r="E40" s="12"/>
      <c r="O40" s="4"/>
      <c r="P40" s="4"/>
      <c r="Q40" s="4"/>
      <c r="R40" s="4"/>
      <c r="X40" s="13"/>
      <c r="Y40" s="11"/>
      <c r="Z40" s="14"/>
    </row>
    <row r="41" spans="2:26">
      <c r="B41" s="11"/>
      <c r="C41" s="11"/>
      <c r="E41" s="12"/>
      <c r="O41" s="4"/>
      <c r="P41" s="4"/>
      <c r="Q41" s="4"/>
      <c r="R41" s="4"/>
      <c r="X41" s="13"/>
      <c r="Y41" s="11"/>
      <c r="Z41" s="14"/>
    </row>
    <row r="42" spans="2:26">
      <c r="B42" s="11"/>
      <c r="C42" s="11"/>
      <c r="E42" s="12"/>
      <c r="O42" s="4"/>
      <c r="P42" s="4"/>
      <c r="Q42" s="4"/>
      <c r="R42" s="4"/>
      <c r="X42" s="13"/>
      <c r="Y42" s="11"/>
      <c r="Z42" s="14"/>
    </row>
    <row r="43" spans="2:26">
      <c r="B43" s="11"/>
      <c r="C43" s="11"/>
      <c r="E43" s="12"/>
      <c r="O43" s="4"/>
      <c r="P43" s="4"/>
      <c r="Q43" s="4"/>
      <c r="R43" s="4"/>
      <c r="X43" s="13"/>
      <c r="Y43" s="11"/>
      <c r="Z43" s="14"/>
    </row>
    <row r="44" spans="2:26">
      <c r="B44" s="11"/>
      <c r="C44" s="11"/>
      <c r="E44" s="12"/>
      <c r="O44" s="4"/>
      <c r="P44" s="4"/>
      <c r="Q44" s="4"/>
      <c r="R44" s="4"/>
      <c r="X44" s="13"/>
      <c r="Y44" s="11"/>
      <c r="Z44" s="14"/>
    </row>
    <row r="45" spans="2:26">
      <c r="B45" s="11"/>
      <c r="C45" s="11"/>
      <c r="E45" s="12"/>
      <c r="O45" s="4"/>
      <c r="P45" s="4"/>
      <c r="Q45" s="4"/>
      <c r="R45" s="4"/>
      <c r="X45" s="13"/>
      <c r="Y45" s="11"/>
      <c r="Z45" s="14"/>
    </row>
    <row r="46" spans="2:26">
      <c r="B46" s="11"/>
      <c r="C46" s="11"/>
      <c r="E46" s="12"/>
      <c r="O46" s="4"/>
      <c r="P46" s="4"/>
      <c r="Q46" s="4"/>
      <c r="R46" s="4"/>
      <c r="X46" s="13"/>
      <c r="Y46" s="11"/>
      <c r="Z46" s="14"/>
    </row>
    <row r="47" spans="2:26">
      <c r="B47" s="11"/>
      <c r="C47" s="11"/>
      <c r="E47" s="12"/>
      <c r="O47" s="4"/>
      <c r="P47" s="4"/>
      <c r="Q47" s="4"/>
      <c r="R47" s="4"/>
      <c r="X47" s="13"/>
      <c r="Y47" s="11"/>
      <c r="Z47" s="14"/>
    </row>
    <row r="48" spans="2:26">
      <c r="B48" s="11"/>
      <c r="C48" s="11"/>
      <c r="E48" s="12"/>
      <c r="O48" s="4"/>
      <c r="P48" s="4"/>
      <c r="Q48" s="4"/>
      <c r="R48" s="4"/>
      <c r="X48" s="13"/>
      <c r="Y48" s="11"/>
      <c r="Z48" s="14"/>
    </row>
    <row r="49" spans="2:26">
      <c r="B49" s="11"/>
      <c r="C49" s="11"/>
      <c r="E49" s="12"/>
      <c r="O49" s="4"/>
      <c r="P49" s="4"/>
      <c r="Q49" s="4"/>
      <c r="R49" s="4"/>
      <c r="X49" s="13"/>
      <c r="Y49" s="11"/>
      <c r="Z49" s="14"/>
    </row>
    <row r="50" spans="2:26">
      <c r="B50" s="11"/>
      <c r="C50" s="11"/>
      <c r="E50" s="12"/>
      <c r="O50" s="4"/>
      <c r="P50" s="4"/>
      <c r="Q50" s="4"/>
      <c r="R50" s="4"/>
      <c r="X50" s="13"/>
      <c r="Y50" s="11"/>
      <c r="Z50" s="14"/>
    </row>
    <row r="51" spans="2:26">
      <c r="B51" s="11"/>
      <c r="C51" s="11"/>
      <c r="E51" s="12"/>
      <c r="O51" s="4"/>
      <c r="P51" s="4"/>
      <c r="Q51" s="4"/>
      <c r="R51" s="4"/>
      <c r="X51" s="13"/>
      <c r="Y51" s="11"/>
      <c r="Z51" s="14"/>
    </row>
    <row r="52" spans="2:26">
      <c r="B52" s="11"/>
      <c r="C52" s="11"/>
      <c r="E52" s="12"/>
      <c r="O52" s="4"/>
      <c r="P52" s="4"/>
      <c r="Q52" s="4"/>
      <c r="R52" s="4"/>
      <c r="X52" s="13"/>
      <c r="Y52" s="11"/>
      <c r="Z52" s="14"/>
    </row>
    <row r="53" spans="2:26">
      <c r="B53" s="11"/>
      <c r="C53" s="11"/>
      <c r="E53" s="12"/>
      <c r="O53" s="4"/>
      <c r="P53" s="4"/>
      <c r="Q53" s="4"/>
      <c r="R53" s="4"/>
      <c r="X53" s="13"/>
      <c r="Y53" s="11"/>
      <c r="Z53" s="14"/>
    </row>
    <row r="54" spans="2:26">
      <c r="B54" s="11"/>
      <c r="C54" s="11"/>
      <c r="E54" s="12"/>
      <c r="O54" s="4"/>
      <c r="P54" s="4"/>
      <c r="Q54" s="4"/>
      <c r="R54" s="4"/>
      <c r="X54" s="13"/>
      <c r="Y54" s="11"/>
      <c r="Z54" s="14"/>
    </row>
    <row r="55" spans="2:26">
      <c r="B55" s="11"/>
      <c r="C55" s="11"/>
      <c r="E55" s="12"/>
      <c r="O55" s="4"/>
      <c r="P55" s="4"/>
      <c r="Q55" s="4"/>
      <c r="R55" s="4"/>
      <c r="X55" s="13"/>
      <c r="Y55" s="11"/>
      <c r="Z55" s="14"/>
    </row>
    <row r="56" spans="2:26">
      <c r="B56" s="11"/>
      <c r="C56" s="11"/>
      <c r="E56" s="12"/>
      <c r="O56" s="4"/>
      <c r="P56" s="4"/>
      <c r="Q56" s="4"/>
      <c r="R56" s="4"/>
      <c r="X56" s="13"/>
      <c r="Y56" s="11"/>
      <c r="Z56" s="14"/>
    </row>
    <row r="57" spans="2:26">
      <c r="B57" s="11"/>
      <c r="C57" s="11"/>
      <c r="E57" s="12"/>
      <c r="O57" s="4"/>
      <c r="P57" s="4"/>
      <c r="Q57" s="4"/>
      <c r="R57" s="4"/>
      <c r="X57" s="13"/>
      <c r="Y57" s="11"/>
      <c r="Z57" s="14"/>
    </row>
    <row r="58" spans="2:26">
      <c r="B58" s="11"/>
      <c r="C58" s="11"/>
      <c r="E58" s="12"/>
      <c r="O58" s="4"/>
      <c r="P58" s="4"/>
      <c r="Q58" s="4"/>
      <c r="R58" s="4"/>
      <c r="X58" s="13"/>
      <c r="Y58" s="11"/>
      <c r="Z58" s="14"/>
    </row>
    <row r="59" spans="2:26">
      <c r="B59" s="11"/>
      <c r="C59" s="11"/>
      <c r="E59" s="12"/>
      <c r="O59" s="4"/>
      <c r="P59" s="4"/>
      <c r="Q59" s="4"/>
      <c r="R59" s="4"/>
      <c r="X59" s="13"/>
      <c r="Y59" s="11"/>
      <c r="Z59" s="14"/>
    </row>
    <row r="60" spans="2:26">
      <c r="B60" s="11"/>
      <c r="C60" s="11"/>
      <c r="E60" s="12"/>
      <c r="O60" s="4"/>
      <c r="P60" s="4"/>
      <c r="Q60" s="4"/>
      <c r="R60" s="4"/>
      <c r="X60" s="13"/>
      <c r="Y60" s="11"/>
      <c r="Z60" s="14"/>
    </row>
    <row r="61" spans="2:26">
      <c r="B61" s="11"/>
      <c r="C61" s="11"/>
      <c r="E61" s="12"/>
      <c r="O61" s="4"/>
      <c r="P61" s="4"/>
      <c r="Q61" s="4"/>
      <c r="R61" s="4"/>
      <c r="X61" s="13"/>
      <c r="Y61" s="11"/>
      <c r="Z61" s="14"/>
    </row>
    <row r="62" spans="2:26">
      <c r="B62" s="11"/>
      <c r="C62" s="11"/>
      <c r="E62" s="12"/>
      <c r="O62" s="4"/>
      <c r="P62" s="4"/>
      <c r="Q62" s="4"/>
      <c r="R62" s="4"/>
      <c r="X62" s="13"/>
      <c r="Y62" s="11"/>
      <c r="Z62" s="14"/>
    </row>
    <row r="63" spans="2:26">
      <c r="B63" s="11"/>
      <c r="C63" s="11"/>
      <c r="E63" s="12"/>
      <c r="O63" s="4"/>
      <c r="P63" s="4"/>
      <c r="Q63" s="4"/>
      <c r="R63" s="4"/>
      <c r="X63" s="13"/>
      <c r="Y63" s="11"/>
      <c r="Z63" s="14"/>
    </row>
    <row r="64" spans="2:26">
      <c r="B64" s="11"/>
      <c r="C64" s="11"/>
      <c r="E64" s="12"/>
      <c r="O64" s="4"/>
      <c r="P64" s="4"/>
      <c r="Q64" s="4"/>
      <c r="R64" s="4"/>
      <c r="X64" s="13"/>
      <c r="Y64" s="11"/>
      <c r="Z64" s="14"/>
    </row>
    <row r="65" spans="2:26">
      <c r="B65" s="11"/>
      <c r="C65" s="11"/>
      <c r="E65" s="12"/>
      <c r="O65" s="4"/>
      <c r="P65" s="4"/>
      <c r="Q65" s="4"/>
      <c r="R65" s="4"/>
      <c r="X65" s="13"/>
      <c r="Y65" s="11"/>
      <c r="Z65" s="14"/>
    </row>
    <row r="66" spans="2:26">
      <c r="B66" s="11"/>
      <c r="C66" s="11"/>
      <c r="E66" s="12"/>
      <c r="O66" s="4"/>
      <c r="P66" s="4"/>
      <c r="Q66" s="4"/>
      <c r="R66" s="4"/>
      <c r="X66" s="13"/>
      <c r="Y66" s="11"/>
      <c r="Z66" s="14"/>
    </row>
    <row r="67" spans="2:26">
      <c r="B67" s="11"/>
      <c r="C67" s="11"/>
      <c r="E67" s="12"/>
      <c r="O67" s="4"/>
      <c r="P67" s="4"/>
      <c r="Q67" s="4"/>
      <c r="R67" s="4"/>
      <c r="X67" s="13"/>
      <c r="Y67" s="11"/>
      <c r="Z67" s="14"/>
    </row>
    <row r="68" spans="2:26">
      <c r="B68" s="11"/>
      <c r="C68" s="11"/>
      <c r="E68" s="12"/>
      <c r="O68" s="4"/>
      <c r="P68" s="4"/>
      <c r="Q68" s="4"/>
      <c r="R68" s="4"/>
      <c r="X68" s="13"/>
      <c r="Y68" s="11"/>
      <c r="Z68" s="14"/>
    </row>
    <row r="69" spans="2:26">
      <c r="B69" s="11"/>
      <c r="C69" s="11"/>
      <c r="E69" s="12"/>
      <c r="O69" s="4"/>
      <c r="P69" s="4"/>
      <c r="Q69" s="4"/>
      <c r="R69" s="4"/>
      <c r="X69" s="13"/>
      <c r="Y69" s="11"/>
      <c r="Z69" s="14"/>
    </row>
    <row r="70" spans="2:26">
      <c r="B70" s="11"/>
      <c r="C70" s="11"/>
      <c r="E70" s="12"/>
      <c r="O70" s="4"/>
      <c r="P70" s="4"/>
      <c r="Q70" s="4"/>
      <c r="R70" s="4"/>
      <c r="X70" s="13"/>
      <c r="Y70" s="11"/>
      <c r="Z70" s="14"/>
    </row>
    <row r="71" spans="2:26">
      <c r="B71" s="11"/>
      <c r="C71" s="11"/>
      <c r="E71" s="12"/>
      <c r="O71" s="4"/>
      <c r="P71" s="4"/>
      <c r="Q71" s="4"/>
      <c r="R71" s="4"/>
      <c r="X71" s="13"/>
      <c r="Y71" s="11"/>
      <c r="Z71" s="14"/>
    </row>
    <row r="72" spans="2:26">
      <c r="B72" s="11"/>
      <c r="C72" s="11"/>
      <c r="E72" s="12"/>
      <c r="O72" s="4"/>
      <c r="P72" s="4"/>
      <c r="Q72" s="4"/>
      <c r="R72" s="4"/>
      <c r="X72" s="13"/>
      <c r="Y72" s="11"/>
      <c r="Z72" s="14"/>
    </row>
    <row r="73" spans="2:26">
      <c r="B73" s="11"/>
      <c r="C73" s="11"/>
      <c r="E73" s="12"/>
      <c r="O73" s="4"/>
      <c r="P73" s="4"/>
      <c r="Q73" s="4"/>
      <c r="R73" s="4"/>
      <c r="X73" s="13"/>
      <c r="Y73" s="11"/>
      <c r="Z73" s="14"/>
    </row>
    <row r="74" spans="2:26">
      <c r="B74" s="11"/>
      <c r="C74" s="11"/>
      <c r="E74" s="12"/>
      <c r="O74" s="4"/>
      <c r="P74" s="4"/>
      <c r="Q74" s="4"/>
      <c r="R74" s="4"/>
      <c r="X74" s="13"/>
      <c r="Y74" s="11"/>
      <c r="Z74" s="14"/>
    </row>
    <row r="75" spans="2:26">
      <c r="B75" s="11"/>
      <c r="C75" s="11"/>
      <c r="E75" s="12"/>
      <c r="O75" s="4"/>
      <c r="P75" s="4"/>
      <c r="Q75" s="4"/>
      <c r="R75" s="4"/>
      <c r="X75" s="13"/>
      <c r="Y75" s="11"/>
      <c r="Z75" s="14"/>
    </row>
    <row r="76" spans="2:26">
      <c r="B76" s="11"/>
      <c r="C76" s="11"/>
      <c r="E76" s="12"/>
      <c r="O76" s="4"/>
      <c r="P76" s="4"/>
      <c r="Q76" s="4"/>
      <c r="R76" s="4"/>
      <c r="X76" s="13"/>
      <c r="Y76" s="11"/>
      <c r="Z76" s="14"/>
    </row>
    <row r="77" spans="2:26">
      <c r="B77" s="11"/>
      <c r="C77" s="11"/>
      <c r="E77" s="12"/>
      <c r="O77" s="4"/>
      <c r="P77" s="4"/>
      <c r="Q77" s="4"/>
      <c r="R77" s="4"/>
      <c r="X77" s="13"/>
      <c r="Y77" s="11"/>
      <c r="Z77" s="14"/>
    </row>
    <row r="78" spans="2:26">
      <c r="B78" s="11"/>
      <c r="C78" s="11"/>
      <c r="E78" s="12"/>
      <c r="O78" s="4"/>
      <c r="P78" s="4"/>
      <c r="Q78" s="4"/>
      <c r="R78" s="4"/>
      <c r="X78" s="13"/>
      <c r="Y78" s="11"/>
      <c r="Z78" s="14"/>
    </row>
    <row r="79" spans="2:26">
      <c r="B79" s="11"/>
      <c r="C79" s="11"/>
      <c r="E79" s="12"/>
      <c r="O79" s="4"/>
      <c r="P79" s="4"/>
      <c r="Q79" s="4"/>
      <c r="R79" s="4"/>
      <c r="X79" s="13"/>
      <c r="Y79" s="11"/>
      <c r="Z79" s="14"/>
    </row>
    <row r="80" spans="2:26">
      <c r="B80" s="11"/>
      <c r="C80" s="11"/>
      <c r="E80" s="12"/>
      <c r="O80" s="4"/>
      <c r="P80" s="4"/>
      <c r="Q80" s="4"/>
      <c r="R80" s="4"/>
      <c r="X80" s="13"/>
      <c r="Y80" s="11"/>
      <c r="Z80" s="14"/>
    </row>
    <row r="81" spans="2:26">
      <c r="B81" s="11"/>
      <c r="C81" s="11"/>
      <c r="E81" s="12"/>
      <c r="O81" s="4"/>
      <c r="P81" s="4"/>
      <c r="Q81" s="4"/>
      <c r="R81" s="4"/>
      <c r="X81" s="13"/>
      <c r="Y81" s="11"/>
      <c r="Z81" s="14"/>
    </row>
    <row r="82" spans="2:26">
      <c r="B82" s="11"/>
      <c r="C82" s="11"/>
      <c r="E82" s="12"/>
      <c r="O82" s="4"/>
      <c r="P82" s="4"/>
      <c r="Q82" s="4"/>
      <c r="R82" s="4"/>
      <c r="X82" s="13"/>
      <c r="Y82" s="11"/>
      <c r="Z82" s="14"/>
    </row>
    <row r="83" spans="2:26">
      <c r="B83" s="11"/>
      <c r="C83" s="11"/>
      <c r="E83" s="12"/>
      <c r="O83" s="4"/>
      <c r="P83" s="4"/>
      <c r="Q83" s="4"/>
      <c r="R83" s="4"/>
      <c r="X83" s="13"/>
      <c r="Y83" s="11"/>
      <c r="Z83" s="14"/>
    </row>
    <row r="84" spans="2:26">
      <c r="B84" s="11"/>
      <c r="C84" s="11"/>
      <c r="E84" s="12"/>
      <c r="O84" s="4"/>
      <c r="P84" s="4"/>
      <c r="Q84" s="4"/>
      <c r="R84" s="4"/>
      <c r="X84" s="13"/>
      <c r="Y84" s="11"/>
      <c r="Z84" s="14"/>
    </row>
    <row r="85" spans="2:26">
      <c r="B85" s="11"/>
      <c r="C85" s="11"/>
      <c r="E85" s="12"/>
      <c r="O85" s="4"/>
      <c r="P85" s="4"/>
      <c r="Q85" s="4"/>
      <c r="R85" s="4"/>
      <c r="X85" s="13"/>
      <c r="Y85" s="11"/>
      <c r="Z85" s="14"/>
    </row>
    <row r="86" spans="2:26">
      <c r="B86" s="11"/>
      <c r="C86" s="11"/>
      <c r="E86" s="12"/>
      <c r="O86" s="4"/>
      <c r="P86" s="4"/>
      <c r="Q86" s="4"/>
      <c r="R86" s="4"/>
      <c r="X86" s="13"/>
      <c r="Y86" s="11"/>
      <c r="Z86" s="14"/>
    </row>
    <row r="87" spans="2:26">
      <c r="B87" s="11"/>
      <c r="C87" s="11"/>
      <c r="E87" s="12"/>
      <c r="O87" s="4"/>
      <c r="P87" s="4"/>
      <c r="Q87" s="4"/>
      <c r="R87" s="4"/>
      <c r="X87" s="13"/>
      <c r="Y87" s="11"/>
      <c r="Z87" s="14"/>
    </row>
    <row r="88" spans="2:26">
      <c r="B88" s="11"/>
      <c r="C88" s="11"/>
      <c r="E88" s="12"/>
      <c r="O88" s="4"/>
      <c r="P88" s="4"/>
      <c r="Q88" s="4"/>
      <c r="R88" s="4"/>
      <c r="X88" s="13"/>
      <c r="Y88" s="11"/>
      <c r="Z88" s="14"/>
    </row>
    <row r="89" spans="2:26">
      <c r="B89" s="11"/>
      <c r="C89" s="11"/>
      <c r="E89" s="12"/>
      <c r="O89" s="4"/>
      <c r="P89" s="4"/>
      <c r="Q89" s="4"/>
      <c r="R89" s="4"/>
      <c r="X89" s="13"/>
      <c r="Y89" s="11"/>
      <c r="Z89" s="14"/>
    </row>
    <row r="90" spans="2:26">
      <c r="B90" s="11"/>
      <c r="C90" s="11"/>
      <c r="E90" s="12"/>
      <c r="O90" s="4"/>
      <c r="P90" s="4"/>
      <c r="Q90" s="4"/>
      <c r="R90" s="4"/>
      <c r="X90" s="13"/>
      <c r="Y90" s="11"/>
      <c r="Z90" s="14"/>
    </row>
    <row r="91" spans="2:26">
      <c r="B91" s="11"/>
      <c r="C91" s="11"/>
      <c r="E91" s="12"/>
      <c r="O91" s="4"/>
      <c r="P91" s="4"/>
      <c r="Q91" s="4"/>
      <c r="R91" s="4"/>
      <c r="X91" s="13"/>
      <c r="Y91" s="11"/>
      <c r="Z91" s="14"/>
    </row>
    <row r="92" spans="2:26">
      <c r="B92" s="11"/>
      <c r="C92" s="11"/>
      <c r="E92" s="12"/>
      <c r="O92" s="4"/>
      <c r="P92" s="4"/>
      <c r="Q92" s="4"/>
      <c r="R92" s="4"/>
      <c r="X92" s="13"/>
      <c r="Y92" s="11"/>
      <c r="Z92" s="14"/>
    </row>
    <row r="93" spans="2:26">
      <c r="B93" s="11"/>
      <c r="C93" s="11"/>
      <c r="E93" s="12"/>
      <c r="O93" s="4"/>
      <c r="P93" s="4"/>
      <c r="Q93" s="4"/>
      <c r="R93" s="4"/>
      <c r="X93" s="13"/>
      <c r="Y93" s="11"/>
      <c r="Z93" s="14"/>
    </row>
    <row r="94" spans="2:26">
      <c r="B94" s="11"/>
      <c r="C94" s="11"/>
      <c r="E94" s="12"/>
      <c r="O94" s="4"/>
      <c r="P94" s="4"/>
      <c r="Q94" s="4"/>
      <c r="R94" s="4"/>
      <c r="X94" s="13"/>
      <c r="Y94" s="11"/>
      <c r="Z94" s="14"/>
    </row>
    <row r="95" spans="2:26">
      <c r="B95" s="11"/>
      <c r="C95" s="11"/>
      <c r="E95" s="12"/>
      <c r="O95" s="4"/>
      <c r="P95" s="4"/>
      <c r="Q95" s="4"/>
      <c r="R95" s="4"/>
      <c r="X95" s="13"/>
      <c r="Y95" s="11"/>
      <c r="Z95" s="14"/>
    </row>
    <row r="96" spans="2:26">
      <c r="B96" s="11"/>
      <c r="C96" s="11"/>
      <c r="E96" s="12"/>
      <c r="O96" s="4"/>
      <c r="P96" s="4"/>
      <c r="Q96" s="4"/>
      <c r="R96" s="4"/>
      <c r="X96" s="13"/>
      <c r="Y96" s="11"/>
      <c r="Z96" s="14"/>
    </row>
    <row r="97" spans="2:26">
      <c r="B97" s="11"/>
      <c r="C97" s="11"/>
      <c r="E97" s="12"/>
      <c r="O97" s="4"/>
      <c r="P97" s="4"/>
      <c r="Q97" s="4"/>
      <c r="R97" s="4"/>
      <c r="X97" s="13"/>
      <c r="Y97" s="11"/>
      <c r="Z97" s="14"/>
    </row>
    <row r="98" spans="2:26">
      <c r="B98" s="11"/>
      <c r="C98" s="11"/>
      <c r="E98" s="12"/>
      <c r="O98" s="4"/>
      <c r="P98" s="4"/>
      <c r="Q98" s="4"/>
      <c r="R98" s="4"/>
      <c r="X98" s="13"/>
      <c r="Y98" s="11"/>
      <c r="Z98" s="14"/>
    </row>
    <row r="99" spans="2:26">
      <c r="B99" s="11"/>
      <c r="C99" s="11"/>
      <c r="E99" s="12"/>
      <c r="O99" s="4"/>
      <c r="P99" s="4"/>
      <c r="Q99" s="4"/>
      <c r="R99" s="4"/>
      <c r="X99" s="13"/>
      <c r="Y99" s="11"/>
      <c r="Z99" s="14"/>
    </row>
    <row r="100" spans="2:26">
      <c r="B100" s="11"/>
      <c r="C100" s="11"/>
      <c r="E100" s="12"/>
      <c r="O100" s="4"/>
      <c r="P100" s="4"/>
      <c r="Q100" s="4"/>
      <c r="R100" s="4"/>
      <c r="X100" s="13"/>
      <c r="Y100" s="11"/>
      <c r="Z100" s="14"/>
    </row>
    <row r="101" spans="2:26">
      <c r="B101" s="11"/>
      <c r="C101" s="11"/>
      <c r="E101" s="12"/>
      <c r="O101" s="4"/>
      <c r="P101" s="4"/>
      <c r="Q101" s="4"/>
      <c r="R101" s="4"/>
      <c r="X101" s="13"/>
      <c r="Y101" s="11"/>
      <c r="Z101" s="14"/>
    </row>
    <row r="102" spans="2:26">
      <c r="B102" s="11"/>
      <c r="C102" s="11"/>
      <c r="E102" s="12"/>
      <c r="O102" s="4"/>
      <c r="P102" s="4"/>
      <c r="Q102" s="4"/>
      <c r="R102" s="4"/>
      <c r="X102" s="13"/>
      <c r="Y102" s="11"/>
      <c r="Z102" s="14"/>
    </row>
    <row r="103" spans="2:26">
      <c r="B103" s="11"/>
      <c r="C103" s="11"/>
      <c r="E103" s="12"/>
      <c r="O103" s="4"/>
      <c r="P103" s="4"/>
      <c r="Q103" s="4"/>
      <c r="R103" s="4"/>
      <c r="X103" s="13"/>
      <c r="Y103" s="11"/>
      <c r="Z103" s="14"/>
    </row>
    <row r="104" spans="2:26">
      <c r="B104" s="11"/>
      <c r="C104" s="11"/>
      <c r="E104" s="12"/>
      <c r="O104" s="4"/>
      <c r="P104" s="4"/>
      <c r="Q104" s="4"/>
      <c r="R104" s="4"/>
      <c r="X104" s="13"/>
      <c r="Y104" s="11"/>
      <c r="Z104" s="14"/>
    </row>
    <row r="105" spans="2:26">
      <c r="B105" s="11"/>
      <c r="C105" s="11"/>
      <c r="E105" s="12"/>
      <c r="O105" s="4"/>
      <c r="P105" s="4"/>
      <c r="Q105" s="4"/>
      <c r="R105" s="4"/>
      <c r="X105" s="13"/>
      <c r="Y105" s="11"/>
      <c r="Z105" s="14"/>
    </row>
    <row r="106" spans="2:26">
      <c r="B106" s="11"/>
      <c r="C106" s="11"/>
      <c r="E106" s="12"/>
      <c r="O106" s="4"/>
      <c r="P106" s="4"/>
      <c r="Q106" s="4"/>
      <c r="R106" s="4"/>
      <c r="X106" s="13"/>
      <c r="Y106" s="11"/>
      <c r="Z106" s="14"/>
    </row>
    <row r="107" spans="2:26">
      <c r="B107" s="11"/>
      <c r="C107" s="11"/>
      <c r="E107" s="12"/>
      <c r="O107" s="4"/>
      <c r="P107" s="4"/>
      <c r="Q107" s="4"/>
      <c r="R107" s="4"/>
      <c r="X107" s="13"/>
      <c r="Y107" s="11"/>
      <c r="Z107" s="14"/>
    </row>
    <row r="108" spans="2:26">
      <c r="B108" s="11"/>
      <c r="C108" s="11"/>
      <c r="E108" s="12"/>
      <c r="O108" s="4"/>
      <c r="P108" s="4"/>
      <c r="Q108" s="4"/>
      <c r="R108" s="4"/>
      <c r="X108" s="13"/>
      <c r="Y108" s="11"/>
      <c r="Z108" s="14"/>
    </row>
    <row r="109" spans="2:26">
      <c r="B109" s="11"/>
      <c r="C109" s="11"/>
      <c r="E109" s="12"/>
      <c r="O109" s="4"/>
      <c r="P109" s="4"/>
      <c r="Q109" s="4"/>
      <c r="R109" s="4"/>
      <c r="X109" s="13"/>
      <c r="Y109" s="11"/>
      <c r="Z109" s="14"/>
    </row>
    <row r="110" spans="2:26">
      <c r="B110" s="11"/>
      <c r="C110" s="11"/>
      <c r="E110" s="12"/>
      <c r="O110" s="4"/>
      <c r="P110" s="4"/>
      <c r="Q110" s="4"/>
      <c r="R110" s="4"/>
      <c r="X110" s="13"/>
      <c r="Y110" s="11"/>
      <c r="Z110" s="14"/>
    </row>
    <row r="111" spans="2:26">
      <c r="B111" s="11"/>
      <c r="C111" s="11"/>
      <c r="E111" s="12"/>
      <c r="O111" s="4"/>
      <c r="P111" s="4"/>
      <c r="Q111" s="4"/>
      <c r="R111" s="4"/>
      <c r="X111" s="13"/>
      <c r="Y111" s="11"/>
      <c r="Z111" s="14"/>
    </row>
    <row r="112" spans="2:26">
      <c r="B112" s="11"/>
      <c r="C112" s="11"/>
      <c r="E112" s="12"/>
      <c r="O112" s="4"/>
      <c r="P112" s="4"/>
      <c r="Q112" s="4"/>
      <c r="R112" s="4"/>
      <c r="X112" s="13"/>
      <c r="Y112" s="11"/>
      <c r="Z112" s="14"/>
    </row>
    <row r="113" spans="2:26">
      <c r="B113" s="11"/>
      <c r="C113" s="11"/>
      <c r="E113" s="12"/>
      <c r="O113" s="4"/>
      <c r="P113" s="4"/>
      <c r="Q113" s="4"/>
      <c r="R113" s="4"/>
      <c r="X113" s="13"/>
      <c r="Y113" s="11"/>
      <c r="Z113" s="14"/>
    </row>
    <row r="114" spans="2:26">
      <c r="B114" s="11"/>
      <c r="C114" s="11"/>
      <c r="E114" s="12"/>
      <c r="O114" s="4"/>
      <c r="P114" s="4"/>
      <c r="Q114" s="4"/>
      <c r="R114" s="4"/>
      <c r="X114" s="13"/>
      <c r="Y114" s="11"/>
      <c r="Z114" s="14"/>
    </row>
    <row r="115" spans="2:26">
      <c r="B115" s="11"/>
      <c r="C115" s="11"/>
      <c r="E115" s="12"/>
      <c r="O115" s="4"/>
      <c r="P115" s="4"/>
      <c r="Q115" s="4"/>
      <c r="R115" s="4"/>
      <c r="X115" s="13"/>
      <c r="Y115" s="11"/>
      <c r="Z115" s="14"/>
    </row>
    <row r="116" spans="2:26">
      <c r="B116" s="11"/>
      <c r="C116" s="11"/>
      <c r="E116" s="12"/>
      <c r="O116" s="4"/>
      <c r="P116" s="4"/>
      <c r="Q116" s="4"/>
      <c r="R116" s="4"/>
      <c r="X116" s="13"/>
      <c r="Y116" s="11"/>
      <c r="Z116" s="14"/>
    </row>
    <row r="117" spans="2:26">
      <c r="B117" s="11"/>
      <c r="C117" s="11"/>
      <c r="E117" s="12"/>
      <c r="O117" s="4"/>
      <c r="P117" s="4"/>
      <c r="Q117" s="4"/>
      <c r="R117" s="4"/>
      <c r="X117" s="13"/>
      <c r="Y117" s="11"/>
      <c r="Z117" s="14"/>
    </row>
    <row r="118" spans="2:26">
      <c r="B118" s="11"/>
      <c r="C118" s="11"/>
      <c r="E118" s="12"/>
      <c r="O118" s="4"/>
      <c r="P118" s="4"/>
      <c r="Q118" s="4"/>
      <c r="R118" s="4"/>
      <c r="X118" s="13"/>
      <c r="Y118" s="11"/>
      <c r="Z118" s="14"/>
    </row>
    <row r="119" spans="2:26">
      <c r="B119" s="11"/>
      <c r="C119" s="11"/>
      <c r="E119" s="12"/>
      <c r="O119" s="4"/>
      <c r="P119" s="4"/>
      <c r="Q119" s="4"/>
      <c r="R119" s="4"/>
      <c r="X119" s="13"/>
      <c r="Y119" s="11"/>
      <c r="Z119" s="14"/>
    </row>
    <row r="120" spans="2:26">
      <c r="B120" s="11"/>
      <c r="C120" s="11"/>
      <c r="E120" s="12"/>
      <c r="O120" s="4"/>
      <c r="P120" s="4"/>
      <c r="Q120" s="4"/>
      <c r="R120" s="4"/>
      <c r="X120" s="13"/>
      <c r="Y120" s="11"/>
      <c r="Z120" s="14"/>
    </row>
    <row r="121" spans="2:26">
      <c r="B121" s="11"/>
      <c r="C121" s="11"/>
      <c r="E121" s="12"/>
      <c r="O121" s="4"/>
      <c r="P121" s="4"/>
      <c r="Q121" s="4"/>
      <c r="R121" s="4"/>
      <c r="X121" s="13"/>
      <c r="Y121" s="11"/>
      <c r="Z121" s="14"/>
    </row>
    <row r="122" spans="2:26">
      <c r="B122" s="11"/>
      <c r="C122" s="11"/>
      <c r="E122" s="12"/>
      <c r="O122" s="4"/>
      <c r="P122" s="4"/>
      <c r="Q122" s="4"/>
      <c r="R122" s="4"/>
      <c r="X122" s="13"/>
      <c r="Y122" s="11"/>
      <c r="Z122" s="14"/>
    </row>
    <row r="123" spans="2:26">
      <c r="B123" s="11"/>
      <c r="C123" s="11"/>
      <c r="E123" s="12"/>
      <c r="O123" s="4"/>
      <c r="P123" s="4"/>
      <c r="Q123" s="4"/>
      <c r="R123" s="4"/>
      <c r="X123" s="13"/>
      <c r="Y123" s="11"/>
      <c r="Z123" s="14"/>
    </row>
    <row r="124" spans="2:26">
      <c r="B124" s="11"/>
      <c r="C124" s="11"/>
      <c r="E124" s="12"/>
      <c r="O124" s="4"/>
      <c r="P124" s="4"/>
      <c r="Q124" s="4"/>
      <c r="R124" s="4"/>
      <c r="X124" s="13"/>
      <c r="Y124" s="11"/>
      <c r="Z124" s="14"/>
    </row>
    <row r="125" spans="2:26">
      <c r="B125" s="11"/>
      <c r="C125" s="11"/>
      <c r="E125" s="12"/>
      <c r="O125" s="4"/>
      <c r="P125" s="4"/>
      <c r="Q125" s="4"/>
      <c r="R125" s="4"/>
      <c r="X125" s="13"/>
      <c r="Y125" s="11"/>
      <c r="Z125" s="14"/>
    </row>
    <row r="126" spans="2:26">
      <c r="B126" s="11"/>
      <c r="C126" s="11"/>
      <c r="E126" s="12"/>
      <c r="O126" s="4"/>
      <c r="P126" s="4"/>
      <c r="Q126" s="4"/>
      <c r="R126" s="4"/>
      <c r="X126" s="13"/>
      <c r="Y126" s="11"/>
      <c r="Z126" s="14"/>
    </row>
    <row r="127" spans="2:26">
      <c r="B127" s="11"/>
      <c r="C127" s="11"/>
      <c r="E127" s="12"/>
      <c r="O127" s="4"/>
      <c r="P127" s="4"/>
      <c r="Q127" s="4"/>
      <c r="R127" s="4"/>
      <c r="X127" s="13"/>
      <c r="Y127" s="11"/>
      <c r="Z127" s="14"/>
    </row>
    <row r="128" spans="2:26">
      <c r="B128" s="11"/>
      <c r="C128" s="11"/>
      <c r="E128" s="12"/>
      <c r="O128" s="4"/>
      <c r="P128" s="4"/>
      <c r="Q128" s="4"/>
      <c r="R128" s="4"/>
      <c r="X128" s="13"/>
      <c r="Y128" s="11"/>
      <c r="Z128" s="14"/>
    </row>
    <row r="129" spans="2:26">
      <c r="B129" s="11"/>
      <c r="C129" s="11"/>
      <c r="E129" s="12"/>
      <c r="O129" s="4"/>
      <c r="P129" s="4"/>
      <c r="Q129" s="4"/>
      <c r="R129" s="4"/>
      <c r="X129" s="13"/>
      <c r="Y129" s="11"/>
      <c r="Z129" s="14"/>
    </row>
    <row r="130" spans="2:26">
      <c r="B130" s="11"/>
      <c r="C130" s="11"/>
      <c r="E130" s="12"/>
      <c r="O130" s="4"/>
      <c r="P130" s="4"/>
      <c r="Q130" s="4"/>
      <c r="R130" s="4"/>
      <c r="X130" s="13"/>
      <c r="Y130" s="11"/>
      <c r="Z130" s="14"/>
    </row>
    <row r="131" spans="2:26">
      <c r="B131" s="11"/>
      <c r="C131" s="11"/>
      <c r="E131" s="12"/>
      <c r="O131" s="4"/>
      <c r="P131" s="4"/>
      <c r="Q131" s="4"/>
      <c r="R131" s="4"/>
      <c r="X131" s="13"/>
      <c r="Y131" s="11"/>
      <c r="Z131" s="14"/>
    </row>
    <row r="132" spans="2:26">
      <c r="B132" s="11"/>
      <c r="C132" s="11"/>
      <c r="E132" s="12"/>
      <c r="O132" s="4"/>
      <c r="P132" s="4"/>
      <c r="Q132" s="4"/>
      <c r="R132" s="4"/>
      <c r="X132" s="13"/>
      <c r="Y132" s="11"/>
      <c r="Z132" s="14"/>
    </row>
    <row r="133" spans="2:26">
      <c r="B133" s="11"/>
      <c r="C133" s="11"/>
      <c r="E133" s="12"/>
      <c r="O133" s="4"/>
      <c r="P133" s="4"/>
      <c r="Q133" s="4"/>
      <c r="R133" s="4"/>
      <c r="X133" s="13"/>
      <c r="Y133" s="11"/>
      <c r="Z133" s="14"/>
    </row>
    <row r="134" spans="2:26">
      <c r="B134" s="11"/>
      <c r="C134" s="11"/>
      <c r="E134" s="12"/>
      <c r="O134" s="4"/>
      <c r="P134" s="4"/>
      <c r="Q134" s="4"/>
      <c r="R134" s="4"/>
      <c r="X134" s="13"/>
      <c r="Y134" s="11"/>
      <c r="Z134" s="14"/>
    </row>
    <row r="135" spans="2:26">
      <c r="B135" s="11"/>
      <c r="C135" s="11"/>
      <c r="E135" s="12"/>
      <c r="O135" s="4"/>
      <c r="P135" s="4"/>
      <c r="Q135" s="4"/>
      <c r="R135" s="4"/>
      <c r="X135" s="13"/>
      <c r="Y135" s="11"/>
      <c r="Z135" s="14"/>
    </row>
    <row r="136" spans="2:26">
      <c r="B136" s="11"/>
      <c r="C136" s="11"/>
      <c r="E136" s="12"/>
      <c r="O136" s="4"/>
      <c r="P136" s="4"/>
      <c r="Q136" s="4"/>
      <c r="R136" s="4"/>
      <c r="X136" s="13"/>
      <c r="Y136" s="11"/>
      <c r="Z136" s="14"/>
    </row>
    <row r="137" spans="2:26">
      <c r="B137" s="11"/>
      <c r="C137" s="11"/>
      <c r="E137" s="12"/>
      <c r="O137" s="4"/>
      <c r="P137" s="4"/>
      <c r="Q137" s="4"/>
      <c r="R137" s="4"/>
      <c r="X137" s="13"/>
      <c r="Y137" s="11"/>
      <c r="Z137" s="14"/>
    </row>
    <row r="138" spans="2:26">
      <c r="B138" s="11"/>
      <c r="C138" s="11"/>
      <c r="E138" s="12"/>
      <c r="O138" s="4"/>
      <c r="P138" s="4"/>
      <c r="Q138" s="4"/>
      <c r="R138" s="4"/>
      <c r="X138" s="13"/>
      <c r="Y138" s="11"/>
      <c r="Z138" s="14"/>
    </row>
    <row r="139" spans="2:26">
      <c r="B139" s="11"/>
      <c r="C139" s="11"/>
      <c r="E139" s="12"/>
      <c r="O139" s="4"/>
      <c r="P139" s="4"/>
      <c r="Q139" s="4"/>
      <c r="R139" s="4"/>
      <c r="X139" s="13"/>
      <c r="Y139" s="11"/>
      <c r="Z139" s="14"/>
    </row>
    <row r="140" spans="2:26">
      <c r="B140" s="11"/>
      <c r="C140" s="11"/>
      <c r="E140" s="12"/>
      <c r="O140" s="4"/>
      <c r="P140" s="4"/>
      <c r="Q140" s="4"/>
      <c r="R140" s="4"/>
      <c r="X140" s="13"/>
      <c r="Y140" s="11"/>
      <c r="Z140" s="14"/>
    </row>
    <row r="141" spans="2:26">
      <c r="B141" s="11"/>
      <c r="C141" s="11"/>
      <c r="E141" s="12"/>
      <c r="O141" s="4"/>
      <c r="P141" s="4"/>
      <c r="Q141" s="4"/>
      <c r="R141" s="4"/>
      <c r="X141" s="13"/>
      <c r="Y141" s="11"/>
      <c r="Z141" s="14"/>
    </row>
    <row r="142" spans="2:26">
      <c r="B142" s="11"/>
      <c r="C142" s="11"/>
      <c r="E142" s="12"/>
      <c r="O142" s="4"/>
      <c r="P142" s="4"/>
      <c r="Q142" s="4"/>
      <c r="R142" s="4"/>
      <c r="X142" s="13"/>
      <c r="Y142" s="11"/>
      <c r="Z142" s="14"/>
    </row>
    <row r="143" spans="2:26">
      <c r="B143" s="11"/>
      <c r="C143" s="11"/>
      <c r="E143" s="12"/>
      <c r="O143" s="4"/>
      <c r="P143" s="4"/>
      <c r="Q143" s="4"/>
      <c r="R143" s="4"/>
      <c r="X143" s="13"/>
      <c r="Y143" s="11"/>
      <c r="Z143" s="14"/>
    </row>
    <row r="144" spans="2:26">
      <c r="B144" s="11"/>
      <c r="C144" s="11"/>
      <c r="E144" s="12"/>
      <c r="O144" s="4"/>
      <c r="P144" s="4"/>
      <c r="Q144" s="4"/>
      <c r="R144" s="4"/>
      <c r="X144" s="13"/>
      <c r="Y144" s="11"/>
      <c r="Z144" s="14"/>
    </row>
    <row r="145" spans="2:26">
      <c r="B145" s="11"/>
      <c r="C145" s="11"/>
      <c r="E145" s="12"/>
      <c r="O145" s="4"/>
      <c r="P145" s="4"/>
      <c r="Q145" s="4"/>
      <c r="R145" s="4"/>
      <c r="X145" s="13"/>
      <c r="Y145" s="11"/>
      <c r="Z145" s="14"/>
    </row>
    <row r="146" spans="2:26">
      <c r="B146" s="11"/>
      <c r="C146" s="11"/>
      <c r="E146" s="12"/>
      <c r="O146" s="4"/>
      <c r="P146" s="4"/>
      <c r="Q146" s="4"/>
      <c r="R146" s="4"/>
      <c r="X146" s="13"/>
      <c r="Y146" s="11"/>
      <c r="Z146" s="14"/>
    </row>
    <row r="147" spans="2:26">
      <c r="B147" s="11"/>
      <c r="C147" s="11"/>
      <c r="E147" s="12"/>
      <c r="O147" s="4"/>
      <c r="P147" s="4"/>
      <c r="Q147" s="4"/>
      <c r="R147" s="4"/>
      <c r="X147" s="13"/>
      <c r="Y147" s="11"/>
      <c r="Z147" s="14"/>
    </row>
    <row r="148" spans="2:26">
      <c r="B148" s="11"/>
      <c r="C148" s="11"/>
      <c r="E148" s="12"/>
      <c r="O148" s="4"/>
      <c r="P148" s="4"/>
      <c r="Q148" s="4"/>
      <c r="R148" s="4"/>
      <c r="X148" s="13"/>
      <c r="Y148" s="11"/>
      <c r="Z148" s="14"/>
    </row>
    <row r="149" spans="2:26">
      <c r="B149" s="11"/>
      <c r="C149" s="11"/>
      <c r="E149" s="12"/>
      <c r="O149" s="4"/>
      <c r="P149" s="4"/>
      <c r="Q149" s="4"/>
      <c r="R149" s="4"/>
      <c r="X149" s="13"/>
      <c r="Y149" s="11"/>
      <c r="Z149" s="14"/>
    </row>
    <row r="150" spans="2:26">
      <c r="B150" s="11"/>
      <c r="C150" s="11"/>
      <c r="E150" s="12"/>
      <c r="O150" s="4"/>
      <c r="P150" s="4"/>
      <c r="Q150" s="4"/>
      <c r="R150" s="4"/>
      <c r="X150" s="13"/>
      <c r="Y150" s="11"/>
      <c r="Z150" s="14"/>
    </row>
    <row r="151" spans="2:26">
      <c r="B151" s="11"/>
      <c r="C151" s="11"/>
      <c r="E151" s="12"/>
      <c r="O151" s="4"/>
      <c r="P151" s="4"/>
      <c r="Q151" s="4"/>
      <c r="R151" s="4"/>
      <c r="X151" s="13"/>
      <c r="Y151" s="11"/>
      <c r="Z151" s="14"/>
    </row>
    <row r="152" spans="2:26">
      <c r="B152" s="11"/>
      <c r="C152" s="11"/>
      <c r="E152" s="12"/>
      <c r="O152" s="4"/>
      <c r="P152" s="4"/>
      <c r="Q152" s="4"/>
      <c r="R152" s="4"/>
      <c r="X152" s="13"/>
      <c r="Y152" s="11"/>
      <c r="Z152" s="14"/>
    </row>
    <row r="153" spans="2:26">
      <c r="B153" s="11"/>
      <c r="C153" s="11"/>
      <c r="E153" s="12"/>
      <c r="O153" s="4"/>
      <c r="P153" s="4"/>
      <c r="Q153" s="4"/>
      <c r="R153" s="4"/>
      <c r="X153" s="13"/>
      <c r="Y153" s="11"/>
      <c r="Z153" s="14"/>
    </row>
    <row r="154" spans="2:26">
      <c r="B154" s="11"/>
      <c r="C154" s="11"/>
      <c r="E154" s="12"/>
      <c r="O154" s="4"/>
      <c r="P154" s="4"/>
      <c r="Q154" s="4"/>
      <c r="R154" s="4"/>
      <c r="X154" s="13"/>
      <c r="Y154" s="11"/>
      <c r="Z154" s="14"/>
    </row>
    <row r="155" spans="2:26">
      <c r="B155" s="11"/>
      <c r="C155" s="11"/>
      <c r="E155" s="12"/>
      <c r="O155" s="4"/>
      <c r="P155" s="4"/>
      <c r="Q155" s="4"/>
      <c r="R155" s="4"/>
      <c r="X155" s="13"/>
      <c r="Y155" s="11"/>
      <c r="Z155" s="14"/>
    </row>
    <row r="156" spans="2:26">
      <c r="B156" s="11"/>
      <c r="C156" s="11"/>
      <c r="E156" s="12"/>
      <c r="O156" s="4"/>
      <c r="P156" s="4"/>
      <c r="Q156" s="4"/>
      <c r="R156" s="4"/>
      <c r="X156" s="13"/>
      <c r="Y156" s="11"/>
      <c r="Z156" s="14"/>
    </row>
    <row r="157" spans="2:26">
      <c r="B157" s="11"/>
      <c r="C157" s="11"/>
      <c r="E157" s="12"/>
      <c r="O157" s="4"/>
      <c r="P157" s="4"/>
      <c r="Q157" s="4"/>
      <c r="R157" s="4"/>
      <c r="X157" s="13"/>
      <c r="Y157" s="11"/>
      <c r="Z157" s="14"/>
    </row>
    <row r="158" spans="2:26">
      <c r="B158" s="11"/>
      <c r="C158" s="11"/>
      <c r="E158" s="12"/>
      <c r="O158" s="4"/>
      <c r="P158" s="4"/>
      <c r="Q158" s="4"/>
      <c r="R158" s="4"/>
      <c r="X158" s="13"/>
      <c r="Y158" s="11"/>
      <c r="Z158" s="14"/>
    </row>
    <row r="159" spans="2:26">
      <c r="X159" s="17"/>
    </row>
    <row r="160" spans="2:26">
      <c r="X160" s="17"/>
    </row>
    <row r="161" spans="24:24">
      <c r="X161" s="17"/>
    </row>
    <row r="162" spans="24:24">
      <c r="X162" s="17"/>
    </row>
    <row r="163" spans="24:24">
      <c r="X163" s="17"/>
    </row>
    <row r="164" spans="24:24">
      <c r="X164" s="17"/>
    </row>
    <row r="165" spans="24:24">
      <c r="X165" s="17"/>
    </row>
    <row r="166" spans="24:24">
      <c r="X166" s="17"/>
    </row>
    <row r="167" spans="24:24">
      <c r="X167" s="17"/>
    </row>
    <row r="168" spans="24:24">
      <c r="X168" s="17"/>
    </row>
    <row r="169" spans="24:24">
      <c r="X169" s="17"/>
    </row>
    <row r="170" spans="24:24">
      <c r="X170" s="17"/>
    </row>
    <row r="171" spans="24:24">
      <c r="X171" s="17"/>
    </row>
    <row r="172" spans="24:24">
      <c r="X172" s="17"/>
    </row>
    <row r="173" spans="24:24">
      <c r="X173" s="17"/>
    </row>
    <row r="174" spans="24:24">
      <c r="X174" s="17"/>
    </row>
    <row r="175" spans="24:24">
      <c r="X175" s="17"/>
    </row>
    <row r="176" spans="24:24">
      <c r="X176" s="17"/>
    </row>
    <row r="177" spans="24:24">
      <c r="X177" s="17"/>
    </row>
    <row r="178" spans="24:24">
      <c r="X178" s="17"/>
    </row>
    <row r="179" spans="24:24">
      <c r="X179" s="17"/>
    </row>
    <row r="180" spans="24:24">
      <c r="X180" s="17"/>
    </row>
    <row r="181" spans="24:24">
      <c r="X181" s="17"/>
    </row>
    <row r="182" spans="24:24">
      <c r="X182" s="17"/>
    </row>
    <row r="183" spans="24:24">
      <c r="X183" s="17"/>
    </row>
    <row r="184" spans="24:24">
      <c r="X184" s="17"/>
    </row>
    <row r="185" spans="24:24">
      <c r="X185" s="17"/>
    </row>
    <row r="186" spans="24:24">
      <c r="X186" s="17"/>
    </row>
    <row r="187" spans="24:24">
      <c r="X187" s="17"/>
    </row>
    <row r="188" spans="24:24">
      <c r="X188" s="17"/>
    </row>
    <row r="189" spans="24:24">
      <c r="X189" s="17"/>
    </row>
    <row r="190" spans="24:24">
      <c r="X190" s="17"/>
    </row>
    <row r="191" spans="24:24">
      <c r="X191" s="17"/>
    </row>
    <row r="192" spans="24:24">
      <c r="X192" s="17"/>
    </row>
    <row r="193" spans="24:24">
      <c r="X193" s="17"/>
    </row>
    <row r="194" spans="24:24">
      <c r="X194" s="17"/>
    </row>
    <row r="195" spans="24:24">
      <c r="X195" s="17"/>
    </row>
    <row r="196" spans="24:24">
      <c r="X196" s="17"/>
    </row>
    <row r="197" spans="24:24">
      <c r="X197" s="17"/>
    </row>
    <row r="198" spans="24:24">
      <c r="X198" s="17"/>
    </row>
    <row r="199" spans="24:24">
      <c r="X199" s="17"/>
    </row>
    <row r="200" spans="24:24">
      <c r="X200" s="17"/>
    </row>
    <row r="201" spans="24:24">
      <c r="X201" s="17"/>
    </row>
    <row r="202" spans="24:24">
      <c r="X202" s="17"/>
    </row>
    <row r="203" spans="24:24">
      <c r="X203" s="17"/>
    </row>
    <row r="204" spans="24:24">
      <c r="X204" s="17"/>
    </row>
    <row r="205" spans="24:24">
      <c r="X205" s="17"/>
    </row>
    <row r="206" spans="24:24">
      <c r="X206" s="17"/>
    </row>
    <row r="207" spans="24:24">
      <c r="X207" s="17"/>
    </row>
    <row r="208" spans="24:24">
      <c r="X208" s="17"/>
    </row>
    <row r="209" spans="24:24">
      <c r="X209" s="17"/>
    </row>
    <row r="210" spans="24:24">
      <c r="X210" s="17"/>
    </row>
    <row r="211" spans="24:24">
      <c r="X211" s="17"/>
    </row>
    <row r="212" spans="24:24">
      <c r="X212" s="17"/>
    </row>
    <row r="213" spans="24:24">
      <c r="X213" s="17"/>
    </row>
    <row r="214" spans="24:24">
      <c r="X214" s="17"/>
    </row>
    <row r="215" spans="24:24">
      <c r="X215" s="17"/>
    </row>
    <row r="216" spans="24:24">
      <c r="X216" s="17"/>
    </row>
    <row r="217" spans="24:24">
      <c r="X217" s="17"/>
    </row>
    <row r="218" spans="24:24">
      <c r="X218" s="17"/>
    </row>
    <row r="219" spans="24:24">
      <c r="X219" s="17"/>
    </row>
    <row r="220" spans="24:24">
      <c r="X220" s="17"/>
    </row>
    <row r="221" spans="24:24">
      <c r="X221" s="17"/>
    </row>
    <row r="222" spans="24:24">
      <c r="X222" s="17"/>
    </row>
    <row r="223" spans="24:24">
      <c r="X223" s="17"/>
    </row>
    <row r="224" spans="24:24">
      <c r="X224" s="17"/>
    </row>
    <row r="225" spans="24:24">
      <c r="X225" s="17"/>
    </row>
    <row r="226" spans="24:24">
      <c r="X226" s="17"/>
    </row>
    <row r="227" spans="24:24">
      <c r="X227" s="17"/>
    </row>
    <row r="228" spans="24:24">
      <c r="X228" s="17"/>
    </row>
    <row r="229" spans="24:24">
      <c r="X229" s="17"/>
    </row>
    <row r="230" spans="24:24">
      <c r="X230" s="17"/>
    </row>
    <row r="231" spans="24:24">
      <c r="X231" s="17"/>
    </row>
    <row r="232" spans="24:24">
      <c r="X232" s="17"/>
    </row>
    <row r="233" spans="24:24">
      <c r="X233" s="17"/>
    </row>
    <row r="234" spans="24:24">
      <c r="X234" s="17"/>
    </row>
    <row r="235" spans="24:24">
      <c r="X235" s="17"/>
    </row>
    <row r="236" spans="24:24">
      <c r="X236" s="17"/>
    </row>
    <row r="237" spans="24:24">
      <c r="X237" s="17"/>
    </row>
    <row r="238" spans="24:24">
      <c r="X238" s="17"/>
    </row>
    <row r="239" spans="24:24">
      <c r="X239" s="17"/>
    </row>
    <row r="240" spans="24:24">
      <c r="X240" s="17"/>
    </row>
    <row r="241" spans="24:24">
      <c r="X241" s="17"/>
    </row>
    <row r="242" spans="24:24">
      <c r="X242" s="17"/>
    </row>
    <row r="243" spans="24:24">
      <c r="X243" s="17"/>
    </row>
    <row r="244" spans="24:24">
      <c r="X244" s="17"/>
    </row>
    <row r="245" spans="24:24">
      <c r="X245" s="17"/>
    </row>
    <row r="246" spans="24:24">
      <c r="X246" s="17"/>
    </row>
    <row r="247" spans="24:24">
      <c r="X247" s="17"/>
    </row>
    <row r="248" spans="24:24">
      <c r="X248" s="17"/>
    </row>
    <row r="249" spans="24:24">
      <c r="X249" s="17"/>
    </row>
    <row r="250" spans="24:24">
      <c r="X250" s="17"/>
    </row>
    <row r="251" spans="24:24">
      <c r="X251" s="17"/>
    </row>
    <row r="252" spans="24:24">
      <c r="X252" s="17"/>
    </row>
    <row r="253" spans="24:24">
      <c r="X253" s="17"/>
    </row>
    <row r="254" spans="24:24">
      <c r="X254" s="17"/>
    </row>
    <row r="255" spans="24:24">
      <c r="X255" s="17"/>
    </row>
    <row r="256" spans="24:24">
      <c r="X256" s="17"/>
    </row>
    <row r="257" spans="24:24">
      <c r="X257" s="17"/>
    </row>
    <row r="258" spans="24:24">
      <c r="X258" s="17"/>
    </row>
    <row r="259" spans="24:24">
      <c r="X259" s="17"/>
    </row>
    <row r="260" spans="24:24">
      <c r="X260" s="17"/>
    </row>
    <row r="261" spans="24:24">
      <c r="X261" s="17"/>
    </row>
    <row r="262" spans="24:24">
      <c r="X262" s="17"/>
    </row>
    <row r="263" spans="24:24">
      <c r="X263" s="17"/>
    </row>
    <row r="264" spans="24:24">
      <c r="X264" s="17"/>
    </row>
    <row r="265" spans="24:24">
      <c r="X265" s="17"/>
    </row>
    <row r="266" spans="24:24">
      <c r="X266" s="17"/>
    </row>
    <row r="267" spans="24:24">
      <c r="X267" s="17"/>
    </row>
    <row r="268" spans="24:24">
      <c r="X268" s="17"/>
    </row>
    <row r="269" spans="24:24">
      <c r="X269" s="17"/>
    </row>
    <row r="270" spans="24:24">
      <c r="X270" s="17"/>
    </row>
    <row r="271" spans="24:24">
      <c r="X271" s="17"/>
    </row>
    <row r="272" spans="24:24">
      <c r="X272" s="17"/>
    </row>
    <row r="273" spans="24:24">
      <c r="X273" s="17"/>
    </row>
    <row r="274" spans="24:24">
      <c r="X274" s="17"/>
    </row>
    <row r="275" spans="24:24">
      <c r="X275" s="17"/>
    </row>
    <row r="276" spans="24:24">
      <c r="X276" s="17"/>
    </row>
    <row r="277" spans="24:24">
      <c r="X277" s="17"/>
    </row>
    <row r="278" spans="24:24">
      <c r="X278" s="17"/>
    </row>
    <row r="279" spans="24:24">
      <c r="X279" s="17"/>
    </row>
    <row r="280" spans="24:24">
      <c r="X280" s="17"/>
    </row>
    <row r="281" spans="24:24">
      <c r="X281" s="17"/>
    </row>
    <row r="282" spans="24:24">
      <c r="X282" s="17"/>
    </row>
    <row r="283" spans="24:24">
      <c r="X283" s="17"/>
    </row>
    <row r="284" spans="24:24">
      <c r="X284" s="17"/>
    </row>
    <row r="285" spans="24:24">
      <c r="X285" s="17"/>
    </row>
    <row r="286" spans="24:24">
      <c r="X286" s="17"/>
    </row>
    <row r="287" spans="24:24">
      <c r="X287" s="17"/>
    </row>
    <row r="288" spans="24:24">
      <c r="X288" s="17"/>
    </row>
    <row r="289" spans="24:24">
      <c r="X289" s="17"/>
    </row>
    <row r="290" spans="24:24">
      <c r="X290" s="17"/>
    </row>
    <row r="291" spans="24:24">
      <c r="X291" s="17"/>
    </row>
    <row r="292" spans="24:24">
      <c r="X292" s="17"/>
    </row>
    <row r="293" spans="24:24">
      <c r="X293" s="17"/>
    </row>
    <row r="294" spans="24:24">
      <c r="X294" s="17"/>
    </row>
    <row r="295" spans="24:24">
      <c r="X295" s="17"/>
    </row>
    <row r="296" spans="24:24">
      <c r="X296" s="17"/>
    </row>
    <row r="297" spans="24:24">
      <c r="X297" s="17"/>
    </row>
    <row r="298" spans="24:24">
      <c r="X298" s="17"/>
    </row>
    <row r="299" spans="24:24">
      <c r="X299" s="17"/>
    </row>
    <row r="300" spans="24:24">
      <c r="X300" s="17"/>
    </row>
    <row r="301" spans="24:24">
      <c r="X301" s="17"/>
    </row>
    <row r="302" spans="24:24">
      <c r="X302" s="17"/>
    </row>
    <row r="303" spans="24:24">
      <c r="X303" s="17"/>
    </row>
    <row r="304" spans="24:24">
      <c r="X304" s="17"/>
    </row>
    <row r="305" spans="24:24">
      <c r="X305" s="17"/>
    </row>
    <row r="306" spans="24:24">
      <c r="X306" s="17"/>
    </row>
    <row r="307" spans="24:24">
      <c r="X307" s="17"/>
    </row>
    <row r="308" spans="24:24">
      <c r="X308" s="17"/>
    </row>
    <row r="309" spans="24:24">
      <c r="X309" s="17"/>
    </row>
    <row r="310" spans="24:24">
      <c r="X310" s="17"/>
    </row>
    <row r="311" spans="24:24">
      <c r="X311" s="17"/>
    </row>
    <row r="312" spans="24:24">
      <c r="X312" s="17"/>
    </row>
    <row r="313" spans="24:24">
      <c r="X313" s="17"/>
    </row>
    <row r="314" spans="24:24">
      <c r="X314" s="17"/>
    </row>
    <row r="315" spans="24:24">
      <c r="X315" s="17"/>
    </row>
    <row r="316" spans="24:24">
      <c r="X316" s="17"/>
    </row>
    <row r="317" spans="24:24">
      <c r="X317" s="17"/>
    </row>
    <row r="318" spans="24:24">
      <c r="X318" s="17"/>
    </row>
    <row r="319" spans="24:24">
      <c r="X319" s="17"/>
    </row>
    <row r="320" spans="24:24">
      <c r="X320" s="17"/>
    </row>
    <row r="321" spans="24:24">
      <c r="X321" s="17"/>
    </row>
    <row r="322" spans="24:24">
      <c r="X322" s="17"/>
    </row>
    <row r="323" spans="24:24">
      <c r="X323" s="17"/>
    </row>
    <row r="324" spans="24:24">
      <c r="X324" s="17"/>
    </row>
    <row r="325" spans="24:24">
      <c r="X325" s="17"/>
    </row>
    <row r="326" spans="24:24">
      <c r="X326" s="17"/>
    </row>
    <row r="327" spans="24:24">
      <c r="X327" s="17"/>
    </row>
    <row r="328" spans="24:24">
      <c r="X328" s="17"/>
    </row>
    <row r="329" spans="24:24">
      <c r="X329" s="17"/>
    </row>
    <row r="330" spans="24:24">
      <c r="X330" s="17"/>
    </row>
    <row r="331" spans="24:24">
      <c r="X331" s="17"/>
    </row>
    <row r="332" spans="24:24">
      <c r="X332" s="17"/>
    </row>
    <row r="333" spans="24:24">
      <c r="X333" s="17"/>
    </row>
    <row r="334" spans="24:24">
      <c r="X334" s="17"/>
    </row>
    <row r="335" spans="24:24">
      <c r="X335" s="17"/>
    </row>
    <row r="336" spans="24:24">
      <c r="X336" s="17"/>
    </row>
    <row r="337" spans="24:24">
      <c r="X337" s="17"/>
    </row>
    <row r="338" spans="24:24">
      <c r="X338" s="17"/>
    </row>
    <row r="339" spans="24:24">
      <c r="X339" s="17"/>
    </row>
    <row r="340" spans="24:24">
      <c r="X340" s="17"/>
    </row>
    <row r="341" spans="24:24">
      <c r="X341" s="17"/>
    </row>
    <row r="342" spans="24:24">
      <c r="X342" s="17"/>
    </row>
    <row r="343" spans="24:24">
      <c r="X343" s="17"/>
    </row>
    <row r="344" spans="24:24">
      <c r="X344" s="17"/>
    </row>
    <row r="345" spans="24:24">
      <c r="X345" s="17"/>
    </row>
    <row r="346" spans="24:24">
      <c r="X346" s="17"/>
    </row>
    <row r="347" spans="24:24">
      <c r="X347" s="17"/>
    </row>
    <row r="348" spans="24:24">
      <c r="X348" s="17"/>
    </row>
    <row r="349" spans="24:24">
      <c r="X349" s="17"/>
    </row>
    <row r="350" spans="24:24">
      <c r="X350" s="17"/>
    </row>
    <row r="351" spans="24:24">
      <c r="X351" s="17"/>
    </row>
    <row r="352" spans="24:24">
      <c r="X352" s="17"/>
    </row>
    <row r="353" spans="24:24">
      <c r="X353" s="17"/>
    </row>
    <row r="354" spans="24:24">
      <c r="X354" s="17"/>
    </row>
    <row r="355" spans="24:24">
      <c r="X355" s="17"/>
    </row>
    <row r="356" spans="24:24">
      <c r="X356" s="17"/>
    </row>
    <row r="357" spans="24:24">
      <c r="X357" s="17"/>
    </row>
    <row r="358" spans="24:24">
      <c r="X358" s="17"/>
    </row>
  </sheetData>
  <mergeCells count="8">
    <mergeCell ref="O1:P1"/>
    <mergeCell ref="X1:AA1"/>
    <mergeCell ref="D1:F1"/>
    <mergeCell ref="G1:I1"/>
    <mergeCell ref="M1:N1"/>
    <mergeCell ref="J1:L1"/>
    <mergeCell ref="U1:W1"/>
    <mergeCell ref="Q1:T1"/>
  </mergeCells>
  <phoneticPr fontId="2" type="noConversion"/>
  <conditionalFormatting sqref="J3:J1048576">
    <cfRule type="expression" dxfId="4" priority="1">
      <formula>J3&gt;D3</formula>
    </cfRule>
  </conditionalFormatting>
  <conditionalFormatting sqref="L3:L1048576">
    <cfRule type="expression" dxfId="3" priority="2">
      <formula>L3&lt;D3</formula>
    </cfRule>
  </conditionalFormatting>
  <conditionalFormatting sqref="M3:M1048576">
    <cfRule type="expression" dxfId="2" priority="9">
      <formula>M3&gt;D3</formula>
    </cfRule>
  </conditionalFormatting>
  <conditionalFormatting sqref="N3:N1048576">
    <cfRule type="expression" dxfId="1" priority="3">
      <formula>N3&lt;D3</formula>
    </cfRule>
  </conditionalFormatting>
  <conditionalFormatting sqref="Z3:Z1048576">
    <cfRule type="expression" dxfId="0" priority="4">
      <formula>Z3&lt;TODAY()</formula>
    </cfRule>
  </conditionalFormatting>
  <pageMargins left="0.25" right="0.25" top="0.75" bottom="0.75" header="0.3" footer="0.3"/>
  <pageSetup scale="5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8B86-2106-47AA-B6E8-452642EDB9D4}">
  <sheetPr>
    <tabColor theme="4" tint="-0.249977111117893"/>
  </sheetPr>
  <dimension ref="A1"/>
  <sheetViews>
    <sheetView showGridLines="0" showRowColHeaders="0" topLeftCell="A1048576" workbookViewId="0">
      <selection sqref="A1:XFD1048576"/>
    </sheetView>
  </sheetViews>
  <sheetFormatPr defaultColWidth="9" defaultRowHeight="15.75" customHeight="1" zeroHeight="1"/>
  <cols>
    <col min="1" max="16384" width="9" style="71"/>
  </cols>
  <sheetData/>
  <phoneticPr fontId="2"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0D14-1F64-4D73-BBAC-22718A84BD18}">
  <dimension ref="A1:E31"/>
  <sheetViews>
    <sheetView showGridLines="0" zoomScaleNormal="100" workbookViewId="0">
      <selection activeCell="D5" sqref="D5"/>
    </sheetView>
  </sheetViews>
  <sheetFormatPr defaultColWidth="8.796875" defaultRowHeight="11.65"/>
  <cols>
    <col min="1" max="1" width="2.46484375" style="1" customWidth="1"/>
    <col min="2" max="2" width="30.1328125" style="1" bestFit="1" customWidth="1"/>
    <col min="3" max="5" width="15.6640625" style="1" customWidth="1"/>
    <col min="6" max="16384" width="8.796875" style="1"/>
  </cols>
  <sheetData>
    <row r="1" spans="1:5">
      <c r="B1" s="20" t="s">
        <v>140</v>
      </c>
    </row>
    <row r="2" spans="1:5">
      <c r="A2" s="31"/>
      <c r="B2" s="32" t="s">
        <v>15</v>
      </c>
      <c r="C2" s="18"/>
      <c r="D2" s="22"/>
      <c r="E2" s="18"/>
    </row>
    <row r="3" spans="1:5">
      <c r="C3" s="28" t="s">
        <v>16</v>
      </c>
      <c r="D3" s="28" t="s">
        <v>17</v>
      </c>
      <c r="E3" s="28" t="s">
        <v>18</v>
      </c>
    </row>
    <row r="4" spans="1:5">
      <c r="B4" s="33" t="s">
        <v>19</v>
      </c>
      <c r="C4" s="34">
        <v>4.41E-2</v>
      </c>
      <c r="D4" s="34">
        <v>7.4999999999999997E-2</v>
      </c>
      <c r="E4" s="35">
        <f>D4-C4</f>
        <v>3.0899999999999997E-2</v>
      </c>
    </row>
    <row r="5" spans="1:5">
      <c r="B5" s="33" t="s">
        <v>20</v>
      </c>
      <c r="C5" s="34">
        <v>1.9E-2</v>
      </c>
      <c r="D5" s="34">
        <v>3.1E-2</v>
      </c>
      <c r="E5" s="35">
        <f>D5-C5</f>
        <v>1.2E-2</v>
      </c>
    </row>
    <row r="6" spans="1:5">
      <c r="B6" s="33" t="s">
        <v>21</v>
      </c>
      <c r="C6" s="34">
        <v>3.4500000000000003E-2</v>
      </c>
      <c r="D6" s="34">
        <v>5.2499999999999998E-2</v>
      </c>
      <c r="E6" s="35">
        <f>D6-C6</f>
        <v>1.7999999999999995E-2</v>
      </c>
    </row>
    <row r="8" spans="1:5">
      <c r="A8" s="31"/>
      <c r="B8" s="32" t="s">
        <v>22</v>
      </c>
    </row>
    <row r="9" spans="1:5">
      <c r="B9" s="1" t="s">
        <v>54</v>
      </c>
      <c r="C9" s="28" t="s">
        <v>23</v>
      </c>
    </row>
    <row r="10" spans="1:5">
      <c r="B10" s="26" t="s">
        <v>24</v>
      </c>
      <c r="C10" s="34">
        <v>9.9400000000000002E-2</v>
      </c>
    </row>
    <row r="11" spans="1:5">
      <c r="B11" s="26" t="s">
        <v>25</v>
      </c>
      <c r="C11" s="34">
        <v>0.1174</v>
      </c>
    </row>
    <row r="12" spans="1:5">
      <c r="B12" s="26" t="s">
        <v>26</v>
      </c>
      <c r="C12" s="34">
        <v>3.4500000000000003E-2</v>
      </c>
    </row>
    <row r="13" spans="1:5">
      <c r="B13" s="26" t="s">
        <v>27</v>
      </c>
      <c r="C13" s="34">
        <v>3.3099999999999997E-2</v>
      </c>
    </row>
    <row r="14" spans="1:5">
      <c r="B14" s="26" t="s">
        <v>28</v>
      </c>
      <c r="C14" s="34">
        <v>4.2299999999999997E-2</v>
      </c>
    </row>
    <row r="15" spans="1:5">
      <c r="B15" s="26" t="s">
        <v>29</v>
      </c>
      <c r="C15" s="34">
        <v>5.1200000000000002E-2</v>
      </c>
    </row>
    <row r="16" spans="1:5">
      <c r="B16" s="36" t="s">
        <v>62</v>
      </c>
      <c r="C16" s="37">
        <f>MAX(Portfolio_Mgmt!C36,C10:C15)</f>
        <v>0.1174</v>
      </c>
    </row>
    <row r="18" spans="1:5">
      <c r="A18" s="31"/>
      <c r="B18" s="32" t="s">
        <v>30</v>
      </c>
      <c r="C18" s="18"/>
      <c r="D18" s="22"/>
      <c r="E18" s="18"/>
    </row>
    <row r="19" spans="1:5">
      <c r="B19" s="18" t="s">
        <v>31</v>
      </c>
      <c r="C19" s="38" t="s">
        <v>32</v>
      </c>
    </row>
    <row r="20" spans="1:5">
      <c r="B20" s="1" t="s">
        <v>33</v>
      </c>
      <c r="C20" s="38" t="s">
        <v>34</v>
      </c>
    </row>
    <row r="21" spans="1:5">
      <c r="B21" s="1" t="s">
        <v>35</v>
      </c>
      <c r="C21" s="38" t="s">
        <v>36</v>
      </c>
    </row>
    <row r="22" spans="1:5">
      <c r="C22" s="38"/>
    </row>
    <row r="23" spans="1:5">
      <c r="B23" s="1" t="s">
        <v>37</v>
      </c>
      <c r="C23" s="38" t="s">
        <v>38</v>
      </c>
    </row>
    <row r="24" spans="1:5">
      <c r="B24" s="1" t="s">
        <v>39</v>
      </c>
      <c r="C24" s="38" t="s">
        <v>40</v>
      </c>
    </row>
    <row r="25" spans="1:5">
      <c r="C25" s="38"/>
    </row>
    <row r="26" spans="1:5">
      <c r="B26" s="1" t="s">
        <v>41</v>
      </c>
      <c r="C26" s="38" t="s">
        <v>42</v>
      </c>
    </row>
    <row r="27" spans="1:5">
      <c r="B27" s="1" t="s">
        <v>43</v>
      </c>
      <c r="C27" s="38" t="s">
        <v>44</v>
      </c>
    </row>
    <row r="28" spans="1:5">
      <c r="C28" s="38"/>
    </row>
    <row r="29" spans="1:5">
      <c r="B29" s="1" t="s">
        <v>45</v>
      </c>
      <c r="C29" s="38" t="s">
        <v>46</v>
      </c>
    </row>
    <row r="31" spans="1:5">
      <c r="B31" s="1" t="s">
        <v>47</v>
      </c>
      <c r="C31" s="38" t="s">
        <v>48</v>
      </c>
    </row>
  </sheetData>
  <phoneticPr fontId="2" type="noConversion"/>
  <hyperlinks>
    <hyperlink ref="C23" r:id="rId1" xr:uid="{6B546AA7-2B0C-4428-81DD-DF73E91105ED}"/>
    <hyperlink ref="C19" r:id="rId2" xr:uid="{FBF6514A-AA7C-492E-837D-9693F4B1BF61}"/>
    <hyperlink ref="C29" r:id="rId3" xr:uid="{0B536BD0-1C9D-48D9-BE87-499C48D7A2DA}"/>
    <hyperlink ref="C20" r:id="rId4" xr:uid="{64320D73-0C91-4543-A716-CC8C239E517C}"/>
    <hyperlink ref="C24" r:id="rId5" xr:uid="{46AE8994-AE24-48A7-A28B-525FF601CDC5}"/>
    <hyperlink ref="C26" r:id="rId6" xr:uid="{93438CEE-3750-4D25-A9C7-1AB257F771BF}"/>
    <hyperlink ref="C27" r:id="rId7" xr:uid="{6BFFE2DD-44EE-4536-9535-5B23C094A18E}"/>
    <hyperlink ref="C21" r:id="rId8" xr:uid="{343B68E0-A2FF-4A26-9F49-F7D9A2BDC147}"/>
    <hyperlink ref="C31" r:id="rId9" xr:uid="{05CFC315-F57E-4B19-9DA2-2DADD0FC3616}"/>
  </hyperlinks>
  <pageMargins left="0.7" right="0.7" top="0.75" bottom="0.75" header="0.3" footer="0.3"/>
  <pageSetup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F047E-EC38-4C3A-BA81-E6C9549453D6}">
  <dimension ref="A1:L36"/>
  <sheetViews>
    <sheetView showGridLines="0" tabSelected="1" zoomScaleNormal="100" workbookViewId="0">
      <selection activeCell="K8" sqref="K8"/>
    </sheetView>
  </sheetViews>
  <sheetFormatPr defaultColWidth="9" defaultRowHeight="12.75"/>
  <cols>
    <col min="1" max="1" width="2.6640625" style="64" customWidth="1"/>
    <col min="2" max="2" width="17.33203125" style="64" bestFit="1" customWidth="1"/>
    <col min="3" max="3" width="13.796875" style="64" bestFit="1" customWidth="1"/>
    <col min="4" max="4" width="9" style="64"/>
    <col min="5" max="6" width="15.6640625" style="64" customWidth="1"/>
    <col min="7" max="8" width="10" style="64" customWidth="1"/>
    <col min="9" max="16384" width="9" style="64"/>
  </cols>
  <sheetData>
    <row r="1" spans="1:12" ht="13.15">
      <c r="A1" s="62"/>
      <c r="B1" s="63" t="s">
        <v>210</v>
      </c>
    </row>
    <row r="2" spans="1:12" ht="29.75" customHeight="1">
      <c r="B2" s="65" t="s">
        <v>2</v>
      </c>
      <c r="C2" s="65" t="s">
        <v>213</v>
      </c>
      <c r="D2" s="65" t="s">
        <v>212</v>
      </c>
      <c r="E2" s="65" t="s">
        <v>211</v>
      </c>
      <c r="F2" s="65" t="s">
        <v>216</v>
      </c>
      <c r="G2" s="65" t="s">
        <v>223</v>
      </c>
      <c r="H2" s="65" t="s">
        <v>198</v>
      </c>
      <c r="I2" s="65" t="s">
        <v>228</v>
      </c>
      <c r="J2" s="65" t="s">
        <v>290</v>
      </c>
      <c r="K2" s="65" t="s">
        <v>291</v>
      </c>
      <c r="L2" s="65" t="s">
        <v>292</v>
      </c>
    </row>
    <row r="3" spans="1:12">
      <c r="B3" s="76" t="s">
        <v>27</v>
      </c>
      <c r="C3" s="74" t="s">
        <v>215</v>
      </c>
      <c r="D3" s="73" t="s">
        <v>214</v>
      </c>
      <c r="E3" s="75" t="s">
        <v>215</v>
      </c>
      <c r="F3" s="70">
        <f>261699.08+56485.43</f>
        <v>318184.51</v>
      </c>
      <c r="G3" s="72">
        <f>F3/$F$11</f>
        <v>0.34274399920779408</v>
      </c>
      <c r="H3" s="89">
        <f>Portfolio_Mgmt!E61</f>
        <v>0.3</v>
      </c>
      <c r="I3" s="95" t="s">
        <v>293</v>
      </c>
      <c r="J3" s="95" t="s">
        <v>293</v>
      </c>
      <c r="K3" s="95" t="s">
        <v>293</v>
      </c>
      <c r="L3" s="95" t="s">
        <v>293</v>
      </c>
    </row>
    <row r="4" spans="1:12">
      <c r="B4" s="77" t="s">
        <v>242</v>
      </c>
      <c r="C4" s="74">
        <f>VLOOKUP(B4,Opportunities!B$3:E$30,3,FALSE)</f>
        <v>7</v>
      </c>
      <c r="D4" s="73" t="str">
        <f>VLOOKUP(B4,Opportunities!B$3:E$30,4,FALSE)</f>
        <v>HKD</v>
      </c>
      <c r="E4" s="70">
        <v>10000</v>
      </c>
      <c r="F4" s="75">
        <f>E4*C4</f>
        <v>70000</v>
      </c>
      <c r="G4" s="72">
        <f>F4/$F$11</f>
        <v>7.5403041915980087E-2</v>
      </c>
      <c r="H4" s="72">
        <f>VLOOKUP(B4,Opportunities!B$3:I$30,8,FALSE)</f>
        <v>0</v>
      </c>
      <c r="I4" s="96">
        <f>VLOOKUP(B4,Opportunities!B$3:N$30,12,FALSE)</f>
        <v>5.7516264485219777</v>
      </c>
      <c r="J4" s="96">
        <f>VLOOKUP(B4,Opportunities!B$3:N$30,9,FALSE)</f>
        <v>4.1425095190074117</v>
      </c>
      <c r="K4" s="96">
        <f>VLOOKUP(B4,Opportunities!B$3:N$30,11,FALSE)</f>
        <v>8.2033288760043543</v>
      </c>
      <c r="L4" s="96">
        <f>VLOOKUP(B4,Opportunities!B$3:N$30,13,FALSE)</f>
        <v>7.3430724473298525</v>
      </c>
    </row>
    <row r="5" spans="1:12">
      <c r="B5" s="77" t="s">
        <v>219</v>
      </c>
      <c r="C5" s="74">
        <f>VLOOKUP(B5,Opportunities!B$3:E$30,3,FALSE)</f>
        <v>15.34</v>
      </c>
      <c r="D5" s="73" t="str">
        <f>VLOOKUP(B5,Opportunities!B$3:E$30,4,FALSE)</f>
        <v>HKD</v>
      </c>
      <c r="E5" s="70">
        <v>9000</v>
      </c>
      <c r="F5" s="75">
        <f>C5*E5</f>
        <v>138060</v>
      </c>
      <c r="G5" s="72">
        <f>F5/$F$11</f>
        <v>0.14871634238457446</v>
      </c>
      <c r="H5" s="72">
        <f>VLOOKUP(B5,Opportunities!B$3:I$30,8,FALSE)</f>
        <v>0.1174923965586554</v>
      </c>
      <c r="I5" s="96">
        <f>VLOOKUP(B5,Opportunities!B$3:N$30,12,FALSE)</f>
        <v>15.182840115395532</v>
      </c>
      <c r="J5" s="96">
        <f>VLOOKUP(B5,Opportunities!B$3:N$30,9,FALSE)</f>
        <v>10.815599169312769</v>
      </c>
      <c r="K5" s="96">
        <f>VLOOKUP(B5,Opportunities!B$3:N$30,11,FALSE)</f>
        <v>21.869291517229851</v>
      </c>
      <c r="L5" s="96">
        <f>VLOOKUP(B5,Opportunities!B$3:N$30,13,FALSE)</f>
        <v>19.519758327401224</v>
      </c>
    </row>
    <row r="6" spans="1:12">
      <c r="B6" s="77" t="s">
        <v>267</v>
      </c>
      <c r="C6" s="74">
        <f>VLOOKUP(B6,Opportunities!B$3:E$30,3,FALSE)</f>
        <v>18.2</v>
      </c>
      <c r="D6" s="73" t="str">
        <f>VLOOKUP(B6,Opportunities!B$3:E$30,4,FALSE)</f>
        <v>HKD</v>
      </c>
      <c r="E6" s="70">
        <v>8000</v>
      </c>
      <c r="F6" s="75">
        <f>C6*E6</f>
        <v>145600</v>
      </c>
      <c r="G6" s="72">
        <f>F6/$F$11</f>
        <v>0.1568383271852386</v>
      </c>
      <c r="H6" s="72">
        <f>VLOOKUP(B6,Opportunities!B$3:I$30,8,FALSE)</f>
        <v>0.18015144156959984</v>
      </c>
      <c r="I6" s="96">
        <f>VLOOKUP(B6,Opportunities!B$3:N$30,12,FALSE)</f>
        <v>18.337300584497786</v>
      </c>
      <c r="J6" s="96">
        <f>VLOOKUP(B6,Opportunities!B$3:N$30,9,FALSE)</f>
        <v>13.205422300699611</v>
      </c>
      <c r="K6" s="96">
        <f>VLOOKUP(B6,Opportunities!B$3:N$30,11,FALSE)</f>
        <v>26.156856530881274</v>
      </c>
      <c r="L6" s="96">
        <f>VLOOKUP(B6,Opportunities!B$3:N$30,13,FALSE)</f>
        <v>23.413072782636526</v>
      </c>
    </row>
    <row r="7" spans="1:12">
      <c r="B7" s="77" t="s">
        <v>256</v>
      </c>
      <c r="C7" s="74">
        <f>VLOOKUP(B7,Opportunities!B$3:E$30,3,FALSE)</f>
        <v>1.99</v>
      </c>
      <c r="D7" s="73" t="str">
        <f>VLOOKUP(B7,Opportunities!B$3:E$30,4,FALSE)</f>
        <v>HKD</v>
      </c>
      <c r="E7" s="70">
        <f>2000*30</f>
        <v>60000</v>
      </c>
      <c r="F7" s="75">
        <f>C7*E7</f>
        <v>119400</v>
      </c>
      <c r="G7" s="72">
        <f>F7/$F$11</f>
        <v>0.12861604578240032</v>
      </c>
      <c r="H7" s="72">
        <f>VLOOKUP(B7,Opportunities!B$3:I$30,8,FALSE)</f>
        <v>0.18026077629450138</v>
      </c>
      <c r="I7" s="96">
        <f>VLOOKUP(B7,Opportunities!B$3:N$30,12,FALSE)</f>
        <v>2.0059433277310297</v>
      </c>
      <c r="J7" s="96">
        <f>VLOOKUP(B7,Opportunities!B$3:N$30,9,FALSE)</f>
        <v>1.4344998625246426</v>
      </c>
      <c r="K7" s="96">
        <f>VLOOKUP(B7,Opportunities!B$3:N$30,11,FALSE)</f>
        <v>2.8793876964252627</v>
      </c>
      <c r="L7" s="96">
        <f>VLOOKUP(B7,Opportunities!B$3:N$30,13,FALSE)</f>
        <v>2.5726225898672386</v>
      </c>
    </row>
    <row r="8" spans="1:12">
      <c r="B8" s="77" t="s">
        <v>284</v>
      </c>
      <c r="C8" s="74">
        <f>VLOOKUP(B8,Opportunities!B$3:E$30,3,FALSE)</f>
        <v>5.64</v>
      </c>
      <c r="D8" s="73" t="str">
        <f>VLOOKUP(B8,Opportunities!B$3:E$30,4,FALSE)</f>
        <v>HKD</v>
      </c>
      <c r="E8" s="70">
        <v>10000</v>
      </c>
      <c r="F8" s="75">
        <f>C8*E8</f>
        <v>56400</v>
      </c>
      <c r="G8" s="72">
        <f t="shared" ref="G8" si="0">F8/$F$11</f>
        <v>6.0753308058018242E-2</v>
      </c>
      <c r="H8" s="72">
        <f>VLOOKUP(B8,Opportunities!B$3:I$30,8,FALSE)</f>
        <v>0</v>
      </c>
      <c r="I8" s="96">
        <f>VLOOKUP(B8,Opportunities!B$3:N$30,12,FALSE)</f>
        <v>4.8197379854720408</v>
      </c>
      <c r="J8" s="96">
        <f>VLOOKUP(B8,Opportunities!B$3:N$30,9,FALSE)</f>
        <v>3.4769479145113666</v>
      </c>
      <c r="K8" s="96">
        <f>VLOOKUP(B8,Opportunities!B$3:N$30,11,FALSE)</f>
        <v>6.8641356814360206</v>
      </c>
      <c r="L8" s="96">
        <f>VLOOKUP(B8,Opportunities!B$3:N$30,13,FALSE)</f>
        <v>6.1469536878205542</v>
      </c>
    </row>
    <row r="9" spans="1:12">
      <c r="B9" s="77" t="s">
        <v>287</v>
      </c>
      <c r="C9" s="74">
        <f>VLOOKUP(B9,Opportunities!B$3:E$30,3,FALSE)</f>
        <v>2.69</v>
      </c>
      <c r="D9" s="73" t="str">
        <f>VLOOKUP(B9,Opportunities!B$3:E$30,4,FALSE)</f>
        <v>HKD</v>
      </c>
      <c r="E9" s="70">
        <v>30000</v>
      </c>
      <c r="F9" s="75">
        <f>C9*E9</f>
        <v>80700</v>
      </c>
      <c r="G9" s="72">
        <f t="shared" ref="G9" si="1">F9/$F$11</f>
        <v>8.6928935465994187E-2</v>
      </c>
      <c r="H9" s="72">
        <f>VLOOKUP(B9,Opportunities!B$3:I$30,8,FALSE)</f>
        <v>0.22209538557724331</v>
      </c>
      <c r="I9" s="96">
        <f>VLOOKUP(B9,Opportunities!B$3:N$30,12,FALSE)</f>
        <v>3.039853505232323</v>
      </c>
      <c r="J9" s="96">
        <f>VLOOKUP(B9,Opportunities!B$3:N$30,9,FALSE)</f>
        <v>2.2019752270440667</v>
      </c>
      <c r="K9" s="96">
        <f>VLOOKUP(B9,Opportunities!B$3:N$30,11,FALSE)</f>
        <v>4.3130669791905083</v>
      </c>
      <c r="L9" s="96">
        <f>VLOOKUP(B9,Opportunities!B$3:N$30,13,FALSE)</f>
        <v>3.8666759160925035</v>
      </c>
    </row>
    <row r="10" spans="1:12">
      <c r="B10" s="66"/>
      <c r="C10" s="69"/>
      <c r="D10" s="66"/>
      <c r="H10" s="88"/>
    </row>
    <row r="11" spans="1:12" ht="13.15">
      <c r="B11" s="78"/>
      <c r="C11" s="79"/>
      <c r="D11" s="78"/>
      <c r="E11" s="80" t="s">
        <v>222</v>
      </c>
      <c r="F11" s="80">
        <f>SUM(F3:F9)</f>
        <v>928344.51</v>
      </c>
      <c r="G11" s="81">
        <f>SUM(G3:G9)</f>
        <v>1</v>
      </c>
      <c r="H11" s="87">
        <f>SUM(H3:H9)</f>
        <v>0.99999999999999989</v>
      </c>
      <c r="I11" s="97" t="s">
        <v>293</v>
      </c>
      <c r="J11" s="97" t="s">
        <v>293</v>
      </c>
      <c r="K11" s="97" t="s">
        <v>293</v>
      </c>
      <c r="L11" s="97" t="s">
        <v>293</v>
      </c>
    </row>
    <row r="12" spans="1:12">
      <c r="B12" s="66"/>
      <c r="C12" s="69"/>
      <c r="D12" s="66"/>
      <c r="E12" s="70"/>
      <c r="F12" s="70"/>
    </row>
    <row r="13" spans="1:12" ht="13.15">
      <c r="A13" s="62"/>
      <c r="B13" s="63" t="s">
        <v>220</v>
      </c>
    </row>
    <row r="14" spans="1:12">
      <c r="B14" s="77" t="s">
        <v>287</v>
      </c>
      <c r="C14" s="74">
        <f>VLOOKUP(B14,Opportunities!B$3:E$30,3,FALSE)</f>
        <v>2.69</v>
      </c>
      <c r="D14" s="73" t="str">
        <f>VLOOKUP(B14,Opportunities!B$3:E$30,4,FALSE)</f>
        <v>HKD</v>
      </c>
      <c r="E14" s="70">
        <v>0</v>
      </c>
      <c r="F14" s="75">
        <f>-C14*E14</f>
        <v>0</v>
      </c>
      <c r="G14" s="72">
        <f>-F14/$F$11</f>
        <v>0</v>
      </c>
      <c r="H14" s="72">
        <f>VLOOKUP(B14,Opportunities!B$3:I$30,8,FALSE)</f>
        <v>0.22209538557724331</v>
      </c>
      <c r="I14" s="96">
        <f>VLOOKUP(B14,Opportunities!B$3:N$30,12,FALSE)</f>
        <v>3.039853505232323</v>
      </c>
      <c r="J14" s="96">
        <f>VLOOKUP(B14,Opportunities!B$3:N$30,9,FALSE)</f>
        <v>2.2019752270440667</v>
      </c>
      <c r="K14" s="96">
        <f>VLOOKUP(B14,Opportunities!B$3:N$30,11,FALSE)</f>
        <v>4.3130669791905083</v>
      </c>
      <c r="L14" s="96">
        <f>VLOOKUP(B14,Opportunities!B$3:N$30,13,FALSE)</f>
        <v>3.8666759160925035</v>
      </c>
    </row>
    <row r="15" spans="1:12">
      <c r="B15" s="77" t="s">
        <v>242</v>
      </c>
      <c r="C15" s="74">
        <f>VLOOKUP(B15,Opportunities!B$3:E$30,3,FALSE)</f>
        <v>7</v>
      </c>
      <c r="D15" s="73" t="str">
        <f>VLOOKUP(B15,Opportunities!B$3:E$30,4,FALSE)</f>
        <v>HKD</v>
      </c>
      <c r="E15" s="70">
        <v>0</v>
      </c>
      <c r="F15" s="75">
        <f>-C15*E15</f>
        <v>0</v>
      </c>
      <c r="G15" s="72">
        <f>-F15/$F$11</f>
        <v>0</v>
      </c>
      <c r="H15" s="72">
        <f>VLOOKUP(B15,Opportunities!B$3:I$30,8,FALSE)</f>
        <v>0</v>
      </c>
      <c r="I15" s="96">
        <f>VLOOKUP(B15,Opportunities!B$3:N$30,12,FALSE)</f>
        <v>5.7516264485219777</v>
      </c>
      <c r="J15" s="96">
        <f>VLOOKUP(B15,Opportunities!B$3:N$30,9,FALSE)</f>
        <v>4.1425095190074117</v>
      </c>
      <c r="K15" s="96">
        <f>VLOOKUP(B15,Opportunities!B$3:N$30,11,FALSE)</f>
        <v>8.2033288760043543</v>
      </c>
      <c r="L15" s="96">
        <f>VLOOKUP(B15,Opportunities!B$3:N$30,13,FALSE)</f>
        <v>7.3430724473298525</v>
      </c>
    </row>
    <row r="16" spans="1:12">
      <c r="B16" s="77" t="s">
        <v>284</v>
      </c>
      <c r="C16" s="74">
        <f>VLOOKUP(B16,Opportunities!B$3:E$30,3,FALSE)</f>
        <v>5.64</v>
      </c>
      <c r="D16" s="73" t="str">
        <f>VLOOKUP(B16,Opportunities!B$3:E$30,4,FALSE)</f>
        <v>HKD</v>
      </c>
      <c r="E16" s="70">
        <v>0</v>
      </c>
      <c r="F16" s="75">
        <f>-C16*E16</f>
        <v>0</v>
      </c>
      <c r="G16" s="72">
        <f>-F16/$F$11</f>
        <v>0</v>
      </c>
      <c r="H16" s="72">
        <f>VLOOKUP(B16,Opportunities!B$3:I$30,8,FALSE)</f>
        <v>0</v>
      </c>
      <c r="I16" s="96">
        <f>VLOOKUP(B16,Opportunities!B$3:N$30,12,FALSE)</f>
        <v>4.8197379854720408</v>
      </c>
      <c r="J16" s="96">
        <f>VLOOKUP(B16,Opportunities!B$3:N$30,9,FALSE)</f>
        <v>3.4769479145113666</v>
      </c>
      <c r="K16" s="96">
        <f>VLOOKUP(B16,Opportunities!B$3:N$30,11,FALSE)</f>
        <v>6.8641356814360206</v>
      </c>
      <c r="L16" s="96">
        <f>VLOOKUP(B16,Opportunities!B$3:N$30,13,FALSE)</f>
        <v>6.1469536878205542</v>
      </c>
    </row>
    <row r="17" spans="1:12">
      <c r="B17" s="77" t="s">
        <v>267</v>
      </c>
      <c r="C17" s="74">
        <f>VLOOKUP(B17,Opportunities!B$3:E$30,3,FALSE)</f>
        <v>18.2</v>
      </c>
      <c r="D17" s="73" t="str">
        <f>VLOOKUP(B17,Opportunities!B$3:E$30,4,FALSE)</f>
        <v>HKD</v>
      </c>
      <c r="E17" s="70">
        <v>0</v>
      </c>
      <c r="F17" s="75">
        <f>-C17*E17</f>
        <v>0</v>
      </c>
      <c r="G17" s="72">
        <f>-F17/$F$11</f>
        <v>0</v>
      </c>
      <c r="H17" s="72">
        <f>VLOOKUP(B17,Opportunities!B$3:I$30,8,FALSE)</f>
        <v>0.18015144156959984</v>
      </c>
      <c r="I17" s="96">
        <f>VLOOKUP(B17,Opportunities!B$3:N$30,12,FALSE)</f>
        <v>18.337300584497786</v>
      </c>
      <c r="J17" s="96">
        <f>VLOOKUP(B17,Opportunities!B$3:N$30,9,FALSE)</f>
        <v>13.205422300699611</v>
      </c>
      <c r="K17" s="96">
        <f>VLOOKUP(B17,Opportunities!B$3:N$30,11,FALSE)</f>
        <v>26.156856530881274</v>
      </c>
      <c r="L17" s="96">
        <f>VLOOKUP(B17,Opportunities!B$3:N$30,13,FALSE)</f>
        <v>23.413072782636526</v>
      </c>
    </row>
    <row r="18" spans="1:12">
      <c r="G18" s="86"/>
      <c r="H18" s="86"/>
    </row>
    <row r="19" spans="1:12" ht="13.15">
      <c r="B19" s="82" t="s">
        <v>221</v>
      </c>
      <c r="C19" s="83" t="s">
        <v>215</v>
      </c>
      <c r="D19" s="84" t="s">
        <v>153</v>
      </c>
      <c r="E19" s="83" t="s">
        <v>215</v>
      </c>
      <c r="F19" s="80">
        <f>F3+SUM(F14:F17)</f>
        <v>318184.51</v>
      </c>
      <c r="G19" s="87">
        <f t="shared" ref="G19" si="2">F19/$F$11</f>
        <v>0.34274399920779408</v>
      </c>
      <c r="H19" s="87">
        <f>Portfolio_Mgmt!E61</f>
        <v>0.3</v>
      </c>
      <c r="I19" s="97" t="s">
        <v>293</v>
      </c>
      <c r="J19" s="97" t="s">
        <v>293</v>
      </c>
      <c r="K19" s="97" t="s">
        <v>293</v>
      </c>
      <c r="L19" s="97" t="s">
        <v>293</v>
      </c>
    </row>
    <row r="21" spans="1:12" ht="13.15">
      <c r="A21" s="62"/>
      <c r="B21" s="63" t="s">
        <v>296</v>
      </c>
      <c r="C21" s="69"/>
      <c r="D21" s="66"/>
      <c r="E21" s="70"/>
      <c r="F21" s="70"/>
    </row>
    <row r="22" spans="1:12" ht="13.15">
      <c r="C22" s="99" t="s">
        <v>297</v>
      </c>
      <c r="D22" s="99" t="s">
        <v>300</v>
      </c>
      <c r="E22" s="99" t="s">
        <v>301</v>
      </c>
    </row>
    <row r="23" spans="1:12" ht="14.25">
      <c r="B23" s="98" t="s">
        <v>298</v>
      </c>
      <c r="C23" s="103">
        <v>200000</v>
      </c>
      <c r="D23" s="104">
        <v>7.8629699999999998</v>
      </c>
      <c r="E23" s="101">
        <f>C23/D23</f>
        <v>25435.681428264383</v>
      </c>
    </row>
    <row r="24" spans="1:12" ht="14.25">
      <c r="B24" s="98" t="s">
        <v>299</v>
      </c>
      <c r="C24" s="101">
        <f>E23</f>
        <v>25435.681428264383</v>
      </c>
      <c r="D24" s="104">
        <v>7.8387000000000002</v>
      </c>
      <c r="E24" s="100">
        <f>C24*D24</f>
        <v>199382.67601173601</v>
      </c>
    </row>
    <row r="25" spans="1:12" ht="14.25">
      <c r="C25"/>
      <c r="D25"/>
      <c r="E25"/>
    </row>
    <row r="26" spans="1:12" ht="14.25">
      <c r="C26"/>
      <c r="D26" s="102" t="s">
        <v>302</v>
      </c>
      <c r="E26" s="100">
        <f>C23-E24</f>
        <v>617.32398826399003</v>
      </c>
    </row>
    <row r="31" spans="1:12">
      <c r="B31" s="66"/>
      <c r="C31" s="69"/>
      <c r="D31" s="66"/>
      <c r="E31" s="70"/>
      <c r="F31" s="70"/>
    </row>
    <row r="32" spans="1:12">
      <c r="B32" s="66"/>
      <c r="C32" s="69"/>
      <c r="D32" s="66"/>
      <c r="E32" s="70"/>
      <c r="F32" s="70"/>
    </row>
    <row r="33" spans="2:6">
      <c r="B33" s="66"/>
      <c r="C33" s="69"/>
      <c r="D33" s="66"/>
      <c r="E33" s="70"/>
      <c r="F33" s="70"/>
    </row>
    <row r="34" spans="2:6">
      <c r="B34" s="66"/>
      <c r="C34" s="69"/>
      <c r="D34" s="66"/>
      <c r="E34" s="70"/>
      <c r="F34" s="70"/>
    </row>
    <row r="35" spans="2:6">
      <c r="B35" s="66"/>
      <c r="C35" s="69"/>
      <c r="D35" s="66"/>
      <c r="E35" s="70"/>
      <c r="F35" s="70"/>
    </row>
    <row r="36" spans="2:6">
      <c r="B36" s="66"/>
      <c r="C36" s="67"/>
      <c r="D36" s="66"/>
      <c r="E36" s="68"/>
      <c r="F36" s="68"/>
    </row>
  </sheetData>
  <phoneticPr fontId="2" type="noConversion"/>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47BDC-FAEF-412F-B13E-867203D1820E}">
  <dimension ref="A1:D41"/>
  <sheetViews>
    <sheetView showGridLines="0" workbookViewId="0">
      <selection activeCell="C52" sqref="C52"/>
    </sheetView>
  </sheetViews>
  <sheetFormatPr defaultColWidth="9" defaultRowHeight="11.65"/>
  <cols>
    <col min="1" max="1" width="2.6640625" style="1" customWidth="1"/>
    <col min="2" max="2" width="27.1328125" style="1" customWidth="1"/>
    <col min="3" max="3" width="34.33203125" style="1" customWidth="1"/>
    <col min="4" max="4" width="28.796875" style="1" customWidth="1"/>
    <col min="5" max="16384" width="9" style="1"/>
  </cols>
  <sheetData>
    <row r="1" spans="1:4">
      <c r="B1" s="20" t="s">
        <v>97</v>
      </c>
    </row>
    <row r="2" spans="1:4">
      <c r="A2" s="5"/>
      <c r="B2" s="6" t="s">
        <v>98</v>
      </c>
    </row>
    <row r="3" spans="1:4">
      <c r="B3" s="117" t="s">
        <v>99</v>
      </c>
      <c r="C3" s="117"/>
      <c r="D3" s="117"/>
    </row>
    <row r="5" spans="1:4">
      <c r="B5" s="118" t="s">
        <v>101</v>
      </c>
      <c r="C5" s="106"/>
      <c r="D5" s="106"/>
    </row>
    <row r="6" spans="1:4">
      <c r="B6" s="118" t="s">
        <v>102</v>
      </c>
      <c r="C6" s="106"/>
      <c r="D6" s="106"/>
    </row>
    <row r="8" spans="1:4">
      <c r="B8" s="1" t="s">
        <v>100</v>
      </c>
    </row>
    <row r="10" spans="1:4">
      <c r="A10" s="5"/>
      <c r="B10" s="6" t="s">
        <v>103</v>
      </c>
    </row>
    <row r="11" spans="1:4">
      <c r="B11" s="117" t="s">
        <v>104</v>
      </c>
      <c r="C11" s="117"/>
      <c r="D11" s="117"/>
    </row>
    <row r="12" spans="1:4">
      <c r="B12" s="117" t="s">
        <v>105</v>
      </c>
      <c r="C12" s="117"/>
      <c r="D12" s="117"/>
    </row>
    <row r="14" spans="1:4">
      <c r="B14" s="23" t="s">
        <v>137</v>
      </c>
    </row>
    <row r="16" spans="1:4" ht="12.4">
      <c r="B16" s="30" t="s">
        <v>114</v>
      </c>
      <c r="C16" s="30" t="s">
        <v>115</v>
      </c>
    </row>
    <row r="17" spans="1:4">
      <c r="B17" s="26" t="s">
        <v>106</v>
      </c>
      <c r="C17" s="26" t="s">
        <v>110</v>
      </c>
    </row>
    <row r="18" spans="1:4">
      <c r="B18" s="26" t="s">
        <v>107</v>
      </c>
      <c r="C18" s="26" t="s">
        <v>111</v>
      </c>
    </row>
    <row r="19" spans="1:4">
      <c r="B19" s="26" t="s">
        <v>108</v>
      </c>
      <c r="C19" s="26" t="s">
        <v>112</v>
      </c>
    </row>
    <row r="20" spans="1:4">
      <c r="B20" s="26" t="s">
        <v>109</v>
      </c>
      <c r="C20" s="26" t="s">
        <v>113</v>
      </c>
    </row>
    <row r="21" spans="1:4">
      <c r="B21" s="26" t="s">
        <v>129</v>
      </c>
      <c r="C21" s="26" t="s">
        <v>130</v>
      </c>
    </row>
    <row r="22" spans="1:4">
      <c r="B22" s="26" t="s">
        <v>131</v>
      </c>
      <c r="C22" s="26" t="s">
        <v>132</v>
      </c>
    </row>
    <row r="23" spans="1:4">
      <c r="B23" s="26" t="s">
        <v>133</v>
      </c>
      <c r="C23" s="26" t="s">
        <v>134</v>
      </c>
    </row>
    <row r="24" spans="1:4">
      <c r="B24" s="26" t="s">
        <v>138</v>
      </c>
      <c r="C24" s="26" t="s">
        <v>139</v>
      </c>
    </row>
    <row r="25" spans="1:4">
      <c r="B25" s="26" t="s">
        <v>135</v>
      </c>
      <c r="C25" s="26" t="s">
        <v>136</v>
      </c>
    </row>
    <row r="27" spans="1:4">
      <c r="A27" s="5"/>
      <c r="B27" s="6" t="s">
        <v>116</v>
      </c>
    </row>
    <row r="28" spans="1:4">
      <c r="B28" s="117" t="s">
        <v>117</v>
      </c>
      <c r="C28" s="117"/>
      <c r="D28" s="117"/>
    </row>
    <row r="29" spans="1:4">
      <c r="B29" s="117" t="s">
        <v>118</v>
      </c>
      <c r="C29" s="117"/>
      <c r="D29" s="117"/>
    </row>
    <row r="31" spans="1:4">
      <c r="A31" s="5"/>
      <c r="B31" s="6" t="s">
        <v>119</v>
      </c>
    </row>
    <row r="32" spans="1:4">
      <c r="A32" s="28" t="s">
        <v>63</v>
      </c>
      <c r="B32" s="23" t="s">
        <v>120</v>
      </c>
    </row>
    <row r="33" spans="1:2">
      <c r="B33" s="1" t="s">
        <v>121</v>
      </c>
    </row>
    <row r="35" spans="1:2">
      <c r="A35" s="28" t="s">
        <v>123</v>
      </c>
      <c r="B35" s="23" t="s">
        <v>122</v>
      </c>
    </row>
    <row r="36" spans="1:2">
      <c r="B36" s="1" t="s">
        <v>124</v>
      </c>
    </row>
    <row r="38" spans="1:2">
      <c r="A38" s="5"/>
      <c r="B38" s="6" t="s">
        <v>125</v>
      </c>
    </row>
    <row r="39" spans="1:2">
      <c r="B39" s="24" t="s">
        <v>126</v>
      </c>
    </row>
    <row r="40" spans="1:2">
      <c r="B40" s="1" t="s">
        <v>127</v>
      </c>
    </row>
    <row r="41" spans="1:2">
      <c r="B41" s="1" t="s">
        <v>128</v>
      </c>
    </row>
  </sheetData>
  <mergeCells count="7">
    <mergeCell ref="B28:D28"/>
    <mergeCell ref="B29:D29"/>
    <mergeCell ref="B3:D3"/>
    <mergeCell ref="B5:D5"/>
    <mergeCell ref="B6:D6"/>
    <mergeCell ref="B11:D11"/>
    <mergeCell ref="B12:D1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2</vt:i4>
      </vt:variant>
    </vt:vector>
  </HeadingPairs>
  <TitlesOfParts>
    <vt:vector size="8" baseType="lpstr">
      <vt:lpstr>Portfolio_Mgmt</vt:lpstr>
      <vt:lpstr>Opportunities</vt:lpstr>
      <vt:lpstr>Aux&gt;</vt:lpstr>
      <vt:lpstr>Market_Yield</vt:lpstr>
      <vt:lpstr>Holdings</vt:lpstr>
      <vt:lpstr>Comp_Group</vt:lpstr>
      <vt:lpstr>benchmark</vt:lpstr>
      <vt:lpstr>Cash_Yield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2025-05-09T08:26:46Z</cp:lastPrinted>
  <dcterms:created xsi:type="dcterms:W3CDTF">2022-12-06T06:37:33Z</dcterms:created>
  <dcterms:modified xsi:type="dcterms:W3CDTF">2025-06-17T06:05:13Z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f64dec8e</vt:lpwstr>
  </property>
</Properties>
</file>