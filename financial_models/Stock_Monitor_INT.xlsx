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142A517-3ED3-4CF1-9BBE-C8E82523CEA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C16" i="7"/>
  <c r="D16" i="7"/>
  <c r="G16" i="7" s="1"/>
  <c r="E16" i="7"/>
  <c r="I16" i="7"/>
  <c r="J16" i="7"/>
  <c r="K16" i="7"/>
  <c r="L16" i="7"/>
  <c r="M16" i="7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7" i="7"/>
  <c r="J17" i="7"/>
  <c r="K17" i="7"/>
  <c r="L17" i="7"/>
  <c r="M17" i="7"/>
  <c r="C13" i="7"/>
  <c r="C14" i="7"/>
  <c r="C15" i="7"/>
  <c r="C17" i="7"/>
  <c r="C12" i="7"/>
  <c r="C5" i="7"/>
  <c r="C6" i="7"/>
  <c r="C7" i="7"/>
  <c r="C4" i="7"/>
  <c r="D17" i="7"/>
  <c r="G17" i="7" s="1"/>
  <c r="E17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4" i="7"/>
  <c r="C25" i="7" s="1"/>
  <c r="F25" i="7" s="1"/>
  <c r="F27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20" i="7" s="1"/>
  <c r="G4" i="7"/>
  <c r="E33" i="10" l="1"/>
  <c r="G9" i="7"/>
  <c r="H17" i="7" l="1"/>
  <c r="H16" i="7"/>
  <c r="H6" i="7"/>
  <c r="H15" i="7"/>
  <c r="H7" i="7"/>
  <c r="H14" i="7"/>
  <c r="E72" i="5"/>
  <c r="E73" i="5" s="1"/>
  <c r="H13" i="7" l="1"/>
  <c r="H12" i="7"/>
  <c r="H5" i="7"/>
  <c r="H4" i="7"/>
  <c r="H20" i="7"/>
  <c r="C10" i="5"/>
  <c r="C11" i="5"/>
  <c r="E6" i="2"/>
  <c r="E5" i="2"/>
  <c r="E4" i="2"/>
  <c r="C11" i="10" l="1"/>
  <c r="C10" i="10"/>
  <c r="I20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<sst xmlns="http://schemas.openxmlformats.org/spreadsheetml/2006/main" count="464" uniqueCount="387">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</sst>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B38" sqref="B3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3" sqref="B2:N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10.73</v>
      </c>
      <c r="E3" s="12" t="s">
        <v>135</v>
      </c>
      <c r="F3" s="15">
        <v>0.21077952890145579</v>
      </c>
      <c r="G3" s="15">
        <f>F3 - Portfolio_Mgmt!$C$10</f>
        <v>9.3379528901455788E-2</v>
      </c>
      <c r="H3" s="15">
        <f>F3 - Portfolio_Mgmt!$C$11</f>
        <v>0.17627952890145579</v>
      </c>
      <c r="I3" s="15">
        <v>8.6287188996535327E-2</v>
      </c>
      <c r="J3" s="2">
        <v>8.8567073541407026</v>
      </c>
      <c r="K3" s="2">
        <v>16.876615244077868</v>
      </c>
      <c r="L3" s="71">
        <v>15.22132284821037</v>
      </c>
      <c r="M3" s="2">
        <v>10.989418574505121</v>
      </c>
      <c r="N3" s="2">
        <v>13.519731241292133</v>
      </c>
      <c r="O3" s="4">
        <v>9.1584666084687946E-2</v>
      </c>
      <c r="P3" s="4">
        <v>5.4978527306616974E-2</v>
      </c>
      <c r="Q3" s="4">
        <v>0.10095601131136619</v>
      </c>
      <c r="R3" s="4">
        <v>0.12639558936200029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1.7046624544217344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331</v>
      </c>
      <c r="C4" s="11" t="s">
        <v>332</v>
      </c>
      <c r="D4" s="2">
        <v>4.41</v>
      </c>
      <c r="E4" s="12" t="s">
        <v>135</v>
      </c>
      <c r="F4" s="15">
        <v>0.17744503402744635</v>
      </c>
      <c r="G4" s="15">
        <f>F4 - Portfolio_Mgmt!$C$10</f>
        <v>6.0045034027446348E-2</v>
      </c>
      <c r="H4" s="15">
        <f>F4 - Portfolio_Mgmt!$C$11</f>
        <v>0.14294503402744635</v>
      </c>
      <c r="I4" s="15">
        <v>4.3731736310325599E-2</v>
      </c>
      <c r="J4" s="2">
        <v>3.3627690101256129</v>
      </c>
      <c r="K4" s="2">
        <v>6.3370746508781428</v>
      </c>
      <c r="L4" s="71">
        <v>5.7685227605828171</v>
      </c>
      <c r="M4" s="2">
        <v>4.169152284920794</v>
      </c>
      <c r="N4" s="2">
        <v>5.1255315531795258</v>
      </c>
      <c r="O4" s="4">
        <v>9.7381370866784847E-2</v>
      </c>
      <c r="P4" s="4">
        <v>5.4829931972789112E-2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1.2413943947258479</v>
      </c>
      <c r="X4" s="13" t="s">
        <v>171</v>
      </c>
      <c r="Y4" s="11" t="s">
        <v>341</v>
      </c>
      <c r="Z4" s="14">
        <v>46081</v>
      </c>
      <c r="AA4" s="16" t="s">
        <v>334</v>
      </c>
    </row>
    <row r="5" spans="1:27">
      <c r="B5" s="11" t="s">
        <v>342</v>
      </c>
      <c r="C5" s="11" t="s">
        <v>343</v>
      </c>
      <c r="D5" s="2">
        <v>7.43</v>
      </c>
      <c r="E5" s="12" t="s">
        <v>135</v>
      </c>
      <c r="F5" s="15">
        <v>0.17743944307537959</v>
      </c>
      <c r="G5" s="15">
        <f>F5 - Portfolio_Mgmt!$C$10</f>
        <v>6.0039443075379589E-2</v>
      </c>
      <c r="H5" s="15">
        <f>F5 - Portfolio_Mgmt!$C$11</f>
        <v>0.14293944307537959</v>
      </c>
      <c r="I5" s="15">
        <v>4.3723232013287885E-2</v>
      </c>
      <c r="J5" s="2">
        <v>5.6473698155627767</v>
      </c>
      <c r="K5" s="2">
        <v>11.021888396754768</v>
      </c>
      <c r="L5" s="71">
        <v>9.7455012959135079</v>
      </c>
      <c r="M5" s="2">
        <v>7.0197150656452827</v>
      </c>
      <c r="N5" s="2">
        <v>8.6491526945931412</v>
      </c>
      <c r="O5" s="4">
        <v>9.2493248150624277E-2</v>
      </c>
      <c r="P5" s="4">
        <v>4.1789279732705256E-2</v>
      </c>
      <c r="Q5" s="4">
        <v>0.17171943071230272</v>
      </c>
      <c r="R5" s="4">
        <v>8.3605878319279667E-2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-2.882974353428859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329</v>
      </c>
      <c r="C6" s="11" t="s">
        <v>330</v>
      </c>
      <c r="D6" s="2">
        <v>6.03</v>
      </c>
      <c r="E6" s="12" t="s">
        <v>135</v>
      </c>
      <c r="F6" s="15">
        <v>0.17625020018811974</v>
      </c>
      <c r="G6" s="15">
        <f>F6 - Portfolio_Mgmt!$C$10</f>
        <v>5.8850200188119733E-2</v>
      </c>
      <c r="H6" s="15">
        <f>F6 - Portfolio_Mgmt!$C$11</f>
        <v>0.14175020018811973</v>
      </c>
      <c r="I6" s="15">
        <v>8.3803664715378853E-2</v>
      </c>
      <c r="J6" s="2">
        <v>4.5980258861772203</v>
      </c>
      <c r="K6" s="2">
        <v>8.3894050049409827</v>
      </c>
      <c r="L6" s="71">
        <v>7.8454252449020769</v>
      </c>
      <c r="M6" s="2">
        <v>5.6874672857327493</v>
      </c>
      <c r="N6" s="2">
        <v>6.9782344788773099</v>
      </c>
      <c r="O6" s="4">
        <v>9.7519577143271544E-2</v>
      </c>
      <c r="P6" s="4">
        <v>6.633499170812604E-2</v>
      </c>
      <c r="Q6" s="4">
        <v>0.1658525572748466</v>
      </c>
      <c r="R6" s="4">
        <v>5.3128459724860015E-2</v>
      </c>
      <c r="S6" s="79">
        <v>1.4327738230803833</v>
      </c>
      <c r="T6" s="78">
        <v>2.1787997096988563</v>
      </c>
      <c r="U6" s="15">
        <v>0.77760119734648436</v>
      </c>
      <c r="V6" s="76">
        <v>3.999044116203212</v>
      </c>
      <c r="W6" s="71">
        <v>-2.5047246524922007</v>
      </c>
      <c r="X6" s="13" t="s">
        <v>171</v>
      </c>
      <c r="Y6" s="11" t="s">
        <v>170</v>
      </c>
      <c r="Z6" s="14">
        <v>45991</v>
      </c>
      <c r="AA6" s="16" t="s">
        <v>183</v>
      </c>
    </row>
    <row r="7" spans="1:27">
      <c r="B7" s="11" t="s">
        <v>185</v>
      </c>
      <c r="C7" s="11" t="s">
        <v>335</v>
      </c>
      <c r="D7" s="2">
        <v>3.17</v>
      </c>
      <c r="E7" s="12" t="s">
        <v>135</v>
      </c>
      <c r="F7" s="15">
        <v>0.17204457627448422</v>
      </c>
      <c r="G7" s="15">
        <f>F7 - Portfolio_Mgmt!$C$10</f>
        <v>5.4644576274484213E-2</v>
      </c>
      <c r="H7" s="15">
        <f>F7 - Portfolio_Mgmt!$C$11</f>
        <v>0.13754457627448421</v>
      </c>
      <c r="I7" s="15">
        <v>7.0510780643533721E-2</v>
      </c>
      <c r="J7" s="2">
        <v>2.4048565177073828</v>
      </c>
      <c r="K7" s="2">
        <v>4.1464286049821002</v>
      </c>
      <c r="L7" s="71">
        <v>4.0664479320737961</v>
      </c>
      <c r="M7" s="2">
        <v>2.9631300794707243</v>
      </c>
      <c r="N7" s="2">
        <v>3.623398640518225</v>
      </c>
      <c r="O7" s="4">
        <v>6.7982030355619061E-2</v>
      </c>
      <c r="P7" s="4">
        <v>8.5173501577287078E-2</v>
      </c>
      <c r="Q7" s="4">
        <v>0.10109497147719294</v>
      </c>
      <c r="R7" s="4">
        <v>0.41984093276604345</v>
      </c>
      <c r="S7" s="79">
        <v>0.19832389661116825</v>
      </c>
      <c r="T7" s="78">
        <v>1.2141426890285656</v>
      </c>
      <c r="U7" s="15">
        <v>2.3107986944995245E-3</v>
      </c>
      <c r="V7" s="76">
        <v>2.2976895736939666E-2</v>
      </c>
      <c r="W7" s="71">
        <v>0.79833937207218564</v>
      </c>
      <c r="X7" s="13" t="s">
        <v>336</v>
      </c>
      <c r="Y7" s="11" t="s">
        <v>341</v>
      </c>
      <c r="Z7" s="14">
        <v>46081</v>
      </c>
      <c r="AA7" s="16" t="s">
        <v>183</v>
      </c>
    </row>
    <row r="8" spans="1:27">
      <c r="B8" s="11" t="s">
        <v>158</v>
      </c>
      <c r="C8" s="11" t="s">
        <v>337</v>
      </c>
      <c r="D8" s="2">
        <v>17.12</v>
      </c>
      <c r="E8" s="12" t="s">
        <v>135</v>
      </c>
      <c r="F8" s="15">
        <v>0.15535802729189852</v>
      </c>
      <c r="G8" s="15">
        <f>F8 - Portfolio_Mgmt!$C$10</f>
        <v>3.7958027291898511E-2</v>
      </c>
      <c r="H8" s="15">
        <f>F8 - Portfolio_Mgmt!$C$11</f>
        <v>0.12085802729189851</v>
      </c>
      <c r="I8" s="15">
        <v>1.0563176634042611E-2</v>
      </c>
      <c r="J8" s="2">
        <v>12.285838351440873</v>
      </c>
      <c r="K8" s="2">
        <v>24.534657689777028</v>
      </c>
      <c r="L8" s="71">
        <v>21.286302182491614</v>
      </c>
      <c r="M8" s="2">
        <v>15.297945416423628</v>
      </c>
      <c r="N8" s="2">
        <v>18.876970219522899</v>
      </c>
      <c r="O8" s="4">
        <v>5.5779596392608211E-2</v>
      </c>
      <c r="P8" s="4">
        <v>3.1268319369385247E-2</v>
      </c>
      <c r="Q8" s="4">
        <v>0.11088654389437311</v>
      </c>
      <c r="R8" s="4">
        <v>0.11515139164997709</v>
      </c>
      <c r="S8" s="79">
        <v>0.71131521233544359</v>
      </c>
      <c r="T8" s="78">
        <v>1.3537783359692717</v>
      </c>
      <c r="U8" s="15">
        <v>6.5417684980282262E-2</v>
      </c>
      <c r="V8" s="76">
        <v>0.5742845428370501</v>
      </c>
      <c r="W8" s="71">
        <v>5.4491546546135705</v>
      </c>
      <c r="X8" s="13" t="s">
        <v>338</v>
      </c>
      <c r="Y8" s="11" t="s">
        <v>333</v>
      </c>
      <c r="Z8" s="14">
        <v>46081</v>
      </c>
      <c r="AA8" s="16" t="s">
        <v>183</v>
      </c>
    </row>
    <row r="9" spans="1:27">
      <c r="B9" s="11" t="s">
        <v>378</v>
      </c>
      <c r="C9" s="11" t="s">
        <v>379</v>
      </c>
      <c r="D9" s="2">
        <v>0.48</v>
      </c>
      <c r="E9" s="12" t="s">
        <v>135</v>
      </c>
      <c r="F9" s="15">
        <v>0.15077592809603155</v>
      </c>
      <c r="G9" s="15">
        <f>F9 - Portfolio_Mgmt!$C$10</f>
        <v>3.3375928096031543E-2</v>
      </c>
      <c r="H9" s="15">
        <f>F9 - Portfolio_Mgmt!$C$11</f>
        <v>0.11627592809603154</v>
      </c>
      <c r="I9" s="15">
        <v>0</v>
      </c>
      <c r="J9" s="2">
        <v>0.34326406778994406</v>
      </c>
      <c r="K9" s="2">
        <v>0.63767202325988648</v>
      </c>
      <c r="L9" s="71">
        <v>0.58743285613821483</v>
      </c>
      <c r="M9" s="2">
        <v>0.4251385171234921</v>
      </c>
      <c r="N9" s="2">
        <v>0.52219833440664409</v>
      </c>
      <c r="O9" s="4">
        <v>0.10958060922323069</v>
      </c>
      <c r="P9" s="4">
        <v>5.6250000000000001E-2</v>
      </c>
      <c r="Q9" s="4">
        <v>3.931859133292645E-2</v>
      </c>
      <c r="R9" s="4">
        <v>1.9127481481925439E-2</v>
      </c>
      <c r="S9" s="79">
        <v>1.4656521003611329</v>
      </c>
      <c r="T9" s="78">
        <v>1.4025206525126881</v>
      </c>
      <c r="U9" s="15">
        <v>0.16239287772638675</v>
      </c>
      <c r="V9" s="76">
        <v>3.5496550732945478</v>
      </c>
      <c r="W9" s="71">
        <v>0.5798742065062914</v>
      </c>
      <c r="X9" s="13" t="s">
        <v>380</v>
      </c>
      <c r="Y9" s="11" t="s">
        <v>381</v>
      </c>
      <c r="Z9" s="14">
        <v>46081</v>
      </c>
      <c r="AA9" s="16" t="s">
        <v>334</v>
      </c>
    </row>
    <row r="10" spans="1:27">
      <c r="B10" s="11" t="s">
        <v>346</v>
      </c>
      <c r="C10" s="11" t="s">
        <v>347</v>
      </c>
      <c r="D10" s="2">
        <v>102.4</v>
      </c>
      <c r="E10" s="12" t="s">
        <v>135</v>
      </c>
      <c r="F10" s="15">
        <v>0.14088193431440926</v>
      </c>
      <c r="G10" s="15">
        <f>F10 - Portfolio_Mgmt!$C$10</f>
        <v>2.3481934314409258E-2</v>
      </c>
      <c r="H10" s="15">
        <f>F10 - Portfolio_Mgmt!$C$11</f>
        <v>0.10638193431440926</v>
      </c>
      <c r="I10" s="15">
        <v>0</v>
      </c>
      <c r="J10" s="2">
        <v>70.074875105478753</v>
      </c>
      <c r="K10" s="2">
        <v>152.06247897888886</v>
      </c>
      <c r="L10" s="71">
        <v>123.26227063153377</v>
      </c>
      <c r="M10" s="2">
        <v>87.833922875892526</v>
      </c>
      <c r="N10" s="2">
        <v>108.99236219571354</v>
      </c>
      <c r="O10" s="4">
        <v>2.3345487533915282E-2</v>
      </c>
      <c r="P10" s="4">
        <v>0</v>
      </c>
      <c r="Q10" s="4">
        <v>0.14667015235144401</v>
      </c>
      <c r="R10" s="4">
        <v>8.0069983114389093E-2</v>
      </c>
      <c r="S10" s="79">
        <v>1.022390799101176</v>
      </c>
      <c r="T10" s="78">
        <v>1.7916578376478161</v>
      </c>
      <c r="U10" s="15">
        <v>0.27660377540313014</v>
      </c>
      <c r="V10" s="76">
        <v>1.7116972700897226</v>
      </c>
      <c r="W10" s="71">
        <v>3.4816910763139401</v>
      </c>
      <c r="X10" s="16" t="s">
        <v>348</v>
      </c>
      <c r="Y10" s="11" t="s">
        <v>349</v>
      </c>
      <c r="Z10" s="14">
        <v>46081</v>
      </c>
      <c r="AA10" s="16" t="s">
        <v>334</v>
      </c>
    </row>
    <row r="11" spans="1:27">
      <c r="B11" s="11" t="s">
        <v>172</v>
      </c>
      <c r="C11" s="11" t="s">
        <v>339</v>
      </c>
      <c r="D11" s="2">
        <v>21.72</v>
      </c>
      <c r="E11" s="12" t="s">
        <v>135</v>
      </c>
      <c r="F11" s="15">
        <v>0.10032193259921084</v>
      </c>
      <c r="G11" s="15">
        <f>F11 - Portfolio_Mgmt!$C$10</f>
        <v>-1.7078067400789168E-2</v>
      </c>
      <c r="H11" s="15">
        <f>F11 - Portfolio_Mgmt!$C$11</f>
        <v>6.5821932599210833E-2</v>
      </c>
      <c r="I11" s="15">
        <v>0</v>
      </c>
      <c r="J11" s="2">
        <v>13.717046899041705</v>
      </c>
      <c r="K11" s="2">
        <v>24.762811591520205</v>
      </c>
      <c r="L11" s="71">
        <v>23.364397099887292</v>
      </c>
      <c r="M11" s="2">
        <v>16.95447405169346</v>
      </c>
      <c r="N11" s="2">
        <v>20.788882507172229</v>
      </c>
      <c r="O11" s="4">
        <v>0.10763370266982564</v>
      </c>
      <c r="P11" s="4">
        <v>5.8011049723756911E-2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0.44937679480091747</v>
      </c>
      <c r="X11" s="13" t="s">
        <v>340</v>
      </c>
      <c r="Y11" s="11" t="s">
        <v>341</v>
      </c>
      <c r="Z11" s="14">
        <v>46081</v>
      </c>
      <c r="AA11" s="16" t="s">
        <v>183</v>
      </c>
    </row>
    <row r="12" spans="1:27">
      <c r="B12" s="11" t="s">
        <v>382</v>
      </c>
      <c r="C12" s="11" t="s">
        <v>383</v>
      </c>
      <c r="D12" s="2">
        <v>7.23</v>
      </c>
      <c r="E12" s="12" t="s">
        <v>135</v>
      </c>
      <c r="F12" s="15">
        <v>5.8290687930822593E-2</v>
      </c>
      <c r="G12" s="15">
        <f>F12 - Portfolio_Mgmt!$C$10</f>
        <v>-5.9109312069177411E-2</v>
      </c>
      <c r="H12" s="15">
        <f>F12 - Portfolio_Mgmt!$C$11</f>
        <v>2.379068793082259E-2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4.3362498378686158E-2</v>
      </c>
      <c r="P12" s="4">
        <v>3.7344398340248962E-2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171</v>
      </c>
      <c r="Y12" s="11" t="s">
        <v>349</v>
      </c>
      <c r="Z12" s="14">
        <v>46081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4.1100000000000005E-2</v>
      </c>
      <c r="D4" s="34">
        <v>7.0000000000000007E-2</v>
      </c>
      <c r="E4" s="35">
        <f>D4-C4</f>
        <v>2.8900000000000002E-2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7"/>
  <sheetViews>
    <sheetView showGridLines="0" zoomScaleNormal="100" workbookViewId="0">
      <selection activeCell="G17" sqref="G1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0.66949932123072986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17.12</v>
      </c>
      <c r="E4" s="59" t="str">
        <f>VLOOKUP(B4,Opportunities!B$3:E$30,4,FALSE)</f>
        <v>HKD</v>
      </c>
      <c r="F4" s="57">
        <v>4500</v>
      </c>
      <c r="G4" s="61">
        <f>D4*F4</f>
        <v>77040</v>
      </c>
      <c r="H4" s="58">
        <f>G4/$G$9</f>
        <v>6.7430541028560831E-2</v>
      </c>
      <c r="I4" s="58">
        <f>VLOOKUP(B4,Opportunities!B$3:I$30,8,FALSE)</f>
        <v>1.0563176634042611E-2</v>
      </c>
      <c r="J4" s="81">
        <f>VLOOKUP(B4,Opportunities!B$3:N$30,12,FALSE)</f>
        <v>15.297945416423628</v>
      </c>
      <c r="K4" s="81">
        <f>VLOOKUP(B4,Opportunities!B$3:N$30,9,FALSE)</f>
        <v>12.285838351440873</v>
      </c>
      <c r="L4" s="81">
        <f>VLOOKUP(B4,Opportunities!B$3:N$30,11,FALSE)</f>
        <v>21.286302182491614</v>
      </c>
      <c r="M4" s="81">
        <f>VLOOKUP(B4,Opportunities!B$3:N$30,13,FALSE)</f>
        <v>18.876970219522899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21.72</v>
      </c>
      <c r="E5" s="59" t="str">
        <f>VLOOKUP(B5,Opportunities!B$3:E$30,4,FALSE)</f>
        <v>HKD</v>
      </c>
      <c r="F5" s="57">
        <v>8000</v>
      </c>
      <c r="G5" s="61">
        <f>D5*F5</f>
        <v>173760</v>
      </c>
      <c r="H5" s="58">
        <f>G5/$G$9</f>
        <v>0.15208632929806243</v>
      </c>
      <c r="I5" s="58">
        <f>VLOOKUP(B5,Opportunities!B$3:I$30,8,FALSE)</f>
        <v>0</v>
      </c>
      <c r="J5" s="81">
        <f>VLOOKUP(B5,Opportunities!B$3:N$30,12,FALSE)</f>
        <v>16.95447405169346</v>
      </c>
      <c r="K5" s="81">
        <f>VLOOKUP(B5,Opportunities!B$3:N$30,9,FALSE)</f>
        <v>13.717046899041705</v>
      </c>
      <c r="L5" s="81">
        <f>VLOOKUP(B5,Opportunities!B$3:N$30,11,FALSE)</f>
        <v>23.364397099887292</v>
      </c>
      <c r="M5" s="81">
        <f>VLOOKUP(B5,Opportunities!B$3:N$30,13,FALSE)</f>
        <v>20.788882507172229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3.17</v>
      </c>
      <c r="E6" s="59" t="str">
        <f>VLOOKUP(B6,Opportunities!B$3:E$30,4,FALSE)</f>
        <v>HKD</v>
      </c>
      <c r="F6" s="57">
        <v>40000</v>
      </c>
      <c r="G6" s="61">
        <f>D6*F6</f>
        <v>126800</v>
      </c>
      <c r="H6" s="58">
        <f t="shared" ref="H6" si="0">G6/$G$9</f>
        <v>0.11098380844264684</v>
      </c>
      <c r="I6" s="58">
        <f>VLOOKUP(B6,Opportunities!B$3:I$30,8,FALSE)</f>
        <v>7.0510780643533721E-2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4.41</v>
      </c>
      <c r="E7" s="59" t="str">
        <f>VLOOKUP(B7,Opportunities!B$3:E$30,4,FALSE)</f>
        <v>HKD</v>
      </c>
      <c r="F7" s="57">
        <v>12000</v>
      </c>
      <c r="G7" s="61">
        <f>D7*F7</f>
        <v>52920</v>
      </c>
      <c r="H7" s="58">
        <f t="shared" ref="H7" si="1">G7/$G$9</f>
        <v>4.6319109958871223E-2</v>
      </c>
      <c r="I7" s="58">
        <f>VLOOKUP(B7,Opportunities!B$3:I$30,8,FALSE)</f>
        <v>4.3731736310325599E-2</v>
      </c>
      <c r="J7" s="81">
        <f>VLOOKUP(B7,Opportunities!B$3:N$30,12,FALSE)</f>
        <v>4.169152284920794</v>
      </c>
      <c r="K7" s="81">
        <f>VLOOKUP(B7,Opportunities!B$3:N$30,9,FALSE)</f>
        <v>3.3627690101256129</v>
      </c>
      <c r="L7" s="81">
        <f>VLOOKUP(B7,Opportunities!B$3:N$30,11,FALSE)</f>
        <v>5.7685227605828171</v>
      </c>
      <c r="M7" s="81">
        <f>VLOOKUP(B7,Opportunities!B$3:N$30,13,FALSE)</f>
        <v>5.1255315531795258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1142509</v>
      </c>
      <c r="H9" s="67">
        <f>SUM(H3:H6)</f>
        <v>1</v>
      </c>
      <c r="I9" s="73">
        <f>SUM(I3:I6)</f>
        <v>0.53107395727757634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17.12</v>
      </c>
      <c r="E12" s="59" t="str">
        <f>VLOOKUP(B12,Opportunities!B$3:E$30,4,FALSE)</f>
        <v>HKD</v>
      </c>
      <c r="F12" s="57">
        <v>0</v>
      </c>
      <c r="G12" s="61">
        <f t="shared" ref="G12:G17" si="2">-D12*F12</f>
        <v>0</v>
      </c>
      <c r="H12" s="58">
        <f t="shared" ref="H12:H17" si="3">-G12/$G$9</f>
        <v>0</v>
      </c>
      <c r="I12" s="58">
        <f>VLOOKUP(B12,Opportunities!B$3:I$30,8,FALSE)</f>
        <v>1.0563176634042611E-2</v>
      </c>
      <c r="J12" s="81">
        <f>VLOOKUP(B12,Opportunities!B$3:N$30,12,FALSE)</f>
        <v>15.297945416423628</v>
      </c>
      <c r="K12" s="81">
        <f>VLOOKUP(B12,Opportunities!B$3:N$30,9,FALSE)</f>
        <v>12.285838351440873</v>
      </c>
      <c r="L12" s="81">
        <f>VLOOKUP(B12,Opportunities!B$3:N$30,11,FALSE)</f>
        <v>21.286302182491614</v>
      </c>
      <c r="M12" s="81">
        <f>VLOOKUP(B12,Opportunities!B$3:N$30,13,FALSE)</f>
        <v>18.876970219522899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21.72</v>
      </c>
      <c r="E13" s="59" t="str">
        <f>VLOOKUP(B13,Opportunities!B$3:E$30,4,FALSE)</f>
        <v>HKD</v>
      </c>
      <c r="F13" s="57">
        <v>0</v>
      </c>
      <c r="G13" s="61">
        <f t="shared" si="2"/>
        <v>0</v>
      </c>
      <c r="H13" s="58">
        <f t="shared" si="3"/>
        <v>0</v>
      </c>
      <c r="I13" s="58">
        <f>VLOOKUP(B13,Opportunities!B$3:I$30,8,FALSE)</f>
        <v>0</v>
      </c>
      <c r="J13" s="81">
        <f>VLOOKUP(B13,Opportunities!B$3:N$30,12,FALSE)</f>
        <v>16.95447405169346</v>
      </c>
      <c r="K13" s="81">
        <f>VLOOKUP(B13,Opportunities!B$3:N$30,9,FALSE)</f>
        <v>13.717046899041705</v>
      </c>
      <c r="L13" s="81">
        <f>VLOOKUP(B13,Opportunities!B$3:N$30,11,FALSE)</f>
        <v>23.364397099887292</v>
      </c>
      <c r="M13" s="81">
        <f>VLOOKUP(B13,Opportunities!B$3:N$30,13,FALSE)</f>
        <v>20.788882507172229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3.17</v>
      </c>
      <c r="E14" s="59" t="str">
        <f>VLOOKUP(B14,Opportunities!B$3:E$30,4,FALSE)</f>
        <v>HKD</v>
      </c>
      <c r="F14" s="57">
        <v>0</v>
      </c>
      <c r="G14" s="61">
        <f t="shared" si="2"/>
        <v>0</v>
      </c>
      <c r="H14" s="58">
        <f t="shared" si="3"/>
        <v>0</v>
      </c>
      <c r="I14" s="58">
        <f>VLOOKUP(B14,Opportunities!B$3:I$30,8,FALSE)</f>
        <v>7.0510780643533721E-2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4.41</v>
      </c>
      <c r="E15" s="59" t="str">
        <f>VLOOKUP(B15,Opportunities!B$3:E$30,4,FALSE)</f>
        <v>HKD</v>
      </c>
      <c r="F15" s="57">
        <v>8000</v>
      </c>
      <c r="G15" s="61">
        <f t="shared" si="2"/>
        <v>-35280</v>
      </c>
      <c r="H15" s="58">
        <f t="shared" si="3"/>
        <v>3.0879406639247479E-2</v>
      </c>
      <c r="I15" s="58">
        <f>VLOOKUP(B15,Opportunities!B$3:I$30,8,FALSE)</f>
        <v>4.3731736310325599E-2</v>
      </c>
      <c r="J15" s="81">
        <f>VLOOKUP(B15,Opportunities!B$3:N$30,12,FALSE)</f>
        <v>4.169152284920794</v>
      </c>
      <c r="K15" s="81">
        <f>VLOOKUP(B15,Opportunities!B$3:N$30,9,FALSE)</f>
        <v>3.3627690101256129</v>
      </c>
      <c r="L15" s="81">
        <f>VLOOKUP(B15,Opportunities!B$3:N$30,11,FALSE)</f>
        <v>5.7685227605828171</v>
      </c>
      <c r="M15" s="81">
        <f>VLOOKUP(B15,Opportunities!B$3:N$30,13,FALSE)</f>
        <v>5.1255315531795258</v>
      </c>
    </row>
    <row r="16" spans="1:13">
      <c r="B16" s="63" t="s">
        <v>384</v>
      </c>
      <c r="C16" s="62" t="str">
        <f>VLOOKUP(B16,Opportunities!B$3:E$30,2,FALSE)</f>
        <v>新华文轩</v>
      </c>
      <c r="D16" s="60">
        <f>VLOOKUP(B16,Opportunities!B$3:E$30,3,FALSE)</f>
        <v>10.73</v>
      </c>
      <c r="E16" s="59" t="str">
        <f>VLOOKUP(B16,Opportunities!B$3:E$30,4,FALSE)</f>
        <v>HKD</v>
      </c>
      <c r="F16" s="57">
        <v>5000</v>
      </c>
      <c r="G16" s="61">
        <f t="shared" si="2"/>
        <v>-53650</v>
      </c>
      <c r="H16" s="58">
        <f t="shared" si="3"/>
        <v>4.6958054597381726E-2</v>
      </c>
      <c r="I16" s="58">
        <f>VLOOKUP(B16,Opportunities!B$3:I$30,8,FALSE)</f>
        <v>8.6287188996535327E-2</v>
      </c>
      <c r="J16" s="81">
        <f>VLOOKUP(B16,Opportunities!B$3:N$30,12,FALSE)</f>
        <v>10.989418574505121</v>
      </c>
      <c r="K16" s="81">
        <f>VLOOKUP(B16,Opportunities!B$3:N$30,9,FALSE)</f>
        <v>8.8567073541407026</v>
      </c>
      <c r="L16" s="81">
        <f>VLOOKUP(B16,Opportunities!B$3:N$30,11,FALSE)</f>
        <v>15.22132284821037</v>
      </c>
      <c r="M16" s="81">
        <f>VLOOKUP(B16,Opportunities!B$3:N$30,13,FALSE)</f>
        <v>13.519731241292133</v>
      </c>
    </row>
    <row r="17" spans="1:13">
      <c r="B17" s="63" t="s">
        <v>342</v>
      </c>
      <c r="C17" s="62" t="str">
        <f>VLOOKUP(B17,Opportunities!B$3:E$30,2,FALSE)</f>
        <v>昆仑能源</v>
      </c>
      <c r="D17" s="60">
        <f>VLOOKUP(B17,Opportunities!B$3:E$30,3,FALSE)</f>
        <v>7.43</v>
      </c>
      <c r="E17" s="59" t="str">
        <f>VLOOKUP(B17,Opportunities!B$3:E$30,4,FALSE)</f>
        <v>HKD</v>
      </c>
      <c r="F17" s="57">
        <v>8000</v>
      </c>
      <c r="G17" s="61">
        <f t="shared" si="2"/>
        <v>-59440</v>
      </c>
      <c r="H17" s="58">
        <f t="shared" si="3"/>
        <v>5.2025848374060948E-2</v>
      </c>
      <c r="I17" s="58">
        <f>VLOOKUP(B17,Opportunities!B$3:I$30,8,FALSE)</f>
        <v>4.3723232013287885E-2</v>
      </c>
      <c r="J17" s="81">
        <f>VLOOKUP(B17,Opportunities!B$3:N$30,12,FALSE)</f>
        <v>7.0197150656452827</v>
      </c>
      <c r="K17" s="81">
        <f>VLOOKUP(B17,Opportunities!B$3:N$30,9,FALSE)</f>
        <v>5.6473698155627767</v>
      </c>
      <c r="L17" s="81">
        <f>VLOOKUP(B17,Opportunities!B$3:N$30,11,FALSE)</f>
        <v>9.7455012959135079</v>
      </c>
      <c r="M17" s="81">
        <f>VLOOKUP(B17,Opportunities!B$3:N$30,13,FALSE)</f>
        <v>8.6491526945931412</v>
      </c>
    </row>
    <row r="18" spans="1:13">
      <c r="B18" s="63"/>
      <c r="C18" s="62"/>
      <c r="D18" s="60"/>
      <c r="E18" s="59"/>
      <c r="F18" s="57"/>
      <c r="G18" s="61"/>
      <c r="H18" s="58"/>
      <c r="I18" s="58"/>
      <c r="J18" s="81"/>
      <c r="K18" s="81"/>
      <c r="L18" s="81"/>
      <c r="M18" s="81"/>
    </row>
    <row r="19" spans="1:13">
      <c r="H19" s="72"/>
      <c r="I19" s="72"/>
    </row>
    <row r="20" spans="1:13" ht="13.15">
      <c r="B20" s="68" t="s">
        <v>160</v>
      </c>
      <c r="C20" s="68"/>
      <c r="D20" s="69" t="s">
        <v>156</v>
      </c>
      <c r="E20" s="70" t="s">
        <v>135</v>
      </c>
      <c r="F20" s="69" t="s">
        <v>156</v>
      </c>
      <c r="G20" s="66">
        <f>G3+SUM(G12:G17)</f>
        <v>616539</v>
      </c>
      <c r="H20" s="73">
        <f t="shared" ref="H20" si="4">G20/$G$9</f>
        <v>0.53963601162003971</v>
      </c>
      <c r="I20" s="73">
        <f>Portfolio_Mgmt!E73</f>
        <v>0.45</v>
      </c>
      <c r="J20" s="82" t="s">
        <v>189</v>
      </c>
      <c r="K20" s="82" t="s">
        <v>189</v>
      </c>
      <c r="L20" s="82" t="s">
        <v>189</v>
      </c>
      <c r="M20" s="82" t="s">
        <v>189</v>
      </c>
    </row>
    <row r="22" spans="1:13" ht="13.15">
      <c r="A22" s="49"/>
      <c r="B22" s="50" t="s">
        <v>190</v>
      </c>
      <c r="C22" s="115"/>
      <c r="D22" s="56"/>
      <c r="E22" s="53"/>
      <c r="F22" s="57"/>
      <c r="G22" s="57"/>
    </row>
    <row r="23" spans="1:13" ht="13.15">
      <c r="C23" s="84" t="s">
        <v>191</v>
      </c>
      <c r="D23" s="84" t="s">
        <v>194</v>
      </c>
      <c r="F23" s="84" t="s">
        <v>195</v>
      </c>
    </row>
    <row r="24" spans="1:13" ht="14.25">
      <c r="B24" s="83" t="s">
        <v>192</v>
      </c>
      <c r="C24" s="88">
        <v>200000</v>
      </c>
      <c r="D24" s="89">
        <v>7.8629699999999998</v>
      </c>
      <c r="F24" s="116">
        <f>C24/D24</f>
        <v>25435.681428264383</v>
      </c>
    </row>
    <row r="25" spans="1:13" ht="14.25">
      <c r="B25" s="83" t="s">
        <v>193</v>
      </c>
      <c r="C25" s="86">
        <f>F24</f>
        <v>25435.681428264383</v>
      </c>
      <c r="D25" s="89">
        <v>7.8387000000000002</v>
      </c>
      <c r="F25" s="117">
        <f>C25*D25</f>
        <v>199382.67601173601</v>
      </c>
    </row>
    <row r="26" spans="1:13" ht="14.25">
      <c r="C26"/>
      <c r="D26"/>
      <c r="F26"/>
    </row>
    <row r="27" spans="1:13" ht="14.25">
      <c r="C27"/>
      <c r="E27" s="87" t="s">
        <v>196</v>
      </c>
      <c r="F27" s="85">
        <f>C24-F25</f>
        <v>617.32398826399003</v>
      </c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4"/>
      <c r="E37" s="53"/>
      <c r="F37" s="55"/>
      <c r="G37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2025-11-10T02:55:27Z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