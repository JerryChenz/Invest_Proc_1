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7F0E03B-EF51-41A6-A1C3-9912F442A7B9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<sst xmlns="http://schemas.openxmlformats.org/spreadsheetml/2006/main" count="475" uniqueCount="387">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</sst>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9" sqref="I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384</v>
      </c>
      <c r="C3" s="11" t="s">
        <v>385</v>
      </c>
      <c r="D3" s="2">
        <v>7.76</v>
      </c>
      <c r="E3" s="12" t="s">
        <v>136</v>
      </c>
      <c r="F3" s="15">
        <v>0.25315453740124205</v>
      </c>
      <c r="G3" s="15">
        <f>F3 - Portfolio_Mgmt!$C$10</f>
        <v>0.13575453740124205</v>
      </c>
      <c r="H3" s="15">
        <f>F3 - Portfolio_Mgmt!$C$11</f>
        <v>0.21865453740124205</v>
      </c>
      <c r="I3" s="15">
        <v>0.10498436636155124</v>
      </c>
      <c r="J3" s="2">
        <v>6.255904177578377</v>
      </c>
      <c r="K3" s="2">
        <v>13.950006223203813</v>
      </c>
      <c r="L3" s="74">
        <v>12.12785192627685</v>
      </c>
      <c r="M3" s="2">
        <v>7.8169432851566398</v>
      </c>
      <c r="N3" s="2">
        <v>10.832519704946716</v>
      </c>
      <c r="O3" s="4">
        <v>0.11774827105977852</v>
      </c>
      <c r="P3" s="4">
        <v>4.4531388562371134E-2</v>
      </c>
      <c r="Q3" s="4">
        <v>0.2003593743875291</v>
      </c>
      <c r="R3" s="4">
        <v>9.7688940854644052E-2</v>
      </c>
      <c r="S3" s="82">
        <v>1.2706604365715879</v>
      </c>
      <c r="T3" s="81">
        <v>1.6141160578600777</v>
      </c>
      <c r="U3" s="15">
        <v>0.27330444081724548</v>
      </c>
      <c r="V3" s="79">
        <v>1.3936222417470483</v>
      </c>
      <c r="W3" s="74">
        <v>-3.1955836830910833</v>
      </c>
      <c r="X3" s="13" t="s">
        <v>201</v>
      </c>
      <c r="Y3" s="11" t="s">
        <v>137</v>
      </c>
      <c r="Z3" s="14">
        <v>45900</v>
      </c>
      <c r="AA3" s="16" t="s">
        <v>224</v>
      </c>
    </row>
    <row r="4" spans="1:27">
      <c r="B4" s="11" t="s">
        <v>230</v>
      </c>
      <c r="C4" s="11" t="s">
        <v>231</v>
      </c>
      <c r="D4" s="2">
        <v>2.94</v>
      </c>
      <c r="E4" s="12" t="s">
        <v>136</v>
      </c>
      <c r="F4" s="15">
        <v>0.23204925986510649</v>
      </c>
      <c r="G4" s="15">
        <f>F4 - Portfolio_Mgmt!$C$10</f>
        <v>0.11464925986510649</v>
      </c>
      <c r="H4" s="15">
        <f>F4 - Portfolio_Mgmt!$C$11</f>
        <v>0.19754925986510649</v>
      </c>
      <c r="I4" s="15">
        <v>0</v>
      </c>
      <c r="J4" s="2">
        <v>2.2811221378505544</v>
      </c>
      <c r="K4" s="2">
        <v>4.4858408799140586</v>
      </c>
      <c r="L4" s="74">
        <v>4.3130669791905083</v>
      </c>
      <c r="M4" s="2">
        <v>2.823790530515998</v>
      </c>
      <c r="N4" s="2">
        <v>3.8666759160925035</v>
      </c>
      <c r="O4" s="4">
        <v>7.2945411680228764E-2</v>
      </c>
      <c r="P4" s="4">
        <v>9.1836734693877556E-2</v>
      </c>
      <c r="Q4" s="4">
        <v>0.10048924474005361</v>
      </c>
      <c r="R4" s="4">
        <v>0.42143224397986156</v>
      </c>
      <c r="S4" s="82">
        <v>0.19639123104483397</v>
      </c>
      <c r="T4" s="81">
        <v>1.2141426890285656</v>
      </c>
      <c r="U4" s="15">
        <v>2.3107986944995245E-3</v>
      </c>
      <c r="V4" s="79">
        <v>2.3228129203780753E-2</v>
      </c>
      <c r="W4" s="74">
        <v>0.79833937207218564</v>
      </c>
      <c r="X4" s="13" t="s">
        <v>232</v>
      </c>
      <c r="Y4" s="11" t="s">
        <v>137</v>
      </c>
      <c r="Z4" s="14">
        <v>45900</v>
      </c>
      <c r="AA4" s="16" t="s">
        <v>224</v>
      </c>
    </row>
    <row r="5" spans="1:27">
      <c r="B5" s="11" t="s">
        <v>210</v>
      </c>
      <c r="C5" s="11" t="s">
        <v>211</v>
      </c>
      <c r="D5" s="2">
        <v>18.899999999999999</v>
      </c>
      <c r="E5" s="12" t="s">
        <v>136</v>
      </c>
      <c r="F5" s="15">
        <v>0.20481599039312282</v>
      </c>
      <c r="G5" s="15">
        <f>F5 - Portfolio_Mgmt!$C$10</f>
        <v>8.7415990393122811E-2</v>
      </c>
      <c r="H5" s="15">
        <f>F5 - Portfolio_Mgmt!$C$11</f>
        <v>0.17031599039312281</v>
      </c>
      <c r="I5" s="15">
        <v>0</v>
      </c>
      <c r="J5" s="2">
        <v>13.698840734216246</v>
      </c>
      <c r="K5" s="2">
        <v>28.446935271447302</v>
      </c>
      <c r="L5" s="74">
        <v>26.175323649145703</v>
      </c>
      <c r="M5" s="2">
        <v>17.02435085898102</v>
      </c>
      <c r="N5" s="2">
        <v>23.429516443911918</v>
      </c>
      <c r="O5" s="4">
        <v>0.10951606681319212</v>
      </c>
      <c r="P5" s="4">
        <v>6.6666666666666666E-2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-0.45863616237436727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225</v>
      </c>
    </row>
    <row r="7" spans="1:27">
      <c r="B7" s="11" t="s">
        <v>199</v>
      </c>
      <c r="C7" s="11" t="s">
        <v>200</v>
      </c>
      <c r="D7" s="2">
        <v>2.2200000000000002</v>
      </c>
      <c r="E7" s="12" t="s">
        <v>136</v>
      </c>
      <c r="F7" s="15">
        <v>0.17585352952783539</v>
      </c>
      <c r="G7" s="15">
        <f>F7 - Portfolio_Mgmt!$C$10</f>
        <v>5.8453529527835391E-2</v>
      </c>
      <c r="H7" s="15">
        <f>F7 - Portfolio_Mgmt!$C$11</f>
        <v>0.14135352952783539</v>
      </c>
      <c r="I7" s="15">
        <v>0</v>
      </c>
      <c r="J7" s="2">
        <v>1.489397157806637</v>
      </c>
      <c r="K7" s="2">
        <v>3.2889505321385051</v>
      </c>
      <c r="L7" s="74">
        <v>2.8815228100275991</v>
      </c>
      <c r="M7" s="2">
        <v>1.8596226724549147</v>
      </c>
      <c r="N7" s="2">
        <v>2.5745237573563178</v>
      </c>
      <c r="O7" s="4">
        <v>6.0855212081562547E-2</v>
      </c>
      <c r="P7" s="4">
        <v>4.0540540540540543E-2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1.8486215104488255</v>
      </c>
      <c r="X7" s="13" t="s">
        <v>386</v>
      </c>
      <c r="Y7" s="11" t="s">
        <v>137</v>
      </c>
      <c r="Z7" s="14">
        <v>45900</v>
      </c>
      <c r="AA7" s="16" t="s">
        <v>225</v>
      </c>
    </row>
    <row r="8" spans="1:27">
      <c r="B8" s="11" t="s">
        <v>163</v>
      </c>
      <c r="C8" s="11" t="s">
        <v>192</v>
      </c>
      <c r="D8" s="2">
        <v>17</v>
      </c>
      <c r="E8" s="12" t="s">
        <v>136</v>
      </c>
      <c r="F8" s="15">
        <v>0.17158822057779743</v>
      </c>
      <c r="G8" s="15">
        <f>F8 - Portfolio_Mgmt!$C$10</f>
        <v>5.418822057779743E-2</v>
      </c>
      <c r="H8" s="15">
        <f>F8 - Portfolio_Mgmt!$C$11</f>
        <v>0.13708822057779743</v>
      </c>
      <c r="I8" s="15">
        <v>0</v>
      </c>
      <c r="J8" s="2">
        <v>11.234325101825409</v>
      </c>
      <c r="K8" s="2">
        <v>25.633731121286829</v>
      </c>
      <c r="L8" s="74">
        <v>21.884963897686838</v>
      </c>
      <c r="M8" s="2">
        <v>14.063358475544062</v>
      </c>
      <c r="N8" s="2">
        <v>19.533675808173911</v>
      </c>
      <c r="O8" s="4">
        <v>6.0257284013112755E-2</v>
      </c>
      <c r="P8" s="4">
        <v>2.8293398669395089E-2</v>
      </c>
      <c r="Q8" s="4">
        <v>0.12359647488595969</v>
      </c>
      <c r="R8" s="4">
        <v>0.12331887891152556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4.6131391134011652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182</v>
      </c>
      <c r="C9" s="11" t="s">
        <v>183</v>
      </c>
      <c r="D9" s="2">
        <v>51.5</v>
      </c>
      <c r="E9" s="12" t="s">
        <v>136</v>
      </c>
      <c r="F9" s="15">
        <v>0.15505076181670585</v>
      </c>
      <c r="G9" s="15">
        <f>F9 - Portfolio_Mgmt!$C$10</f>
        <v>3.7650761816705847E-2</v>
      </c>
      <c r="H9" s="15">
        <f>F9 - Portfolio_Mgmt!$C$11</f>
        <v>0.12055076181670585</v>
      </c>
      <c r="I9" s="15">
        <v>0</v>
      </c>
      <c r="J9" s="2">
        <v>32.758430148152833</v>
      </c>
      <c r="K9" s="2">
        <v>73.04804428838618</v>
      </c>
      <c r="L9" s="74">
        <v>63.506346649328265</v>
      </c>
      <c r="M9" s="2">
        <v>40.932667607219138</v>
      </c>
      <c r="N9" s="2">
        <v>56.723457507555921</v>
      </c>
      <c r="O9" s="4">
        <v>4.4830427293081794E-2</v>
      </c>
      <c r="P9" s="4">
        <v>3.5135175588546626E-2</v>
      </c>
      <c r="Q9" s="4">
        <v>0.13507549389971246</v>
      </c>
      <c r="R9" s="4">
        <v>0.12563528796015994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1.3600419319335644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58.7</v>
      </c>
      <c r="E10" s="12" t="s">
        <v>136</v>
      </c>
      <c r="F10" s="15">
        <v>0.14386942914515233</v>
      </c>
      <c r="G10" s="15">
        <f>F10 - Portfolio_Mgmt!$C$10</f>
        <v>2.6469429145152323E-2</v>
      </c>
      <c r="H10" s="15">
        <f>F10 - Portfolio_Mgmt!$C$11</f>
        <v>0.10936942914515232</v>
      </c>
      <c r="I10" s="15">
        <v>0</v>
      </c>
      <c r="J10" s="2">
        <v>37.201582569406469</v>
      </c>
      <c r="K10" s="2">
        <v>70.24047610170345</v>
      </c>
      <c r="L10" s="74">
        <v>69.809489130630269</v>
      </c>
      <c r="M10" s="2">
        <v>45.922823124072167</v>
      </c>
      <c r="N10" s="2">
        <v>62.655428248696218</v>
      </c>
      <c r="O10" s="4">
        <v>9.0603296165316732E-2</v>
      </c>
      <c r="P10" s="4">
        <v>8.6921720613287901E-2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-2.6747252004533593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205</v>
      </c>
      <c r="C11" s="11" t="s">
        <v>216</v>
      </c>
      <c r="D11" s="2">
        <v>23.45</v>
      </c>
      <c r="E11" s="12" t="s">
        <v>206</v>
      </c>
      <c r="F11" s="15">
        <v>0.13907965517793519</v>
      </c>
      <c r="G11" s="15">
        <f>F11 - Portfolio_Mgmt!$C$10</f>
        <v>2.1679655177935186E-2</v>
      </c>
      <c r="H11" s="15">
        <f>F11 - Portfolio_Mgmt!$C$11</f>
        <v>0.10457965517793519</v>
      </c>
      <c r="I11" s="15">
        <v>0</v>
      </c>
      <c r="J11" s="2">
        <v>14.210808951982788</v>
      </c>
      <c r="K11" s="2">
        <v>33.230161875234657</v>
      </c>
      <c r="L11" s="74">
        <v>27.829540483416785</v>
      </c>
      <c r="M11" s="2">
        <v>17.824937920120146</v>
      </c>
      <c r="N11" s="2">
        <v>24.820548736528732</v>
      </c>
      <c r="O11" s="4">
        <v>0.19441200628307864</v>
      </c>
      <c r="P11" s="4">
        <v>1.7719402985074628E-2</v>
      </c>
      <c r="Q11" s="4">
        <v>0.18752610102828118</v>
      </c>
      <c r="R11" s="4">
        <v>0.23497655430253014</v>
      </c>
      <c r="S11" s="82">
        <v>0.32112750263435197</v>
      </c>
      <c r="T11" s="81">
        <v>2.4851905363915479</v>
      </c>
      <c r="U11" s="15">
        <v>0.95241105291674188</v>
      </c>
      <c r="V11" s="79">
        <v>4.0148803043206254</v>
      </c>
      <c r="W11" s="74">
        <v>-38.360607814419353</v>
      </c>
      <c r="X11" s="13" t="s">
        <v>207</v>
      </c>
      <c r="Y11" s="11" t="s">
        <v>137</v>
      </c>
      <c r="Z11" s="14">
        <v>45900</v>
      </c>
      <c r="AA11" s="16" t="s">
        <v>225</v>
      </c>
    </row>
    <row r="12" spans="1:27">
      <c r="B12" s="11" t="s">
        <v>208</v>
      </c>
      <c r="C12" s="11" t="s">
        <v>217</v>
      </c>
      <c r="D12" s="2">
        <v>28.25</v>
      </c>
      <c r="E12" s="12" t="s">
        <v>206</v>
      </c>
      <c r="F12" s="15">
        <v>0.12218428626325673</v>
      </c>
      <c r="G12" s="15">
        <f>F12 - Portfolio_Mgmt!$C$10</f>
        <v>4.7842862632567207E-3</v>
      </c>
      <c r="H12" s="15">
        <f>F12 - Portfolio_Mgmt!$C$11</f>
        <v>8.7684286263256722E-2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8.9882032119752125E-2</v>
      </c>
      <c r="P12" s="4">
        <v>3.9646017699115042E-2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7.53</v>
      </c>
      <c r="E13" s="12" t="s">
        <v>136</v>
      </c>
      <c r="F13" s="15">
        <v>0.10789571240215889</v>
      </c>
      <c r="G13" s="15">
        <f>F13 - Portfolio_Mgmt!$C$10</f>
        <v>-9.5042875978411101E-3</v>
      </c>
      <c r="H13" s="15">
        <f>F13 - Portfolio_Mgmt!$C$11</f>
        <v>7.3395712402158891E-2</v>
      </c>
      <c r="I13" s="15">
        <v>0</v>
      </c>
      <c r="J13" s="2">
        <v>4.2972248787228411</v>
      </c>
      <c r="K13" s="2">
        <v>8.9131913145431323</v>
      </c>
      <c r="L13" s="2">
        <v>8.2091151217474732</v>
      </c>
      <c r="M13" s="2">
        <v>5.3399532849238112</v>
      </c>
      <c r="N13" s="2">
        <v>7.3482246894768739</v>
      </c>
      <c r="O13" s="4">
        <v>0.10474691158177755</v>
      </c>
      <c r="P13" s="4">
        <v>5.2821455426771587E-2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-3.8826904112933698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227</v>
      </c>
      <c r="C14" s="11" t="s">
        <v>228</v>
      </c>
      <c r="D14" s="2">
        <v>6.44</v>
      </c>
      <c r="E14" s="12" t="s">
        <v>136</v>
      </c>
      <c r="F14" s="15">
        <v>9.9289940045246272E-2</v>
      </c>
      <c r="G14" s="15">
        <f>F14 - Portfolio_Mgmt!$C$10</f>
        <v>-1.8110059954753732E-2</v>
      </c>
      <c r="H14" s="15">
        <f>F14 - Portfolio_Mgmt!$C$11</f>
        <v>6.4789940045246269E-2</v>
      </c>
      <c r="I14" s="15">
        <v>0</v>
      </c>
      <c r="J14" s="2">
        <v>3.6036658259915511</v>
      </c>
      <c r="K14" s="2">
        <v>7.3642693066239637</v>
      </c>
      <c r="L14" s="2">
        <v>6.8641356814360206</v>
      </c>
      <c r="M14" s="2">
        <v>4.4732258849914697</v>
      </c>
      <c r="N14" s="2">
        <v>6.1469536878205542</v>
      </c>
      <c r="O14" s="4">
        <v>5.7360579867156071E-2</v>
      </c>
      <c r="P14" s="4">
        <v>5.5900621118012417E-2</v>
      </c>
      <c r="Q14" s="4">
        <v>7.0630420943605887E-2</v>
      </c>
      <c r="R14" s="4">
        <v>9.3039179367971361E-2</v>
      </c>
      <c r="S14" s="82">
        <v>0.62627525695225639</v>
      </c>
      <c r="T14" s="81">
        <v>1.2121620122817016</v>
      </c>
      <c r="U14" s="15">
        <v>1.1610019159010268E-2</v>
      </c>
      <c r="V14" s="79">
        <v>0.16381589511191816</v>
      </c>
      <c r="W14" s="74">
        <v>3.7980767021052162</v>
      </c>
      <c r="X14" s="13" t="s">
        <v>229</v>
      </c>
      <c r="Y14" s="11" t="s">
        <v>137</v>
      </c>
      <c r="Z14" s="14">
        <v>45900</v>
      </c>
      <c r="AA14" s="16" t="s">
        <v>224</v>
      </c>
    </row>
    <row r="15" spans="1:27">
      <c r="B15" s="11" t="s">
        <v>193</v>
      </c>
      <c r="C15" s="11" t="s">
        <v>194</v>
      </c>
      <c r="D15" s="2">
        <v>16.48</v>
      </c>
      <c r="E15" s="12" t="s">
        <v>136</v>
      </c>
      <c r="F15" s="15">
        <v>9.04908118534411E-2</v>
      </c>
      <c r="G15" s="15">
        <f>F15 - Portfolio_Mgmt!$C$10</f>
        <v>-2.6909188146558904E-2</v>
      </c>
      <c r="H15" s="15">
        <f>F15 - Portfolio_Mgmt!$C$11</f>
        <v>5.5990811853441097E-2</v>
      </c>
      <c r="I15" s="15">
        <v>0</v>
      </c>
      <c r="J15" s="2">
        <v>8.9919771877471319</v>
      </c>
      <c r="K15" s="2">
        <v>18.605977286253353</v>
      </c>
      <c r="L15" s="2">
        <v>17.169471529714549</v>
      </c>
      <c r="M15" s="2">
        <v>11.171909157121718</v>
      </c>
      <c r="N15" s="2">
        <v>15.369991427494341</v>
      </c>
      <c r="O15" s="4">
        <v>9.4249199001965059E-2</v>
      </c>
      <c r="P15" s="4">
        <v>5.1156418689320388E-2</v>
      </c>
      <c r="Q15" s="4">
        <v>0.26418108202863566</v>
      </c>
      <c r="R15" s="4">
        <v>0.11373788433769216</v>
      </c>
      <c r="S15" s="82">
        <v>0.70652858717908329</v>
      </c>
      <c r="T15" s="81">
        <v>3.2875080906148866</v>
      </c>
      <c r="U15" s="15">
        <v>1.5035598705501618</v>
      </c>
      <c r="V15" s="79">
        <v>4.1998196571663646</v>
      </c>
      <c r="W15" s="74">
        <v>-12.277655993471418</v>
      </c>
      <c r="X15" s="13" t="s">
        <v>181</v>
      </c>
      <c r="Y15" s="11" t="s">
        <v>195</v>
      </c>
      <c r="Z15" s="14">
        <v>45900</v>
      </c>
      <c r="AA15" s="16" t="s">
        <v>225</v>
      </c>
    </row>
    <row r="16" spans="1:27">
      <c r="B16" s="11" t="s">
        <v>190</v>
      </c>
      <c r="C16" s="11" t="s">
        <v>191</v>
      </c>
      <c r="D16" s="2">
        <v>21.2</v>
      </c>
      <c r="E16" s="12" t="s">
        <v>136</v>
      </c>
      <c r="F16" s="15">
        <v>7.5371389103719322E-2</v>
      </c>
      <c r="G16" s="15">
        <f>F16 - Portfolio_Mgmt!$C$10</f>
        <v>-4.2028610896280683E-2</v>
      </c>
      <c r="H16" s="15">
        <f>F16 - Portfolio_Mgmt!$C$11</f>
        <v>4.0871389103719319E-2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8.150877449856743E-2</v>
      </c>
      <c r="P16" s="4">
        <v>6.4150943396226429E-2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138</v>
      </c>
      <c r="C17" s="11" t="s">
        <v>176</v>
      </c>
      <c r="D17" s="2">
        <v>9.25</v>
      </c>
      <c r="E17" s="12" t="s">
        <v>136</v>
      </c>
      <c r="F17" s="15">
        <v>6.6554433808903246E-2</v>
      </c>
      <c r="G17" s="15">
        <f>F17 - Portfolio_Mgmt!$C$10</f>
        <v>-5.0845566191096758E-2</v>
      </c>
      <c r="H17" s="15">
        <f>F17 - Portfolio_Mgmt!$C$11</f>
        <v>3.2054433808903243E-2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3.3394418592677298E-2</v>
      </c>
      <c r="P17" s="4">
        <v>6.2702702702702701E-2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2.8</v>
      </c>
      <c r="E18" s="12" t="s">
        <v>136</v>
      </c>
      <c r="F18" s="15">
        <v>4.4272022899170427E-2</v>
      </c>
      <c r="G18" s="15">
        <f>F18 - Portfolio_Mgmt!$C$10</f>
        <v>-7.3127977100829578E-2</v>
      </c>
      <c r="H18" s="15">
        <f>F18 - Portfolio_Mgmt!$C$11</f>
        <v>9.7720228991704239E-3</v>
      </c>
      <c r="I18" s="15">
        <v>0</v>
      </c>
      <c r="J18" s="2">
        <v>1.3430026124044521</v>
      </c>
      <c r="K18" s="2">
        <v>2.8390893701411732</v>
      </c>
      <c r="L18" s="2">
        <v>2.5752930067427111</v>
      </c>
      <c r="M18" s="2">
        <v>1.6712462876390386</v>
      </c>
      <c r="N18" s="2">
        <v>2.3039329410712042</v>
      </c>
      <c r="O18" s="4">
        <v>3.0096931882020724E-2</v>
      </c>
      <c r="P18" s="4">
        <v>3.9818598164292646E-2</v>
      </c>
      <c r="Q18" s="4">
        <v>4.3342728480913237E-2</v>
      </c>
      <c r="R18" s="4">
        <v>8.4127113239423484E-2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1.913499160817967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2.35</v>
      </c>
      <c r="E19" s="12" t="s">
        <v>136</v>
      </c>
      <c r="F19" s="15">
        <v>-3.4799641639850165E-2</v>
      </c>
      <c r="G19" s="15">
        <f>F19 - Portfolio_Mgmt!$C$10</f>
        <v>-0.15219964163985017</v>
      </c>
      <c r="H19" s="15">
        <f>F19 - Portfolio_Mgmt!$C$11</f>
        <v>-6.9299641639850168E-2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4.0798537210795386E-3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4.4000000000000004E-2</v>
      </c>
      <c r="D4" s="34">
        <v>7.4999999999999997E-2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0.63169034745798236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17</v>
      </c>
      <c r="D4" s="62" t="str">
        <f>VLOOKUP(B4,Opportunities!B$3:E$30,4,FALSE)</f>
        <v>HKD</v>
      </c>
      <c r="E4" s="59">
        <v>9000</v>
      </c>
      <c r="F4" s="64">
        <f>C4*E4</f>
        <v>153000</v>
      </c>
      <c r="G4" s="61">
        <f>F4/$F$8</f>
        <v>0.13359738463472903</v>
      </c>
      <c r="H4" s="61">
        <f>VLOOKUP(B4,Opportunities!B$3:I$30,8,FALSE)</f>
        <v>0</v>
      </c>
      <c r="I4" s="84">
        <f>VLOOKUP(B4,Opportunities!B$3:N$30,12,FALSE)</f>
        <v>14.063358475544062</v>
      </c>
      <c r="J4" s="84">
        <f>VLOOKUP(B4,Opportunities!B$3:N$30,9,FALSE)</f>
        <v>11.234325101825409</v>
      </c>
      <c r="K4" s="84">
        <f>VLOOKUP(B4,Opportunities!B$3:N$30,11,FALSE)</f>
        <v>21.884963897686838</v>
      </c>
      <c r="L4" s="84">
        <f>VLOOKUP(B4,Opportunities!B$3:N$30,13,FALSE)</f>
        <v>19.533675808173911</v>
      </c>
    </row>
    <row r="5" spans="1:12">
      <c r="B5" s="66" t="s">
        <v>210</v>
      </c>
      <c r="C5" s="63">
        <f>VLOOKUP(B5,Opportunities!B$3:E$30,3,FALSE)</f>
        <v>18.899999999999999</v>
      </c>
      <c r="D5" s="62" t="str">
        <f>VLOOKUP(B5,Opportunities!B$3:E$30,4,FALSE)</f>
        <v>HKD</v>
      </c>
      <c r="E5" s="59">
        <v>8000</v>
      </c>
      <c r="F5" s="64">
        <f>C5*E5</f>
        <v>151200</v>
      </c>
      <c r="G5" s="61">
        <f>F5/$F$8</f>
        <v>0.13202565069784986</v>
      </c>
      <c r="H5" s="61">
        <f>VLOOKUP(B5,Opportunities!B$3:I$30,8,FALSE)</f>
        <v>0</v>
      </c>
      <c r="I5" s="84">
        <f>VLOOKUP(B5,Opportunities!B$3:N$30,12,FALSE)</f>
        <v>17.02435085898102</v>
      </c>
      <c r="J5" s="84">
        <f>VLOOKUP(B5,Opportunities!B$3:N$30,9,FALSE)</f>
        <v>13.698840734216246</v>
      </c>
      <c r="K5" s="84">
        <f>VLOOKUP(B5,Opportunities!B$3:N$30,11,FALSE)</f>
        <v>26.175323649145703</v>
      </c>
      <c r="L5" s="84">
        <f>VLOOKUP(B5,Opportunities!B$3:N$30,13,FALSE)</f>
        <v>23.429516443911918</v>
      </c>
    </row>
    <row r="6" spans="1:12">
      <c r="B6" s="66" t="s">
        <v>230</v>
      </c>
      <c r="C6" s="63">
        <f>VLOOKUP(B6,Opportunities!B$3:E$30,3,FALSE)</f>
        <v>2.94</v>
      </c>
      <c r="D6" s="62" t="str">
        <f>VLOOKUP(B6,Opportunities!B$3:E$30,4,FALSE)</f>
        <v>HKD</v>
      </c>
      <c r="E6" s="59">
        <v>40000</v>
      </c>
      <c r="F6" s="64">
        <f>C6*E6</f>
        <v>117600</v>
      </c>
      <c r="G6" s="61">
        <f t="shared" ref="G6" si="0">F6/$F$8</f>
        <v>0.10268661720943878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1145232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17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14.063358475544062</v>
      </c>
      <c r="J11" s="84">
        <f>VLOOKUP(B11,Opportunities!B$3:N$30,9,FALSE)</f>
        <v>11.234325101825409</v>
      </c>
      <c r="K11" s="84">
        <f>VLOOKUP(B11,Opportunities!B$3:N$30,11,FALSE)</f>
        <v>21.884963897686838</v>
      </c>
      <c r="L11" s="84">
        <f>VLOOKUP(B11,Opportunities!B$3:N$30,13,FALSE)</f>
        <v>19.533675808173911</v>
      </c>
    </row>
    <row r="12" spans="1:12">
      <c r="B12" s="66" t="s">
        <v>210</v>
      </c>
      <c r="C12" s="63">
        <f>VLOOKUP(B12,Opportunities!B$3:E$30,3,FALSE)</f>
        <v>18.899999999999999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17.02435085898102</v>
      </c>
      <c r="J12" s="84">
        <f>VLOOKUP(B12,Opportunities!B$3:N$30,9,FALSE)</f>
        <v>13.698840734216246</v>
      </c>
      <c r="K12" s="84">
        <f>VLOOKUP(B12,Opportunities!B$3:N$30,11,FALSE)</f>
        <v>26.175323649145703</v>
      </c>
      <c r="L12" s="84">
        <f>VLOOKUP(B12,Opportunities!B$3:N$30,13,FALSE)</f>
        <v>23.429516443911918</v>
      </c>
    </row>
    <row r="13" spans="1:12">
      <c r="B13" s="66" t="s">
        <v>230</v>
      </c>
      <c r="C13" s="63">
        <f>VLOOKUP(B13,Opportunities!B$3:E$30,3,FALSE)</f>
        <v>2.94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0.63169034745798236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2025-07-29T11:03:50Z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