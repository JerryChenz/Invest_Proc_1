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0CED7F3-D035-4ADA-941F-D33F7D95C784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G3" i="1"/>
  <c r="G4" i="1"/>
  <c r="G5" i="1"/>
  <c r="G6" i="1"/>
  <c r="G7" i="1"/>
  <c r="G8" i="1"/>
  <c r="G9" i="1"/>
  <c r="G3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C10" i="5"/>
  <c r="C11" i="5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<sst xmlns="http://schemas.openxmlformats.org/spreadsheetml/2006/main" count="445" uniqueCount="378">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</sst>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9" zoomScaleNormal="100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13" sqref="F1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3.98</v>
      </c>
      <c r="E3" s="12" t="s">
        <v>135</v>
      </c>
      <c r="F3" s="15">
        <v>0.2201207182523266</v>
      </c>
      <c r="G3" s="15">
        <f>F3 - Portfolio_Mgmt!$C$10</f>
        <v>0.10272071825232659</v>
      </c>
      <c r="H3" s="15">
        <f>F3 - Portfolio_Mgmt!$C$11</f>
        <v>0.18562071825232659</v>
      </c>
      <c r="I3" s="15">
        <v>9.5857038553763402E-2</v>
      </c>
      <c r="J3" s="2">
        <v>3.3606281849430597</v>
      </c>
      <c r="K3" s="2">
        <v>6.3324290602320019</v>
      </c>
      <c r="L3" s="71">
        <v>5.7647570318158445</v>
      </c>
      <c r="M3" s="2">
        <v>4.1664689112623732</v>
      </c>
      <c r="N3" s="2">
        <v>5.1222017778022115</v>
      </c>
      <c r="O3" s="4">
        <v>0.10782337246836637</v>
      </c>
      <c r="P3" s="4">
        <v>6.0753768844221102E-2</v>
      </c>
      <c r="Q3" s="4">
        <v>0.17911384235321903</v>
      </c>
      <c r="R3" s="4">
        <v>0.23440332981639811</v>
      </c>
      <c r="S3" s="79">
        <v>0.61200300518899786</v>
      </c>
      <c r="T3" s="78">
        <v>1.2485669045200241</v>
      </c>
      <c r="U3" s="15">
        <v>3.1120102042901991E-2</v>
      </c>
      <c r="V3" s="76">
        <v>0.1723700558857961</v>
      </c>
      <c r="W3" s="71">
        <v>1.2404843517634361</v>
      </c>
      <c r="X3" s="13" t="s">
        <v>171</v>
      </c>
      <c r="Y3" s="11" t="s">
        <v>341</v>
      </c>
      <c r="Z3" s="14">
        <v>46081</v>
      </c>
      <c r="AA3" s="16" t="s">
        <v>334</v>
      </c>
    </row>
    <row r="4" spans="1:27">
      <c r="B4" s="11" t="s">
        <v>342</v>
      </c>
      <c r="C4" s="11" t="s">
        <v>343</v>
      </c>
      <c r="D4" s="2">
        <v>7.25</v>
      </c>
      <c r="E4" s="12" t="s">
        <v>135</v>
      </c>
      <c r="F4" s="15">
        <v>0.18714541646149038</v>
      </c>
      <c r="G4" s="15">
        <f>F4 - Portfolio_Mgmt!$C$10</f>
        <v>6.9745416461490378E-2</v>
      </c>
      <c r="H4" s="15">
        <f>F4 - Portfolio_Mgmt!$C$11</f>
        <v>0.15264541646149038</v>
      </c>
      <c r="I4" s="15">
        <v>5.7709125915657876E-2</v>
      </c>
      <c r="J4" s="2">
        <v>5.6432397788943476</v>
      </c>
      <c r="K4" s="2">
        <v>11.013830036072978</v>
      </c>
      <c r="L4" s="71">
        <v>9.7383745436678844</v>
      </c>
      <c r="M4" s="2">
        <v>7.0145815085745014</v>
      </c>
      <c r="N4" s="2">
        <v>8.6428276299218911</v>
      </c>
      <c r="O4" s="4">
        <v>9.4720129459660241E-2</v>
      </c>
      <c r="P4" s="4">
        <v>4.2795411148551725E-2</v>
      </c>
      <c r="Q4" s="4">
        <v>0.17171941868895782</v>
      </c>
      <c r="R4" s="4">
        <v>8.3605872465414982E-2</v>
      </c>
      <c r="S4" s="79">
        <v>1.3282158707615834</v>
      </c>
      <c r="T4" s="78">
        <v>1.5463719418456539</v>
      </c>
      <c r="U4" s="15">
        <v>0.22428295339746124</v>
      </c>
      <c r="V4" s="76">
        <v>1.2715557492373779</v>
      </c>
      <c r="W4" s="71">
        <v>-2.8808608989680535</v>
      </c>
      <c r="X4" s="13" t="s">
        <v>344</v>
      </c>
      <c r="Y4" s="11" t="s">
        <v>170</v>
      </c>
      <c r="Z4" s="14">
        <v>46081</v>
      </c>
      <c r="AA4" s="16" t="s">
        <v>334</v>
      </c>
    </row>
    <row r="5" spans="1:27">
      <c r="B5" s="11" t="s">
        <v>185</v>
      </c>
      <c r="C5" s="11" t="s">
        <v>335</v>
      </c>
      <c r="D5" s="2">
        <v>3.1</v>
      </c>
      <c r="E5" s="12" t="s">
        <v>135</v>
      </c>
      <c r="F5" s="15">
        <v>0.18145777058862814</v>
      </c>
      <c r="G5" s="15">
        <f>F5 - Portfolio_Mgmt!$C$10</f>
        <v>6.4057770588628132E-2</v>
      </c>
      <c r="H5" s="15">
        <f>F5 - Portfolio_Mgmt!$C$11</f>
        <v>0.14695777058862813</v>
      </c>
      <c r="I5" s="15">
        <v>9.939613899803304E-2</v>
      </c>
      <c r="J5" s="2">
        <v>2.4048565177073828</v>
      </c>
      <c r="K5" s="2">
        <v>4.1464286049821002</v>
      </c>
      <c r="L5" s="71">
        <v>4.0664479320737961</v>
      </c>
      <c r="M5" s="2">
        <v>2.9631300794707243</v>
      </c>
      <c r="N5" s="2">
        <v>3.623398640518225</v>
      </c>
      <c r="O5" s="4">
        <v>6.951710846042336E-2</v>
      </c>
      <c r="P5" s="4">
        <v>8.7096774193548387E-2</v>
      </c>
      <c r="Q5" s="4">
        <v>0.10109497147719294</v>
      </c>
      <c r="R5" s="4">
        <v>0.41984093276604345</v>
      </c>
      <c r="S5" s="79">
        <v>0.19832389661116825</v>
      </c>
      <c r="T5" s="78">
        <v>1.2141426890285656</v>
      </c>
      <c r="U5" s="15">
        <v>2.3107986944995245E-3</v>
      </c>
      <c r="V5" s="76">
        <v>2.2976895736939666E-2</v>
      </c>
      <c r="W5" s="71">
        <v>0.79833937207218564</v>
      </c>
      <c r="X5" s="13" t="s">
        <v>336</v>
      </c>
      <c r="Y5" s="11" t="s">
        <v>341</v>
      </c>
      <c r="Z5" s="14">
        <v>46081</v>
      </c>
      <c r="AA5" s="16" t="s">
        <v>183</v>
      </c>
    </row>
    <row r="6" spans="1:27">
      <c r="B6" s="11" t="s">
        <v>346</v>
      </c>
      <c r="C6" s="11" t="s">
        <v>347</v>
      </c>
      <c r="D6" s="2">
        <v>96.5</v>
      </c>
      <c r="E6" s="12" t="s">
        <v>135</v>
      </c>
      <c r="F6" s="15">
        <v>0.16339025322436926</v>
      </c>
      <c r="G6" s="15">
        <f>F6 - Portfolio_Mgmt!$C$10</f>
        <v>4.5990253224369254E-2</v>
      </c>
      <c r="H6" s="15">
        <f>F6 - Portfolio_Mgmt!$C$11</f>
        <v>0.12889025322436926</v>
      </c>
      <c r="I6" s="15">
        <v>2.0484774453684941E-2</v>
      </c>
      <c r="J6" s="2">
        <v>70.023504528003471</v>
      </c>
      <c r="K6" s="2">
        <v>151.95100482576748</v>
      </c>
      <c r="L6" s="71">
        <v>123.17190937132851</v>
      </c>
      <c r="M6" s="2">
        <v>87.769533473367531</v>
      </c>
      <c r="N6" s="2">
        <v>108.91246193791127</v>
      </c>
      <c r="O6" s="4">
        <v>2.4754667726482639E-2</v>
      </c>
      <c r="P6" s="4">
        <v>0</v>
      </c>
      <c r="Q6" s="4">
        <v>0.14667015235144401</v>
      </c>
      <c r="R6" s="4">
        <v>8.0069983114389093E-2</v>
      </c>
      <c r="S6" s="79">
        <v>1.022390799101176</v>
      </c>
      <c r="T6" s="78">
        <v>1.7916578376478161</v>
      </c>
      <c r="U6" s="15">
        <v>0.27660377540313014</v>
      </c>
      <c r="V6" s="76">
        <v>1.7116972700897226</v>
      </c>
      <c r="W6" s="71">
        <v>3.4791387138457726</v>
      </c>
      <c r="X6" s="13" t="s">
        <v>348</v>
      </c>
      <c r="Y6" s="11" t="s">
        <v>349</v>
      </c>
      <c r="Z6" s="14">
        <v>46081</v>
      </c>
      <c r="AA6" s="16" t="s">
        <v>334</v>
      </c>
    </row>
    <row r="7" spans="1:27">
      <c r="B7" s="11" t="s">
        <v>158</v>
      </c>
      <c r="C7" s="11" t="s">
        <v>337</v>
      </c>
      <c r="D7" s="2">
        <v>17.43</v>
      </c>
      <c r="E7" s="12" t="s">
        <v>135</v>
      </c>
      <c r="F7" s="15">
        <v>0.14803763143564208</v>
      </c>
      <c r="G7" s="15">
        <f>F7 - Portfolio_Mgmt!$C$10</f>
        <v>3.0637631435642076E-2</v>
      </c>
      <c r="H7" s="15">
        <f>F7 - Portfolio_Mgmt!$C$11</f>
        <v>0.11353763143564208</v>
      </c>
      <c r="I7" s="15">
        <v>0</v>
      </c>
      <c r="J7" s="2">
        <v>12.27823764883847</v>
      </c>
      <c r="K7" s="2">
        <v>24.516604775998022</v>
      </c>
      <c r="L7" s="71">
        <v>21.272694362385909</v>
      </c>
      <c r="M7" s="2">
        <v>15.288344017196964</v>
      </c>
      <c r="N7" s="2">
        <v>18.864978074471285</v>
      </c>
      <c r="O7" s="4">
        <v>5.4747387163025754E-2</v>
      </c>
      <c r="P7" s="4">
        <v>3.0734729999049987E-2</v>
      </c>
      <c r="Q7" s="4">
        <v>0.1108865812571333</v>
      </c>
      <c r="R7" s="4">
        <v>0.11515143044976002</v>
      </c>
      <c r="S7" s="79">
        <v>0.71131521233544359</v>
      </c>
      <c r="T7" s="78">
        <v>1.3537783359692717</v>
      </c>
      <c r="U7" s="15">
        <v>6.5417684980282262E-2</v>
      </c>
      <c r="V7" s="76">
        <v>0.5742845428370501</v>
      </c>
      <c r="W7" s="71">
        <v>5.4451599814737577</v>
      </c>
      <c r="X7" s="13" t="s">
        <v>338</v>
      </c>
      <c r="Y7" s="11" t="s">
        <v>333</v>
      </c>
      <c r="Z7" s="14">
        <v>46081</v>
      </c>
      <c r="AA7" s="16" t="s">
        <v>183</v>
      </c>
    </row>
    <row r="8" spans="1:27">
      <c r="B8" s="11" t="s">
        <v>172</v>
      </c>
      <c r="C8" s="11" t="s">
        <v>339</v>
      </c>
      <c r="D8" s="2">
        <v>19.32</v>
      </c>
      <c r="E8" s="12" t="s">
        <v>135</v>
      </c>
      <c r="F8" s="15">
        <v>0.14635606281847363</v>
      </c>
      <c r="G8" s="15">
        <f>F8 - Portfolio_Mgmt!$C$10</f>
        <v>2.8956062818473627E-2</v>
      </c>
      <c r="H8" s="15">
        <f>F8 - Portfolio_Mgmt!$C$11</f>
        <v>0.11185606281847363</v>
      </c>
      <c r="I8" s="15">
        <v>0</v>
      </c>
      <c r="J8" s="2">
        <v>13.708681390732815</v>
      </c>
      <c r="K8" s="2">
        <v>24.744658438489914</v>
      </c>
      <c r="L8" s="71">
        <v>23.349682103284181</v>
      </c>
      <c r="M8" s="2">
        <v>16.943988475935893</v>
      </c>
      <c r="N8" s="2">
        <v>20.775871046071781</v>
      </c>
      <c r="O8" s="4">
        <v>0.12091564294406111</v>
      </c>
      <c r="P8" s="4">
        <v>6.5217391304347824E-2</v>
      </c>
      <c r="Q8" s="4">
        <v>0.17244225698759846</v>
      </c>
      <c r="R8" s="4">
        <v>0.32385684070512349</v>
      </c>
      <c r="S8" s="79">
        <v>0.37515442207937094</v>
      </c>
      <c r="T8" s="78">
        <v>1.419320754716981</v>
      </c>
      <c r="U8" s="15">
        <v>9.2018392262565404E-2</v>
      </c>
      <c r="V8" s="76">
        <v>0.52904635366009978</v>
      </c>
      <c r="W8" s="71">
        <v>0.4490473650956463</v>
      </c>
      <c r="X8" s="13" t="s">
        <v>340</v>
      </c>
      <c r="Y8" s="11" t="s">
        <v>341</v>
      </c>
      <c r="Z8" s="14">
        <v>46081</v>
      </c>
      <c r="AA8" s="16" t="s">
        <v>183</v>
      </c>
    </row>
    <row r="9" spans="1:27">
      <c r="B9" s="11" t="s">
        <v>329</v>
      </c>
      <c r="C9" s="11" t="s">
        <v>330</v>
      </c>
      <c r="D9" s="2">
        <v>6.51</v>
      </c>
      <c r="E9" s="12" t="s">
        <v>135</v>
      </c>
      <c r="F9" s="15">
        <v>0.1207769498377638</v>
      </c>
      <c r="G9" s="15">
        <f>F9 - Portfolio_Mgmt!$C$10</f>
        <v>3.376949837763793E-3</v>
      </c>
      <c r="H9" s="15">
        <f>F9 - Portfolio_Mgmt!$C$11</f>
        <v>8.6276949837763794E-2</v>
      </c>
      <c r="I9" s="15">
        <v>0</v>
      </c>
      <c r="J9" s="2">
        <v>4.333028820025568</v>
      </c>
      <c r="K9" s="2">
        <v>7.8143613713918958</v>
      </c>
      <c r="L9" s="71">
        <v>7.3792932677079612</v>
      </c>
      <c r="M9" s="2">
        <v>5.3553121183397749</v>
      </c>
      <c r="N9" s="2">
        <v>6.5660659780940076</v>
      </c>
      <c r="O9" s="4">
        <v>6.0969866470943525E-2</v>
      </c>
      <c r="P9" s="4">
        <v>6.1443932411674354E-2</v>
      </c>
      <c r="Q9" s="4">
        <v>0.1167471410506614</v>
      </c>
      <c r="R9" s="4">
        <v>3.9086921133773919E-2</v>
      </c>
      <c r="S9" s="79">
        <v>1.3708738209065539</v>
      </c>
      <c r="T9" s="78">
        <v>2.1787997096988563</v>
      </c>
      <c r="U9" s="15">
        <v>0.77760119734648436</v>
      </c>
      <c r="V9" s="76">
        <v>5.3475400925918697</v>
      </c>
      <c r="W9" s="71">
        <v>-2.5047246524922007</v>
      </c>
      <c r="X9" s="13" t="s">
        <v>171</v>
      </c>
      <c r="Y9" s="11" t="s">
        <v>170</v>
      </c>
      <c r="Z9" s="14">
        <v>45991</v>
      </c>
      <c r="AA9" s="16" t="s">
        <v>183</v>
      </c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4.0199999999999993E-2</v>
      </c>
      <c r="D4" s="34">
        <v>7.2499999999999995E-2</v>
      </c>
      <c r="E4" s="35">
        <f>D4-C4</f>
        <v>3.2300000000000002E-2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D16" sqref="D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</f>
        <v>764909</v>
      </c>
      <c r="H3" s="58">
        <f>G3/$G$9</f>
        <v>0.68179541208516947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17.43</v>
      </c>
      <c r="E4" s="59" t="str">
        <f>VLOOKUP(B4,Opportunities!B$3:E$30,4,FALSE)</f>
        <v>HKD</v>
      </c>
      <c r="F4" s="57">
        <v>4500</v>
      </c>
      <c r="G4" s="61">
        <f>D4*F4</f>
        <v>78435</v>
      </c>
      <c r="H4" s="58">
        <f>G4/$G$9</f>
        <v>6.9912398921832888E-2</v>
      </c>
      <c r="I4" s="58">
        <f>VLOOKUP(B4,Opportunities!B$3:I$30,8,FALSE)</f>
        <v>0</v>
      </c>
      <c r="J4" s="81">
        <f>VLOOKUP(B4,Opportunities!B$3:N$30,12,FALSE)</f>
        <v>15.288344017196964</v>
      </c>
      <c r="K4" s="81">
        <f>VLOOKUP(B4,Opportunities!B$3:N$30,9,FALSE)</f>
        <v>12.27823764883847</v>
      </c>
      <c r="L4" s="81">
        <f>VLOOKUP(B4,Opportunities!B$3:N$30,11,FALSE)</f>
        <v>21.272694362385909</v>
      </c>
      <c r="M4" s="81">
        <f>VLOOKUP(B4,Opportunities!B$3:N$30,13,FALSE)</f>
        <v>18.864978074471285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19.32</v>
      </c>
      <c r="E5" s="59" t="str">
        <f>VLOOKUP(B5,Opportunities!B$3:E$30,4,FALSE)</f>
        <v>HKD</v>
      </c>
      <c r="F5" s="57">
        <v>8000</v>
      </c>
      <c r="G5" s="61">
        <f>D5*F5</f>
        <v>154560</v>
      </c>
      <c r="H5" s="58">
        <f>G5/$G$9</f>
        <v>0.13776579814315662</v>
      </c>
      <c r="I5" s="58">
        <f>VLOOKUP(B5,Opportunities!B$3:I$30,8,FALSE)</f>
        <v>0</v>
      </c>
      <c r="J5" s="81">
        <f>VLOOKUP(B5,Opportunities!B$3:N$30,12,FALSE)</f>
        <v>16.943988475935893</v>
      </c>
      <c r="K5" s="81">
        <f>VLOOKUP(B5,Opportunities!B$3:N$30,9,FALSE)</f>
        <v>13.708681390732815</v>
      </c>
      <c r="L5" s="81">
        <f>VLOOKUP(B5,Opportunities!B$3:N$30,11,FALSE)</f>
        <v>23.349682103284181</v>
      </c>
      <c r="M5" s="81">
        <f>VLOOKUP(B5,Opportunities!B$3:N$30,13,FALSE)</f>
        <v>20.775871046071781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3.1</v>
      </c>
      <c r="E6" s="59" t="str">
        <f>VLOOKUP(B6,Opportunities!B$3:E$30,4,FALSE)</f>
        <v>HKD</v>
      </c>
      <c r="F6" s="57">
        <v>40000</v>
      </c>
      <c r="G6" s="61">
        <f>D6*F6</f>
        <v>124000</v>
      </c>
      <c r="H6" s="58">
        <f t="shared" ref="H6" si="0">G6/$G$9</f>
        <v>0.11052639084984099</v>
      </c>
      <c r="I6" s="58">
        <f>VLOOKUP(B6,Opportunities!B$3:I$30,8,FALSE)</f>
        <v>9.939613899803304E-2</v>
      </c>
      <c r="J6" s="81">
        <f>VLOOKUP(B6,Opportunities!B$3:N$30,12,FALSE)</f>
        <v>2.9631300794707243</v>
      </c>
      <c r="K6" s="81">
        <f>VLOOKUP(B6,Opportunities!B$3:N$30,9,FALSE)</f>
        <v>2.4048565177073828</v>
      </c>
      <c r="L6" s="81">
        <f>VLOOKUP(B6,Opportunities!B$3:N$30,11,FALSE)</f>
        <v>4.0664479320737961</v>
      </c>
      <c r="M6" s="81">
        <f>VLOOKUP(B6,Opportunities!B$3:N$30,13,FALSE)</f>
        <v>3.623398640518225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3.98</v>
      </c>
      <c r="E7" s="59" t="str">
        <f>VLOOKUP(B7,Opportunities!B$3:E$30,4,FALSE)</f>
        <v>HKD</v>
      </c>
      <c r="F7" s="57">
        <v>12000</v>
      </c>
      <c r="G7" s="61">
        <f>D7*F7</f>
        <v>47760</v>
      </c>
      <c r="H7" s="58">
        <f t="shared" ref="H7" si="1">G7/$G$9</f>
        <v>4.2570487314422624E-2</v>
      </c>
      <c r="I7" s="58">
        <f>VLOOKUP(B7,Opportunities!B$3:I$30,8,FALSE)</f>
        <v>9.5857038553763402E-2</v>
      </c>
      <c r="J7" s="81">
        <f>VLOOKUP(B7,Opportunities!B$3:N$30,12,FALSE)</f>
        <v>4.1664689112623732</v>
      </c>
      <c r="K7" s="81">
        <f>VLOOKUP(B7,Opportunities!B$3:N$30,9,FALSE)</f>
        <v>3.3606281849430597</v>
      </c>
      <c r="L7" s="81">
        <f>VLOOKUP(B7,Opportunities!B$3:N$30,11,FALSE)</f>
        <v>5.7647570318158445</v>
      </c>
      <c r="M7" s="81">
        <f>VLOOKUP(B7,Opportunities!B$3:N$30,13,FALSE)</f>
        <v>5.1222017778022115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1121904</v>
      </c>
      <c r="H9" s="67">
        <f>SUM(H3:H6)</f>
        <v>0.99999999999999989</v>
      </c>
      <c r="I9" s="73">
        <f>SUM(I3:I6)</f>
        <v>0.54939613899803308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17.43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0</v>
      </c>
      <c r="J12" s="81">
        <f>VLOOKUP(B12,Opportunities!B$3:N$30,12,FALSE)</f>
        <v>15.288344017196964</v>
      </c>
      <c r="K12" s="81">
        <f>VLOOKUP(B12,Opportunities!B$3:N$30,9,FALSE)</f>
        <v>12.27823764883847</v>
      </c>
      <c r="L12" s="81">
        <f>VLOOKUP(B12,Opportunities!B$3:N$30,11,FALSE)</f>
        <v>21.272694362385909</v>
      </c>
      <c r="M12" s="81">
        <f>VLOOKUP(B12,Opportunities!B$3:N$30,13,FALSE)</f>
        <v>18.864978074471285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19.32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0</v>
      </c>
      <c r="J13" s="81">
        <f>VLOOKUP(B13,Opportunities!B$3:N$30,12,FALSE)</f>
        <v>16.943988475935893</v>
      </c>
      <c r="K13" s="81">
        <f>VLOOKUP(B13,Opportunities!B$3:N$30,9,FALSE)</f>
        <v>13.708681390732815</v>
      </c>
      <c r="L13" s="81">
        <f>VLOOKUP(B13,Opportunities!B$3:N$30,11,FALSE)</f>
        <v>23.349682103284181</v>
      </c>
      <c r="M13" s="81">
        <f>VLOOKUP(B13,Opportunities!B$3:N$30,13,FALSE)</f>
        <v>20.775871046071781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3.1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9.939613899803304E-2</v>
      </c>
      <c r="J14" s="81">
        <f>VLOOKUP(B14,Opportunities!B$3:N$30,12,FALSE)</f>
        <v>2.9631300794707243</v>
      </c>
      <c r="K14" s="81">
        <f>VLOOKUP(B14,Opportunities!B$3:N$30,9,FALSE)</f>
        <v>2.4048565177073828</v>
      </c>
      <c r="L14" s="81">
        <f>VLOOKUP(B14,Opportunities!B$3:N$30,11,FALSE)</f>
        <v>4.0664479320737961</v>
      </c>
      <c r="M14" s="81">
        <f>VLOOKUP(B14,Opportunities!B$3:N$30,13,FALSE)</f>
        <v>3.623398640518225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3.98</v>
      </c>
      <c r="E15" s="59" t="str">
        <f>VLOOKUP(B15,Opportunities!B$3:E$30,4,FALSE)</f>
        <v>HKD</v>
      </c>
      <c r="F15" s="57">
        <v>8000</v>
      </c>
      <c r="G15" s="61">
        <f>-D15*F15</f>
        <v>-31840</v>
      </c>
      <c r="H15" s="58">
        <f>-G15/$G$9</f>
        <v>2.838032487628175E-2</v>
      </c>
      <c r="I15" s="58">
        <f>VLOOKUP(B15,Opportunities!B$3:I$30,8,FALSE)</f>
        <v>9.5857038553763402E-2</v>
      </c>
      <c r="J15" s="81">
        <f>VLOOKUP(B15,Opportunities!B$3:N$30,12,FALSE)</f>
        <v>4.1664689112623732</v>
      </c>
      <c r="K15" s="81">
        <f>VLOOKUP(B15,Opportunities!B$3:N$30,9,FALSE)</f>
        <v>3.3606281849430597</v>
      </c>
      <c r="L15" s="81">
        <f>VLOOKUP(B15,Opportunities!B$3:N$30,11,FALSE)</f>
        <v>5.7647570318158445</v>
      </c>
      <c r="M15" s="81">
        <f>VLOOKUP(B15,Opportunities!B$3:N$30,13,FALSE)</f>
        <v>5.1222017778022115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7.25</v>
      </c>
      <c r="E16" s="59" t="str">
        <f>VLOOKUP(B16,Opportunities!B$3:E$30,4,FALSE)</f>
        <v>HKD</v>
      </c>
      <c r="F16" s="57">
        <v>8000</v>
      </c>
      <c r="G16" s="61">
        <f>-D16*F16</f>
        <v>-58000</v>
      </c>
      <c r="H16" s="58">
        <f>-G16/$G$9</f>
        <v>5.169782797815143E-2</v>
      </c>
      <c r="I16" s="58">
        <f>VLOOKUP(B16,Opportunities!B$3:I$30,8,FALSE)</f>
        <v>5.7709125915657876E-2</v>
      </c>
      <c r="J16" s="81">
        <f>VLOOKUP(B16,Opportunities!B$3:N$30,12,FALSE)</f>
        <v>7.0145815085745014</v>
      </c>
      <c r="K16" s="81">
        <f>VLOOKUP(B16,Opportunities!B$3:N$30,9,FALSE)</f>
        <v>5.6432397788943476</v>
      </c>
      <c r="L16" s="81">
        <f>VLOOKUP(B16,Opportunities!B$3:N$30,11,FALSE)</f>
        <v>9.7383745436678844</v>
      </c>
      <c r="M16" s="81">
        <f>VLOOKUP(B16,Opportunities!B$3:N$30,13,FALSE)</f>
        <v>8.6428276299218911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675069</v>
      </c>
      <c r="H18" s="73">
        <f t="shared" ref="H18" si="2">G18/$G$9</f>
        <v>0.60171725923073627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2025-10-21T09:13:12Z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