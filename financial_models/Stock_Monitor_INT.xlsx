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ED1EF6F-6EF1-4E20-A601-9C1568C3ED9C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<sst xmlns="http://schemas.openxmlformats.org/spreadsheetml/2006/main" count="413" uniqueCount="363">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</sst>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H3" activePane="bottomRight" state="frozen"/>
      <selection pane="topRight" activeCell="D1" sqref="D1"/>
      <selection pane="bottomLeft" activeCell="A5" sqref="A5"/>
      <selection pane="bottomRight" activeCell="Y8" sqref="Y8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328</v>
      </c>
      <c r="C3" s="11" t="s">
        <v>329</v>
      </c>
      <c r="D3" s="2">
        <v>4.74</v>
      </c>
      <c r="E3" s="12" t="s">
        <v>135</v>
      </c>
      <c r="F3" s="15">
        <v>0.20248380603638749</v>
      </c>
      <c r="G3" s="15">
        <f>F3 - Portfolio_Mgmt!$C$10</f>
        <v>8.5083806036387488E-2</v>
      </c>
      <c r="H3" s="15">
        <f>F3 - Portfolio_Mgmt!$C$11</f>
        <v>0.16798380603638749</v>
      </c>
      <c r="I3" s="15">
        <v>0.15406212864034138</v>
      </c>
      <c r="J3" s="2">
        <v>3.8425731741881606</v>
      </c>
      <c r="K3" s="2">
        <v>7.1471504119406184</v>
      </c>
      <c r="L3" s="71">
        <v>6.5772126757176244</v>
      </c>
      <c r="M3" s="2">
        <v>4.7595191116554512</v>
      </c>
      <c r="N3" s="2">
        <v>5.8465752759800615</v>
      </c>
      <c r="O3" s="4">
        <v>8.5751206501826105E-2</v>
      </c>
      <c r="P3" s="4">
        <v>6.3291139240506333E-2</v>
      </c>
      <c r="Q3" s="4">
        <v>0.12</v>
      </c>
      <c r="R3" s="4">
        <v>3.7061963337109531E-2</v>
      </c>
      <c r="S3" s="79">
        <v>1.48</v>
      </c>
      <c r="T3" s="78">
        <v>2.187716833659914</v>
      </c>
      <c r="U3" s="15">
        <v>0.76701287002940366</v>
      </c>
      <c r="V3" s="76">
        <v>5.0762308701590531</v>
      </c>
      <c r="W3" s="71">
        <v>-2.4800067209187837</v>
      </c>
      <c r="X3" s="13" t="s">
        <v>170</v>
      </c>
      <c r="Y3" s="11" t="s">
        <v>362</v>
      </c>
      <c r="Z3" s="14">
        <v>46173</v>
      </c>
      <c r="AA3" s="16" t="s">
        <v>182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4.1500000000000002E-2</v>
      </c>
      <c r="D4" s="34">
        <v>6.7500000000000004E-2</v>
      </c>
      <c r="E4" s="35">
        <f>D4-C4</f>
        <v>2.6000000000000002E-2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 t="e">
        <f t="shared" ref="H3:H9" si="0">G3/$G$12</f>
        <v>#N/A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 t="shared" ref="G4:G10" si="1">D4*F4</f>
        <v>#N/A</v>
      </c>
      <c r="H4" s="58" t="e">
        <f t="shared" si="0"/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4000</v>
      </c>
      <c r="G5" s="61" t="e">
        <f t="shared" si="1"/>
        <v>#N/A</v>
      </c>
      <c r="H5" s="58" t="e">
        <f t="shared" si="0"/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184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 t="shared" si="1"/>
        <v>#N/A</v>
      </c>
      <c r="H6" s="58" t="e">
        <f t="shared" si="0"/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331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8000</v>
      </c>
      <c r="G7" s="61" t="e">
        <f t="shared" si="1"/>
        <v>#N/A</v>
      </c>
      <c r="H7" s="58" t="e">
        <f t="shared" si="0"/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63" t="s">
        <v>361</v>
      </c>
      <c r="C8" s="62" t="e">
        <f>VLOOKUP(B8,Opportunities!B$3:E$30,2,FALSE)</f>
        <v>#N/A</v>
      </c>
      <c r="D8" s="60" t="e">
        <f>VLOOKUP(B8,Opportunities!B$3:E$30,3,FALSE)</f>
        <v>#N/A</v>
      </c>
      <c r="E8" s="59" t="e">
        <f>VLOOKUP(B8,Opportunities!B$3:E$30,4,FALSE)</f>
        <v>#N/A</v>
      </c>
      <c r="F8" s="57">
        <v>5000</v>
      </c>
      <c r="G8" s="61" t="e">
        <f t="shared" si="1"/>
        <v>#N/A</v>
      </c>
      <c r="H8" s="58" t="e">
        <f t="shared" si="0"/>
        <v>#N/A</v>
      </c>
      <c r="I8" s="58" t="e">
        <f>VLOOKUP(B8,Opportunities!B$3:I$30,8,FALSE)</f>
        <v>#N/A</v>
      </c>
      <c r="J8" s="81" t="e">
        <f>VLOOKUP(B8,Opportunities!B$3:N$30,12,FALSE)</f>
        <v>#N/A</v>
      </c>
      <c r="K8" s="81" t="e">
        <f>VLOOKUP(B8,Opportunities!B$3:N$30,9,FALSE)</f>
        <v>#N/A</v>
      </c>
      <c r="L8" s="81" t="e">
        <f>VLOOKUP(B8,Opportunities!B$3:N$30,11,FALSE)</f>
        <v>#N/A</v>
      </c>
      <c r="M8" s="81" t="e">
        <f>VLOOKUP(B8,Opportunities!B$3:N$30,13,FALSE)</f>
        <v>#N/A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4.74</v>
      </c>
      <c r="E9" s="59" t="str">
        <f>VLOOKUP(B9,Opportunities!B$3:E$30,4,FALSE)</f>
        <v>HKD</v>
      </c>
      <c r="F9" s="57">
        <v>4000</v>
      </c>
      <c r="G9" s="61">
        <f t="shared" si="1"/>
        <v>18960</v>
      </c>
      <c r="H9" s="58" t="e">
        <f t="shared" si="0"/>
        <v>#N/A</v>
      </c>
      <c r="I9" s="58">
        <f>VLOOKUP(B9,Opportunities!B$3:I$30,8,FALSE)</f>
        <v>0.15406212864034138</v>
      </c>
      <c r="J9" s="81">
        <f>VLOOKUP(B9,Opportunities!B$3:N$30,12,FALSE)</f>
        <v>4.7595191116554512</v>
      </c>
      <c r="K9" s="81">
        <f>VLOOKUP(B9,Opportunities!B$3:N$30,9,FALSE)</f>
        <v>3.8425731741881606</v>
      </c>
      <c r="L9" s="81">
        <f>VLOOKUP(B9,Opportunities!B$3:N$30,11,FALSE)</f>
        <v>6.5772126757176244</v>
      </c>
      <c r="M9" s="81">
        <f>VLOOKUP(B9,Opportunities!B$3:N$30,13,FALSE)</f>
        <v>5.8465752759800615</v>
      </c>
    </row>
    <row r="10" spans="1:13">
      <c r="B10" s="63" t="s">
        <v>330</v>
      </c>
      <c r="C10" s="62" t="e">
        <f>VLOOKUP(B10,Opportunities!B$3:E$30,2,FALSE)</f>
        <v>#N/A</v>
      </c>
      <c r="D10" s="60" t="e">
        <f>VLOOKUP(B10,Opportunities!B$3:E$30,3,FALSE)</f>
        <v>#N/A</v>
      </c>
      <c r="E10" s="59" t="e">
        <f>VLOOKUP(B10,Opportunities!B$3:E$30,4,FALSE)</f>
        <v>#N/A</v>
      </c>
      <c r="F10" s="57">
        <v>12000</v>
      </c>
      <c r="G10" s="61" t="e">
        <f t="shared" si="1"/>
        <v>#N/A</v>
      </c>
      <c r="H10" s="58" t="e">
        <f t="shared" ref="H10" si="2">G10/$G$12</f>
        <v>#N/A</v>
      </c>
      <c r="I10" s="58" t="e">
        <f>VLOOKUP(B10,Opportunities!B$3:I$30,8,FALSE)</f>
        <v>#N/A</v>
      </c>
      <c r="J10" s="81" t="e">
        <f>VLOOKUP(B10,Opportunities!B$3:N$30,12,FALSE)</f>
        <v>#N/A</v>
      </c>
      <c r="K10" s="81" t="e">
        <f>VLOOKUP(B10,Opportunities!B$3:N$30,9,FALSE)</f>
        <v>#N/A</v>
      </c>
      <c r="L10" s="81" t="e">
        <f>VLOOKUP(B10,Opportunities!B$3:N$30,11,FALSE)</f>
        <v>#N/A</v>
      </c>
      <c r="M10" s="81" t="e">
        <f>VLOOKUP(B10,Opportunities!B$3:N$30,13,FALSE)</f>
        <v>#N/A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 t="e">
        <f>SUM(G3:G10)</f>
        <v>#N/A</v>
      </c>
      <c r="H12" s="67" t="e">
        <f>SUM(H3:H10)</f>
        <v>#N/A</v>
      </c>
      <c r="I12" s="73" t="e">
        <f>SUM(I3:I10)</f>
        <v>#N/A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0</v>
      </c>
      <c r="G15" s="61" t="e">
        <f t="shared" ref="G15:G20" si="3">-D15*F15</f>
        <v>#N/A</v>
      </c>
      <c r="H15" s="58" t="e">
        <f t="shared" ref="H15:H20" si="4">-G15/$G$12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171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0</v>
      </c>
      <c r="G16" s="61" t="e">
        <f t="shared" si="3"/>
        <v>#N/A</v>
      </c>
      <c r="H16" s="58" t="e">
        <f t="shared" si="4"/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B17" s="63" t="s">
        <v>184</v>
      </c>
      <c r="C17" s="62" t="e">
        <f>VLOOKUP(B17,Opportunities!B$3:E$30,2,FALSE)</f>
        <v>#N/A</v>
      </c>
      <c r="D17" s="60" t="e">
        <f>VLOOKUP(B17,Opportunities!B$3:E$30,3,FALSE)</f>
        <v>#N/A</v>
      </c>
      <c r="E17" s="59" t="e">
        <f>VLOOKUP(B17,Opportunities!B$3:E$30,4,FALSE)</f>
        <v>#N/A</v>
      </c>
      <c r="F17" s="57">
        <v>0</v>
      </c>
      <c r="G17" s="61" t="e">
        <f t="shared" si="3"/>
        <v>#N/A</v>
      </c>
      <c r="H17" s="58" t="e">
        <f t="shared" si="4"/>
        <v>#N/A</v>
      </c>
      <c r="I17" s="58" t="e">
        <f>VLOOKUP(B17,Opportunities!B$3:I$30,8,FALSE)</f>
        <v>#N/A</v>
      </c>
      <c r="J17" s="81" t="e">
        <f>VLOOKUP(B17,Opportunities!B$3:N$30,12,FALSE)</f>
        <v>#N/A</v>
      </c>
      <c r="K17" s="81" t="e">
        <f>VLOOKUP(B17,Opportunities!B$3:N$30,9,FALSE)</f>
        <v>#N/A</v>
      </c>
      <c r="L17" s="81" t="e">
        <f>VLOOKUP(B17,Opportunities!B$3:N$30,11,FALSE)</f>
        <v>#N/A</v>
      </c>
      <c r="M17" s="81" t="e">
        <f>VLOOKUP(B17,Opportunities!B$3:N$30,13,FALSE)</f>
        <v>#N/A</v>
      </c>
    </row>
    <row r="18" spans="1:13">
      <c r="B18" s="63" t="s">
        <v>330</v>
      </c>
      <c r="C18" s="62" t="e">
        <f>VLOOKUP(B18,Opportunities!B$3:E$30,2,FALSE)</f>
        <v>#N/A</v>
      </c>
      <c r="D18" s="60" t="e">
        <f>VLOOKUP(B18,Opportunities!B$3:E$30,3,FALSE)</f>
        <v>#N/A</v>
      </c>
      <c r="E18" s="59" t="e">
        <f>VLOOKUP(B18,Opportunities!B$3:E$30,4,FALSE)</f>
        <v>#N/A</v>
      </c>
      <c r="F18" s="57">
        <v>0</v>
      </c>
      <c r="G18" s="61" t="e">
        <f t="shared" si="3"/>
        <v>#N/A</v>
      </c>
      <c r="H18" s="58" t="e">
        <f t="shared" si="4"/>
        <v>#N/A</v>
      </c>
      <c r="I18" s="58" t="e">
        <f>VLOOKUP(B18,Opportunities!B$3:I$30,8,FALSE)</f>
        <v>#N/A</v>
      </c>
      <c r="J18" s="81" t="e">
        <f>VLOOKUP(B18,Opportunities!B$3:N$30,12,FALSE)</f>
        <v>#N/A</v>
      </c>
      <c r="K18" s="81" t="e">
        <f>VLOOKUP(B18,Opportunities!B$3:N$30,9,FALSE)</f>
        <v>#N/A</v>
      </c>
      <c r="L18" s="81" t="e">
        <f>VLOOKUP(B18,Opportunities!B$3:N$30,11,FALSE)</f>
        <v>#N/A</v>
      </c>
      <c r="M18" s="81" t="e">
        <f>VLOOKUP(B18,Opportunities!B$3:N$30,13,FALSE)</f>
        <v>#N/A</v>
      </c>
    </row>
    <row r="19" spans="1:13">
      <c r="B19" s="63" t="s">
        <v>361</v>
      </c>
      <c r="C19" s="62" t="e">
        <f>VLOOKUP(B19,Opportunities!B$3:E$30,2,FALSE)</f>
        <v>#N/A</v>
      </c>
      <c r="D19" s="60" t="e">
        <f>VLOOKUP(B19,Opportunities!B$3:E$30,3,FALSE)</f>
        <v>#N/A</v>
      </c>
      <c r="E19" s="59" t="e">
        <f>VLOOKUP(B19,Opportunities!B$3:E$30,4,FALSE)</f>
        <v>#N/A</v>
      </c>
      <c r="F19" s="57">
        <v>0</v>
      </c>
      <c r="G19" s="61" t="e">
        <f t="shared" si="3"/>
        <v>#N/A</v>
      </c>
      <c r="H19" s="58" t="e">
        <f t="shared" si="4"/>
        <v>#N/A</v>
      </c>
      <c r="I19" s="58" t="e">
        <f>VLOOKUP(B19,Opportunities!B$3:I$30,8,FALSE)</f>
        <v>#N/A</v>
      </c>
      <c r="J19" s="81" t="e">
        <f>VLOOKUP(B19,Opportunities!B$3:N$30,12,FALSE)</f>
        <v>#N/A</v>
      </c>
      <c r="K19" s="81" t="e">
        <f>VLOOKUP(B19,Opportunities!B$3:N$30,9,FALSE)</f>
        <v>#N/A</v>
      </c>
      <c r="L19" s="81" t="e">
        <f>VLOOKUP(B19,Opportunities!B$3:N$30,11,FALSE)</f>
        <v>#N/A</v>
      </c>
      <c r="M19" s="81" t="e">
        <f>VLOOKUP(B19,Opportunities!B$3:N$30,13,FALSE)</f>
        <v>#N/A</v>
      </c>
    </row>
    <row r="20" spans="1:13">
      <c r="B20" s="63" t="s">
        <v>331</v>
      </c>
      <c r="C20" s="62" t="e">
        <f>VLOOKUP(B20,Opportunities!B$3:E$30,2,FALSE)</f>
        <v>#N/A</v>
      </c>
      <c r="D20" s="60" t="e">
        <f>VLOOKUP(B20,Opportunities!B$3:E$30,3,FALSE)</f>
        <v>#N/A</v>
      </c>
      <c r="E20" s="59" t="e">
        <f>VLOOKUP(B20,Opportunities!B$3:E$30,4,FALSE)</f>
        <v>#N/A</v>
      </c>
      <c r="F20" s="57">
        <v>0</v>
      </c>
      <c r="G20" s="61" t="e">
        <f t="shared" si="3"/>
        <v>#N/A</v>
      </c>
      <c r="H20" s="58" t="e">
        <f t="shared" si="4"/>
        <v>#N/A</v>
      </c>
      <c r="I20" s="58" t="e">
        <f>VLOOKUP(B20,Opportunities!B$3:I$30,8,FALSE)</f>
        <v>#N/A</v>
      </c>
      <c r="J20" s="81" t="e">
        <f>VLOOKUP(B20,Opportunities!B$3:N$30,12,FALSE)</f>
        <v>#N/A</v>
      </c>
      <c r="K20" s="81" t="e">
        <f>VLOOKUP(B20,Opportunities!B$3:N$30,9,FALSE)</f>
        <v>#N/A</v>
      </c>
      <c r="L20" s="81" t="e">
        <f>VLOOKUP(B20,Opportunities!B$3:N$30,11,FALSE)</f>
        <v>#N/A</v>
      </c>
      <c r="M20" s="81" t="e">
        <f>VLOOKUP(B20,Opportunities!B$3:N$30,13,FALSE)</f>
        <v>#N/A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 t="e">
        <f>G3+SUM(G15:G20)</f>
        <v>#N/A</v>
      </c>
      <c r="H23" s="73" t="e">
        <f t="shared" ref="H23" si="5">G23/$G$12</f>
        <v>#N/A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2026-01-16T04:14:26Z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