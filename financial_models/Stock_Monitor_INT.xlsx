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B728343-B1E2-4F20-B01E-2BEEE6998D25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<sst xmlns="http://schemas.openxmlformats.org/spreadsheetml/2006/main" count="475" uniqueCount="387">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</sst>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384</v>
      </c>
      <c r="C3" s="11" t="s">
        <v>385</v>
      </c>
      <c r="D3" s="2">
        <v>7.71</v>
      </c>
      <c r="E3" s="12" t="s">
        <v>136</v>
      </c>
      <c r="F3" s="15">
        <v>0.22792724483207127</v>
      </c>
      <c r="G3" s="15">
        <f>F3 - Portfolio_Mgmt!$C$10</f>
        <v>0.11052724483207127</v>
      </c>
      <c r="H3" s="15">
        <f>F3 - Portfolio_Mgmt!$C$11</f>
        <v>0.19342724483207127</v>
      </c>
      <c r="I3" s="15">
        <v>0</v>
      </c>
      <c r="J3" s="2">
        <v>5.8632561257874007</v>
      </c>
      <c r="K3" s="2">
        <v>12.98390803598565</v>
      </c>
      <c r="L3" s="74">
        <v>11.3502038756308</v>
      </c>
      <c r="M3" s="2">
        <v>7.3223181996927478</v>
      </c>
      <c r="N3" s="2">
        <v>10.14008003035921</v>
      </c>
      <c r="O3" s="4">
        <v>0.11851489961283493</v>
      </c>
      <c r="P3" s="4">
        <v>4.4821320330479884E-2</v>
      </c>
      <c r="Q3" s="4">
        <v>0.20035937581782973</v>
      </c>
      <c r="R3" s="4">
        <v>9.7688941552013742E-2</v>
      </c>
      <c r="S3" s="82">
        <v>1.2706604365715879</v>
      </c>
      <c r="T3" s="81">
        <v>1.6141160578600777</v>
      </c>
      <c r="U3" s="15">
        <v>0.27330444081724548</v>
      </c>
      <c r="V3" s="79">
        <v>1.3936222417470483</v>
      </c>
      <c r="W3" s="74">
        <v>-3.1956651023474385</v>
      </c>
      <c r="X3" s="13" t="s">
        <v>201</v>
      </c>
      <c r="Y3" s="11" t="s">
        <v>137</v>
      </c>
      <c r="Z3" s="14">
        <v>45900</v>
      </c>
      <c r="AA3" s="16" t="s">
        <v>225</v>
      </c>
    </row>
    <row r="4" spans="1:27">
      <c r="B4" s="11" t="s">
        <v>230</v>
      </c>
      <c r="C4" s="11" t="s">
        <v>231</v>
      </c>
      <c r="D4" s="2">
        <v>2.98</v>
      </c>
      <c r="E4" s="12" t="s">
        <v>136</v>
      </c>
      <c r="F4" s="15">
        <v>0.22609861224828309</v>
      </c>
      <c r="G4" s="15">
        <f>F4 - Portfolio_Mgmt!$C$10</f>
        <v>0.10869861224828309</v>
      </c>
      <c r="H4" s="15">
        <f>F4 - Portfolio_Mgmt!$C$11</f>
        <v>0.19159861224828309</v>
      </c>
      <c r="I4" s="15">
        <v>0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7.1966278637541126E-2</v>
      </c>
      <c r="P4" s="4">
        <v>9.0604026845637592E-2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210</v>
      </c>
      <c r="C5" s="11" t="s">
        <v>211</v>
      </c>
      <c r="D5" s="2">
        <v>19.010000000000002</v>
      </c>
      <c r="E5" s="12" t="s">
        <v>136</v>
      </c>
      <c r="F5" s="15">
        <v>0.20236902228514397</v>
      </c>
      <c r="G5" s="15">
        <f>F5 - Portfolio_Mgmt!$C$10</f>
        <v>8.4969022285143969E-2</v>
      </c>
      <c r="H5" s="15">
        <f>F5 - Portfolio_Mgmt!$C$11</f>
        <v>0.16786902228514397</v>
      </c>
      <c r="I5" s="15">
        <v>0</v>
      </c>
      <c r="J5" s="2">
        <v>13.699135319546153</v>
      </c>
      <c r="K5" s="2">
        <v>28.447660061828369</v>
      </c>
      <c r="L5" s="74">
        <v>26.175907076823623</v>
      </c>
      <c r="M5" s="2">
        <v>17.024721951656126</v>
      </c>
      <c r="N5" s="2">
        <v>23.430035944950305</v>
      </c>
      <c r="O5" s="4">
        <v>0.10888513413518826</v>
      </c>
      <c r="P5" s="4">
        <v>6.6280904786954226E-2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-0.45864784781871215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</v>
      </c>
      <c r="E6" s="12" t="s">
        <v>136</v>
      </c>
      <c r="F6" s="15">
        <v>0.18690409278357389</v>
      </c>
      <c r="G6" s="15">
        <f>F6 - Portfolio_Mgmt!$C$10</f>
        <v>6.950409278357389E-2</v>
      </c>
      <c r="H6" s="15">
        <f>F6 - Portfolio_Mgmt!$C$11</f>
        <v>0.15240409278357389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8.3518393354024861E-2</v>
      </c>
      <c r="P6" s="4">
        <v>3.7647058823529415E-2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199</v>
      </c>
      <c r="C7" s="11" t="s">
        <v>200</v>
      </c>
      <c r="D7" s="2">
        <v>2.19</v>
      </c>
      <c r="E7" s="12" t="s">
        <v>136</v>
      </c>
      <c r="F7" s="15">
        <v>0.18138999559579827</v>
      </c>
      <c r="G7" s="15">
        <f>F7 - Portfolio_Mgmt!$C$10</f>
        <v>6.3989995595798266E-2</v>
      </c>
      <c r="H7" s="15">
        <f>F7 - Portfolio_Mgmt!$C$11</f>
        <v>0.14688999559579827</v>
      </c>
      <c r="I7" s="15">
        <v>0</v>
      </c>
      <c r="J7" s="2">
        <v>1.4894312168913262</v>
      </c>
      <c r="K7" s="2">
        <v>3.2890343302589971</v>
      </c>
      <c r="L7" s="74">
        <v>2.8815902642103941</v>
      </c>
      <c r="M7" s="2">
        <v>1.8596655770926065</v>
      </c>
      <c r="N7" s="2">
        <v>2.5745838205300955</v>
      </c>
      <c r="O7" s="4">
        <v>6.1690416874164239E-2</v>
      </c>
      <c r="P7" s="4">
        <v>4.1095890410958909E-2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1.8486686108860506</v>
      </c>
      <c r="X7" s="13" t="s">
        <v>386</v>
      </c>
      <c r="Y7" s="11" t="s">
        <v>137</v>
      </c>
      <c r="Z7" s="14">
        <v>45900</v>
      </c>
      <c r="AA7" s="16" t="s">
        <v>225</v>
      </c>
    </row>
    <row r="8" spans="1:27">
      <c r="B8" s="11" t="s">
        <v>205</v>
      </c>
      <c r="C8" s="11" t="s">
        <v>216</v>
      </c>
      <c r="D8" s="2">
        <v>21.04</v>
      </c>
      <c r="E8" s="12" t="s">
        <v>206</v>
      </c>
      <c r="F8" s="15">
        <v>0.17670798654712239</v>
      </c>
      <c r="G8" s="15">
        <f>F8 - Portfolio_Mgmt!$C$10</f>
        <v>5.9307986547122382E-2</v>
      </c>
      <c r="H8" s="15">
        <f>F8 - Portfolio_Mgmt!$C$11</f>
        <v>0.14220798654712238</v>
      </c>
      <c r="I8" s="15">
        <v>0</v>
      </c>
      <c r="J8" s="2">
        <v>14.005438973829049</v>
      </c>
      <c r="K8" s="2">
        <v>33.245001875234657</v>
      </c>
      <c r="L8" s="74">
        <v>27.517314961638828</v>
      </c>
      <c r="M8" s="2">
        <v>17.589207488120145</v>
      </c>
      <c r="N8" s="2">
        <v>24.530440005494061</v>
      </c>
      <c r="O8" s="4">
        <v>0.21668068190770884</v>
      </c>
      <c r="P8" s="4">
        <v>1.3824334600760454E-2</v>
      </c>
      <c r="Q8" s="4">
        <v>0.18752610102828118</v>
      </c>
      <c r="R8" s="4">
        <v>0.23497655430253014</v>
      </c>
      <c r="S8" s="82">
        <v>0.32112750263435197</v>
      </c>
      <c r="T8" s="81">
        <v>2.4851905363915479</v>
      </c>
      <c r="U8" s="15">
        <v>0.95241105291674188</v>
      </c>
      <c r="V8" s="79">
        <v>4.0148803043206254</v>
      </c>
      <c r="W8" s="74">
        <v>-38.360607814419353</v>
      </c>
      <c r="X8" s="13" t="s">
        <v>207</v>
      </c>
      <c r="Y8" s="11" t="s">
        <v>137</v>
      </c>
      <c r="Z8" s="14">
        <v>45900</v>
      </c>
      <c r="AA8" s="16" t="s">
        <v>225</v>
      </c>
    </row>
    <row r="9" spans="1:27">
      <c r="B9" s="11" t="s">
        <v>163</v>
      </c>
      <c r="C9" s="11" t="s">
        <v>192</v>
      </c>
      <c r="D9" s="2">
        <v>17</v>
      </c>
      <c r="E9" s="12" t="s">
        <v>136</v>
      </c>
      <c r="F9" s="15">
        <v>0.17159715812863041</v>
      </c>
      <c r="G9" s="15">
        <f>F9 - Portfolio_Mgmt!$C$10</f>
        <v>5.4197158128630407E-2</v>
      </c>
      <c r="H9" s="15">
        <f>F9 - Portfolio_Mgmt!$C$11</f>
        <v>0.13709715812863041</v>
      </c>
      <c r="I9" s="15">
        <v>0</v>
      </c>
      <c r="J9" s="2">
        <v>11.234570427933916</v>
      </c>
      <c r="K9" s="2">
        <v>25.634385847920402</v>
      </c>
      <c r="L9" s="74">
        <v>21.885459058351312</v>
      </c>
      <c r="M9" s="2">
        <v>14.063669774558747</v>
      </c>
      <c r="N9" s="2">
        <v>19.534115524754306</v>
      </c>
      <c r="O9" s="4">
        <v>6.0258816698508466E-2</v>
      </c>
      <c r="P9" s="4">
        <v>2.8292677809290651E-2</v>
      </c>
      <c r="Q9" s="4">
        <v>0.12359646957218277</v>
      </c>
      <c r="R9" s="4">
        <v>0.1233188736096833</v>
      </c>
      <c r="S9" s="82">
        <v>0.73266920679685343</v>
      </c>
      <c r="T9" s="81">
        <v>1.3679448142367923</v>
      </c>
      <c r="U9" s="15">
        <v>7.4171010848313429E-2</v>
      </c>
      <c r="V9" s="79">
        <v>0.60402076709908736</v>
      </c>
      <c r="W9" s="74">
        <v>4.6132566500997241</v>
      </c>
      <c r="X9" s="13" t="s">
        <v>181</v>
      </c>
      <c r="Y9" s="11" t="s">
        <v>137</v>
      </c>
      <c r="Z9" s="14">
        <v>45900</v>
      </c>
      <c r="AA9" s="16" t="s">
        <v>224</v>
      </c>
    </row>
    <row r="10" spans="1:27">
      <c r="B10" s="11" t="s">
        <v>182</v>
      </c>
      <c r="C10" s="11" t="s">
        <v>183</v>
      </c>
      <c r="D10" s="2">
        <v>51.05</v>
      </c>
      <c r="E10" s="12" t="s">
        <v>136</v>
      </c>
      <c r="F10" s="15">
        <v>0.15854493079666021</v>
      </c>
      <c r="G10" s="15">
        <f>F10 - Portfolio_Mgmt!$C$10</f>
        <v>4.1144930796660206E-2</v>
      </c>
      <c r="H10" s="15">
        <f>F10 - Portfolio_Mgmt!$C$11</f>
        <v>0.12404493079666021</v>
      </c>
      <c r="I10" s="15">
        <v>0</v>
      </c>
      <c r="J10" s="2">
        <v>32.759109647409261</v>
      </c>
      <c r="K10" s="2">
        <v>73.049908469954346</v>
      </c>
      <c r="L10" s="74">
        <v>63.507727353800043</v>
      </c>
      <c r="M10" s="2">
        <v>40.93353207801831</v>
      </c>
      <c r="N10" s="2">
        <v>56.724682454402199</v>
      </c>
      <c r="O10" s="4">
        <v>4.5226750040445442E-2</v>
      </c>
      <c r="P10" s="4">
        <v>3.5443985137940136E-2</v>
      </c>
      <c r="Q10" s="4">
        <v>0.13507548051899534</v>
      </c>
      <c r="R10" s="4">
        <v>0.12563527551459933</v>
      </c>
      <c r="S10" s="82">
        <v>0.62432788948992113</v>
      </c>
      <c r="T10" s="81">
        <v>1.7220755031358876</v>
      </c>
      <c r="U10" s="15">
        <v>9.5579625064196368E-3</v>
      </c>
      <c r="V10" s="79">
        <v>7.3592411949940734E-2</v>
      </c>
      <c r="W10" s="74">
        <v>1.3600765840077054</v>
      </c>
      <c r="X10" s="16" t="s">
        <v>181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27.35</v>
      </c>
      <c r="E11" s="12" t="s">
        <v>206</v>
      </c>
      <c r="F11" s="15">
        <v>0.12392461081513484</v>
      </c>
      <c r="G11" s="15">
        <f>F11 - Portfolio_Mgmt!$C$10</f>
        <v>6.5246108151348348E-3</v>
      </c>
      <c r="H11" s="15">
        <f>F11 - Portfolio_Mgmt!$C$11</f>
        <v>8.9424610815134836E-2</v>
      </c>
      <c r="I11" s="15">
        <v>0</v>
      </c>
      <c r="J11" s="2">
        <v>16.032459211529339</v>
      </c>
      <c r="K11" s="2">
        <v>36.174621832566501</v>
      </c>
      <c r="L11" s="74">
        <v>31.157956372196864</v>
      </c>
      <c r="M11" s="2">
        <v>20.051774378274047</v>
      </c>
      <c r="N11" s="2">
        <v>27.820017012608126</v>
      </c>
      <c r="O11" s="4">
        <v>9.2839758953674495E-2</v>
      </c>
      <c r="P11" s="4">
        <v>2.8665447897623396E-2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179</v>
      </c>
      <c r="C12" s="11" t="s">
        <v>180</v>
      </c>
      <c r="D12" s="2">
        <v>63.2</v>
      </c>
      <c r="E12" s="12" t="s">
        <v>136</v>
      </c>
      <c r="F12" s="15">
        <v>0.11394860660800354</v>
      </c>
      <c r="G12" s="15">
        <f>F12 - Portfolio_Mgmt!$C$10</f>
        <v>-3.4513933919964601E-3</v>
      </c>
      <c r="H12" s="15">
        <f>F12 - Portfolio_Mgmt!$C$11</f>
        <v>7.9448606608003541E-2</v>
      </c>
      <c r="I12" s="15">
        <v>0</v>
      </c>
      <c r="J12" s="2">
        <v>37.202495852576902</v>
      </c>
      <c r="K12" s="2">
        <v>70.242180695783915</v>
      </c>
      <c r="L12" s="74">
        <v>69.811199329998246</v>
      </c>
      <c r="M12" s="2">
        <v>45.923949636241368</v>
      </c>
      <c r="N12" s="2">
        <v>62.656963672625629</v>
      </c>
      <c r="O12" s="4">
        <v>8.4154256187708512E-2</v>
      </c>
      <c r="P12" s="4">
        <v>8.0734731012658226E-2</v>
      </c>
      <c r="Q12" s="4">
        <v>0.32755394896836565</v>
      </c>
      <c r="R12" s="4">
        <v>8.9976704126159421E-2</v>
      </c>
      <c r="S12" s="82">
        <v>1.5891874956485419</v>
      </c>
      <c r="T12" s="81">
        <v>2.2907496012759174</v>
      </c>
      <c r="U12" s="15">
        <v>0.24768740031897937</v>
      </c>
      <c r="V12" s="79">
        <v>0.73855199466278643</v>
      </c>
      <c r="W12" s="74">
        <v>-2.6747933489227389</v>
      </c>
      <c r="X12" s="13" t="s">
        <v>184</v>
      </c>
      <c r="Y12" s="11" t="s">
        <v>137</v>
      </c>
      <c r="Z12" s="14">
        <v>45808</v>
      </c>
      <c r="AA12" s="16" t="s">
        <v>224</v>
      </c>
    </row>
    <row r="13" spans="1:27">
      <c r="B13" s="11" t="s">
        <v>185</v>
      </c>
      <c r="C13" s="11" t="s">
        <v>186</v>
      </c>
      <c r="D13" s="2">
        <v>7.7</v>
      </c>
      <c r="E13" s="12" t="s">
        <v>136</v>
      </c>
      <c r="F13" s="15">
        <v>9.9296948893849768E-2</v>
      </c>
      <c r="G13" s="15">
        <f>F13 - Portfolio_Mgmt!$C$10</f>
        <v>-1.8103051106150236E-2</v>
      </c>
      <c r="H13" s="15">
        <f>F13 - Portfolio_Mgmt!$C$11</f>
        <v>6.4796948893849765E-2</v>
      </c>
      <c r="I13" s="15">
        <v>0</v>
      </c>
      <c r="J13" s="2">
        <v>4.2973171802442129</v>
      </c>
      <c r="K13" s="2">
        <v>8.9134184108987764</v>
      </c>
      <c r="L13" s="2">
        <v>8.2092979253592464</v>
      </c>
      <c r="M13" s="2">
        <v>5.340069558257901</v>
      </c>
      <c r="N13" s="2">
        <v>7.348387463149999</v>
      </c>
      <c r="O13" s="4">
        <v>0.10243692732124002</v>
      </c>
      <c r="P13" s="4">
        <v>5.165526744981689E-2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-3.8827893371226692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202</v>
      </c>
      <c r="C14" s="11" t="s">
        <v>203</v>
      </c>
      <c r="D14" s="2">
        <v>2.46</v>
      </c>
      <c r="E14" s="12" t="s">
        <v>136</v>
      </c>
      <c r="F14" s="15">
        <v>9.2237386261982302E-2</v>
      </c>
      <c r="G14" s="15">
        <f>F14 - Portfolio_Mgmt!$C$10</f>
        <v>-2.5162613738017703E-2</v>
      </c>
      <c r="H14" s="15">
        <f>F14 - Portfolio_Mgmt!$C$11</f>
        <v>5.7737386261982299E-2</v>
      </c>
      <c r="I14" s="15">
        <v>0</v>
      </c>
      <c r="J14" s="2">
        <v>1.3430276346333139</v>
      </c>
      <c r="K14" s="2">
        <v>2.8391627866051792</v>
      </c>
      <c r="L14" s="2">
        <v>2.5753447170516051</v>
      </c>
      <c r="M14" s="2">
        <v>1.671278332020137</v>
      </c>
      <c r="N14" s="2">
        <v>2.3039787098477307</v>
      </c>
      <c r="O14" s="4">
        <v>3.4257528988533695E-2</v>
      </c>
      <c r="P14" s="4">
        <v>4.532082693553522E-2</v>
      </c>
      <c r="Q14" s="4">
        <v>4.334271043779122E-2</v>
      </c>
      <c r="R14" s="4">
        <v>8.4127078218191029E-2</v>
      </c>
      <c r="S14" s="82">
        <v>0.42808280043619051</v>
      </c>
      <c r="T14" s="81">
        <v>1.2035176992971439</v>
      </c>
      <c r="U14" s="15">
        <v>1.0763175939415467E-2</v>
      </c>
      <c r="V14" s="79">
        <v>0.29882156160837919</v>
      </c>
      <c r="W14" s="74">
        <v>1.9135479142521314</v>
      </c>
      <c r="X14" s="13" t="s">
        <v>204</v>
      </c>
      <c r="Y14" s="11" t="s">
        <v>198</v>
      </c>
      <c r="Z14" s="14">
        <v>45900</v>
      </c>
      <c r="AA14" s="16" t="s">
        <v>224</v>
      </c>
    </row>
    <row r="15" spans="1:27">
      <c r="B15" s="11" t="s">
        <v>193</v>
      </c>
      <c r="C15" s="11" t="s">
        <v>194</v>
      </c>
      <c r="D15" s="2">
        <v>16.47</v>
      </c>
      <c r="E15" s="12" t="s">
        <v>136</v>
      </c>
      <c r="F15" s="15">
        <v>9.0731547207842267E-2</v>
      </c>
      <c r="G15" s="15">
        <f>F15 - Portfolio_Mgmt!$C$10</f>
        <v>-2.6668452792157737E-2</v>
      </c>
      <c r="H15" s="15">
        <f>F15 - Portfolio_Mgmt!$C$11</f>
        <v>5.6231547207842264E-2</v>
      </c>
      <c r="I15" s="15">
        <v>0</v>
      </c>
      <c r="J15" s="2">
        <v>8.9922022406924391</v>
      </c>
      <c r="K15" s="2">
        <v>18.606441375593661</v>
      </c>
      <c r="L15" s="2">
        <v>17.169900962627121</v>
      </c>
      <c r="M15" s="2">
        <v>11.172188699823955</v>
      </c>
      <c r="N15" s="2">
        <v>15.37037589106744</v>
      </c>
      <c r="O15" s="4">
        <v>9.4308839444141535E-2</v>
      </c>
      <c r="P15" s="4">
        <v>5.1188783242258652E-2</v>
      </c>
      <c r="Q15" s="4">
        <v>0.26418111425166535</v>
      </c>
      <c r="R15" s="4">
        <v>0.1137378982106735</v>
      </c>
      <c r="S15" s="82">
        <v>0.70652858717908329</v>
      </c>
      <c r="T15" s="81">
        <v>3.2875080906148866</v>
      </c>
      <c r="U15" s="15">
        <v>1.5035598705501618</v>
      </c>
      <c r="V15" s="79">
        <v>4.1998196571663646</v>
      </c>
      <c r="W15" s="74">
        <v>-12.277968811948389</v>
      </c>
      <c r="X15" s="13" t="s">
        <v>181</v>
      </c>
      <c r="Y15" s="11" t="s">
        <v>195</v>
      </c>
      <c r="Z15" s="14">
        <v>45900</v>
      </c>
      <c r="AA15" s="16" t="s">
        <v>225</v>
      </c>
    </row>
    <row r="16" spans="1:27">
      <c r="B16" s="11" t="s">
        <v>227</v>
      </c>
      <c r="C16" s="11" t="s">
        <v>228</v>
      </c>
      <c r="D16" s="2">
        <v>6.99</v>
      </c>
      <c r="E16" s="12" t="s">
        <v>136</v>
      </c>
      <c r="F16" s="15">
        <v>6.8186486812982006E-2</v>
      </c>
      <c r="G16" s="15">
        <f>F16 - Portfolio_Mgmt!$C$10</f>
        <v>-4.9213513187017999E-2</v>
      </c>
      <c r="H16" s="15">
        <f>F16 - Portfolio_Mgmt!$C$11</f>
        <v>3.3686486812982003E-2</v>
      </c>
      <c r="I16" s="15">
        <v>0</v>
      </c>
      <c r="J16" s="2">
        <v>3.6036658259915511</v>
      </c>
      <c r="K16" s="2">
        <v>7.3642693066239637</v>
      </c>
      <c r="L16" s="2">
        <v>6.8641356814360206</v>
      </c>
      <c r="M16" s="2">
        <v>4.4732258849914697</v>
      </c>
      <c r="N16" s="2">
        <v>6.1469536878205542</v>
      </c>
      <c r="O16" s="4">
        <v>5.284722951995495E-2</v>
      </c>
      <c r="P16" s="4">
        <v>5.1502145922746781E-2</v>
      </c>
      <c r="Q16" s="4">
        <v>7.0630420943605887E-2</v>
      </c>
      <c r="R16" s="4">
        <v>9.3039179367971361E-2</v>
      </c>
      <c r="S16" s="82">
        <v>0.62627525695225639</v>
      </c>
      <c r="T16" s="81">
        <v>1.2121620122817016</v>
      </c>
      <c r="U16" s="15">
        <v>1.1610019159010268E-2</v>
      </c>
      <c r="V16" s="79">
        <v>0.16381589511191816</v>
      </c>
      <c r="W16" s="74">
        <v>3.7980767021052162</v>
      </c>
      <c r="X16" s="13" t="s">
        <v>229</v>
      </c>
      <c r="Y16" s="11" t="s">
        <v>137</v>
      </c>
      <c r="Z16" s="14">
        <v>45900</v>
      </c>
      <c r="AA16" s="16" t="s">
        <v>224</v>
      </c>
    </row>
    <row r="17" spans="2:27">
      <c r="B17" s="11" t="s">
        <v>138</v>
      </c>
      <c r="C17" s="11" t="s">
        <v>176</v>
      </c>
      <c r="D17" s="2">
        <v>9.6199999999999992</v>
      </c>
      <c r="E17" s="12" t="s">
        <v>136</v>
      </c>
      <c r="F17" s="15">
        <v>5.1870427433052368E-2</v>
      </c>
      <c r="G17" s="15">
        <f>F17 - Portfolio_Mgmt!$C$10</f>
        <v>-6.5529572566947636E-2</v>
      </c>
      <c r="H17" s="15">
        <f>F17 - Portfolio_Mgmt!$C$11</f>
        <v>1.7370427433052366E-2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3.211001787757433E-2</v>
      </c>
      <c r="P17" s="4">
        <v>6.0291060291060294E-2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190</v>
      </c>
      <c r="C18" s="11" t="s">
        <v>191</v>
      </c>
      <c r="D18" s="2">
        <v>24</v>
      </c>
      <c r="E18" s="12" t="s">
        <v>136</v>
      </c>
      <c r="F18" s="15">
        <v>2.9264708241684145E-2</v>
      </c>
      <c r="G18" s="15">
        <f>F18 - Portfolio_Mgmt!$C$10</f>
        <v>-8.8135291758315859E-2</v>
      </c>
      <c r="H18" s="15">
        <f>F18 - Portfolio_Mgmt!$C$11</f>
        <v>-5.2352917583158576E-3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7.1999417473734562E-2</v>
      </c>
      <c r="P18" s="4">
        <v>5.6666666666666671E-2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>
      <c r="B19" s="11" t="s">
        <v>173</v>
      </c>
      <c r="C19" s="11" t="s">
        <v>196</v>
      </c>
      <c r="D19" s="2">
        <v>2.09</v>
      </c>
      <c r="E19" s="12" t="s">
        <v>136</v>
      </c>
      <c r="F19" s="15">
        <v>3.670901424012607E-3</v>
      </c>
      <c r="G19" s="15">
        <f>F19 - Portfolio_Mgmt!$C$10</f>
        <v>-0.1137290985759874</v>
      </c>
      <c r="H19" s="15">
        <f>F19 - Portfolio_Mgmt!$C$11</f>
        <v>-3.0829098575987396E-2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4.5873953323143134E-3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4.2699999999999995E-2</v>
      </c>
      <c r="D4" s="34">
        <v>7.4999999999999997E-2</v>
      </c>
      <c r="E4" s="35">
        <f>D4-C4</f>
        <v>3.2300000000000002E-2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0.63032537779512632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17</v>
      </c>
      <c r="D4" s="62" t="str">
        <f>VLOOKUP(B4,Opportunities!B$3:E$30,4,FALSE)</f>
        <v>HKD</v>
      </c>
      <c r="E4" s="59">
        <v>9000</v>
      </c>
      <c r="F4" s="64">
        <f>C4*E4</f>
        <v>153000</v>
      </c>
      <c r="G4" s="61">
        <f>F4/$F$8</f>
        <v>0.13330870462276251</v>
      </c>
      <c r="H4" s="61">
        <f>VLOOKUP(B4,Opportunities!B$3:I$30,8,FALSE)</f>
        <v>0</v>
      </c>
      <c r="I4" s="84">
        <f>VLOOKUP(B4,Opportunities!B$3:N$30,12,FALSE)</f>
        <v>14.063669774558747</v>
      </c>
      <c r="J4" s="84">
        <f>VLOOKUP(B4,Opportunities!B$3:N$30,9,FALSE)</f>
        <v>11.234570427933916</v>
      </c>
      <c r="K4" s="84">
        <f>VLOOKUP(B4,Opportunities!B$3:N$30,11,FALSE)</f>
        <v>21.885459058351312</v>
      </c>
      <c r="L4" s="84">
        <f>VLOOKUP(B4,Opportunities!B$3:N$30,13,FALSE)</f>
        <v>19.534115524754306</v>
      </c>
    </row>
    <row r="5" spans="1:12">
      <c r="B5" s="66" t="s">
        <v>210</v>
      </c>
      <c r="C5" s="63">
        <f>VLOOKUP(B5,Opportunities!B$3:E$30,3,FALSE)</f>
        <v>19.010000000000002</v>
      </c>
      <c r="D5" s="62" t="str">
        <f>VLOOKUP(B5,Opportunities!B$3:E$30,4,FALSE)</f>
        <v>HKD</v>
      </c>
      <c r="E5" s="59">
        <v>8000</v>
      </c>
      <c r="F5" s="64">
        <f>C5*E5</f>
        <v>152080</v>
      </c>
      <c r="G5" s="61">
        <f>F5/$F$8</f>
        <v>0.13250710979757988</v>
      </c>
      <c r="H5" s="61">
        <f>VLOOKUP(B5,Opportunities!B$3:I$30,8,FALSE)</f>
        <v>0</v>
      </c>
      <c r="I5" s="84">
        <f>VLOOKUP(B5,Opportunities!B$3:N$30,12,FALSE)</f>
        <v>17.024721951656126</v>
      </c>
      <c r="J5" s="84">
        <f>VLOOKUP(B5,Opportunities!B$3:N$30,9,FALSE)</f>
        <v>13.699135319546153</v>
      </c>
      <c r="K5" s="84">
        <f>VLOOKUP(B5,Opportunities!B$3:N$30,11,FALSE)</f>
        <v>26.175907076823623</v>
      </c>
      <c r="L5" s="84">
        <f>VLOOKUP(B5,Opportunities!B$3:N$30,13,FALSE)</f>
        <v>23.430035944950305</v>
      </c>
    </row>
    <row r="6" spans="1:12">
      <c r="B6" s="66" t="s">
        <v>230</v>
      </c>
      <c r="C6" s="63">
        <f>VLOOKUP(B6,Opportunities!B$3:E$30,3,FALSE)</f>
        <v>2.98</v>
      </c>
      <c r="D6" s="62" t="str">
        <f>VLOOKUP(B6,Opportunities!B$3:E$30,4,FALSE)</f>
        <v>HKD</v>
      </c>
      <c r="E6" s="59">
        <v>40000</v>
      </c>
      <c r="F6" s="64">
        <f>C6*E6</f>
        <v>119200</v>
      </c>
      <c r="G6" s="61">
        <f t="shared" ref="G6" si="0">F6/$F$8</f>
        <v>0.10385880778453131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1147712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17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14.063669774558747</v>
      </c>
      <c r="J11" s="84">
        <f>VLOOKUP(B11,Opportunities!B$3:N$30,9,FALSE)</f>
        <v>11.234570427933916</v>
      </c>
      <c r="K11" s="84">
        <f>VLOOKUP(B11,Opportunities!B$3:N$30,11,FALSE)</f>
        <v>21.885459058351312</v>
      </c>
      <c r="L11" s="84">
        <f>VLOOKUP(B11,Opportunities!B$3:N$30,13,FALSE)</f>
        <v>19.534115524754306</v>
      </c>
    </row>
    <row r="12" spans="1:12">
      <c r="B12" s="66" t="s">
        <v>210</v>
      </c>
      <c r="C12" s="63">
        <f>VLOOKUP(B12,Opportunities!B$3:E$30,3,FALSE)</f>
        <v>19.010000000000002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17.024721951656126</v>
      </c>
      <c r="J12" s="84">
        <f>VLOOKUP(B12,Opportunities!B$3:N$30,9,FALSE)</f>
        <v>13.699135319546153</v>
      </c>
      <c r="K12" s="84">
        <f>VLOOKUP(B12,Opportunities!B$3:N$30,11,FALSE)</f>
        <v>26.175907076823623</v>
      </c>
      <c r="L12" s="84">
        <f>VLOOKUP(B12,Opportunities!B$3:N$30,13,FALSE)</f>
        <v>23.430035944950305</v>
      </c>
    </row>
    <row r="13" spans="1:12">
      <c r="B13" s="66" t="s">
        <v>230</v>
      </c>
      <c r="C13" s="63">
        <f>VLOOKUP(B13,Opportunities!B$3:E$30,3,FALSE)</f>
        <v>2.98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0.63032537779512632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2025-08-13T10:15:38Z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