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7CD6861-33AC-4F36-8A6E-B9A7871D6FAD}" xr6:coauthVersionLast="47" xr6:coauthVersionMax="47" xr10:uidLastSave="{00000000-0000-0000-0000-000000000000}"/>
  <bookViews>
    <workbookView xWindow="-98" yWindow="-98" windowWidth="17115" windowHeight="10755" firstSheet="1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<sst xmlns="http://schemas.openxmlformats.org/spreadsheetml/2006/main" count="491" uniqueCount="391">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</sst>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55" zoomScaleNormal="100" workbookViewId="0">
      <selection activeCell="E69" sqref="E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H14" sqref="H1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360</v>
      </c>
      <c r="C3" s="11" t="s">
        <v>365</v>
      </c>
      <c r="D3" s="2">
        <v>10.199999999999999</v>
      </c>
      <c r="E3" s="12" t="s">
        <v>134</v>
      </c>
      <c r="F3" s="15">
        <v>0.25844452584577116</v>
      </c>
      <c r="G3" s="15">
        <f>F3 - Portfolio_Mgmt!$C$10</f>
        <v>0.14104452584577115</v>
      </c>
      <c r="H3" s="15">
        <f>F3 - Portfolio_Mgmt!$C$11</f>
        <v>0.22394452584577115</v>
      </c>
      <c r="I3" s="15">
        <v>0.1277155817111581</v>
      </c>
      <c r="J3" s="2">
        <v>9.789873521822285</v>
      </c>
      <c r="K3" s="2">
        <v>18.817662535886061</v>
      </c>
      <c r="L3" s="71">
        <v>16.849954353185421</v>
      </c>
      <c r="M3" s="2">
        <v>12.155069726420979</v>
      </c>
      <c r="N3" s="2">
        <v>14.961987975362611</v>
      </c>
      <c r="O3" s="4">
        <v>9.5850377583797677E-2</v>
      </c>
      <c r="P3" s="4">
        <v>5.7538119099503869E-2</v>
      </c>
      <c r="Q3" s="4">
        <v>0.10095788852256718</v>
      </c>
      <c r="R3" s="4">
        <v>0.126397939605567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1.7657359087982438</v>
      </c>
      <c r="X3" s="13" t="s">
        <v>366</v>
      </c>
      <c r="Y3" s="11" t="s">
        <v>361</v>
      </c>
      <c r="Z3" s="14">
        <v>46173</v>
      </c>
      <c r="AA3" s="16" t="s">
        <v>367</v>
      </c>
    </row>
    <row r="4" spans="1:27">
      <c r="B4" s="11" t="s">
        <v>380</v>
      </c>
      <c r="C4" s="11" t="s">
        <v>381</v>
      </c>
      <c r="D4" s="2">
        <v>103.8</v>
      </c>
      <c r="E4" s="12" t="s">
        <v>134</v>
      </c>
      <c r="F4" s="15">
        <v>0.25085546041516749</v>
      </c>
      <c r="G4" s="15">
        <f>F4 - Portfolio_Mgmt!$C$10</f>
        <v>0.13345546041516748</v>
      </c>
      <c r="H4" s="15">
        <f>F4 - Portfolio_Mgmt!$C$11</f>
        <v>0.21635546041516748</v>
      </c>
      <c r="I4" s="15">
        <v>0.24440134347771827</v>
      </c>
      <c r="J4" s="2">
        <v>93.869096074266068</v>
      </c>
      <c r="K4" s="2">
        <v>189.75850798139936</v>
      </c>
      <c r="L4" s="71">
        <v>162.9882141875724</v>
      </c>
      <c r="M4" s="2">
        <v>116.99285629904411</v>
      </c>
      <c r="N4" s="2">
        <v>144.47961973069502</v>
      </c>
      <c r="O4" s="4">
        <v>8.3011294104839359E-2</v>
      </c>
      <c r="P4" s="4">
        <v>3.3815028901734101E-2</v>
      </c>
      <c r="Q4" s="4">
        <v>0.15</v>
      </c>
      <c r="R4" s="4">
        <v>3.9404773307997187E-2</v>
      </c>
      <c r="S4" s="79">
        <v>1.6240671367246462</v>
      </c>
      <c r="T4" s="78">
        <v>2.3438965902371725</v>
      </c>
      <c r="U4" s="15">
        <v>0.36820511135930623</v>
      </c>
      <c r="V4" s="76">
        <v>2.8852377432054559</v>
      </c>
      <c r="W4" s="71">
        <v>-65.299983728895668</v>
      </c>
      <c r="X4" s="13" t="s">
        <v>169</v>
      </c>
      <c r="Y4" s="11" t="s">
        <v>364</v>
      </c>
      <c r="Z4" s="14">
        <v>46173</v>
      </c>
      <c r="AA4" s="16" t="s">
        <v>181</v>
      </c>
    </row>
    <row r="5" spans="1:27">
      <c r="B5" s="11" t="s">
        <v>329</v>
      </c>
      <c r="C5" s="11" t="s">
        <v>368</v>
      </c>
      <c r="D5" s="2">
        <v>3.91</v>
      </c>
      <c r="E5" s="12" t="s">
        <v>134</v>
      </c>
      <c r="F5" s="15">
        <v>0.24192072114076554</v>
      </c>
      <c r="G5" s="15">
        <f>F5 - Portfolio_Mgmt!$C$10</f>
        <v>0.12452072114076554</v>
      </c>
      <c r="H5" s="15">
        <f>F5 - Portfolio_Mgmt!$C$11</f>
        <v>0.20742072114076554</v>
      </c>
      <c r="I5" s="15">
        <v>0.11525081585762552</v>
      </c>
      <c r="J5" s="2">
        <v>3.4722069389485957</v>
      </c>
      <c r="K5" s="2">
        <v>6.5745549564240156</v>
      </c>
      <c r="L5" s="71">
        <v>5.9610249602603496</v>
      </c>
      <c r="M5" s="2">
        <v>4.3063250245862799</v>
      </c>
      <c r="N5" s="2">
        <v>5.2957480303158606</v>
      </c>
      <c r="O5" s="4">
        <v>0.11376929563574673</v>
      </c>
      <c r="P5" s="4">
        <v>6.1841432225063935E-2</v>
      </c>
      <c r="Q5" s="4">
        <v>0.17911384235321903</v>
      </c>
      <c r="R5" s="4">
        <v>0.23440332981639808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1.2858702050147901</v>
      </c>
      <c r="X5" s="13" t="s">
        <v>169</v>
      </c>
      <c r="Y5" s="11" t="s">
        <v>361</v>
      </c>
      <c r="Z5" s="14">
        <v>46081</v>
      </c>
      <c r="AA5" s="16" t="s">
        <v>367</v>
      </c>
    </row>
    <row r="6" spans="1:27">
      <c r="B6" s="11" t="s">
        <v>382</v>
      </c>
      <c r="C6" s="11" t="s">
        <v>383</v>
      </c>
      <c r="D6" s="2">
        <v>78.5</v>
      </c>
      <c r="E6" s="12" t="s">
        <v>134</v>
      </c>
      <c r="F6" s="15">
        <v>0.20553937277082149</v>
      </c>
      <c r="G6" s="15">
        <f>F6 - Portfolio_Mgmt!$C$10</f>
        <v>8.8139372770821484E-2</v>
      </c>
      <c r="H6" s="15">
        <f>F6 - Portfolio_Mgmt!$C$11</f>
        <v>0.17103937277082149</v>
      </c>
      <c r="I6" s="15">
        <v>0.16105829745259287</v>
      </c>
      <c r="J6" s="2">
        <v>64.03874288409996</v>
      </c>
      <c r="K6" s="2">
        <v>120.7739384062487</v>
      </c>
      <c r="L6" s="71">
        <v>109.86698307533452</v>
      </c>
      <c r="M6" s="2">
        <v>79.399561739478642</v>
      </c>
      <c r="N6" s="2">
        <v>97.618110477933342</v>
      </c>
      <c r="O6" s="4">
        <v>6.9123139141263654E-2</v>
      </c>
      <c r="P6" s="4">
        <v>5.8356687898089177E-2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1.4584276266570915</v>
      </c>
      <c r="X6" s="13" t="s">
        <v>377</v>
      </c>
      <c r="Y6" s="11" t="s">
        <v>364</v>
      </c>
      <c r="Z6" s="14">
        <v>46081</v>
      </c>
      <c r="AA6" s="16" t="s">
        <v>181</v>
      </c>
    </row>
    <row r="7" spans="1:27">
      <c r="B7" s="11" t="s">
        <v>384</v>
      </c>
      <c r="C7" s="11" t="s">
        <v>385</v>
      </c>
      <c r="D7" s="2">
        <v>77.400000000000006</v>
      </c>
      <c r="E7" s="12" t="s">
        <v>134</v>
      </c>
      <c r="F7" s="15">
        <v>0.19255135221428826</v>
      </c>
      <c r="G7" s="15">
        <f>F7 - Portfolio_Mgmt!$C$10</f>
        <v>7.5151352214288258E-2</v>
      </c>
      <c r="H7" s="15">
        <f>F7 - Portfolio_Mgmt!$C$11</f>
        <v>0.15805135221428826</v>
      </c>
      <c r="I7" s="15">
        <v>0.12975415863075493</v>
      </c>
      <c r="J7" s="2">
        <v>61.540774633691498</v>
      </c>
      <c r="K7" s="2">
        <v>108.21150613566442</v>
      </c>
      <c r="L7" s="71">
        <v>104.38245843545533</v>
      </c>
      <c r="M7" s="2">
        <v>75.92754467119029</v>
      </c>
      <c r="N7" s="2">
        <v>92.953164568760769</v>
      </c>
      <c r="O7" s="4">
        <v>0.11700094723101183</v>
      </c>
      <c r="P7" s="4">
        <v>8.2423772609819118E-2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-19.221506310709398</v>
      </c>
      <c r="X7" s="13" t="s">
        <v>169</v>
      </c>
      <c r="Y7" s="11" t="s">
        <v>361</v>
      </c>
      <c r="Z7" s="14">
        <v>46081</v>
      </c>
      <c r="AA7" s="16" t="s">
        <v>181</v>
      </c>
    </row>
    <row r="8" spans="1:27">
      <c r="B8" s="11" t="s">
        <v>183</v>
      </c>
      <c r="C8" s="11" t="s">
        <v>371</v>
      </c>
      <c r="D8" s="2">
        <v>3.27</v>
      </c>
      <c r="E8" s="12" t="s">
        <v>134</v>
      </c>
      <c r="F8" s="15">
        <v>0.18222622082566256</v>
      </c>
      <c r="G8" s="15">
        <f>F8 - Portfolio_Mgmt!$C$10</f>
        <v>6.4826220825662556E-2</v>
      </c>
      <c r="H8" s="15">
        <f>F8 - Portfolio_Mgmt!$C$11</f>
        <v>0.14772622082566256</v>
      </c>
      <c r="I8" s="15">
        <v>0.10162032351301863</v>
      </c>
      <c r="J8" s="2">
        <v>2.5385815935033342</v>
      </c>
      <c r="K8" s="2">
        <v>4.4366120194593153</v>
      </c>
      <c r="L8" s="71">
        <v>4.3016714192105461</v>
      </c>
      <c r="M8" s="2">
        <v>3.1307450481218235</v>
      </c>
      <c r="N8" s="2">
        <v>3.8313906187252909</v>
      </c>
      <c r="O8" s="4">
        <v>7.4258357213923459E-2</v>
      </c>
      <c r="P8" s="4">
        <v>8.2568807339449546E-2</v>
      </c>
      <c r="Q8" s="4">
        <v>0.11354054587062024</v>
      </c>
      <c r="R8" s="4">
        <v>0.4243739445166862</v>
      </c>
      <c r="S8" s="79">
        <v>0.22035988512352028</v>
      </c>
      <c r="T8" s="78">
        <v>1.2141426890285656</v>
      </c>
      <c r="U8" s="15">
        <v>2.3107986944995245E-3</v>
      </c>
      <c r="V8" s="76">
        <v>2.0454423835375664E-2</v>
      </c>
      <c r="W8" s="71">
        <v>0.79833937207218564</v>
      </c>
      <c r="X8" s="13" t="s">
        <v>372</v>
      </c>
      <c r="Y8" s="11" t="s">
        <v>361</v>
      </c>
      <c r="Z8" s="14">
        <v>46081</v>
      </c>
      <c r="AA8" s="16" t="s">
        <v>181</v>
      </c>
    </row>
    <row r="9" spans="1:27">
      <c r="B9" s="11" t="s">
        <v>362</v>
      </c>
      <c r="C9" s="11" t="s">
        <v>363</v>
      </c>
      <c r="D9" s="2">
        <v>7.02</v>
      </c>
      <c r="E9" s="12" t="s">
        <v>134</v>
      </c>
      <c r="F9" s="15">
        <v>0.17795125135209935</v>
      </c>
      <c r="G9" s="15">
        <f>F9 - Portfolio_Mgmt!$C$10</f>
        <v>6.055125135209935E-2</v>
      </c>
      <c r="H9" s="15">
        <f>F9 - Portfolio_Mgmt!$C$11</f>
        <v>0.14345125135209935</v>
      </c>
      <c r="I9" s="15">
        <v>8.8998967276653046E-2</v>
      </c>
      <c r="J9" s="2">
        <v>5.3141281403824898</v>
      </c>
      <c r="K9" s="2">
        <v>10.967807599967429</v>
      </c>
      <c r="L9" s="71">
        <v>9.2614927891107719</v>
      </c>
      <c r="M9" s="2">
        <v>6.6339642861251669</v>
      </c>
      <c r="N9" s="2">
        <v>8.2038797297466814</v>
      </c>
      <c r="O9" s="4">
        <v>6.5393180968379747E-2</v>
      </c>
      <c r="P9" s="4">
        <v>2.0227920227920228E-2</v>
      </c>
      <c r="Q9" s="4">
        <v>0.3</v>
      </c>
      <c r="R9" s="4">
        <v>0.15217050538089463</v>
      </c>
      <c r="S9" s="79">
        <v>1.1106245684847842</v>
      </c>
      <c r="T9" s="78">
        <v>1.775102743966247</v>
      </c>
      <c r="U9" s="15">
        <v>0.17709797868255178</v>
      </c>
      <c r="V9" s="76">
        <v>0.82178780749892033</v>
      </c>
      <c r="W9" s="71">
        <v>-0.16650139591844174</v>
      </c>
      <c r="X9" s="13" t="s">
        <v>169</v>
      </c>
      <c r="Y9" s="11" t="s">
        <v>364</v>
      </c>
      <c r="Z9" s="14">
        <v>46081</v>
      </c>
      <c r="AA9" s="16" t="s">
        <v>181</v>
      </c>
    </row>
    <row r="10" spans="1:27">
      <c r="B10" s="11" t="s">
        <v>327</v>
      </c>
      <c r="C10" s="11" t="s">
        <v>328</v>
      </c>
      <c r="D10" s="2">
        <v>4.68</v>
      </c>
      <c r="E10" s="12" t="s">
        <v>134</v>
      </c>
      <c r="F10" s="15">
        <v>0.17373265724922368</v>
      </c>
      <c r="G10" s="15">
        <f>F10 - Portfolio_Mgmt!$C$10</f>
        <v>5.6332657249223678E-2</v>
      </c>
      <c r="H10" s="15">
        <f>F10 - Portfolio_Mgmt!$C$11</f>
        <v>0.13923265724922368</v>
      </c>
      <c r="I10" s="15">
        <v>7.5924905471577375E-2</v>
      </c>
      <c r="J10" s="2">
        <v>3.5453162653105039</v>
      </c>
      <c r="K10" s="2">
        <v>6.5021029196761031</v>
      </c>
      <c r="L10" s="71">
        <v>6.0543353749158966</v>
      </c>
      <c r="M10" s="2">
        <v>4.3869285024051887</v>
      </c>
      <c r="N10" s="2">
        <v>5.3842307819113344</v>
      </c>
      <c r="O10" s="4">
        <v>8.6308371506891801E-2</v>
      </c>
      <c r="P10" s="4">
        <v>6.4102564102564111E-2</v>
      </c>
      <c r="Q10" s="4">
        <v>0.18</v>
      </c>
      <c r="R10" s="4">
        <v>5.5599077391744495E-2</v>
      </c>
      <c r="S10" s="79">
        <v>1.4798367611150316</v>
      </c>
      <c r="T10" s="78">
        <v>2.187716833659914</v>
      </c>
      <c r="U10" s="15">
        <v>0.76701287002940366</v>
      </c>
      <c r="V10" s="76">
        <v>5.0983946232940358</v>
      </c>
      <c r="W10" s="71">
        <v>-2.4800067209187837</v>
      </c>
      <c r="X10" s="16" t="s">
        <v>169</v>
      </c>
      <c r="Y10" s="11" t="s">
        <v>361</v>
      </c>
      <c r="Z10" s="14">
        <v>46173</v>
      </c>
      <c r="AA10" s="16" t="s">
        <v>181</v>
      </c>
    </row>
    <row r="11" spans="1:27">
      <c r="B11" s="11" t="s">
        <v>388</v>
      </c>
      <c r="C11" s="11" t="s">
        <v>389</v>
      </c>
      <c r="D11" s="2">
        <v>80.75</v>
      </c>
      <c r="E11" s="12" t="s">
        <v>134</v>
      </c>
      <c r="F11" s="15">
        <v>0.17107262855059663</v>
      </c>
      <c r="G11" s="15">
        <f>F11 - Portfolio_Mgmt!$C$10</f>
        <v>5.3672628550596624E-2</v>
      </c>
      <c r="H11" s="15">
        <f>F11 - Portfolio_Mgmt!$C$11</f>
        <v>0.13657262855059663</v>
      </c>
      <c r="I11" s="15">
        <v>3.3672128716753458E-2</v>
      </c>
      <c r="J11" s="2">
        <v>59.763261181597592</v>
      </c>
      <c r="K11" s="2">
        <v>129.68627676406675</v>
      </c>
      <c r="L11" s="71">
        <v>105.12405855166726</v>
      </c>
      <c r="M11" s="2">
        <v>74.909040730146884</v>
      </c>
      <c r="N11" s="2">
        <v>92.953986702038947</v>
      </c>
      <c r="O11" s="4">
        <v>1.5361388364816216E-2</v>
      </c>
      <c r="P11" s="4">
        <v>0</v>
      </c>
      <c r="Q11" s="4">
        <v>0.2</v>
      </c>
      <c r="R11" s="4">
        <v>0.10918374574607279</v>
      </c>
      <c r="S11" s="79">
        <v>1.022390799101176</v>
      </c>
      <c r="T11" s="78">
        <v>1.7916578376478161</v>
      </c>
      <c r="U11" s="15">
        <v>0.27660377540313014</v>
      </c>
      <c r="V11" s="76">
        <v>3.1316510969641755</v>
      </c>
      <c r="W11" s="71">
        <v>3.6064306695107011</v>
      </c>
      <c r="X11" s="13" t="s">
        <v>390</v>
      </c>
      <c r="Y11" s="11" t="s">
        <v>364</v>
      </c>
      <c r="Z11" s="14">
        <v>46081</v>
      </c>
      <c r="AA11" s="16" t="s">
        <v>367</v>
      </c>
    </row>
    <row r="12" spans="1:27">
      <c r="B12" s="11" t="s">
        <v>386</v>
      </c>
      <c r="C12" s="11" t="s">
        <v>387</v>
      </c>
      <c r="D12" s="2">
        <v>42.2</v>
      </c>
      <c r="E12" s="12" t="s">
        <v>134</v>
      </c>
      <c r="F12" s="15">
        <v>0.15751340909520897</v>
      </c>
      <c r="G12" s="15">
        <f>F12 - Portfolio_Mgmt!$C$10</f>
        <v>4.0113409095208968E-2</v>
      </c>
      <c r="H12" s="15">
        <f>F12 - Portfolio_Mgmt!$C$11</f>
        <v>0.12301340909520897</v>
      </c>
      <c r="I12" s="15">
        <v>1.9031013070483428E-2</v>
      </c>
      <c r="J12" s="2">
        <v>30.472338478979687</v>
      </c>
      <c r="K12" s="2">
        <v>60.439606731746466</v>
      </c>
      <c r="L12" s="71">
        <v>52.732918282721435</v>
      </c>
      <c r="M12" s="2">
        <v>37.923481236889849</v>
      </c>
      <c r="N12" s="2">
        <v>46.775086255631912</v>
      </c>
      <c r="O12" s="4">
        <v>6.9088519142746635E-2</v>
      </c>
      <c r="P12" s="4">
        <v>3.392895734597156E-2</v>
      </c>
      <c r="Q12" s="4">
        <v>0.2658092571428613</v>
      </c>
      <c r="R12" s="4">
        <v>0.20771863979883598</v>
      </c>
      <c r="S12" s="79">
        <v>0.65265738052043343</v>
      </c>
      <c r="T12" s="78">
        <v>1.9606920057834423</v>
      </c>
      <c r="U12" s="15">
        <v>0.67283405398617657</v>
      </c>
      <c r="V12" s="76">
        <v>2.2041306156151999</v>
      </c>
      <c r="W12" s="71">
        <v>-6.2879234830533743</v>
      </c>
      <c r="X12" s="13" t="s">
        <v>169</v>
      </c>
      <c r="Y12" s="11" t="s">
        <v>364</v>
      </c>
      <c r="Z12" s="14">
        <v>46081</v>
      </c>
      <c r="AA12" s="16" t="s">
        <v>181</v>
      </c>
    </row>
    <row r="13" spans="1:27">
      <c r="B13" s="11" t="s">
        <v>330</v>
      </c>
      <c r="C13" s="11" t="s">
        <v>369</v>
      </c>
      <c r="D13" s="2">
        <v>8.26</v>
      </c>
      <c r="E13" s="12" t="s">
        <v>134</v>
      </c>
      <c r="F13" s="15">
        <v>0.15274183509108599</v>
      </c>
      <c r="G13" s="15">
        <f>F13 - Portfolio_Mgmt!$C$10</f>
        <v>3.5341835091085988E-2</v>
      </c>
      <c r="H13" s="15">
        <f>F13 - Portfolio_Mgmt!$C$11</f>
        <v>0.11824183509108599</v>
      </c>
      <c r="I13" s="15">
        <v>0</v>
      </c>
      <c r="J13" s="2">
        <v>5.9031516383650837</v>
      </c>
      <c r="K13" s="2">
        <v>11.532763326181085</v>
      </c>
      <c r="L13" s="2">
        <v>10.188678459731804</v>
      </c>
      <c r="M13" s="2">
        <v>7.3382105844185963</v>
      </c>
      <c r="N13" s="2">
        <v>9.0421658277011385</v>
      </c>
      <c r="O13" s="4">
        <v>8.6180567737079425E-2</v>
      </c>
      <c r="P13" s="4">
        <v>3.8936867167764254E-2</v>
      </c>
      <c r="Q13" s="4">
        <v>0.17172001831973296</v>
      </c>
      <c r="R13" s="4">
        <v>8.3606164410580511E-2</v>
      </c>
      <c r="S13" s="79">
        <v>1.3282158707615834</v>
      </c>
      <c r="T13" s="78">
        <v>1.5463719418456539</v>
      </c>
      <c r="U13" s="15">
        <v>0.22428295339746124</v>
      </c>
      <c r="V13" s="76">
        <v>1.2715557492373779</v>
      </c>
      <c r="W13" s="71">
        <v>-2.9862635425501813</v>
      </c>
      <c r="X13" s="13" t="s">
        <v>370</v>
      </c>
      <c r="Y13" s="11" t="s">
        <v>364</v>
      </c>
      <c r="Z13" s="14">
        <v>46081</v>
      </c>
      <c r="AA13" s="16" t="s">
        <v>367</v>
      </c>
    </row>
    <row r="14" spans="1:27">
      <c r="B14" s="11" t="s">
        <v>378</v>
      </c>
      <c r="C14" s="11" t="s">
        <v>379</v>
      </c>
      <c r="D14" s="2">
        <v>4.95</v>
      </c>
      <c r="E14" s="12" t="s">
        <v>134</v>
      </c>
      <c r="F14" s="15">
        <v>0.13150443474697285</v>
      </c>
      <c r="G14" s="15">
        <f>F14 - Portfolio_Mgmt!$C$10</f>
        <v>1.4104434746972844E-2</v>
      </c>
      <c r="H14" s="15">
        <f>F14 - Portfolio_Mgmt!$C$11</f>
        <v>9.7004434746972845E-2</v>
      </c>
      <c r="I14" s="15">
        <v>0</v>
      </c>
      <c r="J14" s="2">
        <v>3.3455729956390798</v>
      </c>
      <c r="K14" s="2">
        <v>6.6277455556474951</v>
      </c>
      <c r="L14" s="2">
        <v>5.7883592149489207</v>
      </c>
      <c r="M14" s="2">
        <v>4.1632581103676909</v>
      </c>
      <c r="N14" s="2">
        <v>5.1345919269174427</v>
      </c>
      <c r="O14" s="4">
        <v>6.2668281083272867E-2</v>
      </c>
      <c r="P14" s="4">
        <v>3.2161616161616162E-2</v>
      </c>
      <c r="Q14" s="4">
        <v>0.27382509866113364</v>
      </c>
      <c r="R14" s="4">
        <v>0.20764453215246689</v>
      </c>
      <c r="S14" s="79">
        <v>0.86056930273853416</v>
      </c>
      <c r="T14" s="78">
        <v>1.532381509863507</v>
      </c>
      <c r="U14" s="15">
        <v>0.27351475277205878</v>
      </c>
      <c r="V14" s="76">
        <v>0.94608729427783522</v>
      </c>
      <c r="W14" s="71">
        <v>0.59749676752244707</v>
      </c>
      <c r="X14" s="13" t="s">
        <v>169</v>
      </c>
      <c r="Y14" s="11" t="s">
        <v>364</v>
      </c>
      <c r="Z14" s="14">
        <v>46173</v>
      </c>
      <c r="AA14" s="16" t="s">
        <v>367</v>
      </c>
    </row>
    <row r="15" spans="1:27">
      <c r="B15" s="11" t="s">
        <v>157</v>
      </c>
      <c r="C15" s="11" t="s">
        <v>373</v>
      </c>
      <c r="D15" s="2">
        <v>21.96</v>
      </c>
      <c r="E15" s="12" t="s">
        <v>134</v>
      </c>
      <c r="F15" s="15">
        <v>0.10694958984444163</v>
      </c>
      <c r="G15" s="15">
        <f>F15 - Portfolio_Mgmt!$C$10</f>
        <v>-1.0450410155558379E-2</v>
      </c>
      <c r="H15" s="15">
        <f>F15 - Portfolio_Mgmt!$C$11</f>
        <v>7.2449589844441623E-2</v>
      </c>
      <c r="I15" s="15">
        <v>0</v>
      </c>
      <c r="J15" s="2">
        <v>13.878443981089484</v>
      </c>
      <c r="K15" s="2">
        <v>28.064132775417118</v>
      </c>
      <c r="L15" s="2">
        <v>24.098935167488882</v>
      </c>
      <c r="M15" s="2">
        <v>17.297674738091306</v>
      </c>
      <c r="N15" s="2">
        <v>21.362087657956575</v>
      </c>
      <c r="O15" s="4">
        <v>5.1569915168282222E-2</v>
      </c>
      <c r="P15" s="4">
        <v>2.3533613162607409E-2</v>
      </c>
      <c r="Q15" s="4">
        <v>0.2</v>
      </c>
      <c r="R15" s="4">
        <v>0.13430424833028851</v>
      </c>
      <c r="S15" s="79">
        <v>1.1000000000000001</v>
      </c>
      <c r="T15" s="78">
        <v>1.3537783359692717</v>
      </c>
      <c r="U15" s="15">
        <v>6.5417684980282262E-2</v>
      </c>
      <c r="V15" s="76">
        <v>0.50358953318926281</v>
      </c>
      <c r="W15" s="71">
        <v>5.6443831570809282</v>
      </c>
      <c r="X15" s="13" t="s">
        <v>374</v>
      </c>
      <c r="Y15" s="11" t="s">
        <v>364</v>
      </c>
      <c r="Z15" s="14">
        <v>46081</v>
      </c>
      <c r="AA15" s="16" t="s">
        <v>181</v>
      </c>
    </row>
    <row r="16" spans="1:27">
      <c r="B16" s="11" t="s">
        <v>170</v>
      </c>
      <c r="C16" s="11" t="s">
        <v>375</v>
      </c>
      <c r="D16" s="2">
        <v>25.7</v>
      </c>
      <c r="E16" s="12" t="s">
        <v>134</v>
      </c>
      <c r="F16" s="15">
        <v>5.1285635794498345E-2</v>
      </c>
      <c r="G16" s="15">
        <f>F16 - Portfolio_Mgmt!$C$10</f>
        <v>-6.6114364205501652E-2</v>
      </c>
      <c r="H16" s="15">
        <f>F16 - Portfolio_Mgmt!$C$11</f>
        <v>1.6785635794498342E-2</v>
      </c>
      <c r="I16" s="15">
        <v>0</v>
      </c>
      <c r="J16" s="2">
        <v>14.23335730104111</v>
      </c>
      <c r="K16" s="2">
        <v>25.883205163858914</v>
      </c>
      <c r="L16" s="2">
        <v>24.272591262279043</v>
      </c>
      <c r="M16" s="2">
        <v>17.601632793838561</v>
      </c>
      <c r="N16" s="2">
        <v>21.591936244412981</v>
      </c>
      <c r="O16" s="4">
        <v>9.4396811989593807E-2</v>
      </c>
      <c r="P16" s="4">
        <v>4.9027237354085602E-2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0.46547675236374525</v>
      </c>
      <c r="X16" s="13" t="s">
        <v>376</v>
      </c>
      <c r="Y16" s="11" t="s">
        <v>361</v>
      </c>
      <c r="Z16" s="14">
        <v>46081</v>
      </c>
      <c r="AA16" s="16" t="s">
        <v>181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2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4.0800000000000003E-2</v>
      </c>
      <c r="D4" s="34">
        <v>6.7500000000000004E-2</v>
      </c>
      <c r="E4" s="35">
        <f>D4-C4</f>
        <v>2.6700000000000002E-2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2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F19" sqref="F1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v>760661</v>
      </c>
      <c r="H3" s="58">
        <f t="shared" ref="H3:H9" si="0">G3/$G$12</f>
        <v>0.56390329752446589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21.96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17.297674738091306</v>
      </c>
      <c r="K4" s="81">
        <f>VLOOKUP(B4,Opportunities!B$3:N$30,9,FALSE)</f>
        <v>13.878443981089484</v>
      </c>
      <c r="L4" s="81">
        <f>VLOOKUP(B4,Opportunities!B$3:N$30,11,FALSE)</f>
        <v>24.098935167488882</v>
      </c>
      <c r="M4" s="81">
        <f>VLOOKUP(B4,Opportunities!B$3:N$30,13,FALSE)</f>
        <v>21.362087657956575</v>
      </c>
    </row>
    <row r="5" spans="1:13">
      <c r="B5" s="63" t="s">
        <v>380</v>
      </c>
      <c r="C5" s="62" t="str">
        <f>VLOOKUP(B5,Opportunities!B$3:E$30,2,FALSE)</f>
        <v>京东集团</v>
      </c>
      <c r="D5" s="60">
        <f>VLOOKUP(B5,Opportunities!B$3:E$30,3,FALSE)</f>
        <v>103.8</v>
      </c>
      <c r="E5" s="59" t="str">
        <f>VLOOKUP(B5,Opportunities!B$3:E$30,4,FALSE)</f>
        <v>HKD</v>
      </c>
      <c r="F5" s="57">
        <v>1500</v>
      </c>
      <c r="G5" s="61">
        <f t="shared" si="1"/>
        <v>155700</v>
      </c>
      <c r="H5" s="58">
        <f t="shared" si="0"/>
        <v>0.11542558830354038</v>
      </c>
      <c r="I5" s="58">
        <f>VLOOKUP(B5,Opportunities!B$3:I$30,8,FALSE)</f>
        <v>0.24440134347771827</v>
      </c>
      <c r="J5" s="81">
        <f>VLOOKUP(B5,Opportunities!B$3:N$30,12,FALSE)</f>
        <v>116.99285629904411</v>
      </c>
      <c r="K5" s="81">
        <f>VLOOKUP(B5,Opportunities!B$3:N$30,9,FALSE)</f>
        <v>93.869096074266068</v>
      </c>
      <c r="L5" s="81">
        <f>VLOOKUP(B5,Opportunities!B$3:N$30,11,FALSE)</f>
        <v>162.9882141875724</v>
      </c>
      <c r="M5" s="81">
        <f>VLOOKUP(B5,Opportunities!B$3:N$30,13,FALSE)</f>
        <v>144.47961973069502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 t="shared" si="1"/>
        <v>130800</v>
      </c>
      <c r="H6" s="58">
        <f t="shared" si="0"/>
        <v>9.6966390174072464E-2</v>
      </c>
      <c r="I6" s="58">
        <f>VLOOKUP(B6,Opportunities!B$3:I$30,8,FALSE)</f>
        <v>0.10162032351301863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8.26</v>
      </c>
      <c r="E7" s="59" t="str">
        <f>VLOOKUP(B7,Opportunities!B$3:E$30,4,FALSE)</f>
        <v>HKD</v>
      </c>
      <c r="F7" s="57">
        <v>8000</v>
      </c>
      <c r="G7" s="61">
        <f t="shared" si="1"/>
        <v>66080</v>
      </c>
      <c r="H7" s="58">
        <f t="shared" si="0"/>
        <v>4.8987301702620091E-2</v>
      </c>
      <c r="I7" s="58">
        <f>VLOOKUP(B7,Opportunities!B$3:I$30,8,FALSE)</f>
        <v>0</v>
      </c>
      <c r="J7" s="81">
        <f>VLOOKUP(B7,Opportunities!B$3:N$30,12,FALSE)</f>
        <v>7.3382105844185963</v>
      </c>
      <c r="K7" s="81">
        <f>VLOOKUP(B7,Opportunities!B$3:N$30,9,FALSE)</f>
        <v>5.9031516383650837</v>
      </c>
      <c r="L7" s="81">
        <f>VLOOKUP(B7,Opportunities!B$3:N$30,11,FALSE)</f>
        <v>10.188678459731804</v>
      </c>
      <c r="M7" s="81">
        <f>VLOOKUP(B7,Opportunities!B$3:N$30,13,FALSE)</f>
        <v>9.0421658277011385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10.199999999999999</v>
      </c>
      <c r="E8" s="59" t="str">
        <f>VLOOKUP(B8,Opportunities!B$3:E$30,4,FALSE)</f>
        <v>HKD</v>
      </c>
      <c r="F8" s="57">
        <v>13000</v>
      </c>
      <c r="G8" s="61">
        <f t="shared" si="1"/>
        <v>132600</v>
      </c>
      <c r="H8" s="58">
        <f t="shared" si="0"/>
        <v>9.8300790038853281E-2</v>
      </c>
      <c r="I8" s="58">
        <f>VLOOKUP(B8,Opportunities!B$3:I$30,8,FALSE)</f>
        <v>0.1277155817111581</v>
      </c>
      <c r="J8" s="81">
        <f>VLOOKUP(B8,Opportunities!B$3:N$30,12,FALSE)</f>
        <v>12.155069726420979</v>
      </c>
      <c r="K8" s="81">
        <f>VLOOKUP(B8,Opportunities!B$3:N$30,9,FALSE)</f>
        <v>9.789873521822285</v>
      </c>
      <c r="L8" s="81">
        <f>VLOOKUP(B8,Opportunities!B$3:N$30,11,FALSE)</f>
        <v>16.849954353185421</v>
      </c>
      <c r="M8" s="81">
        <f>VLOOKUP(B8,Opportunities!B$3:N$30,13,FALSE)</f>
        <v>14.961987975362611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4.68</v>
      </c>
      <c r="E9" s="59" t="str">
        <f>VLOOKUP(B9,Opportunities!B$3:E$30,4,FALSE)</f>
        <v>HKD</v>
      </c>
      <c r="F9" s="57">
        <v>12000</v>
      </c>
      <c r="G9" s="61">
        <f t="shared" si="1"/>
        <v>56160</v>
      </c>
      <c r="H9" s="58">
        <f t="shared" si="0"/>
        <v>4.163327578116139E-2</v>
      </c>
      <c r="I9" s="58">
        <f>VLOOKUP(B9,Opportunities!B$3:I$30,8,FALSE)</f>
        <v>7.5924905471577375E-2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3.91</v>
      </c>
      <c r="E10" s="59" t="str">
        <f>VLOOKUP(B10,Opportunities!B$3:E$30,4,FALSE)</f>
        <v>HKD</v>
      </c>
      <c r="F10" s="57">
        <v>12000</v>
      </c>
      <c r="G10" s="61">
        <f t="shared" si="1"/>
        <v>46920</v>
      </c>
      <c r="H10" s="58">
        <f t="shared" ref="H10" si="2">G10/$G$12</f>
        <v>3.4783356475286541E-2</v>
      </c>
      <c r="I10" s="58">
        <f>VLOOKUP(B10,Opportunities!B$3:I$30,8,FALSE)</f>
        <v>0.11525081585762552</v>
      </c>
      <c r="J10" s="81">
        <f>VLOOKUP(B10,Opportunities!B$3:N$30,12,FALSE)</f>
        <v>4.3063250245862799</v>
      </c>
      <c r="K10" s="81">
        <f>VLOOKUP(B10,Opportunities!B$3:N$30,9,FALSE)</f>
        <v>3.4722069389485957</v>
      </c>
      <c r="L10" s="81">
        <f>VLOOKUP(B10,Opportunities!B$3:N$30,11,FALSE)</f>
        <v>5.9610249602603496</v>
      </c>
      <c r="M10" s="81">
        <f>VLOOKUP(B10,Opportunities!B$3:N$30,13,FALSE)</f>
        <v>5.2957480303158606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1348921</v>
      </c>
      <c r="H12" s="67">
        <f>SUM(H3:H10)</f>
        <v>1</v>
      </c>
      <c r="I12" s="73">
        <f>SUM(I3:I10)</f>
        <v>1.114912970031098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380</v>
      </c>
      <c r="C15" s="62" t="str">
        <f>VLOOKUP(B15,Opportunities!B$3:E$30,2,FALSE)</f>
        <v>京东集团</v>
      </c>
      <c r="D15" s="60">
        <f>VLOOKUP(B15,Opportunities!B$3:E$30,3,FALSE)</f>
        <v>103.8</v>
      </c>
      <c r="E15" s="59" t="str">
        <f>VLOOKUP(B15,Opportunities!B$3:E$30,4,FALSE)</f>
        <v>HKD</v>
      </c>
      <c r="F15" s="57">
        <v>1000</v>
      </c>
      <c r="G15" s="61">
        <f t="shared" ref="G15:G20" si="3">-D15*F15</f>
        <v>-103800</v>
      </c>
      <c r="H15" s="58">
        <f t="shared" ref="H15:H20" si="4">-G15/$G$12</f>
        <v>7.695039220236026E-2</v>
      </c>
      <c r="I15" s="58">
        <f>VLOOKUP(B15,Opportunities!B$3:I$30,8,FALSE)</f>
        <v>0.24440134347771827</v>
      </c>
      <c r="J15" s="81">
        <f>VLOOKUP(B15,Opportunities!B$3:N$30,12,FALSE)</f>
        <v>116.99285629904411</v>
      </c>
      <c r="K15" s="81">
        <f>VLOOKUP(B15,Opportunities!B$3:N$30,9,FALSE)</f>
        <v>93.869096074266068</v>
      </c>
      <c r="L15" s="81">
        <f>VLOOKUP(B15,Opportunities!B$3:N$30,11,FALSE)</f>
        <v>162.9882141875724</v>
      </c>
      <c r="M15" s="81">
        <f>VLOOKUP(B15,Opportunities!B$3:N$30,13,FALSE)</f>
        <v>144.47961973069502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25.7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17.601632793838561</v>
      </c>
      <c r="K16" s="81">
        <f>VLOOKUP(B16,Opportunities!B$3:N$30,9,FALSE)</f>
        <v>14.23335730104111</v>
      </c>
      <c r="L16" s="81">
        <f>VLOOKUP(B16,Opportunities!B$3:N$30,11,FALSE)</f>
        <v>24.272591262279043</v>
      </c>
      <c r="M16" s="81">
        <f>VLOOKUP(B16,Opportunities!B$3:N$30,13,FALSE)</f>
        <v>21.591936244412981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3.27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0.10162032351301863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3.91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0.11525081585762552</v>
      </c>
      <c r="J18" s="81">
        <f>VLOOKUP(B18,Opportunities!B$3:N$30,12,FALSE)</f>
        <v>4.3063250245862799</v>
      </c>
      <c r="K18" s="81">
        <f>VLOOKUP(B18,Opportunities!B$3:N$30,9,FALSE)</f>
        <v>3.4722069389485957</v>
      </c>
      <c r="L18" s="81">
        <f>VLOOKUP(B18,Opportunities!B$3:N$30,11,FALSE)</f>
        <v>5.9610249602603496</v>
      </c>
      <c r="M18" s="81">
        <f>VLOOKUP(B18,Opportunities!B$3:N$30,13,FALSE)</f>
        <v>5.2957480303158606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10.199999999999999</v>
      </c>
      <c r="E19" s="59" t="str">
        <f>VLOOKUP(B19,Opportunities!B$3:E$30,4,FALSE)</f>
        <v>HKD</v>
      </c>
      <c r="F19" s="57">
        <v>3000</v>
      </c>
      <c r="G19" s="61">
        <f t="shared" si="3"/>
        <v>-30599.999999999996</v>
      </c>
      <c r="H19" s="58">
        <f t="shared" si="4"/>
        <v>2.268479770127383E-2</v>
      </c>
      <c r="I19" s="58">
        <f>VLOOKUP(B19,Opportunities!B$3:I$30,8,FALSE)</f>
        <v>0.1277155817111581</v>
      </c>
      <c r="J19" s="81">
        <f>VLOOKUP(B19,Opportunities!B$3:N$30,12,FALSE)</f>
        <v>12.155069726420979</v>
      </c>
      <c r="K19" s="81">
        <f>VLOOKUP(B19,Opportunities!B$3:N$30,9,FALSE)</f>
        <v>9.789873521822285</v>
      </c>
      <c r="L19" s="81">
        <f>VLOOKUP(B19,Opportunities!B$3:N$30,11,FALSE)</f>
        <v>16.849954353185421</v>
      </c>
      <c r="M19" s="81">
        <f>VLOOKUP(B19,Opportunities!B$3:N$30,13,FALSE)</f>
        <v>14.961987975362611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8.26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0</v>
      </c>
      <c r="J20" s="81">
        <f>VLOOKUP(B20,Opportunities!B$3:N$30,12,FALSE)</f>
        <v>7.3382105844185963</v>
      </c>
      <c r="K20" s="81">
        <f>VLOOKUP(B20,Opportunities!B$3:N$30,9,FALSE)</f>
        <v>5.9031516383650837</v>
      </c>
      <c r="L20" s="81">
        <f>VLOOKUP(B20,Opportunities!B$3:N$30,11,FALSE)</f>
        <v>10.188678459731804</v>
      </c>
      <c r="M20" s="81">
        <f>VLOOKUP(B20,Opportunities!B$3:N$30,13,FALSE)</f>
        <v>9.0421658277011385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626261</v>
      </c>
      <c r="H23" s="73">
        <f t="shared" ref="H23" si="5">G23/$G$12</f>
        <v>0.46426810762083176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2026-02-24T01:58:09Z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