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F3C6DCEC-26D7-AE40-9C27-081AE01D5449}" xr6:coauthVersionLast="47" xr6:coauthVersionMax="47" xr10:uidLastSave="{00000000-0000-0000-0000-000000000000}"/>
  <bookViews>
    <workbookView xWindow="-100" yWindow="-100" windowWidth="17120" windowHeight="10760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<sst xmlns="http://schemas.openxmlformats.org/spreadsheetml/2006/main" count="491" uniqueCount="391">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</sst>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Hyperlink" xfId="2" builtinId="8"/>
    <cellStyle name="Normal" xfId="0" builtinId="0"/>
    <cellStyle name="Normal 2" xfId="1" xr:uid="{00000000-0005-0000-0000-000001000000}"/>
    <cellStyle name="常规 2" xfId="3" xr:uid="{32ADA8AA-F280-4250-ABBF-7E6B9CB799DC}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135</v>
      </c>
    </row>
    <row r="2" spans="1:5" x14ac:dyDescent="0.15">
      <c r="A2" s="21" t="s">
        <v>49</v>
      </c>
      <c r="B2" s="21"/>
      <c r="C2" s="21"/>
      <c r="D2" s="21"/>
      <c r="E2" s="21"/>
    </row>
    <row r="4" spans="1:5" ht="24.5" customHeight="1" x14ac:dyDescent="0.15">
      <c r="B4" s="143" t="s">
        <v>147</v>
      </c>
      <c r="C4" s="143"/>
      <c r="D4" s="143"/>
      <c r="E4" s="143"/>
    </row>
    <row r="6" spans="1:5" x14ac:dyDescent="0.15">
      <c r="A6" s="20" t="s">
        <v>58</v>
      </c>
      <c r="B6" s="19" t="s">
        <v>141</v>
      </c>
      <c r="C6" s="47"/>
    </row>
    <row r="7" spans="1:5" x14ac:dyDescent="0.15">
      <c r="B7" s="143" t="s">
        <v>206</v>
      </c>
      <c r="C7" s="143"/>
      <c r="D7" s="143"/>
      <c r="E7" s="143"/>
    </row>
    <row r="9" spans="1:5" x14ac:dyDescent="0.15">
      <c r="B9" s="23" t="s">
        <v>51</v>
      </c>
    </row>
    <row r="10" spans="1:5" x14ac:dyDescent="0.15">
      <c r="B10" s="1" t="s">
        <v>56</v>
      </c>
      <c r="C10" s="135">
        <f>Market_Yield!C16</f>
        <v>0.1174</v>
      </c>
    </row>
    <row r="11" spans="1:5" x14ac:dyDescent="0.15">
      <c r="B11" s="1" t="s">
        <v>48</v>
      </c>
      <c r="C11" s="135">
        <f>Market_Yield!C6</f>
        <v>3.4500000000000003E-2</v>
      </c>
    </row>
    <row r="12" spans="1:5" x14ac:dyDescent="0.15">
      <c r="B12" s="1" t="s">
        <v>350</v>
      </c>
      <c r="C12" s="77">
        <v>7.2499999999999995E-2</v>
      </c>
    </row>
    <row r="13" spans="1:5" x14ac:dyDescent="0.15">
      <c r="C13" s="4"/>
    </row>
    <row r="14" spans="1:5" ht="46.5" customHeight="1" x14ac:dyDescent="0.15">
      <c r="B14" s="143" t="s">
        <v>351</v>
      </c>
      <c r="C14" s="143"/>
      <c r="D14" s="143"/>
      <c r="E14" s="143"/>
    </row>
    <row r="15" spans="1:5" x14ac:dyDescent="0.15">
      <c r="C15" s="4"/>
    </row>
    <row r="16" spans="1:5" x14ac:dyDescent="0.15">
      <c r="B16" s="23" t="s">
        <v>52</v>
      </c>
      <c r="C16" s="4"/>
    </row>
    <row r="17" spans="1:5" x14ac:dyDescent="0.15">
      <c r="B17" s="1" t="s">
        <v>143</v>
      </c>
      <c r="C17" s="4" t="s">
        <v>144</v>
      </c>
    </row>
    <row r="18" spans="1:5" x14ac:dyDescent="0.15">
      <c r="B18" s="1" t="s">
        <v>131</v>
      </c>
      <c r="C18" s="24" t="s">
        <v>129</v>
      </c>
    </row>
    <row r="19" spans="1:5" x14ac:dyDescent="0.15">
      <c r="B19" s="1" t="s">
        <v>132</v>
      </c>
      <c r="C19" s="24" t="s">
        <v>130</v>
      </c>
    </row>
    <row r="21" spans="1:5" x14ac:dyDescent="0.15">
      <c r="B21" s="23" t="s">
        <v>53</v>
      </c>
    </row>
    <row r="22" spans="1:5" x14ac:dyDescent="0.15">
      <c r="B22" s="24" t="s">
        <v>230</v>
      </c>
    </row>
    <row r="23" spans="1:5" x14ac:dyDescent="0.15">
      <c r="B23" s="24" t="s">
        <v>207</v>
      </c>
    </row>
    <row r="24" spans="1:5" x14ac:dyDescent="0.15">
      <c r="B24" s="24" t="s">
        <v>142</v>
      </c>
    </row>
    <row r="26" spans="1:5" x14ac:dyDescent="0.15">
      <c r="A26" s="25" t="s">
        <v>59</v>
      </c>
      <c r="B26" s="19" t="s">
        <v>140</v>
      </c>
      <c r="C26" s="47"/>
    </row>
    <row r="27" spans="1:5" x14ac:dyDescent="0.15">
      <c r="A27" s="18"/>
      <c r="B27" s="144" t="s">
        <v>208</v>
      </c>
      <c r="C27" s="143"/>
      <c r="D27" s="143"/>
      <c r="E27" s="143"/>
    </row>
    <row r="28" spans="1:5" x14ac:dyDescent="0.15">
      <c r="A28" s="18"/>
    </row>
    <row r="29" spans="1:5" x14ac:dyDescent="0.15">
      <c r="A29" s="18"/>
      <c r="B29" s="43" t="s">
        <v>133</v>
      </c>
      <c r="C29" s="43" t="s">
        <v>128</v>
      </c>
    </row>
    <row r="30" spans="1:5" x14ac:dyDescent="0.15">
      <c r="B30" s="26" t="s">
        <v>73</v>
      </c>
      <c r="C30" s="133">
        <v>6</v>
      </c>
    </row>
    <row r="31" spans="1:5" x14ac:dyDescent="0.15">
      <c r="B31" s="26" t="s">
        <v>195</v>
      </c>
      <c r="C31" s="134">
        <v>0.3</v>
      </c>
    </row>
    <row r="33" spans="1:5" x14ac:dyDescent="0.15">
      <c r="A33" s="20" t="s">
        <v>60</v>
      </c>
      <c r="B33" s="19" t="s">
        <v>11</v>
      </c>
      <c r="C33" s="47"/>
    </row>
    <row r="34" spans="1:5" x14ac:dyDescent="0.15">
      <c r="A34" s="20"/>
    </row>
    <row r="35" spans="1:5" x14ac:dyDescent="0.15">
      <c r="A35" s="20"/>
      <c r="B35" s="43" t="s">
        <v>349</v>
      </c>
      <c r="C35" s="43" t="s">
        <v>128</v>
      </c>
    </row>
    <row r="36" spans="1:5" x14ac:dyDescent="0.15">
      <c r="B36" s="131" t="s">
        <v>213</v>
      </c>
      <c r="C36" s="132">
        <v>3</v>
      </c>
    </row>
    <row r="37" spans="1:5" x14ac:dyDescent="0.15">
      <c r="B37" s="26" t="s">
        <v>212</v>
      </c>
      <c r="C37" s="136">
        <v>0.55000000000000004</v>
      </c>
    </row>
    <row r="38" spans="1:5" x14ac:dyDescent="0.15">
      <c r="B38" s="26" t="s">
        <v>345</v>
      </c>
      <c r="C38" s="138">
        <v>-0.65</v>
      </c>
    </row>
    <row r="40" spans="1:5" x14ac:dyDescent="0.15">
      <c r="B40" s="20" t="s">
        <v>216</v>
      </c>
    </row>
    <row r="41" spans="1:5" x14ac:dyDescent="0.15">
      <c r="B41" s="143" t="s">
        <v>215</v>
      </c>
      <c r="C41" s="143"/>
      <c r="D41" s="143"/>
      <c r="E41" s="143"/>
    </row>
    <row r="43" spans="1:5" x14ac:dyDescent="0.15">
      <c r="A43" s="20" t="s">
        <v>60</v>
      </c>
      <c r="B43" s="19" t="s">
        <v>357</v>
      </c>
    </row>
    <row r="45" spans="1:5" x14ac:dyDescent="0.1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 x14ac:dyDescent="0.1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 x14ac:dyDescent="0.1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 x14ac:dyDescent="0.15">
      <c r="B49" s="20" t="s">
        <v>216</v>
      </c>
    </row>
    <row r="50" spans="1:5" x14ac:dyDescent="0.15">
      <c r="B50" s="144" t="s">
        <v>354</v>
      </c>
      <c r="C50" s="143"/>
      <c r="D50" s="143"/>
      <c r="E50" s="143"/>
    </row>
    <row r="51" spans="1:5" x14ac:dyDescent="0.15">
      <c r="B51" s="144" t="s">
        <v>228</v>
      </c>
      <c r="C51" s="144"/>
      <c r="D51" s="144"/>
      <c r="E51" s="144"/>
    </row>
    <row r="53" spans="1:5" x14ac:dyDescent="0.15">
      <c r="A53" s="21" t="s">
        <v>136</v>
      </c>
      <c r="B53" s="21"/>
      <c r="C53" s="21"/>
      <c r="D53" s="21"/>
      <c r="E53" s="21"/>
    </row>
    <row r="55" spans="1:5" x14ac:dyDescent="0.15">
      <c r="B55" s="143" t="s">
        <v>217</v>
      </c>
      <c r="C55" s="143"/>
      <c r="D55" s="143"/>
      <c r="E55" s="143"/>
    </row>
    <row r="57" spans="1:5" x14ac:dyDescent="0.15">
      <c r="B57" s="23" t="s">
        <v>75</v>
      </c>
    </row>
    <row r="59" spans="1:5" x14ac:dyDescent="0.15">
      <c r="B59" s="43" t="s">
        <v>76</v>
      </c>
      <c r="C59" s="43" t="s">
        <v>139</v>
      </c>
      <c r="D59" s="45"/>
      <c r="E59" s="45"/>
    </row>
    <row r="60" spans="1:5" x14ac:dyDescent="0.15">
      <c r="B60" s="26" t="s">
        <v>204</v>
      </c>
      <c r="C60" s="29">
        <v>0.45</v>
      </c>
      <c r="D60" s="46"/>
      <c r="E60" s="44"/>
    </row>
    <row r="61" spans="1:5" x14ac:dyDescent="0.15">
      <c r="B61" s="26" t="s">
        <v>203</v>
      </c>
      <c r="C61" s="29">
        <v>0.3</v>
      </c>
      <c r="D61" s="46"/>
      <c r="E61" s="44"/>
    </row>
    <row r="62" spans="1:5" x14ac:dyDescent="0.15">
      <c r="B62" s="26" t="s">
        <v>202</v>
      </c>
      <c r="C62" s="29">
        <v>0.15</v>
      </c>
      <c r="D62" s="48" t="s">
        <v>148</v>
      </c>
      <c r="E62" s="44"/>
    </row>
    <row r="64" spans="1:5" x14ac:dyDescent="0.15">
      <c r="B64" s="23" t="s">
        <v>74</v>
      </c>
    </row>
    <row r="66" spans="1:5" x14ac:dyDescent="0.1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 x14ac:dyDescent="0.15">
      <c r="B67" s="26" t="s">
        <v>61</v>
      </c>
      <c r="C67" s="26" t="s">
        <v>65</v>
      </c>
      <c r="D67" s="26" t="s">
        <v>66</v>
      </c>
      <c r="E67" s="40">
        <v>1</v>
      </c>
    </row>
    <row r="68" spans="1:5" x14ac:dyDescent="0.15">
      <c r="B68" s="26" t="s">
        <v>62</v>
      </c>
      <c r="C68" s="26" t="s">
        <v>63</v>
      </c>
      <c r="D68" s="26" t="s">
        <v>67</v>
      </c>
      <c r="E68" s="40">
        <v>1</v>
      </c>
    </row>
    <row r="69" spans="1:5" x14ac:dyDescent="0.15">
      <c r="B69" s="26" t="s">
        <v>199</v>
      </c>
      <c r="C69" s="26" t="s">
        <v>200</v>
      </c>
      <c r="D69" s="26" t="s">
        <v>201</v>
      </c>
      <c r="E69" s="40">
        <v>0</v>
      </c>
    </row>
    <row r="70" spans="1:5" x14ac:dyDescent="0.15">
      <c r="B70" s="26" t="s">
        <v>197</v>
      </c>
      <c r="C70" s="26" t="s">
        <v>167</v>
      </c>
      <c r="D70" s="26" t="s">
        <v>168</v>
      </c>
      <c r="E70" s="40">
        <v>2</v>
      </c>
    </row>
    <row r="71" spans="1:5" x14ac:dyDescent="0.15">
      <c r="B71" s="26" t="s">
        <v>198</v>
      </c>
      <c r="C71" s="26" t="s">
        <v>64</v>
      </c>
      <c r="D71" s="26" t="s">
        <v>68</v>
      </c>
      <c r="E71" s="40">
        <v>0</v>
      </c>
    </row>
    <row r="72" spans="1:5" x14ac:dyDescent="0.15">
      <c r="D72" s="27" t="s">
        <v>69</v>
      </c>
      <c r="E72" s="39">
        <f>SUM(E67:E71)</f>
        <v>4</v>
      </c>
    </row>
    <row r="73" spans="1:5" ht="13" thickBot="1" x14ac:dyDescent="0.2">
      <c r="D73" s="41" t="s">
        <v>138</v>
      </c>
      <c r="E73" s="42">
        <f>IF(E72&lt;=4,C60,IF(E72&gt;=8,C62,C61))</f>
        <v>0.45</v>
      </c>
    </row>
    <row r="74" spans="1:5" ht="13" thickTop="1" x14ac:dyDescent="0.15"/>
    <row r="75" spans="1:5" x14ac:dyDescent="0.15">
      <c r="B75" s="1" t="s">
        <v>219</v>
      </c>
    </row>
    <row r="76" spans="1:5" x14ac:dyDescent="0.15">
      <c r="B76" s="1" t="s">
        <v>229</v>
      </c>
    </row>
    <row r="77" spans="1:5" x14ac:dyDescent="0.15">
      <c r="B77" s="1" t="s">
        <v>218</v>
      </c>
    </row>
    <row r="79" spans="1:5" x14ac:dyDescent="0.15">
      <c r="A79" s="21" t="s">
        <v>70</v>
      </c>
      <c r="B79" s="21"/>
      <c r="C79" s="21"/>
      <c r="D79" s="21"/>
      <c r="E79" s="21"/>
    </row>
    <row r="81" spans="1:5" x14ac:dyDescent="0.15">
      <c r="B81" s="143" t="s">
        <v>137</v>
      </c>
      <c r="C81" s="143"/>
      <c r="D81" s="143"/>
      <c r="E81" s="143"/>
    </row>
    <row r="83" spans="1:5" x14ac:dyDescent="0.15">
      <c r="A83" s="28" t="s">
        <v>58</v>
      </c>
      <c r="B83" s="20" t="s">
        <v>221</v>
      </c>
    </row>
    <row r="84" spans="1:5" x14ac:dyDescent="0.15">
      <c r="B84" s="24" t="s">
        <v>149</v>
      </c>
    </row>
    <row r="86" spans="1:5" x14ac:dyDescent="0.15">
      <c r="A86" s="28" t="s">
        <v>205</v>
      </c>
      <c r="B86" s="20" t="s">
        <v>220</v>
      </c>
    </row>
    <row r="87" spans="1:5" x14ac:dyDescent="0.15">
      <c r="B87" s="1" t="str">
        <f>B22</f>
        <v>- Only investments with ERB &gt; 0 and Market Price &lt;= Entry Price are eligible for portfolio allocation.</v>
      </c>
    </row>
    <row r="88" spans="1:5" x14ac:dyDescent="0.15">
      <c r="B88" s="104" t="s">
        <v>224</v>
      </c>
      <c r="C88" s="91" t="s">
        <v>231</v>
      </c>
    </row>
    <row r="89" spans="1:5" x14ac:dyDescent="0.15">
      <c r="B89" s="104" t="s">
        <v>223</v>
      </c>
      <c r="C89" s="91" t="s">
        <v>196</v>
      </c>
    </row>
    <row r="90" spans="1:5" x14ac:dyDescent="0.15">
      <c r="B90" s="103" t="str">
        <f>B23</f>
        <v>- Non-selected investments receive 50% of normal allocation.</v>
      </c>
    </row>
    <row r="92" spans="1:5" x14ac:dyDescent="0.15">
      <c r="B92" s="20" t="s">
        <v>222</v>
      </c>
    </row>
    <row r="93" spans="1:5" x14ac:dyDescent="0.15">
      <c r="B93" s="1" t="s">
        <v>225</v>
      </c>
    </row>
    <row r="94" spans="1:5" x14ac:dyDescent="0.15">
      <c r="B94" s="1" t="s">
        <v>227</v>
      </c>
    </row>
    <row r="95" spans="1:5" x14ac:dyDescent="0.15">
      <c r="B95" s="1" t="s">
        <v>226</v>
      </c>
    </row>
    <row r="97" spans="1:5" x14ac:dyDescent="0.15">
      <c r="A97" s="21" t="s">
        <v>71</v>
      </c>
      <c r="B97" s="21"/>
      <c r="C97" s="21"/>
      <c r="D97" s="21"/>
      <c r="E97" s="21"/>
    </row>
    <row r="99" spans="1:5" x14ac:dyDescent="0.15">
      <c r="B99" s="20" t="s">
        <v>72</v>
      </c>
    </row>
    <row r="100" spans="1:5" x14ac:dyDescent="0.15">
      <c r="B100" s="24" t="s">
        <v>81</v>
      </c>
    </row>
    <row r="101" spans="1:5" x14ac:dyDescent="0.15">
      <c r="B101" s="24" t="s">
        <v>82</v>
      </c>
    </row>
    <row r="102" spans="1:5" x14ac:dyDescent="0.1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baseColWidth="10" defaultColWidth="8.83203125" defaultRowHeight="12" x14ac:dyDescent="0.15"/>
  <cols>
    <col min="1" max="1" width="2.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83203125" style="3" bestFit="1" customWidth="1"/>
    <col min="27" max="27" width="8.83203125" style="11"/>
    <col min="28" max="16384" width="8.83203125" style="1"/>
  </cols>
  <sheetData>
    <row r="1" spans="1:27" x14ac:dyDescent="0.15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 x14ac:dyDescent="0.15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 x14ac:dyDescent="0.15">
      <c r="B3" s="11" t="s">
        <v>360</v>
      </c>
      <c r="C3" s="11" t="s">
        <v>365</v>
      </c>
      <c r="D3" s="2">
        <v>10.62</v>
      </c>
      <c r="E3" s="12" t="s">
        <v>134</v>
      </c>
      <c r="F3" s="15">
        <v>0.25844452584577116</v>
      </c>
      <c r="G3" s="15">
        <f>F3 - Portfolio_Mgmt!$C$10</f>
        <v>0.14104452584577115</v>
      </c>
      <c r="H3" s="15">
        <f>F3 - Portfolio_Mgmt!$C$11</f>
        <v>0.22394452584577115</v>
      </c>
      <c r="I3" s="15">
        <v>0.1277155817111581</v>
      </c>
      <c r="J3" s="2">
        <v>9.789873521822285</v>
      </c>
      <c r="K3" s="2">
        <v>18.817662535886061</v>
      </c>
      <c r="L3" s="71">
        <v>16.849954353185421</v>
      </c>
      <c r="M3" s="2">
        <v>12.155069726420979</v>
      </c>
      <c r="N3" s="2">
        <v>14.961987975362611</v>
      </c>
      <c r="O3" s="4">
        <v>9.5850377583797677E-2</v>
      </c>
      <c r="P3" s="4">
        <v>5.7538119099503869E-2</v>
      </c>
      <c r="Q3" s="4">
        <v>0.10095788852256718</v>
      </c>
      <c r="R3" s="4">
        <v>0.126397939605567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1.7657359087982438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 x14ac:dyDescent="0.15">
      <c r="B4" s="11" t="s">
        <v>380</v>
      </c>
      <c r="C4" s="11" t="s">
        <v>381</v>
      </c>
      <c r="D4" s="2">
        <v>103.8</v>
      </c>
      <c r="E4" s="12" t="s">
        <v>134</v>
      </c>
      <c r="F4" s="15">
        <v>0.25085546041516749</v>
      </c>
      <c r="G4" s="15">
        <f>F4 - Portfolio_Mgmt!$C$10</f>
        <v>0.13345546041516748</v>
      </c>
      <c r="H4" s="15">
        <f>F4 - Portfolio_Mgmt!$C$11</f>
        <v>0.21635546041516748</v>
      </c>
      <c r="I4" s="15">
        <v>0.24440134347771827</v>
      </c>
      <c r="J4" s="2">
        <v>93.869096074266068</v>
      </c>
      <c r="K4" s="2">
        <v>189.75850798139936</v>
      </c>
      <c r="L4" s="71">
        <v>162.9882141875724</v>
      </c>
      <c r="M4" s="2">
        <v>116.99285629904411</v>
      </c>
      <c r="N4" s="2">
        <v>144.47961973069502</v>
      </c>
      <c r="O4" s="4">
        <v>8.3011294104839359E-2</v>
      </c>
      <c r="P4" s="4">
        <v>3.3815028901734101E-2</v>
      </c>
      <c r="Q4" s="4">
        <v>0.15</v>
      </c>
      <c r="R4" s="4">
        <v>3.9404773307997187E-2</v>
      </c>
      <c r="S4" s="79">
        <v>1.6240671367246462</v>
      </c>
      <c r="T4" s="78">
        <v>2.3438965902371725</v>
      </c>
      <c r="U4" s="15">
        <v>0.36820511135930623</v>
      </c>
      <c r="V4" s="76">
        <v>2.8852377432054559</v>
      </c>
      <c r="W4" s="71">
        <v>-65.299983728895668</v>
      </c>
      <c r="X4" s="13" t="s">
        <v>169</v>
      </c>
      <c r="Y4" s="11" t="s">
        <v>364</v>
      </c>
      <c r="Z4" s="14">
        <v>46173</v>
      </c>
      <c r="AA4" s="16" t="s">
        <v>181</v>
      </c>
    </row>
    <row r="5" spans="1:27" x14ac:dyDescent="0.15">
      <c r="B5" s="11" t="s">
        <v>329</v>
      </c>
      <c r="C5" s="11" t="s">
        <v>368</v>
      </c>
      <c r="D5" s="2">
        <v>3.91</v>
      </c>
      <c r="E5" s="12" t="s">
        <v>134</v>
      </c>
      <c r="F5" s="15">
        <v>0.24192072114076554</v>
      </c>
      <c r="G5" s="15">
        <f>F5 - Portfolio_Mgmt!$C$10</f>
        <v>0.12452072114076554</v>
      </c>
      <c r="H5" s="15">
        <f>F5 - Portfolio_Mgmt!$C$11</f>
        <v>0.20742072114076554</v>
      </c>
      <c r="I5" s="15">
        <v>0.11525081585762552</v>
      </c>
      <c r="J5" s="2">
        <v>3.4722069389485957</v>
      </c>
      <c r="K5" s="2">
        <v>6.5745549564240156</v>
      </c>
      <c r="L5" s="71">
        <v>5.9610249602603496</v>
      </c>
      <c r="M5" s="2">
        <v>4.3063250245862799</v>
      </c>
      <c r="N5" s="2">
        <v>5.2957480303158606</v>
      </c>
      <c r="O5" s="4">
        <v>0.11376929563574673</v>
      </c>
      <c r="P5" s="4">
        <v>6.1841432225063935E-2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1.2858702050147901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 x14ac:dyDescent="0.15">
      <c r="B6" s="11" t="s">
        <v>382</v>
      </c>
      <c r="C6" s="11" t="s">
        <v>383</v>
      </c>
      <c r="D6" s="2">
        <v>78.5</v>
      </c>
      <c r="E6" s="12" t="s">
        <v>134</v>
      </c>
      <c r="F6" s="15">
        <v>0.20553937277082149</v>
      </c>
      <c r="G6" s="15">
        <f>F6 - Portfolio_Mgmt!$C$10</f>
        <v>8.8139372770821484E-2</v>
      </c>
      <c r="H6" s="15">
        <f>F6 - Portfolio_Mgmt!$C$11</f>
        <v>0.17103937277082149</v>
      </c>
      <c r="I6" s="15">
        <v>0.16105829745259287</v>
      </c>
      <c r="J6" s="2">
        <v>64.03874288409996</v>
      </c>
      <c r="K6" s="2">
        <v>120.7739384062487</v>
      </c>
      <c r="L6" s="71">
        <v>109.86698307533452</v>
      </c>
      <c r="M6" s="2">
        <v>79.399561739478642</v>
      </c>
      <c r="N6" s="2">
        <v>97.618110477933342</v>
      </c>
      <c r="O6" s="4">
        <v>6.9123139141263654E-2</v>
      </c>
      <c r="P6" s="4">
        <v>5.8356687898089177E-2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1.4584276266570915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 x14ac:dyDescent="0.15">
      <c r="B7" s="11" t="s">
        <v>384</v>
      </c>
      <c r="C7" s="11" t="s">
        <v>385</v>
      </c>
      <c r="D7" s="2">
        <v>77.400000000000006</v>
      </c>
      <c r="E7" s="12" t="s">
        <v>134</v>
      </c>
      <c r="F7" s="15">
        <v>0.19255135221428826</v>
      </c>
      <c r="G7" s="15">
        <f>F7 - Portfolio_Mgmt!$C$10</f>
        <v>7.5151352214288258E-2</v>
      </c>
      <c r="H7" s="15">
        <f>F7 - Portfolio_Mgmt!$C$11</f>
        <v>0.15805135221428826</v>
      </c>
      <c r="I7" s="15">
        <v>0.12975415863075493</v>
      </c>
      <c r="J7" s="2">
        <v>61.540774633691498</v>
      </c>
      <c r="K7" s="2">
        <v>108.21150613566442</v>
      </c>
      <c r="L7" s="71">
        <v>104.38245843545533</v>
      </c>
      <c r="M7" s="2">
        <v>75.92754467119029</v>
      </c>
      <c r="N7" s="2">
        <v>92.953164568760769</v>
      </c>
      <c r="O7" s="4">
        <v>0.11700094723101183</v>
      </c>
      <c r="P7" s="4">
        <v>8.2423772609819118E-2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-19.221506310709398</v>
      </c>
      <c r="X7" s="13" t="s">
        <v>169</v>
      </c>
      <c r="Y7" s="11" t="s">
        <v>361</v>
      </c>
      <c r="Z7" s="14">
        <v>46081</v>
      </c>
      <c r="AA7" s="16" t="s">
        <v>181</v>
      </c>
    </row>
    <row r="8" spans="1:27" x14ac:dyDescent="0.15">
      <c r="B8" s="11" t="s">
        <v>183</v>
      </c>
      <c r="C8" s="11" t="s">
        <v>371</v>
      </c>
      <c r="D8" s="2">
        <v>3.27</v>
      </c>
      <c r="E8" s="12" t="s">
        <v>134</v>
      </c>
      <c r="F8" s="15">
        <v>0.18222622082566256</v>
      </c>
      <c r="G8" s="15">
        <f>F8 - Portfolio_Mgmt!$C$10</f>
        <v>6.4826220825662556E-2</v>
      </c>
      <c r="H8" s="15">
        <f>F8 - Portfolio_Mgmt!$C$11</f>
        <v>0.14772622082566256</v>
      </c>
      <c r="I8" s="15">
        <v>0.10162032351301863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7.4258357213923459E-2</v>
      </c>
      <c r="P8" s="4">
        <v>8.2568807339449546E-2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372</v>
      </c>
      <c r="Y8" s="11" t="s">
        <v>361</v>
      </c>
      <c r="Z8" s="14">
        <v>46081</v>
      </c>
      <c r="AA8" s="16" t="s">
        <v>181</v>
      </c>
    </row>
    <row r="9" spans="1:27" x14ac:dyDescent="0.15">
      <c r="B9" s="11" t="s">
        <v>362</v>
      </c>
      <c r="C9" s="11" t="s">
        <v>363</v>
      </c>
      <c r="D9" s="2">
        <v>7.02</v>
      </c>
      <c r="E9" s="12" t="s">
        <v>134</v>
      </c>
      <c r="F9" s="15">
        <v>0.17795125135209935</v>
      </c>
      <c r="G9" s="15">
        <f>F9 - Portfolio_Mgmt!$C$10</f>
        <v>6.055125135209935E-2</v>
      </c>
      <c r="H9" s="15">
        <f>F9 - Portfolio_Mgmt!$C$11</f>
        <v>0.14345125135209935</v>
      </c>
      <c r="I9" s="15">
        <v>8.8998967276653046E-2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6.5393180968379747E-2</v>
      </c>
      <c r="P9" s="4">
        <v>2.0227920227920228E-2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169</v>
      </c>
      <c r="Y9" s="11" t="s">
        <v>364</v>
      </c>
      <c r="Z9" s="14">
        <v>46081</v>
      </c>
      <c r="AA9" s="16" t="s">
        <v>181</v>
      </c>
    </row>
    <row r="10" spans="1:27" x14ac:dyDescent="0.15">
      <c r="B10" s="11" t="s">
        <v>327</v>
      </c>
      <c r="C10" s="11" t="s">
        <v>328</v>
      </c>
      <c r="D10" s="2">
        <v>4.68</v>
      </c>
      <c r="E10" s="12" t="s">
        <v>134</v>
      </c>
      <c r="F10" s="15">
        <v>0.17373265724922368</v>
      </c>
      <c r="G10" s="15">
        <f>F10 - Portfolio_Mgmt!$C$10</f>
        <v>5.6332657249223678E-2</v>
      </c>
      <c r="H10" s="15">
        <f>F10 - Portfolio_Mgmt!$C$11</f>
        <v>0.13923265724922368</v>
      </c>
      <c r="I10" s="15">
        <v>7.5924905471577375E-2</v>
      </c>
      <c r="J10" s="2">
        <v>3.5453162653105039</v>
      </c>
      <c r="K10" s="2">
        <v>6.5021029196761031</v>
      </c>
      <c r="L10" s="71">
        <v>6.0543353749158966</v>
      </c>
      <c r="M10" s="2">
        <v>4.3869285024051887</v>
      </c>
      <c r="N10" s="2">
        <v>5.3842307819113344</v>
      </c>
      <c r="O10" s="4">
        <v>8.6308371506891801E-2</v>
      </c>
      <c r="P10" s="4">
        <v>6.4102564102564111E-2</v>
      </c>
      <c r="Q10" s="4">
        <v>0.18</v>
      </c>
      <c r="R10" s="4">
        <v>5.5599077391744495E-2</v>
      </c>
      <c r="S10" s="79">
        <v>1.4798367611150316</v>
      </c>
      <c r="T10" s="78">
        <v>2.187716833659914</v>
      </c>
      <c r="U10" s="15">
        <v>0.76701287002940366</v>
      </c>
      <c r="V10" s="76">
        <v>5.0983946232940358</v>
      </c>
      <c r="W10" s="71">
        <v>-2.4800067209187837</v>
      </c>
      <c r="X10" s="16" t="s">
        <v>169</v>
      </c>
      <c r="Y10" s="11" t="s">
        <v>361</v>
      </c>
      <c r="Z10" s="14">
        <v>46173</v>
      </c>
      <c r="AA10" s="16" t="s">
        <v>181</v>
      </c>
    </row>
    <row r="11" spans="1:27" x14ac:dyDescent="0.15">
      <c r="B11" s="11" t="s">
        <v>388</v>
      </c>
      <c r="C11" s="11" t="s">
        <v>389</v>
      </c>
      <c r="D11" s="2">
        <v>80.75</v>
      </c>
      <c r="E11" s="12" t="s">
        <v>134</v>
      </c>
      <c r="F11" s="15">
        <v>0.17107262855059663</v>
      </c>
      <c r="G11" s="15">
        <f>F11 - Portfolio_Mgmt!$C$10</f>
        <v>5.3672628550596624E-2</v>
      </c>
      <c r="H11" s="15">
        <f>F11 - Portfolio_Mgmt!$C$11</f>
        <v>0.13657262855059663</v>
      </c>
      <c r="I11" s="15">
        <v>3.3672128716753458E-2</v>
      </c>
      <c r="J11" s="2">
        <v>59.763261181597592</v>
      </c>
      <c r="K11" s="2">
        <v>129.68627676406675</v>
      </c>
      <c r="L11" s="71">
        <v>105.12405855166726</v>
      </c>
      <c r="M11" s="2">
        <v>74.909040730146884</v>
      </c>
      <c r="N11" s="2">
        <v>92.953986702038947</v>
      </c>
      <c r="O11" s="4">
        <v>1.5361388364816216E-2</v>
      </c>
      <c r="P11" s="4">
        <v>0</v>
      </c>
      <c r="Q11" s="4">
        <v>0.2</v>
      </c>
      <c r="R11" s="4">
        <v>0.10918374574607279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3.6064306695107011</v>
      </c>
      <c r="X11" s="13" t="s">
        <v>390</v>
      </c>
      <c r="Y11" s="11" t="s">
        <v>364</v>
      </c>
      <c r="Z11" s="14">
        <v>46081</v>
      </c>
      <c r="AA11" s="16" t="s">
        <v>367</v>
      </c>
    </row>
    <row r="12" spans="1:27" x14ac:dyDescent="0.15">
      <c r="B12" s="11" t="s">
        <v>386</v>
      </c>
      <c r="C12" s="11" t="s">
        <v>387</v>
      </c>
      <c r="D12" s="2">
        <v>42.2</v>
      </c>
      <c r="E12" s="12" t="s">
        <v>134</v>
      </c>
      <c r="F12" s="15">
        <v>0.15751340909520897</v>
      </c>
      <c r="G12" s="15">
        <f>F12 - Portfolio_Mgmt!$C$10</f>
        <v>4.0113409095208968E-2</v>
      </c>
      <c r="H12" s="15">
        <f>F12 - Portfolio_Mgmt!$C$11</f>
        <v>0.12301340909520897</v>
      </c>
      <c r="I12" s="15">
        <v>1.9031013070483428E-2</v>
      </c>
      <c r="J12" s="2">
        <v>30.472338478979687</v>
      </c>
      <c r="K12" s="2">
        <v>60.439606731746466</v>
      </c>
      <c r="L12" s="71">
        <v>52.732918282721435</v>
      </c>
      <c r="M12" s="2">
        <v>37.923481236889849</v>
      </c>
      <c r="N12" s="2">
        <v>46.775086255631912</v>
      </c>
      <c r="O12" s="4">
        <v>6.9088519142746635E-2</v>
      </c>
      <c r="P12" s="4">
        <v>3.392895734597156E-2</v>
      </c>
      <c r="Q12" s="4">
        <v>0.2658092571428613</v>
      </c>
      <c r="R12" s="4">
        <v>0.20771863979883598</v>
      </c>
      <c r="S12" s="79">
        <v>0.65265738052043343</v>
      </c>
      <c r="T12" s="78">
        <v>1.9606920057834423</v>
      </c>
      <c r="U12" s="15">
        <v>0.67283405398617657</v>
      </c>
      <c r="V12" s="76">
        <v>2.2041306156151999</v>
      </c>
      <c r="W12" s="71">
        <v>-6.2879234830533743</v>
      </c>
      <c r="X12" s="13" t="s">
        <v>169</v>
      </c>
      <c r="Y12" s="11" t="s">
        <v>364</v>
      </c>
      <c r="Z12" s="14">
        <v>46081</v>
      </c>
      <c r="AA12" s="16" t="s">
        <v>181</v>
      </c>
    </row>
    <row r="13" spans="1:27" x14ac:dyDescent="0.15">
      <c r="B13" s="11" t="s">
        <v>330</v>
      </c>
      <c r="C13" s="11" t="s">
        <v>369</v>
      </c>
      <c r="D13" s="2">
        <v>8.26</v>
      </c>
      <c r="E13" s="12" t="s">
        <v>134</v>
      </c>
      <c r="F13" s="15">
        <v>0.15274183509108599</v>
      </c>
      <c r="G13" s="15">
        <f>F13 - Portfolio_Mgmt!$C$10</f>
        <v>3.5341835091085988E-2</v>
      </c>
      <c r="H13" s="15">
        <f>F13 - Portfolio_Mgmt!$C$11</f>
        <v>0.11824183509108599</v>
      </c>
      <c r="I13" s="15">
        <v>0</v>
      </c>
      <c r="J13" s="2">
        <v>5.9031516383650837</v>
      </c>
      <c r="K13" s="2">
        <v>11.532763326181085</v>
      </c>
      <c r="L13" s="2">
        <v>10.188678459731804</v>
      </c>
      <c r="M13" s="2">
        <v>7.3382105844185963</v>
      </c>
      <c r="N13" s="2">
        <v>9.0421658277011385</v>
      </c>
      <c r="O13" s="4">
        <v>8.6180567737079425E-2</v>
      </c>
      <c r="P13" s="4">
        <v>3.8936867167764254E-2</v>
      </c>
      <c r="Q13" s="4">
        <v>0.17172001831973296</v>
      </c>
      <c r="R13" s="4">
        <v>8.3606164410580511E-2</v>
      </c>
      <c r="S13" s="79">
        <v>1.3282158707615834</v>
      </c>
      <c r="T13" s="78">
        <v>1.5463719418456539</v>
      </c>
      <c r="U13" s="15">
        <v>0.22428295339746124</v>
      </c>
      <c r="V13" s="76">
        <v>1.2715557492373779</v>
      </c>
      <c r="W13" s="71">
        <v>-2.9862635425501813</v>
      </c>
      <c r="X13" s="13" t="s">
        <v>370</v>
      </c>
      <c r="Y13" s="11" t="s">
        <v>364</v>
      </c>
      <c r="Z13" s="14">
        <v>46081</v>
      </c>
      <c r="AA13" s="16" t="s">
        <v>367</v>
      </c>
    </row>
    <row r="14" spans="1:27" x14ac:dyDescent="0.15">
      <c r="B14" s="11" t="s">
        <v>378</v>
      </c>
      <c r="C14" s="11" t="s">
        <v>379</v>
      </c>
      <c r="D14" s="2">
        <v>4.95</v>
      </c>
      <c r="E14" s="12" t="s">
        <v>134</v>
      </c>
      <c r="F14" s="15">
        <v>0.13150443474697285</v>
      </c>
      <c r="G14" s="15">
        <f>F14 - Portfolio_Mgmt!$C$10</f>
        <v>1.4104434746972844E-2</v>
      </c>
      <c r="H14" s="15">
        <f>F14 - Portfolio_Mgmt!$C$11</f>
        <v>9.7004434746972845E-2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6.2668281083272867E-2</v>
      </c>
      <c r="P14" s="4">
        <v>3.2161616161616162E-2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169</v>
      </c>
      <c r="Y14" s="11" t="s">
        <v>364</v>
      </c>
      <c r="Z14" s="14">
        <v>46173</v>
      </c>
      <c r="AA14" s="16" t="s">
        <v>367</v>
      </c>
    </row>
    <row r="15" spans="1:27" x14ac:dyDescent="0.15">
      <c r="B15" s="11" t="s">
        <v>157</v>
      </c>
      <c r="C15" s="11" t="s">
        <v>373</v>
      </c>
      <c r="D15" s="2">
        <v>21.96</v>
      </c>
      <c r="E15" s="12" t="s">
        <v>134</v>
      </c>
      <c r="F15" s="15">
        <v>0.10694958984444163</v>
      </c>
      <c r="G15" s="15">
        <f>F15 - Portfolio_Mgmt!$C$10</f>
        <v>-1.0450410155558379E-2</v>
      </c>
      <c r="H15" s="15">
        <f>F15 - Portfolio_Mgmt!$C$11</f>
        <v>7.2449589844441623E-2</v>
      </c>
      <c r="I15" s="15">
        <v>0</v>
      </c>
      <c r="J15" s="2">
        <v>13.878443981089484</v>
      </c>
      <c r="K15" s="2">
        <v>28.064132775417118</v>
      </c>
      <c r="L15" s="2">
        <v>24.098935167488882</v>
      </c>
      <c r="M15" s="2">
        <v>17.297674738091306</v>
      </c>
      <c r="N15" s="2">
        <v>21.362087657956575</v>
      </c>
      <c r="O15" s="4">
        <v>5.1569915168282222E-2</v>
      </c>
      <c r="P15" s="4">
        <v>2.3533613162607409E-2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5.6443831570809282</v>
      </c>
      <c r="X15" s="13" t="s">
        <v>374</v>
      </c>
      <c r="Y15" s="11" t="s">
        <v>364</v>
      </c>
      <c r="Z15" s="14">
        <v>46081</v>
      </c>
      <c r="AA15" s="16" t="s">
        <v>181</v>
      </c>
    </row>
    <row r="16" spans="1:27" x14ac:dyDescent="0.15">
      <c r="B16" s="11" t="s">
        <v>170</v>
      </c>
      <c r="C16" s="11" t="s">
        <v>375</v>
      </c>
      <c r="D16" s="2">
        <v>25.7</v>
      </c>
      <c r="E16" s="12" t="s">
        <v>134</v>
      </c>
      <c r="F16" s="15">
        <v>5.1285635794498345E-2</v>
      </c>
      <c r="G16" s="15">
        <f>F16 - Portfolio_Mgmt!$C$10</f>
        <v>-6.6114364205501652E-2</v>
      </c>
      <c r="H16" s="15">
        <f>F16 - Portfolio_Mgmt!$C$11</f>
        <v>1.6785635794498342E-2</v>
      </c>
      <c r="I16" s="15">
        <v>0</v>
      </c>
      <c r="J16" s="2">
        <v>14.23335730104111</v>
      </c>
      <c r="K16" s="2">
        <v>25.883205163858914</v>
      </c>
      <c r="L16" s="2">
        <v>24.272591262279043</v>
      </c>
      <c r="M16" s="2">
        <v>17.601632793838561</v>
      </c>
      <c r="N16" s="2">
        <v>21.591936244412981</v>
      </c>
      <c r="O16" s="4">
        <v>9.4396811989593807E-2</v>
      </c>
      <c r="P16" s="4">
        <v>4.9027237354085602E-2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0.46547675236374525</v>
      </c>
      <c r="X16" s="13" t="s">
        <v>376</v>
      </c>
      <c r="Y16" s="11" t="s">
        <v>361</v>
      </c>
      <c r="Z16" s="14">
        <v>46081</v>
      </c>
      <c r="AA16" s="16" t="s">
        <v>181</v>
      </c>
    </row>
    <row r="17" spans="2:26" x14ac:dyDescent="0.15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 x14ac:dyDescent="0.15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 x14ac:dyDescent="0.15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 x14ac:dyDescent="0.15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 x14ac:dyDescent="0.15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 x14ac:dyDescent="0.15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 x14ac:dyDescent="0.15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 x14ac:dyDescent="0.15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 x14ac:dyDescent="0.15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 x14ac:dyDescent="0.15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 x14ac:dyDescent="0.15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 x14ac:dyDescent="0.15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 x14ac:dyDescent="0.15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 x14ac:dyDescent="0.15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 x14ac:dyDescent="0.15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 x14ac:dyDescent="0.15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 x14ac:dyDescent="0.15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 x14ac:dyDescent="0.15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 x14ac:dyDescent="0.15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 x14ac:dyDescent="0.15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 x14ac:dyDescent="0.15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 x14ac:dyDescent="0.15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 x14ac:dyDescent="0.15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 x14ac:dyDescent="0.15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 x14ac:dyDescent="0.15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 x14ac:dyDescent="0.15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 x14ac:dyDescent="0.15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 x14ac:dyDescent="0.15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 x14ac:dyDescent="0.15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 x14ac:dyDescent="0.15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 x14ac:dyDescent="0.15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 x14ac:dyDescent="0.15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 x14ac:dyDescent="0.15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 x14ac:dyDescent="0.15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 x14ac:dyDescent="0.15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 x14ac:dyDescent="0.15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 x14ac:dyDescent="0.15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 x14ac:dyDescent="0.15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 x14ac:dyDescent="0.15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 x14ac:dyDescent="0.15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 x14ac:dyDescent="0.15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 x14ac:dyDescent="0.15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 x14ac:dyDescent="0.15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 x14ac:dyDescent="0.15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 x14ac:dyDescent="0.15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 x14ac:dyDescent="0.15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 x14ac:dyDescent="0.15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 x14ac:dyDescent="0.15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 x14ac:dyDescent="0.15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 x14ac:dyDescent="0.15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 x14ac:dyDescent="0.15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 x14ac:dyDescent="0.15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 x14ac:dyDescent="0.15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 x14ac:dyDescent="0.15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 x14ac:dyDescent="0.15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 x14ac:dyDescent="0.15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 x14ac:dyDescent="0.15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 x14ac:dyDescent="0.15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 x14ac:dyDescent="0.15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 x14ac:dyDescent="0.15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 x14ac:dyDescent="0.15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 x14ac:dyDescent="0.15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 x14ac:dyDescent="0.15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 x14ac:dyDescent="0.15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 x14ac:dyDescent="0.15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 x14ac:dyDescent="0.15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 x14ac:dyDescent="0.15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 x14ac:dyDescent="0.15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 x14ac:dyDescent="0.15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 x14ac:dyDescent="0.15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 x14ac:dyDescent="0.15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 x14ac:dyDescent="0.15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 x14ac:dyDescent="0.15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 x14ac:dyDescent="0.15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 x14ac:dyDescent="0.15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 x14ac:dyDescent="0.15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 x14ac:dyDescent="0.15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 x14ac:dyDescent="0.15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 x14ac:dyDescent="0.15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 x14ac:dyDescent="0.15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 x14ac:dyDescent="0.15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 x14ac:dyDescent="0.15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 x14ac:dyDescent="0.15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 x14ac:dyDescent="0.15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 x14ac:dyDescent="0.15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 x14ac:dyDescent="0.15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 x14ac:dyDescent="0.15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 x14ac:dyDescent="0.15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 x14ac:dyDescent="0.15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 x14ac:dyDescent="0.15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 x14ac:dyDescent="0.15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 x14ac:dyDescent="0.15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 x14ac:dyDescent="0.15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 x14ac:dyDescent="0.15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 x14ac:dyDescent="0.15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 x14ac:dyDescent="0.15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 x14ac:dyDescent="0.15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 x14ac:dyDescent="0.15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 x14ac:dyDescent="0.15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 x14ac:dyDescent="0.15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 x14ac:dyDescent="0.15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 x14ac:dyDescent="0.15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 x14ac:dyDescent="0.15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 x14ac:dyDescent="0.15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 x14ac:dyDescent="0.15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 x14ac:dyDescent="0.15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 x14ac:dyDescent="0.15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 x14ac:dyDescent="0.15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 x14ac:dyDescent="0.15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 x14ac:dyDescent="0.15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 x14ac:dyDescent="0.15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 x14ac:dyDescent="0.15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 x14ac:dyDescent="0.15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 x14ac:dyDescent="0.15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 x14ac:dyDescent="0.15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 x14ac:dyDescent="0.15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 x14ac:dyDescent="0.15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 x14ac:dyDescent="0.15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 x14ac:dyDescent="0.15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 x14ac:dyDescent="0.15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 x14ac:dyDescent="0.15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 x14ac:dyDescent="0.15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 x14ac:dyDescent="0.15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 x14ac:dyDescent="0.15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 x14ac:dyDescent="0.15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 x14ac:dyDescent="0.15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 x14ac:dyDescent="0.15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 x14ac:dyDescent="0.15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 x14ac:dyDescent="0.15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 x14ac:dyDescent="0.15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 x14ac:dyDescent="0.15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 x14ac:dyDescent="0.15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 x14ac:dyDescent="0.15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 x14ac:dyDescent="0.15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 x14ac:dyDescent="0.15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 x14ac:dyDescent="0.15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 x14ac:dyDescent="0.15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 x14ac:dyDescent="0.15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 x14ac:dyDescent="0.15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 x14ac:dyDescent="0.15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 x14ac:dyDescent="0.15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 x14ac:dyDescent="0.15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 x14ac:dyDescent="0.15">
      <c r="X159" s="17"/>
    </row>
    <row r="160" spans="2:26" x14ac:dyDescent="0.15">
      <c r="X160" s="17"/>
    </row>
    <row r="161" spans="24:24" x14ac:dyDescent="0.15">
      <c r="X161" s="17"/>
    </row>
    <row r="162" spans="24:24" x14ac:dyDescent="0.15">
      <c r="X162" s="17"/>
    </row>
    <row r="163" spans="24:24" x14ac:dyDescent="0.15">
      <c r="X163" s="17"/>
    </row>
    <row r="164" spans="24:24" x14ac:dyDescent="0.15">
      <c r="X164" s="17"/>
    </row>
    <row r="165" spans="24:24" x14ac:dyDescent="0.15">
      <c r="X165" s="17"/>
    </row>
    <row r="166" spans="24:24" x14ac:dyDescent="0.15">
      <c r="X166" s="17"/>
    </row>
    <row r="167" spans="24:24" x14ac:dyDescent="0.15">
      <c r="X167" s="17"/>
    </row>
    <row r="168" spans="24:24" x14ac:dyDescent="0.15">
      <c r="X168" s="17"/>
    </row>
    <row r="169" spans="24:24" x14ac:dyDescent="0.15">
      <c r="X169" s="17"/>
    </row>
    <row r="170" spans="24:24" x14ac:dyDescent="0.15">
      <c r="X170" s="17"/>
    </row>
    <row r="171" spans="24:24" x14ac:dyDescent="0.15">
      <c r="X171" s="17"/>
    </row>
    <row r="172" spans="24:24" x14ac:dyDescent="0.15">
      <c r="X172" s="17"/>
    </row>
    <row r="173" spans="24:24" x14ac:dyDescent="0.15">
      <c r="X173" s="17"/>
    </row>
    <row r="174" spans="24:24" x14ac:dyDescent="0.15">
      <c r="X174" s="17"/>
    </row>
    <row r="175" spans="24:24" x14ac:dyDescent="0.15">
      <c r="X175" s="17"/>
    </row>
    <row r="176" spans="24:24" x14ac:dyDescent="0.15">
      <c r="X176" s="17"/>
    </row>
    <row r="177" spans="24:24" x14ac:dyDescent="0.15">
      <c r="X177" s="17"/>
    </row>
    <row r="178" spans="24:24" x14ac:dyDescent="0.15">
      <c r="X178" s="17"/>
    </row>
    <row r="179" spans="24:24" x14ac:dyDescent="0.15">
      <c r="X179" s="17"/>
    </row>
    <row r="180" spans="24:24" x14ac:dyDescent="0.15">
      <c r="X180" s="17"/>
    </row>
    <row r="181" spans="24:24" x14ac:dyDescent="0.15">
      <c r="X181" s="17"/>
    </row>
    <row r="182" spans="24:24" x14ac:dyDescent="0.15">
      <c r="X182" s="17"/>
    </row>
    <row r="183" spans="24:24" x14ac:dyDescent="0.15">
      <c r="X183" s="17"/>
    </row>
    <row r="184" spans="24:24" x14ac:dyDescent="0.15">
      <c r="X184" s="17"/>
    </row>
    <row r="185" spans="24:24" x14ac:dyDescent="0.15">
      <c r="X185" s="17"/>
    </row>
    <row r="186" spans="24:24" x14ac:dyDescent="0.15">
      <c r="X186" s="17"/>
    </row>
    <row r="187" spans="24:24" x14ac:dyDescent="0.15">
      <c r="X187" s="17"/>
    </row>
    <row r="188" spans="24:24" x14ac:dyDescent="0.15">
      <c r="X188" s="17"/>
    </row>
    <row r="189" spans="24:24" x14ac:dyDescent="0.15">
      <c r="X189" s="17"/>
    </row>
    <row r="190" spans="24:24" x14ac:dyDescent="0.15">
      <c r="X190" s="17"/>
    </row>
    <row r="191" spans="24:24" x14ac:dyDescent="0.15">
      <c r="X191" s="17"/>
    </row>
    <row r="192" spans="24:24" x14ac:dyDescent="0.15">
      <c r="X192" s="17"/>
    </row>
    <row r="193" spans="24:24" x14ac:dyDescent="0.15">
      <c r="X193" s="17"/>
    </row>
    <row r="194" spans="24:24" x14ac:dyDescent="0.15">
      <c r="X194" s="17"/>
    </row>
    <row r="195" spans="24:24" x14ac:dyDescent="0.15">
      <c r="X195" s="17"/>
    </row>
    <row r="196" spans="24:24" x14ac:dyDescent="0.15">
      <c r="X196" s="17"/>
    </row>
    <row r="197" spans="24:24" x14ac:dyDescent="0.15">
      <c r="X197" s="17"/>
    </row>
    <row r="198" spans="24:24" x14ac:dyDescent="0.15">
      <c r="X198" s="17"/>
    </row>
    <row r="199" spans="24:24" x14ac:dyDescent="0.15">
      <c r="X199" s="17"/>
    </row>
    <row r="200" spans="24:24" x14ac:dyDescent="0.15">
      <c r="X200" s="17"/>
    </row>
    <row r="201" spans="24:24" x14ac:dyDescent="0.15">
      <c r="X201" s="17"/>
    </row>
    <row r="202" spans="24:24" x14ac:dyDescent="0.15">
      <c r="X202" s="17"/>
    </row>
    <row r="203" spans="24:24" x14ac:dyDescent="0.15">
      <c r="X203" s="17"/>
    </row>
    <row r="204" spans="24:24" x14ac:dyDescent="0.15">
      <c r="X204" s="17"/>
    </row>
    <row r="205" spans="24:24" x14ac:dyDescent="0.15">
      <c r="X205" s="17"/>
    </row>
    <row r="206" spans="24:24" x14ac:dyDescent="0.15">
      <c r="X206" s="17"/>
    </row>
    <row r="207" spans="24:24" x14ac:dyDescent="0.15">
      <c r="X207" s="17"/>
    </row>
    <row r="208" spans="24:24" x14ac:dyDescent="0.15">
      <c r="X208" s="17"/>
    </row>
    <row r="209" spans="24:24" x14ac:dyDescent="0.15">
      <c r="X209" s="17"/>
    </row>
    <row r="210" spans="24:24" x14ac:dyDescent="0.15">
      <c r="X210" s="17"/>
    </row>
    <row r="211" spans="24:24" x14ac:dyDescent="0.15">
      <c r="X211" s="17"/>
    </row>
    <row r="212" spans="24:24" x14ac:dyDescent="0.15">
      <c r="X212" s="17"/>
    </row>
    <row r="213" spans="24:24" x14ac:dyDescent="0.15">
      <c r="X213" s="17"/>
    </row>
    <row r="214" spans="24:24" x14ac:dyDescent="0.15">
      <c r="X214" s="17"/>
    </row>
    <row r="215" spans="24:24" x14ac:dyDescent="0.15">
      <c r="X215" s="17"/>
    </row>
    <row r="216" spans="24:24" x14ac:dyDescent="0.15">
      <c r="X216" s="17"/>
    </row>
    <row r="217" spans="24:24" x14ac:dyDescent="0.15">
      <c r="X217" s="17"/>
    </row>
    <row r="218" spans="24:24" x14ac:dyDescent="0.15">
      <c r="X218" s="17"/>
    </row>
    <row r="219" spans="24:24" x14ac:dyDescent="0.15">
      <c r="X219" s="17"/>
    </row>
    <row r="220" spans="24:24" x14ac:dyDescent="0.15">
      <c r="X220" s="17"/>
    </row>
    <row r="221" spans="24:24" x14ac:dyDescent="0.15">
      <c r="X221" s="17"/>
    </row>
    <row r="222" spans="24:24" x14ac:dyDescent="0.15">
      <c r="X222" s="17"/>
    </row>
    <row r="223" spans="24:24" x14ac:dyDescent="0.15">
      <c r="X223" s="17"/>
    </row>
    <row r="224" spans="24:24" x14ac:dyDescent="0.15">
      <c r="X224" s="17"/>
    </row>
    <row r="225" spans="24:24" x14ac:dyDescent="0.15">
      <c r="X225" s="17"/>
    </row>
    <row r="226" spans="24:24" x14ac:dyDescent="0.15">
      <c r="X226" s="17"/>
    </row>
    <row r="227" spans="24:24" x14ac:dyDescent="0.15">
      <c r="X227" s="17"/>
    </row>
    <row r="228" spans="24:24" x14ac:dyDescent="0.15">
      <c r="X228" s="17"/>
    </row>
    <row r="229" spans="24:24" x14ac:dyDescent="0.15">
      <c r="X229" s="17"/>
    </row>
    <row r="230" spans="24:24" x14ac:dyDescent="0.15">
      <c r="X230" s="17"/>
    </row>
    <row r="231" spans="24:24" x14ac:dyDescent="0.15">
      <c r="X231" s="17"/>
    </row>
    <row r="232" spans="24:24" x14ac:dyDescent="0.15">
      <c r="X232" s="17"/>
    </row>
    <row r="233" spans="24:24" x14ac:dyDescent="0.15">
      <c r="X233" s="17"/>
    </row>
    <row r="234" spans="24:24" x14ac:dyDescent="0.15">
      <c r="X234" s="17"/>
    </row>
    <row r="235" spans="24:24" x14ac:dyDescent="0.15">
      <c r="X235" s="17"/>
    </row>
    <row r="236" spans="24:24" x14ac:dyDescent="0.15">
      <c r="X236" s="17"/>
    </row>
    <row r="237" spans="24:24" x14ac:dyDescent="0.15">
      <c r="X237" s="17"/>
    </row>
    <row r="238" spans="24:24" x14ac:dyDescent="0.15">
      <c r="X238" s="17"/>
    </row>
    <row r="239" spans="24:24" x14ac:dyDescent="0.15">
      <c r="X239" s="17"/>
    </row>
    <row r="240" spans="24:24" x14ac:dyDescent="0.15">
      <c r="X240" s="17"/>
    </row>
    <row r="241" spans="24:24" x14ac:dyDescent="0.15">
      <c r="X241" s="17"/>
    </row>
    <row r="242" spans="24:24" x14ac:dyDescent="0.15">
      <c r="X242" s="17"/>
    </row>
    <row r="243" spans="24:24" x14ac:dyDescent="0.15">
      <c r="X243" s="17"/>
    </row>
    <row r="244" spans="24:24" x14ac:dyDescent="0.15">
      <c r="X244" s="17"/>
    </row>
    <row r="245" spans="24:24" x14ac:dyDescent="0.15">
      <c r="X245" s="17"/>
    </row>
    <row r="246" spans="24:24" x14ac:dyDescent="0.15">
      <c r="X246" s="17"/>
    </row>
    <row r="247" spans="24:24" x14ac:dyDescent="0.15">
      <c r="X247" s="17"/>
    </row>
    <row r="248" spans="24:24" x14ac:dyDescent="0.15">
      <c r="X248" s="17"/>
    </row>
    <row r="249" spans="24:24" x14ac:dyDescent="0.15">
      <c r="X249" s="17"/>
    </row>
    <row r="250" spans="24:24" x14ac:dyDescent="0.15">
      <c r="X250" s="17"/>
    </row>
    <row r="251" spans="24:24" x14ac:dyDescent="0.15">
      <c r="X251" s="17"/>
    </row>
    <row r="252" spans="24:24" x14ac:dyDescent="0.15">
      <c r="X252" s="17"/>
    </row>
    <row r="253" spans="24:24" x14ac:dyDescent="0.15">
      <c r="X253" s="17"/>
    </row>
    <row r="254" spans="24:24" x14ac:dyDescent="0.15">
      <c r="X254" s="17"/>
    </row>
    <row r="255" spans="24:24" x14ac:dyDescent="0.15">
      <c r="X255" s="17"/>
    </row>
    <row r="256" spans="24:24" x14ac:dyDescent="0.15">
      <c r="X256" s="17"/>
    </row>
    <row r="257" spans="24:24" x14ac:dyDescent="0.15">
      <c r="X257" s="17"/>
    </row>
    <row r="258" spans="24:24" x14ac:dyDescent="0.15">
      <c r="X258" s="17"/>
    </row>
    <row r="259" spans="24:24" x14ac:dyDescent="0.15">
      <c r="X259" s="17"/>
    </row>
    <row r="260" spans="24:24" x14ac:dyDescent="0.15">
      <c r="X260" s="17"/>
    </row>
    <row r="261" spans="24:24" x14ac:dyDescent="0.15">
      <c r="X261" s="17"/>
    </row>
    <row r="262" spans="24:24" x14ac:dyDescent="0.15">
      <c r="X262" s="17"/>
    </row>
    <row r="263" spans="24:24" x14ac:dyDescent="0.15">
      <c r="X263" s="17"/>
    </row>
    <row r="264" spans="24:24" x14ac:dyDescent="0.15">
      <c r="X264" s="17"/>
    </row>
    <row r="265" spans="24:24" x14ac:dyDescent="0.15">
      <c r="X265" s="17"/>
    </row>
    <row r="266" spans="24:24" x14ac:dyDescent="0.15">
      <c r="X266" s="17"/>
    </row>
    <row r="267" spans="24:24" x14ac:dyDescent="0.15">
      <c r="X267" s="17"/>
    </row>
    <row r="268" spans="24:24" x14ac:dyDescent="0.15">
      <c r="X268" s="17"/>
    </row>
    <row r="269" spans="24:24" x14ac:dyDescent="0.15">
      <c r="X269" s="17"/>
    </row>
    <row r="270" spans="24:24" x14ac:dyDescent="0.15">
      <c r="X270" s="17"/>
    </row>
    <row r="271" spans="24:24" x14ac:dyDescent="0.15">
      <c r="X271" s="17"/>
    </row>
    <row r="272" spans="24:24" x14ac:dyDescent="0.15">
      <c r="X272" s="17"/>
    </row>
    <row r="273" spans="24:24" x14ac:dyDescent="0.15">
      <c r="X273" s="17"/>
    </row>
    <row r="274" spans="24:24" x14ac:dyDescent="0.15">
      <c r="X274" s="17"/>
    </row>
    <row r="275" spans="24:24" x14ac:dyDescent="0.15">
      <c r="X275" s="17"/>
    </row>
    <row r="276" spans="24:24" x14ac:dyDescent="0.15">
      <c r="X276" s="17"/>
    </row>
    <row r="277" spans="24:24" x14ac:dyDescent="0.15">
      <c r="X277" s="17"/>
    </row>
    <row r="278" spans="24:24" x14ac:dyDescent="0.15">
      <c r="X278" s="17"/>
    </row>
    <row r="279" spans="24:24" x14ac:dyDescent="0.15">
      <c r="X279" s="17"/>
    </row>
    <row r="280" spans="24:24" x14ac:dyDescent="0.15">
      <c r="X280" s="17"/>
    </row>
    <row r="281" spans="24:24" x14ac:dyDescent="0.15">
      <c r="X281" s="17"/>
    </row>
    <row r="282" spans="24:24" x14ac:dyDescent="0.15">
      <c r="X282" s="17"/>
    </row>
    <row r="283" spans="24:24" x14ac:dyDescent="0.15">
      <c r="X283" s="17"/>
    </row>
    <row r="284" spans="24:24" x14ac:dyDescent="0.15">
      <c r="X284" s="17"/>
    </row>
    <row r="285" spans="24:24" x14ac:dyDescent="0.15">
      <c r="X285" s="17"/>
    </row>
    <row r="286" spans="24:24" x14ac:dyDescent="0.15">
      <c r="X286" s="17"/>
    </row>
    <row r="287" spans="24:24" x14ac:dyDescent="0.15">
      <c r="X287" s="17"/>
    </row>
    <row r="288" spans="24:24" x14ac:dyDescent="0.15">
      <c r="X288" s="17"/>
    </row>
    <row r="289" spans="24:24" x14ac:dyDescent="0.15">
      <c r="X289" s="17"/>
    </row>
    <row r="290" spans="24:24" x14ac:dyDescent="0.15">
      <c r="X290" s="17"/>
    </row>
    <row r="291" spans="24:24" x14ac:dyDescent="0.15">
      <c r="X291" s="17"/>
    </row>
    <row r="292" spans="24:24" x14ac:dyDescent="0.15">
      <c r="X292" s="17"/>
    </row>
    <row r="293" spans="24:24" x14ac:dyDescent="0.15">
      <c r="X293" s="17"/>
    </row>
    <row r="294" spans="24:24" x14ac:dyDescent="0.15">
      <c r="X294" s="17"/>
    </row>
    <row r="295" spans="24:24" x14ac:dyDescent="0.15">
      <c r="X295" s="17"/>
    </row>
    <row r="296" spans="24:24" x14ac:dyDescent="0.15">
      <c r="X296" s="17"/>
    </row>
    <row r="297" spans="24:24" x14ac:dyDescent="0.15">
      <c r="X297" s="17"/>
    </row>
    <row r="298" spans="24:24" x14ac:dyDescent="0.15">
      <c r="X298" s="17"/>
    </row>
    <row r="299" spans="24:24" x14ac:dyDescent="0.15">
      <c r="X299" s="17"/>
    </row>
    <row r="300" spans="24:24" x14ac:dyDescent="0.15">
      <c r="X300" s="17"/>
    </row>
    <row r="301" spans="24:24" x14ac:dyDescent="0.15">
      <c r="X301" s="17"/>
    </row>
    <row r="302" spans="24:24" x14ac:dyDescent="0.15">
      <c r="X302" s="17"/>
    </row>
    <row r="303" spans="24:24" x14ac:dyDescent="0.15">
      <c r="X303" s="17"/>
    </row>
    <row r="304" spans="24:24" x14ac:dyDescent="0.15">
      <c r="X304" s="17"/>
    </row>
    <row r="305" spans="24:24" x14ac:dyDescent="0.15">
      <c r="X305" s="17"/>
    </row>
    <row r="306" spans="24:24" x14ac:dyDescent="0.15">
      <c r="X306" s="17"/>
    </row>
    <row r="307" spans="24:24" x14ac:dyDescent="0.15">
      <c r="X307" s="17"/>
    </row>
    <row r="308" spans="24:24" x14ac:dyDescent="0.15">
      <c r="X308" s="17"/>
    </row>
    <row r="309" spans="24:24" x14ac:dyDescent="0.15">
      <c r="X309" s="17"/>
    </row>
    <row r="310" spans="24:24" x14ac:dyDescent="0.15">
      <c r="X310" s="17"/>
    </row>
    <row r="311" spans="24:24" x14ac:dyDescent="0.15">
      <c r="X311" s="17"/>
    </row>
    <row r="312" spans="24:24" x14ac:dyDescent="0.15">
      <c r="X312" s="17"/>
    </row>
    <row r="313" spans="24:24" x14ac:dyDescent="0.15">
      <c r="X313" s="17"/>
    </row>
    <row r="314" spans="24:24" x14ac:dyDescent="0.15">
      <c r="X314" s="17"/>
    </row>
    <row r="315" spans="24:24" x14ac:dyDescent="0.15">
      <c r="X315" s="17"/>
    </row>
    <row r="316" spans="24:24" x14ac:dyDescent="0.15">
      <c r="X316" s="17"/>
    </row>
    <row r="317" spans="24:24" x14ac:dyDescent="0.15">
      <c r="X317" s="17"/>
    </row>
    <row r="318" spans="24:24" x14ac:dyDescent="0.15">
      <c r="X318" s="17"/>
    </row>
    <row r="319" spans="24:24" x14ac:dyDescent="0.15">
      <c r="X319" s="17"/>
    </row>
    <row r="320" spans="24:24" x14ac:dyDescent="0.15">
      <c r="X320" s="17"/>
    </row>
    <row r="321" spans="24:24" x14ac:dyDescent="0.15">
      <c r="X321" s="17"/>
    </row>
    <row r="322" spans="24:24" x14ac:dyDescent="0.15">
      <c r="X322" s="17"/>
    </row>
    <row r="323" spans="24:24" x14ac:dyDescent="0.15">
      <c r="X323" s="17"/>
    </row>
    <row r="324" spans="24:24" x14ac:dyDescent="0.15">
      <c r="X324" s="17"/>
    </row>
    <row r="325" spans="24:24" x14ac:dyDescent="0.15">
      <c r="X325" s="17"/>
    </row>
    <row r="326" spans="24:24" x14ac:dyDescent="0.15">
      <c r="X326" s="17"/>
    </row>
    <row r="327" spans="24:24" x14ac:dyDescent="0.15">
      <c r="X327" s="17"/>
    </row>
    <row r="328" spans="24:24" x14ac:dyDescent="0.15">
      <c r="X328" s="17"/>
    </row>
    <row r="329" spans="24:24" x14ac:dyDescent="0.15">
      <c r="X329" s="17"/>
    </row>
    <row r="330" spans="24:24" x14ac:dyDescent="0.15">
      <c r="X330" s="17"/>
    </row>
    <row r="331" spans="24:24" x14ac:dyDescent="0.15">
      <c r="X331" s="17"/>
    </row>
    <row r="332" spans="24:24" x14ac:dyDescent="0.15">
      <c r="X332" s="17"/>
    </row>
    <row r="333" spans="24:24" x14ac:dyDescent="0.15">
      <c r="X333" s="17"/>
    </row>
    <row r="334" spans="24:24" x14ac:dyDescent="0.15">
      <c r="X334" s="17"/>
    </row>
    <row r="335" spans="24:24" x14ac:dyDescent="0.15">
      <c r="X335" s="17"/>
    </row>
    <row r="336" spans="24:24" x14ac:dyDescent="0.15">
      <c r="X336" s="17"/>
    </row>
    <row r="337" spans="24:24" x14ac:dyDescent="0.15">
      <c r="X337" s="17"/>
    </row>
    <row r="338" spans="24:24" x14ac:dyDescent="0.15">
      <c r="X338" s="17"/>
    </row>
    <row r="339" spans="24:24" x14ac:dyDescent="0.15">
      <c r="X339" s="17"/>
    </row>
    <row r="340" spans="24:24" x14ac:dyDescent="0.15">
      <c r="X340" s="17"/>
    </row>
    <row r="341" spans="24:24" x14ac:dyDescent="0.15">
      <c r="X341" s="17"/>
    </row>
    <row r="342" spans="24:24" x14ac:dyDescent="0.15">
      <c r="X342" s="17"/>
    </row>
    <row r="343" spans="24:24" x14ac:dyDescent="0.15">
      <c r="X343" s="17"/>
    </row>
    <row r="344" spans="24:24" x14ac:dyDescent="0.15">
      <c r="X344" s="17"/>
    </row>
    <row r="345" spans="24:24" x14ac:dyDescent="0.15">
      <c r="X345" s="17"/>
    </row>
    <row r="346" spans="24:24" x14ac:dyDescent="0.15">
      <c r="X346" s="17"/>
    </row>
    <row r="347" spans="24:24" x14ac:dyDescent="0.15">
      <c r="X347" s="17"/>
    </row>
    <row r="348" spans="24:24" x14ac:dyDescent="0.15">
      <c r="X348" s="17"/>
    </row>
    <row r="349" spans="24:24" x14ac:dyDescent="0.15">
      <c r="X349" s="17"/>
    </row>
    <row r="350" spans="24:24" x14ac:dyDescent="0.15">
      <c r="X350" s="17"/>
    </row>
    <row r="351" spans="24:24" x14ac:dyDescent="0.15">
      <c r="X351" s="17"/>
    </row>
    <row r="352" spans="24:24" x14ac:dyDescent="0.15">
      <c r="X352" s="17"/>
    </row>
    <row r="353" spans="24:24" x14ac:dyDescent="0.15">
      <c r="X353" s="17"/>
    </row>
    <row r="354" spans="24:24" x14ac:dyDescent="0.15">
      <c r="X354" s="17"/>
    </row>
    <row r="355" spans="24:24" x14ac:dyDescent="0.15">
      <c r="X355" s="17"/>
    </row>
    <row r="356" spans="24:24" x14ac:dyDescent="0.15">
      <c r="X356" s="17"/>
    </row>
    <row r="357" spans="24:24" x14ac:dyDescent="0.15">
      <c r="X357" s="17"/>
    </row>
    <row r="358" spans="24:24" x14ac:dyDescent="0.15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232</v>
      </c>
    </row>
    <row r="2" spans="1:5" x14ac:dyDescent="0.15">
      <c r="A2" s="21" t="s">
        <v>233</v>
      </c>
      <c r="B2" s="21"/>
      <c r="C2" s="21"/>
      <c r="D2" s="21"/>
      <c r="E2" s="21"/>
    </row>
    <row r="4" spans="1:5" x14ac:dyDescent="0.15">
      <c r="B4" s="144" t="s">
        <v>234</v>
      </c>
      <c r="C4" s="143"/>
      <c r="D4" s="143"/>
      <c r="E4" s="143"/>
    </row>
    <row r="6" spans="1:5" x14ac:dyDescent="0.15">
      <c r="A6" s="20" t="s">
        <v>58</v>
      </c>
      <c r="B6" s="19" t="s">
        <v>235</v>
      </c>
      <c r="C6" s="47"/>
    </row>
    <row r="7" spans="1:5" x14ac:dyDescent="0.15">
      <c r="B7" s="144" t="s">
        <v>325</v>
      </c>
      <c r="C7" s="143"/>
      <c r="D7" s="143"/>
      <c r="E7" s="143"/>
    </row>
    <row r="9" spans="1:5" x14ac:dyDescent="0.15">
      <c r="B9" s="23" t="s">
        <v>236</v>
      </c>
    </row>
    <row r="10" spans="1:5" x14ac:dyDescent="0.15">
      <c r="B10" s="1" t="s">
        <v>237</v>
      </c>
      <c r="C10" s="105">
        <f>benchmark</f>
        <v>0.1174</v>
      </c>
    </row>
    <row r="11" spans="1:5" x14ac:dyDescent="0.15">
      <c r="B11" s="1" t="s">
        <v>238</v>
      </c>
      <c r="C11" s="105">
        <f>Cash_Yield</f>
        <v>3.4500000000000003E-2</v>
      </c>
    </row>
    <row r="12" spans="1:5" x14ac:dyDescent="0.15">
      <c r="C12" s="4"/>
    </row>
    <row r="13" spans="1:5" x14ac:dyDescent="0.15">
      <c r="B13" s="23" t="s">
        <v>239</v>
      </c>
      <c r="C13" s="4"/>
    </row>
    <row r="14" spans="1:5" x14ac:dyDescent="0.15">
      <c r="B14" s="1" t="s">
        <v>240</v>
      </c>
      <c r="C14" s="4" t="s">
        <v>243</v>
      </c>
    </row>
    <row r="15" spans="1:5" x14ac:dyDescent="0.15">
      <c r="B15" s="1" t="s">
        <v>241</v>
      </c>
      <c r="C15" s="24" t="s">
        <v>244</v>
      </c>
    </row>
    <row r="16" spans="1:5" x14ac:dyDescent="0.15">
      <c r="B16" s="1" t="s">
        <v>242</v>
      </c>
      <c r="C16" s="24" t="s">
        <v>245</v>
      </c>
    </row>
    <row r="18" spans="1:5" x14ac:dyDescent="0.15">
      <c r="B18" s="23" t="s">
        <v>246</v>
      </c>
    </row>
    <row r="19" spans="1:5" x14ac:dyDescent="0.15">
      <c r="B19" s="24" t="s">
        <v>247</v>
      </c>
    </row>
    <row r="20" spans="1:5" x14ac:dyDescent="0.15">
      <c r="B20" s="24" t="s">
        <v>248</v>
      </c>
    </row>
    <row r="21" spans="1:5" x14ac:dyDescent="0.15">
      <c r="B21" s="24" t="s">
        <v>249</v>
      </c>
    </row>
    <row r="23" spans="1:5" x14ac:dyDescent="0.15">
      <c r="A23" s="25" t="s">
        <v>59</v>
      </c>
      <c r="B23" s="19" t="s">
        <v>251</v>
      </c>
      <c r="C23" s="47"/>
    </row>
    <row r="24" spans="1:5" x14ac:dyDescent="0.15">
      <c r="A24" s="18"/>
      <c r="B24" s="144" t="s">
        <v>250</v>
      </c>
      <c r="C24" s="143"/>
      <c r="D24" s="143"/>
      <c r="E24" s="143"/>
    </row>
    <row r="25" spans="1:5" x14ac:dyDescent="0.15">
      <c r="A25" s="18"/>
    </row>
    <row r="26" spans="1:5" x14ac:dyDescent="0.15">
      <c r="A26" s="18"/>
      <c r="B26" s="43" t="s">
        <v>252</v>
      </c>
      <c r="C26" s="43" t="s">
        <v>253</v>
      </c>
    </row>
    <row r="27" spans="1:5" x14ac:dyDescent="0.15">
      <c r="B27" s="26" t="s">
        <v>254</v>
      </c>
      <c r="C27" s="106">
        <f>Portfolio_Mgmt!C30</f>
        <v>6</v>
      </c>
    </row>
    <row r="28" spans="1:5" x14ac:dyDescent="0.15">
      <c r="B28" s="26" t="s">
        <v>255</v>
      </c>
      <c r="C28" s="107">
        <f>Portfolio_Mgmt!C31</f>
        <v>0.3</v>
      </c>
    </row>
    <row r="30" spans="1:5" x14ac:dyDescent="0.15">
      <c r="A30" s="20" t="s">
        <v>60</v>
      </c>
      <c r="B30" s="92" t="s">
        <v>256</v>
      </c>
      <c r="C30" s="47"/>
    </row>
    <row r="31" spans="1:5" x14ac:dyDescent="0.1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3" thickBot="1" x14ac:dyDescent="0.2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 x14ac:dyDescent="0.1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3" thickBot="1" x14ac:dyDescent="0.2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 x14ac:dyDescent="0.15">
      <c r="B35" s="95" t="s">
        <v>263</v>
      </c>
      <c r="C35" s="109"/>
      <c r="D35" s="96" t="s">
        <v>266</v>
      </c>
      <c r="E35" s="97"/>
    </row>
    <row r="36" spans="1:5" ht="13" thickBot="1" x14ac:dyDescent="0.2">
      <c r="B36" s="98" t="s">
        <v>264</v>
      </c>
      <c r="C36" s="99"/>
      <c r="D36" s="100" t="s">
        <v>267</v>
      </c>
      <c r="E36" s="101"/>
    </row>
    <row r="37" spans="1:5" x14ac:dyDescent="0.15">
      <c r="B37" s="102" t="s">
        <v>265</v>
      </c>
      <c r="C37" s="110"/>
      <c r="D37" s="94" t="s">
        <v>268</v>
      </c>
      <c r="E37" s="111"/>
    </row>
    <row r="38" spans="1:5" x14ac:dyDescent="0.15">
      <c r="C38" s="90"/>
    </row>
    <row r="39" spans="1:5" x14ac:dyDescent="0.15">
      <c r="B39" s="20" t="s">
        <v>269</v>
      </c>
    </row>
    <row r="40" spans="1:5" x14ac:dyDescent="0.15">
      <c r="B40" s="143" t="s">
        <v>270</v>
      </c>
      <c r="C40" s="143"/>
      <c r="D40" s="143"/>
      <c r="E40" s="143"/>
    </row>
    <row r="41" spans="1:5" x14ac:dyDescent="0.15">
      <c r="B41" s="144" t="s">
        <v>271</v>
      </c>
      <c r="C41" s="143"/>
      <c r="D41" s="143"/>
      <c r="E41" s="143"/>
    </row>
    <row r="42" spans="1:5" x14ac:dyDescent="0.15">
      <c r="B42" s="144" t="s">
        <v>272</v>
      </c>
      <c r="C42" s="143"/>
      <c r="D42" s="143"/>
      <c r="E42" s="143"/>
    </row>
    <row r="43" spans="1:5" x14ac:dyDescent="0.15">
      <c r="B43" s="144" t="s">
        <v>273</v>
      </c>
      <c r="C43" s="144"/>
      <c r="D43" s="144"/>
      <c r="E43" s="144"/>
    </row>
    <row r="44" spans="1:5" ht="34.25" customHeight="1" x14ac:dyDescent="0.15">
      <c r="B44" s="143" t="s">
        <v>324</v>
      </c>
      <c r="C44" s="143"/>
      <c r="D44" s="143"/>
      <c r="E44" s="143"/>
    </row>
    <row r="46" spans="1:5" x14ac:dyDescent="0.15">
      <c r="A46" s="21" t="s">
        <v>274</v>
      </c>
      <c r="B46" s="21"/>
      <c r="C46" s="21"/>
      <c r="D46" s="21"/>
      <c r="E46" s="21"/>
    </row>
    <row r="48" spans="1:5" x14ac:dyDescent="0.15">
      <c r="B48" s="143" t="s">
        <v>275</v>
      </c>
      <c r="C48" s="143"/>
      <c r="D48" s="143"/>
      <c r="E48" s="143"/>
    </row>
    <row r="50" spans="2:5" x14ac:dyDescent="0.15">
      <c r="B50" s="23" t="s">
        <v>276</v>
      </c>
    </row>
    <row r="52" spans="2:5" x14ac:dyDescent="0.15">
      <c r="B52" s="43" t="s">
        <v>277</v>
      </c>
      <c r="C52" s="43" t="s">
        <v>278</v>
      </c>
      <c r="D52" s="45"/>
      <c r="E52" s="45"/>
    </row>
    <row r="53" spans="2:5" x14ac:dyDescent="0.15">
      <c r="B53" s="26" t="s">
        <v>279</v>
      </c>
      <c r="C53" s="112">
        <f>Portfolio_Mgmt!C60</f>
        <v>0.45</v>
      </c>
      <c r="D53" s="46"/>
      <c r="E53" s="44"/>
    </row>
    <row r="54" spans="2:5" x14ac:dyDescent="0.15">
      <c r="B54" s="26" t="s">
        <v>280</v>
      </c>
      <c r="C54" s="112">
        <f>Portfolio_Mgmt!C61</f>
        <v>0.3</v>
      </c>
      <c r="D54" s="46"/>
      <c r="E54" s="44"/>
    </row>
    <row r="55" spans="2:5" x14ac:dyDescent="0.1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 x14ac:dyDescent="0.15">
      <c r="B57" s="23" t="s">
        <v>282</v>
      </c>
    </row>
    <row r="59" spans="2:5" x14ac:dyDescent="0.1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 x14ac:dyDescent="0.1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 x14ac:dyDescent="0.1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 x14ac:dyDescent="0.1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 x14ac:dyDescent="0.1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 x14ac:dyDescent="0.1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 x14ac:dyDescent="0.15">
      <c r="D65" s="27" t="s">
        <v>301</v>
      </c>
      <c r="E65" s="39">
        <f>SUM(E60:E64)</f>
        <v>4</v>
      </c>
    </row>
    <row r="66" spans="1:5" ht="13" thickBot="1" x14ac:dyDescent="0.2">
      <c r="D66" s="41" t="s">
        <v>302</v>
      </c>
      <c r="E66" s="42">
        <f>IF(E65&lt;=4,C53,IF(E65&gt;=8,C55,C54))</f>
        <v>0.45</v>
      </c>
    </row>
    <row r="67" spans="1:5" ht="13" thickTop="1" x14ac:dyDescent="0.15"/>
    <row r="68" spans="1:5" x14ac:dyDescent="0.15">
      <c r="B68" s="1" t="s">
        <v>303</v>
      </c>
    </row>
    <row r="69" spans="1:5" x14ac:dyDescent="0.15">
      <c r="B69" s="1" t="s">
        <v>304</v>
      </c>
    </row>
    <row r="70" spans="1:5" x14ac:dyDescent="0.15">
      <c r="B70" s="1" t="s">
        <v>305</v>
      </c>
    </row>
    <row r="72" spans="1:5" x14ac:dyDescent="0.15">
      <c r="A72" s="21" t="s">
        <v>306</v>
      </c>
      <c r="B72" s="21"/>
      <c r="C72" s="21"/>
      <c r="D72" s="21"/>
      <c r="E72" s="21"/>
    </row>
    <row r="74" spans="1:5" x14ac:dyDescent="0.15">
      <c r="B74" s="143" t="s">
        <v>307</v>
      </c>
      <c r="C74" s="143"/>
      <c r="D74" s="143"/>
      <c r="E74" s="143"/>
    </row>
    <row r="76" spans="1:5" x14ac:dyDescent="0.15">
      <c r="A76" s="28" t="s">
        <v>58</v>
      </c>
      <c r="B76" s="20" t="s">
        <v>309</v>
      </c>
    </row>
    <row r="77" spans="1:5" x14ac:dyDescent="0.15">
      <c r="B77" s="24" t="s">
        <v>308</v>
      </c>
    </row>
    <row r="79" spans="1:5" x14ac:dyDescent="0.15">
      <c r="A79" s="28" t="s">
        <v>205</v>
      </c>
      <c r="B79" s="20" t="s">
        <v>310</v>
      </c>
    </row>
    <row r="80" spans="1:5" x14ac:dyDescent="0.15">
      <c r="B80" s="1" t="str">
        <f>B19</f>
        <v>- 仅当ERB&gt;0且市场价格≤入场价格时具备配置资格</v>
      </c>
    </row>
    <row r="81" spans="1:5" x14ac:dyDescent="0.15">
      <c r="B81" s="104" t="s">
        <v>311</v>
      </c>
      <c r="C81" s="91" t="s">
        <v>321</v>
      </c>
    </row>
    <row r="82" spans="1:5" x14ac:dyDescent="0.15">
      <c r="B82" s="104" t="s">
        <v>312</v>
      </c>
      <c r="C82" s="91" t="s">
        <v>196</v>
      </c>
    </row>
    <row r="83" spans="1:5" x14ac:dyDescent="0.15">
      <c r="B83" s="103" t="str">
        <f>B20</f>
        <v xml:space="preserve">- 未入选标的获得正常配置额的50%	</v>
      </c>
    </row>
    <row r="85" spans="1:5" x14ac:dyDescent="0.15">
      <c r="B85" s="20" t="s">
        <v>313</v>
      </c>
    </row>
    <row r="86" spans="1:5" x14ac:dyDescent="0.15">
      <c r="B86" s="1" t="s">
        <v>323</v>
      </c>
    </row>
    <row r="87" spans="1:5" x14ac:dyDescent="0.15">
      <c r="B87" s="1" t="s">
        <v>314</v>
      </c>
    </row>
    <row r="88" spans="1:5" x14ac:dyDescent="0.15">
      <c r="B88" s="1" t="s">
        <v>315</v>
      </c>
    </row>
    <row r="90" spans="1:5" x14ac:dyDescent="0.15">
      <c r="A90" s="21" t="s">
        <v>319</v>
      </c>
      <c r="B90" s="21"/>
      <c r="C90" s="21"/>
      <c r="D90" s="21"/>
      <c r="E90" s="21"/>
    </row>
    <row r="92" spans="1:5" x14ac:dyDescent="0.15">
      <c r="B92" s="20" t="s">
        <v>316</v>
      </c>
    </row>
    <row r="93" spans="1:5" x14ac:dyDescent="0.15">
      <c r="B93" s="24" t="s">
        <v>317</v>
      </c>
    </row>
    <row r="94" spans="1:5" x14ac:dyDescent="0.15">
      <c r="B94" s="24" t="s">
        <v>318</v>
      </c>
    </row>
    <row r="95" spans="1:5" x14ac:dyDescent="0.1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baseColWidth="10" defaultColWidth="9" defaultRowHeight="14" x14ac:dyDescent="0.2"/>
  <cols>
    <col min="1" max="1" width="2.6640625" style="118" customWidth="1"/>
    <col min="2" max="2" width="24.6640625" style="120" customWidth="1"/>
    <col min="3" max="3" width="22.5" style="120" bestFit="1" customWidth="1"/>
    <col min="4" max="4" width="31.5" style="120" bestFit="1" customWidth="1"/>
    <col min="5" max="5" width="19.6640625" style="120" customWidth="1"/>
    <col min="6" max="16384" width="9" style="120"/>
  </cols>
  <sheetData>
    <row r="1" spans="1:4" x14ac:dyDescent="0.2">
      <c r="B1" s="119" t="s">
        <v>348</v>
      </c>
    </row>
    <row r="3" spans="1:4" x14ac:dyDescent="0.2">
      <c r="B3" s="120" t="s">
        <v>355</v>
      </c>
    </row>
    <row r="5" spans="1:4" x14ac:dyDescent="0.2">
      <c r="A5" s="121" t="s">
        <v>332</v>
      </c>
      <c r="B5" s="122" t="s">
        <v>11</v>
      </c>
    </row>
    <row r="6" spans="1:4" x14ac:dyDescent="0.2">
      <c r="B6" s="123" t="s">
        <v>211</v>
      </c>
      <c r="C6" s="123" t="s">
        <v>210</v>
      </c>
      <c r="D6" s="124"/>
    </row>
    <row r="7" spans="1:4" x14ac:dyDescent="0.2">
      <c r="B7" s="125" t="s">
        <v>213</v>
      </c>
      <c r="C7" s="126">
        <f>Portfolio_Mgmt!C36</f>
        <v>3</v>
      </c>
    </row>
    <row r="8" spans="1:4" x14ac:dyDescent="0.2">
      <c r="B8" s="127" t="s">
        <v>212</v>
      </c>
      <c r="C8" s="128">
        <v>0.6</v>
      </c>
      <c r="D8" s="120" t="s">
        <v>341</v>
      </c>
    </row>
    <row r="9" spans="1:4" x14ac:dyDescent="0.2">
      <c r="B9" s="127" t="s">
        <v>347</v>
      </c>
      <c r="C9" s="128">
        <f>1-C8</f>
        <v>0.4</v>
      </c>
    </row>
    <row r="10" spans="1:4" x14ac:dyDescent="0.2">
      <c r="B10" s="127" t="s">
        <v>345</v>
      </c>
      <c r="C10" s="141">
        <f>Portfolio_Mgmt!C38</f>
        <v>-0.65</v>
      </c>
    </row>
    <row r="12" spans="1:4" x14ac:dyDescent="0.2">
      <c r="B12" s="119" t="s">
        <v>216</v>
      </c>
    </row>
    <row r="13" spans="1:4" x14ac:dyDescent="0.2">
      <c r="B13" s="153" t="s">
        <v>342</v>
      </c>
      <c r="C13" s="153"/>
      <c r="D13" s="153"/>
    </row>
    <row r="14" spans="1:4" x14ac:dyDescent="0.2">
      <c r="B14" s="154" t="s">
        <v>343</v>
      </c>
      <c r="C14" s="155"/>
      <c r="D14" s="155"/>
    </row>
    <row r="16" spans="1:4" x14ac:dyDescent="0.2">
      <c r="A16" s="121" t="s">
        <v>205</v>
      </c>
      <c r="B16" s="122" t="s">
        <v>333</v>
      </c>
    </row>
    <row r="17" spans="1:5" x14ac:dyDescent="0.2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 x14ac:dyDescent="0.2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 x14ac:dyDescent="0.2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 x14ac:dyDescent="0.2">
      <c r="A21" s="121" t="s">
        <v>334</v>
      </c>
    </row>
    <row r="22" spans="1:5" x14ac:dyDescent="0.2">
      <c r="B22" s="123" t="s">
        <v>340</v>
      </c>
      <c r="C22" s="123" t="s">
        <v>356</v>
      </c>
      <c r="D22" s="123" t="s">
        <v>214</v>
      </c>
    </row>
    <row r="23" spans="1:5" x14ac:dyDescent="0.2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 x14ac:dyDescent="0.2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baseColWidth="10" defaultColWidth="8.83203125" defaultRowHeight="12" x14ac:dyDescent="0.15"/>
  <cols>
    <col min="1" max="1" width="2.5" style="1" customWidth="1"/>
    <col min="2" max="2" width="30.1640625" style="1" bestFit="1" customWidth="1"/>
    <col min="3" max="5" width="15.6640625" style="1" customWidth="1"/>
    <col min="6" max="16384" width="8.83203125" style="1"/>
  </cols>
  <sheetData>
    <row r="1" spans="1:5" x14ac:dyDescent="0.15">
      <c r="B1" s="20" t="s">
        <v>127</v>
      </c>
    </row>
    <row r="2" spans="1:5" x14ac:dyDescent="0.15">
      <c r="A2" s="31"/>
      <c r="B2" s="32" t="s">
        <v>12</v>
      </c>
      <c r="C2" s="18"/>
      <c r="D2" s="22"/>
      <c r="E2" s="18"/>
    </row>
    <row r="3" spans="1:5" x14ac:dyDescent="0.15">
      <c r="C3" s="28" t="s">
        <v>13</v>
      </c>
      <c r="D3" s="28" t="s">
        <v>14</v>
      </c>
      <c r="E3" s="28" t="s">
        <v>15</v>
      </c>
    </row>
    <row r="4" spans="1:5" x14ac:dyDescent="0.15">
      <c r="B4" s="33" t="s">
        <v>16</v>
      </c>
      <c r="C4" s="34">
        <v>4.0800000000000003E-2</v>
      </c>
      <c r="D4" s="34">
        <v>6.7500000000000004E-2</v>
      </c>
      <c r="E4" s="35">
        <f>D4-C4</f>
        <v>2.6700000000000002E-2</v>
      </c>
    </row>
    <row r="5" spans="1:5" x14ac:dyDescent="0.1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 x14ac:dyDescent="0.1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 x14ac:dyDescent="0.15">
      <c r="A8" s="31"/>
      <c r="B8" s="32" t="s">
        <v>19</v>
      </c>
    </row>
    <row r="9" spans="1:5" x14ac:dyDescent="0.15">
      <c r="B9" s="1" t="s">
        <v>50</v>
      </c>
      <c r="C9" s="28" t="s">
        <v>20</v>
      </c>
    </row>
    <row r="10" spans="1:5" x14ac:dyDescent="0.15">
      <c r="B10" s="26" t="s">
        <v>21</v>
      </c>
      <c r="C10" s="34">
        <v>9.9400000000000002E-2</v>
      </c>
    </row>
    <row r="11" spans="1:5" x14ac:dyDescent="0.15">
      <c r="B11" s="26" t="s">
        <v>22</v>
      </c>
      <c r="C11" s="34">
        <v>0.1174</v>
      </c>
    </row>
    <row r="12" spans="1:5" x14ac:dyDescent="0.15">
      <c r="B12" s="26" t="s">
        <v>23</v>
      </c>
      <c r="C12" s="34">
        <v>3.4500000000000003E-2</v>
      </c>
    </row>
    <row r="13" spans="1:5" x14ac:dyDescent="0.15">
      <c r="B13" s="26" t="s">
        <v>24</v>
      </c>
      <c r="C13" s="34">
        <v>3.3099999999999997E-2</v>
      </c>
    </row>
    <row r="14" spans="1:5" x14ac:dyDescent="0.15">
      <c r="B14" s="26" t="s">
        <v>25</v>
      </c>
      <c r="C14" s="34">
        <v>4.2299999999999997E-2</v>
      </c>
    </row>
    <row r="15" spans="1:5" x14ac:dyDescent="0.15">
      <c r="B15" s="26" t="s">
        <v>26</v>
      </c>
      <c r="C15" s="34">
        <v>5.1200000000000002E-2</v>
      </c>
    </row>
    <row r="16" spans="1:5" x14ac:dyDescent="0.15">
      <c r="B16" s="36" t="s">
        <v>57</v>
      </c>
      <c r="C16" s="37">
        <f>MAX(Portfolio_Mgmt!C12,C10:C15)</f>
        <v>0.1174</v>
      </c>
    </row>
    <row r="18" spans="1:5" x14ac:dyDescent="0.15">
      <c r="A18" s="31"/>
      <c r="B18" s="32" t="s">
        <v>27</v>
      </c>
      <c r="C18" s="18"/>
      <c r="D18" s="22"/>
      <c r="E18" s="18"/>
    </row>
    <row r="19" spans="1:5" x14ac:dyDescent="0.15">
      <c r="B19" s="18" t="s">
        <v>28</v>
      </c>
      <c r="C19" s="38" t="s">
        <v>29</v>
      </c>
    </row>
    <row r="20" spans="1:5" x14ac:dyDescent="0.15">
      <c r="B20" s="1" t="s">
        <v>30</v>
      </c>
      <c r="C20" s="38" t="s">
        <v>31</v>
      </c>
    </row>
    <row r="21" spans="1:5" x14ac:dyDescent="0.15">
      <c r="B21" s="1" t="s">
        <v>32</v>
      </c>
      <c r="C21" s="38" t="s">
        <v>33</v>
      </c>
    </row>
    <row r="22" spans="1:5" x14ac:dyDescent="0.15">
      <c r="C22" s="38"/>
    </row>
    <row r="23" spans="1:5" x14ac:dyDescent="0.15">
      <c r="B23" s="1" t="s">
        <v>34</v>
      </c>
      <c r="C23" s="38" t="s">
        <v>35</v>
      </c>
    </row>
    <row r="24" spans="1:5" x14ac:dyDescent="0.15">
      <c r="B24" s="1" t="s">
        <v>36</v>
      </c>
      <c r="C24" s="38" t="s">
        <v>37</v>
      </c>
    </row>
    <row r="25" spans="1:5" x14ac:dyDescent="0.15">
      <c r="C25" s="38"/>
    </row>
    <row r="26" spans="1:5" x14ac:dyDescent="0.15">
      <c r="B26" s="1" t="s">
        <v>38</v>
      </c>
      <c r="C26" s="38" t="s">
        <v>39</v>
      </c>
    </row>
    <row r="27" spans="1:5" x14ac:dyDescent="0.15">
      <c r="B27" s="1" t="s">
        <v>40</v>
      </c>
      <c r="C27" s="38" t="s">
        <v>41</v>
      </c>
    </row>
    <row r="28" spans="1:5" x14ac:dyDescent="0.15">
      <c r="C28" s="38"/>
    </row>
    <row r="29" spans="1:5" x14ac:dyDescent="0.15">
      <c r="B29" s="1" t="s">
        <v>42</v>
      </c>
      <c r="C29" s="38" t="s">
        <v>43</v>
      </c>
    </row>
    <row r="31" spans="1:5" x14ac:dyDescent="0.15">
      <c r="B31" s="1" t="s">
        <v>44</v>
      </c>
      <c r="C31" s="38" t="s">
        <v>45</v>
      </c>
    </row>
    <row r="34" spans="1:5" x14ac:dyDescent="0.15">
      <c r="A34" s="31"/>
      <c r="B34" s="32" t="s">
        <v>358</v>
      </c>
    </row>
    <row r="35" spans="1:5" ht="223.25" customHeight="1" x14ac:dyDescent="0.15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K8" sqref="K8"/>
    </sheetView>
  </sheetViews>
  <sheetFormatPr baseColWidth="10" defaultColWidth="9" defaultRowHeight="13" x14ac:dyDescent="0.15"/>
  <cols>
    <col min="1" max="1" width="2.6640625" style="51" customWidth="1"/>
    <col min="2" max="2" width="17.33203125" style="51" bestFit="1" customWidth="1"/>
    <col min="3" max="3" width="14.83203125" style="51" bestFit="1" customWidth="1"/>
    <col min="4" max="4" width="13.8320312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x14ac:dyDescent="0.15">
      <c r="A1" s="49"/>
      <c r="B1" s="50" t="s">
        <v>150</v>
      </c>
      <c r="C1" s="115"/>
    </row>
    <row r="2" spans="1:13" ht="29.75" customHeight="1" x14ac:dyDescent="0.15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 x14ac:dyDescent="0.15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0.58903698784138725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 x14ac:dyDescent="0.15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21.96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17.297674738091306</v>
      </c>
      <c r="K4" s="81">
        <f>VLOOKUP(B4,Opportunities!B$3:N$30,9,FALSE)</f>
        <v>13.878443981089484</v>
      </c>
      <c r="L4" s="81">
        <f>VLOOKUP(B4,Opportunities!B$3:N$30,11,FALSE)</f>
        <v>24.098935167488882</v>
      </c>
      <c r="M4" s="81">
        <f>VLOOKUP(B4,Opportunities!B$3:N$30,13,FALSE)</f>
        <v>21.362087657956575</v>
      </c>
    </row>
    <row r="5" spans="1:13" x14ac:dyDescent="0.15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103.8</v>
      </c>
      <c r="E5" s="59" t="str">
        <f>VLOOKUP(B5,Opportunities!B$3:E$30,4,FALSE)</f>
        <v>HKD</v>
      </c>
      <c r="F5" s="57">
        <v>1500</v>
      </c>
      <c r="G5" s="61">
        <f t="shared" si="1"/>
        <v>155700</v>
      </c>
      <c r="H5" s="58">
        <f t="shared" si="0"/>
        <v>0.11388413660537501</v>
      </c>
      <c r="I5" s="58">
        <f>VLOOKUP(B5,Opportunities!B$3:I$30,8,FALSE)</f>
        <v>0.24440134347771827</v>
      </c>
      <c r="J5" s="81">
        <f>VLOOKUP(B5,Opportunities!B$3:N$30,12,FALSE)</f>
        <v>116.99285629904411</v>
      </c>
      <c r="K5" s="81">
        <f>VLOOKUP(B5,Opportunities!B$3:N$30,9,FALSE)</f>
        <v>93.869096074266068</v>
      </c>
      <c r="L5" s="81">
        <f>VLOOKUP(B5,Opportunities!B$3:N$30,11,FALSE)</f>
        <v>162.9882141875724</v>
      </c>
      <c r="M5" s="81">
        <f>VLOOKUP(B5,Opportunities!B$3:N$30,13,FALSE)</f>
        <v>144.47961973069502</v>
      </c>
    </row>
    <row r="6" spans="1:13" x14ac:dyDescent="0.15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9.5671451945941247E-2</v>
      </c>
      <c r="I6" s="58">
        <f>VLOOKUP(B6,Opportunities!B$3:I$30,8,FALSE)</f>
        <v>0.10162032351301863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 x14ac:dyDescent="0.15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8.26</v>
      </c>
      <c r="E7" s="59" t="str">
        <f>VLOOKUP(B7,Opportunities!B$3:E$30,4,FALSE)</f>
        <v>HKD</v>
      </c>
      <c r="F7" s="57">
        <v>8000</v>
      </c>
      <c r="G7" s="61">
        <f t="shared" si="1"/>
        <v>66080</v>
      </c>
      <c r="H7" s="58">
        <f t="shared" si="0"/>
        <v>4.8333100493790498E-2</v>
      </c>
      <c r="I7" s="58">
        <f>VLOOKUP(B7,Opportunities!B$3:I$30,8,FALSE)</f>
        <v>0</v>
      </c>
      <c r="J7" s="81">
        <f>VLOOKUP(B7,Opportunities!B$3:N$30,12,FALSE)</f>
        <v>7.3382105844185963</v>
      </c>
      <c r="K7" s="81">
        <f>VLOOKUP(B7,Opportunities!B$3:N$30,9,FALSE)</f>
        <v>5.9031516383650837</v>
      </c>
      <c r="L7" s="81">
        <f>VLOOKUP(B7,Opportunities!B$3:N$30,11,FALSE)</f>
        <v>10.188678459731804</v>
      </c>
      <c r="M7" s="81">
        <f>VLOOKUP(B7,Opportunities!B$3:N$30,13,FALSE)</f>
        <v>9.0421658277011385</v>
      </c>
    </row>
    <row r="8" spans="1:13" x14ac:dyDescent="0.15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10.62</v>
      </c>
      <c r="E8" s="59" t="str">
        <f>VLOOKUP(B8,Opportunities!B$3:E$30,4,FALSE)</f>
        <v>HKD</v>
      </c>
      <c r="F8" s="57">
        <v>10000</v>
      </c>
      <c r="G8" s="61">
        <f t="shared" si="1"/>
        <v>106199.99999999999</v>
      </c>
      <c r="H8" s="58">
        <f t="shared" si="0"/>
        <v>7.7678197222163292E-2</v>
      </c>
      <c r="I8" s="58">
        <f>VLOOKUP(B8,Opportunities!B$3:I$30,8,FALSE)</f>
        <v>0.1277155817111581</v>
      </c>
      <c r="J8" s="81">
        <f>VLOOKUP(B8,Opportunities!B$3:N$30,12,FALSE)</f>
        <v>12.155069726420979</v>
      </c>
      <c r="K8" s="81">
        <f>VLOOKUP(B8,Opportunities!B$3:N$30,9,FALSE)</f>
        <v>9.789873521822285</v>
      </c>
      <c r="L8" s="81">
        <f>VLOOKUP(B8,Opportunities!B$3:N$30,11,FALSE)</f>
        <v>16.849954353185421</v>
      </c>
      <c r="M8" s="81">
        <f>VLOOKUP(B8,Opportunities!B$3:N$30,13,FALSE)</f>
        <v>14.961987975362611</v>
      </c>
    </row>
    <row r="9" spans="1:13" x14ac:dyDescent="0.15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4.68</v>
      </c>
      <c r="E9" s="59" t="str">
        <f>VLOOKUP(B9,Opportunities!B$3:E$30,4,FALSE)</f>
        <v>HKD</v>
      </c>
      <c r="F9" s="57">
        <v>12000</v>
      </c>
      <c r="G9" s="61">
        <f t="shared" si="1"/>
        <v>56160</v>
      </c>
      <c r="H9" s="58">
        <f t="shared" si="0"/>
        <v>4.1077283954771102E-2</v>
      </c>
      <c r="I9" s="58">
        <f>VLOOKUP(B9,Opportunities!B$3:I$30,8,FALSE)</f>
        <v>7.5924905471577375E-2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 x14ac:dyDescent="0.15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3.91</v>
      </c>
      <c r="E10" s="59" t="str">
        <f>VLOOKUP(B10,Opportunities!B$3:E$30,4,FALSE)</f>
        <v>HKD</v>
      </c>
      <c r="F10" s="57">
        <v>12000</v>
      </c>
      <c r="G10" s="61">
        <f t="shared" si="1"/>
        <v>46920</v>
      </c>
      <c r="H10" s="58">
        <f t="shared" ref="H10" si="2">G10/$G$12</f>
        <v>3.431884193657158E-2</v>
      </c>
      <c r="I10" s="58">
        <f>VLOOKUP(B10,Opportunities!B$3:I$30,8,FALSE)</f>
        <v>0.11525081585762552</v>
      </c>
      <c r="J10" s="81">
        <f>VLOOKUP(B10,Opportunities!B$3:N$30,12,FALSE)</f>
        <v>4.3063250245862799</v>
      </c>
      <c r="K10" s="81">
        <f>VLOOKUP(B10,Opportunities!B$3:N$30,9,FALSE)</f>
        <v>3.4722069389485957</v>
      </c>
      <c r="L10" s="81">
        <f>VLOOKUP(B10,Opportunities!B$3:N$30,11,FALSE)</f>
        <v>5.9610249602603496</v>
      </c>
      <c r="M10" s="81">
        <f>VLOOKUP(B10,Opportunities!B$3:N$30,13,FALSE)</f>
        <v>5.2957480303158606</v>
      </c>
    </row>
    <row r="11" spans="1:13" x14ac:dyDescent="0.15">
      <c r="B11" s="53"/>
      <c r="C11" s="53"/>
      <c r="D11" s="56"/>
      <c r="E11" s="53"/>
      <c r="I11" s="74"/>
    </row>
    <row r="12" spans="1:13" x14ac:dyDescent="0.15">
      <c r="B12" s="64"/>
      <c r="C12" s="64"/>
      <c r="D12" s="65"/>
      <c r="E12" s="64"/>
      <c r="F12" s="66" t="s">
        <v>160</v>
      </c>
      <c r="G12" s="66">
        <f>SUM(G3:G10)</f>
        <v>1367179</v>
      </c>
      <c r="H12" s="67">
        <f>SUM(H3:H10)</f>
        <v>0.99999999999999989</v>
      </c>
      <c r="I12" s="73">
        <f>SUM(I3:I10)</f>
        <v>1.114912970031098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 x14ac:dyDescent="0.15">
      <c r="B13" s="53"/>
      <c r="C13" s="53"/>
      <c r="D13" s="56"/>
      <c r="E13" s="53"/>
      <c r="F13" s="57"/>
      <c r="G13" s="57"/>
    </row>
    <row r="14" spans="1:13" x14ac:dyDescent="0.15">
      <c r="A14" s="49"/>
      <c r="B14" s="50" t="s">
        <v>158</v>
      </c>
      <c r="C14" s="115"/>
    </row>
    <row r="15" spans="1:13" x14ac:dyDescent="0.15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21.96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17.297674738091306</v>
      </c>
      <c r="K15" s="81">
        <f>VLOOKUP(B15,Opportunities!B$3:N$30,9,FALSE)</f>
        <v>13.878443981089484</v>
      </c>
      <c r="L15" s="81">
        <f>VLOOKUP(B15,Opportunities!B$3:N$30,11,FALSE)</f>
        <v>24.098935167488882</v>
      </c>
      <c r="M15" s="81">
        <f>VLOOKUP(B15,Opportunities!B$3:N$30,13,FALSE)</f>
        <v>21.362087657956575</v>
      </c>
    </row>
    <row r="16" spans="1:13" x14ac:dyDescent="0.15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25.7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17.601632793838561</v>
      </c>
      <c r="K16" s="81">
        <f>VLOOKUP(B16,Opportunities!B$3:N$30,9,FALSE)</f>
        <v>14.23335730104111</v>
      </c>
      <c r="L16" s="81">
        <f>VLOOKUP(B16,Opportunities!B$3:N$30,11,FALSE)</f>
        <v>24.272591262279043</v>
      </c>
      <c r="M16" s="81">
        <f>VLOOKUP(B16,Opportunities!B$3:N$30,13,FALSE)</f>
        <v>21.591936244412981</v>
      </c>
    </row>
    <row r="17" spans="1:13" x14ac:dyDescent="0.15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0.10162032351301863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 x14ac:dyDescent="0.15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3.91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0.11525081585762552</v>
      </c>
      <c r="J18" s="81">
        <f>VLOOKUP(B18,Opportunities!B$3:N$30,12,FALSE)</f>
        <v>4.3063250245862799</v>
      </c>
      <c r="K18" s="81">
        <f>VLOOKUP(B18,Opportunities!B$3:N$30,9,FALSE)</f>
        <v>3.4722069389485957</v>
      </c>
      <c r="L18" s="81">
        <f>VLOOKUP(B18,Opportunities!B$3:N$30,11,FALSE)</f>
        <v>5.9610249602603496</v>
      </c>
      <c r="M18" s="81">
        <f>VLOOKUP(B18,Opportunities!B$3:N$30,13,FALSE)</f>
        <v>5.2957480303158606</v>
      </c>
    </row>
    <row r="19" spans="1:13" x14ac:dyDescent="0.15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10.62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0.1277155817111581</v>
      </c>
      <c r="J19" s="81">
        <f>VLOOKUP(B19,Opportunities!B$3:N$30,12,FALSE)</f>
        <v>12.155069726420979</v>
      </c>
      <c r="K19" s="81">
        <f>VLOOKUP(B19,Opportunities!B$3:N$30,9,FALSE)</f>
        <v>9.789873521822285</v>
      </c>
      <c r="L19" s="81">
        <f>VLOOKUP(B19,Opportunities!B$3:N$30,11,FALSE)</f>
        <v>16.849954353185421</v>
      </c>
      <c r="M19" s="81">
        <f>VLOOKUP(B19,Opportunities!B$3:N$30,13,FALSE)</f>
        <v>14.961987975362611</v>
      </c>
    </row>
    <row r="20" spans="1:13" x14ac:dyDescent="0.15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8.26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7.3382105844185963</v>
      </c>
      <c r="K20" s="81">
        <f>VLOOKUP(B20,Opportunities!B$3:N$30,9,FALSE)</f>
        <v>5.9031516383650837</v>
      </c>
      <c r="L20" s="81">
        <f>VLOOKUP(B20,Opportunities!B$3:N$30,11,FALSE)</f>
        <v>10.188678459731804</v>
      </c>
      <c r="M20" s="81">
        <f>VLOOKUP(B20,Opportunities!B$3:N$30,13,FALSE)</f>
        <v>9.0421658277011385</v>
      </c>
    </row>
    <row r="21" spans="1:13" x14ac:dyDescent="0.15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 x14ac:dyDescent="0.15">
      <c r="H22" s="72"/>
      <c r="I22" s="72"/>
    </row>
    <row r="23" spans="1:13" x14ac:dyDescent="0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0.58903698784138725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x14ac:dyDescent="0.15">
      <c r="A25" s="49"/>
      <c r="B25" s="50" t="s">
        <v>188</v>
      </c>
      <c r="C25" s="115"/>
      <c r="D25" s="56"/>
      <c r="E25" s="53"/>
      <c r="F25" s="57"/>
      <c r="G25" s="57"/>
    </row>
    <row r="26" spans="1:13" x14ac:dyDescent="0.15">
      <c r="C26" s="84" t="s">
        <v>189</v>
      </c>
      <c r="D26" s="84" t="s">
        <v>192</v>
      </c>
      <c r="F26" s="84" t="s">
        <v>193</v>
      </c>
    </row>
    <row r="27" spans="1:13" ht="15" x14ac:dyDescent="0.2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5" x14ac:dyDescent="0.2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5" x14ac:dyDescent="0.2">
      <c r="C29"/>
      <c r="D29"/>
      <c r="F29"/>
    </row>
    <row r="30" spans="1:13" ht="15" x14ac:dyDescent="0.2">
      <c r="C30"/>
      <c r="E30" s="87" t="s">
        <v>194</v>
      </c>
      <c r="F30" s="85">
        <f>C27-F28</f>
        <v>617.32398826399003</v>
      </c>
    </row>
    <row r="35" spans="2:7" x14ac:dyDescent="0.15">
      <c r="B35" s="53"/>
      <c r="C35" s="53"/>
      <c r="D35" s="56"/>
      <c r="E35" s="53"/>
      <c r="F35" s="57"/>
      <c r="G35" s="57"/>
    </row>
    <row r="36" spans="2:7" x14ac:dyDescent="0.15">
      <c r="B36" s="53"/>
      <c r="C36" s="53"/>
      <c r="D36" s="56"/>
      <c r="E36" s="53"/>
      <c r="F36" s="57"/>
      <c r="G36" s="57"/>
    </row>
    <row r="37" spans="2:7" x14ac:dyDescent="0.15">
      <c r="B37" s="53"/>
      <c r="C37" s="53"/>
      <c r="D37" s="56"/>
      <c r="E37" s="53"/>
      <c r="F37" s="57"/>
      <c r="G37" s="57"/>
    </row>
    <row r="38" spans="2:7" x14ac:dyDescent="0.15">
      <c r="B38" s="53"/>
      <c r="C38" s="53"/>
      <c r="D38" s="56"/>
      <c r="E38" s="53"/>
      <c r="F38" s="57"/>
      <c r="G38" s="57"/>
    </row>
    <row r="39" spans="2:7" x14ac:dyDescent="0.15">
      <c r="B39" s="53"/>
      <c r="C39" s="53"/>
      <c r="D39" s="56"/>
      <c r="E39" s="53"/>
      <c r="F39" s="57"/>
      <c r="G39" s="57"/>
    </row>
    <row r="40" spans="2:7" x14ac:dyDescent="0.15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baseColWidth="10" defaultColWidth="9" defaultRowHeight="12" x14ac:dyDescent="0.15"/>
  <cols>
    <col min="1" max="1" width="2.6640625" style="1" customWidth="1"/>
    <col min="2" max="2" width="27.1640625" style="1" customWidth="1"/>
    <col min="3" max="3" width="34.33203125" style="1" customWidth="1"/>
    <col min="4" max="4" width="28.83203125" style="1" customWidth="1"/>
    <col min="5" max="16384" width="9" style="1"/>
  </cols>
  <sheetData>
    <row r="1" spans="1:4" x14ac:dyDescent="0.15">
      <c r="B1" s="20" t="s">
        <v>84</v>
      </c>
    </row>
    <row r="2" spans="1:4" x14ac:dyDescent="0.15">
      <c r="A2" s="5"/>
      <c r="B2" s="6" t="s">
        <v>85</v>
      </c>
    </row>
    <row r="3" spans="1:4" x14ac:dyDescent="0.15">
      <c r="B3" s="157" t="s">
        <v>86</v>
      </c>
      <c r="C3" s="157"/>
      <c r="D3" s="157"/>
    </row>
    <row r="5" spans="1:4" x14ac:dyDescent="0.15">
      <c r="B5" s="158" t="s">
        <v>88</v>
      </c>
      <c r="C5" s="159"/>
      <c r="D5" s="159"/>
    </row>
    <row r="6" spans="1:4" x14ac:dyDescent="0.15">
      <c r="B6" s="158" t="s">
        <v>89</v>
      </c>
      <c r="C6" s="159"/>
      <c r="D6" s="159"/>
    </row>
    <row r="8" spans="1:4" x14ac:dyDescent="0.15">
      <c r="B8" s="1" t="s">
        <v>87</v>
      </c>
    </row>
    <row r="10" spans="1:4" x14ac:dyDescent="0.15">
      <c r="A10" s="5"/>
      <c r="B10" s="6" t="s">
        <v>90</v>
      </c>
    </row>
    <row r="11" spans="1:4" x14ac:dyDescent="0.15">
      <c r="B11" s="157" t="s">
        <v>91</v>
      </c>
      <c r="C11" s="157"/>
      <c r="D11" s="157"/>
    </row>
    <row r="12" spans="1:4" x14ac:dyDescent="0.15">
      <c r="B12" s="157" t="s">
        <v>92</v>
      </c>
      <c r="C12" s="157"/>
      <c r="D12" s="157"/>
    </row>
    <row r="14" spans="1:4" x14ac:dyDescent="0.15">
      <c r="B14" s="23" t="s">
        <v>124</v>
      </c>
    </row>
    <row r="16" spans="1:4" ht="14" x14ac:dyDescent="0.2">
      <c r="B16" s="30" t="s">
        <v>101</v>
      </c>
      <c r="C16" s="30" t="s">
        <v>102</v>
      </c>
    </row>
    <row r="17" spans="1:4" x14ac:dyDescent="0.15">
      <c r="B17" s="26" t="s">
        <v>93</v>
      </c>
      <c r="C17" s="26" t="s">
        <v>97</v>
      </c>
    </row>
    <row r="18" spans="1:4" x14ac:dyDescent="0.15">
      <c r="B18" s="26" t="s">
        <v>94</v>
      </c>
      <c r="C18" s="26" t="s">
        <v>98</v>
      </c>
    </row>
    <row r="19" spans="1:4" x14ac:dyDescent="0.15">
      <c r="B19" s="26" t="s">
        <v>95</v>
      </c>
      <c r="C19" s="26" t="s">
        <v>99</v>
      </c>
    </row>
    <row r="20" spans="1:4" x14ac:dyDescent="0.15">
      <c r="B20" s="26" t="s">
        <v>96</v>
      </c>
      <c r="C20" s="26" t="s">
        <v>100</v>
      </c>
    </row>
    <row r="21" spans="1:4" x14ac:dyDescent="0.15">
      <c r="B21" s="26" t="s">
        <v>116</v>
      </c>
      <c r="C21" s="26" t="s">
        <v>117</v>
      </c>
    </row>
    <row r="22" spans="1:4" x14ac:dyDescent="0.15">
      <c r="B22" s="26" t="s">
        <v>118</v>
      </c>
      <c r="C22" s="26" t="s">
        <v>119</v>
      </c>
    </row>
    <row r="23" spans="1:4" x14ac:dyDescent="0.15">
      <c r="B23" s="26" t="s">
        <v>120</v>
      </c>
      <c r="C23" s="26" t="s">
        <v>121</v>
      </c>
    </row>
    <row r="24" spans="1:4" x14ac:dyDescent="0.15">
      <c r="B24" s="26" t="s">
        <v>125</v>
      </c>
      <c r="C24" s="26" t="s">
        <v>126</v>
      </c>
    </row>
    <row r="25" spans="1:4" x14ac:dyDescent="0.15">
      <c r="B25" s="26" t="s">
        <v>122</v>
      </c>
      <c r="C25" s="26" t="s">
        <v>123</v>
      </c>
    </row>
    <row r="27" spans="1:4" x14ac:dyDescent="0.15">
      <c r="A27" s="5"/>
      <c r="B27" s="6" t="s">
        <v>103</v>
      </c>
    </row>
    <row r="28" spans="1:4" x14ac:dyDescent="0.15">
      <c r="B28" s="157" t="s">
        <v>104</v>
      </c>
      <c r="C28" s="157"/>
      <c r="D28" s="157"/>
    </row>
    <row r="29" spans="1:4" x14ac:dyDescent="0.15">
      <c r="B29" s="157" t="s">
        <v>105</v>
      </c>
      <c r="C29" s="157"/>
      <c r="D29" s="157"/>
    </row>
    <row r="31" spans="1:4" x14ac:dyDescent="0.15">
      <c r="A31" s="5"/>
      <c r="B31" s="6" t="s">
        <v>106</v>
      </c>
    </row>
    <row r="32" spans="1:4" x14ac:dyDescent="0.15">
      <c r="A32" s="28" t="s">
        <v>58</v>
      </c>
      <c r="B32" s="23" t="s">
        <v>107</v>
      </c>
    </row>
    <row r="33" spans="1:2" x14ac:dyDescent="0.15">
      <c r="B33" s="1" t="s">
        <v>108</v>
      </c>
    </row>
    <row r="35" spans="1:2" x14ac:dyDescent="0.15">
      <c r="A35" s="28" t="s">
        <v>110</v>
      </c>
      <c r="B35" s="23" t="s">
        <v>109</v>
      </c>
    </row>
    <row r="36" spans="1:2" x14ac:dyDescent="0.15">
      <c r="B36" s="1" t="s">
        <v>111</v>
      </c>
    </row>
    <row r="38" spans="1:2" x14ac:dyDescent="0.15">
      <c r="A38" s="5"/>
      <c r="B38" s="6" t="s">
        <v>112</v>
      </c>
    </row>
    <row r="39" spans="1:2" x14ac:dyDescent="0.15">
      <c r="B39" s="24" t="s">
        <v>113</v>
      </c>
    </row>
    <row r="40" spans="1:2" x14ac:dyDescent="0.15">
      <c r="B40" s="1" t="s">
        <v>114</v>
      </c>
    </row>
    <row r="41" spans="1:2" x14ac:dyDescent="0.15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2760</cp:lastModifiedBy>
  <cp:revision/>
  <cp:lastPrinted>2025-10-06T03:58:48Z</cp:lastPrinted>
  <dcterms:created xsi:type="dcterms:W3CDTF">2022-12-06T06:37:33Z</dcterms:created>
  <dcterms:modified xsi:type="dcterms:W3CDTF">2026-02-21T10:12:28Z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