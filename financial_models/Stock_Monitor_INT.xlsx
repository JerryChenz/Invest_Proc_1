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43159EB-FC8B-4965-924F-F11724A53F23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<sst xmlns="http://schemas.openxmlformats.org/spreadsheetml/2006/main" count="479" uniqueCount="387">
  <si>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</si>
  <si>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</si>
  <si>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</si>
  <si>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</si>
  <si>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</si>
  <si>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</si>
  <si>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</si>
  <si>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</si>
  <si>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</si>
  <si>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</si>
  <si>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</si>
  <si>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</si>
  <si>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</si>
  <si>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</si>
  <si>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</si>
  <si>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</si>
  <si>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</si>
  <si>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</si>
  <si>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</si>
  <si>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</si>
  <si>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</si>
  <si>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</si>
  <si>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</si>
  <si>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</si>
  <si>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</si>
  <si>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</si>
  <si>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</si>
  <si>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</si>
  <si>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</si>
  <si>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</si>
  <si>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</si>
  <si>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</si>
  <si>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</si>
  <si>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</si>
  <si>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</si>
  <si>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</si>
  <si>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</si>
  <si>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</si>
  <si>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</si>
  <si>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</si>
  <si>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</si>
  <si>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</si>
  <si>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</si>
  <si>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</si>
  <si>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</si>
  <si>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</si>
  <si>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</si>
  <si>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</si>
  <si>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</si>
  <si>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</si>
  <si>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</si>
  <si>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</si>
  <si>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</si>
  <si>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</si>
  <si>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</si>
  <si>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</si>
  <si>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</si>
  <si>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</si>
  <si>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</si>
  <si>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</si>
  <si>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</si>
  <si>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</si>
  <si>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</si>
  <si>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</si>
  <si>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</si>
  <si>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</si>
  <si>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</si>
  <si>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</si>
  <si>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</si>
  <si>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</si>
  <si>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</si>
  <si>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</si>
  <si>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</si>
  <si>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</si>
  <si>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</si>
  <si>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</si>
  <si>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</si>
  <si>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</si>
  <si>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</si>
  <si>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</si>
  <si>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</si>
  <si>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</si>
  <si>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</si>
  <si>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</si>
  <si>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</si>
  <si>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</si>
  <si>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</si>
  <si>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</si>
  <si>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</si>
  <si>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</si>
  <si>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</si>
  <si>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</si>
  <si>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</si>
  <si>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</si>
  <si>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</si>
  <si>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</si>
  <si>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</si>
  <si>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</si>
  <si>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</si>
  <si>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</si>
  <si>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</si>
  <si>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</si>
  <si>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</si>
  <si>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</si>
  <si>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</si>
  <si>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</si>
  <si>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</si>
  <si>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</si>
  <si>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</si>
  <si>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</si>
  <si>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</si>
  <si>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</si>
  <si>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</si>
  <si>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</si>
  <si>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</si>
  <si>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</si>
  <si>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</si>
  <si>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</si>
  <si>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</si>
  <si>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</si>
  <si>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</si>
  <si>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</si>
  <si>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</si>
  <si>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</si>
  <si>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</si>
  <si>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</si>
  <si>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</si>
  <si>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</si>
  <si>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</si>
  <si>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</si>
  <si>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</si>
  <si>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</si>
  <si>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</si>
  <si>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</si>
  <si>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</si>
  <si>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</si>
  <si>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</si>
  <si>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</si>
  <si>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</si>
  <si>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</si>
  <si>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</si>
  <si>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</si>
  <si>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</si>
  <si>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</si>
  <si>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</si>
  <si>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</si>
  <si>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</si>
  <si>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</si>
  <si>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</si>
  <si>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</si>
  <si>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</si>
  <si>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</si>
  <si>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</si>
  <si>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</si>
  <si>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</si>
  <si>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</si>
  <si>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</si>
  <si>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</si>
  <si>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</si>
  <si>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</si>
  <si>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</si>
  <si>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</si>
  <si>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</si>
  <si>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</si>
  <si>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</si>
  <si>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</si>
  <si>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</si>
  <si>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</si>
  <si>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</si>
  <si>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</si>
  <si>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</si>
  <si>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</si>
  <si>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</si>
  <si>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</si>
  <si>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</si>
  <si>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</si>
  <si>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</si>
  <si>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</si>
  <si>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</si>
  <si>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</si>
  <si>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</si>
  <si>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</si>
  <si>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</si>
  <si>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</si>
  <si>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</si>
  <si>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</si>
  <si>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</si>
  <si>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</si>
  <si>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</si>
  <si>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</si>
  <si>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</si>
  <si>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</si>
  <si>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</si>
  <si>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</si>
  <si>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</si>
  <si>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</si>
  <si>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</si>
  <si>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</si>
  <si>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</si>
  <si>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</si>
  <si>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</si>
  <si>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</si>
  <si>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</si>
  <si>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</si>
  <si>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</si>
  <si>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</si>
  <si>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</si>
  <si>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</si>
  <si>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</si>
  <si>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</si>
  <si>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</si>
  <si>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</si>
  <si>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</si>
  <si>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</si>
  <si>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</si>
  <si>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</si>
  <si>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</si>
  <si>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</si>
  <si>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</si>
  <si>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</si>
  <si>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</si>
  <si>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</si>
  <si>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</si>
  <si>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</si>
  <si>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</si>
  <si>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</si>
  <si>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</si>
  <si>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</si>
  <si>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</si>
  <si>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</si>
  <si>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</si>
  <si>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</si>
  <si>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</si>
  <si>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</si>
  <si>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</si>
  <si>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</si>
  <si>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</si>
  <si>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</si>
  <si>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</si>
  <si>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</si>
  <si>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</si>
  <si>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</si>
  <si>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</si>
  <si>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</si>
  <si>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</si>
  <si>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</si>
  <si>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</si>
  <si>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</si>
  <si>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</si>
  <si>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</si>
  <si>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</si>
  <si>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</si>
  <si>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</si>
  <si>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</si>
  <si>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</si>
  <si>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</si>
  <si>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</si>
  <si>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</si>
  <si>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</si>
  <si>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</si>
  <si>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</si>
  <si>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</si>
  <si>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</si>
  <si>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</si>
  <si>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</si>
  <si>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</si>
  <si>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</si>
  <si>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</si>
  <si>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</si>
  <si>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</si>
  <si>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</si>
  <si>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</si>
  <si>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</si>
  <si>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</si>
  <si>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</si>
  <si>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</si>
  <si>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</si>
  <si>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</si>
  <si>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</si>
  <si>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</si>
  <si>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</si>
  <si>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</si>
  <si>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</si>
  <si>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</si>
  <si>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</si>
  <si>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</si>
  <si>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</si>
  <si>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</si>
  <si>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</si>
  <si>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</si>
  <si>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</si>
  <si>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</si>
  <si>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</si>
  <si>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</si>
  <si>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</si>
  <si>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</si>
  <si>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</si>
  <si>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</si>
  <si>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</si>
  <si>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</si>
  <si>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</si>
  <si>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</si>
  <si>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</si>
  <si>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</si>
  <si>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</si>
  <si>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</si>
  <si>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</si>
  <si>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</si>
  <si>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</si>
  <si>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</si>
  <si>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</si>
  <si>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</si>
  <si>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</si>
  <si>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</si>
  <si>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</si>
  <si>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</si>
  <si>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</si>
  <si>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</si>
  <si>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</si>
  <si>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</si>
  <si>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</si>
  <si>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</si>
  <si>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</si>
  <si>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</si>
  <si>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</si>
  <si>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</si>
  <si>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</si>
  <si>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</si>
  <si>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</si>
  <si>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</si>
  <si>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</si>
  <si>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</si>
  <si>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</si>
  <si>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</si>
  <si>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</si>
  <si>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</si>
  <si>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</si>
  <si>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</si>
  <si>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</si>
  <si>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</si>
  <si>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</si>
  <si>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</si>
  <si>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</si>
  <si>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</si>
  <si>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</si>
  <si>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</si>
  <si>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</si>
  <si>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</si>
  <si>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</si>
  <si>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</si>
  <si>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</si>
  <si>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</si>
  <si>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</si>
  <si>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</si>
  <si>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</si>
  <si>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</si>
  <si>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</si>
  <si>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</si>
  <si>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</si>
  <si>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</si>
  <si>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</si>
  <si>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</si>
  <si>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</si>
  <si>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</si>
  <si>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</si>
  <si>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</si>
  <si>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</si>
  <si>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</si>
  <si>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</si>
  <si>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</si>
  <si>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</si>
  <si>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</si>
  <si>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</si>
  <si>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</si>
  <si>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</si>
  <si>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</si>
  <si>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</si>
  <si>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</si>
  <si>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</si>
  <si>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</si>
  <si>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</si>
  <si>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</si>
  <si>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</si>
  <si>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</si>
  <si>
    <t>0941.HK</t>
  </si>
  <si>
    <t>中国移动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</si>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</sst>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384</v>
      </c>
      <c r="C3" s="11" t="s">
        <v>385</v>
      </c>
      <c r="D3" s="2">
        <v>80.849999999999994</v>
      </c>
      <c r="E3" s="12" t="s">
        <v>134</v>
      </c>
      <c r="F3" s="15">
        <v>0.26995508046657685</v>
      </c>
      <c r="G3" s="15">
        <f>F3 - Portfolio_Mgmt!$C$10</f>
        <v>0.15255508046657684</v>
      </c>
      <c r="H3" s="15">
        <f>F3 - Portfolio_Mgmt!$C$11</f>
        <v>0.23545508046657684</v>
      </c>
      <c r="I3" s="15">
        <v>0.27094105692771603</v>
      </c>
      <c r="J3" s="2">
        <v>76.517189511959018</v>
      </c>
      <c r="K3" s="2">
        <v>145.83104162734193</v>
      </c>
      <c r="L3" s="71">
        <v>131.50803999739497</v>
      </c>
      <c r="M3" s="2">
        <v>94.943916771652752</v>
      </c>
      <c r="N3" s="2">
        <v>116.80606462159936</v>
      </c>
      <c r="O3" s="4">
        <v>8.4196448878206431E-2</v>
      </c>
      <c r="P3" s="4">
        <v>6.2956091527520103E-2</v>
      </c>
      <c r="Q3" s="4">
        <v>0.1141273682688253</v>
      </c>
      <c r="R3" s="4">
        <v>0.15727059464000756</v>
      </c>
      <c r="S3" s="79">
        <v>0.48913824057450628</v>
      </c>
      <c r="T3" s="78">
        <v>1.4835789300471205</v>
      </c>
      <c r="U3" s="15">
        <v>6.4100114768294941E-2</v>
      </c>
      <c r="V3" s="76">
        <v>0.57104884476468376</v>
      </c>
      <c r="W3" s="71">
        <v>1.4477030545205587</v>
      </c>
      <c r="X3" s="13" t="s">
        <v>379</v>
      </c>
      <c r="Y3" s="11" t="s">
        <v>364</v>
      </c>
      <c r="Z3" s="14">
        <v>46081</v>
      </c>
      <c r="AA3" s="16" t="s">
        <v>181</v>
      </c>
    </row>
    <row r="4" spans="1:27">
      <c r="B4" s="11" t="s">
        <v>360</v>
      </c>
      <c r="C4" s="11" t="s">
        <v>365</v>
      </c>
      <c r="D4" s="2">
        <v>10.77</v>
      </c>
      <c r="E4" s="12" t="s">
        <v>134</v>
      </c>
      <c r="F4" s="15">
        <v>0.24912116807900339</v>
      </c>
      <c r="G4" s="15">
        <f>F4 - Portfolio_Mgmt!$C$10</f>
        <v>0.13172116807900339</v>
      </c>
      <c r="H4" s="15">
        <f>F4 - Portfolio_Mgmt!$C$11</f>
        <v>0.21462116807900339</v>
      </c>
      <c r="I4" s="15">
        <v>0.12089177032459737</v>
      </c>
      <c r="J4" s="2">
        <v>9.718290643738694</v>
      </c>
      <c r="K4" s="2">
        <v>18.680169991712596</v>
      </c>
      <c r="L4" s="71">
        <v>16.726764060493078</v>
      </c>
      <c r="M4" s="2">
        <v>12.066197514914851</v>
      </c>
      <c r="N4" s="2">
        <v>14.852597969762343</v>
      </c>
      <c r="O4" s="4">
        <v>9.3820002882418194E-2</v>
      </c>
      <c r="P4" s="4">
        <v>5.6319537872059428E-2</v>
      </c>
      <c r="Q4" s="4">
        <v>0.10095748942278249</v>
      </c>
      <c r="R4" s="4">
        <v>0.12639743993792121</v>
      </c>
      <c r="S4" s="79">
        <v>0.49405373744838704</v>
      </c>
      <c r="T4" s="78">
        <v>1.6166874809837415</v>
      </c>
      <c r="U4" s="15">
        <v>1.8343761526547521E-2</v>
      </c>
      <c r="V4" s="76">
        <v>0.18140013622570431</v>
      </c>
      <c r="W4" s="71">
        <v>1.7527515400288598</v>
      </c>
      <c r="X4" s="13" t="s">
        <v>366</v>
      </c>
      <c r="Y4" s="11" t="s">
        <v>361</v>
      </c>
      <c r="Z4" s="14">
        <v>46173</v>
      </c>
      <c r="AA4" s="16" t="s">
        <v>367</v>
      </c>
    </row>
    <row r="5" spans="1:27">
      <c r="B5" s="11" t="s">
        <v>329</v>
      </c>
      <c r="C5" s="11" t="s">
        <v>368</v>
      </c>
      <c r="D5" s="2">
        <v>3.83</v>
      </c>
      <c r="E5" s="12" t="s">
        <v>134</v>
      </c>
      <c r="F5" s="15">
        <v>0.2481032031291239</v>
      </c>
      <c r="G5" s="15">
        <f>F5 - Portfolio_Mgmt!$C$10</f>
        <v>0.1307032031291239</v>
      </c>
      <c r="H5" s="15">
        <f>F5 - Portfolio_Mgmt!$C$11</f>
        <v>0.2136032031291239</v>
      </c>
      <c r="I5" s="15">
        <v>0.12011471964499695</v>
      </c>
      <c r="J5" s="2">
        <v>3.4499276298722323</v>
      </c>
      <c r="K5" s="2">
        <v>6.5262088557283064</v>
      </c>
      <c r="L5" s="71">
        <v>5.921835475859262</v>
      </c>
      <c r="M5" s="2">
        <v>4.2783994790580726</v>
      </c>
      <c r="N5" s="2">
        <v>5.2610954601804716</v>
      </c>
      <c r="O5" s="4">
        <v>0.1152915985905857</v>
      </c>
      <c r="P5" s="4">
        <v>6.3133159268929498E-2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1.2764145367870092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115.2</v>
      </c>
      <c r="E6" s="12" t="s">
        <v>134</v>
      </c>
      <c r="F6" s="15">
        <v>0.19966443414501156</v>
      </c>
      <c r="G6" s="15">
        <f>F6 - Portfolio_Mgmt!$C$10</f>
        <v>8.2264434145011556E-2</v>
      </c>
      <c r="H6" s="15">
        <f>F6 - Portfolio_Mgmt!$C$11</f>
        <v>0.16516443414501156</v>
      </c>
      <c r="I6" s="15">
        <v>0.14741285019101591</v>
      </c>
      <c r="J6" s="2">
        <v>92.195245344123904</v>
      </c>
      <c r="K6" s="2">
        <v>186.12625189699088</v>
      </c>
      <c r="L6" s="71">
        <v>160.04389724965404</v>
      </c>
      <c r="M6" s="2">
        <v>114.89480224306809</v>
      </c>
      <c r="N6" s="2">
        <v>141.87616243210397</v>
      </c>
      <c r="O6" s="4">
        <v>6.8794796316454396E-2</v>
      </c>
      <c r="P6" s="4">
        <v>3.0468749999999996E-2</v>
      </c>
      <c r="Q6" s="4">
        <v>0.15</v>
      </c>
      <c r="R6" s="4">
        <v>3.9404773307997187E-2</v>
      </c>
      <c r="S6" s="79">
        <v>1.6240671367246462</v>
      </c>
      <c r="T6" s="78">
        <v>2.3438965902371725</v>
      </c>
      <c r="U6" s="15">
        <v>0.36820511135930623</v>
      </c>
      <c r="V6" s="76">
        <v>2.8852377432054559</v>
      </c>
      <c r="W6" s="71">
        <v>-64.819799197819449</v>
      </c>
      <c r="X6" s="13" t="s">
        <v>169</v>
      </c>
      <c r="Y6" s="11" t="s">
        <v>364</v>
      </c>
      <c r="Z6" s="14">
        <v>46173</v>
      </c>
      <c r="AA6" s="16" t="s">
        <v>181</v>
      </c>
    </row>
    <row r="7" spans="1:27">
      <c r="B7" s="11" t="s">
        <v>327</v>
      </c>
      <c r="C7" s="11" t="s">
        <v>328</v>
      </c>
      <c r="D7" s="2">
        <v>4.59</v>
      </c>
      <c r="E7" s="12" t="s">
        <v>134</v>
      </c>
      <c r="F7" s="15">
        <v>0.18177567353945742</v>
      </c>
      <c r="G7" s="15">
        <f>F7 - Portfolio_Mgmt!$C$10</f>
        <v>6.4375673539457418E-2</v>
      </c>
      <c r="H7" s="15">
        <f>F7 - Portfolio_Mgmt!$C$11</f>
        <v>0.14727567353945742</v>
      </c>
      <c r="I7" s="15">
        <v>0.10031858944603886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8.8000692516830875E-2</v>
      </c>
      <c r="P7" s="4">
        <v>6.5359477124183024E-2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169</v>
      </c>
      <c r="Y7" s="11" t="s">
        <v>361</v>
      </c>
      <c r="Z7" s="14">
        <v>46173</v>
      </c>
      <c r="AA7" s="16" t="s">
        <v>181</v>
      </c>
    </row>
    <row r="8" spans="1:27">
      <c r="B8" s="11" t="s">
        <v>362</v>
      </c>
      <c r="C8" s="11" t="s">
        <v>363</v>
      </c>
      <c r="D8" s="2">
        <v>6.98</v>
      </c>
      <c r="E8" s="12" t="s">
        <v>134</v>
      </c>
      <c r="F8" s="15">
        <v>0.18023444042885403</v>
      </c>
      <c r="G8" s="15">
        <f>F8 - Portfolio_Mgmt!$C$10</f>
        <v>6.2834440428854027E-2</v>
      </c>
      <c r="H8" s="15">
        <f>F8 - Portfolio_Mgmt!$C$11</f>
        <v>0.14573444042885403</v>
      </c>
      <c r="I8" s="15">
        <v>9.5815563245216326E-2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6.5767926991121162E-2</v>
      </c>
      <c r="P8" s="4">
        <v>2.0343839541547275E-2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169</v>
      </c>
      <c r="Y8" s="11" t="s">
        <v>364</v>
      </c>
      <c r="Z8" s="14">
        <v>46081</v>
      </c>
      <c r="AA8" s="16" t="s">
        <v>181</v>
      </c>
    </row>
    <row r="9" spans="1:27">
      <c r="B9" s="11" t="s">
        <v>183</v>
      </c>
      <c r="C9" s="11" t="s">
        <v>371</v>
      </c>
      <c r="D9" s="2">
        <v>3.3</v>
      </c>
      <c r="E9" s="12" t="s">
        <v>134</v>
      </c>
      <c r="F9" s="15">
        <v>0.17837891991302798</v>
      </c>
      <c r="G9" s="15">
        <f>F9 - Portfolio_Mgmt!$C$10</f>
        <v>6.0978919913027979E-2</v>
      </c>
      <c r="H9" s="15">
        <f>F9 - Portfolio_Mgmt!$C$11</f>
        <v>0.14387891991302798</v>
      </c>
      <c r="I9" s="15">
        <v>9.0289299438797183E-2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7.3583281239251438E-2</v>
      </c>
      <c r="P9" s="4">
        <v>8.1818181818181832E-2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372</v>
      </c>
      <c r="Y9" s="11" t="s">
        <v>361</v>
      </c>
      <c r="Z9" s="14">
        <v>46081</v>
      </c>
      <c r="AA9" s="16" t="s">
        <v>181</v>
      </c>
    </row>
    <row r="10" spans="1:27">
      <c r="B10" s="11" t="s">
        <v>330</v>
      </c>
      <c r="C10" s="11" t="s">
        <v>369</v>
      </c>
      <c r="D10" s="2">
        <v>8</v>
      </c>
      <c r="E10" s="12" t="s">
        <v>134</v>
      </c>
      <c r="F10" s="15">
        <v>0.1625616874572374</v>
      </c>
      <c r="G10" s="15">
        <f>F10 - Portfolio_Mgmt!$C$10</f>
        <v>4.5161687457237393E-2</v>
      </c>
      <c r="H10" s="15">
        <f>F10 - Portfolio_Mgmt!$C$11</f>
        <v>0.12806168745723739</v>
      </c>
      <c r="I10" s="15">
        <v>1.8986919395600103E-2</v>
      </c>
      <c r="J10" s="2">
        <v>5.8598485626323384</v>
      </c>
      <c r="K10" s="2">
        <v>11.448186649741713</v>
      </c>
      <c r="L10" s="71">
        <v>10.113942030787026</v>
      </c>
      <c r="M10" s="2">
        <v>7.2843816038938085</v>
      </c>
      <c r="N10" s="2">
        <v>8.9758387437714386</v>
      </c>
      <c r="O10" s="4">
        <v>8.8326971335894247E-2</v>
      </c>
      <c r="P10" s="4">
        <v>3.9906686947116847E-2</v>
      </c>
      <c r="Q10" s="4">
        <v>0.17171989339292729</v>
      </c>
      <c r="R10" s="4">
        <v>8.360610358685619E-2</v>
      </c>
      <c r="S10" s="79">
        <v>1.3282158707615834</v>
      </c>
      <c r="T10" s="78">
        <v>1.5463719418456539</v>
      </c>
      <c r="U10" s="15">
        <v>0.22428295339746124</v>
      </c>
      <c r="V10" s="76">
        <v>1.2715557492373779</v>
      </c>
      <c r="W10" s="71">
        <v>-2.9643040032522414</v>
      </c>
      <c r="X10" s="16" t="s">
        <v>370</v>
      </c>
      <c r="Y10" s="11" t="s">
        <v>364</v>
      </c>
      <c r="Z10" s="14">
        <v>46081</v>
      </c>
      <c r="AA10" s="16" t="s">
        <v>367</v>
      </c>
    </row>
    <row r="11" spans="1:27">
      <c r="B11" s="11" t="s">
        <v>380</v>
      </c>
      <c r="C11" s="11" t="s">
        <v>381</v>
      </c>
      <c r="D11" s="2">
        <v>4.68</v>
      </c>
      <c r="E11" s="12" t="s">
        <v>134</v>
      </c>
      <c r="F11" s="15">
        <v>0.15347397994697132</v>
      </c>
      <c r="G11" s="15">
        <f>F11 - Portfolio_Mgmt!$C$10</f>
        <v>3.6073979946971313E-2</v>
      </c>
      <c r="H11" s="15">
        <f>F11 - Portfolio_Mgmt!$C$11</f>
        <v>0.11897397994697131</v>
      </c>
      <c r="I11" s="15">
        <v>1.4819828940113445E-3</v>
      </c>
      <c r="J11" s="2">
        <v>3.3455729956390798</v>
      </c>
      <c r="K11" s="2">
        <v>6.6277455556474951</v>
      </c>
      <c r="L11" s="71">
        <v>5.7883592149489207</v>
      </c>
      <c r="M11" s="2">
        <v>4.1632581103676909</v>
      </c>
      <c r="N11" s="2">
        <v>5.1345919269174427</v>
      </c>
      <c r="O11" s="4">
        <v>6.6283758838077078E-2</v>
      </c>
      <c r="P11" s="4">
        <v>3.4017094017094018E-2</v>
      </c>
      <c r="Q11" s="4">
        <v>0.27382509866113364</v>
      </c>
      <c r="R11" s="4">
        <v>0.20764453215246689</v>
      </c>
      <c r="S11" s="79">
        <v>0.86056930273853416</v>
      </c>
      <c r="T11" s="78">
        <v>1.532381509863507</v>
      </c>
      <c r="U11" s="15">
        <v>0.27351475277205878</v>
      </c>
      <c r="V11" s="76">
        <v>0.94608729427783522</v>
      </c>
      <c r="W11" s="71">
        <v>0.59749676752244707</v>
      </c>
      <c r="X11" s="13" t="s">
        <v>169</v>
      </c>
      <c r="Y11" s="11" t="s">
        <v>364</v>
      </c>
      <c r="Z11" s="14">
        <v>46173</v>
      </c>
      <c r="AA11" s="16" t="s">
        <v>367</v>
      </c>
    </row>
    <row r="12" spans="1:27">
      <c r="B12" s="11" t="s">
        <v>377</v>
      </c>
      <c r="C12" s="11" t="s">
        <v>378</v>
      </c>
      <c r="D12" s="2">
        <v>97.9</v>
      </c>
      <c r="E12" s="12" t="s">
        <v>134</v>
      </c>
      <c r="F12" s="15">
        <v>0.14083354404354759</v>
      </c>
      <c r="G12" s="15">
        <f>F12 - Portfolio_Mgmt!$C$10</f>
        <v>2.3433544043547583E-2</v>
      </c>
      <c r="H12" s="15">
        <f>F12 - Portfolio_Mgmt!$C$11</f>
        <v>0.10633354404354758</v>
      </c>
      <c r="I12" s="15">
        <v>0</v>
      </c>
      <c r="J12" s="2">
        <v>66.986888392487472</v>
      </c>
      <c r="K12" s="2">
        <v>145.36154781169779</v>
      </c>
      <c r="L12" s="71">
        <v>117.8304770914044</v>
      </c>
      <c r="M12" s="2">
        <v>83.963348916504174</v>
      </c>
      <c r="N12" s="2">
        <v>104.18940013875253</v>
      </c>
      <c r="O12" s="4">
        <v>1.2577227497705517E-2</v>
      </c>
      <c r="P12" s="4">
        <v>0</v>
      </c>
      <c r="Q12" s="4">
        <v>0.25</v>
      </c>
      <c r="R12" s="4">
        <v>0.13647968218259099</v>
      </c>
      <c r="S12" s="79">
        <v>1.022390799101176</v>
      </c>
      <c r="T12" s="78">
        <v>1.7916578376478161</v>
      </c>
      <c r="U12" s="15">
        <v>0.27660377540313014</v>
      </c>
      <c r="V12" s="76">
        <v>3.1316510969641755</v>
      </c>
      <c r="W12" s="71">
        <v>3.579910720790842</v>
      </c>
      <c r="X12" s="13" t="s">
        <v>386</v>
      </c>
      <c r="Y12" s="11" t="s">
        <v>364</v>
      </c>
      <c r="Z12" s="14">
        <v>46081</v>
      </c>
      <c r="AA12" s="16" t="s">
        <v>367</v>
      </c>
    </row>
    <row r="13" spans="1:27">
      <c r="B13" s="11" t="s">
        <v>157</v>
      </c>
      <c r="C13" s="11" t="s">
        <v>373</v>
      </c>
      <c r="D13" s="2">
        <v>20.22</v>
      </c>
      <c r="E13" s="12" t="s">
        <v>134</v>
      </c>
      <c r="F13" s="15">
        <v>0.13597901385561928</v>
      </c>
      <c r="G13" s="15">
        <f>F13 - Portfolio_Mgmt!$C$10</f>
        <v>1.8579013855619275E-2</v>
      </c>
      <c r="H13" s="15">
        <f>F13 - Portfolio_Mgmt!$C$11</f>
        <v>0.10147901385561928</v>
      </c>
      <c r="I13" s="15">
        <v>0</v>
      </c>
      <c r="J13" s="2">
        <v>13.79002325751499</v>
      </c>
      <c r="K13" s="2">
        <v>27.857057934764168</v>
      </c>
      <c r="L13" s="2">
        <v>23.94108103492729</v>
      </c>
      <c r="M13" s="2">
        <v>17.186119767005508</v>
      </c>
      <c r="N13" s="2">
        <v>21.222901111273309</v>
      </c>
      <c r="O13" s="4">
        <v>5.5595988420728361E-2</v>
      </c>
      <c r="P13" s="4">
        <v>2.5748099969982573E-2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5.6028770903910807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24.62</v>
      </c>
      <c r="E14" s="12" t="s">
        <v>134</v>
      </c>
      <c r="F14" s="15">
        <v>6.4801744714613224E-2</v>
      </c>
      <c r="G14" s="15">
        <f>F14 - Portfolio_Mgmt!$C$10</f>
        <v>-5.259825528538678E-2</v>
      </c>
      <c r="H14" s="15">
        <f>F14 - Portfolio_Mgmt!$C$11</f>
        <v>3.0301744714613221E-2</v>
      </c>
      <c r="I14" s="15">
        <v>0</v>
      </c>
      <c r="J14" s="2">
        <v>14.145646432160309</v>
      </c>
      <c r="K14" s="2">
        <v>25.692872578387572</v>
      </c>
      <c r="L14" s="2">
        <v>24.118307136320361</v>
      </c>
      <c r="M14" s="2">
        <v>17.49169339428833</v>
      </c>
      <c r="N14" s="2">
        <v>21.45551338564702</v>
      </c>
      <c r="O14" s="4">
        <v>9.7813097093616477E-2</v>
      </c>
      <c r="P14" s="4">
        <v>5.1177904142973192E-2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0.46205386121895364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0.60766914240914416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20.22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17.186119767005508</v>
      </c>
      <c r="K4" s="81">
        <f>VLOOKUP(B4,Opportunities!B$3:N$30,9,FALSE)</f>
        <v>13.79002325751499</v>
      </c>
      <c r="L4" s="81">
        <f>VLOOKUP(B4,Opportunities!B$3:N$30,11,FALSE)</f>
        <v>23.94108103492729</v>
      </c>
      <c r="M4" s="81">
        <f>VLOOKUP(B4,Opportunities!B$3:N$30,13,FALSE)</f>
        <v>21.222901111273309</v>
      </c>
    </row>
    <row r="5" spans="1:13">
      <c r="B5" s="63" t="s">
        <v>382</v>
      </c>
      <c r="C5" s="62" t="str">
        <f>VLOOKUP(B5,Opportunities!B$3:E$30,2,FALSE)</f>
        <v>京东集团</v>
      </c>
      <c r="D5" s="60">
        <f>VLOOKUP(B5,Opportunities!B$3:E$30,3,FALSE)</f>
        <v>115.2</v>
      </c>
      <c r="E5" s="59" t="str">
        <f>VLOOKUP(B5,Opportunities!B$3:E$30,4,FALSE)</f>
        <v>HKD</v>
      </c>
      <c r="F5" s="57">
        <v>1000</v>
      </c>
      <c r="G5" s="61">
        <f t="shared" si="1"/>
        <v>115200</v>
      </c>
      <c r="H5" s="58">
        <f t="shared" si="0"/>
        <v>8.6926404574502042E-2</v>
      </c>
      <c r="I5" s="58">
        <f>VLOOKUP(B5,Opportunities!B$3:I$30,8,FALSE)</f>
        <v>0.14741285019101591</v>
      </c>
      <c r="J5" s="81">
        <f>VLOOKUP(B5,Opportunities!B$3:N$30,12,FALSE)</f>
        <v>114.89480224306809</v>
      </c>
      <c r="K5" s="81">
        <f>VLOOKUP(B5,Opportunities!B$3:N$30,9,FALSE)</f>
        <v>92.195245344123904</v>
      </c>
      <c r="L5" s="81">
        <f>VLOOKUP(B5,Opportunities!B$3:N$30,11,FALSE)</f>
        <v>160.04389724965404</v>
      </c>
      <c r="M5" s="81">
        <f>VLOOKUP(B5,Opportunities!B$3:N$30,13,FALSE)</f>
        <v>141.87616243210397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</v>
      </c>
      <c r="E6" s="59" t="str">
        <f>VLOOKUP(B6,Opportunities!B$3:E$30,4,FALSE)</f>
        <v>HKD</v>
      </c>
      <c r="F6" s="57">
        <v>40000</v>
      </c>
      <c r="G6" s="61">
        <f t="shared" si="1"/>
        <v>132000</v>
      </c>
      <c r="H6" s="58">
        <f t="shared" si="0"/>
        <v>9.9603171908283591E-2</v>
      </c>
      <c r="I6" s="58">
        <f>VLOOKUP(B6,Opportunities!B$3:I$30,8,FALSE)</f>
        <v>9.0289299438797183E-2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</v>
      </c>
      <c r="E7" s="59" t="str">
        <f>VLOOKUP(B7,Opportunities!B$3:E$30,4,FALSE)</f>
        <v>HKD</v>
      </c>
      <c r="F7" s="57">
        <v>8000</v>
      </c>
      <c r="G7" s="61">
        <f t="shared" si="1"/>
        <v>64000</v>
      </c>
      <c r="H7" s="58">
        <f t="shared" si="0"/>
        <v>4.8292446985834465E-2</v>
      </c>
      <c r="I7" s="58">
        <f>VLOOKUP(B7,Opportunities!B$3:I$30,8,FALSE)</f>
        <v>1.8986919395600103E-2</v>
      </c>
      <c r="J7" s="81">
        <f>VLOOKUP(B7,Opportunities!B$3:N$30,12,FALSE)</f>
        <v>7.2843816038938085</v>
      </c>
      <c r="K7" s="81">
        <f>VLOOKUP(B7,Opportunities!B$3:N$30,9,FALSE)</f>
        <v>5.8598485626323384</v>
      </c>
      <c r="L7" s="81">
        <f>VLOOKUP(B7,Opportunities!B$3:N$30,11,FALSE)</f>
        <v>10.113942030787026</v>
      </c>
      <c r="M7" s="81">
        <f>VLOOKUP(B7,Opportunities!B$3:N$30,13,FALSE)</f>
        <v>8.9758387437714386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10.77</v>
      </c>
      <c r="E8" s="59" t="str">
        <f>VLOOKUP(B8,Opportunities!B$3:E$30,4,FALSE)</f>
        <v>HKD</v>
      </c>
      <c r="F8" s="57">
        <v>10000</v>
      </c>
      <c r="G8" s="61">
        <f t="shared" si="1"/>
        <v>107700</v>
      </c>
      <c r="H8" s="58">
        <f t="shared" si="0"/>
        <v>8.1267133443349571E-2</v>
      </c>
      <c r="I8" s="58">
        <f>VLOOKUP(B8,Opportunities!B$3:I$30,8,FALSE)</f>
        <v>0.12089177032459737</v>
      </c>
      <c r="J8" s="81">
        <f>VLOOKUP(B8,Opportunities!B$3:N$30,12,FALSE)</f>
        <v>12.066197514914851</v>
      </c>
      <c r="K8" s="81">
        <f>VLOOKUP(B8,Opportunities!B$3:N$30,9,FALSE)</f>
        <v>9.718290643738694</v>
      </c>
      <c r="L8" s="81">
        <f>VLOOKUP(B8,Opportunities!B$3:N$30,11,FALSE)</f>
        <v>16.726764060493078</v>
      </c>
      <c r="M8" s="81">
        <f>VLOOKUP(B8,Opportunities!B$3:N$30,13,FALSE)</f>
        <v>14.852597969762343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4.59</v>
      </c>
      <c r="E9" s="59" t="str">
        <f>VLOOKUP(B9,Opportunities!B$3:E$30,4,FALSE)</f>
        <v>HKD</v>
      </c>
      <c r="F9" s="57">
        <v>12000</v>
      </c>
      <c r="G9" s="61">
        <f t="shared" si="1"/>
        <v>55080</v>
      </c>
      <c r="H9" s="58">
        <f t="shared" si="0"/>
        <v>4.1561687187183789E-2</v>
      </c>
      <c r="I9" s="58">
        <f>VLOOKUP(B9,Opportunities!B$3:I$30,8,FALSE)</f>
        <v>0.10031858944603886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3.83</v>
      </c>
      <c r="E10" s="59" t="str">
        <f>VLOOKUP(B10,Opportunities!B$3:E$30,4,FALSE)</f>
        <v>HKD</v>
      </c>
      <c r="F10" s="57">
        <v>12000</v>
      </c>
      <c r="G10" s="61">
        <f t="shared" si="1"/>
        <v>45960</v>
      </c>
      <c r="H10" s="58">
        <f t="shared" ref="H10" si="2">G10/$G$12</f>
        <v>3.4680013491702376E-2</v>
      </c>
      <c r="I10" s="58">
        <f>VLOOKUP(B10,Opportunities!B$3:I$30,8,FALSE)</f>
        <v>0.12011471964499695</v>
      </c>
      <c r="J10" s="81">
        <f>VLOOKUP(B10,Opportunities!B$3:N$30,12,FALSE)</f>
        <v>4.2783994790580726</v>
      </c>
      <c r="K10" s="81">
        <f>VLOOKUP(B10,Opportunities!B$3:N$30,9,FALSE)</f>
        <v>3.4499276298722323</v>
      </c>
      <c r="L10" s="81">
        <f>VLOOKUP(B10,Opportunities!B$3:N$30,11,FALSE)</f>
        <v>5.921835475859262</v>
      </c>
      <c r="M10" s="81">
        <f>VLOOKUP(B10,Opportunities!B$3:N$30,13,FALSE)</f>
        <v>5.2610954601804716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1325259</v>
      </c>
      <c r="H12" s="67">
        <f>SUM(H3:H10)</f>
        <v>1</v>
      </c>
      <c r="I12" s="73">
        <f>SUM(I3:I10)</f>
        <v>1.0480141484410463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17.186119767005508</v>
      </c>
      <c r="K15" s="81">
        <f>VLOOKUP(B15,Opportunities!B$3:N$30,9,FALSE)</f>
        <v>13.79002325751499</v>
      </c>
      <c r="L15" s="81">
        <f>VLOOKUP(B15,Opportunities!B$3:N$30,11,FALSE)</f>
        <v>23.94108103492729</v>
      </c>
      <c r="M15" s="81">
        <f>VLOOKUP(B15,Opportunities!B$3:N$30,13,FALSE)</f>
        <v>21.222901111273309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24.62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17.49169339428833</v>
      </c>
      <c r="K16" s="81">
        <f>VLOOKUP(B16,Opportunities!B$3:N$30,9,FALSE)</f>
        <v>14.145646432160309</v>
      </c>
      <c r="L16" s="81">
        <f>VLOOKUP(B16,Opportunities!B$3:N$30,11,FALSE)</f>
        <v>24.118307136320361</v>
      </c>
      <c r="M16" s="81">
        <f>VLOOKUP(B16,Opportunities!B$3:N$30,13,FALSE)</f>
        <v>21.45551338564702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9.0289299438797183E-2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3.83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0.12011471964499695</v>
      </c>
      <c r="J18" s="81">
        <f>VLOOKUP(B18,Opportunities!B$3:N$30,12,FALSE)</f>
        <v>4.2783994790580726</v>
      </c>
      <c r="K18" s="81">
        <f>VLOOKUP(B18,Opportunities!B$3:N$30,9,FALSE)</f>
        <v>3.4499276298722323</v>
      </c>
      <c r="L18" s="81">
        <f>VLOOKUP(B18,Opportunities!B$3:N$30,11,FALSE)</f>
        <v>5.921835475859262</v>
      </c>
      <c r="M18" s="81">
        <f>VLOOKUP(B18,Opportunities!B$3:N$30,13,FALSE)</f>
        <v>5.2610954601804716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10.77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0.12089177032459737</v>
      </c>
      <c r="J19" s="81">
        <f>VLOOKUP(B19,Opportunities!B$3:N$30,12,FALSE)</f>
        <v>12.066197514914851</v>
      </c>
      <c r="K19" s="81">
        <f>VLOOKUP(B19,Opportunities!B$3:N$30,9,FALSE)</f>
        <v>9.718290643738694</v>
      </c>
      <c r="L19" s="81">
        <f>VLOOKUP(B19,Opportunities!B$3:N$30,11,FALSE)</f>
        <v>16.726764060493078</v>
      </c>
      <c r="M19" s="81">
        <f>VLOOKUP(B19,Opportunities!B$3:N$30,13,FALSE)</f>
        <v>14.852597969762343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1.8986919395600103E-2</v>
      </c>
      <c r="J20" s="81">
        <f>VLOOKUP(B20,Opportunities!B$3:N$30,12,FALSE)</f>
        <v>7.2843816038938085</v>
      </c>
      <c r="K20" s="81">
        <f>VLOOKUP(B20,Opportunities!B$3:N$30,9,FALSE)</f>
        <v>5.8598485626323384</v>
      </c>
      <c r="L20" s="81">
        <f>VLOOKUP(B20,Opportunities!B$3:N$30,11,FALSE)</f>
        <v>10.113942030787026</v>
      </c>
      <c r="M20" s="81">
        <f>VLOOKUP(B20,Opportunities!B$3:N$30,13,FALSE)</f>
        <v>8.9758387437714386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0.60766914240914416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2026-02-02T06:44:34Z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