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2453099-951D-4168-A45D-752FA0D5EFD0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<sst xmlns="http://schemas.openxmlformats.org/spreadsheetml/2006/main" count="467" uniqueCount="384">
  <si>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</si>
  <si>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</si>
  <si>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</si>
  <si>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</si>
  <si>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</si>
  <si>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</si>
  <si>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</si>
  <si>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</si>
  <si>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</si>
  <si>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</si>
  <si>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</si>
  <si>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</si>
  <si>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</si>
  <si>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</si>
  <si>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</si>
  <si>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</si>
  <si>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</si>
  <si>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</si>
  <si>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</si>
  <si>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</si>
  <si>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</si>
  <si>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</si>
  <si>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</si>
  <si>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</si>
  <si>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</si>
  <si>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</si>
  <si>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</si>
  <si>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</si>
  <si>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</si>
  <si>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</si>
  <si>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</si>
  <si>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</si>
  <si>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</si>
  <si>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</si>
  <si>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</si>
  <si>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</si>
  <si>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</si>
  <si>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</si>
  <si>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</si>
  <si>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</si>
  <si>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</si>
  <si>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</si>
  <si>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</si>
  <si>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</si>
  <si>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</si>
  <si>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</si>
  <si>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</si>
  <si>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</si>
  <si>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</si>
  <si>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</si>
  <si>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</si>
  <si>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</si>
  <si>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</si>
  <si>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</si>
  <si>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</si>
  <si>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</si>
  <si>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</si>
  <si>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</si>
  <si>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</si>
  <si>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</si>
  <si>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</si>
  <si>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</si>
  <si>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</si>
  <si>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</si>
  <si>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</si>
  <si>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</si>
  <si>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</si>
  <si>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</si>
  <si>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</si>
  <si>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</si>
  <si>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</si>
  <si>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</si>
  <si>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</si>
  <si>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</si>
  <si>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</si>
  <si>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</si>
  <si>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</si>
  <si>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</si>
  <si>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</si>
  <si>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</si>
  <si>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</si>
  <si>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</si>
  <si>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</si>
  <si>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</si>
  <si>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</si>
  <si>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</si>
  <si>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</si>
  <si>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</si>
  <si>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</si>
  <si>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</si>
  <si>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</si>
  <si>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</si>
  <si>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</si>
  <si>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</si>
  <si>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</si>
  <si>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</si>
  <si>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</si>
  <si>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</si>
  <si>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</si>
  <si>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</si>
  <si>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</si>
  <si>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</si>
  <si>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</si>
  <si>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</si>
  <si>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</si>
  <si>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</si>
  <si>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</si>
  <si>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</si>
  <si>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</si>
  <si>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</si>
  <si>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</si>
  <si>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</si>
  <si>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</si>
  <si>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</si>
  <si>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</si>
  <si>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</si>
  <si>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</si>
  <si>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</si>
  <si>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</si>
  <si>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</si>
  <si>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</si>
  <si>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</si>
  <si>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</si>
  <si>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</si>
  <si>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</si>
  <si>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</si>
  <si>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</si>
  <si>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</si>
  <si>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</si>
  <si>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</si>
  <si>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</si>
  <si>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</si>
  <si>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</si>
  <si>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</si>
  <si>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</si>
  <si>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</si>
  <si>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</si>
  <si>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</si>
  <si>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</si>
  <si>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</si>
  <si>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</si>
  <si>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</si>
  <si>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</si>
  <si>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</si>
  <si>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</si>
  <si>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</si>
  <si>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</si>
  <si>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</si>
  <si>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</si>
  <si>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</si>
  <si>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</si>
  <si>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</si>
  <si>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</si>
  <si>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</si>
  <si>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</si>
  <si>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</si>
  <si>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</si>
  <si>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</si>
  <si>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</si>
  <si>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</si>
  <si>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</si>
  <si>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</si>
  <si>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</si>
  <si>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</si>
  <si>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</si>
  <si>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</si>
  <si>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</si>
  <si>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</si>
  <si>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</si>
  <si>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</si>
  <si>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</si>
  <si>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</si>
  <si>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</si>
  <si>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</si>
  <si>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</si>
  <si>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</si>
  <si>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</si>
  <si>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</si>
  <si>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</si>
  <si>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</si>
  <si>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</si>
  <si>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</si>
  <si>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</si>
  <si>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</si>
  <si>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</si>
  <si>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</si>
  <si>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</si>
  <si>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</si>
  <si>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</si>
  <si>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</si>
  <si>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</si>
  <si>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</si>
  <si>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</si>
  <si>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</si>
  <si>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</si>
  <si>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</si>
  <si>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</si>
  <si>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</si>
  <si>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</si>
  <si>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</si>
  <si>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</si>
  <si>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</si>
  <si>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</si>
  <si>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</si>
  <si>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</si>
  <si>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</si>
  <si>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</si>
  <si>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</si>
  <si>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</si>
  <si>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</si>
  <si>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</si>
  <si>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</si>
  <si>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</si>
  <si>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</si>
  <si>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</si>
  <si>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</si>
  <si>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</si>
  <si>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</si>
  <si>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</si>
  <si>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</si>
  <si>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</si>
  <si>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</si>
  <si>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</si>
  <si>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</si>
  <si>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</si>
  <si>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</si>
  <si>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</si>
  <si>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</si>
  <si>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</si>
  <si>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</si>
  <si>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</si>
  <si>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</si>
  <si>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</si>
  <si>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</si>
  <si>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</si>
  <si>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</si>
  <si>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</si>
  <si>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</si>
  <si>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</si>
  <si>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</si>
  <si>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</si>
  <si>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</si>
  <si>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</si>
  <si>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</si>
  <si>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</si>
  <si>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</si>
  <si>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</si>
  <si>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</si>
  <si>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</si>
  <si>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</si>
  <si>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</si>
  <si>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</si>
  <si>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</si>
  <si>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</si>
  <si>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</si>
  <si>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</si>
  <si>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</si>
  <si>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</si>
  <si>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</si>
  <si>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</si>
  <si>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</si>
  <si>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</si>
  <si>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</si>
  <si>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</si>
  <si>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</si>
  <si>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</si>
  <si>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</si>
  <si>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</si>
  <si>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</si>
  <si>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</si>
  <si>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</si>
  <si>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</si>
  <si>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</si>
  <si>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</si>
  <si>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</si>
  <si>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</si>
  <si>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</si>
  <si>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</si>
  <si>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</si>
  <si>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</si>
  <si>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</si>
  <si>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</si>
  <si>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</si>
  <si>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</si>
  <si>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</si>
  <si>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</si>
  <si>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</si>
  <si>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</si>
  <si>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</si>
  <si>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</si>
  <si>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</si>
  <si>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</si>
  <si>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</si>
  <si>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</si>
  <si>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</si>
  <si>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</si>
  <si>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</si>
  <si>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</si>
  <si>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</si>
  <si>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</si>
  <si>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</si>
  <si>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</si>
  <si>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</si>
  <si>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</si>
  <si>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</si>
  <si>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</si>
  <si>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</si>
  <si>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</si>
  <si>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</si>
  <si>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</si>
  <si>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</si>
  <si>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</si>
  <si>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</si>
  <si>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</si>
  <si>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</si>
  <si>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</si>
  <si>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</si>
  <si>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</si>
  <si>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</si>
  <si>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</si>
  <si>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</si>
  <si>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</si>
  <si>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</si>
  <si>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</si>
  <si>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</si>
  <si>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</si>
  <si>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</si>
  <si>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</si>
  <si>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</si>
  <si>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</si>
  <si>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</si>
  <si>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</si>
  <si>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</si>
  <si>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</si>
  <si>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</si>
  <si>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</si>
  <si>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</si>
  <si>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</si>
  <si>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</si>
  <si>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</si>
  <si>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</si>
  <si>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</si>
  <si>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</si>
  <si>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</si>
  <si>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</si>
  <si>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</si>
  <si>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</si>
  <si>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</si>
  <si>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</si>
  <si>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</si>
  <si>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</si>
  <si>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</si>
  <si>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</si>
  <si>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</si>
  <si>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</si>
  <si>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</si>
  <si>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</si>
  <si>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</si>
  <si>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</si>
  <si>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</si>
  <si>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</si>
  <si>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</si>
  <si>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</si>
  <si>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</si>
  <si>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</si>
  <si>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</si>
  <si>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</si>
  <si>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</si>
  <si>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</si>
  <si>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</si>
  <si>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</si>
  <si>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</si>
  <si>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3813.HK</t>
  </si>
  <si>
    <t>寶勝國際</t>
  </si>
  <si>
    <t>IND_01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</si>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</sst>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10" sqref="L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10.64</v>
      </c>
      <c r="E3" s="12" t="s">
        <v>135</v>
      </c>
      <c r="F3" s="15">
        <v>0.28734146037901681</v>
      </c>
      <c r="G3" s="15">
        <f>F3 - Portfolio_Mgmt!$C$10</f>
        <v>0.16994146037901681</v>
      </c>
      <c r="H3" s="15">
        <f>F3 - Portfolio_Mgmt!$C$11</f>
        <v>0.25284146037901678</v>
      </c>
      <c r="I3" s="15">
        <v>0.1459684940107539</v>
      </c>
      <c r="J3" s="2">
        <v>10.468055497634923</v>
      </c>
      <c r="K3" s="2">
        <v>20.314702954364844</v>
      </c>
      <c r="L3" s="71">
        <v>18.046758358580664</v>
      </c>
      <c r="M3" s="2">
        <v>13.006335132146024</v>
      </c>
      <c r="N3" s="2">
        <v>16.019583271014266</v>
      </c>
      <c r="O3" s="4">
        <v>9.4668708997100268E-2</v>
      </c>
      <c r="P3" s="4">
        <v>5.6829110645351559E-2</v>
      </c>
      <c r="Q3" s="4">
        <v>0.10095732069447201</v>
      </c>
      <c r="R3" s="4">
        <v>0.12639722869231071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1.7472621093420444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3.93</v>
      </c>
      <c r="E4" s="12" t="s">
        <v>135</v>
      </c>
      <c r="F4" s="15">
        <v>0.23571332501867828</v>
      </c>
      <c r="G4" s="15">
        <f>F4 - Portfolio_Mgmt!$C$10</f>
        <v>0.11831332501867828</v>
      </c>
      <c r="H4" s="15">
        <f>F4 - Portfolio_Mgmt!$C$11</f>
        <v>0.20121332501867828</v>
      </c>
      <c r="I4" s="15">
        <v>0.11010326331669246</v>
      </c>
      <c r="J4" s="2">
        <v>3.4405085564388571</v>
      </c>
      <c r="K4" s="2">
        <v>6.5057694663778829</v>
      </c>
      <c r="L4" s="71">
        <v>5.9052672497026641</v>
      </c>
      <c r="M4" s="2">
        <v>4.266593333584904</v>
      </c>
      <c r="N4" s="2">
        <v>5.246445315436679</v>
      </c>
      <c r="O4" s="4">
        <v>0.11200607696143833</v>
      </c>
      <c r="P4" s="4">
        <v>6.1526717557251906E-2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1.2724169427371299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363</v>
      </c>
      <c r="C5" s="11" t="s">
        <v>364</v>
      </c>
      <c r="D5" s="2">
        <v>6.54</v>
      </c>
      <c r="E5" s="12" t="s">
        <v>135</v>
      </c>
      <c r="F5" s="15">
        <v>0.20657380007864951</v>
      </c>
      <c r="G5" s="15">
        <f>F5 - Portfolio_Mgmt!$C$10</f>
        <v>8.9173800078649501E-2</v>
      </c>
      <c r="H5" s="15">
        <f>F5 - Portfolio_Mgmt!$C$11</f>
        <v>0.1720738000786495</v>
      </c>
      <c r="I5" s="15">
        <v>0.16337890029641017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7.0192680488994769E-2</v>
      </c>
      <c r="P5" s="4">
        <v>2.1712538226299691E-2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170</v>
      </c>
      <c r="Y5" s="11" t="s">
        <v>365</v>
      </c>
      <c r="Z5" s="14">
        <v>46081</v>
      </c>
      <c r="AA5" s="16" t="s">
        <v>182</v>
      </c>
    </row>
    <row r="6" spans="1:27">
      <c r="B6" s="11" t="s">
        <v>381</v>
      </c>
      <c r="C6" s="11" t="s">
        <v>382</v>
      </c>
      <c r="D6" s="2">
        <v>98.5</v>
      </c>
      <c r="E6" s="12" t="s">
        <v>135</v>
      </c>
      <c r="F6" s="15">
        <v>0.18370594590974093</v>
      </c>
      <c r="G6" s="15">
        <f>F6 - Portfolio_Mgmt!$C$10</f>
        <v>6.6305945909740927E-2</v>
      </c>
      <c r="H6" s="15">
        <f>F6 - Portfolio_Mgmt!$C$11</f>
        <v>0.14920594590974093</v>
      </c>
      <c r="I6" s="15">
        <v>5.2924949342869468E-2</v>
      </c>
      <c r="J6" s="2">
        <v>75.284918407209062</v>
      </c>
      <c r="K6" s="2">
        <v>163.36827294364363</v>
      </c>
      <c r="L6" s="71">
        <v>132.4267788307026</v>
      </c>
      <c r="M6" s="2">
        <v>94.364345382610082</v>
      </c>
      <c r="N6" s="2">
        <v>117.09590752123555</v>
      </c>
      <c r="O6" s="4">
        <v>2.4876331597681663E-2</v>
      </c>
      <c r="P6" s="4">
        <v>0</v>
      </c>
      <c r="Q6" s="4">
        <v>0.22500000000000001</v>
      </c>
      <c r="R6" s="4">
        <v>0.12283171396433189</v>
      </c>
      <c r="S6" s="79">
        <v>1.022390799101176</v>
      </c>
      <c r="T6" s="78">
        <v>1.7916578376478161</v>
      </c>
      <c r="U6" s="15">
        <v>0.27660377540313014</v>
      </c>
      <c r="V6" s="76">
        <v>1.7116972700897226</v>
      </c>
      <c r="W6" s="71">
        <v>3.5686988226307381</v>
      </c>
      <c r="X6" s="13" t="s">
        <v>383</v>
      </c>
      <c r="Y6" s="11" t="s">
        <v>362</v>
      </c>
      <c r="Z6" s="14">
        <v>46081</v>
      </c>
      <c r="AA6" s="16" t="s">
        <v>368</v>
      </c>
    </row>
    <row r="7" spans="1:27">
      <c r="B7" s="11" t="s">
        <v>331</v>
      </c>
      <c r="C7" s="11" t="s">
        <v>370</v>
      </c>
      <c r="D7" s="2">
        <v>7.6</v>
      </c>
      <c r="E7" s="12" t="s">
        <v>135</v>
      </c>
      <c r="F7" s="15">
        <v>0.18202773583239518</v>
      </c>
      <c r="G7" s="15">
        <f>F7 - Portfolio_Mgmt!$C$10</f>
        <v>6.4627735832395172E-2</v>
      </c>
      <c r="H7" s="15">
        <f>F7 - Portfolio_Mgmt!$C$11</f>
        <v>0.14752773583239517</v>
      </c>
      <c r="I7" s="15">
        <v>5.0523831343001556E-2</v>
      </c>
      <c r="J7" s="2">
        <v>5.8415407525869734</v>
      </c>
      <c r="K7" s="2">
        <v>11.412428955174017</v>
      </c>
      <c r="L7" s="71">
        <v>10.082344713556914</v>
      </c>
      <c r="M7" s="2">
        <v>7.2616236139545345</v>
      </c>
      <c r="N7" s="2">
        <v>8.9477967602296538</v>
      </c>
      <c r="O7" s="4">
        <v>9.2684507768222305E-2</v>
      </c>
      <c r="P7" s="4">
        <v>4.1875477330871387E-2</v>
      </c>
      <c r="Q7" s="4">
        <v>0.17171984057734166</v>
      </c>
      <c r="R7" s="4">
        <v>8.3606077872273948E-2</v>
      </c>
      <c r="S7" s="79">
        <v>1.3282158707615834</v>
      </c>
      <c r="T7" s="78">
        <v>1.5463719418456539</v>
      </c>
      <c r="U7" s="15">
        <v>0.22428295339746124</v>
      </c>
      <c r="V7" s="76">
        <v>1.2715557492373779</v>
      </c>
      <c r="W7" s="71">
        <v>-2.9550201196047992</v>
      </c>
      <c r="X7" s="13" t="s">
        <v>371</v>
      </c>
      <c r="Y7" s="11" t="s">
        <v>365</v>
      </c>
      <c r="Z7" s="14">
        <v>46081</v>
      </c>
      <c r="AA7" s="16" t="s">
        <v>368</v>
      </c>
    </row>
    <row r="8" spans="1:27">
      <c r="B8" s="11" t="s">
        <v>184</v>
      </c>
      <c r="C8" s="11" t="s">
        <v>375</v>
      </c>
      <c r="D8" s="2">
        <v>3.33</v>
      </c>
      <c r="E8" s="12" t="s">
        <v>135</v>
      </c>
      <c r="F8" s="15">
        <v>0.17458009429276089</v>
      </c>
      <c r="G8" s="15">
        <f>F8 - Portfolio_Mgmt!$C$10</f>
        <v>5.7180094292760886E-2</v>
      </c>
      <c r="H8" s="15">
        <f>F8 - Portfolio_Mgmt!$C$11</f>
        <v>0.14008009429276089</v>
      </c>
      <c r="I8" s="15">
        <v>7.8602771794670151E-2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7.2920368795654569E-2</v>
      </c>
      <c r="P8" s="4">
        <v>8.1081081081081086E-2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376</v>
      </c>
      <c r="Y8" s="11" t="s">
        <v>362</v>
      </c>
      <c r="Z8" s="14">
        <v>46081</v>
      </c>
      <c r="AA8" s="16" t="s">
        <v>182</v>
      </c>
    </row>
    <row r="9" spans="1:27">
      <c r="B9" s="11" t="s">
        <v>328</v>
      </c>
      <c r="C9" s="11" t="s">
        <v>329</v>
      </c>
      <c r="D9" s="2">
        <v>4.6900000000000004</v>
      </c>
      <c r="E9" s="12" t="s">
        <v>135</v>
      </c>
      <c r="F9" s="15">
        <v>0.17285218305207994</v>
      </c>
      <c r="G9" s="15">
        <f>F9 - Portfolio_Mgmt!$C$10</f>
        <v>5.545218305207994E-2</v>
      </c>
      <c r="H9" s="15">
        <f>F9 - Portfolio_Mgmt!$C$11</f>
        <v>0.13835218305207994</v>
      </c>
      <c r="I9" s="15">
        <v>7.3114390353837405E-2</v>
      </c>
      <c r="J9" s="2">
        <v>3.5453162653105039</v>
      </c>
      <c r="K9" s="2">
        <v>6.5021029196761031</v>
      </c>
      <c r="L9" s="71">
        <v>6.0543353749158966</v>
      </c>
      <c r="M9" s="2">
        <v>4.3869285024051887</v>
      </c>
      <c r="N9" s="2">
        <v>5.3842307819113344</v>
      </c>
      <c r="O9" s="4">
        <v>8.6124345128412286E-2</v>
      </c>
      <c r="P9" s="4">
        <v>6.3965884861407252E-2</v>
      </c>
      <c r="Q9" s="4">
        <v>0.18</v>
      </c>
      <c r="R9" s="4">
        <v>5.5599077391744495E-2</v>
      </c>
      <c r="S9" s="79">
        <v>1.4798367611150316</v>
      </c>
      <c r="T9" s="78">
        <v>2.187716833659914</v>
      </c>
      <c r="U9" s="15">
        <v>0.76701287002940366</v>
      </c>
      <c r="V9" s="76">
        <v>5.0983946232940358</v>
      </c>
      <c r="W9" s="71">
        <v>-2.4800067209187837</v>
      </c>
      <c r="X9" s="13" t="s">
        <v>170</v>
      </c>
      <c r="Y9" s="11" t="s">
        <v>362</v>
      </c>
      <c r="Z9" s="14">
        <v>46173</v>
      </c>
      <c r="AA9" s="16" t="s">
        <v>182</v>
      </c>
    </row>
    <row r="10" spans="1:27">
      <c r="B10" s="11" t="s">
        <v>372</v>
      </c>
      <c r="C10" s="11" t="s">
        <v>373</v>
      </c>
      <c r="D10" s="2">
        <v>0.48</v>
      </c>
      <c r="E10" s="12" t="s">
        <v>135</v>
      </c>
      <c r="F10" s="15">
        <v>0.16185767838024809</v>
      </c>
      <c r="G10" s="15">
        <f>F10 - Portfolio_Mgmt!$C$10</f>
        <v>4.4457678380248083E-2</v>
      </c>
      <c r="H10" s="15">
        <f>F10 - Portfolio_Mgmt!$C$11</f>
        <v>0.12735767838024808</v>
      </c>
      <c r="I10" s="15">
        <v>1.7702013939827833E-2</v>
      </c>
      <c r="J10" s="2">
        <v>0.35263990436628911</v>
      </c>
      <c r="K10" s="2">
        <v>0.65801758863055526</v>
      </c>
      <c r="L10" s="71">
        <v>0.60392502831448913</v>
      </c>
      <c r="M10" s="2">
        <v>0.4368904682401239</v>
      </c>
      <c r="N10" s="2">
        <v>0.53678122983783294</v>
      </c>
      <c r="O10" s="4">
        <v>0.11231903765917024</v>
      </c>
      <c r="P10" s="4">
        <v>5.6250000000000001E-2</v>
      </c>
      <c r="Q10" s="4">
        <v>3.931859133292645E-2</v>
      </c>
      <c r="R10" s="4">
        <v>1.9127481481925439E-2</v>
      </c>
      <c r="S10" s="79">
        <v>1.4656521003611329</v>
      </c>
      <c r="T10" s="78">
        <v>1.4025206525126881</v>
      </c>
      <c r="U10" s="15">
        <v>0.16239287772638675</v>
      </c>
      <c r="V10" s="76">
        <v>3.5496550732945478</v>
      </c>
      <c r="W10" s="71">
        <v>0.5943653106133131</v>
      </c>
      <c r="X10" s="16" t="s">
        <v>374</v>
      </c>
      <c r="Y10" s="11" t="s">
        <v>362</v>
      </c>
      <c r="Z10" s="14">
        <v>46081</v>
      </c>
      <c r="AA10" s="16" t="s">
        <v>368</v>
      </c>
    </row>
    <row r="11" spans="1:27">
      <c r="B11" s="11" t="s">
        <v>158</v>
      </c>
      <c r="C11" s="11" t="s">
        <v>377</v>
      </c>
      <c r="D11" s="2">
        <v>21</v>
      </c>
      <c r="E11" s="12" t="s">
        <v>135</v>
      </c>
      <c r="F11" s="15">
        <v>0.11897127580433026</v>
      </c>
      <c r="G11" s="15">
        <f>F11 - Portfolio_Mgmt!$C$10</f>
        <v>1.5712758043302522E-3</v>
      </c>
      <c r="H11" s="15">
        <f>F11 - Portfolio_Mgmt!$C$11</f>
        <v>8.4471275804330254E-2</v>
      </c>
      <c r="I11" s="15">
        <v>0</v>
      </c>
      <c r="J11" s="2">
        <v>13.702982172004107</v>
      </c>
      <c r="K11" s="2">
        <v>27.661683898435044</v>
      </c>
      <c r="L11" s="71">
        <v>23.786983277575224</v>
      </c>
      <c r="M11" s="2">
        <v>17.076709793393981</v>
      </c>
      <c r="N11" s="2">
        <v>21.086810961822302</v>
      </c>
      <c r="O11" s="4">
        <v>5.3363406617310552E-2</v>
      </c>
      <c r="P11" s="4">
        <v>2.4869631000126471E-2</v>
      </c>
      <c r="Q11" s="4">
        <v>0.1269529794169299</v>
      </c>
      <c r="R11" s="4">
        <v>0.1202814012998379</v>
      </c>
      <c r="S11" s="79">
        <v>0.77964492924870721</v>
      </c>
      <c r="T11" s="78">
        <v>1.3537783359692717</v>
      </c>
      <c r="U11" s="15">
        <v>6.5417684980282262E-2</v>
      </c>
      <c r="V11" s="76">
        <v>0.50358953318926281</v>
      </c>
      <c r="W11" s="71">
        <v>5.5853294775480524</v>
      </c>
      <c r="X11" s="13" t="s">
        <v>378</v>
      </c>
      <c r="Y11" s="11" t="s">
        <v>362</v>
      </c>
      <c r="Z11" s="14">
        <v>46081</v>
      </c>
      <c r="AA11" s="16" t="s">
        <v>182</v>
      </c>
    </row>
    <row r="12" spans="1:27">
      <c r="B12" s="11" t="s">
        <v>171</v>
      </c>
      <c r="C12" s="11" t="s">
        <v>379</v>
      </c>
      <c r="D12" s="2">
        <v>21.9</v>
      </c>
      <c r="E12" s="12" t="s">
        <v>135</v>
      </c>
      <c r="F12" s="15">
        <v>0.10833706860511425</v>
      </c>
      <c r="G12" s="15">
        <f>F12 - Portfolio_Mgmt!$C$10</f>
        <v>-9.0629313948857593E-3</v>
      </c>
      <c r="H12" s="15">
        <f>F12 - Portfolio_Mgmt!$C$11</f>
        <v>7.3837068605114242E-2</v>
      </c>
      <c r="I12" s="15">
        <v>0</v>
      </c>
      <c r="J12" s="2">
        <v>14.108564711535054</v>
      </c>
      <c r="K12" s="2">
        <v>25.612405244630772</v>
      </c>
      <c r="L12" s="71">
        <v>24.053080090588026</v>
      </c>
      <c r="M12" s="2">
        <v>17.44521406793061</v>
      </c>
      <c r="N12" s="2">
        <v>21.397837587878641</v>
      </c>
      <c r="O12" s="4">
        <v>0.10961718517308801</v>
      </c>
      <c r="P12" s="4">
        <v>5.7534246575342472E-2</v>
      </c>
      <c r="Q12" s="4">
        <v>0.17275816461101692</v>
      </c>
      <c r="R12" s="4">
        <v>0.32389125963769955</v>
      </c>
      <c r="S12" s="79">
        <v>0.37580175109499292</v>
      </c>
      <c r="T12" s="78">
        <v>1.419320754716981</v>
      </c>
      <c r="U12" s="15">
        <v>9.2018392262565404E-2</v>
      </c>
      <c r="V12" s="76">
        <v>0.52808720739977155</v>
      </c>
      <c r="W12" s="71">
        <v>0.46060675785786054</v>
      </c>
      <c r="X12" s="13" t="s">
        <v>380</v>
      </c>
      <c r="Y12" s="11" t="s">
        <v>362</v>
      </c>
      <c r="Z12" s="14">
        <v>46081</v>
      </c>
      <c r="AA12" s="16" t="s">
        <v>182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0.59544915012625366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21</v>
      </c>
      <c r="E4" s="59" t="str">
        <f>VLOOKUP(B4,Opportunities!B$3:E$30,4,FALSE)</f>
        <v>HKD</v>
      </c>
      <c r="F4" s="57">
        <v>4500</v>
      </c>
      <c r="G4" s="61">
        <f t="shared" ref="G4:G10" si="1">D4*F4</f>
        <v>94500</v>
      </c>
      <c r="H4" s="58">
        <f t="shared" si="0"/>
        <v>7.7198124698253365E-2</v>
      </c>
      <c r="I4" s="58">
        <f>VLOOKUP(B4,Opportunities!B$3:I$30,8,FALSE)</f>
        <v>0</v>
      </c>
      <c r="J4" s="81">
        <f>VLOOKUP(B4,Opportunities!B$3:N$30,12,FALSE)</f>
        <v>17.076709793393981</v>
      </c>
      <c r="K4" s="81">
        <f>VLOOKUP(B4,Opportunities!B$3:N$30,9,FALSE)</f>
        <v>13.702982172004107</v>
      </c>
      <c r="L4" s="81">
        <f>VLOOKUP(B4,Opportunities!B$3:N$30,11,FALSE)</f>
        <v>23.786983277575224</v>
      </c>
      <c r="M4" s="81">
        <f>VLOOKUP(B4,Opportunities!B$3:N$30,13,FALSE)</f>
        <v>21.086810961822302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21.9</v>
      </c>
      <c r="E5" s="59" t="str">
        <f>VLOOKUP(B5,Opportunities!B$3:E$30,4,FALSE)</f>
        <v>HKD</v>
      </c>
      <c r="F5" s="57">
        <v>4000</v>
      </c>
      <c r="G5" s="61">
        <f t="shared" si="1"/>
        <v>87600</v>
      </c>
      <c r="H5" s="58">
        <f t="shared" si="0"/>
        <v>7.1561436228222169E-2</v>
      </c>
      <c r="I5" s="58">
        <f>VLOOKUP(B5,Opportunities!B$3:I$30,8,FALSE)</f>
        <v>0</v>
      </c>
      <c r="J5" s="81">
        <f>VLOOKUP(B5,Opportunities!B$3:N$30,12,FALSE)</f>
        <v>17.44521406793061</v>
      </c>
      <c r="K5" s="81">
        <f>VLOOKUP(B5,Opportunities!B$3:N$30,9,FALSE)</f>
        <v>14.108564711535054</v>
      </c>
      <c r="L5" s="81">
        <f>VLOOKUP(B5,Opportunities!B$3:N$30,11,FALSE)</f>
        <v>24.053080090588026</v>
      </c>
      <c r="M5" s="81">
        <f>VLOOKUP(B5,Opportunities!B$3:N$30,13,FALSE)</f>
        <v>21.397837587878641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3.33</v>
      </c>
      <c r="E6" s="59" t="str">
        <f>VLOOKUP(B6,Opportunities!B$3:E$30,4,FALSE)</f>
        <v>HKD</v>
      </c>
      <c r="F6" s="57">
        <v>40000</v>
      </c>
      <c r="G6" s="61">
        <f t="shared" si="1"/>
        <v>133200</v>
      </c>
      <c r="H6" s="58">
        <f t="shared" si="0"/>
        <v>0.10881259481277616</v>
      </c>
      <c r="I6" s="58">
        <f>VLOOKUP(B6,Opportunities!B$3:I$30,8,FALSE)</f>
        <v>7.8602771794670151E-2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7.6</v>
      </c>
      <c r="E7" s="59" t="str">
        <f>VLOOKUP(B7,Opportunities!B$3:E$30,4,FALSE)</f>
        <v>HKD</v>
      </c>
      <c r="F7" s="57">
        <v>8000</v>
      </c>
      <c r="G7" s="61">
        <f t="shared" si="1"/>
        <v>60800</v>
      </c>
      <c r="H7" s="58">
        <f t="shared" si="0"/>
        <v>4.9668211446072003E-2</v>
      </c>
      <c r="I7" s="58">
        <f>VLOOKUP(B7,Opportunities!B$3:I$30,8,FALSE)</f>
        <v>5.0523831343001556E-2</v>
      </c>
      <c r="J7" s="81">
        <f>VLOOKUP(B7,Opportunities!B$3:N$30,12,FALSE)</f>
        <v>7.2616236139545345</v>
      </c>
      <c r="K7" s="81">
        <f>VLOOKUP(B7,Opportunities!B$3:N$30,9,FALSE)</f>
        <v>5.8415407525869734</v>
      </c>
      <c r="L7" s="81">
        <f>VLOOKUP(B7,Opportunities!B$3:N$30,11,FALSE)</f>
        <v>10.082344713556914</v>
      </c>
      <c r="M7" s="81">
        <f>VLOOKUP(B7,Opportunities!B$3:N$30,13,FALSE)</f>
        <v>8.9477967602296538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10.64</v>
      </c>
      <c r="E8" s="59" t="str">
        <f>VLOOKUP(B8,Opportunities!B$3:E$30,4,FALSE)</f>
        <v>HKD</v>
      </c>
      <c r="F8" s="57">
        <v>5000</v>
      </c>
      <c r="G8" s="61">
        <f t="shared" si="1"/>
        <v>53200</v>
      </c>
      <c r="H8" s="58">
        <f t="shared" si="0"/>
        <v>4.3459685015313006E-2</v>
      </c>
      <c r="I8" s="58">
        <f>VLOOKUP(B8,Opportunities!B$3:I$30,8,FALSE)</f>
        <v>0.1459684940107539</v>
      </c>
      <c r="J8" s="81">
        <f>VLOOKUP(B8,Opportunities!B$3:N$30,12,FALSE)</f>
        <v>13.006335132146024</v>
      </c>
      <c r="K8" s="81">
        <f>VLOOKUP(B8,Opportunities!B$3:N$30,9,FALSE)</f>
        <v>10.468055497634923</v>
      </c>
      <c r="L8" s="81">
        <f>VLOOKUP(B8,Opportunities!B$3:N$30,11,FALSE)</f>
        <v>18.046758358580664</v>
      </c>
      <c r="M8" s="81">
        <f>VLOOKUP(B8,Opportunities!B$3:N$30,13,FALSE)</f>
        <v>16.019583271014266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4.6900000000000004</v>
      </c>
      <c r="E9" s="59" t="str">
        <f>VLOOKUP(B9,Opportunities!B$3:E$30,4,FALSE)</f>
        <v>HKD</v>
      </c>
      <c r="F9" s="57">
        <v>4000</v>
      </c>
      <c r="G9" s="61">
        <f t="shared" si="1"/>
        <v>18760</v>
      </c>
      <c r="H9" s="58">
        <f t="shared" si="0"/>
        <v>1.5325257347505112E-2</v>
      </c>
      <c r="I9" s="58">
        <f>VLOOKUP(B9,Opportunities!B$3:I$30,8,FALSE)</f>
        <v>7.3114390353837405E-2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3.93</v>
      </c>
      <c r="E10" s="59" t="str">
        <f>VLOOKUP(B10,Opportunities!B$3:E$30,4,FALSE)</f>
        <v>HKD</v>
      </c>
      <c r="F10" s="57">
        <v>12000</v>
      </c>
      <c r="G10" s="61">
        <f t="shared" si="1"/>
        <v>47160</v>
      </c>
      <c r="H10" s="58">
        <f t="shared" ref="H10" si="2">G10/$G$12</f>
        <v>3.8525540325604533E-2</v>
      </c>
      <c r="I10" s="58">
        <f>VLOOKUP(B10,Opportunities!B$3:I$30,8,FALSE)</f>
        <v>0.11010326331669246</v>
      </c>
      <c r="J10" s="81">
        <f>VLOOKUP(B10,Opportunities!B$3:N$30,12,FALSE)</f>
        <v>4.266593333584904</v>
      </c>
      <c r="K10" s="81">
        <f>VLOOKUP(B10,Opportunities!B$3:N$30,9,FALSE)</f>
        <v>3.4405085564388571</v>
      </c>
      <c r="L10" s="81">
        <f>VLOOKUP(B10,Opportunities!B$3:N$30,11,FALSE)</f>
        <v>5.9052672497026641</v>
      </c>
      <c r="M10" s="81">
        <f>VLOOKUP(B10,Opportunities!B$3:N$30,13,FALSE)</f>
        <v>5.246445315436679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1224123</v>
      </c>
      <c r="H12" s="67">
        <f>SUM(H3:H10)</f>
        <v>1.0000000000000002</v>
      </c>
      <c r="I12" s="73">
        <f>SUM(I3:I10)</f>
        <v>0.90831275081895546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21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17.076709793393981</v>
      </c>
      <c r="K15" s="81">
        <f>VLOOKUP(B15,Opportunities!B$3:N$30,9,FALSE)</f>
        <v>13.702982172004107</v>
      </c>
      <c r="L15" s="81">
        <f>VLOOKUP(B15,Opportunities!B$3:N$30,11,FALSE)</f>
        <v>23.786983277575224</v>
      </c>
      <c r="M15" s="81">
        <f>VLOOKUP(B15,Opportunities!B$3:N$30,13,FALSE)</f>
        <v>21.086810961822302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21.9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17.44521406793061</v>
      </c>
      <c r="K16" s="81">
        <f>VLOOKUP(B16,Opportunities!B$3:N$30,9,FALSE)</f>
        <v>14.108564711535054</v>
      </c>
      <c r="L16" s="81">
        <f>VLOOKUP(B16,Opportunities!B$3:N$30,11,FALSE)</f>
        <v>24.053080090588026</v>
      </c>
      <c r="M16" s="81">
        <f>VLOOKUP(B16,Opportunities!B$3:N$30,13,FALSE)</f>
        <v>21.397837587878641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3.33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7.8602771794670151E-2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3.93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0.11010326331669246</v>
      </c>
      <c r="J18" s="81">
        <f>VLOOKUP(B18,Opportunities!B$3:N$30,12,FALSE)</f>
        <v>4.266593333584904</v>
      </c>
      <c r="K18" s="81">
        <f>VLOOKUP(B18,Opportunities!B$3:N$30,9,FALSE)</f>
        <v>3.4405085564388571</v>
      </c>
      <c r="L18" s="81">
        <f>VLOOKUP(B18,Opportunities!B$3:N$30,11,FALSE)</f>
        <v>5.9052672497026641</v>
      </c>
      <c r="M18" s="81">
        <f>VLOOKUP(B18,Opportunities!B$3:N$30,13,FALSE)</f>
        <v>5.246445315436679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10.64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0.1459684940107539</v>
      </c>
      <c r="J19" s="81">
        <f>VLOOKUP(B19,Opportunities!B$3:N$30,12,FALSE)</f>
        <v>13.006335132146024</v>
      </c>
      <c r="K19" s="81">
        <f>VLOOKUP(B19,Opportunities!B$3:N$30,9,FALSE)</f>
        <v>10.468055497634923</v>
      </c>
      <c r="L19" s="81">
        <f>VLOOKUP(B19,Opportunities!B$3:N$30,11,FALSE)</f>
        <v>18.046758358580664</v>
      </c>
      <c r="M19" s="81">
        <f>VLOOKUP(B19,Opportunities!B$3:N$30,13,FALSE)</f>
        <v>16.019583271014266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5.0523831343001556E-2</v>
      </c>
      <c r="J20" s="81">
        <f>VLOOKUP(B20,Opportunities!B$3:N$30,12,FALSE)</f>
        <v>7.2616236139545345</v>
      </c>
      <c r="K20" s="81">
        <f>VLOOKUP(B20,Opportunities!B$3:N$30,9,FALSE)</f>
        <v>5.8415407525869734</v>
      </c>
      <c r="L20" s="81">
        <f>VLOOKUP(B20,Opportunities!B$3:N$30,11,FALSE)</f>
        <v>10.082344713556914</v>
      </c>
      <c r="M20" s="81">
        <f>VLOOKUP(B20,Opportunities!B$3:N$30,13,FALSE)</f>
        <v>8.9477967602296538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0.59544915012625366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2026-01-19T10:27:14Z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