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E4AEED9-F9B2-4EC6-A5CD-92A66D073266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G3" i="1"/>
  <c r="G4" i="1"/>
  <c r="G5" i="1"/>
  <c r="G6" i="1"/>
  <c r="G7" i="1"/>
  <c r="G8" i="1"/>
  <c r="G9" i="1"/>
  <c r="G10" i="1"/>
  <c r="G11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<sst xmlns="http://schemas.openxmlformats.org/spreadsheetml/2006/main" count="461" uniqueCount="381">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</sst>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351</v>
      </c>
      <c r="C12" s="77">
        <v>7.2499999999999995E-2</v>
      </c>
    </row>
    <row r="13" spans="1:5">
      <c r="C13" s="4"/>
    </row>
    <row r="14" spans="1:5" ht="46.5" customHeight="1">
      <c r="B14" s="143" t="s">
        <v>352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350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346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358</v>
      </c>
    </row>
    <row r="45" spans="1:5">
      <c r="B45" s="43" t="s">
        <v>210</v>
      </c>
      <c r="C45" s="43" t="s">
        <v>347</v>
      </c>
      <c r="D45" s="43" t="s">
        <v>354</v>
      </c>
      <c r="E45" s="43" t="s">
        <v>353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355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3" sqref="F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361</v>
      </c>
      <c r="C3" s="11" t="s">
        <v>366</v>
      </c>
      <c r="D3" s="2">
        <v>10.57</v>
      </c>
      <c r="E3" s="12" t="s">
        <v>135</v>
      </c>
      <c r="F3" s="15">
        <v>0.29058822043182098</v>
      </c>
      <c r="G3" s="15">
        <f>F3 - Portfolio_Mgmt!$C$10</f>
        <v>0.17318822043182097</v>
      </c>
      <c r="H3" s="15">
        <f>F3 - Portfolio_Mgmt!$C$11</f>
        <v>0.256088220431821</v>
      </c>
      <c r="I3" s="15">
        <v>0.14778481526401951</v>
      </c>
      <c r="J3" s="2">
        <v>10.474826343883192</v>
      </c>
      <c r="K3" s="2">
        <v>20.327834629345425</v>
      </c>
      <c r="L3" s="71">
        <v>18.0584299534876</v>
      </c>
      <c r="M3" s="2">
        <v>13.014747377846154</v>
      </c>
      <c r="N3" s="2">
        <v>16.029944020097382</v>
      </c>
      <c r="O3" s="4">
        <v>9.5357647902554368E-2</v>
      </c>
      <c r="P3" s="4">
        <v>5.7242656072311618E-2</v>
      </c>
      <c r="Q3" s="4">
        <v>0.10095735561257201</v>
      </c>
      <c r="R3" s="4">
        <v>0.12639727240930954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1.748398139739767</v>
      </c>
      <c r="X3" s="13" t="s">
        <v>367</v>
      </c>
      <c r="Y3" s="11" t="s">
        <v>362</v>
      </c>
      <c r="Z3" s="14">
        <v>46173</v>
      </c>
      <c r="AA3" s="16" t="s">
        <v>368</v>
      </c>
    </row>
    <row r="4" spans="1:27">
      <c r="B4" s="11" t="s">
        <v>330</v>
      </c>
      <c r="C4" s="11" t="s">
        <v>369</v>
      </c>
      <c r="D4" s="2">
        <v>3.97</v>
      </c>
      <c r="E4" s="12" t="s">
        <v>135</v>
      </c>
      <c r="F4" s="15">
        <v>0.23159201788061407</v>
      </c>
      <c r="G4" s="15">
        <f>F4 - Portfolio_Mgmt!$C$10</f>
        <v>0.11419201788061406</v>
      </c>
      <c r="H4" s="15">
        <f>F4 - Portfolio_Mgmt!$C$11</f>
        <v>0.19709201788061406</v>
      </c>
      <c r="I4" s="15">
        <v>0.10652902318147789</v>
      </c>
      <c r="J4" s="2">
        <v>3.4424578211894619</v>
      </c>
      <c r="K4" s="2">
        <v>6.5099993708866952</v>
      </c>
      <c r="L4" s="71">
        <v>5.9086960221244471</v>
      </c>
      <c r="M4" s="2">
        <v>4.269036599727178</v>
      </c>
      <c r="N4" s="2">
        <v>5.2494771434548309</v>
      </c>
      <c r="O4" s="4">
        <v>0.11094964233913844</v>
      </c>
      <c r="P4" s="4">
        <v>6.0906801007556667E-2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1.2732442395220818</v>
      </c>
      <c r="X4" s="13" t="s">
        <v>170</v>
      </c>
      <c r="Y4" s="11" t="s">
        <v>362</v>
      </c>
      <c r="Z4" s="14">
        <v>46081</v>
      </c>
      <c r="AA4" s="16" t="s">
        <v>368</v>
      </c>
    </row>
    <row r="5" spans="1:27">
      <c r="B5" s="11" t="s">
        <v>363</v>
      </c>
      <c r="C5" s="11" t="s">
        <v>364</v>
      </c>
      <c r="D5" s="2">
        <v>6.9</v>
      </c>
      <c r="E5" s="12" t="s">
        <v>135</v>
      </c>
      <c r="F5" s="15">
        <v>0.1848541854186791</v>
      </c>
      <c r="G5" s="15">
        <f>F5 - Portfolio_Mgmt!$C$10</f>
        <v>6.7454185418679091E-2</v>
      </c>
      <c r="H5" s="15">
        <f>F5 - Portfolio_Mgmt!$C$11</f>
        <v>0.15035418541867909</v>
      </c>
      <c r="I5" s="15">
        <v>0.10908450825001387</v>
      </c>
      <c r="J5" s="2">
        <v>5.3141281403824898</v>
      </c>
      <c r="K5" s="2">
        <v>10.967807599967429</v>
      </c>
      <c r="L5" s="71">
        <v>9.2614927891107719</v>
      </c>
      <c r="M5" s="2">
        <v>6.6339642861251669</v>
      </c>
      <c r="N5" s="2">
        <v>8.2038797297466814</v>
      </c>
      <c r="O5" s="4">
        <v>6.6530453680873292E-2</v>
      </c>
      <c r="P5" s="4">
        <v>2.0579710144927533E-2</v>
      </c>
      <c r="Q5" s="4">
        <v>0.3</v>
      </c>
      <c r="R5" s="4">
        <v>0.15217050538089463</v>
      </c>
      <c r="S5" s="79">
        <v>1.1106245684847842</v>
      </c>
      <c r="T5" s="78">
        <v>1.775102743966247</v>
      </c>
      <c r="U5" s="15">
        <v>0.17709797868255178</v>
      </c>
      <c r="V5" s="76">
        <v>0.82178780749892033</v>
      </c>
      <c r="W5" s="71">
        <v>-0.16650139591844174</v>
      </c>
      <c r="X5" s="13" t="s">
        <v>170</v>
      </c>
      <c r="Y5" s="11" t="s">
        <v>365</v>
      </c>
      <c r="Z5" s="14">
        <v>46081</v>
      </c>
      <c r="AA5" s="16" t="s">
        <v>182</v>
      </c>
    </row>
    <row r="6" spans="1:27">
      <c r="B6" s="11" t="s">
        <v>328</v>
      </c>
      <c r="C6" s="11" t="s">
        <v>329</v>
      </c>
      <c r="D6" s="2">
        <v>4.7300000000000004</v>
      </c>
      <c r="E6" s="12" t="s">
        <v>135</v>
      </c>
      <c r="F6" s="15">
        <v>0.16935604797343304</v>
      </c>
      <c r="G6" s="15">
        <f>F6 - Portfolio_Mgmt!$C$10</f>
        <v>5.1956047973433034E-2</v>
      </c>
      <c r="H6" s="15">
        <f>F6 - Portfolio_Mgmt!$C$11</f>
        <v>0.13485604797343304</v>
      </c>
      <c r="I6" s="15">
        <v>6.1661634898891732E-2</v>
      </c>
      <c r="J6" s="2">
        <v>3.5453162653105039</v>
      </c>
      <c r="K6" s="2">
        <v>6.5021029196761031</v>
      </c>
      <c r="L6" s="71">
        <v>6.0543353749158966</v>
      </c>
      <c r="M6" s="2">
        <v>4.3869285024051887</v>
      </c>
      <c r="N6" s="2">
        <v>5.3842307819113344</v>
      </c>
      <c r="O6" s="4">
        <v>8.5396020856713245E-2</v>
      </c>
      <c r="P6" s="4">
        <v>6.3424947145877389E-2</v>
      </c>
      <c r="Q6" s="4">
        <v>0.18</v>
      </c>
      <c r="R6" s="4">
        <v>5.5599077391744495E-2</v>
      </c>
      <c r="S6" s="79">
        <v>1.4798367611150316</v>
      </c>
      <c r="T6" s="78">
        <v>2.187716833659914</v>
      </c>
      <c r="U6" s="15">
        <v>0.76701287002940366</v>
      </c>
      <c r="V6" s="76">
        <v>5.0983946232940358</v>
      </c>
      <c r="W6" s="71">
        <v>-2.4800067209187837</v>
      </c>
      <c r="X6" s="13" t="s">
        <v>170</v>
      </c>
      <c r="Y6" s="11" t="s">
        <v>362</v>
      </c>
      <c r="Z6" s="14">
        <v>46173</v>
      </c>
      <c r="AA6" s="16" t="s">
        <v>182</v>
      </c>
    </row>
    <row r="7" spans="1:27">
      <c r="B7" s="11" t="s">
        <v>331</v>
      </c>
      <c r="C7" s="11" t="s">
        <v>370</v>
      </c>
      <c r="D7" s="2">
        <v>7.87</v>
      </c>
      <c r="E7" s="12" t="s">
        <v>135</v>
      </c>
      <c r="F7" s="15">
        <v>0.16814566901387865</v>
      </c>
      <c r="G7" s="15">
        <f>F7 - Portfolio_Mgmt!$C$10</f>
        <v>5.0745669013878641E-2</v>
      </c>
      <c r="H7" s="15">
        <f>F7 - Portfolio_Mgmt!$C$11</f>
        <v>0.13364566901387864</v>
      </c>
      <c r="I7" s="15">
        <v>2.8791974732131621E-2</v>
      </c>
      <c r="J7" s="2">
        <v>5.8453295525885984</v>
      </c>
      <c r="K7" s="2">
        <v>11.419829012538838</v>
      </c>
      <c r="L7" s="71">
        <v>10.088883776897726</v>
      </c>
      <c r="M7" s="2">
        <v>7.2663333786104678</v>
      </c>
      <c r="N7" s="2">
        <v>8.9536000472965025</v>
      </c>
      <c r="O7" s="4">
        <v>8.9562940545990136E-2</v>
      </c>
      <c r="P7" s="4">
        <v>4.0465126943098818E-2</v>
      </c>
      <c r="Q7" s="4">
        <v>0.17171985150745703</v>
      </c>
      <c r="R7" s="4">
        <v>8.360608319387261E-2</v>
      </c>
      <c r="S7" s="79">
        <v>1.3282158707615834</v>
      </c>
      <c r="T7" s="78">
        <v>1.5463719418456539</v>
      </c>
      <c r="U7" s="15">
        <v>0.22428295339746124</v>
      </c>
      <c r="V7" s="76">
        <v>1.2715557492373779</v>
      </c>
      <c r="W7" s="71">
        <v>-2.9569414070085638</v>
      </c>
      <c r="X7" s="13" t="s">
        <v>371</v>
      </c>
      <c r="Y7" s="11" t="s">
        <v>365</v>
      </c>
      <c r="Z7" s="14">
        <v>46081</v>
      </c>
      <c r="AA7" s="16" t="s">
        <v>368</v>
      </c>
    </row>
    <row r="8" spans="1:27">
      <c r="B8" s="11" t="s">
        <v>184</v>
      </c>
      <c r="C8" s="11" t="s">
        <v>372</v>
      </c>
      <c r="D8" s="2">
        <v>3.39</v>
      </c>
      <c r="E8" s="12" t="s">
        <v>135</v>
      </c>
      <c r="F8" s="15">
        <v>0.16712369990868167</v>
      </c>
      <c r="G8" s="15">
        <f>F8 - Portfolio_Mgmt!$C$10</f>
        <v>4.9723699908681668E-2</v>
      </c>
      <c r="H8" s="15">
        <f>F8 - Portfolio_Mgmt!$C$11</f>
        <v>0.13262369990868167</v>
      </c>
      <c r="I8" s="15">
        <v>5.4094327109968011E-2</v>
      </c>
      <c r="J8" s="2">
        <v>2.5385815935033342</v>
      </c>
      <c r="K8" s="2">
        <v>4.4366120194593153</v>
      </c>
      <c r="L8" s="71">
        <v>4.3016714192105461</v>
      </c>
      <c r="M8" s="2">
        <v>3.1307450481218235</v>
      </c>
      <c r="N8" s="2">
        <v>3.8313906187252909</v>
      </c>
      <c r="O8" s="4">
        <v>7.1629742799271312E-2</v>
      </c>
      <c r="P8" s="4">
        <v>7.9646017699115043E-2</v>
      </c>
      <c r="Q8" s="4">
        <v>0.11354054587062024</v>
      </c>
      <c r="R8" s="4">
        <v>0.4243739445166862</v>
      </c>
      <c r="S8" s="79">
        <v>0.22035988512352028</v>
      </c>
      <c r="T8" s="78">
        <v>1.2141426890285656</v>
      </c>
      <c r="U8" s="15">
        <v>2.3107986944995245E-3</v>
      </c>
      <c r="V8" s="76">
        <v>2.0454423835375664E-2</v>
      </c>
      <c r="W8" s="71">
        <v>0.79833937207218564</v>
      </c>
      <c r="X8" s="13" t="s">
        <v>373</v>
      </c>
      <c r="Y8" s="11" t="s">
        <v>362</v>
      </c>
      <c r="Z8" s="14">
        <v>46081</v>
      </c>
      <c r="AA8" s="16" t="s">
        <v>182</v>
      </c>
    </row>
    <row r="9" spans="1:27">
      <c r="B9" s="11" t="s">
        <v>378</v>
      </c>
      <c r="C9" s="11" t="s">
        <v>379</v>
      </c>
      <c r="D9" s="2">
        <v>97.35</v>
      </c>
      <c r="E9" s="12" t="s">
        <v>135</v>
      </c>
      <c r="F9" s="15">
        <v>0.14203089720498038</v>
      </c>
      <c r="G9" s="15">
        <f>F9 - Portfolio_Mgmt!$C$10</f>
        <v>2.4630897204980379E-2</v>
      </c>
      <c r="H9" s="15">
        <f>F9 - Portfolio_Mgmt!$C$11</f>
        <v>0.10753089720498038</v>
      </c>
      <c r="I9" s="15">
        <v>0</v>
      </c>
      <c r="J9" s="2">
        <v>66.820509568887374</v>
      </c>
      <c r="K9" s="2">
        <v>145.00050576448555</v>
      </c>
      <c r="L9" s="71">
        <v>117.53781539844979</v>
      </c>
      <c r="M9" s="2">
        <v>83.754804773710106</v>
      </c>
      <c r="N9" s="2">
        <v>103.93061949909782</v>
      </c>
      <c r="O9" s="4">
        <v>1.2616870075263333E-2</v>
      </c>
      <c r="P9" s="4">
        <v>0</v>
      </c>
      <c r="Q9" s="4">
        <v>0.25</v>
      </c>
      <c r="R9" s="4">
        <v>0.13647968218259099</v>
      </c>
      <c r="S9" s="79">
        <v>1.022390799101176</v>
      </c>
      <c r="T9" s="78">
        <v>1.7916578376478161</v>
      </c>
      <c r="U9" s="15">
        <v>0.27660377540313014</v>
      </c>
      <c r="V9" s="76">
        <v>3.1316510969641755</v>
      </c>
      <c r="W9" s="71">
        <v>3.5710191100799706</v>
      </c>
      <c r="X9" s="13" t="s">
        <v>380</v>
      </c>
      <c r="Y9" s="11" t="s">
        <v>365</v>
      </c>
      <c r="Z9" s="14">
        <v>46081</v>
      </c>
      <c r="AA9" s="16" t="s">
        <v>368</v>
      </c>
    </row>
    <row r="10" spans="1:27">
      <c r="B10" s="11" t="s">
        <v>171</v>
      </c>
      <c r="C10" s="11" t="s">
        <v>376</v>
      </c>
      <c r="D10" s="2">
        <v>21.52</v>
      </c>
      <c r="E10" s="12" t="s">
        <v>135</v>
      </c>
      <c r="F10" s="15">
        <v>0.11538685459338863</v>
      </c>
      <c r="G10" s="15">
        <f>F10 - Portfolio_Mgmt!$C$10</f>
        <v>-2.0131454066113774E-3</v>
      </c>
      <c r="H10" s="15">
        <f>F10 - Portfolio_Mgmt!$C$11</f>
        <v>8.0886854593388624E-2</v>
      </c>
      <c r="I10" s="15">
        <v>0</v>
      </c>
      <c r="J10" s="2">
        <v>14.116238724421549</v>
      </c>
      <c r="K10" s="2">
        <v>25.629057852594467</v>
      </c>
      <c r="L10" s="71">
        <v>24.066578741164584</v>
      </c>
      <c r="M10" s="2">
        <v>17.45483290285549</v>
      </c>
      <c r="N10" s="2">
        <v>21.409773517707421</v>
      </c>
      <c r="O10" s="4">
        <v>0.11162533373032414</v>
      </c>
      <c r="P10" s="4">
        <v>5.8550185873605949E-2</v>
      </c>
      <c r="Q10" s="4">
        <v>0.17275816461101692</v>
      </c>
      <c r="R10" s="4">
        <v>0.32389125963769955</v>
      </c>
      <c r="S10" s="79">
        <v>0.37580175109499292</v>
      </c>
      <c r="T10" s="78">
        <v>1.419320754716981</v>
      </c>
      <c r="U10" s="15">
        <v>9.2018392262565404E-2</v>
      </c>
      <c r="V10" s="76">
        <v>0.52808720739977155</v>
      </c>
      <c r="W10" s="71">
        <v>0.46090623397854402</v>
      </c>
      <c r="X10" s="16" t="s">
        <v>377</v>
      </c>
      <c r="Y10" s="11" t="s">
        <v>362</v>
      </c>
      <c r="Z10" s="14">
        <v>46081</v>
      </c>
      <c r="AA10" s="16" t="s">
        <v>182</v>
      </c>
    </row>
    <row r="11" spans="1:27">
      <c r="B11" s="11" t="s">
        <v>158</v>
      </c>
      <c r="C11" s="11" t="s">
        <v>374</v>
      </c>
      <c r="D11" s="2">
        <v>21.48</v>
      </c>
      <c r="E11" s="12" t="s">
        <v>135</v>
      </c>
      <c r="F11" s="15">
        <v>0.11060869383237487</v>
      </c>
      <c r="G11" s="15">
        <f>F11 - Portfolio_Mgmt!$C$10</f>
        <v>-6.791306167625133E-3</v>
      </c>
      <c r="H11" s="15">
        <f>F11 - Portfolio_Mgmt!$C$11</f>
        <v>7.6108693832374869E-2</v>
      </c>
      <c r="I11" s="15">
        <v>0</v>
      </c>
      <c r="J11" s="2">
        <v>13.710675949564667</v>
      </c>
      <c r="K11" s="2">
        <v>27.679726849440989</v>
      </c>
      <c r="L11" s="71">
        <v>23.800722454173247</v>
      </c>
      <c r="M11" s="2">
        <v>17.0864177365968</v>
      </c>
      <c r="N11" s="2">
        <v>21.098924735704365</v>
      </c>
      <c r="O11" s="4">
        <v>5.2204835341529338E-2</v>
      </c>
      <c r="P11" s="4">
        <v>2.4298086988099578E-2</v>
      </c>
      <c r="Q11" s="4">
        <v>0.12695294713211502</v>
      </c>
      <c r="R11" s="4">
        <v>0.12028137071164068</v>
      </c>
      <c r="S11" s="79">
        <v>0.77964492924870721</v>
      </c>
      <c r="T11" s="78">
        <v>1.3537783359692717</v>
      </c>
      <c r="U11" s="15">
        <v>6.5417684980282262E-2</v>
      </c>
      <c r="V11" s="76">
        <v>0.50358953318926281</v>
      </c>
      <c r="W11" s="71">
        <v>5.5889609327452243</v>
      </c>
      <c r="X11" s="13" t="s">
        <v>375</v>
      </c>
      <c r="Y11" s="11" t="s">
        <v>362</v>
      </c>
      <c r="Z11" s="14">
        <v>46081</v>
      </c>
      <c r="AA11" s="16" t="s">
        <v>182</v>
      </c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349</v>
      </c>
    </row>
    <row r="3" spans="1:4">
      <c r="B3" s="120" t="s">
        <v>356</v>
      </c>
    </row>
    <row r="5" spans="1:4">
      <c r="A5" s="121" t="s">
        <v>333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342</v>
      </c>
    </row>
    <row r="9" spans="1:4">
      <c r="B9" s="127" t="s">
        <v>348</v>
      </c>
      <c r="C9" s="128">
        <f>1-C8</f>
        <v>0.4</v>
      </c>
    </row>
    <row r="10" spans="1:4">
      <c r="B10" s="127" t="s">
        <v>346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343</v>
      </c>
      <c r="C13" s="153"/>
      <c r="D13" s="153"/>
    </row>
    <row r="14" spans="1:4">
      <c r="B14" s="154" t="s">
        <v>344</v>
      </c>
      <c r="C14" s="155"/>
      <c r="D14" s="155"/>
    </row>
    <row r="16" spans="1:4">
      <c r="A16" s="121" t="s">
        <v>206</v>
      </c>
      <c r="B16" s="122" t="s">
        <v>334</v>
      </c>
    </row>
    <row r="17" spans="1:5">
      <c r="B17" s="123" t="s">
        <v>336</v>
      </c>
      <c r="C17" s="123" t="s">
        <v>347</v>
      </c>
      <c r="D17" s="123" t="s">
        <v>354</v>
      </c>
      <c r="E17" s="123" t="s">
        <v>345</v>
      </c>
    </row>
    <row r="18" spans="1:5">
      <c r="B18" s="127" t="s">
        <v>337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338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335</v>
      </c>
    </row>
    <row r="22" spans="1:5">
      <c r="B22" s="123" t="s">
        <v>341</v>
      </c>
      <c r="C22" s="123" t="s">
        <v>357</v>
      </c>
      <c r="D22" s="123" t="s">
        <v>215</v>
      </c>
    </row>
    <row r="23" spans="1:5">
      <c r="B23" s="127" t="s">
        <v>339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340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4.1700000000000001E-2</v>
      </c>
      <c r="D4" s="34">
        <v>6.7500000000000004E-2</v>
      </c>
      <c r="E4" s="35">
        <f>D4-C4</f>
        <v>2.5800000000000003E-2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359</v>
      </c>
    </row>
    <row r="35" spans="1:5" ht="223.15" customHeight="1">
      <c r="B35" s="156" t="s">
        <v>360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332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0.59279057719786632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21.48</v>
      </c>
      <c r="E4" s="59" t="str">
        <f>VLOOKUP(B4,Opportunities!B$3:E$30,4,FALSE)</f>
        <v>HKD</v>
      </c>
      <c r="F4" s="57">
        <v>4500</v>
      </c>
      <c r="G4" s="61">
        <f t="shared" ref="G4:G10" si="1">D4*F4</f>
        <v>96660</v>
      </c>
      <c r="H4" s="58">
        <f t="shared" si="0"/>
        <v>7.861009927513779E-2</v>
      </c>
      <c r="I4" s="58">
        <f>VLOOKUP(B4,Opportunities!B$3:I$30,8,FALSE)</f>
        <v>0</v>
      </c>
      <c r="J4" s="81">
        <f>VLOOKUP(B4,Opportunities!B$3:N$30,12,FALSE)</f>
        <v>17.0864177365968</v>
      </c>
      <c r="K4" s="81">
        <f>VLOOKUP(B4,Opportunities!B$3:N$30,9,FALSE)</f>
        <v>13.710675949564667</v>
      </c>
      <c r="L4" s="81">
        <f>VLOOKUP(B4,Opportunities!B$3:N$30,11,FALSE)</f>
        <v>23.800722454173247</v>
      </c>
      <c r="M4" s="81">
        <f>VLOOKUP(B4,Opportunities!B$3:N$30,13,FALSE)</f>
        <v>21.098924735704365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21.52</v>
      </c>
      <c r="E5" s="59" t="str">
        <f>VLOOKUP(B5,Opportunities!B$3:E$30,4,FALSE)</f>
        <v>HKD</v>
      </c>
      <c r="F5" s="57">
        <v>4000</v>
      </c>
      <c r="G5" s="61">
        <f t="shared" si="1"/>
        <v>86080</v>
      </c>
      <c r="H5" s="58">
        <f t="shared" si="0"/>
        <v>7.0005766041835921E-2</v>
      </c>
      <c r="I5" s="58">
        <f>VLOOKUP(B5,Opportunities!B$3:I$30,8,FALSE)</f>
        <v>0</v>
      </c>
      <c r="J5" s="81">
        <f>VLOOKUP(B5,Opportunities!B$3:N$30,12,FALSE)</f>
        <v>17.45483290285549</v>
      </c>
      <c r="K5" s="81">
        <f>VLOOKUP(B5,Opportunities!B$3:N$30,9,FALSE)</f>
        <v>14.116238724421549</v>
      </c>
      <c r="L5" s="81">
        <f>VLOOKUP(B5,Opportunities!B$3:N$30,11,FALSE)</f>
        <v>24.066578741164584</v>
      </c>
      <c r="M5" s="81">
        <f>VLOOKUP(B5,Opportunities!B$3:N$30,13,FALSE)</f>
        <v>21.409773517707421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3.39</v>
      </c>
      <c r="E6" s="59" t="str">
        <f>VLOOKUP(B6,Opportunities!B$3:E$30,4,FALSE)</f>
        <v>HKD</v>
      </c>
      <c r="F6" s="57">
        <v>40000</v>
      </c>
      <c r="G6" s="61">
        <f t="shared" si="1"/>
        <v>135600</v>
      </c>
      <c r="H6" s="58">
        <f t="shared" si="0"/>
        <v>0.11027859985214861</v>
      </c>
      <c r="I6" s="58">
        <f>VLOOKUP(B6,Opportunities!B$3:I$30,8,FALSE)</f>
        <v>5.4094327109968011E-2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331</v>
      </c>
      <c r="C7" s="62" t="str">
        <f>VLOOKUP(B7,Opportunities!B$3:E$30,2,FALSE)</f>
        <v>昆仑能源</v>
      </c>
      <c r="D7" s="60">
        <f>VLOOKUP(B7,Opportunities!B$3:E$30,3,FALSE)</f>
        <v>7.87</v>
      </c>
      <c r="E7" s="59" t="str">
        <f>VLOOKUP(B7,Opportunities!B$3:E$30,4,FALSE)</f>
        <v>HKD</v>
      </c>
      <c r="F7" s="57">
        <v>8000</v>
      </c>
      <c r="G7" s="61">
        <f t="shared" si="1"/>
        <v>62960</v>
      </c>
      <c r="H7" s="58">
        <f t="shared" si="0"/>
        <v>5.1203102114242449E-2</v>
      </c>
      <c r="I7" s="58">
        <f>VLOOKUP(B7,Opportunities!B$3:I$30,8,FALSE)</f>
        <v>2.8791974732131621E-2</v>
      </c>
      <c r="J7" s="81">
        <f>VLOOKUP(B7,Opportunities!B$3:N$30,12,FALSE)</f>
        <v>7.2663333786104678</v>
      </c>
      <c r="K7" s="81">
        <f>VLOOKUP(B7,Opportunities!B$3:N$30,9,FALSE)</f>
        <v>5.8453295525885984</v>
      </c>
      <c r="L7" s="81">
        <f>VLOOKUP(B7,Opportunities!B$3:N$30,11,FALSE)</f>
        <v>10.088883776897726</v>
      </c>
      <c r="M7" s="81">
        <f>VLOOKUP(B7,Opportunities!B$3:N$30,13,FALSE)</f>
        <v>8.9536000472965025</v>
      </c>
    </row>
    <row r="8" spans="1:13">
      <c r="B8" s="63" t="s">
        <v>361</v>
      </c>
      <c r="C8" s="62" t="str">
        <f>VLOOKUP(B8,Opportunities!B$3:E$30,2,FALSE)</f>
        <v>新华文轩</v>
      </c>
      <c r="D8" s="60">
        <f>VLOOKUP(B8,Opportunities!B$3:E$30,3,FALSE)</f>
        <v>10.57</v>
      </c>
      <c r="E8" s="59" t="str">
        <f>VLOOKUP(B8,Opportunities!B$3:E$30,4,FALSE)</f>
        <v>HKD</v>
      </c>
      <c r="F8" s="57">
        <v>5000</v>
      </c>
      <c r="G8" s="61">
        <f t="shared" si="1"/>
        <v>52850</v>
      </c>
      <c r="H8" s="58">
        <f t="shared" si="0"/>
        <v>4.2981002965973847E-2</v>
      </c>
      <c r="I8" s="58">
        <f>VLOOKUP(B8,Opportunities!B$3:I$30,8,FALSE)</f>
        <v>0.14778481526401951</v>
      </c>
      <c r="J8" s="81">
        <f>VLOOKUP(B8,Opportunities!B$3:N$30,12,FALSE)</f>
        <v>13.014747377846154</v>
      </c>
      <c r="K8" s="81">
        <f>VLOOKUP(B8,Opportunities!B$3:N$30,9,FALSE)</f>
        <v>10.474826343883192</v>
      </c>
      <c r="L8" s="81">
        <f>VLOOKUP(B8,Opportunities!B$3:N$30,11,FALSE)</f>
        <v>18.0584299534876</v>
      </c>
      <c r="M8" s="81">
        <f>VLOOKUP(B8,Opportunities!B$3:N$30,13,FALSE)</f>
        <v>16.029944020097382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4.7300000000000004</v>
      </c>
      <c r="E9" s="59" t="str">
        <f>VLOOKUP(B9,Opportunities!B$3:E$30,4,FALSE)</f>
        <v>HKD</v>
      </c>
      <c r="F9" s="57">
        <v>4000</v>
      </c>
      <c r="G9" s="61">
        <f t="shared" si="1"/>
        <v>18920</v>
      </c>
      <c r="H9" s="58">
        <f t="shared" si="0"/>
        <v>1.5386955082615424E-2</v>
      </c>
      <c r="I9" s="58">
        <f>VLOOKUP(B9,Opportunities!B$3:I$30,8,FALSE)</f>
        <v>6.1661634898891732E-2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3.97</v>
      </c>
      <c r="E10" s="59" t="str">
        <f>VLOOKUP(B10,Opportunities!B$3:E$30,4,FALSE)</f>
        <v>HKD</v>
      </c>
      <c r="F10" s="57">
        <v>12000</v>
      </c>
      <c r="G10" s="61">
        <f t="shared" si="1"/>
        <v>47640</v>
      </c>
      <c r="H10" s="58">
        <f t="shared" ref="H10" si="2">G10/$G$12</f>
        <v>3.8743897470179645E-2</v>
      </c>
      <c r="I10" s="58">
        <f>VLOOKUP(B10,Opportunities!B$3:I$30,8,FALSE)</f>
        <v>0.10652902318147789</v>
      </c>
      <c r="J10" s="81">
        <f>VLOOKUP(B10,Opportunities!B$3:N$30,12,FALSE)</f>
        <v>4.269036599727178</v>
      </c>
      <c r="K10" s="81">
        <f>VLOOKUP(B10,Opportunities!B$3:N$30,9,FALSE)</f>
        <v>3.4424578211894619</v>
      </c>
      <c r="L10" s="81">
        <f>VLOOKUP(B10,Opportunities!B$3:N$30,11,FALSE)</f>
        <v>5.9086960221244471</v>
      </c>
      <c r="M10" s="81">
        <f>VLOOKUP(B10,Opportunities!B$3:N$30,13,FALSE)</f>
        <v>5.2494771434548309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1229613</v>
      </c>
      <c r="H12" s="67">
        <f>SUM(H3:H10)</f>
        <v>1</v>
      </c>
      <c r="I12" s="73">
        <f>SUM(I3:I10)</f>
        <v>0.84886177518648886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21.48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17.0864177365968</v>
      </c>
      <c r="K15" s="81">
        <f>VLOOKUP(B15,Opportunities!B$3:N$30,9,FALSE)</f>
        <v>13.710675949564667</v>
      </c>
      <c r="L15" s="81">
        <f>VLOOKUP(B15,Opportunities!B$3:N$30,11,FALSE)</f>
        <v>23.800722454173247</v>
      </c>
      <c r="M15" s="81">
        <f>VLOOKUP(B15,Opportunities!B$3:N$30,13,FALSE)</f>
        <v>21.098924735704365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21.52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17.45483290285549</v>
      </c>
      <c r="K16" s="81">
        <f>VLOOKUP(B16,Opportunities!B$3:N$30,9,FALSE)</f>
        <v>14.116238724421549</v>
      </c>
      <c r="L16" s="81">
        <f>VLOOKUP(B16,Opportunities!B$3:N$30,11,FALSE)</f>
        <v>24.066578741164584</v>
      </c>
      <c r="M16" s="81">
        <f>VLOOKUP(B16,Opportunities!B$3:N$30,13,FALSE)</f>
        <v>21.409773517707421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3.39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5.4094327109968011E-2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3.97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0.10652902318147789</v>
      </c>
      <c r="J18" s="81">
        <f>VLOOKUP(B18,Opportunities!B$3:N$30,12,FALSE)</f>
        <v>4.269036599727178</v>
      </c>
      <c r="K18" s="81">
        <f>VLOOKUP(B18,Opportunities!B$3:N$30,9,FALSE)</f>
        <v>3.4424578211894619</v>
      </c>
      <c r="L18" s="81">
        <f>VLOOKUP(B18,Opportunities!B$3:N$30,11,FALSE)</f>
        <v>5.9086960221244471</v>
      </c>
      <c r="M18" s="81">
        <f>VLOOKUP(B18,Opportunities!B$3:N$30,13,FALSE)</f>
        <v>5.2494771434548309</v>
      </c>
    </row>
    <row r="19" spans="1:13">
      <c r="B19" s="63" t="s">
        <v>361</v>
      </c>
      <c r="C19" s="62" t="str">
        <f>VLOOKUP(B19,Opportunities!B$3:E$30,2,FALSE)</f>
        <v>新华文轩</v>
      </c>
      <c r="D19" s="60">
        <f>VLOOKUP(B19,Opportunities!B$3:E$30,3,FALSE)</f>
        <v>10.57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0.14778481526401951</v>
      </c>
      <c r="J19" s="81">
        <f>VLOOKUP(B19,Opportunities!B$3:N$30,12,FALSE)</f>
        <v>13.014747377846154</v>
      </c>
      <c r="K19" s="81">
        <f>VLOOKUP(B19,Opportunities!B$3:N$30,9,FALSE)</f>
        <v>10.474826343883192</v>
      </c>
      <c r="L19" s="81">
        <f>VLOOKUP(B19,Opportunities!B$3:N$30,11,FALSE)</f>
        <v>18.0584299534876</v>
      </c>
      <c r="M19" s="81">
        <f>VLOOKUP(B19,Opportunities!B$3:N$30,13,FALSE)</f>
        <v>16.029944020097382</v>
      </c>
    </row>
    <row r="20" spans="1:13">
      <c r="B20" s="63" t="s">
        <v>331</v>
      </c>
      <c r="C20" s="62" t="str">
        <f>VLOOKUP(B20,Opportunities!B$3:E$30,2,FALSE)</f>
        <v>昆仑能源</v>
      </c>
      <c r="D20" s="60">
        <f>VLOOKUP(B20,Opportunities!B$3:E$30,3,FALSE)</f>
        <v>7.87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2.8791974732131621E-2</v>
      </c>
      <c r="J20" s="81">
        <f>VLOOKUP(B20,Opportunities!B$3:N$30,12,FALSE)</f>
        <v>7.2663333786104678</v>
      </c>
      <c r="K20" s="81">
        <f>VLOOKUP(B20,Opportunities!B$3:N$30,9,FALSE)</f>
        <v>5.8453295525885984</v>
      </c>
      <c r="L20" s="81">
        <f>VLOOKUP(B20,Opportunities!B$3:N$30,11,FALSE)</f>
        <v>10.088883776897726</v>
      </c>
      <c r="M20" s="81">
        <f>VLOOKUP(B20,Opportunities!B$3:N$30,13,FALSE)</f>
        <v>8.9536000472965025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0.59279057719786632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2026-01-21T03:13:07Z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