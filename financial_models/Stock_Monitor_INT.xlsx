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FC09E0B-914F-4621-B5F9-860BBAC55059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<sst xmlns="http://schemas.openxmlformats.org/spreadsheetml/2006/main" count="472" uniqueCount="384">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</sst>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2.67</v>
      </c>
      <c r="E3" s="12" t="s">
        <v>136</v>
      </c>
      <c r="F3" s="15">
        <v>0.27541234630073297</v>
      </c>
      <c r="G3" s="15">
        <f>F3 - Portfolio_Mgmt!$C$10</f>
        <v>0.15801234630073296</v>
      </c>
      <c r="H3" s="15">
        <f>F3 - Portfolio_Mgmt!$C$11</f>
        <v>0.24091234630073297</v>
      </c>
      <c r="I3" s="15">
        <v>0.13690807132224098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8.0321913984971002E-2</v>
      </c>
      <c r="P3" s="4">
        <v>0.10112359550561799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18.52</v>
      </c>
      <c r="E4" s="12" t="s">
        <v>136</v>
      </c>
      <c r="F4" s="15">
        <v>0.21314073238873155</v>
      </c>
      <c r="G4" s="15">
        <f>F4 - Portfolio_Mgmt!$C$10</f>
        <v>9.5740732388731542E-2</v>
      </c>
      <c r="H4" s="15">
        <f>F4 - Portfolio_Mgmt!$C$11</f>
        <v>0.17864073238873154</v>
      </c>
      <c r="I4" s="15">
        <v>0</v>
      </c>
      <c r="J4" s="2">
        <v>13.688927536349711</v>
      </c>
      <c r="K4" s="2">
        <v>28.422545087246426</v>
      </c>
      <c r="L4" s="74">
        <v>26.155690512580922</v>
      </c>
      <c r="M4" s="2">
        <v>17.011863084670171</v>
      </c>
      <c r="N4" s="2">
        <v>23.412034525898395</v>
      </c>
      <c r="O4" s="4">
        <v>0.1116673318632997</v>
      </c>
      <c r="P4" s="4">
        <v>6.8034557235421164E-2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-0.45824293124508209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2.08</v>
      </c>
      <c r="E5" s="12" t="s">
        <v>136</v>
      </c>
      <c r="F5" s="15">
        <v>0.202241281288009</v>
      </c>
      <c r="G5" s="15">
        <f>F5 - Portfolio_Mgmt!$C$10</f>
        <v>8.4841281288008996E-2</v>
      </c>
      <c r="H5" s="15">
        <f>F5 - Portfolio_Mgmt!$C$11</f>
        <v>0.167741281288009</v>
      </c>
      <c r="I5" s="15">
        <v>0</v>
      </c>
      <c r="J5" s="2">
        <v>1.4882510231848505</v>
      </c>
      <c r="K5" s="2">
        <v>3.286130611168427</v>
      </c>
      <c r="L5" s="74">
        <v>2.8792528848375532</v>
      </c>
      <c r="M5" s="2">
        <v>1.8581788729182347</v>
      </c>
      <c r="N5" s="2">
        <v>2.5725025496935339</v>
      </c>
      <c r="O5" s="4">
        <v>6.4895547279922652E-2</v>
      </c>
      <c r="P5" s="4">
        <v>4.3269230769230775E-2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1.8470365165390314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3.36</v>
      </c>
      <c r="E6" s="12" t="s">
        <v>136</v>
      </c>
      <c r="F6" s="15">
        <v>0.19174161382063715</v>
      </c>
      <c r="G6" s="15">
        <f>F6 - Portfolio_Mgmt!$C$10</f>
        <v>7.4341613820637142E-2</v>
      </c>
      <c r="H6" s="15">
        <f>F6 - Portfolio_Mgmt!$C$11</f>
        <v>0.15724161382063714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8.4512659941572782E-2</v>
      </c>
      <c r="P6" s="4">
        <v>3.8095238095238099E-2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16.239999999999998</v>
      </c>
      <c r="E7" s="12" t="s">
        <v>136</v>
      </c>
      <c r="F7" s="15">
        <v>0.18971335718308557</v>
      </c>
      <c r="G7" s="15">
        <f>F7 - Portfolio_Mgmt!$C$10</f>
        <v>7.2313357183085569E-2</v>
      </c>
      <c r="H7" s="15">
        <f>F7 - Portfolio_Mgmt!$C$11</f>
        <v>0.15521335718308557</v>
      </c>
      <c r="I7" s="15">
        <v>0</v>
      </c>
      <c r="J7" s="2">
        <v>11.226070161868444</v>
      </c>
      <c r="K7" s="2">
        <v>25.6116986776847</v>
      </c>
      <c r="L7" s="74">
        <v>21.868302014049291</v>
      </c>
      <c r="M7" s="2">
        <v>14.052883550703093</v>
      </c>
      <c r="N7" s="2">
        <v>19.51887962505705</v>
      </c>
      <c r="O7" s="4">
        <v>6.3023215519017656E-2</v>
      </c>
      <c r="P7" s="4">
        <v>2.9642889562824525E-2</v>
      </c>
      <c r="Q7" s="4">
        <v>0.1235966538598019</v>
      </c>
      <c r="R7" s="4">
        <v>0.12331905748339497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4.6091838432939829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179</v>
      </c>
      <c r="C8" s="11" t="s">
        <v>180</v>
      </c>
      <c r="D8" s="2">
        <v>55.15</v>
      </c>
      <c r="E8" s="12" t="s">
        <v>136</v>
      </c>
      <c r="F8" s="15">
        <v>0.16979064880299144</v>
      </c>
      <c r="G8" s="15">
        <f>F8 - Portfolio_Mgmt!$C$10</f>
        <v>5.2390648802991435E-2</v>
      </c>
      <c r="H8" s="15">
        <f>F8 - Portfolio_Mgmt!$C$11</f>
        <v>0.13529064880299144</v>
      </c>
      <c r="I8" s="15">
        <v>0</v>
      </c>
      <c r="J8" s="2">
        <v>37.196559480486762</v>
      </c>
      <c r="K8" s="2">
        <v>70.231100756802618</v>
      </c>
      <c r="L8" s="74">
        <v>69.800082971755543</v>
      </c>
      <c r="M8" s="2">
        <v>45.916627267482944</v>
      </c>
      <c r="N8" s="2">
        <v>62.646983361565397</v>
      </c>
      <c r="O8" s="4">
        <v>9.6421907543592339E-2</v>
      </c>
      <c r="P8" s="4">
        <v>9.2503898458748887E-2</v>
      </c>
      <c r="Q8" s="4">
        <v>0.32755394896836565</v>
      </c>
      <c r="R8" s="4">
        <v>8.9976704126159421E-2</v>
      </c>
      <c r="S8" s="82">
        <v>1.5891874956485419</v>
      </c>
      <c r="T8" s="81">
        <v>2.2907496012759174</v>
      </c>
      <c r="U8" s="15">
        <v>0.24768740031897937</v>
      </c>
      <c r="V8" s="79">
        <v>0.73855199466278643</v>
      </c>
      <c r="W8" s="74">
        <v>-2.6743503838717704</v>
      </c>
      <c r="X8" s="13" t="s">
        <v>184</v>
      </c>
      <c r="Y8" s="11" t="s">
        <v>137</v>
      </c>
      <c r="Z8" s="14">
        <v>45808</v>
      </c>
      <c r="AA8" s="16" t="s">
        <v>224</v>
      </c>
    </row>
    <row r="9" spans="1:27">
      <c r="B9" s="11" t="s">
        <v>182</v>
      </c>
      <c r="C9" s="11" t="s">
        <v>183</v>
      </c>
      <c r="D9" s="2">
        <v>51.75</v>
      </c>
      <c r="E9" s="12" t="s">
        <v>136</v>
      </c>
      <c r="F9" s="15">
        <v>0.15284609279687134</v>
      </c>
      <c r="G9" s="15">
        <f>F9 - Portfolio_Mgmt!$C$10</f>
        <v>3.5446092796871331E-2</v>
      </c>
      <c r="H9" s="15">
        <f>F9 - Portfolio_Mgmt!$C$11</f>
        <v>0.11834609279687133</v>
      </c>
      <c r="I9" s="15">
        <v>0</v>
      </c>
      <c r="J9" s="2">
        <v>32.735566396811556</v>
      </c>
      <c r="K9" s="2">
        <v>72.985312037766548</v>
      </c>
      <c r="L9" s="74">
        <v>63.459887626886101</v>
      </c>
      <c r="M9" s="2">
        <v>40.903579662452003</v>
      </c>
      <c r="N9" s="2">
        <v>56.682239683894849</v>
      </c>
      <c r="O9" s="4">
        <v>4.4575759905692854E-2</v>
      </c>
      <c r="P9" s="4">
        <v>3.4995445267240126E-2</v>
      </c>
      <c r="Q9" s="4">
        <v>0.13507594457696054</v>
      </c>
      <c r="R9" s="4">
        <v>0.12563570714031028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1.3588758424084806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205</v>
      </c>
      <c r="C10" s="11" t="s">
        <v>216</v>
      </c>
      <c r="D10" s="2">
        <v>23.43</v>
      </c>
      <c r="E10" s="12" t="s">
        <v>206</v>
      </c>
      <c r="F10" s="15">
        <v>0.13940858196487338</v>
      </c>
      <c r="G10" s="15">
        <f>F10 - Portfolio_Mgmt!$C$10</f>
        <v>2.2008581964873375E-2</v>
      </c>
      <c r="H10" s="15">
        <f>F10 - Portfolio_Mgmt!$C$11</f>
        <v>0.10490858196487338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0.19457795763287214</v>
      </c>
      <c r="P10" s="4">
        <v>1.7734528382415706E-2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185</v>
      </c>
      <c r="C11" s="11" t="s">
        <v>186</v>
      </c>
      <c r="D11" s="2">
        <v>7.21</v>
      </c>
      <c r="E11" s="12" t="s">
        <v>136</v>
      </c>
      <c r="F11" s="15">
        <v>0.12455333368484123</v>
      </c>
      <c r="G11" s="15">
        <f>F11 - Portfolio_Mgmt!$C$10</f>
        <v>7.1533336848412232E-3</v>
      </c>
      <c r="H11" s="15">
        <f>F11 - Portfolio_Mgmt!$C$11</f>
        <v>9.0053333684841225E-2</v>
      </c>
      <c r="I11" s="15">
        <v>0</v>
      </c>
      <c r="J11" s="2">
        <v>4.2941188067231604</v>
      </c>
      <c r="K11" s="2">
        <v>8.9055492126469176</v>
      </c>
      <c r="L11" s="74">
        <v>8.2029635310528466</v>
      </c>
      <c r="M11" s="2">
        <v>5.3360405287529495</v>
      </c>
      <c r="N11" s="2">
        <v>7.3427471335182837</v>
      </c>
      <c r="O11" s="4">
        <v>0.1093020778007006</v>
      </c>
      <c r="P11" s="4">
        <v>5.5165819606600566E-2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-3.8793614223030701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208</v>
      </c>
      <c r="C12" s="11" t="s">
        <v>217</v>
      </c>
      <c r="D12" s="2">
        <v>28.13</v>
      </c>
      <c r="E12" s="12" t="s">
        <v>206</v>
      </c>
      <c r="F12" s="15">
        <v>0.12383400810483525</v>
      </c>
      <c r="G12" s="15">
        <f>F12 - Portfolio_Mgmt!$C$10</f>
        <v>6.4340081048352427E-3</v>
      </c>
      <c r="H12" s="15">
        <f>F12 - Portfolio_Mgmt!$C$11</f>
        <v>8.9334008104835244E-2</v>
      </c>
      <c r="I12" s="15">
        <v>0</v>
      </c>
      <c r="J12" s="2">
        <v>16.586017104127016</v>
      </c>
      <c r="K12" s="2">
        <v>36.134621832566509</v>
      </c>
      <c r="L12" s="74">
        <v>31.999534598013469</v>
      </c>
      <c r="M12" s="2">
        <v>20.68716637827405</v>
      </c>
      <c r="N12" s="2">
        <v>28.601981247202922</v>
      </c>
      <c r="O12" s="4">
        <v>9.0265460625062133E-2</v>
      </c>
      <c r="P12" s="4">
        <v>3.9815143974404547E-2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193</v>
      </c>
      <c r="C13" s="11" t="s">
        <v>194</v>
      </c>
      <c r="D13" s="2">
        <v>15.84</v>
      </c>
      <c r="E13" s="12" t="s">
        <v>136</v>
      </c>
      <c r="F13" s="15">
        <v>0.10563628228984734</v>
      </c>
      <c r="G13" s="15">
        <f>F13 - Portfolio_Mgmt!$C$10</f>
        <v>-1.1763717710152666E-2</v>
      </c>
      <c r="H13" s="15">
        <f>F13 - Portfolio_Mgmt!$C$11</f>
        <v>7.1136282289847336E-2</v>
      </c>
      <c r="I13" s="15">
        <v>0</v>
      </c>
      <c r="J13" s="2">
        <v>8.9907393928583339</v>
      </c>
      <c r="K13" s="2">
        <v>18.603424785803828</v>
      </c>
      <c r="L13" s="2">
        <v>17.167109641388116</v>
      </c>
      <c r="M13" s="2">
        <v>11.17037166761156</v>
      </c>
      <c r="N13" s="2">
        <v>15.367876871335671</v>
      </c>
      <c r="O13" s="4">
        <v>9.8043432843179457E-2</v>
      </c>
      <c r="P13" s="4">
        <v>5.3215886363636361E-2</v>
      </c>
      <c r="Q13" s="4">
        <v>0.26418090480197237</v>
      </c>
      <c r="R13" s="4">
        <v>0.11373780803629475</v>
      </c>
      <c r="S13" s="82">
        <v>0.70652858717908329</v>
      </c>
      <c r="T13" s="81">
        <v>3.2875080906148866</v>
      </c>
      <c r="U13" s="15">
        <v>1.5035598705501618</v>
      </c>
      <c r="V13" s="79">
        <v>4.1998196571663646</v>
      </c>
      <c r="W13" s="74">
        <v>-12.275935491848067</v>
      </c>
      <c r="X13" s="13" t="s">
        <v>181</v>
      </c>
      <c r="Y13" s="11" t="s">
        <v>195</v>
      </c>
      <c r="Z13" s="14">
        <v>45900</v>
      </c>
      <c r="AA13" s="16" t="s">
        <v>225</v>
      </c>
    </row>
    <row r="14" spans="1:27">
      <c r="B14" s="11" t="s">
        <v>227</v>
      </c>
      <c r="C14" s="11" t="s">
        <v>228</v>
      </c>
      <c r="D14" s="2">
        <v>6.51</v>
      </c>
      <c r="E14" s="12" t="s">
        <v>136</v>
      </c>
      <c r="F14" s="15">
        <v>9.513149400081744E-2</v>
      </c>
      <c r="G14" s="15">
        <f>F14 - Portfolio_Mgmt!$C$10</f>
        <v>-2.2268505999182564E-2</v>
      </c>
      <c r="H14" s="15">
        <f>F14 - Portfolio_Mgmt!$C$11</f>
        <v>6.0631494000817437E-2</v>
      </c>
      <c r="I14" s="15">
        <v>0</v>
      </c>
      <c r="J14" s="2">
        <v>3.6036658259915511</v>
      </c>
      <c r="K14" s="2">
        <v>7.3642693066239637</v>
      </c>
      <c r="L14" s="2">
        <v>6.8641356814360206</v>
      </c>
      <c r="M14" s="2">
        <v>4.4732258849914697</v>
      </c>
      <c r="N14" s="2">
        <v>6.1469536878205542</v>
      </c>
      <c r="O14" s="4">
        <v>5.6743799438476968E-2</v>
      </c>
      <c r="P14" s="4">
        <v>5.5299539170506909E-2</v>
      </c>
      <c r="Q14" s="4">
        <v>7.0630420943605887E-2</v>
      </c>
      <c r="R14" s="4">
        <v>9.3039179367971361E-2</v>
      </c>
      <c r="S14" s="82">
        <v>0.62627525695225639</v>
      </c>
      <c r="T14" s="81">
        <v>1.2121620122817016</v>
      </c>
      <c r="U14" s="15">
        <v>1.1610019159010268E-2</v>
      </c>
      <c r="V14" s="79">
        <v>0.16381589511191816</v>
      </c>
      <c r="W14" s="74">
        <v>3.7980767021052162</v>
      </c>
      <c r="X14" s="13" t="s">
        <v>229</v>
      </c>
      <c r="Y14" s="11" t="s">
        <v>137</v>
      </c>
      <c r="Z14" s="14">
        <v>45900</v>
      </c>
      <c r="AA14" s="16" t="s">
        <v>224</v>
      </c>
    </row>
    <row r="15" spans="1:27">
      <c r="B15" s="11" t="s">
        <v>138</v>
      </c>
      <c r="C15" s="11" t="s">
        <v>176</v>
      </c>
      <c r="D15" s="2">
        <v>8.6999999999999993</v>
      </c>
      <c r="E15" s="12" t="s">
        <v>136</v>
      </c>
      <c r="F15" s="15">
        <v>8.9955518814969215E-2</v>
      </c>
      <c r="G15" s="15">
        <f>F15 - Portfolio_Mgmt!$C$10</f>
        <v>-2.7444481185030789E-2</v>
      </c>
      <c r="H15" s="15">
        <f>F15 - Portfolio_Mgmt!$C$11</f>
        <v>5.5455518814969212E-2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3.5505559997961497E-2</v>
      </c>
      <c r="P15" s="4">
        <v>6.6666666666666666E-2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21.5</v>
      </c>
      <c r="E16" s="12" t="s">
        <v>136</v>
      </c>
      <c r="F16" s="15">
        <v>7.0037335361119446E-2</v>
      </c>
      <c r="G16" s="15">
        <f>F16 - Portfolio_Mgmt!$C$10</f>
        <v>-4.7362664638880558E-2</v>
      </c>
      <c r="H16" s="15">
        <f>F16 - Portfolio_Mgmt!$C$11</f>
        <v>3.5537335361119443E-2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8.0371442761378115E-2</v>
      </c>
      <c r="P16" s="4">
        <v>6.325581395348838E-2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2.72</v>
      </c>
      <c r="E17" s="12" t="s">
        <v>136</v>
      </c>
      <c r="F17" s="15">
        <v>5.4564228911843093E-2</v>
      </c>
      <c r="G17" s="15">
        <f>F17 - Portfolio_Mgmt!$C$10</f>
        <v>-6.2835771088156911E-2</v>
      </c>
      <c r="H17" s="15">
        <f>F17 - Portfolio_Mgmt!$C$11</f>
        <v>2.0064228911843091E-2</v>
      </c>
      <c r="I17" s="15">
        <v>0</v>
      </c>
      <c r="J17" s="2">
        <v>1.3421607235426432</v>
      </c>
      <c r="K17" s="2">
        <v>2.8366188060618769</v>
      </c>
      <c r="L17" s="2">
        <v>2.5735531040242656</v>
      </c>
      <c r="M17" s="2">
        <v>1.6701681154168599</v>
      </c>
      <c r="N17" s="2">
        <v>2.3023929631420863</v>
      </c>
      <c r="O17" s="4">
        <v>3.0956005946006979E-2</v>
      </c>
      <c r="P17" s="4">
        <v>4.1024907845870554E-2</v>
      </c>
      <c r="Q17" s="4">
        <v>4.3343336193079611E-2</v>
      </c>
      <c r="R17" s="4">
        <v>8.4128292792996343E-2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1.9118585413081595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2.35</v>
      </c>
      <c r="E18" s="12" t="s">
        <v>136</v>
      </c>
      <c r="F18" s="15">
        <v>-3.4799641639850165E-2</v>
      </c>
      <c r="G18" s="15">
        <f>F18 - Portfolio_Mgmt!$C$10</f>
        <v>-0.15219964163985017</v>
      </c>
      <c r="H18" s="15">
        <f>F18 - Portfolio_Mgmt!$C$11</f>
        <v>-6.9299641639850168E-2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4.0798537210795386E-3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4.4600000000000001E-2</v>
      </c>
      <c r="D4" s="34">
        <v>7.4999999999999997E-2</v>
      </c>
      <c r="E4" s="35">
        <f>D4-C4</f>
        <v>3.0399999999999996E-2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0.43238030578560332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7.21</v>
      </c>
      <c r="D4" s="62" t="str">
        <f>VLOOKUP(B4,Opportunities!B$3:E$30,4,FALSE)</f>
        <v>HKD</v>
      </c>
      <c r="E4" s="59">
        <v>10000</v>
      </c>
      <c r="F4" s="64">
        <f>E4*C4</f>
        <v>72100</v>
      </c>
      <c r="G4" s="61">
        <f>F4/$F$10</f>
        <v>7.6024260575230346E-2</v>
      </c>
      <c r="H4" s="61">
        <f>VLOOKUP(B4,Opportunities!B$3:I$30,8,FALSE)</f>
        <v>0</v>
      </c>
      <c r="I4" s="84">
        <f>VLOOKUP(B4,Opportunities!B$3:N$30,12,FALSE)</f>
        <v>5.3360405287529495</v>
      </c>
      <c r="J4" s="84">
        <f>VLOOKUP(B4,Opportunities!B$3:N$30,9,FALSE)</f>
        <v>4.2941188067231604</v>
      </c>
      <c r="K4" s="84">
        <f>VLOOKUP(B4,Opportunities!B$3:N$30,11,FALSE)</f>
        <v>8.2029635310528466</v>
      </c>
      <c r="L4" s="84">
        <f>VLOOKUP(B4,Opportunities!B$3:N$30,13,FALSE)</f>
        <v>7.3427471335182837</v>
      </c>
    </row>
    <row r="5" spans="1:12">
      <c r="B5" s="66" t="s">
        <v>163</v>
      </c>
      <c r="C5" s="63">
        <f>VLOOKUP(B5,Opportunities!B$3:E$30,3,FALSE)</f>
        <v>16.239999999999998</v>
      </c>
      <c r="D5" s="62" t="str">
        <f>VLOOKUP(B5,Opportunities!B$3:E$30,4,FALSE)</f>
        <v>HKD</v>
      </c>
      <c r="E5" s="59">
        <v>9000</v>
      </c>
      <c r="F5" s="64">
        <f>C5*E5</f>
        <v>146160</v>
      </c>
      <c r="G5" s="61">
        <f>F5/$F$10</f>
        <v>0.15411520007871937</v>
      </c>
      <c r="H5" s="61">
        <f>VLOOKUP(B5,Opportunities!B$3:I$30,8,FALSE)</f>
        <v>0</v>
      </c>
      <c r="I5" s="84">
        <f>VLOOKUP(B5,Opportunities!B$3:N$30,12,FALSE)</f>
        <v>14.052883550703093</v>
      </c>
      <c r="J5" s="84">
        <f>VLOOKUP(B5,Opportunities!B$3:N$30,9,FALSE)</f>
        <v>11.226070161868444</v>
      </c>
      <c r="K5" s="84">
        <f>VLOOKUP(B5,Opportunities!B$3:N$30,11,FALSE)</f>
        <v>21.868302014049291</v>
      </c>
      <c r="L5" s="84">
        <f>VLOOKUP(B5,Opportunities!B$3:N$30,13,FALSE)</f>
        <v>19.51887962505705</v>
      </c>
    </row>
    <row r="6" spans="1:12">
      <c r="B6" s="66" t="s">
        <v>210</v>
      </c>
      <c r="C6" s="63">
        <f>VLOOKUP(B6,Opportunities!B$3:E$30,3,FALSE)</f>
        <v>18.52</v>
      </c>
      <c r="D6" s="62" t="str">
        <f>VLOOKUP(B6,Opportunities!B$3:E$30,4,FALSE)</f>
        <v>HKD</v>
      </c>
      <c r="E6" s="59">
        <v>8000</v>
      </c>
      <c r="F6" s="64">
        <f>C6*E6</f>
        <v>148160</v>
      </c>
      <c r="G6" s="61">
        <f>F6/$F$10</f>
        <v>0.15622405612796295</v>
      </c>
      <c r="H6" s="61">
        <f>VLOOKUP(B6,Opportunities!B$3:I$30,8,FALSE)</f>
        <v>0</v>
      </c>
      <c r="I6" s="84">
        <f>VLOOKUP(B6,Opportunities!B$3:N$30,12,FALSE)</f>
        <v>17.011863084670171</v>
      </c>
      <c r="J6" s="84">
        <f>VLOOKUP(B6,Opportunities!B$3:N$30,9,FALSE)</f>
        <v>13.688927536349711</v>
      </c>
      <c r="K6" s="84">
        <f>VLOOKUP(B6,Opportunities!B$3:N$30,11,FALSE)</f>
        <v>26.155690512580922</v>
      </c>
      <c r="L6" s="84">
        <f>VLOOKUP(B6,Opportunities!B$3:N$30,13,FALSE)</f>
        <v>23.412034525898395</v>
      </c>
    </row>
    <row r="7" spans="1:12">
      <c r="B7" s="66" t="s">
        <v>227</v>
      </c>
      <c r="C7" s="63">
        <f>VLOOKUP(B7,Opportunities!B$3:E$30,3,FALSE)</f>
        <v>6.51</v>
      </c>
      <c r="D7" s="62" t="str">
        <f>VLOOKUP(B7,Opportunities!B$3:E$30,4,FALSE)</f>
        <v>HKD</v>
      </c>
      <c r="E7" s="59">
        <v>10000</v>
      </c>
      <c r="F7" s="64">
        <f>C7*E7</f>
        <v>65100</v>
      </c>
      <c r="G7" s="61">
        <f t="shared" ref="G7" si="0">F7/$F$10</f>
        <v>6.8643264402877879E-2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2.67</v>
      </c>
      <c r="D8" s="62" t="str">
        <f>VLOOKUP(B8,Opportunities!B$3:E$30,4,FALSE)</f>
        <v>HKD</v>
      </c>
      <c r="E8" s="59">
        <v>40000</v>
      </c>
      <c r="F8" s="64">
        <f>C8*E8</f>
        <v>106800</v>
      </c>
      <c r="G8" s="61">
        <f t="shared" ref="G8" si="1">F8/$F$10</f>
        <v>0.11261291302960612</v>
      </c>
      <c r="H8" s="61">
        <f>VLOOKUP(B8,Opportunities!B$3:I$30,8,FALSE)</f>
        <v>0.13690807132224098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948381.47</v>
      </c>
      <c r="G10" s="70">
        <f>SUM(G3:G8)</f>
        <v>1</v>
      </c>
      <c r="H10" s="76">
        <f>SUM(H3:H8)</f>
        <v>0.58690807132224099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2.67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0.13690807132224098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7.21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5.3360405287529495</v>
      </c>
      <c r="J14" s="84">
        <f>VLOOKUP(B14,Opportunities!B$3:N$30,9,FALSE)</f>
        <v>4.2941188067231604</v>
      </c>
      <c r="K14" s="84">
        <f>VLOOKUP(B14,Opportunities!B$3:N$30,11,FALSE)</f>
        <v>8.2029635310528466</v>
      </c>
      <c r="L14" s="84">
        <f>VLOOKUP(B14,Opportunities!B$3:N$30,13,FALSE)</f>
        <v>7.3427471335182837</v>
      </c>
    </row>
    <row r="15" spans="1:12">
      <c r="B15" s="66" t="s">
        <v>227</v>
      </c>
      <c r="C15" s="63">
        <f>VLOOKUP(B15,Opportunities!B$3:E$30,3,FALSE)</f>
        <v>6.51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18.52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17.011863084670171</v>
      </c>
      <c r="J16" s="84">
        <f>VLOOKUP(B16,Opportunities!B$3:N$30,9,FALSE)</f>
        <v>13.688927536349711</v>
      </c>
      <c r="K16" s="84">
        <f>VLOOKUP(B16,Opportunities!B$3:N$30,11,FALSE)</f>
        <v>26.155690512580922</v>
      </c>
      <c r="L16" s="84">
        <f>VLOOKUP(B16,Opportunities!B$3:N$30,13,FALSE)</f>
        <v>23.412034525898395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0.43238030578560332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2025-07-18T09:38:28Z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