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341DE117-DD29-4262-8FE1-7198EEF72A64}" xr6:coauthVersionLast="47" xr6:coauthVersionMax="47" xr10:uidLastSave="{00000000-0000-0000-0000-000000000000}"/>
  <bookViews>
    <workbookView xWindow="-28920" yWindow="6150" windowWidth="29040" windowHeight="15720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G3" i="1"/>
  <c r="G4" i="1"/>
  <c r="G5" i="1"/>
  <c r="G6" i="1"/>
  <c r="G7" i="1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E19" i="7"/>
  <c r="C20" i="7" s="1"/>
  <c r="E20" i="7" s="1"/>
  <c r="E22" i="7" s="1"/>
  <c r="H6" i="7"/>
  <c r="I6" i="7"/>
  <c r="J6" i="7"/>
  <c r="K6" i="7"/>
  <c r="L6" i="7"/>
  <c r="C6" i="7"/>
  <c r="D6" i="7"/>
  <c r="H13" i="7"/>
  <c r="I13" i="7"/>
  <c r="J13" i="7"/>
  <c r="K13" i="7"/>
  <c r="L13" i="7"/>
  <c r="C13" i="7"/>
  <c r="F13" i="7" s="1"/>
  <c r="D13" i="7"/>
  <c r="H12" i="7"/>
  <c r="I12" i="7"/>
  <c r="J12" i="7"/>
  <c r="K12" i="7"/>
  <c r="L12" i="7"/>
  <c r="C12" i="7"/>
  <c r="F12" i="7" s="1"/>
  <c r="D12" i="7"/>
  <c r="C11" i="7"/>
  <c r="D11" i="7"/>
  <c r="H11" i="7"/>
  <c r="I11" i="7"/>
  <c r="J11" i="7"/>
  <c r="K11" i="7"/>
  <c r="L11" i="7"/>
  <c r="I4" i="7"/>
  <c r="J4" i="7"/>
  <c r="K4" i="7"/>
  <c r="L4" i="7"/>
  <c r="I5" i="7"/>
  <c r="J5" i="7"/>
  <c r="K5" i="7"/>
  <c r="L5" i="7"/>
  <c r="E37" i="5"/>
  <c r="E37" i="10" s="1"/>
  <c r="H5" i="7"/>
  <c r="C5" i="7"/>
  <c r="F5" i="7" s="1"/>
  <c r="D5" i="7"/>
  <c r="D4" i="7"/>
  <c r="H4" i="7"/>
  <c r="C4" i="7"/>
  <c r="E35" i="5" l="1"/>
  <c r="E33" i="5"/>
  <c r="F6" i="7"/>
  <c r="F11" i="7"/>
  <c r="F15" i="7" s="1"/>
  <c r="F4" i="7"/>
  <c r="F8" i="7" l="1"/>
  <c r="G6" i="7" s="1"/>
  <c r="G13" i="7" l="1"/>
  <c r="E65" i="5"/>
  <c r="E66" i="5" s="1"/>
  <c r="G12" i="7" l="1"/>
  <c r="G11" i="7"/>
  <c r="G5" i="7"/>
  <c r="G4" i="7"/>
  <c r="G15" i="7"/>
  <c r="C16" i="2"/>
  <c r="C10" i="5" s="1"/>
  <c r="C11" i="5"/>
  <c r="E6" i="2"/>
  <c r="E5" i="2"/>
  <c r="E4" i="2"/>
  <c r="C10" i="10" l="1"/>
  <c r="H15" i="7"/>
  <c r="H3" i="7"/>
  <c r="H8" i="7" s="1"/>
  <c r="G3" i="7" l="1"/>
  <c r="G8" i="7" l="1"/>
</calcChain>
</file>

<file path=xl/sharedStrings.xml><?xml version="1.0" encoding="utf-8"?>
<sst xmlns="http://schemas.openxmlformats.org/spreadsheetml/2006/main" count="408" uniqueCount="351">
  <si>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</si>
  <si>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</si>
  <si>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</si>
  <si>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</si>
  <si>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</si>
  <si>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</si>
  <si>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</si>
  <si>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</si>
  <si>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</si>
  <si>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</si>
  <si>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</si>
  <si>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</si>
  <si>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</si>
  <si>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</si>
  <si>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</si>
  <si>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</si>
  <si>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</si>
  <si>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</si>
  <si>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</si>
  <si>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</si>
  <si>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</si>
  <si>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</si>
  <si>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</si>
  <si>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</si>
  <si>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</si>
  <si>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</si>
  <si>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</si>
  <si>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</si>
  <si>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</si>
  <si>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</si>
  <si>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</si>
  <si>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</si>
  <si>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</si>
  <si>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</si>
  <si>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</si>
  <si>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</si>
  <si>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</si>
  <si>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</si>
  <si>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</si>
  <si>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</si>
  <si>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</si>
  <si>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</si>
  <si>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</si>
  <si>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</si>
  <si>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</si>
  <si>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</si>
  <si>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</si>
  <si>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</si>
  <si>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</si>
  <si>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</si>
  <si>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</si>
  <si>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</si>
  <si>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</si>
  <si>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</si>
  <si>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</si>
  <si>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</si>
  <si>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</si>
  <si>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</si>
  <si>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</si>
  <si>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</si>
  <si>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</si>
  <si>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</si>
  <si>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</si>
  <si>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</si>
  <si>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</si>
  <si>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</si>
  <si>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</si>
  <si>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</si>
  <si>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</si>
  <si>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</si>
  <si>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</si>
  <si>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</si>
  <si>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</si>
  <si>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</si>
  <si>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</si>
  <si>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</si>
  <si>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</si>
  <si>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</si>
  <si>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</si>
  <si>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</si>
  <si>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</si>
  <si>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</si>
  <si>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</si>
  <si>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</si>
  <si>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</si>
  <si>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</si>
  <si>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</si>
  <si>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</si>
  <si>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</si>
  <si>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</si>
  <si>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</si>
  <si>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</si>
  <si>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</si>
  <si>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</si>
  <si>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</si>
  <si>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</si>
  <si>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</si>
  <si>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</si>
  <si>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</si>
  <si>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</si>
  <si>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</si>
  <si>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</si>
  <si>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</si>
  <si>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</si>
  <si>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</si>
  <si>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</si>
  <si>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</si>
  <si>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</si>
  <si>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</si>
  <si>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</si>
  <si>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</si>
  <si>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</si>
  <si>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</si>
  <si>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</si>
  <si>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</si>
  <si>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</si>
  <si>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</si>
  <si>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</si>
  <si>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</si>
  <si>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</si>
  <si>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</si>
  <si>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</si>
  <si>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</si>
  <si>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</si>
  <si>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</si>
  <si>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</si>
  <si>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</si>
  <si>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</si>
  <si>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</si>
  <si>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</si>
  <si>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</si>
  <si>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</si>
  <si>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</si>
  <si>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</si>
  <si>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</si>
  <si>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</si>
  <si>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</si>
  <si>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</si>
  <si>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</si>
  <si>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</si>
  <si>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</si>
  <si>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</si>
  <si>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</si>
  <si>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</si>
  <si>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</si>
  <si>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</si>
  <si>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</si>
  <si>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</si>
  <si>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</si>
  <si>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</si>
  <si>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</si>
  <si>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</si>
  <si>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</si>
  <si>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</si>
  <si>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</si>
  <si>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</si>
  <si>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</si>
  <si>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</si>
  <si>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</si>
  <si>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</si>
  <si>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</si>
  <si>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</si>
  <si>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</si>
  <si>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</si>
  <si>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</si>
  <si>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</si>
  <si>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</si>
  <si>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</si>
  <si>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</si>
  <si>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</si>
  <si>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</si>
  <si>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</si>
  <si>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</si>
  <si>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</si>
  <si>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</si>
  <si>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</si>
  <si>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</si>
  <si>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</si>
  <si>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</si>
  <si>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</si>
  <si>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</si>
  <si>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</si>
  <si>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</si>
  <si>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</si>
  <si>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</si>
  <si>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</si>
  <si>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</si>
  <si>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</si>
  <si>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</si>
  <si>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</si>
  <si>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</si>
  <si>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</si>
  <si>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</si>
  <si>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</si>
  <si>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</si>
  <si>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</si>
  <si>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</si>
  <si>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</si>
  <si>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</si>
  <si>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</si>
  <si>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</si>
  <si>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</si>
  <si>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</si>
  <si>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</si>
  <si>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</si>
  <si>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</si>
  <si>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</si>
  <si>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</si>
  <si>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</si>
  <si>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</si>
  <si>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</si>
  <si>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</si>
  <si>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</si>
  <si>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</si>
  <si>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</si>
  <si>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</si>
  <si>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</si>
  <si>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</si>
  <si>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</si>
  <si>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</si>
  <si>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</si>
  <si>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</si>
  <si>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</si>
  <si>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</si>
  <si>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</si>
  <si>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</si>
  <si>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</si>
  <si>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</si>
  <si>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</si>
  <si>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</si>
  <si>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</si>
  <si>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</si>
  <si>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</si>
  <si>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</si>
  <si>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</si>
  <si>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</si>
  <si>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</si>
  <si>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</si>
  <si>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</si>
  <si>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</si>
  <si>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</si>
  <si>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</si>
  <si>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</si>
  <si>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</si>
  <si>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</si>
  <si>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</si>
  <si>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</si>
  <si>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</si>
  <si>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</si>
  <si>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</si>
  <si>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</si>
  <si>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</si>
  <si>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</si>
  <si>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</si>
  <si>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</si>
  <si>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</si>
  <si>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</si>
  <si>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</si>
  <si>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</si>
  <si>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</si>
  <si>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</si>
  <si>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</si>
  <si>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</si>
  <si>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</si>
  <si>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</si>
  <si>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</si>
  <si>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</si>
  <si>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</si>
  <si>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</si>
  <si>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</si>
  <si>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</si>
  <si>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</si>
  <si>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</si>
  <si>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</si>
  <si>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</si>
  <si>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</si>
  <si>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</si>
  <si>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</si>
  <si>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</si>
  <si>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</si>
  <si>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</si>
  <si>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</si>
  <si>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</si>
  <si>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</si>
  <si>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</si>
  <si>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</si>
  <si>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</si>
  <si>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</si>
  <si>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</si>
  <si>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</si>
  <si>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</si>
  <si>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</si>
  <si>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</si>
  <si>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</si>
  <si>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</si>
  <si>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</si>
  <si>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</si>
  <si>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</si>
  <si>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</si>
  <si>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</si>
  <si>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</si>
  <si>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</si>
  <si>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</si>
  <si>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</si>
  <si>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</si>
  <si>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</si>
  <si>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</si>
  <si>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</si>
  <si>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</si>
  <si>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</si>
  <si>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</si>
  <si>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</si>
  <si>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</si>
  <si>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</si>
  <si>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</si>
  <si>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</si>
  <si>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</si>
  <si>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</si>
  <si>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</si>
  <si>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</si>
  <si>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</si>
  <si>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</si>
  <si>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</si>
  <si>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</si>
  <si>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</si>
  <si>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</si>
  <si>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</si>
  <si>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</si>
  <si>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</si>
  <si>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</si>
  <si>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</si>
  <si>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</si>
  <si>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</si>
  <si>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</si>
  <si>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</si>
  <si>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</si>
  <si>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</si>
  <si>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</si>
  <si>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</si>
  <si>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</si>
  <si>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</si>
  <si>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</si>
  <si>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</si>
  <si>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</si>
  <si>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1448.HK</t>
  </si>
  <si>
    <t>福寿园</t>
  </si>
  <si>
    <t>N</t>
  </si>
  <si>
    <t>首钢资源</t>
  </si>
  <si>
    <t>MAT_01</t>
  </si>
  <si>
    <t>李宁</t>
  </si>
  <si>
    <t>CNS_02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</si>
</sst>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166" fontId="11" fillId="0" borderId="7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B6D7A8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4" zoomScale="105" workbookViewId="0">
      <selection activeCell="C37" sqref="C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2" t="s">
        <v>149</v>
      </c>
      <c r="C4" s="122"/>
      <c r="D4" s="122"/>
      <c r="E4" s="122"/>
    </row>
    <row r="6" spans="1:5">
      <c r="A6" s="20" t="s">
        <v>60</v>
      </c>
      <c r="B6" s="19" t="s">
        <v>143</v>
      </c>
      <c r="C6" s="49"/>
    </row>
    <row r="7" spans="1:5">
      <c r="B7" s="122" t="s">
        <v>210</v>
      </c>
      <c r="C7" s="122"/>
      <c r="D7" s="122"/>
      <c r="E7" s="122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242</v>
      </c>
    </row>
    <row r="20" spans="1:5">
      <c r="B20" s="24" t="s">
        <v>211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23" t="s">
        <v>212</v>
      </c>
      <c r="C24" s="122"/>
      <c r="D24" s="122"/>
      <c r="E24" s="122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199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213</v>
      </c>
      <c r="C31" s="43" t="s">
        <v>214</v>
      </c>
      <c r="D31" s="43" t="s">
        <v>215</v>
      </c>
      <c r="E31" s="43" t="s">
        <v>214</v>
      </c>
    </row>
    <row r="32" spans="1:5" ht="12" thickBot="1">
      <c r="A32" s="20"/>
      <c r="B32" s="96" t="s">
        <v>216</v>
      </c>
      <c r="C32" s="97">
        <f>3/5</f>
        <v>0.6</v>
      </c>
      <c r="D32" s="96" t="s">
        <v>237</v>
      </c>
      <c r="E32" s="97">
        <v>-0.5</v>
      </c>
    </row>
    <row r="33" spans="1:5">
      <c r="B33" s="99" t="s">
        <v>219</v>
      </c>
      <c r="C33" s="100">
        <v>0.35</v>
      </c>
      <c r="D33" s="101" t="s">
        <v>222</v>
      </c>
      <c r="E33" s="102">
        <f>(C32*C33+(1-C32)*C34)/(2*C33)</f>
        <v>0.21428571428571425</v>
      </c>
    </row>
    <row r="34" spans="1:5" ht="12" thickBot="1">
      <c r="B34" s="103" t="s">
        <v>218</v>
      </c>
      <c r="C34" s="104">
        <f>E32+C33</f>
        <v>-0.15000000000000002</v>
      </c>
      <c r="D34" s="105" t="s">
        <v>223</v>
      </c>
      <c r="E34" s="106">
        <f>-C33/C34</f>
        <v>2.333333333333333</v>
      </c>
    </row>
    <row r="35" spans="1:5">
      <c r="B35" s="99" t="s">
        <v>217</v>
      </c>
      <c r="C35" s="100">
        <v>0.25</v>
      </c>
      <c r="D35" s="101" t="s">
        <v>222</v>
      </c>
      <c r="E35" s="102">
        <f>(C32*C35+(1-C32)*C36)/(2*C35)</f>
        <v>9.9999999999999978E-2</v>
      </c>
    </row>
    <row r="36" spans="1:5" ht="12" thickBot="1">
      <c r="B36" s="103" t="s">
        <v>220</v>
      </c>
      <c r="C36" s="104">
        <f>E32+C35</f>
        <v>-0.25</v>
      </c>
      <c r="D36" s="105" t="s">
        <v>223</v>
      </c>
      <c r="E36" s="106">
        <f>-C35/C36</f>
        <v>1</v>
      </c>
    </row>
    <row r="37" spans="1:5">
      <c r="B37" s="107" t="s">
        <v>221</v>
      </c>
      <c r="C37" s="121">
        <v>2</v>
      </c>
      <c r="D37" s="98" t="s">
        <v>13</v>
      </c>
      <c r="E37" s="108">
        <f>MAX(6%,Market_Yield!C4:D4,Market_Yield!C6:D6)</f>
        <v>7.2499999999999995E-2</v>
      </c>
    </row>
    <row r="38" spans="1:5">
      <c r="C38" s="93"/>
    </row>
    <row r="39" spans="1:5">
      <c r="B39" s="20" t="s">
        <v>225</v>
      </c>
    </row>
    <row r="40" spans="1:5">
      <c r="B40" s="122" t="s">
        <v>224</v>
      </c>
      <c r="C40" s="122"/>
      <c r="D40" s="122"/>
      <c r="E40" s="122"/>
    </row>
    <row r="41" spans="1:5">
      <c r="B41" s="123" t="s">
        <v>240</v>
      </c>
      <c r="C41" s="122"/>
      <c r="D41" s="122"/>
      <c r="E41" s="122"/>
    </row>
    <row r="42" spans="1:5">
      <c r="B42" s="123" t="s">
        <v>238</v>
      </c>
      <c r="C42" s="122"/>
      <c r="D42" s="122"/>
      <c r="E42" s="122"/>
    </row>
    <row r="43" spans="1:5">
      <c r="B43" s="123" t="s">
        <v>239</v>
      </c>
      <c r="C43" s="123"/>
      <c r="D43" s="123"/>
      <c r="E43" s="123"/>
    </row>
    <row r="44" spans="1:5" ht="46.5" customHeight="1">
      <c r="B44" s="122" t="s">
        <v>159</v>
      </c>
      <c r="C44" s="122"/>
      <c r="D44" s="122"/>
      <c r="E44" s="122"/>
    </row>
    <row r="46" spans="1:5">
      <c r="A46" s="21" t="s">
        <v>138</v>
      </c>
      <c r="B46" s="21"/>
      <c r="C46" s="21"/>
      <c r="D46" s="21"/>
      <c r="E46" s="21"/>
    </row>
    <row r="48" spans="1:5">
      <c r="B48" s="122" t="s">
        <v>226</v>
      </c>
      <c r="C48" s="122"/>
      <c r="D48" s="122"/>
      <c r="E48" s="122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208</v>
      </c>
      <c r="C53" s="29">
        <v>0.45</v>
      </c>
      <c r="D53" s="48"/>
      <c r="E53" s="46"/>
    </row>
    <row r="54" spans="2:5">
      <c r="B54" s="26" t="s">
        <v>207</v>
      </c>
      <c r="C54" s="29">
        <v>0.3</v>
      </c>
      <c r="D54" s="48"/>
      <c r="E54" s="46"/>
    </row>
    <row r="55" spans="2:5">
      <c r="B55" s="26" t="s">
        <v>206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203</v>
      </c>
      <c r="C62" s="26" t="s">
        <v>204</v>
      </c>
      <c r="D62" s="26" t="s">
        <v>205</v>
      </c>
      <c r="E62" s="40">
        <v>0</v>
      </c>
    </row>
    <row r="63" spans="2:5">
      <c r="B63" s="26" t="s">
        <v>201</v>
      </c>
      <c r="C63" s="26" t="s">
        <v>170</v>
      </c>
      <c r="D63" s="26" t="s">
        <v>171</v>
      </c>
      <c r="E63" s="40">
        <v>2</v>
      </c>
    </row>
    <row r="64" spans="2:5">
      <c r="B64" s="26" t="s">
        <v>202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228</v>
      </c>
    </row>
    <row r="69" spans="1:5">
      <c r="B69" s="1" t="s">
        <v>241</v>
      </c>
    </row>
    <row r="70" spans="1:5">
      <c r="B70" s="1" t="s">
        <v>227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2" t="s">
        <v>139</v>
      </c>
      <c r="C74" s="122"/>
      <c r="D74" s="122"/>
      <c r="E74" s="122"/>
    </row>
    <row r="76" spans="1:5">
      <c r="A76" s="28" t="s">
        <v>60</v>
      </c>
      <c r="B76" s="20" t="s">
        <v>230</v>
      </c>
    </row>
    <row r="77" spans="1:5">
      <c r="B77" s="24" t="s">
        <v>151</v>
      </c>
    </row>
    <row r="79" spans="1:5">
      <c r="A79" s="28" t="s">
        <v>209</v>
      </c>
      <c r="B79" s="20" t="s">
        <v>229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0" t="s">
        <v>233</v>
      </c>
      <c r="C81" s="94" t="s">
        <v>243</v>
      </c>
    </row>
    <row r="82" spans="1:5">
      <c r="B82" s="110" t="s">
        <v>232</v>
      </c>
      <c r="C82" s="94" t="s">
        <v>200</v>
      </c>
    </row>
    <row r="83" spans="1:5">
      <c r="B83" s="109" t="str">
        <f>B20</f>
        <v>- Non-selected investments receive 50% of normal allocation.</v>
      </c>
    </row>
    <row r="85" spans="1:5">
      <c r="B85" s="20" t="s">
        <v>231</v>
      </c>
    </row>
    <row r="86" spans="1:5">
      <c r="B86" s="1" t="s">
        <v>234</v>
      </c>
    </row>
    <row r="87" spans="1:5">
      <c r="B87" s="1" t="s">
        <v>236</v>
      </c>
    </row>
    <row r="88" spans="1:5">
      <c r="B88" s="1" t="s">
        <v>235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M7" sqref="M7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169</v>
      </c>
      <c r="N1" s="128"/>
      <c r="O1" s="124" t="s">
        <v>8</v>
      </c>
      <c r="P1" s="124"/>
      <c r="Q1" s="131" t="s">
        <v>184</v>
      </c>
      <c r="R1" s="131"/>
      <c r="S1" s="131"/>
      <c r="T1" s="131"/>
      <c r="U1" s="130" t="s">
        <v>180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178</v>
      </c>
      <c r="F2" s="7" t="s">
        <v>177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176</v>
      </c>
      <c r="M2" s="8" t="s">
        <v>168</v>
      </c>
      <c r="N2" s="8" t="s">
        <v>175</v>
      </c>
      <c r="O2" s="7" t="s">
        <v>11</v>
      </c>
      <c r="P2" s="7" t="s">
        <v>6</v>
      </c>
      <c r="Q2" s="7" t="s">
        <v>181</v>
      </c>
      <c r="R2" s="7" t="s">
        <v>186</v>
      </c>
      <c r="S2" s="7" t="s">
        <v>182</v>
      </c>
      <c r="T2" s="7" t="s">
        <v>183</v>
      </c>
      <c r="U2" s="7" t="s">
        <v>165</v>
      </c>
      <c r="V2" s="7" t="s">
        <v>167</v>
      </c>
      <c r="W2" s="7" t="s">
        <v>166</v>
      </c>
      <c r="X2" s="7" t="s">
        <v>5</v>
      </c>
      <c r="Y2" s="7" t="s">
        <v>179</v>
      </c>
      <c r="Z2" s="9" t="s">
        <v>9</v>
      </c>
      <c r="AA2" s="10" t="s">
        <v>48</v>
      </c>
    </row>
    <row r="3" spans="1:27">
      <c r="B3" s="11" t="s">
        <v>341</v>
      </c>
      <c r="C3" s="11" t="s">
        <v>342</v>
      </c>
      <c r="D3" s="2">
        <v>3.98</v>
      </c>
      <c r="E3" s="12" t="s">
        <v>136</v>
      </c>
      <c r="F3" s="15">
        <v>0.32175851586770188</v>
      </c>
      <c r="G3" s="15">
        <f>F3 - Portfolio_Mgmt!$C$10</f>
        <v>0.20435851586770187</v>
      </c>
      <c r="H3" s="15">
        <f>F3 - Portfolio_Mgmt!$C$11</f>
        <v>0.2872585158677019</v>
      </c>
      <c r="I3" s="15">
        <v>9.4603957520246015E-2</v>
      </c>
      <c r="J3" s="2">
        <v>3.8189685467512731</v>
      </c>
      <c r="K3" s="2" t="s">
        <v>343</v>
      </c>
      <c r="L3" s="74">
        <v>5.9925522477745243</v>
      </c>
      <c r="M3" s="2">
        <v>4.4389697129306853</v>
      </c>
      <c r="N3" s="2">
        <v>5.5293311085395693</v>
      </c>
      <c r="O3" s="4">
        <v>7.8493956032426218E-2</v>
      </c>
      <c r="P3" s="4">
        <v>6.0753768844221102E-2</v>
      </c>
      <c r="Q3" s="4">
        <v>0.13051754934484086</v>
      </c>
      <c r="R3" s="4">
        <v>0.21350770384328224</v>
      </c>
      <c r="S3" s="82">
        <v>0.48960240415119827</v>
      </c>
      <c r="T3" s="81">
        <v>1.2485669045200241</v>
      </c>
      <c r="U3" s="15">
        <v>3.1120102042901991E-2</v>
      </c>
      <c r="V3" s="79">
        <v>0.2356683101838101</v>
      </c>
      <c r="W3" s="74">
        <v>1.2421607466941946</v>
      </c>
      <c r="X3" s="13" t="s">
        <v>173</v>
      </c>
      <c r="Y3" s="11" t="s">
        <v>343</v>
      </c>
      <c r="Z3" s="14">
        <v>46081</v>
      </c>
      <c r="AA3" s="16" t="s">
        <v>346</v>
      </c>
    </row>
    <row r="4" spans="1:27">
      <c r="B4" s="11" t="s">
        <v>187</v>
      </c>
      <c r="C4" s="11" t="s">
        <v>347</v>
      </c>
      <c r="D4" s="2">
        <v>2.75</v>
      </c>
      <c r="E4" s="12" t="s">
        <v>136</v>
      </c>
      <c r="F4" s="15">
        <v>0.28115867114567916</v>
      </c>
      <c r="G4" s="15">
        <f>F4 - Portfolio_Mgmt!$C$10</f>
        <v>0.16375867114567916</v>
      </c>
      <c r="H4" s="15">
        <f>F4 - Portfolio_Mgmt!$C$11</f>
        <v>0.24665867114567916</v>
      </c>
      <c r="I4" s="15">
        <v>0.14432894922815256</v>
      </c>
      <c r="J4" s="2">
        <v>2.4868849907177504</v>
      </c>
      <c r="K4" s="2" t="s">
        <v>343</v>
      </c>
      <c r="L4" s="74">
        <v>3.8751564232605564</v>
      </c>
      <c r="M4" s="2">
        <v>2.8834226531731844</v>
      </c>
      <c r="N4" s="2">
        <v>3.5796953464126804</v>
      </c>
      <c r="O4" s="4">
        <v>5.849434636468287E-2</v>
      </c>
      <c r="P4" s="4">
        <v>9.818181818181819E-2</v>
      </c>
      <c r="Q4" s="4">
        <v>7.6203822690338374E-2</v>
      </c>
      <c r="R4" s="4">
        <v>0.40688947062135006</v>
      </c>
      <c r="S4" s="82">
        <v>0.1542519195864642</v>
      </c>
      <c r="T4" s="81">
        <v>1.2141426890285656</v>
      </c>
      <c r="U4" s="15">
        <v>2.3107986944995245E-3</v>
      </c>
      <c r="V4" s="79">
        <v>3.0499352531108609E-2</v>
      </c>
      <c r="W4" s="74">
        <v>0.79833937207218564</v>
      </c>
      <c r="X4" s="13" t="s">
        <v>348</v>
      </c>
      <c r="Y4" s="11" t="s">
        <v>343</v>
      </c>
      <c r="Z4" s="14">
        <v>46081</v>
      </c>
      <c r="AA4" s="16" t="s">
        <v>185</v>
      </c>
    </row>
    <row r="5" spans="1:27">
      <c r="B5" s="11" t="s">
        <v>160</v>
      </c>
      <c r="C5" s="11" t="s">
        <v>349</v>
      </c>
      <c r="D5" s="2">
        <v>17.53</v>
      </c>
      <c r="E5" s="12" t="s">
        <v>136</v>
      </c>
      <c r="F5" s="15">
        <v>0.21654081506148828</v>
      </c>
      <c r="G5" s="15">
        <f>F5 - Portfolio_Mgmt!$C$10</f>
        <v>9.914081506148828E-2</v>
      </c>
      <c r="H5" s="15">
        <f>F5 - Portfolio_Mgmt!$C$11</f>
        <v>0.18204081506148828</v>
      </c>
      <c r="I5" s="15">
        <v>0</v>
      </c>
      <c r="J5" s="2">
        <v>14.274512920705924</v>
      </c>
      <c r="K5" s="2" t="s">
        <v>343</v>
      </c>
      <c r="L5" s="74">
        <v>22.487895122558253</v>
      </c>
      <c r="M5" s="2">
        <v>16.61555293532097</v>
      </c>
      <c r="N5" s="2">
        <v>20.736200672174096</v>
      </c>
      <c r="O5" s="4">
        <v>5.4508610281400978E-2</v>
      </c>
      <c r="P5" s="4">
        <v>3.0518161179425636E-2</v>
      </c>
      <c r="Q5" s="4">
        <v>0.11088651247345845</v>
      </c>
      <c r="R5" s="4">
        <v>0.11515135902057118</v>
      </c>
      <c r="S5" s="82">
        <v>0.71131521233544359</v>
      </c>
      <c r="T5" s="81">
        <v>1.3537783359692717</v>
      </c>
      <c r="U5" s="15">
        <v>6.5417684980282262E-2</v>
      </c>
      <c r="V5" s="79">
        <v>0.5742845428370501</v>
      </c>
      <c r="W5" s="74">
        <v>5.452518589889201</v>
      </c>
      <c r="X5" s="13" t="s">
        <v>350</v>
      </c>
      <c r="Y5" s="11" t="s">
        <v>343</v>
      </c>
      <c r="Z5" s="14">
        <v>46081</v>
      </c>
      <c r="AA5" s="16" t="s">
        <v>185</v>
      </c>
    </row>
    <row r="6" spans="1:27">
      <c r="B6" s="11" t="s">
        <v>344</v>
      </c>
      <c r="C6" s="11" t="s">
        <v>345</v>
      </c>
      <c r="D6" s="2">
        <v>2.88</v>
      </c>
      <c r="E6" s="12" t="s">
        <v>136</v>
      </c>
      <c r="F6" s="15">
        <v>0.10536763573195662</v>
      </c>
      <c r="G6" s="15">
        <f>F6 - Portfolio_Mgmt!$C$10</f>
        <v>-1.2032364268043383E-2</v>
      </c>
      <c r="H6" s="15">
        <f>F6 - Portfolio_Mgmt!$C$11</f>
        <v>7.0867635731956619E-2</v>
      </c>
      <c r="I6" s="15">
        <v>0</v>
      </c>
      <c r="J6" s="2">
        <v>1.9521743701233303</v>
      </c>
      <c r="K6" s="2" t="s">
        <v>343</v>
      </c>
      <c r="L6" s="74">
        <v>3.0546756773108341</v>
      </c>
      <c r="M6" s="2">
        <v>2.2668273853118528</v>
      </c>
      <c r="N6" s="2">
        <v>2.8198434115410738</v>
      </c>
      <c r="O6" s="4">
        <v>5.6784874852264029E-2</v>
      </c>
      <c r="P6" s="4">
        <v>5.527777777777778E-2</v>
      </c>
      <c r="Q6" s="4">
        <v>0.12416948697308672</v>
      </c>
      <c r="R6" s="4">
        <v>0.41544958439449353</v>
      </c>
      <c r="S6" s="82">
        <v>0.20090947033127624</v>
      </c>
      <c r="T6" s="81">
        <v>1.4876341835211095</v>
      </c>
      <c r="U6" s="15">
        <v>2.7705347980559972E-2</v>
      </c>
      <c r="V6" s="79">
        <v>0.22047955497162566</v>
      </c>
      <c r="W6" s="74">
        <v>0.40755151873797674</v>
      </c>
      <c r="X6" s="13" t="s">
        <v>173</v>
      </c>
      <c r="Y6" s="11" t="s">
        <v>343</v>
      </c>
      <c r="Z6" s="14">
        <v>46081</v>
      </c>
      <c r="AA6" s="16" t="s">
        <v>185</v>
      </c>
    </row>
    <row r="7" spans="1:27">
      <c r="B7" s="11" t="s">
        <v>339</v>
      </c>
      <c r="C7" s="11" t="s">
        <v>340</v>
      </c>
      <c r="D7" s="2">
        <v>6.49</v>
      </c>
      <c r="E7" s="12" t="s">
        <v>136</v>
      </c>
      <c r="F7" s="15">
        <v>8.3497774291450236E-2</v>
      </c>
      <c r="G7" s="15">
        <f>F7 - Portfolio_Mgmt!$C$10</f>
        <v>-3.3902225708549769E-2</v>
      </c>
      <c r="H7" s="15">
        <f>F7 - Portfolio_Mgmt!$C$11</f>
        <v>4.8997774291450233E-2</v>
      </c>
      <c r="I7" s="15">
        <v>0</v>
      </c>
      <c r="J7" s="2">
        <v>4.2390395011406845</v>
      </c>
      <c r="K7" s="2" t="s">
        <v>172</v>
      </c>
      <c r="L7" s="74">
        <v>6.6199592402379013</v>
      </c>
      <c r="M7" s="2">
        <v>4.918815674130494</v>
      </c>
      <c r="N7" s="2">
        <v>6.1130184841162611</v>
      </c>
      <c r="O7" s="4">
        <v>6.1157755119544271E-2</v>
      </c>
      <c r="P7" s="4">
        <v>6.1633281972265024E-2</v>
      </c>
      <c r="Q7" s="4">
        <v>0.1167471410506614</v>
      </c>
      <c r="R7" s="4">
        <v>3.9086921133773919E-2</v>
      </c>
      <c r="S7" s="82">
        <v>1.3708738209065539</v>
      </c>
      <c r="T7" s="81">
        <v>2.1787997096988563</v>
      </c>
      <c r="U7" s="15">
        <v>0.77760119734648436</v>
      </c>
      <c r="V7" s="79">
        <v>5.3475400925918697</v>
      </c>
      <c r="W7" s="74">
        <v>-2.5047246524922007</v>
      </c>
      <c r="X7" s="13" t="s">
        <v>173</v>
      </c>
      <c r="Y7" s="11" t="s">
        <v>172</v>
      </c>
      <c r="Z7" s="14">
        <v>45991</v>
      </c>
      <c r="AA7" s="16" t="s">
        <v>185</v>
      </c>
    </row>
    <row r="8" spans="1:27">
      <c r="B8" s="11"/>
      <c r="C8" s="11"/>
      <c r="E8" s="12"/>
      <c r="L8" s="74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4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4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4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4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C10" sqref="C10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244</v>
      </c>
    </row>
    <row r="2" spans="1:5">
      <c r="A2" s="21" t="s">
        <v>245</v>
      </c>
      <c r="B2" s="21"/>
      <c r="C2" s="21"/>
      <c r="D2" s="21"/>
      <c r="E2" s="21"/>
    </row>
    <row r="4" spans="1:5">
      <c r="B4" s="123" t="s">
        <v>246</v>
      </c>
      <c r="C4" s="122"/>
      <c r="D4" s="122"/>
      <c r="E4" s="122"/>
    </row>
    <row r="6" spans="1:5">
      <c r="A6" s="20" t="s">
        <v>60</v>
      </c>
      <c r="B6" s="19" t="s">
        <v>247</v>
      </c>
      <c r="C6" s="49"/>
    </row>
    <row r="7" spans="1:5">
      <c r="B7" s="123" t="s">
        <v>337</v>
      </c>
      <c r="C7" s="122"/>
      <c r="D7" s="122"/>
      <c r="E7" s="122"/>
    </row>
    <row r="9" spans="1:5">
      <c r="B9" s="23" t="s">
        <v>248</v>
      </c>
    </row>
    <row r="10" spans="1:5">
      <c r="B10" s="1" t="s">
        <v>249</v>
      </c>
      <c r="C10" s="111">
        <f>benchmark</f>
        <v>0.1174</v>
      </c>
    </row>
    <row r="11" spans="1:5">
      <c r="B11" s="1" t="s">
        <v>250</v>
      </c>
      <c r="C11" s="111">
        <f>Cash_Yield</f>
        <v>3.4500000000000003E-2</v>
      </c>
    </row>
    <row r="12" spans="1:5">
      <c r="C12" s="4"/>
    </row>
    <row r="13" spans="1:5">
      <c r="B13" s="23" t="s">
        <v>251</v>
      </c>
      <c r="C13" s="4"/>
    </row>
    <row r="14" spans="1:5">
      <c r="B14" s="1" t="s">
        <v>252</v>
      </c>
      <c r="C14" s="4" t="s">
        <v>255</v>
      </c>
    </row>
    <row r="15" spans="1:5">
      <c r="B15" s="1" t="s">
        <v>253</v>
      </c>
      <c r="C15" s="24" t="s">
        <v>256</v>
      </c>
    </row>
    <row r="16" spans="1:5">
      <c r="B16" s="1" t="s">
        <v>254</v>
      </c>
      <c r="C16" s="24" t="s">
        <v>257</v>
      </c>
    </row>
    <row r="18" spans="1:5">
      <c r="B18" s="23" t="s">
        <v>258</v>
      </c>
    </row>
    <row r="19" spans="1:5">
      <c r="B19" s="24" t="s">
        <v>259</v>
      </c>
    </row>
    <row r="20" spans="1:5">
      <c r="B20" s="24" t="s">
        <v>260</v>
      </c>
    </row>
    <row r="21" spans="1:5">
      <c r="B21" s="24" t="s">
        <v>261</v>
      </c>
    </row>
    <row r="23" spans="1:5">
      <c r="A23" s="25" t="s">
        <v>61</v>
      </c>
      <c r="B23" s="19" t="s">
        <v>263</v>
      </c>
      <c r="C23" s="49"/>
    </row>
    <row r="24" spans="1:5">
      <c r="A24" s="18"/>
      <c r="B24" s="123" t="s">
        <v>262</v>
      </c>
      <c r="C24" s="122"/>
      <c r="D24" s="122"/>
      <c r="E24" s="122"/>
    </row>
    <row r="25" spans="1:5">
      <c r="A25" s="18"/>
    </row>
    <row r="26" spans="1:5">
      <c r="A26" s="18"/>
      <c r="B26" s="43" t="s">
        <v>264</v>
      </c>
      <c r="C26" s="43" t="s">
        <v>265</v>
      </c>
    </row>
    <row r="27" spans="1:5">
      <c r="B27" s="26" t="s">
        <v>266</v>
      </c>
      <c r="C27" s="112">
        <f>Portfolio_Mgmt!C27</f>
        <v>6</v>
      </c>
    </row>
    <row r="28" spans="1:5">
      <c r="B28" s="26" t="s">
        <v>267</v>
      </c>
      <c r="C28" s="113">
        <f>Portfolio_Mgmt!C28</f>
        <v>0.3</v>
      </c>
    </row>
    <row r="30" spans="1:5">
      <c r="A30" s="20" t="s">
        <v>62</v>
      </c>
      <c r="B30" s="95" t="s">
        <v>268</v>
      </c>
      <c r="C30" s="49"/>
    </row>
    <row r="31" spans="1:5">
      <c r="A31" s="20"/>
      <c r="B31" s="43" t="s">
        <v>269</v>
      </c>
      <c r="C31" s="43" t="s">
        <v>270</v>
      </c>
      <c r="D31" s="43" t="s">
        <v>271</v>
      </c>
      <c r="E31" s="43" t="s">
        <v>270</v>
      </c>
    </row>
    <row r="32" spans="1:5" ht="12" thickBot="1">
      <c r="A32" s="20"/>
      <c r="B32" s="96" t="s">
        <v>272</v>
      </c>
      <c r="C32" s="114">
        <f>Portfolio_Mgmt!C32</f>
        <v>0.6</v>
      </c>
      <c r="D32" s="96" t="s">
        <v>332</v>
      </c>
      <c r="E32" s="114">
        <f>Portfolio_Mgmt!E32</f>
        <v>-0.5</v>
      </c>
    </row>
    <row r="33" spans="1:5">
      <c r="B33" s="99" t="s">
        <v>273</v>
      </c>
      <c r="C33" s="115">
        <f>Portfolio_Mgmt!C33</f>
        <v>0.35</v>
      </c>
      <c r="D33" s="101" t="s">
        <v>278</v>
      </c>
      <c r="E33" s="102">
        <f>(C32*C33+(1-C32)*C34)/(2*C33)</f>
        <v>0.21428571428571425</v>
      </c>
    </row>
    <row r="34" spans="1:5" ht="12" thickBot="1">
      <c r="B34" s="103" t="s">
        <v>274</v>
      </c>
      <c r="C34" s="104">
        <f>E32+C33</f>
        <v>-0.15000000000000002</v>
      </c>
      <c r="D34" s="105" t="s">
        <v>279</v>
      </c>
      <c r="E34" s="106">
        <f>-C33/C34</f>
        <v>2.333333333333333</v>
      </c>
    </row>
    <row r="35" spans="1:5">
      <c r="B35" s="99" t="s">
        <v>275</v>
      </c>
      <c r="C35" s="115">
        <f>Portfolio_Mgmt!C35</f>
        <v>0.25</v>
      </c>
      <c r="D35" s="101" t="s">
        <v>278</v>
      </c>
      <c r="E35" s="102">
        <f>(C32*C35+(1-C32)*C36)/(2*C35)</f>
        <v>9.9999999999999978E-2</v>
      </c>
    </row>
    <row r="36" spans="1:5" ht="12" thickBot="1">
      <c r="B36" s="103" t="s">
        <v>276</v>
      </c>
      <c r="C36" s="104">
        <f>E32+C35</f>
        <v>-0.25</v>
      </c>
      <c r="D36" s="105" t="s">
        <v>279</v>
      </c>
      <c r="E36" s="106">
        <f>-C35/C36</f>
        <v>1</v>
      </c>
    </row>
    <row r="37" spans="1:5">
      <c r="B37" s="107" t="s">
        <v>277</v>
      </c>
      <c r="C37" s="116">
        <f>Portfolio_Mgmt!C37</f>
        <v>2</v>
      </c>
      <c r="D37" s="98" t="s">
        <v>280</v>
      </c>
      <c r="E37" s="117">
        <f>Portfolio_Mgmt!E37</f>
        <v>7.2499999999999995E-2</v>
      </c>
    </row>
    <row r="38" spans="1:5">
      <c r="C38" s="93"/>
    </row>
    <row r="39" spans="1:5">
      <c r="B39" s="20" t="s">
        <v>281</v>
      </c>
    </row>
    <row r="40" spans="1:5">
      <c r="B40" s="122" t="s">
        <v>282</v>
      </c>
      <c r="C40" s="122"/>
      <c r="D40" s="122"/>
      <c r="E40" s="122"/>
    </row>
    <row r="41" spans="1:5">
      <c r="B41" s="123" t="s">
        <v>283</v>
      </c>
      <c r="C41" s="122"/>
      <c r="D41" s="122"/>
      <c r="E41" s="122"/>
    </row>
    <row r="42" spans="1:5">
      <c r="B42" s="123" t="s">
        <v>284</v>
      </c>
      <c r="C42" s="122"/>
      <c r="D42" s="122"/>
      <c r="E42" s="122"/>
    </row>
    <row r="43" spans="1:5">
      <c r="B43" s="123" t="s">
        <v>285</v>
      </c>
      <c r="C43" s="123"/>
      <c r="D43" s="123"/>
      <c r="E43" s="123"/>
    </row>
    <row r="44" spans="1:5" ht="34.35" customHeight="1">
      <c r="B44" s="122" t="s">
        <v>336</v>
      </c>
      <c r="C44" s="122"/>
      <c r="D44" s="122"/>
      <c r="E44" s="122"/>
    </row>
    <row r="46" spans="1:5">
      <c r="A46" s="21" t="s">
        <v>286</v>
      </c>
      <c r="B46" s="21"/>
      <c r="C46" s="21"/>
      <c r="D46" s="21"/>
      <c r="E46" s="21"/>
    </row>
    <row r="48" spans="1:5">
      <c r="B48" s="122" t="s">
        <v>287</v>
      </c>
      <c r="C48" s="122"/>
      <c r="D48" s="122"/>
      <c r="E48" s="122"/>
    </row>
    <row r="50" spans="2:5">
      <c r="B50" s="23" t="s">
        <v>288</v>
      </c>
    </row>
    <row r="52" spans="2:5">
      <c r="B52" s="43" t="s">
        <v>289</v>
      </c>
      <c r="C52" s="43" t="s">
        <v>290</v>
      </c>
      <c r="D52" s="47"/>
      <c r="E52" s="47"/>
    </row>
    <row r="53" spans="2:5">
      <c r="B53" s="26" t="s">
        <v>291</v>
      </c>
      <c r="C53" s="118">
        <f>Portfolio_Mgmt!C53</f>
        <v>0.45</v>
      </c>
      <c r="D53" s="48"/>
      <c r="E53" s="46"/>
    </row>
    <row r="54" spans="2:5">
      <c r="B54" s="26" t="s">
        <v>292</v>
      </c>
      <c r="C54" s="118">
        <f>Portfolio_Mgmt!C54</f>
        <v>0.3</v>
      </c>
      <c r="D54" s="48"/>
      <c r="E54" s="46"/>
    </row>
    <row r="55" spans="2:5">
      <c r="B55" s="26" t="s">
        <v>293</v>
      </c>
      <c r="C55" s="118">
        <f>Portfolio_Mgmt!C55</f>
        <v>0.15</v>
      </c>
      <c r="D55" s="120" t="s">
        <v>334</v>
      </c>
      <c r="E55" s="46"/>
    </row>
    <row r="57" spans="2:5">
      <c r="B57" s="23" t="s">
        <v>294</v>
      </c>
    </row>
    <row r="59" spans="2:5">
      <c r="B59" s="43" t="s">
        <v>271</v>
      </c>
      <c r="C59" s="43" t="s">
        <v>295</v>
      </c>
      <c r="D59" s="43" t="s">
        <v>296</v>
      </c>
      <c r="E59" s="43" t="s">
        <v>297</v>
      </c>
    </row>
    <row r="60" spans="2:5">
      <c r="B60" s="26" t="s">
        <v>298</v>
      </c>
      <c r="C60" s="26" t="s">
        <v>303</v>
      </c>
      <c r="D60" s="26" t="s">
        <v>304</v>
      </c>
      <c r="E60" s="119">
        <f>Portfolio_Mgmt!E60</f>
        <v>1</v>
      </c>
    </row>
    <row r="61" spans="2:5">
      <c r="B61" s="26" t="s">
        <v>299</v>
      </c>
      <c r="C61" s="26" t="s">
        <v>305</v>
      </c>
      <c r="D61" s="26" t="s">
        <v>306</v>
      </c>
      <c r="E61" s="119">
        <f>Portfolio_Mgmt!E61</f>
        <v>1</v>
      </c>
    </row>
    <row r="62" spans="2:5">
      <c r="B62" s="26" t="s">
        <v>300</v>
      </c>
      <c r="C62" s="26" t="s">
        <v>307</v>
      </c>
      <c r="D62" s="26" t="s">
        <v>308</v>
      </c>
      <c r="E62" s="119">
        <f>Portfolio_Mgmt!E62</f>
        <v>0</v>
      </c>
    </row>
    <row r="63" spans="2:5">
      <c r="B63" s="26" t="s">
        <v>301</v>
      </c>
      <c r="C63" s="26" t="s">
        <v>309</v>
      </c>
      <c r="D63" s="26" t="s">
        <v>310</v>
      </c>
      <c r="E63" s="119">
        <f>Portfolio_Mgmt!E63</f>
        <v>2</v>
      </c>
    </row>
    <row r="64" spans="2:5">
      <c r="B64" s="26" t="s">
        <v>302</v>
      </c>
      <c r="C64" s="26" t="s">
        <v>311</v>
      </c>
      <c r="D64" s="26" t="s">
        <v>312</v>
      </c>
      <c r="E64" s="119">
        <f>Portfolio_Mgmt!E64</f>
        <v>0</v>
      </c>
    </row>
    <row r="65" spans="1:5">
      <c r="D65" s="27" t="s">
        <v>313</v>
      </c>
      <c r="E65" s="39">
        <f>SUM(E60:E64)</f>
        <v>4</v>
      </c>
    </row>
    <row r="66" spans="1:5" ht="12" thickBot="1">
      <c r="D66" s="41" t="s">
        <v>314</v>
      </c>
      <c r="E66" s="42">
        <f>IF(E65&lt;=4,C53,IF(E65&gt;=8,C55,C54))</f>
        <v>0.45</v>
      </c>
    </row>
    <row r="67" spans="1:5" ht="12" thickTop="1"/>
    <row r="68" spans="1:5">
      <c r="B68" s="1" t="s">
        <v>315</v>
      </c>
    </row>
    <row r="69" spans="1:5">
      <c r="B69" s="1" t="s">
        <v>316</v>
      </c>
    </row>
    <row r="70" spans="1:5">
      <c r="B70" s="1" t="s">
        <v>317</v>
      </c>
    </row>
    <row r="72" spans="1:5">
      <c r="A72" s="21" t="s">
        <v>318</v>
      </c>
      <c r="B72" s="21"/>
      <c r="C72" s="21"/>
      <c r="D72" s="21"/>
      <c r="E72" s="21"/>
    </row>
    <row r="74" spans="1:5">
      <c r="B74" s="122" t="s">
        <v>319</v>
      </c>
      <c r="C74" s="122"/>
      <c r="D74" s="122"/>
      <c r="E74" s="122"/>
    </row>
    <row r="76" spans="1:5">
      <c r="A76" s="28" t="s">
        <v>60</v>
      </c>
      <c r="B76" s="20" t="s">
        <v>321</v>
      </c>
    </row>
    <row r="77" spans="1:5">
      <c r="B77" s="24" t="s">
        <v>320</v>
      </c>
    </row>
    <row r="79" spans="1:5">
      <c r="A79" s="28" t="s">
        <v>209</v>
      </c>
      <c r="B79" s="20" t="s">
        <v>322</v>
      </c>
    </row>
    <row r="80" spans="1:5">
      <c r="B80" s="1" t="str">
        <f>B19</f>
        <v>- 仅当ERB&gt;0且市场价格≤入场价格时具备配置资格</v>
      </c>
    </row>
    <row r="81" spans="1:5">
      <c r="B81" s="110" t="s">
        <v>323</v>
      </c>
      <c r="C81" s="94" t="s">
        <v>333</v>
      </c>
    </row>
    <row r="82" spans="1:5">
      <c r="B82" s="110" t="s">
        <v>324</v>
      </c>
      <c r="C82" s="94" t="s">
        <v>200</v>
      </c>
    </row>
    <row r="83" spans="1:5">
      <c r="B83" s="109" t="str">
        <f>B20</f>
        <v xml:space="preserve">- 未入选标的获得正常配置额的50%	</v>
      </c>
    </row>
    <row r="85" spans="1:5">
      <c r="B85" s="20" t="s">
        <v>325</v>
      </c>
    </row>
    <row r="86" spans="1:5">
      <c r="B86" s="1" t="s">
        <v>335</v>
      </c>
    </row>
    <row r="87" spans="1:5">
      <c r="B87" s="1" t="s">
        <v>326</v>
      </c>
    </row>
    <row r="88" spans="1:5">
      <c r="B88" s="1" t="s">
        <v>327</v>
      </c>
    </row>
    <row r="90" spans="1:5">
      <c r="A90" s="21" t="s">
        <v>331</v>
      </c>
      <c r="B90" s="21"/>
      <c r="C90" s="21"/>
      <c r="D90" s="21"/>
      <c r="E90" s="21"/>
    </row>
    <row r="92" spans="1:5">
      <c r="B92" s="20" t="s">
        <v>328</v>
      </c>
    </row>
    <row r="93" spans="1:5">
      <c r="B93" s="24" t="s">
        <v>329</v>
      </c>
    </row>
    <row r="94" spans="1:5">
      <c r="B94" s="24" t="s">
        <v>330</v>
      </c>
    </row>
    <row r="95" spans="1:5">
      <c r="B95" s="24" t="s">
        <v>338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4.1599999999999998E-2</v>
      </c>
      <c r="D4" s="34">
        <v>7.2499999999999995E-2</v>
      </c>
      <c r="E4" s="35">
        <f>D4-C4</f>
        <v>3.0899999999999997E-2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2"/>
  <sheetViews>
    <sheetView showGridLines="0" zoomScaleNormal="100" workbookViewId="0">
      <selection activeCell="E18" sqref="E18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152</v>
      </c>
    </row>
    <row r="2" spans="1:12" ht="29.75" customHeight="1">
      <c r="B2" s="54" t="s">
        <v>2</v>
      </c>
      <c r="C2" s="54" t="s">
        <v>155</v>
      </c>
      <c r="D2" s="54" t="s">
        <v>154</v>
      </c>
      <c r="E2" s="54" t="s">
        <v>153</v>
      </c>
      <c r="F2" s="54" t="s">
        <v>158</v>
      </c>
      <c r="G2" s="54" t="s">
        <v>164</v>
      </c>
      <c r="H2" s="54" t="s">
        <v>147</v>
      </c>
      <c r="I2" s="54" t="s">
        <v>168</v>
      </c>
      <c r="J2" s="54" t="s">
        <v>188</v>
      </c>
      <c r="K2" s="54" t="s">
        <v>189</v>
      </c>
      <c r="L2" s="54" t="s">
        <v>190</v>
      </c>
    </row>
    <row r="3" spans="1:12">
      <c r="B3" s="65" t="s">
        <v>26</v>
      </c>
      <c r="C3" s="63" t="s">
        <v>157</v>
      </c>
      <c r="D3" s="62" t="s">
        <v>156</v>
      </c>
      <c r="E3" s="64" t="s">
        <v>157</v>
      </c>
      <c r="F3" s="59">
        <v>723432</v>
      </c>
      <c r="G3" s="61" t="e">
        <f>F3/$F$8</f>
        <v>#N/A</v>
      </c>
      <c r="H3" s="78">
        <f>Portfolio_Mgmt!E66</f>
        <v>0.45</v>
      </c>
      <c r="I3" s="83" t="s">
        <v>191</v>
      </c>
      <c r="J3" s="83" t="s">
        <v>191</v>
      </c>
      <c r="K3" s="83" t="s">
        <v>191</v>
      </c>
      <c r="L3" s="83" t="s">
        <v>191</v>
      </c>
    </row>
    <row r="4" spans="1:12">
      <c r="B4" s="66" t="s">
        <v>160</v>
      </c>
      <c r="C4" s="63">
        <f>VLOOKUP(B4,Opportunities!B$3:E$30,3,FALSE)</f>
        <v>17.53</v>
      </c>
      <c r="D4" s="62" t="str">
        <f>VLOOKUP(B4,Opportunities!B$3:E$30,4,FALSE)</f>
        <v>HKD</v>
      </c>
      <c r="E4" s="59">
        <v>4500</v>
      </c>
      <c r="F4" s="64">
        <f>C4*E4</f>
        <v>78885</v>
      </c>
      <c r="G4" s="61" t="e">
        <f>F4/$F$8</f>
        <v>#N/A</v>
      </c>
      <c r="H4" s="61">
        <f>VLOOKUP(B4,Opportunities!B$3:I$30,8,FALSE)</f>
        <v>0</v>
      </c>
      <c r="I4" s="84">
        <f>VLOOKUP(B4,Opportunities!B$3:N$30,12,FALSE)</f>
        <v>16.61555293532097</v>
      </c>
      <c r="J4" s="84">
        <f>VLOOKUP(B4,Opportunities!B$3:N$30,9,FALSE)</f>
        <v>14.274512920705924</v>
      </c>
      <c r="K4" s="84">
        <f>VLOOKUP(B4,Opportunities!B$3:N$30,11,FALSE)</f>
        <v>22.487895122558253</v>
      </c>
      <c r="L4" s="84">
        <f>VLOOKUP(B4,Opportunities!B$3:N$30,13,FALSE)</f>
        <v>20.736200672174096</v>
      </c>
    </row>
    <row r="5" spans="1:12">
      <c r="B5" s="66" t="s">
        <v>174</v>
      </c>
      <c r="C5" s="63" t="e">
        <f>VLOOKUP(B5,Opportunities!B$3:E$30,3,FALSE)</f>
        <v>#N/A</v>
      </c>
      <c r="D5" s="62" t="e">
        <f>VLOOKUP(B5,Opportunities!B$3:E$30,4,FALSE)</f>
        <v>#N/A</v>
      </c>
      <c r="E5" s="59">
        <v>8000</v>
      </c>
      <c r="F5" s="64" t="e">
        <f>C5*E5</f>
        <v>#N/A</v>
      </c>
      <c r="G5" s="61" t="e">
        <f>F5/$F$8</f>
        <v>#N/A</v>
      </c>
      <c r="H5" s="61" t="e">
        <f>VLOOKUP(B5,Opportunities!B$3:I$30,8,FALSE)</f>
        <v>#N/A</v>
      </c>
      <c r="I5" s="84" t="e">
        <f>VLOOKUP(B5,Opportunities!B$3:N$30,12,FALSE)</f>
        <v>#N/A</v>
      </c>
      <c r="J5" s="84" t="e">
        <f>VLOOKUP(B5,Opportunities!B$3:N$30,9,FALSE)</f>
        <v>#N/A</v>
      </c>
      <c r="K5" s="84" t="e">
        <f>VLOOKUP(B5,Opportunities!B$3:N$30,11,FALSE)</f>
        <v>#N/A</v>
      </c>
      <c r="L5" s="84" t="e">
        <f>VLOOKUP(B5,Opportunities!B$3:N$30,13,FALSE)</f>
        <v>#N/A</v>
      </c>
    </row>
    <row r="6" spans="1:12">
      <c r="B6" s="66" t="s">
        <v>187</v>
      </c>
      <c r="C6" s="63">
        <f>VLOOKUP(B6,Opportunities!B$3:E$30,3,FALSE)</f>
        <v>2.75</v>
      </c>
      <c r="D6" s="62" t="str">
        <f>VLOOKUP(B6,Opportunities!B$3:E$30,4,FALSE)</f>
        <v>HKD</v>
      </c>
      <c r="E6" s="59">
        <v>40000</v>
      </c>
      <c r="F6" s="64">
        <f>C6*E6</f>
        <v>110000</v>
      </c>
      <c r="G6" s="61" t="e">
        <f t="shared" ref="G6" si="0">F6/$F$8</f>
        <v>#N/A</v>
      </c>
      <c r="H6" s="61">
        <f>VLOOKUP(B6,Opportunities!B$3:I$30,8,FALSE)</f>
        <v>0.14432894922815256</v>
      </c>
      <c r="I6" s="84">
        <f>VLOOKUP(B6,Opportunities!B$3:N$30,12,FALSE)</f>
        <v>2.8834226531731844</v>
      </c>
      <c r="J6" s="84">
        <f>VLOOKUP(B6,Opportunities!B$3:N$30,9,FALSE)</f>
        <v>2.4868849907177504</v>
      </c>
      <c r="K6" s="84">
        <f>VLOOKUP(B6,Opportunities!B$3:N$30,11,FALSE)</f>
        <v>3.8751564232605564</v>
      </c>
      <c r="L6" s="84">
        <f>VLOOKUP(B6,Opportunities!B$3:N$30,13,FALSE)</f>
        <v>3.5796953464126804</v>
      </c>
    </row>
    <row r="7" spans="1:12">
      <c r="B7" s="55"/>
      <c r="C7" s="58"/>
      <c r="D7" s="55"/>
      <c r="H7" s="77"/>
    </row>
    <row r="8" spans="1:12" ht="13.15">
      <c r="B8" s="67"/>
      <c r="C8" s="68"/>
      <c r="D8" s="67"/>
      <c r="E8" s="69" t="s">
        <v>163</v>
      </c>
      <c r="F8" s="69" t="e">
        <f>SUM(F3:F6)</f>
        <v>#N/A</v>
      </c>
      <c r="G8" s="70" t="e">
        <f>SUM(G3:G6)</f>
        <v>#N/A</v>
      </c>
      <c r="H8" s="76" t="e">
        <f>SUM(H3:H6)</f>
        <v>#N/A</v>
      </c>
      <c r="I8" s="85" t="s">
        <v>191</v>
      </c>
      <c r="J8" s="85" t="s">
        <v>191</v>
      </c>
      <c r="K8" s="85" t="s">
        <v>191</v>
      </c>
      <c r="L8" s="85" t="s">
        <v>191</v>
      </c>
    </row>
    <row r="9" spans="1:12">
      <c r="B9" s="55"/>
      <c r="C9" s="58"/>
      <c r="D9" s="55"/>
      <c r="E9" s="59"/>
      <c r="F9" s="59"/>
    </row>
    <row r="10" spans="1:12" ht="13.15">
      <c r="A10" s="51"/>
      <c r="B10" s="52" t="s">
        <v>161</v>
      </c>
    </row>
    <row r="11" spans="1:12">
      <c r="B11" s="66" t="s">
        <v>160</v>
      </c>
      <c r="C11" s="63">
        <f>VLOOKUP(B11,Opportunities!B$3:E$30,3,FALSE)</f>
        <v>17.53</v>
      </c>
      <c r="D11" s="62" t="str">
        <f>VLOOKUP(B11,Opportunities!B$3:E$30,4,FALSE)</f>
        <v>HKD</v>
      </c>
      <c r="E11" s="59">
        <v>0</v>
      </c>
      <c r="F11" s="64">
        <f>-C11*E11</f>
        <v>0</v>
      </c>
      <c r="G11" s="61" t="e">
        <f>-F11/$F$8</f>
        <v>#N/A</v>
      </c>
      <c r="H11" s="61">
        <f>VLOOKUP(B11,Opportunities!B$3:I$30,8,FALSE)</f>
        <v>0</v>
      </c>
      <c r="I11" s="84">
        <f>VLOOKUP(B11,Opportunities!B$3:N$30,12,FALSE)</f>
        <v>16.61555293532097</v>
      </c>
      <c r="J11" s="84">
        <f>VLOOKUP(B11,Opportunities!B$3:N$30,9,FALSE)</f>
        <v>14.274512920705924</v>
      </c>
      <c r="K11" s="84">
        <f>VLOOKUP(B11,Opportunities!B$3:N$30,11,FALSE)</f>
        <v>22.487895122558253</v>
      </c>
      <c r="L11" s="84">
        <f>VLOOKUP(B11,Opportunities!B$3:N$30,13,FALSE)</f>
        <v>20.736200672174096</v>
      </c>
    </row>
    <row r="12" spans="1:12">
      <c r="B12" s="66" t="s">
        <v>174</v>
      </c>
      <c r="C12" s="63" t="e">
        <f>VLOOKUP(B12,Opportunities!B$3:E$30,3,FALSE)</f>
        <v>#N/A</v>
      </c>
      <c r="D12" s="62" t="e">
        <f>VLOOKUP(B12,Opportunities!B$3:E$30,4,FALSE)</f>
        <v>#N/A</v>
      </c>
      <c r="E12" s="59">
        <v>0</v>
      </c>
      <c r="F12" s="64" t="e">
        <f>-C12*E12</f>
        <v>#N/A</v>
      </c>
      <c r="G12" s="61" t="e">
        <f>-F12/$F$8</f>
        <v>#N/A</v>
      </c>
      <c r="H12" s="61" t="e">
        <f>VLOOKUP(B12,Opportunities!B$3:I$30,8,FALSE)</f>
        <v>#N/A</v>
      </c>
      <c r="I12" s="84" t="e">
        <f>VLOOKUP(B12,Opportunities!B$3:N$30,12,FALSE)</f>
        <v>#N/A</v>
      </c>
      <c r="J12" s="84" t="e">
        <f>VLOOKUP(B12,Opportunities!B$3:N$30,9,FALSE)</f>
        <v>#N/A</v>
      </c>
      <c r="K12" s="84" t="e">
        <f>VLOOKUP(B12,Opportunities!B$3:N$30,11,FALSE)</f>
        <v>#N/A</v>
      </c>
      <c r="L12" s="84" t="e">
        <f>VLOOKUP(B12,Opportunities!B$3:N$30,13,FALSE)</f>
        <v>#N/A</v>
      </c>
    </row>
    <row r="13" spans="1:12">
      <c r="B13" s="66" t="s">
        <v>187</v>
      </c>
      <c r="C13" s="63">
        <f>VLOOKUP(B13,Opportunities!B$3:E$30,3,FALSE)</f>
        <v>2.75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 t="e">
        <f>-F13/$F$8</f>
        <v>#N/A</v>
      </c>
      <c r="H13" s="61">
        <f>VLOOKUP(B13,Opportunities!B$3:I$30,8,FALSE)</f>
        <v>0.14432894922815256</v>
      </c>
      <c r="I13" s="84">
        <f>VLOOKUP(B13,Opportunities!B$3:N$30,12,FALSE)</f>
        <v>2.8834226531731844</v>
      </c>
      <c r="J13" s="84">
        <f>VLOOKUP(B13,Opportunities!B$3:N$30,9,FALSE)</f>
        <v>2.4868849907177504</v>
      </c>
      <c r="K13" s="84">
        <f>VLOOKUP(B13,Opportunities!B$3:N$30,11,FALSE)</f>
        <v>3.8751564232605564</v>
      </c>
      <c r="L13" s="84">
        <f>VLOOKUP(B13,Opportunities!B$3:N$30,13,FALSE)</f>
        <v>3.5796953464126804</v>
      </c>
    </row>
    <row r="14" spans="1:12">
      <c r="G14" s="75"/>
      <c r="H14" s="75"/>
    </row>
    <row r="15" spans="1:12" ht="13.15">
      <c r="B15" s="71" t="s">
        <v>162</v>
      </c>
      <c r="C15" s="72" t="s">
        <v>157</v>
      </c>
      <c r="D15" s="73" t="s">
        <v>136</v>
      </c>
      <c r="E15" s="72" t="s">
        <v>157</v>
      </c>
      <c r="F15" s="69" t="e">
        <f>F3+SUM(F11:F13)</f>
        <v>#N/A</v>
      </c>
      <c r="G15" s="76" t="e">
        <f t="shared" ref="G15" si="1">F15/$F$8</f>
        <v>#N/A</v>
      </c>
      <c r="H15" s="76">
        <f>Portfolio_Mgmt!E66</f>
        <v>0.45</v>
      </c>
      <c r="I15" s="85" t="s">
        <v>191</v>
      </c>
      <c r="J15" s="85" t="s">
        <v>191</v>
      </c>
      <c r="K15" s="85" t="s">
        <v>191</v>
      </c>
      <c r="L15" s="85" t="s">
        <v>191</v>
      </c>
    </row>
    <row r="17" spans="1:6" ht="13.15">
      <c r="A17" s="51"/>
      <c r="B17" s="52" t="s">
        <v>192</v>
      </c>
      <c r="C17" s="58"/>
      <c r="D17" s="55"/>
      <c r="E17" s="59"/>
      <c r="F17" s="59"/>
    </row>
    <row r="18" spans="1:6" ht="13.15">
      <c r="C18" s="87" t="s">
        <v>193</v>
      </c>
      <c r="D18" s="87" t="s">
        <v>196</v>
      </c>
      <c r="E18" s="87" t="s">
        <v>197</v>
      </c>
    </row>
    <row r="19" spans="1:6" ht="14.25">
      <c r="B19" s="86" t="s">
        <v>194</v>
      </c>
      <c r="C19" s="91">
        <v>200000</v>
      </c>
      <c r="D19" s="92">
        <v>7.8629699999999998</v>
      </c>
      <c r="E19" s="89">
        <f>C19/D19</f>
        <v>25435.681428264383</v>
      </c>
    </row>
    <row r="20" spans="1:6" ht="14.25">
      <c r="B20" s="86" t="s">
        <v>195</v>
      </c>
      <c r="C20" s="89">
        <f>E19</f>
        <v>25435.681428264383</v>
      </c>
      <c r="D20" s="92">
        <v>7.8387000000000002</v>
      </c>
      <c r="E20" s="88">
        <f>C20*D20</f>
        <v>199382.67601173601</v>
      </c>
    </row>
    <row r="21" spans="1:6" ht="14.25">
      <c r="C21"/>
      <c r="D21"/>
      <c r="E21"/>
    </row>
    <row r="22" spans="1:6" ht="14.25">
      <c r="C22"/>
      <c r="D22" s="90" t="s">
        <v>198</v>
      </c>
      <c r="E22" s="88">
        <f>C19-E20</f>
        <v>617.32398826399003</v>
      </c>
    </row>
    <row r="27" spans="1:6">
      <c r="B27" s="55"/>
      <c r="C27" s="58"/>
      <c r="D27" s="55"/>
      <c r="E27" s="59"/>
      <c r="F27" s="59"/>
    </row>
    <row r="28" spans="1:6">
      <c r="B28" s="55"/>
      <c r="C28" s="58"/>
      <c r="D28" s="55"/>
      <c r="E28" s="59"/>
      <c r="F28" s="59"/>
    </row>
    <row r="29" spans="1:6">
      <c r="B29" s="55"/>
      <c r="C29" s="58"/>
      <c r="D29" s="55"/>
      <c r="E29" s="59"/>
      <c r="F29" s="59"/>
    </row>
    <row r="30" spans="1:6">
      <c r="B30" s="55"/>
      <c r="C30" s="58"/>
      <c r="D30" s="55"/>
      <c r="E30" s="59"/>
      <c r="F30" s="59"/>
    </row>
    <row r="31" spans="1:6">
      <c r="B31" s="55"/>
      <c r="C31" s="58"/>
      <c r="D31" s="55"/>
      <c r="E31" s="59"/>
      <c r="F31" s="59"/>
    </row>
    <row r="32" spans="1:6">
      <c r="B32" s="55"/>
      <c r="C32" s="56"/>
      <c r="D32" s="55"/>
      <c r="E32" s="57"/>
      <c r="F32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2025-10-02T04:14:04Z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