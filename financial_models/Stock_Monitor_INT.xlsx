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BBAD423-6B24-49CF-B589-1598B276BD43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G3" i="1"/>
  <c r="G4" i="1"/>
  <c r="G5" i="1"/>
  <c r="G6" i="1"/>
  <c r="G7" i="1"/>
  <c r="G8" i="1"/>
  <c r="G9" i="1"/>
  <c r="G10" i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<sst xmlns="http://schemas.openxmlformats.org/spreadsheetml/2006/main" count="425" uniqueCount="362">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</sst>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5" t="s">
        <v>149</v>
      </c>
      <c r="C4" s="125"/>
      <c r="D4" s="125"/>
      <c r="E4" s="125"/>
    </row>
    <row r="6" spans="1:5">
      <c r="A6" s="20" t="s">
        <v>60</v>
      </c>
      <c r="B6" s="19" t="s">
        <v>143</v>
      </c>
      <c r="C6" s="49"/>
    </row>
    <row r="7" spans="1:5">
      <c r="B7" s="125" t="s">
        <v>210</v>
      </c>
      <c r="C7" s="125"/>
      <c r="D7" s="125"/>
      <c r="E7" s="12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6" t="s">
        <v>212</v>
      </c>
      <c r="C24" s="125"/>
      <c r="D24" s="125"/>
      <c r="E24" s="125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5" t="s">
        <v>224</v>
      </c>
      <c r="C40" s="125"/>
      <c r="D40" s="125"/>
      <c r="E40" s="125"/>
    </row>
    <row r="41" spans="1:5">
      <c r="B41" s="126" t="s">
        <v>240</v>
      </c>
      <c r="C41" s="125"/>
      <c r="D41" s="125"/>
      <c r="E41" s="125"/>
    </row>
    <row r="42" spans="1:5">
      <c r="B42" s="126" t="s">
        <v>238</v>
      </c>
      <c r="C42" s="125"/>
      <c r="D42" s="125"/>
      <c r="E42" s="125"/>
    </row>
    <row r="43" spans="1:5">
      <c r="B43" s="126" t="s">
        <v>239</v>
      </c>
      <c r="C43" s="126"/>
      <c r="D43" s="126"/>
      <c r="E43" s="126"/>
    </row>
    <row r="44" spans="1:5" ht="46.5" customHeight="1">
      <c r="B44" s="125" t="s">
        <v>159</v>
      </c>
      <c r="C44" s="125"/>
      <c r="D44" s="125"/>
      <c r="E44" s="125"/>
    </row>
    <row r="46" spans="1:5">
      <c r="A46" s="21" t="s">
        <v>138</v>
      </c>
      <c r="B46" s="21"/>
      <c r="C46" s="21"/>
      <c r="D46" s="21"/>
      <c r="E46" s="21"/>
    </row>
    <row r="48" spans="1:5">
      <c r="B48" s="125" t="s">
        <v>226</v>
      </c>
      <c r="C48" s="125"/>
      <c r="D48" s="125"/>
      <c r="E48" s="125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5" t="s">
        <v>139</v>
      </c>
      <c r="C74" s="125"/>
      <c r="D74" s="125"/>
      <c r="E74" s="125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6" sqref="M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9" t="s">
        <v>1</v>
      </c>
      <c r="E1" s="129"/>
      <c r="F1" s="129"/>
      <c r="G1" s="130" t="s">
        <v>85</v>
      </c>
      <c r="H1" s="130"/>
      <c r="I1" s="130"/>
      <c r="J1" s="132" t="s">
        <v>4</v>
      </c>
      <c r="K1" s="132"/>
      <c r="L1" s="132"/>
      <c r="M1" s="131" t="s">
        <v>169</v>
      </c>
      <c r="N1" s="131"/>
      <c r="O1" s="127" t="s">
        <v>8</v>
      </c>
      <c r="P1" s="127"/>
      <c r="Q1" s="134" t="s">
        <v>184</v>
      </c>
      <c r="R1" s="134"/>
      <c r="S1" s="134"/>
      <c r="T1" s="134"/>
      <c r="U1" s="133" t="s">
        <v>180</v>
      </c>
      <c r="V1" s="133"/>
      <c r="W1" s="133"/>
      <c r="X1" s="128" t="s">
        <v>49</v>
      </c>
      <c r="Y1" s="128"/>
      <c r="Z1" s="128"/>
      <c r="AA1" s="128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4.01</v>
      </c>
      <c r="E3" s="12" t="s">
        <v>136</v>
      </c>
      <c r="F3" s="15">
        <v>0.31685611828363341</v>
      </c>
      <c r="G3" s="15">
        <f>F3 - Portfolio_Mgmt!$C$10</f>
        <v>0.19945611828363341</v>
      </c>
      <c r="H3" s="15">
        <f>F3 - Portfolio_Mgmt!$C$11</f>
        <v>0.28235611828363338</v>
      </c>
      <c r="I3" s="15">
        <v>9.2199670087346836E-2</v>
      </c>
      <c r="J3" s="2">
        <v>3.8199151912245375</v>
      </c>
      <c r="K3" s="2">
        <v>6.3935654360067202</v>
      </c>
      <c r="L3" s="74">
        <v>5.9940521392574224</v>
      </c>
      <c r="M3" s="2">
        <v>4.4400738790443013</v>
      </c>
      <c r="N3" s="2">
        <v>5.5307128828262222</v>
      </c>
      <c r="O3" s="4">
        <v>7.7927747719079815E-2</v>
      </c>
      <c r="P3" s="4">
        <v>6.0299251870324193E-2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1.2424960256803461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354</v>
      </c>
      <c r="C4" s="11" t="s">
        <v>355</v>
      </c>
      <c r="D4" s="2">
        <v>6.93</v>
      </c>
      <c r="E4" s="12" t="s">
        <v>136</v>
      </c>
      <c r="F4" s="15">
        <v>0.27884249743605316</v>
      </c>
      <c r="G4" s="15">
        <f>F4 - Portfolio_Mgmt!$C$10</f>
        <v>0.16144249743605316</v>
      </c>
      <c r="H4" s="15">
        <f>F4 - Portfolio_Mgmt!$C$11</f>
        <v>0.24434249743605316</v>
      </c>
      <c r="I4" s="15">
        <v>7.0687303909023114E-2</v>
      </c>
      <c r="J4" s="2">
        <v>6.2308366926397181</v>
      </c>
      <c r="K4" s="2">
        <v>10.625390641427337</v>
      </c>
      <c r="L4" s="74">
        <v>9.7973483987690404</v>
      </c>
      <c r="M4" s="2">
        <v>7.2477586456234162</v>
      </c>
      <c r="N4" s="2">
        <v>9.0369778908129543</v>
      </c>
      <c r="O4" s="4">
        <v>9.9254662674467087E-2</v>
      </c>
      <c r="P4" s="4">
        <v>4.4844139320779221E-2</v>
      </c>
      <c r="Q4" s="4">
        <v>0.17171944526687813</v>
      </c>
      <c r="R4" s="4">
        <v>8.3605885405536914E-2</v>
      </c>
      <c r="S4" s="82">
        <v>1.3282158707615834</v>
      </c>
      <c r="T4" s="81">
        <v>1.5463719418456539</v>
      </c>
      <c r="U4" s="15">
        <v>0.22428295339746124</v>
      </c>
      <c r="V4" s="79">
        <v>1.2715557492373779</v>
      </c>
      <c r="W4" s="74">
        <v>-2.8855327456708855</v>
      </c>
      <c r="X4" s="13" t="s">
        <v>356</v>
      </c>
      <c r="Y4" s="11" t="s">
        <v>172</v>
      </c>
      <c r="Z4" s="14">
        <v>46081</v>
      </c>
      <c r="AA4" s="16" t="s">
        <v>346</v>
      </c>
    </row>
    <row r="5" spans="1:27">
      <c r="B5" s="11" t="s">
        <v>187</v>
      </c>
      <c r="C5" s="11" t="s">
        <v>347</v>
      </c>
      <c r="D5" s="2">
        <v>2.76</v>
      </c>
      <c r="E5" s="12" t="s">
        <v>136</v>
      </c>
      <c r="F5" s="15">
        <v>0.27874323625388697</v>
      </c>
      <c r="G5" s="15">
        <f>F5 - Portfolio_Mgmt!$C$10</f>
        <v>0.16134323625388697</v>
      </c>
      <c r="H5" s="15">
        <f>F5 - Portfolio_Mgmt!$C$11</f>
        <v>0.24424323625388697</v>
      </c>
      <c r="I5" s="15">
        <v>0.14124690039503859</v>
      </c>
      <c r="J5" s="2">
        <v>2.4868849907177504</v>
      </c>
      <c r="K5" s="2">
        <v>3.8978478955831006</v>
      </c>
      <c r="L5" s="74">
        <v>3.8751564232605564</v>
      </c>
      <c r="M5" s="2">
        <v>2.8834226531731844</v>
      </c>
      <c r="N5" s="2">
        <v>3.5796953464126804</v>
      </c>
      <c r="O5" s="4">
        <v>5.8282410327129677E-2</v>
      </c>
      <c r="P5" s="4">
        <v>9.7826086956521757E-2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348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349</v>
      </c>
      <c r="D6" s="2">
        <v>17.25</v>
      </c>
      <c r="E6" s="12" t="s">
        <v>136</v>
      </c>
      <c r="F6" s="15">
        <v>0.22665320923633936</v>
      </c>
      <c r="G6" s="15">
        <f>F6 - Portfolio_Mgmt!$C$10</f>
        <v>0.10925320923633935</v>
      </c>
      <c r="H6" s="15">
        <f>F6 - Portfolio_Mgmt!$C$11</f>
        <v>0.19215320923633936</v>
      </c>
      <c r="I6" s="15">
        <v>0</v>
      </c>
      <c r="J6" s="2">
        <v>14.278007037610893</v>
      </c>
      <c r="K6" s="2">
        <v>24.764796166874753</v>
      </c>
      <c r="L6" s="74">
        <v>22.493466131970926</v>
      </c>
      <c r="M6" s="2">
        <v>16.619637712419582</v>
      </c>
      <c r="N6" s="2">
        <v>20.741327770486041</v>
      </c>
      <c r="O6" s="4">
        <v>5.5408332419086548E-2</v>
      </c>
      <c r="P6" s="4">
        <v>3.1005159646527315E-2</v>
      </c>
      <c r="Q6" s="4">
        <v>0.11088649873899643</v>
      </c>
      <c r="R6" s="4">
        <v>0.11515134475786303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5.4539903115722899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351</v>
      </c>
      <c r="D7" s="2">
        <v>18.93</v>
      </c>
      <c r="E7" s="12" t="s">
        <v>136</v>
      </c>
      <c r="F7" s="15">
        <v>0.20671765392664629</v>
      </c>
      <c r="G7" s="15">
        <f>F7 - Portfolio_Mgmt!$C$10</f>
        <v>8.9317653926646284E-2</v>
      </c>
      <c r="H7" s="15">
        <f>F7 - Portfolio_Mgmt!$C$11</f>
        <v>0.17221765392664629</v>
      </c>
      <c r="I7" s="15">
        <v>0</v>
      </c>
      <c r="J7" s="2">
        <v>15.22402549299199</v>
      </c>
      <c r="K7" s="2">
        <v>24.784786460977905</v>
      </c>
      <c r="L7" s="74">
        <v>23.817420214824224</v>
      </c>
      <c r="M7" s="2">
        <v>17.676663335025861</v>
      </c>
      <c r="N7" s="2">
        <v>21.987097163649693</v>
      </c>
      <c r="O7" s="4">
        <v>0.12360690028331171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0.44977557812835084</v>
      </c>
      <c r="X7" s="13" t="s">
        <v>352</v>
      </c>
      <c r="Y7" s="11" t="s">
        <v>353</v>
      </c>
      <c r="Z7" s="14">
        <v>46081</v>
      </c>
      <c r="AA7" s="16" t="s">
        <v>185</v>
      </c>
    </row>
    <row r="8" spans="1:27">
      <c r="B8" s="11" t="s">
        <v>358</v>
      </c>
      <c r="C8" s="11" t="s">
        <v>359</v>
      </c>
      <c r="D8" s="2">
        <v>105.8</v>
      </c>
      <c r="E8" s="12" t="s">
        <v>136</v>
      </c>
      <c r="F8" s="15">
        <v>0.1632543636750067</v>
      </c>
      <c r="G8" s="15">
        <f>F8 - Portfolio_Mgmt!$C$10</f>
        <v>4.5854363675006699E-2</v>
      </c>
      <c r="H8" s="15">
        <f>F8 - Portfolio_Mgmt!$C$11</f>
        <v>0.1287543636750067</v>
      </c>
      <c r="I8" s="15">
        <v>0</v>
      </c>
      <c r="J8" s="2">
        <v>78.553856573605088</v>
      </c>
      <c r="K8" s="2">
        <v>143.16440360539528</v>
      </c>
      <c r="L8" s="74">
        <v>124.46305212894542</v>
      </c>
      <c r="M8" s="2">
        <v>91.625218307452982</v>
      </c>
      <c r="N8" s="2">
        <v>114.66152520430067</v>
      </c>
      <c r="O8" s="4">
        <v>2.2615305823766106E-2</v>
      </c>
      <c r="P8" s="4">
        <v>0</v>
      </c>
      <c r="Q8" s="4">
        <v>0.14667015235144401</v>
      </c>
      <c r="R8" s="4">
        <v>8.0069983114389093E-2</v>
      </c>
      <c r="S8" s="82">
        <v>1.022390799101176</v>
      </c>
      <c r="T8" s="81">
        <v>1.7916578376478161</v>
      </c>
      <c r="U8" s="15">
        <v>0.27660377540313014</v>
      </c>
      <c r="V8" s="79">
        <v>1.7116972700897226</v>
      </c>
      <c r="W8" s="74">
        <v>3.4847807782490894</v>
      </c>
      <c r="X8" s="13" t="s">
        <v>360</v>
      </c>
      <c r="Y8" s="11" t="s">
        <v>361</v>
      </c>
      <c r="Z8" s="14">
        <v>46081</v>
      </c>
      <c r="AA8" s="16" t="s">
        <v>346</v>
      </c>
    </row>
    <row r="9" spans="1:27">
      <c r="B9" s="11" t="s">
        <v>344</v>
      </c>
      <c r="C9" s="11" t="s">
        <v>345</v>
      </c>
      <c r="D9" s="2">
        <v>2.96</v>
      </c>
      <c r="E9" s="12" t="s">
        <v>136</v>
      </c>
      <c r="F9" s="15">
        <v>9.0084070295280497E-2</v>
      </c>
      <c r="G9" s="15">
        <f>F9 - Portfolio_Mgmt!$C$10</f>
        <v>-2.7315929704719508E-2</v>
      </c>
      <c r="H9" s="15">
        <f>F9 - Portfolio_Mgmt!$C$11</f>
        <v>5.5584070295280494E-2</v>
      </c>
      <c r="I9" s="15">
        <v>0</v>
      </c>
      <c r="J9" s="2">
        <v>1.9526458851748192</v>
      </c>
      <c r="K9" s="2">
        <v>3.1845771257311082</v>
      </c>
      <c r="L9" s="74">
        <v>3.0554227596947277</v>
      </c>
      <c r="M9" s="2">
        <v>2.2673773604679095</v>
      </c>
      <c r="N9" s="2">
        <v>2.8205316608176685</v>
      </c>
      <c r="O9" s="4">
        <v>5.5265061400700033E-2</v>
      </c>
      <c r="P9" s="4">
        <v>5.378378378378379E-2</v>
      </c>
      <c r="Q9" s="4">
        <v>0.12416948697308672</v>
      </c>
      <c r="R9" s="4">
        <v>0.41544958439449353</v>
      </c>
      <c r="S9" s="82">
        <v>0.20090947033127624</v>
      </c>
      <c r="T9" s="81">
        <v>1.4876341835211095</v>
      </c>
      <c r="U9" s="15">
        <v>2.7705347980559972E-2</v>
      </c>
      <c r="V9" s="79">
        <v>0.22047955497162566</v>
      </c>
      <c r="W9" s="74">
        <v>0.40766152338944445</v>
      </c>
      <c r="X9" s="13" t="s">
        <v>173</v>
      </c>
      <c r="Y9" s="11" t="s">
        <v>343</v>
      </c>
      <c r="Z9" s="14">
        <v>46081</v>
      </c>
      <c r="AA9" s="16" t="s">
        <v>346</v>
      </c>
    </row>
    <row r="10" spans="1:27">
      <c r="B10" s="11" t="s">
        <v>339</v>
      </c>
      <c r="C10" s="11" t="s">
        <v>340</v>
      </c>
      <c r="D10" s="2">
        <v>6.5</v>
      </c>
      <c r="E10" s="12" t="s">
        <v>136</v>
      </c>
      <c r="F10" s="15">
        <v>8.2639604252926629E-2</v>
      </c>
      <c r="G10" s="15">
        <f>F10 - Portfolio_Mgmt!$C$10</f>
        <v>-3.4760395747073375E-2</v>
      </c>
      <c r="H10" s="15">
        <f>F10 - Portfolio_Mgmt!$C$11</f>
        <v>4.8139604252926627E-2</v>
      </c>
      <c r="I10" s="15">
        <v>0</v>
      </c>
      <c r="J10" s="2">
        <v>4.2390395011406845</v>
      </c>
      <c r="K10" s="2">
        <v>6.7856494908288969</v>
      </c>
      <c r="L10" s="74">
        <v>6.6199592402379013</v>
      </c>
      <c r="M10" s="2">
        <v>4.918815674130494</v>
      </c>
      <c r="N10" s="2">
        <v>6.1130184841162611</v>
      </c>
      <c r="O10" s="4">
        <v>6.1063666265514203E-2</v>
      </c>
      <c r="P10" s="4">
        <v>6.1538461538461542E-2</v>
      </c>
      <c r="Q10" s="4">
        <v>0.1167471410506614</v>
      </c>
      <c r="R10" s="4">
        <v>3.9086921133773919E-2</v>
      </c>
      <c r="S10" s="82">
        <v>1.3708738209065539</v>
      </c>
      <c r="T10" s="81">
        <v>2.1787997096988563</v>
      </c>
      <c r="U10" s="15">
        <v>0.77760119734648436</v>
      </c>
      <c r="V10" s="79">
        <v>5.3475400925918697</v>
      </c>
      <c r="W10" s="74">
        <v>-2.5047246524922007</v>
      </c>
      <c r="X10" s="16" t="s">
        <v>173</v>
      </c>
      <c r="Y10" s="11" t="s">
        <v>172</v>
      </c>
      <c r="Z10" s="14">
        <v>45991</v>
      </c>
      <c r="AA10" s="16" t="s">
        <v>185</v>
      </c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6" t="s">
        <v>246</v>
      </c>
      <c r="C4" s="125"/>
      <c r="D4" s="125"/>
      <c r="E4" s="125"/>
    </row>
    <row r="6" spans="1:5">
      <c r="A6" s="20" t="s">
        <v>60</v>
      </c>
      <c r="B6" s="19" t="s">
        <v>247</v>
      </c>
      <c r="C6" s="49"/>
    </row>
    <row r="7" spans="1:5">
      <c r="B7" s="126" t="s">
        <v>337</v>
      </c>
      <c r="C7" s="125"/>
      <c r="D7" s="125"/>
      <c r="E7" s="125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6" t="s">
        <v>262</v>
      </c>
      <c r="C24" s="125"/>
      <c r="D24" s="125"/>
      <c r="E24" s="125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5" t="s">
        <v>282</v>
      </c>
      <c r="C40" s="125"/>
      <c r="D40" s="125"/>
      <c r="E40" s="125"/>
    </row>
    <row r="41" spans="1:5">
      <c r="B41" s="126" t="s">
        <v>283</v>
      </c>
      <c r="C41" s="125"/>
      <c r="D41" s="125"/>
      <c r="E41" s="125"/>
    </row>
    <row r="42" spans="1:5">
      <c r="B42" s="126" t="s">
        <v>284</v>
      </c>
      <c r="C42" s="125"/>
      <c r="D42" s="125"/>
      <c r="E42" s="125"/>
    </row>
    <row r="43" spans="1:5">
      <c r="B43" s="126" t="s">
        <v>285</v>
      </c>
      <c r="C43" s="126"/>
      <c r="D43" s="126"/>
      <c r="E43" s="126"/>
    </row>
    <row r="44" spans="1:5" ht="34.35" customHeight="1">
      <c r="B44" s="125" t="s">
        <v>336</v>
      </c>
      <c r="C44" s="125"/>
      <c r="D44" s="125"/>
      <c r="E44" s="125"/>
    </row>
    <row r="46" spans="1:5">
      <c r="A46" s="21" t="s">
        <v>286</v>
      </c>
      <c r="B46" s="21"/>
      <c r="C46" s="21"/>
      <c r="D46" s="21"/>
      <c r="E46" s="21"/>
    </row>
    <row r="48" spans="1:5">
      <c r="B48" s="125" t="s">
        <v>287</v>
      </c>
      <c r="C48" s="125"/>
      <c r="D48" s="125"/>
      <c r="E48" s="125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5" t="s">
        <v>319</v>
      </c>
      <c r="C74" s="125"/>
      <c r="D74" s="125"/>
      <c r="E74" s="125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2"/>
    </row>
    <row r="2" spans="1:13" ht="29.75" customHeight="1">
      <c r="B2" s="54" t="s">
        <v>2</v>
      </c>
      <c r="C2" s="54" t="s">
        <v>357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0.69667144119599722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17.25</v>
      </c>
      <c r="E4" s="62" t="str">
        <f>VLOOKUP(B4,Opportunities!B$3:E$30,4,FALSE)</f>
        <v>HKD</v>
      </c>
      <c r="F4" s="59">
        <v>4500</v>
      </c>
      <c r="G4" s="64">
        <f>D4*F4</f>
        <v>77625</v>
      </c>
      <c r="H4" s="61">
        <f>G4/$G$9</f>
        <v>6.9361729124241711E-2</v>
      </c>
      <c r="I4" s="61">
        <f>VLOOKUP(B4,Opportunities!B$3:I$30,8,FALSE)</f>
        <v>0</v>
      </c>
      <c r="J4" s="84">
        <f>VLOOKUP(B4,Opportunities!B$3:N$30,12,FALSE)</f>
        <v>16.619637712419582</v>
      </c>
      <c r="K4" s="84">
        <f>VLOOKUP(B4,Opportunities!B$3:N$30,9,FALSE)</f>
        <v>14.278007037610893</v>
      </c>
      <c r="L4" s="84">
        <f>VLOOKUP(B4,Opportunities!B$3:N$30,11,FALSE)</f>
        <v>22.493466131970926</v>
      </c>
      <c r="M4" s="84">
        <f>VLOOKUP(B4,Opportunities!B$3:N$30,13,FALSE)</f>
        <v>20.741327770486041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0.13531903714750615</v>
      </c>
      <c r="I5" s="61">
        <f>VLOOKUP(B5,Opportunities!B$3:I$30,8,FALSE)</f>
        <v>0</v>
      </c>
      <c r="J5" s="84">
        <f>VLOOKUP(B5,Opportunities!B$3:N$30,12,FALSE)</f>
        <v>17.676663335025861</v>
      </c>
      <c r="K5" s="84">
        <f>VLOOKUP(B5,Opportunities!B$3:N$30,9,FALSE)</f>
        <v>15.22402549299199</v>
      </c>
      <c r="L5" s="84">
        <f>VLOOKUP(B5,Opportunities!B$3:N$30,11,FALSE)</f>
        <v>23.817420214824224</v>
      </c>
      <c r="M5" s="84">
        <f>VLOOKUP(B5,Opportunities!B$3:N$30,13,FALSE)</f>
        <v>21.987097163649693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9.8647792532254863E-2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4.01</v>
      </c>
      <c r="E7" s="62" t="str">
        <f>VLOOKUP(B7,Opportunities!B$3:E$30,4,FALSE)</f>
        <v>HKD</v>
      </c>
      <c r="F7" s="59">
        <v>9000</v>
      </c>
      <c r="G7" s="64">
        <f>D7*F7</f>
        <v>36090</v>
      </c>
      <c r="H7" s="61">
        <f t="shared" ref="H7" si="1">G7/$G$9</f>
        <v>3.2248177830517019E-2</v>
      </c>
      <c r="I7" s="61">
        <f>VLOOKUP(B7,Opportunities!B$3:I$30,8,FALSE)</f>
        <v>9.2199670087346836E-2</v>
      </c>
      <c r="J7" s="84">
        <f>VLOOKUP(B7,Opportunities!B$3:N$30,12,FALSE)</f>
        <v>4.4400738790443013</v>
      </c>
      <c r="K7" s="84">
        <f>VLOOKUP(B7,Opportunities!B$3:N$30,9,FALSE)</f>
        <v>3.8199151912245375</v>
      </c>
      <c r="L7" s="84">
        <f>VLOOKUP(B7,Opportunities!B$3:N$30,11,FALSE)</f>
        <v>5.9940521392574224</v>
      </c>
      <c r="M7" s="84">
        <f>VLOOKUP(B7,Opportunities!B$3:N$30,13,FALSE)</f>
        <v>5.5307128828262222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1119133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2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17.25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16.619637712419582</v>
      </c>
      <c r="K12" s="84">
        <f>VLOOKUP(B12,Opportunities!B$3:N$30,9,FALSE)</f>
        <v>14.278007037610893</v>
      </c>
      <c r="L12" s="84">
        <f>VLOOKUP(B12,Opportunities!B$3:N$30,11,FALSE)</f>
        <v>22.493466131970926</v>
      </c>
      <c r="M12" s="84">
        <f>VLOOKUP(B12,Opportunities!B$3:N$30,13,FALSE)</f>
        <v>20.741327770486041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17.676663335025861</v>
      </c>
      <c r="K13" s="84">
        <f>VLOOKUP(B13,Opportunities!B$3:N$30,9,FALSE)</f>
        <v>15.22402549299199</v>
      </c>
      <c r="L13" s="84">
        <f>VLOOKUP(B13,Opportunities!B$3:N$30,11,FALSE)</f>
        <v>23.817420214824224</v>
      </c>
      <c r="M13" s="84">
        <f>VLOOKUP(B13,Opportunities!B$3:N$30,13,FALSE)</f>
        <v>21.987097163649693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4.01</v>
      </c>
      <c r="E15" s="62" t="str">
        <f>VLOOKUP(B15,Opportunities!B$3:E$30,4,FALSE)</f>
        <v>HKD</v>
      </c>
      <c r="F15" s="59">
        <v>3000</v>
      </c>
      <c r="G15" s="64">
        <f>-D15*F15</f>
        <v>-12030</v>
      </c>
      <c r="H15" s="61">
        <f>-G15/$G$9</f>
        <v>1.0749392610172338E-2</v>
      </c>
      <c r="I15" s="61">
        <f>VLOOKUP(B15,Opportunities!B$3:I$30,8,FALSE)</f>
        <v>9.2199670087346836E-2</v>
      </c>
      <c r="J15" s="84">
        <f>VLOOKUP(B15,Opportunities!B$3:N$30,12,FALSE)</f>
        <v>4.4400738790443013</v>
      </c>
      <c r="K15" s="84">
        <f>VLOOKUP(B15,Opportunities!B$3:N$30,9,FALSE)</f>
        <v>3.8199151912245375</v>
      </c>
      <c r="L15" s="84">
        <f>VLOOKUP(B15,Opportunities!B$3:N$30,11,FALSE)</f>
        <v>5.9940521392574224</v>
      </c>
      <c r="M15" s="84">
        <f>VLOOKUP(B15,Opportunities!B$3:N$30,13,FALSE)</f>
        <v>5.5307128828262222</v>
      </c>
    </row>
    <row r="16" spans="1:13">
      <c r="B16" s="66" t="s">
        <v>354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4.9538347989023644E-2</v>
      </c>
      <c r="I16" s="61">
        <f>VLOOKUP(B16,Opportunities!B$3:I$30,8,FALSE)</f>
        <v>7.0687303909023114E-2</v>
      </c>
      <c r="J16" s="84">
        <f>VLOOKUP(B16,Opportunities!B$3:N$30,12,FALSE)</f>
        <v>7.2477586456234162</v>
      </c>
      <c r="K16" s="84">
        <f>VLOOKUP(B16,Opportunities!B$3:N$30,9,FALSE)</f>
        <v>6.2308366926397181</v>
      </c>
      <c r="L16" s="84">
        <f>VLOOKUP(B16,Opportunities!B$3:N$30,11,FALSE)</f>
        <v>9.7973483987690404</v>
      </c>
      <c r="M16" s="84">
        <f>VLOOKUP(B16,Opportunities!B$3:N$30,13,FALSE)</f>
        <v>9.0369778908129543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712198</v>
      </c>
      <c r="H18" s="76">
        <f t="shared" ref="H18" si="2">G18/$G$9</f>
        <v>0.63638370059680127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22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23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24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5" t="s">
        <v>88</v>
      </c>
      <c r="C3" s="135"/>
      <c r="D3" s="135"/>
    </row>
    <row r="5" spans="1:4">
      <c r="B5" s="136" t="s">
        <v>90</v>
      </c>
      <c r="C5" s="137"/>
      <c r="D5" s="137"/>
    </row>
    <row r="6" spans="1:4">
      <c r="B6" s="136" t="s">
        <v>91</v>
      </c>
      <c r="C6" s="137"/>
      <c r="D6" s="137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5" t="s">
        <v>93</v>
      </c>
      <c r="C11" s="135"/>
      <c r="D11" s="135"/>
    </row>
    <row r="12" spans="1:4">
      <c r="B12" s="135" t="s">
        <v>94</v>
      </c>
      <c r="C12" s="135"/>
      <c r="D12" s="135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5" t="s">
        <v>106</v>
      </c>
      <c r="C28" s="135"/>
      <c r="D28" s="135"/>
    </row>
    <row r="29" spans="1:4">
      <c r="B29" s="135" t="s">
        <v>107</v>
      </c>
      <c r="C29" s="135"/>
      <c r="D29" s="135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2025-10-03T03:49:36Z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