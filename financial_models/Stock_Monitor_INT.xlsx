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75AC3A8-D44D-45E8-BF69-4A1BA27D2AF1}" xr6:coauthVersionLast="47" xr6:coauthVersionMax="47" xr10:uidLastSave="{00000000-0000-0000-0000-000000000000}"/>
  <bookViews>
    <workbookView xWindow="-98" yWindow="-98" windowWidth="17115" windowHeight="10755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E37" i="10" s="1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C10" i="10" l="1"/>
  <c r="H18" i="7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<sst xmlns="http://schemas.openxmlformats.org/spreadsheetml/2006/main" count="472" uniqueCount="384">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</sst>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7" sqref="D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2.91</v>
      </c>
      <c r="E3" s="12" t="s">
        <v>136</v>
      </c>
      <c r="F3" s="15">
        <v>0.23658707196826612</v>
      </c>
      <c r="G3" s="15">
        <f>F3 - Portfolio_Mgmt!$C$10</f>
        <v>0.11918707196826611</v>
      </c>
      <c r="H3" s="15">
        <f>F3 - Portfolio_Mgmt!$C$11</f>
        <v>0.20208707196826611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7.3697426233633179E-2</v>
      </c>
      <c r="P3" s="4">
        <v>9.2783505154639179E-2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19.079999999999998</v>
      </c>
      <c r="E4" s="12" t="s">
        <v>136</v>
      </c>
      <c r="F4" s="15">
        <v>0.20104445154533912</v>
      </c>
      <c r="G4" s="15">
        <f>F4 - Portfolio_Mgmt!$C$10</f>
        <v>8.3644451545339116E-2</v>
      </c>
      <c r="H4" s="15">
        <f>F4 - Portfolio_Mgmt!$C$11</f>
        <v>0.16654445154533912</v>
      </c>
      <c r="I4" s="15">
        <v>0</v>
      </c>
      <c r="J4" s="2">
        <v>13.706397883414823</v>
      </c>
      <c r="K4" s="2">
        <v>28.46552869240675</v>
      </c>
      <c r="L4" s="74">
        <v>26.190290619870353</v>
      </c>
      <c r="M4" s="2">
        <v>17.033870690512256</v>
      </c>
      <c r="N4" s="2">
        <v>23.442843471626301</v>
      </c>
      <c r="O4" s="4">
        <v>0.1085538027148915</v>
      </c>
      <c r="P4" s="4">
        <v>6.6037735849056617E-2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-0.45893593509690761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187</v>
      </c>
      <c r="C5" s="11" t="s">
        <v>188</v>
      </c>
      <c r="D5" s="2">
        <v>3.41</v>
      </c>
      <c r="E5" s="12" t="s">
        <v>136</v>
      </c>
      <c r="F5" s="15">
        <v>0.18570680150592267</v>
      </c>
      <c r="G5" s="15">
        <f>F5 - Portfolio_Mgmt!$C$10</f>
        <v>6.8306801505922665E-2</v>
      </c>
      <c r="H5" s="15">
        <f>F5 - Portfolio_Mgmt!$C$11</f>
        <v>0.15120680150592267</v>
      </c>
      <c r="I5" s="15">
        <v>0</v>
      </c>
      <c r="J5" s="2">
        <v>2.3406091587746096</v>
      </c>
      <c r="K5" s="2">
        <v>5.2246962590200807</v>
      </c>
      <c r="L5" s="74">
        <v>4.5385417708791076</v>
      </c>
      <c r="M5" s="2">
        <v>2.9249004846182811</v>
      </c>
      <c r="N5" s="2">
        <v>4.0536685441183486</v>
      </c>
      <c r="O5" s="4">
        <v>8.3273471379379613E-2</v>
      </c>
      <c r="P5" s="4">
        <v>3.7536656891495601E-2</v>
      </c>
      <c r="Q5" s="4">
        <v>0.10112859174992994</v>
      </c>
      <c r="R5" s="4">
        <v>5.8835781303360896E-2</v>
      </c>
      <c r="S5" s="82">
        <v>1.2277297326073906</v>
      </c>
      <c r="T5" s="81">
        <v>1.4000052396569989</v>
      </c>
      <c r="U5" s="15">
        <v>0.10646655543311496</v>
      </c>
      <c r="V5" s="79">
        <v>0.9804830051022897</v>
      </c>
      <c r="W5" s="74">
        <v>1.6698226477450393</v>
      </c>
      <c r="X5" s="13" t="s">
        <v>189</v>
      </c>
      <c r="Y5" s="11" t="s">
        <v>137</v>
      </c>
      <c r="Z5" s="14">
        <v>45808</v>
      </c>
      <c r="AA5" s="16" t="s">
        <v>224</v>
      </c>
    </row>
    <row r="6" spans="1:27">
      <c r="B6" s="11" t="s">
        <v>163</v>
      </c>
      <c r="C6" s="11" t="s">
        <v>192</v>
      </c>
      <c r="D6" s="2">
        <v>17.04</v>
      </c>
      <c r="E6" s="12" t="s">
        <v>136</v>
      </c>
      <c r="F6" s="15">
        <v>0.17087829866353843</v>
      </c>
      <c r="G6" s="15">
        <f>F6 - Portfolio_Mgmt!$C$10</f>
        <v>5.3478298663538426E-2</v>
      </c>
      <c r="H6" s="15">
        <f>F6 - Portfolio_Mgmt!$C$11</f>
        <v>0.13637829866353843</v>
      </c>
      <c r="I6" s="15">
        <v>0</v>
      </c>
      <c r="J6" s="2">
        <v>11.240618913513531</v>
      </c>
      <c r="K6" s="2">
        <v>25.650527160844618</v>
      </c>
      <c r="L6" s="74">
        <v>21.897667022444615</v>
      </c>
      <c r="M6" s="2">
        <v>14.071344774717907</v>
      </c>
      <c r="N6" s="2">
        <v>19.544956560200511</v>
      </c>
      <c r="O6" s="4">
        <v>6.0155061459919223E-2</v>
      </c>
      <c r="P6" s="4">
        <v>2.8208544635977759E-2</v>
      </c>
      <c r="Q6" s="4">
        <v>0.12359633865447396</v>
      </c>
      <c r="R6" s="4">
        <v>0.12331874298601386</v>
      </c>
      <c r="S6" s="82">
        <v>0.73266920679685343</v>
      </c>
      <c r="T6" s="81">
        <v>1.3679448142367923</v>
      </c>
      <c r="U6" s="15">
        <v>7.4171010848313429E-2</v>
      </c>
      <c r="V6" s="79">
        <v>0.60402076709908736</v>
      </c>
      <c r="W6" s="74">
        <v>4.6161543428682936</v>
      </c>
      <c r="X6" s="13" t="s">
        <v>181</v>
      </c>
      <c r="Y6" s="11" t="s">
        <v>137</v>
      </c>
      <c r="Z6" s="14">
        <v>45900</v>
      </c>
      <c r="AA6" s="16" t="s">
        <v>224</v>
      </c>
    </row>
    <row r="7" spans="1:27">
      <c r="B7" s="11" t="s">
        <v>199</v>
      </c>
      <c r="C7" s="11" t="s">
        <v>200</v>
      </c>
      <c r="D7" s="2">
        <v>2.29</v>
      </c>
      <c r="E7" s="12" t="s">
        <v>136</v>
      </c>
      <c r="F7" s="15">
        <v>0.16358294719832434</v>
      </c>
      <c r="G7" s="15">
        <f>F7 - Portfolio_Mgmt!$C$10</f>
        <v>4.6182947198324331E-2</v>
      </c>
      <c r="H7" s="15">
        <f>F7 - Portfolio_Mgmt!$C$11</f>
        <v>0.12908294719832433</v>
      </c>
      <c r="I7" s="15">
        <v>0</v>
      </c>
      <c r="J7" s="2">
        <v>1.4902708930487969</v>
      </c>
      <c r="K7" s="2">
        <v>3.2911002484849341</v>
      </c>
      <c r="L7" s="74">
        <v>2.8832532469221048</v>
      </c>
      <c r="M7" s="2">
        <v>1.8607233272242862</v>
      </c>
      <c r="N7" s="2">
        <v>2.5760645888896545</v>
      </c>
      <c r="O7" s="4">
        <v>5.9033569275475664E-2</v>
      </c>
      <c r="P7" s="4">
        <v>3.9301310043668124E-2</v>
      </c>
      <c r="Q7" s="4">
        <v>4.7832973362251327E-2</v>
      </c>
      <c r="R7" s="4">
        <v>7.8104812973574481E-2</v>
      </c>
      <c r="S7" s="82">
        <v>0.49619793491400876</v>
      </c>
      <c r="T7" s="81">
        <v>1.2342258232843137</v>
      </c>
      <c r="U7" s="15">
        <v>0.10863424600069688</v>
      </c>
      <c r="V7" s="79">
        <v>2.2824569622635926</v>
      </c>
      <c r="W7" s="74">
        <v>1.8498298022247399</v>
      </c>
      <c r="X7" s="13" t="s">
        <v>201</v>
      </c>
      <c r="Y7" s="11" t="s">
        <v>137</v>
      </c>
      <c r="Z7" s="14">
        <v>45900</v>
      </c>
      <c r="AA7" s="16" t="s">
        <v>224</v>
      </c>
    </row>
    <row r="8" spans="1:27">
      <c r="B8" s="11" t="s">
        <v>179</v>
      </c>
      <c r="C8" s="11" t="s">
        <v>180</v>
      </c>
      <c r="D8" s="2">
        <v>56.25</v>
      </c>
      <c r="E8" s="12" t="s">
        <v>136</v>
      </c>
      <c r="F8" s="15">
        <v>0.1615270012226675</v>
      </c>
      <c r="G8" s="15">
        <f>F8 - Portfolio_Mgmt!$C$10</f>
        <v>4.4127001222667495E-2</v>
      </c>
      <c r="H8" s="15">
        <f>F8 - Portfolio_Mgmt!$C$11</f>
        <v>0.1270270012226675</v>
      </c>
      <c r="I8" s="15">
        <v>0</v>
      </c>
      <c r="J8" s="2">
        <v>37.199299353774919</v>
      </c>
      <c r="K8" s="2">
        <v>70.236214597543963</v>
      </c>
      <c r="L8" s="74">
        <v>69.805213616949615</v>
      </c>
      <c r="M8" s="2">
        <v>45.920006833942509</v>
      </c>
      <c r="N8" s="2">
        <v>62.6515896752841</v>
      </c>
      <c r="O8" s="4">
        <v>9.4543550569002224E-2</v>
      </c>
      <c r="P8" s="4">
        <v>9.0701866666666672E-2</v>
      </c>
      <c r="Q8" s="4">
        <v>0.32755394896836565</v>
      </c>
      <c r="R8" s="4">
        <v>8.9976704126159421E-2</v>
      </c>
      <c r="S8" s="82">
        <v>1.5891874956485419</v>
      </c>
      <c r="T8" s="81">
        <v>2.2907496012759174</v>
      </c>
      <c r="U8" s="15">
        <v>0.24768740031897937</v>
      </c>
      <c r="V8" s="79">
        <v>0.73855199466278643</v>
      </c>
      <c r="W8" s="74">
        <v>-2.6745548292799097</v>
      </c>
      <c r="X8" s="13" t="s">
        <v>184</v>
      </c>
      <c r="Y8" s="11" t="s">
        <v>137</v>
      </c>
      <c r="Z8" s="14">
        <v>45808</v>
      </c>
      <c r="AA8" s="16" t="s">
        <v>224</v>
      </c>
    </row>
    <row r="9" spans="1:27">
      <c r="B9" s="11" t="s">
        <v>182</v>
      </c>
      <c r="C9" s="11" t="s">
        <v>183</v>
      </c>
      <c r="D9" s="2">
        <v>52.3</v>
      </c>
      <c r="E9" s="12" t="s">
        <v>136</v>
      </c>
      <c r="F9" s="15">
        <v>0.14917250888109912</v>
      </c>
      <c r="G9" s="15">
        <f>F9 - Portfolio_Mgmt!$C$10</f>
        <v>3.1772508881099115E-2</v>
      </c>
      <c r="H9" s="15">
        <f>F9 - Portfolio_Mgmt!$C$11</f>
        <v>0.11467250888109912</v>
      </c>
      <c r="I9" s="15">
        <v>0</v>
      </c>
      <c r="J9" s="2">
        <v>32.775862951574105</v>
      </c>
      <c r="K9" s="2">
        <v>73.09586709832881</v>
      </c>
      <c r="L9" s="74">
        <v>63.541768502908376</v>
      </c>
      <c r="M9" s="2">
        <v>40.954845771040688</v>
      </c>
      <c r="N9" s="2">
        <v>56.75488349103118</v>
      </c>
      <c r="O9" s="4">
        <v>4.4173420466099643E-2</v>
      </c>
      <c r="P9" s="4">
        <v>3.4575136122546653E-2</v>
      </c>
      <c r="Q9" s="4">
        <v>0.13507515085276026</v>
      </c>
      <c r="R9" s="4">
        <v>0.12563496888819967</v>
      </c>
      <c r="S9" s="82">
        <v>0.62432788948992113</v>
      </c>
      <c r="T9" s="81">
        <v>1.7220755031358876</v>
      </c>
      <c r="U9" s="15">
        <v>9.5579625064196368E-3</v>
      </c>
      <c r="V9" s="79">
        <v>7.3592411949940734E-2</v>
      </c>
      <c r="W9" s="74">
        <v>1.3609308794395658</v>
      </c>
      <c r="X9" s="13" t="s">
        <v>181</v>
      </c>
      <c r="Y9" s="11" t="s">
        <v>137</v>
      </c>
      <c r="Z9" s="14">
        <v>45900</v>
      </c>
      <c r="AA9" s="16" t="s">
        <v>225</v>
      </c>
    </row>
    <row r="10" spans="1:27">
      <c r="B10" s="11" t="s">
        <v>205</v>
      </c>
      <c r="C10" s="11" t="s">
        <v>216</v>
      </c>
      <c r="D10" s="2">
        <v>23.58</v>
      </c>
      <c r="E10" s="12" t="s">
        <v>206</v>
      </c>
      <c r="F10" s="15">
        <v>0.13695080181845909</v>
      </c>
      <c r="G10" s="15">
        <f>F10 - Portfolio_Mgmt!$C$10</f>
        <v>1.9550801818459085E-2</v>
      </c>
      <c r="H10" s="15">
        <f>F10 - Portfolio_Mgmt!$C$11</f>
        <v>0.10245080181845909</v>
      </c>
      <c r="I10" s="15">
        <v>0</v>
      </c>
      <c r="J10" s="2">
        <v>14.210808951982788</v>
      </c>
      <c r="K10" s="2">
        <v>33.230161875234657</v>
      </c>
      <c r="L10" s="74">
        <v>27.829540483416785</v>
      </c>
      <c r="M10" s="2">
        <v>17.824937920120146</v>
      </c>
      <c r="N10" s="2">
        <v>24.820548736528732</v>
      </c>
      <c r="O10" s="4">
        <v>0.19334018436548747</v>
      </c>
      <c r="P10" s="4">
        <v>1.7621713316369806E-2</v>
      </c>
      <c r="Q10" s="4">
        <v>0.18752610102828118</v>
      </c>
      <c r="R10" s="4">
        <v>0.23497655430253014</v>
      </c>
      <c r="S10" s="82">
        <v>0.32112750263435197</v>
      </c>
      <c r="T10" s="81">
        <v>2.4851905363915479</v>
      </c>
      <c r="U10" s="15">
        <v>0.95241105291674188</v>
      </c>
      <c r="V10" s="79">
        <v>4.0148803043206254</v>
      </c>
      <c r="W10" s="74">
        <v>-38.360607814419353</v>
      </c>
      <c r="X10" s="16" t="s">
        <v>207</v>
      </c>
      <c r="Y10" s="11" t="s">
        <v>137</v>
      </c>
      <c r="Z10" s="14">
        <v>45900</v>
      </c>
      <c r="AA10" s="16" t="s">
        <v>225</v>
      </c>
    </row>
    <row r="11" spans="1:27">
      <c r="B11" s="11" t="s">
        <v>208</v>
      </c>
      <c r="C11" s="11" t="s">
        <v>217</v>
      </c>
      <c r="D11" s="2">
        <v>28.68</v>
      </c>
      <c r="E11" s="12" t="s">
        <v>206</v>
      </c>
      <c r="F11" s="15">
        <v>0.11635040027483878</v>
      </c>
      <c r="G11" s="15">
        <f>F11 - Portfolio_Mgmt!$C$10</f>
        <v>-1.049599725161221E-3</v>
      </c>
      <c r="H11" s="15">
        <f>F11 - Portfolio_Mgmt!$C$11</f>
        <v>8.185040027483878E-2</v>
      </c>
      <c r="I11" s="15">
        <v>0</v>
      </c>
      <c r="J11" s="2">
        <v>16.586017104127016</v>
      </c>
      <c r="K11" s="2">
        <v>36.134621832566509</v>
      </c>
      <c r="L11" s="74">
        <v>31.999534598013469</v>
      </c>
      <c r="M11" s="2">
        <v>20.68716637827405</v>
      </c>
      <c r="N11" s="2">
        <v>28.601981247202922</v>
      </c>
      <c r="O11" s="4">
        <v>8.8534428430369516E-2</v>
      </c>
      <c r="P11" s="4">
        <v>3.9051603905160388E-2</v>
      </c>
      <c r="Q11" s="4">
        <v>8.3350635997632802E-2</v>
      </c>
      <c r="R11" s="4">
        <v>0.15660042549334799</v>
      </c>
      <c r="S11" s="82">
        <v>0.29736257886212014</v>
      </c>
      <c r="T11" s="81">
        <v>1.7899036999493159</v>
      </c>
      <c r="U11" s="15">
        <v>0.40281804358844397</v>
      </c>
      <c r="V11" s="79">
        <v>3.955391512509995</v>
      </c>
      <c r="W11" s="74">
        <v>-26.938493611476797</v>
      </c>
      <c r="X11" s="13" t="s">
        <v>209</v>
      </c>
      <c r="Y11" s="11" t="s">
        <v>137</v>
      </c>
      <c r="Z11" s="14">
        <v>45900</v>
      </c>
      <c r="AA11" s="16" t="s">
        <v>225</v>
      </c>
    </row>
    <row r="12" spans="1:27">
      <c r="B12" s="11" t="s">
        <v>185</v>
      </c>
      <c r="C12" s="11" t="s">
        <v>186</v>
      </c>
      <c r="D12" s="2">
        <v>7.45</v>
      </c>
      <c r="E12" s="12" t="s">
        <v>136</v>
      </c>
      <c r="F12" s="15">
        <v>0.11226025496843817</v>
      </c>
      <c r="G12" s="15">
        <f>F12 - Portfolio_Mgmt!$C$10</f>
        <v>-5.1397450315618376E-3</v>
      </c>
      <c r="H12" s="15">
        <f>F12 - Portfolio_Mgmt!$C$11</f>
        <v>7.7760254968438164E-2</v>
      </c>
      <c r="I12" s="15">
        <v>0</v>
      </c>
      <c r="J12" s="2">
        <v>4.2995927371918361</v>
      </c>
      <c r="K12" s="2">
        <v>8.9190171343237843</v>
      </c>
      <c r="L12" s="74">
        <v>8.2138046769559683</v>
      </c>
      <c r="M12" s="2">
        <v>5.3429361046515051</v>
      </c>
      <c r="N12" s="2">
        <v>7.3524004063524888</v>
      </c>
      <c r="O12" s="4">
        <v>0.10594091025838526</v>
      </c>
      <c r="P12" s="4">
        <v>5.3388665686387927E-2</v>
      </c>
      <c r="Q12" s="4">
        <v>0.12477871842229639</v>
      </c>
      <c r="R12" s="4">
        <v>7.7304831872868032E-2</v>
      </c>
      <c r="S12" s="82">
        <v>1.0025080757150273</v>
      </c>
      <c r="T12" s="81">
        <v>1.6100746083165727</v>
      </c>
      <c r="U12" s="15">
        <v>0.16360901428944893</v>
      </c>
      <c r="V12" s="79">
        <v>1.1309485990394448</v>
      </c>
      <c r="W12" s="74">
        <v>-3.8852282065455994</v>
      </c>
      <c r="X12" s="13" t="s">
        <v>162</v>
      </c>
      <c r="Y12" s="11" t="s">
        <v>137</v>
      </c>
      <c r="Z12" s="14">
        <v>45900</v>
      </c>
      <c r="AA12" s="16" t="s">
        <v>224</v>
      </c>
    </row>
    <row r="13" spans="1:27">
      <c r="B13" s="11" t="s">
        <v>227</v>
      </c>
      <c r="C13" s="11" t="s">
        <v>228</v>
      </c>
      <c r="D13" s="2">
        <v>6.3</v>
      </c>
      <c r="E13" s="12" t="s">
        <v>136</v>
      </c>
      <c r="F13" s="15">
        <v>0.10779685778901893</v>
      </c>
      <c r="G13" s="15">
        <f>F13 - Portfolio_Mgmt!$C$10</f>
        <v>-9.6031422109810749E-3</v>
      </c>
      <c r="H13" s="15">
        <f>F13 - Portfolio_Mgmt!$C$11</f>
        <v>7.3296857789018927E-2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5.8635259419759535E-2</v>
      </c>
      <c r="P13" s="4">
        <v>5.7142857142857141E-2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16.34</v>
      </c>
      <c r="E14" s="12" t="s">
        <v>136</v>
      </c>
      <c r="F14" s="15">
        <v>9.3721491062070061E-2</v>
      </c>
      <c r="G14" s="15">
        <f>F14 - Portfolio_Mgmt!$C$10</f>
        <v>-2.3678508937929943E-2</v>
      </c>
      <c r="H14" s="15">
        <f>F14 - Portfolio_Mgmt!$C$11</f>
        <v>5.9221491062070059E-2</v>
      </c>
      <c r="I14" s="15">
        <v>0</v>
      </c>
      <c r="J14" s="2">
        <v>8.9914145544808104</v>
      </c>
      <c r="K14" s="2">
        <v>18.604817060680727</v>
      </c>
      <c r="L14" s="2">
        <v>17.168397945644617</v>
      </c>
      <c r="M14" s="2">
        <v>11.171210299228532</v>
      </c>
      <c r="N14" s="2">
        <v>15.369030266969057</v>
      </c>
      <c r="O14" s="4">
        <v>9.505063245826563E-2</v>
      </c>
      <c r="P14" s="4">
        <v>5.1591436964504279E-2</v>
      </c>
      <c r="Q14" s="4">
        <v>0.26418100147106144</v>
      </c>
      <c r="R14" s="4">
        <v>0.1137378496552388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-12.276873947278984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138</v>
      </c>
      <c r="C15" s="11" t="s">
        <v>176</v>
      </c>
      <c r="D15" s="2">
        <v>8.94</v>
      </c>
      <c r="E15" s="12" t="s">
        <v>136</v>
      </c>
      <c r="F15" s="15">
        <v>7.9498698564755443E-2</v>
      </c>
      <c r="G15" s="15">
        <f>F15 - Portfolio_Mgmt!$C$10</f>
        <v>-3.7901301435244561E-2</v>
      </c>
      <c r="H15" s="15">
        <f>F15 - Portfolio_Mgmt!$C$11</f>
        <v>4.499869856475544E-2</v>
      </c>
      <c r="I15" s="15">
        <v>0</v>
      </c>
      <c r="J15" s="2">
        <v>4.7895979519113672</v>
      </c>
      <c r="K15" s="2">
        <v>9.3641570609339322</v>
      </c>
      <c r="L15" s="2">
        <v>9.0460821298724845</v>
      </c>
      <c r="M15" s="2">
        <v>5.9266084151981735</v>
      </c>
      <c r="N15" s="2">
        <v>8.1111667082917602</v>
      </c>
      <c r="O15" s="4">
        <v>3.455239060204307E-2</v>
      </c>
      <c r="P15" s="4">
        <v>6.4876957494407153E-2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21.2</v>
      </c>
      <c r="E16" s="12" t="s">
        <v>136</v>
      </c>
      <c r="F16" s="15">
        <v>7.5371389103719322E-2</v>
      </c>
      <c r="G16" s="15">
        <f>F16 - Portfolio_Mgmt!$C$10</f>
        <v>-4.2028610896280683E-2</v>
      </c>
      <c r="H16" s="15">
        <f>F16 - Portfolio_Mgmt!$C$11</f>
        <v>4.0871389103719319E-2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8.150877449856743E-2</v>
      </c>
      <c r="P16" s="4">
        <v>6.4150943396226429E-2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2.74</v>
      </c>
      <c r="E17" s="12" t="s">
        <v>136</v>
      </c>
      <c r="F17" s="15">
        <v>5.2326824999800792E-2</v>
      </c>
      <c r="G17" s="15">
        <f>F17 - Portfolio_Mgmt!$C$10</f>
        <v>-6.5073175000199213E-2</v>
      </c>
      <c r="H17" s="15">
        <f>F17 - Portfolio_Mgmt!$C$11</f>
        <v>1.7826824999800789E-2</v>
      </c>
      <c r="I17" s="15">
        <v>0</v>
      </c>
      <c r="J17" s="2">
        <v>1.3436445981048724</v>
      </c>
      <c r="K17" s="2">
        <v>2.8409727605065473</v>
      </c>
      <c r="L17" s="2">
        <v>2.5766196768879133</v>
      </c>
      <c r="M17" s="2">
        <v>1.6720684279434701</v>
      </c>
      <c r="N17" s="2">
        <v>2.3051071814300617</v>
      </c>
      <c r="O17" s="4">
        <v>3.0775762983351208E-2</v>
      </c>
      <c r="P17" s="4">
        <v>4.066395958554913E-2</v>
      </c>
      <c r="Q17" s="4">
        <v>4.3342265901967096E-2</v>
      </c>
      <c r="R17" s="4">
        <v>8.4126215385671582E-2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1.9147498577757633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2.36</v>
      </c>
      <c r="E18" s="12" t="s">
        <v>136</v>
      </c>
      <c r="F18" s="15">
        <v>-3.6164849060779325E-2</v>
      </c>
      <c r="G18" s="15">
        <f>F18 - Portfolio_Mgmt!$C$10</f>
        <v>-0.15356484906077933</v>
      </c>
      <c r="H18" s="15">
        <f>F18 - Portfolio_Mgmt!$C$11</f>
        <v>-7.0664849060779328E-2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4.0625662053122525E-3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4.4299999999999999E-2</v>
      </c>
      <c r="D4" s="34">
        <v>7.4999999999999997E-2</v>
      </c>
      <c r="E4" s="35">
        <f>D4-C4</f>
        <v>3.0699999999999998E-2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0.4227605762525804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7.45</v>
      </c>
      <c r="D4" s="62" t="str">
        <f>VLOOKUP(B4,Opportunities!B$3:E$30,4,FALSE)</f>
        <v>HKD</v>
      </c>
      <c r="E4" s="59">
        <v>10000</v>
      </c>
      <c r="F4" s="64">
        <f>E4*C4</f>
        <v>74500</v>
      </c>
      <c r="G4" s="61">
        <f>F4/$F$10</f>
        <v>7.6807174619008323E-2</v>
      </c>
      <c r="H4" s="61">
        <f>VLOOKUP(B4,Opportunities!B$3:I$30,8,FALSE)</f>
        <v>0</v>
      </c>
      <c r="I4" s="84">
        <f>VLOOKUP(B4,Opportunities!B$3:N$30,12,FALSE)</f>
        <v>5.3429361046515051</v>
      </c>
      <c r="J4" s="84">
        <f>VLOOKUP(B4,Opportunities!B$3:N$30,9,FALSE)</f>
        <v>4.2995927371918361</v>
      </c>
      <c r="K4" s="84">
        <f>VLOOKUP(B4,Opportunities!B$3:N$30,11,FALSE)</f>
        <v>8.2138046769559683</v>
      </c>
      <c r="L4" s="84">
        <f>VLOOKUP(B4,Opportunities!B$3:N$30,13,FALSE)</f>
        <v>7.3524004063524888</v>
      </c>
    </row>
    <row r="5" spans="1:12">
      <c r="B5" s="66" t="s">
        <v>163</v>
      </c>
      <c r="C5" s="63">
        <f>VLOOKUP(B5,Opportunities!B$3:E$30,3,FALSE)</f>
        <v>17.04</v>
      </c>
      <c r="D5" s="62" t="str">
        <f>VLOOKUP(B5,Opportunities!B$3:E$30,4,FALSE)</f>
        <v>HKD</v>
      </c>
      <c r="E5" s="59">
        <v>9000</v>
      </c>
      <c r="F5" s="64">
        <f>C5*E5</f>
        <v>153360</v>
      </c>
      <c r="G5" s="61">
        <f>F5/$F$10</f>
        <v>0.1581093731486056</v>
      </c>
      <c r="H5" s="61">
        <f>VLOOKUP(B5,Opportunities!B$3:I$30,8,FALSE)</f>
        <v>0</v>
      </c>
      <c r="I5" s="84">
        <f>VLOOKUP(B5,Opportunities!B$3:N$30,12,FALSE)</f>
        <v>14.071344774717907</v>
      </c>
      <c r="J5" s="84">
        <f>VLOOKUP(B5,Opportunities!B$3:N$30,9,FALSE)</f>
        <v>11.240618913513531</v>
      </c>
      <c r="K5" s="84">
        <f>VLOOKUP(B5,Opportunities!B$3:N$30,11,FALSE)</f>
        <v>21.897667022444615</v>
      </c>
      <c r="L5" s="84">
        <f>VLOOKUP(B5,Opportunities!B$3:N$30,13,FALSE)</f>
        <v>19.544956560200511</v>
      </c>
    </row>
    <row r="6" spans="1:12">
      <c r="B6" s="66" t="s">
        <v>210</v>
      </c>
      <c r="C6" s="63">
        <f>VLOOKUP(B6,Opportunities!B$3:E$30,3,FALSE)</f>
        <v>19.079999999999998</v>
      </c>
      <c r="D6" s="62" t="str">
        <f>VLOOKUP(B6,Opportunities!B$3:E$30,4,FALSE)</f>
        <v>HKD</v>
      </c>
      <c r="E6" s="59">
        <v>8000</v>
      </c>
      <c r="F6" s="64">
        <f>C6*E6</f>
        <v>152640</v>
      </c>
      <c r="G6" s="61">
        <f>F6/$F$10</f>
        <v>0.15736707562208632</v>
      </c>
      <c r="H6" s="61">
        <f>VLOOKUP(B6,Opportunities!B$3:I$30,8,FALSE)</f>
        <v>0</v>
      </c>
      <c r="I6" s="84">
        <f>VLOOKUP(B6,Opportunities!B$3:N$30,12,FALSE)</f>
        <v>17.033870690512256</v>
      </c>
      <c r="J6" s="84">
        <f>VLOOKUP(B6,Opportunities!B$3:N$30,9,FALSE)</f>
        <v>13.706397883414823</v>
      </c>
      <c r="K6" s="84">
        <f>VLOOKUP(B6,Opportunities!B$3:N$30,11,FALSE)</f>
        <v>26.190290619870353</v>
      </c>
      <c r="L6" s="84">
        <f>VLOOKUP(B6,Opportunities!B$3:N$30,13,FALSE)</f>
        <v>23.442843471626301</v>
      </c>
    </row>
    <row r="7" spans="1:12">
      <c r="B7" s="66" t="s">
        <v>227</v>
      </c>
      <c r="C7" s="63">
        <f>VLOOKUP(B7,Opportunities!B$3:E$30,3,FALSE)</f>
        <v>6.3</v>
      </c>
      <c r="D7" s="62" t="str">
        <f>VLOOKUP(B7,Opportunities!B$3:E$30,4,FALSE)</f>
        <v>HKD</v>
      </c>
      <c r="E7" s="59">
        <v>10000</v>
      </c>
      <c r="F7" s="64">
        <f>C7*E7</f>
        <v>63000</v>
      </c>
      <c r="G7" s="61">
        <f t="shared" ref="G7" si="0">F7/$F$10</f>
        <v>6.4951033570436564E-2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2.91</v>
      </c>
      <c r="D8" s="62" t="str">
        <f>VLOOKUP(B8,Opportunities!B$3:E$30,4,FALSE)</f>
        <v>HKD</v>
      </c>
      <c r="E8" s="59">
        <v>40000</v>
      </c>
      <c r="F8" s="64">
        <f>C8*E8</f>
        <v>116400</v>
      </c>
      <c r="G8" s="61">
        <f t="shared" ref="G8" si="1">F8/$F$10</f>
        <v>0.12000476678728281</v>
      </c>
      <c r="H8" s="61">
        <f>VLOOKUP(B8,Opportunities!B$3:I$30,8,FALSE)</f>
        <v>0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969961.47</v>
      </c>
      <c r="G10" s="70">
        <f>SUM(G3:G8)</f>
        <v>0.99999999999999989</v>
      </c>
      <c r="H10" s="76">
        <f>SUM(H3:H8)</f>
        <v>0.45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2.91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7.45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5.3429361046515051</v>
      </c>
      <c r="J14" s="84">
        <f>VLOOKUP(B14,Opportunities!B$3:N$30,9,FALSE)</f>
        <v>4.2995927371918361</v>
      </c>
      <c r="K14" s="84">
        <f>VLOOKUP(B14,Opportunities!B$3:N$30,11,FALSE)</f>
        <v>8.2138046769559683</v>
      </c>
      <c r="L14" s="84">
        <f>VLOOKUP(B14,Opportunities!B$3:N$30,13,FALSE)</f>
        <v>7.3524004063524888</v>
      </c>
    </row>
    <row r="15" spans="1:12">
      <c r="B15" s="66" t="s">
        <v>227</v>
      </c>
      <c r="C15" s="63">
        <f>VLOOKUP(B15,Opportunities!B$3:E$30,3,FALSE)</f>
        <v>6.3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19.079999999999998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17.033870690512256</v>
      </c>
      <c r="J16" s="84">
        <f>VLOOKUP(B16,Opportunities!B$3:N$30,9,FALSE)</f>
        <v>13.706397883414823</v>
      </c>
      <c r="K16" s="84">
        <f>VLOOKUP(B16,Opportunities!B$3:N$30,11,FALSE)</f>
        <v>26.190290619870353</v>
      </c>
      <c r="L16" s="84">
        <f>VLOOKUP(B16,Opportunities!B$3:N$30,13,FALSE)</f>
        <v>23.442843471626301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0.4227605762525804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237</v>
      </c>
      <c r="C20" s="58"/>
      <c r="D20" s="55"/>
      <c r="E20" s="59"/>
      <c r="F20" s="59"/>
    </row>
    <row r="21" spans="1:12" ht="13.15">
      <c r="C21" s="87" t="s">
        <v>238</v>
      </c>
      <c r="D21" s="87" t="s">
        <v>241</v>
      </c>
      <c r="E21" s="87" t="s">
        <v>242</v>
      </c>
    </row>
    <row r="22" spans="1:12" ht="14.25">
      <c r="B22" s="86" t="s">
        <v>239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240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243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2025-07-27T01:05:57Z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