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696A1C0B-F7D0-458B-836F-9E56ED77BE54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<sst xmlns="http://schemas.openxmlformats.org/spreadsheetml/2006/main" count="507" uniqueCount="398">
  <si>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</si>
  <si>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</si>
  <si>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</si>
  <si>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</si>
  <si>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</si>
  <si>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</si>
  <si>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</si>
  <si>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</si>
  <si>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</si>
  <si>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</si>
  <si>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</si>
  <si>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</si>
  <si>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</si>
  <si>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</si>
  <si>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</si>
  <si>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</si>
  <si>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</si>
  <si>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</si>
  <si>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</si>
  <si>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</si>
  <si>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</si>
  <si>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</si>
  <si>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</si>
  <si>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</si>
  <si>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</si>
  <si>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</si>
  <si>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</si>
  <si>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</si>
  <si>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</si>
  <si>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</si>
  <si>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</si>
  <si>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</si>
  <si>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</si>
  <si>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</si>
  <si>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</si>
  <si>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</si>
  <si>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</si>
  <si>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</si>
  <si>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</si>
  <si>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</si>
  <si>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</si>
  <si>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</si>
  <si>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</si>
  <si>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</si>
  <si>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</si>
  <si>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</si>
  <si>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</si>
  <si>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</si>
  <si>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</si>
  <si>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</si>
  <si>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</si>
  <si>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</si>
  <si>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</si>
  <si>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</si>
  <si>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</si>
  <si>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</si>
  <si>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</si>
  <si>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</si>
  <si>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</si>
  <si>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</si>
  <si>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</si>
  <si>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</si>
  <si>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</si>
  <si>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</si>
  <si>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</si>
  <si>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</si>
  <si>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</si>
  <si>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</si>
  <si>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</si>
  <si>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</si>
  <si>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</si>
  <si>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</si>
  <si>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</si>
  <si>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</si>
  <si>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</si>
  <si>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</si>
  <si>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</si>
  <si>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</si>
  <si>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</si>
  <si>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</si>
  <si>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</si>
  <si>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</si>
  <si>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</si>
  <si>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</si>
  <si>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</si>
  <si>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</si>
  <si>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</si>
  <si>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</si>
  <si>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</si>
  <si>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</si>
  <si>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</si>
  <si>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</si>
  <si>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</si>
  <si>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</si>
  <si>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</si>
  <si>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</si>
  <si>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</si>
  <si>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</si>
  <si>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</si>
  <si>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</si>
  <si>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</si>
  <si>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</si>
  <si>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</si>
  <si>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</si>
  <si>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</si>
  <si>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</si>
  <si>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</si>
  <si>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</si>
  <si>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</si>
  <si>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</si>
  <si>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</si>
  <si>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</si>
  <si>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</si>
  <si>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</si>
  <si>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</si>
  <si>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</si>
  <si>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</si>
  <si>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</si>
  <si>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</si>
  <si>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</si>
  <si>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</si>
  <si>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</si>
  <si>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</si>
  <si>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</si>
  <si>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</si>
  <si>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</si>
  <si>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</si>
  <si>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</si>
  <si>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</si>
  <si>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</si>
  <si>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</si>
  <si>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</si>
  <si>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</si>
  <si>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</si>
  <si>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</si>
  <si>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</si>
  <si>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</si>
  <si>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</si>
  <si>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</si>
  <si>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</si>
  <si>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</si>
  <si>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</si>
  <si>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</si>
  <si>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</si>
  <si>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</si>
  <si>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</si>
  <si>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</si>
  <si>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</si>
  <si>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</si>
  <si>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</si>
  <si>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</si>
  <si>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</si>
  <si>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</si>
  <si>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</si>
  <si>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</si>
  <si>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</si>
  <si>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</si>
  <si>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</si>
  <si>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</si>
  <si>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</si>
  <si>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</si>
  <si>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</si>
  <si>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</si>
  <si>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</si>
  <si>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</si>
  <si>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</si>
  <si>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</si>
  <si>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</si>
  <si>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</si>
  <si>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</si>
  <si>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</si>
  <si>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</si>
  <si>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</si>
  <si>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</si>
  <si>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</si>
  <si>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</si>
  <si>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</si>
  <si>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</si>
  <si>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</si>
  <si>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</si>
  <si>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</si>
  <si>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</si>
  <si>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</si>
  <si>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</si>
  <si>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</si>
  <si>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</si>
  <si>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</si>
  <si>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</si>
  <si>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</si>
  <si>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</si>
  <si>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</si>
  <si>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</si>
  <si>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</si>
  <si>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</si>
  <si>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</si>
  <si>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</si>
  <si>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</si>
  <si>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</si>
  <si>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</si>
  <si>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</si>
  <si>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</si>
  <si>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</si>
  <si>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</si>
  <si>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</si>
  <si>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</si>
  <si>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</si>
  <si>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</si>
  <si>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</si>
  <si>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</si>
  <si>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</si>
  <si>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</si>
  <si>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</si>
  <si>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</si>
  <si>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</si>
  <si>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</si>
  <si>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</si>
  <si>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</si>
  <si>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</si>
  <si>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</si>
  <si>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</si>
  <si>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</si>
  <si>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</si>
  <si>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</si>
  <si>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</si>
  <si>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</si>
  <si>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</si>
  <si>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</si>
  <si>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</si>
  <si>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</si>
  <si>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</si>
  <si>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</si>
  <si>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</si>
  <si>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</si>
  <si>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</si>
  <si>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</si>
  <si>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</si>
  <si>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</si>
  <si>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</si>
  <si>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</si>
  <si>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</si>
  <si>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</si>
  <si>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</si>
  <si>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</si>
  <si>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</si>
  <si>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</si>
  <si>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</si>
  <si>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</si>
  <si>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</si>
  <si>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</si>
  <si>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</si>
  <si>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</si>
  <si>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</si>
  <si>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</si>
  <si>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</si>
  <si>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</si>
  <si>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</si>
  <si>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</si>
  <si>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</si>
  <si>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</si>
  <si>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</si>
  <si>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</si>
  <si>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</si>
  <si>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</si>
  <si>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</si>
  <si>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</si>
  <si>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</si>
  <si>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</si>
  <si>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</si>
  <si>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</si>
  <si>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</si>
  <si>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</si>
  <si>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</si>
  <si>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</si>
  <si>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</si>
  <si>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</si>
  <si>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</si>
  <si>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</si>
  <si>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</si>
  <si>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</si>
  <si>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</si>
  <si>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</si>
  <si>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</si>
  <si>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</si>
  <si>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</si>
  <si>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</si>
  <si>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</si>
  <si>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</si>
  <si>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</si>
  <si>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</si>
  <si>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</si>
  <si>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</si>
  <si>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</si>
  <si>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</si>
  <si>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</si>
  <si>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</si>
  <si>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</si>
  <si>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</si>
  <si>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</si>
  <si>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</si>
  <si>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</si>
  <si>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</si>
  <si>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</si>
  <si>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</si>
  <si>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</si>
  <si>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</si>
  <si>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</si>
  <si>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</si>
  <si>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</si>
  <si>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</si>
  <si>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</si>
  <si>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</si>
  <si>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</si>
  <si>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</si>
  <si>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</si>
  <si>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</si>
  <si>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</si>
  <si>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</si>
  <si>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</si>
  <si>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</si>
  <si>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</si>
  <si>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</si>
  <si>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</si>
  <si>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</si>
  <si>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</si>
  <si>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</si>
  <si>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</si>
  <si>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</si>
  <si>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</si>
  <si>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</si>
  <si>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</si>
  <si>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</si>
  <si>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</si>
  <si>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</si>
  <si>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</si>
  <si>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</si>
  <si>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</si>
  <si>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</si>
  <si>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</si>
  <si>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</si>
  <si>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</si>
  <si>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</si>
  <si>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</si>
  <si>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</si>
  <si>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</si>
  <si>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</si>
  <si>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</si>
  <si>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</si>
  <si>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</si>
  <si>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</si>
  <si>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</si>
  <si>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</si>
  <si>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</si>
  <si>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</si>
  <si>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</si>
  <si>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</si>
  <si>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</si>
  <si>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</si>
  <si>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</si>
  <si>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</si>
  <si>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</si>
  <si>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</si>
  <si>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</si>
  <si>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</si>
  <si>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</si>
  <si>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</si>
  <si>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</si>
  <si>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</si>
  <si>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</si>
  <si>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</si>
  <si>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</si>
  <si>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</si>
  <si>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</si>
  <si>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</si>
  <si>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</si>
  <si>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</si>
  <si>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</si>
  <si>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</si>
  <si>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</si>
  <si>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</si>
  <si>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</si>
  <si>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</si>
  <si>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</si>
  <si>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</si>
  <si>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</si>
  <si>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</si>
  <si>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</si>
  <si>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</si>
  <si>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</si>
  <si>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</si>
  <si>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</si>
  <si>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</si>
  <si>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</si>
  <si>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</si>
  <si>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</si>
  <si>
    <t>9961.HK</t>
  </si>
  <si>
    <t>携程集团</t>
  </si>
  <si>
    <t>1913.HK</t>
  </si>
  <si>
    <t>Prada S.p.A.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</si>
</sst>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4" sqref="D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373</v>
      </c>
      <c r="C3" s="11" t="s">
        <v>374</v>
      </c>
      <c r="D3" s="2">
        <v>36.58</v>
      </c>
      <c r="E3" s="12" t="s">
        <v>118</v>
      </c>
      <c r="F3" s="15">
        <v>0.28771195315421721</v>
      </c>
      <c r="G3" s="15">
        <v>0.14617790705770228</v>
      </c>
      <c r="H3" s="2">
        <v>35.555323258964883</v>
      </c>
      <c r="I3" s="2">
        <v>77.548465199945866</v>
      </c>
      <c r="J3" s="71">
        <v>63.231960001166449</v>
      </c>
      <c r="K3" s="2">
        <v>45.176704398116819</v>
      </c>
      <c r="L3" s="2">
        <v>55.92625803829123</v>
      </c>
      <c r="M3" s="4">
        <v>6.4485548866475562E-2</v>
      </c>
      <c r="N3" s="4">
        <v>3.8819026790595955E-3</v>
      </c>
      <c r="O3" s="4">
        <v>0.11150835231775919</v>
      </c>
      <c r="P3" s="4">
        <v>0.28146521974317368</v>
      </c>
      <c r="Q3" s="79">
        <v>0.32092624022161098</v>
      </c>
      <c r="R3" s="78">
        <v>1.2344611679711017</v>
      </c>
      <c r="S3" s="15">
        <v>3.8049367850692354E-3</v>
      </c>
      <c r="T3" s="76">
        <v>3.432051788351935E-2</v>
      </c>
      <c r="U3" s="71">
        <v>11.512559899149734</v>
      </c>
      <c r="V3" s="13" t="s">
        <v>359</v>
      </c>
      <c r="W3" s="11" t="s">
        <v>339</v>
      </c>
      <c r="X3" s="14">
        <v>46265</v>
      </c>
      <c r="Y3" s="16" t="s">
        <v>352</v>
      </c>
    </row>
    <row r="4" spans="1:25">
      <c r="B4" s="11" t="s">
        <v>338</v>
      </c>
      <c r="C4" s="11" t="s">
        <v>349</v>
      </c>
      <c r="D4" s="2">
        <v>10.47</v>
      </c>
      <c r="E4" s="12" t="s">
        <v>118</v>
      </c>
      <c r="F4" s="15">
        <v>0.26971220376257776</v>
      </c>
      <c r="G4" s="15">
        <v>0.13531395293893378</v>
      </c>
      <c r="H4" s="2">
        <v>9.7855345868932009</v>
      </c>
      <c r="I4" s="2">
        <v>19.032670791204364</v>
      </c>
      <c r="J4" s="71">
        <v>17.042599257132078</v>
      </c>
      <c r="K4" s="2">
        <v>12.316256165743265</v>
      </c>
      <c r="L4" s="2">
        <v>15.133052078500594</v>
      </c>
      <c r="M4" s="4">
        <v>9.8342371261318062E-2</v>
      </c>
      <c r="N4" s="4">
        <v>5.9033656160458456E-2</v>
      </c>
      <c r="O4" s="4">
        <v>0.10095851270348417</v>
      </c>
      <c r="P4" s="4">
        <v>0.12639872107181005</v>
      </c>
      <c r="Q4" s="79">
        <v>0.49405373744838704</v>
      </c>
      <c r="R4" s="78">
        <v>1.6166874809837415</v>
      </c>
      <c r="S4" s="15">
        <v>1.8343761526547521E-2</v>
      </c>
      <c r="T4" s="76">
        <v>0.18140013622570431</v>
      </c>
      <c r="U4" s="71">
        <v>1.7860430989201126</v>
      </c>
      <c r="V4" s="13" t="s">
        <v>350</v>
      </c>
      <c r="W4" s="11" t="s">
        <v>351</v>
      </c>
      <c r="X4" s="14">
        <v>46173</v>
      </c>
      <c r="Y4" s="16" t="s">
        <v>352</v>
      </c>
    </row>
    <row r="5" spans="1:25">
      <c r="B5" s="11" t="s">
        <v>360</v>
      </c>
      <c r="C5" s="11" t="s">
        <v>361</v>
      </c>
      <c r="D5" s="2">
        <v>65.349999999999994</v>
      </c>
      <c r="E5" s="12" t="s">
        <v>118</v>
      </c>
      <c r="F5" s="15">
        <v>0.26803588876547751</v>
      </c>
      <c r="G5" s="15">
        <v>8.9483522738198262E-2</v>
      </c>
      <c r="H5" s="2">
        <v>60.978291735106509</v>
      </c>
      <c r="I5" s="2">
        <v>108.51470294202903</v>
      </c>
      <c r="J5" s="71">
        <v>104.62823061444183</v>
      </c>
      <c r="K5" s="2">
        <v>76.236369758118656</v>
      </c>
      <c r="L5" s="2">
        <v>93.170484030851497</v>
      </c>
      <c r="M5" s="4">
        <v>0.13896322696826074</v>
      </c>
      <c r="N5" s="4">
        <v>9.7622035195103304E-2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-19.275362869360542</v>
      </c>
      <c r="V5" s="13" t="s">
        <v>354</v>
      </c>
      <c r="W5" s="11" t="s">
        <v>351</v>
      </c>
      <c r="X5" s="14">
        <v>46081</v>
      </c>
      <c r="Y5" s="16" t="s">
        <v>340</v>
      </c>
    </row>
    <row r="6" spans="1:25">
      <c r="B6" s="11" t="s">
        <v>307</v>
      </c>
      <c r="C6" s="11" t="s">
        <v>362</v>
      </c>
      <c r="D6" s="2">
        <v>4.01</v>
      </c>
      <c r="E6" s="12" t="s">
        <v>118</v>
      </c>
      <c r="F6" s="15">
        <v>0.2381969071958876</v>
      </c>
      <c r="G6" s="15">
        <v>7.4797252418732751E-2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0.10072897223248221</v>
      </c>
      <c r="N6" s="4">
        <v>7.4812967581047399E-2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6.27</v>
      </c>
      <c r="E7" s="12" t="s">
        <v>118</v>
      </c>
      <c r="F7" s="15">
        <v>0.2342861833030794</v>
      </c>
      <c r="G7" s="15">
        <v>0.10888016938334645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7.5139810822221487E-2</v>
      </c>
      <c r="N7" s="4">
        <v>2.2647527910685805E-2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396</v>
      </c>
      <c r="C8" s="11" t="s">
        <v>397</v>
      </c>
      <c r="D8" s="2">
        <v>35.5</v>
      </c>
      <c r="E8" s="12" t="s">
        <v>118</v>
      </c>
      <c r="F8" s="15">
        <v>0.22692544707537451</v>
      </c>
      <c r="G8" s="15">
        <v>0.10232103117622705</v>
      </c>
      <c r="H8" s="2">
        <v>30.011674158245132</v>
      </c>
      <c r="I8" s="2">
        <v>60.222758145664564</v>
      </c>
      <c r="J8" s="71">
        <v>52.557140212528303</v>
      </c>
      <c r="K8" s="2">
        <v>37.867197584296619</v>
      </c>
      <c r="L8" s="2">
        <v>46.619657777847145</v>
      </c>
      <c r="M8" s="4">
        <v>8.1833098231067547E-2</v>
      </c>
      <c r="N8" s="4">
        <v>4.0332450704225351E-2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-6.2653633210929707</v>
      </c>
      <c r="V8" s="13" t="s">
        <v>354</v>
      </c>
      <c r="W8" s="11" t="s">
        <v>339</v>
      </c>
      <c r="X8" s="14">
        <v>46081</v>
      </c>
      <c r="Y8" s="16" t="s">
        <v>352</v>
      </c>
    </row>
    <row r="9" spans="1:25">
      <c r="B9" s="11" t="s">
        <v>394</v>
      </c>
      <c r="C9" s="11" t="s">
        <v>395</v>
      </c>
      <c r="D9" s="2">
        <v>417.2</v>
      </c>
      <c r="E9" s="12" t="s">
        <v>118</v>
      </c>
      <c r="F9" s="15">
        <v>0.21845382849375244</v>
      </c>
      <c r="G9" s="15">
        <v>9.4210708678877556E-2</v>
      </c>
      <c r="H9" s="2">
        <v>343.51165237069711</v>
      </c>
      <c r="I9" s="2">
        <v>754.69510025842169</v>
      </c>
      <c r="J9" s="71">
        <v>611.75795841958484</v>
      </c>
      <c r="K9" s="2">
        <v>436.74484968658663</v>
      </c>
      <c r="L9" s="2">
        <v>540.9355566675722</v>
      </c>
      <c r="M9" s="4">
        <v>4.255259922891147E-2</v>
      </c>
      <c r="N9" s="4">
        <v>0</v>
      </c>
      <c r="O9" s="4">
        <v>8.4054741912155145E-2</v>
      </c>
      <c r="P9" s="4">
        <v>0.23246404291108619</v>
      </c>
      <c r="Q9" s="79">
        <v>0.23340326941848333</v>
      </c>
      <c r="R9" s="78">
        <v>1.5491714947856314</v>
      </c>
      <c r="S9" s="15">
        <v>0.18163383545770567</v>
      </c>
      <c r="T9" s="76">
        <v>1.9182780230905787</v>
      </c>
      <c r="U9" s="71">
        <v>28.070879886135263</v>
      </c>
      <c r="V9" s="13" t="s">
        <v>359</v>
      </c>
      <c r="W9" s="11" t="s">
        <v>339</v>
      </c>
      <c r="X9" s="14">
        <v>46265</v>
      </c>
      <c r="Y9" s="16" t="s">
        <v>352</v>
      </c>
    </row>
    <row r="10" spans="1:25">
      <c r="B10" s="11" t="s">
        <v>390</v>
      </c>
      <c r="C10" s="11" t="s">
        <v>391</v>
      </c>
      <c r="D10" s="2">
        <v>4.41</v>
      </c>
      <c r="E10" s="12" t="s">
        <v>118</v>
      </c>
      <c r="F10" s="15">
        <v>0.20452956926823004</v>
      </c>
      <c r="G10" s="15">
        <v>7.938490616811017E-2</v>
      </c>
      <c r="H10" s="2">
        <v>3.5498903405988043</v>
      </c>
      <c r="I10" s="2">
        <v>6.7018590782955743</v>
      </c>
      <c r="J10" s="71">
        <v>6.1509488949377173</v>
      </c>
      <c r="K10" s="2">
        <v>4.4576730777173461</v>
      </c>
      <c r="L10" s="2">
        <v>5.4670930065220871</v>
      </c>
      <c r="M10" s="4">
        <v>9.169960412114124E-2</v>
      </c>
      <c r="N10" s="4">
        <v>6.2358276643990934E-2</v>
      </c>
      <c r="O10" s="4">
        <v>0.1295637371655913</v>
      </c>
      <c r="P10" s="4">
        <v>9.3411700585940893E-2</v>
      </c>
      <c r="Q10" s="79">
        <v>0.83739806126750682</v>
      </c>
      <c r="R10" s="78">
        <v>1.6563428477446216</v>
      </c>
      <c r="S10" s="15">
        <v>0.26559156004843115</v>
      </c>
      <c r="T10" s="76">
        <v>1.8420735448323682</v>
      </c>
      <c r="U10" s="71">
        <v>0.86439351825737498</v>
      </c>
      <c r="V10" s="16" t="s">
        <v>354</v>
      </c>
      <c r="W10" s="11" t="s">
        <v>339</v>
      </c>
      <c r="X10" s="14">
        <v>46265</v>
      </c>
      <c r="Y10" s="16" t="s">
        <v>352</v>
      </c>
    </row>
    <row r="11" spans="1:25">
      <c r="B11" s="11" t="s">
        <v>309</v>
      </c>
      <c r="C11" s="11" t="s">
        <v>341</v>
      </c>
      <c r="D11" s="2">
        <v>7.65</v>
      </c>
      <c r="E11" s="12" t="s">
        <v>118</v>
      </c>
      <c r="F11" s="15">
        <v>0.18829982626522199</v>
      </c>
      <c r="G11" s="15">
        <v>3.9516668110038934E-2</v>
      </c>
      <c r="H11" s="2">
        <v>5.9003406129093534</v>
      </c>
      <c r="I11" s="2">
        <v>11.665032062795252</v>
      </c>
      <c r="J11" s="71">
        <v>10.30555861639008</v>
      </c>
      <c r="K11" s="2">
        <v>7.4358722516162334</v>
      </c>
      <c r="L11" s="2">
        <v>9.1458946439251889</v>
      </c>
      <c r="M11" s="4">
        <v>9.4122881098067546E-2</v>
      </c>
      <c r="N11" s="4">
        <v>4.2525145011764701E-2</v>
      </c>
      <c r="O11" s="4">
        <v>0.17172021370176799</v>
      </c>
      <c r="P11" s="4">
        <v>8.3606259537186617E-2</v>
      </c>
      <c r="Q11" s="79">
        <v>1.3282158707615834</v>
      </c>
      <c r="R11" s="78">
        <v>1.5463719418456539</v>
      </c>
      <c r="S11" s="15">
        <v>0.22428295339746124</v>
      </c>
      <c r="T11" s="76">
        <v>1.2715557492373779</v>
      </c>
      <c r="U11" s="71">
        <v>-3.0206076487160036</v>
      </c>
      <c r="V11" s="13" t="s">
        <v>342</v>
      </c>
      <c r="W11" s="11" t="s">
        <v>339</v>
      </c>
      <c r="X11" s="14">
        <v>46081</v>
      </c>
      <c r="Y11" s="16" t="s">
        <v>340</v>
      </c>
    </row>
    <row r="12" spans="1:25">
      <c r="B12" s="11" t="s">
        <v>357</v>
      </c>
      <c r="C12" s="11" t="s">
        <v>358</v>
      </c>
      <c r="D12" s="2">
        <v>85.45</v>
      </c>
      <c r="E12" s="12" t="s">
        <v>118</v>
      </c>
      <c r="F12" s="15">
        <v>0.17450155995707431</v>
      </c>
      <c r="G12" s="15">
        <v>3.9177858640532914E-2</v>
      </c>
      <c r="H12" s="2">
        <v>63.924038522862638</v>
      </c>
      <c r="I12" s="2">
        <v>122.16292263472924</v>
      </c>
      <c r="J12" s="71">
        <v>110.99289757458234</v>
      </c>
      <c r="K12" s="2">
        <v>80.345927450653505</v>
      </c>
      <c r="L12" s="2">
        <v>98.613679359430407</v>
      </c>
      <c r="M12" s="4">
        <v>6.4231376332196402E-2</v>
      </c>
      <c r="N12" s="4">
        <v>5.3610298420128731E-2</v>
      </c>
      <c r="O12" s="4">
        <v>9.6671315574961933E-2</v>
      </c>
      <c r="P12" s="4">
        <v>0.13321568275625476</v>
      </c>
      <c r="Q12" s="79">
        <v>0.48913824057450628</v>
      </c>
      <c r="R12" s="78">
        <v>1.4835789300471205</v>
      </c>
      <c r="S12" s="15">
        <v>6.4100114768294941E-2</v>
      </c>
      <c r="T12" s="76">
        <v>0.67756727799881356</v>
      </c>
      <c r="U12" s="71">
        <v>1.4752005579578251</v>
      </c>
      <c r="V12" s="13" t="s">
        <v>359</v>
      </c>
      <c r="W12" s="11" t="s">
        <v>339</v>
      </c>
      <c r="X12" s="14">
        <v>46081</v>
      </c>
      <c r="Y12" s="16" t="s">
        <v>352</v>
      </c>
    </row>
    <row r="13" spans="1:25">
      <c r="B13" s="11" t="s">
        <v>343</v>
      </c>
      <c r="C13" s="11" t="s">
        <v>363</v>
      </c>
      <c r="D13" s="2">
        <v>117.5</v>
      </c>
      <c r="E13" s="12" t="s">
        <v>118</v>
      </c>
      <c r="F13" s="15">
        <v>0.174177338523585</v>
      </c>
      <c r="G13" s="15">
        <v>3.8666690332135108E-2</v>
      </c>
      <c r="H13" s="2">
        <v>87.276641569976078</v>
      </c>
      <c r="I13" s="2">
        <v>177.74188152923747</v>
      </c>
      <c r="J13" s="2">
        <v>153.24750318660244</v>
      </c>
      <c r="K13" s="2">
        <v>110.25363514423465</v>
      </c>
      <c r="L13" s="2">
        <v>135.86657783213138</v>
      </c>
      <c r="M13" s="4">
        <v>-9.8568657350110271E-3</v>
      </c>
      <c r="N13" s="4">
        <v>2.9872340425531912E-2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-67.652283019819052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364</v>
      </c>
      <c r="C14" s="11" t="s">
        <v>365</v>
      </c>
      <c r="D14" s="2">
        <v>4.51</v>
      </c>
      <c r="E14" s="12" t="s">
        <v>118</v>
      </c>
      <c r="F14" s="15">
        <v>0.1682108255912047</v>
      </c>
      <c r="G14" s="15">
        <v>1.9268324804207409E-2</v>
      </c>
      <c r="H14" s="2">
        <v>3.3058505032532972</v>
      </c>
      <c r="I14" s="2">
        <v>6.6277455556474951</v>
      </c>
      <c r="J14" s="2">
        <v>5.7883592149489207</v>
      </c>
      <c r="K14" s="2">
        <v>4.170852752110819</v>
      </c>
      <c r="L14" s="2">
        <v>5.1345919269174427</v>
      </c>
      <c r="M14" s="4">
        <v>6.8782259725543402E-2</v>
      </c>
      <c r="N14" s="4">
        <v>3.5299334811529935E-2</v>
      </c>
      <c r="O14" s="4">
        <v>0.27382509866113364</v>
      </c>
      <c r="P14" s="4">
        <v>0.20764453215246689</v>
      </c>
      <c r="Q14" s="79">
        <v>0.86056930273853416</v>
      </c>
      <c r="R14" s="78">
        <v>1.532381509863507</v>
      </c>
      <c r="S14" s="15">
        <v>0.27351475277205878</v>
      </c>
      <c r="T14" s="76">
        <v>0.94608729427783522</v>
      </c>
      <c r="U14" s="71">
        <v>0.59749676752244707</v>
      </c>
      <c r="V14" s="13" t="s">
        <v>354</v>
      </c>
      <c r="W14" s="11" t="s">
        <v>339</v>
      </c>
      <c r="X14" s="14">
        <v>46173</v>
      </c>
      <c r="Y14" s="16" t="s">
        <v>340</v>
      </c>
    </row>
    <row r="15" spans="1:25">
      <c r="B15" s="11" t="s">
        <v>141</v>
      </c>
      <c r="C15" s="11" t="s">
        <v>366</v>
      </c>
      <c r="D15" s="2">
        <v>20.440000000000001</v>
      </c>
      <c r="E15" s="12" t="s">
        <v>118</v>
      </c>
      <c r="F15" s="15">
        <v>0.13823605672253239</v>
      </c>
      <c r="G15" s="15">
        <v>0</v>
      </c>
      <c r="H15" s="2">
        <v>13.849144997916966</v>
      </c>
      <c r="I15" s="2">
        <v>28.387992042916547</v>
      </c>
      <c r="J15" s="2">
        <v>24.346106182350443</v>
      </c>
      <c r="K15" s="2">
        <v>17.504484256788185</v>
      </c>
      <c r="L15" s="2">
        <v>21.580040793835582</v>
      </c>
      <c r="M15" s="4">
        <v>5.6041807550269031E-2</v>
      </c>
      <c r="N15" s="4">
        <v>2.499619299603013E-2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5.7092974861832495</v>
      </c>
      <c r="V15" s="13" t="s">
        <v>367</v>
      </c>
      <c r="W15" s="11" t="s">
        <v>339</v>
      </c>
      <c r="X15" s="14">
        <v>46081</v>
      </c>
      <c r="Y15" s="16" t="s">
        <v>352</v>
      </c>
    </row>
    <row r="16" spans="1:25">
      <c r="B16" s="11" t="s">
        <v>308</v>
      </c>
      <c r="C16" s="11" t="s">
        <v>353</v>
      </c>
      <c r="D16" s="2">
        <v>3.51</v>
      </c>
      <c r="E16" s="12" t="s">
        <v>118</v>
      </c>
      <c r="F16" s="15">
        <v>0.13729053352324694</v>
      </c>
      <c r="G16" s="15">
        <v>0</v>
      </c>
      <c r="H16" s="2">
        <v>2.4116808624274295</v>
      </c>
      <c r="I16" s="2">
        <v>4.3336808547530632</v>
      </c>
      <c r="J16" s="2">
        <v>4.1445661478947597</v>
      </c>
      <c r="K16" s="2">
        <v>3.0172643835376523</v>
      </c>
      <c r="L16" s="2">
        <v>3.6895782285054963</v>
      </c>
      <c r="M16" s="4">
        <v>6.9540641192782165E-2</v>
      </c>
      <c r="N16" s="4">
        <v>6.8888888888888888E-2</v>
      </c>
      <c r="O16" s="4">
        <v>0.10655464759808782</v>
      </c>
      <c r="P16" s="4">
        <v>0.15367027669312136</v>
      </c>
      <c r="Q16" s="79">
        <v>0.53211669431065411</v>
      </c>
      <c r="R16" s="78">
        <v>1.3030936828713586</v>
      </c>
      <c r="S16" s="15">
        <v>3.2740324747196639E-2</v>
      </c>
      <c r="T16" s="76">
        <v>0.3030737490948841</v>
      </c>
      <c r="U16" s="71">
        <v>1.0926818569928813</v>
      </c>
      <c r="V16" s="13" t="s">
        <v>354</v>
      </c>
      <c r="W16" s="11" t="s">
        <v>351</v>
      </c>
      <c r="X16" s="14">
        <v>46265</v>
      </c>
      <c r="Y16" s="16" t="s">
        <v>340</v>
      </c>
    </row>
    <row r="17" spans="2:25">
      <c r="B17" s="11" t="s">
        <v>392</v>
      </c>
      <c r="C17" s="11" t="s">
        <v>393</v>
      </c>
      <c r="D17" s="2">
        <v>4.34</v>
      </c>
      <c r="E17" s="12" t="s">
        <v>118</v>
      </c>
      <c r="F17" s="15">
        <v>0.13704089439598224</v>
      </c>
      <c r="G17" s="15">
        <v>0</v>
      </c>
      <c r="H17" s="2">
        <v>2.970225604821576</v>
      </c>
      <c r="I17" s="2">
        <v>5.4881856537930034</v>
      </c>
      <c r="J17" s="2">
        <v>5.1279561951610866</v>
      </c>
      <c r="K17" s="2">
        <v>3.7237185496487291</v>
      </c>
      <c r="L17" s="2">
        <v>4.5609909188949231</v>
      </c>
      <c r="M17" s="4">
        <v>6.7226162116599347E-2</v>
      </c>
      <c r="N17" s="4">
        <v>5.9907834101382493E-2</v>
      </c>
      <c r="O17" s="4">
        <v>0.28568079100302196</v>
      </c>
      <c r="P17" s="4">
        <v>0.17813313161397862</v>
      </c>
      <c r="Q17" s="79">
        <v>0.91428215624568043</v>
      </c>
      <c r="R17" s="78">
        <v>1.7541070452059788</v>
      </c>
      <c r="S17" s="15">
        <v>0.1200952845385091</v>
      </c>
      <c r="T17" s="76">
        <v>0.41215180500545473</v>
      </c>
      <c r="U17" s="71">
        <v>0.26857934054514021</v>
      </c>
      <c r="V17" s="13" t="s">
        <v>354</v>
      </c>
      <c r="W17" s="11" t="s">
        <v>339</v>
      </c>
      <c r="X17" s="14">
        <v>46173</v>
      </c>
      <c r="Y17" s="11" t="s">
        <v>352</v>
      </c>
    </row>
    <row r="18" spans="2:25">
      <c r="B18" s="11" t="s">
        <v>368</v>
      </c>
      <c r="C18" s="11" t="s">
        <v>369</v>
      </c>
      <c r="D18" s="2">
        <v>83.15</v>
      </c>
      <c r="E18" s="12" t="s">
        <v>118</v>
      </c>
      <c r="F18" s="15">
        <v>5.1438828121771016E-2</v>
      </c>
      <c r="G18" s="15">
        <v>0</v>
      </c>
      <c r="H18" s="2">
        <v>43.993065893584216</v>
      </c>
      <c r="I18" s="2">
        <v>96.652765768204546</v>
      </c>
      <c r="J18" s="2">
        <v>78.347002175735057</v>
      </c>
      <c r="K18" s="2">
        <v>55.93331352326652</v>
      </c>
      <c r="L18" s="2">
        <v>69.276874377985948</v>
      </c>
      <c r="M18" s="4">
        <v>1.5089572361015356E-2</v>
      </c>
      <c r="N18" s="4">
        <v>0</v>
      </c>
      <c r="O18" s="4">
        <v>0.15</v>
      </c>
      <c r="P18" s="4">
        <v>8.1887809309554582E-2</v>
      </c>
      <c r="Q18" s="79">
        <v>1.022390799101176</v>
      </c>
      <c r="R18" s="78">
        <v>1.7916578376478161</v>
      </c>
      <c r="S18" s="15">
        <v>0.27660377540313014</v>
      </c>
      <c r="T18" s="76">
        <v>3.1316510969641755</v>
      </c>
      <c r="U18" s="71">
        <v>3.6479071286471849</v>
      </c>
      <c r="V18" s="13" t="s">
        <v>370</v>
      </c>
      <c r="W18" s="11" t="s">
        <v>339</v>
      </c>
      <c r="X18" s="14">
        <v>46081</v>
      </c>
      <c r="Y18" s="11" t="s">
        <v>340</v>
      </c>
    </row>
    <row r="19" spans="2:25">
      <c r="B19" s="11" t="s">
        <v>152</v>
      </c>
      <c r="C19" s="11" t="s">
        <v>371</v>
      </c>
      <c r="D19" s="2">
        <v>29.38</v>
      </c>
      <c r="E19" s="12" t="s">
        <v>118</v>
      </c>
      <c r="F19" s="15">
        <v>6.8374691179848915E-3</v>
      </c>
      <c r="G19" s="15">
        <v>0</v>
      </c>
      <c r="H19" s="2">
        <v>14.204952212944807</v>
      </c>
      <c r="I19" s="2">
        <v>26.180880011839747</v>
      </c>
      <c r="J19" s="2">
        <v>24.513887326360098</v>
      </c>
      <c r="K19" s="2">
        <v>17.805138895740594</v>
      </c>
      <c r="L19" s="2">
        <v>21.805297785442345</v>
      </c>
      <c r="M19" s="4">
        <v>8.3522761469131374E-2</v>
      </c>
      <c r="N19" s="4">
        <v>4.2886317222600411E-2</v>
      </c>
      <c r="O19" s="4">
        <v>0.17275816461101692</v>
      </c>
      <c r="P19" s="4">
        <v>0.32389125963769955</v>
      </c>
      <c r="Q19" s="79">
        <v>0.37580175109499292</v>
      </c>
      <c r="R19" s="78">
        <v>1.419320754716981</v>
      </c>
      <c r="S19" s="15">
        <v>9.2018392262565404E-2</v>
      </c>
      <c r="T19" s="76">
        <v>0.52808720739977155</v>
      </c>
      <c r="U19" s="71">
        <v>0.4708300585181146</v>
      </c>
      <c r="V19" s="13" t="s">
        <v>372</v>
      </c>
      <c r="W19" s="11" t="s">
        <v>351</v>
      </c>
      <c r="X19" s="14">
        <v>46081</v>
      </c>
      <c r="Y19" s="11" t="s">
        <v>352</v>
      </c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0.43727151782685103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6.27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62699.999999999993</v>
      </c>
      <c r="H4" s="58">
        <f t="shared" si="0"/>
        <v>4.7802568530356915E-2</v>
      </c>
      <c r="I4" s="58">
        <f>VLOOKUP(B4,Opportunities!B$3:H$30,6,FALSE)</f>
        <v>0.10888016938334645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117.5</v>
      </c>
      <c r="E5" s="59" t="str">
        <f>VLOOKUP(B5,Opportunities!B$3:E$30,4,FALSE)</f>
        <v>HKD</v>
      </c>
      <c r="F5" s="57">
        <v>2500</v>
      </c>
      <c r="G5" s="61">
        <f t="shared" si="1"/>
        <v>293750</v>
      </c>
      <c r="H5" s="58">
        <f t="shared" si="0"/>
        <v>0.22395541476542816</v>
      </c>
      <c r="I5" s="58">
        <f>VLOOKUP(B5,Opportunities!B$3:H$30,6,FALSE)</f>
        <v>3.8666690332135108E-2</v>
      </c>
      <c r="J5" s="81">
        <f>VLOOKUP(B5,Opportunities!B$3:L$30,10,FALSE)</f>
        <v>110.25363514423465</v>
      </c>
      <c r="K5" s="81">
        <f>VLOOKUP(B5,Opportunities!B$3:L$30,7,FALSE)</f>
        <v>87.276641569976078</v>
      </c>
      <c r="L5" s="81">
        <f>VLOOKUP(B5,Opportunities!B$3:L$30,9,FALSE)</f>
        <v>153.24750318660244</v>
      </c>
      <c r="M5" s="81">
        <f>VLOOKUP(B5,Opportunities!B$3:L$30,11,FALSE)</f>
        <v>135.86657783213138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7.65</v>
      </c>
      <c r="E6" s="59" t="str">
        <f>VLOOKUP(B6,Opportunities!B$3:E$30,4,FALSE)</f>
        <v>HKD</v>
      </c>
      <c r="F6" s="57">
        <v>8000</v>
      </c>
      <c r="G6" s="61">
        <f t="shared" si="1"/>
        <v>61200</v>
      </c>
      <c r="H6" s="58">
        <f t="shared" si="0"/>
        <v>4.6658966412405793E-2</v>
      </c>
      <c r="I6" s="58">
        <f>VLOOKUP(B6,Opportunities!B$3:H$30,6,FALSE)</f>
        <v>3.9516668110038934E-2</v>
      </c>
      <c r="J6" s="81">
        <f>VLOOKUP(B6,Opportunities!B$3:L$30,10,FALSE)</f>
        <v>7.4358722516162334</v>
      </c>
      <c r="K6" s="81">
        <f>VLOOKUP(B6,Opportunities!B$3:L$30,7,FALSE)</f>
        <v>5.9003406129093534</v>
      </c>
      <c r="L6" s="81">
        <f>VLOOKUP(B6,Opportunities!B$3:L$30,9,FALSE)</f>
        <v>10.30555861639008</v>
      </c>
      <c r="M6" s="81">
        <f>VLOOKUP(B6,Opportunities!B$3:L$30,11,FALSE)</f>
        <v>9.1458946439251889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10.47</v>
      </c>
      <c r="E7" s="59" t="str">
        <f>VLOOKUP(B7,Opportunities!B$3:E$30,4,FALSE)</f>
        <v>HKD</v>
      </c>
      <c r="F7" s="57">
        <v>15000</v>
      </c>
      <c r="G7" s="61">
        <f t="shared" si="1"/>
        <v>157050</v>
      </c>
      <c r="H7" s="58">
        <f t="shared" si="0"/>
        <v>0.11973514174948252</v>
      </c>
      <c r="I7" s="58">
        <f>VLOOKUP(B7,Opportunities!B$3:H$30,6,FALSE)</f>
        <v>0.13531395293893378</v>
      </c>
      <c r="J7" s="81">
        <f>VLOOKUP(B7,Opportunities!B$3:L$30,10,FALSE)</f>
        <v>12.316256165743265</v>
      </c>
      <c r="K7" s="81">
        <f>VLOOKUP(B7,Opportunities!B$3:L$30,7,FALSE)</f>
        <v>9.7855345868932009</v>
      </c>
      <c r="L7" s="81">
        <f>VLOOKUP(B7,Opportunities!B$3:L$30,9,FALSE)</f>
        <v>17.042599257132078</v>
      </c>
      <c r="M7" s="81">
        <f>VLOOKUP(B7,Opportunities!B$3:L$30,11,FALSE)</f>
        <v>15.133052078500594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4.01</v>
      </c>
      <c r="E8" s="59" t="str">
        <f>VLOOKUP(B8,Opportunities!B$3:E$30,4,FALSE)</f>
        <v>HKD</v>
      </c>
      <c r="F8" s="57">
        <v>12000</v>
      </c>
      <c r="G8" s="61">
        <f t="shared" si="1"/>
        <v>48120</v>
      </c>
      <c r="H8" s="58">
        <f t="shared" si="0"/>
        <v>3.668675594387201E-2</v>
      </c>
      <c r="I8" s="58">
        <f>VLOOKUP(B8,Opportunities!B$3:H$30,6,FALSE)</f>
        <v>7.4797252418732751E-2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375</v>
      </c>
      <c r="C9" s="62" t="str">
        <f>VLOOKUP(B9,Opportunities!B$3:E$30,2,FALSE)</f>
        <v>腾讯音乐</v>
      </c>
      <c r="D9" s="60">
        <f>VLOOKUP(B9,Opportunities!B$3:E$30,3,FALSE)</f>
        <v>36.58</v>
      </c>
      <c r="E9" s="59" t="str">
        <f>VLOOKUP(B9,Opportunities!B$3:E$30,4,FALSE)</f>
        <v>HKD</v>
      </c>
      <c r="F9" s="57">
        <v>2000</v>
      </c>
      <c r="G9" s="61">
        <f t="shared" ref="G9" si="2">D9*F9</f>
        <v>73160</v>
      </c>
      <c r="H9" s="58">
        <f t="shared" si="0"/>
        <v>5.5777287299536078E-2</v>
      </c>
      <c r="I9" s="58">
        <f>VLOOKUP(B9,Opportunities!B$3:H$30,6,FALSE)</f>
        <v>0.14617790705770228</v>
      </c>
      <c r="J9" s="81">
        <f>VLOOKUP(B9,Opportunities!B$3:L$30,10,FALSE)</f>
        <v>45.176704398116819</v>
      </c>
      <c r="K9" s="81">
        <f>VLOOKUP(B9,Opportunities!B$3:L$30,7,FALSE)</f>
        <v>35.555323258964883</v>
      </c>
      <c r="L9" s="81">
        <f>VLOOKUP(B9,Opportunities!B$3:L$30,9,FALSE)</f>
        <v>63.231960001166449</v>
      </c>
      <c r="M9" s="81">
        <f>VLOOKUP(B9,Opportunities!B$3:L$30,11,FALSE)</f>
        <v>55.92625803829123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3.51</v>
      </c>
      <c r="E10" s="59" t="str">
        <f>VLOOKUP(B10,Opportunities!B$3:E$30,4,FALSE)</f>
        <v>HKD</v>
      </c>
      <c r="F10" s="57">
        <v>12000</v>
      </c>
      <c r="G10" s="61">
        <f t="shared" si="1"/>
        <v>42120</v>
      </c>
      <c r="H10" s="58">
        <f t="shared" ref="H10" si="3">G10/$G$12</f>
        <v>3.2112347472067516E-2</v>
      </c>
      <c r="I10" s="58">
        <f>VLOOKUP(B10,Opportunities!B$3:H$30,6,FALSE)</f>
        <v>0</v>
      </c>
      <c r="J10" s="81">
        <f>VLOOKUP(B10,Opportunities!B$3:L$30,10,FALSE)</f>
        <v>3.0172643835376523</v>
      </c>
      <c r="K10" s="81">
        <f>VLOOKUP(B10,Opportunities!B$3:L$30,7,FALSE)</f>
        <v>2.4116808624274295</v>
      </c>
      <c r="L10" s="81">
        <f>VLOOKUP(B10,Opportunities!B$3:L$30,9,FALSE)</f>
        <v>4.1445661478947597</v>
      </c>
      <c r="M10" s="81">
        <f>VLOOKUP(B10,Opportunities!B$3:L$30,11,FALSE)</f>
        <v>3.6895782285054963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1311645</v>
      </c>
      <c r="H12" s="67">
        <f>SUM(H3:H10)</f>
        <v>1</v>
      </c>
      <c r="I12" s="73">
        <f>SUM(I3:I10)</f>
        <v>0.99335264024088943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117.5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3.8666690332135108E-2</v>
      </c>
      <c r="J15" s="81">
        <f>VLOOKUP(B15,Opportunities!B$3:L$30,10,FALSE)</f>
        <v>110.25363514423465</v>
      </c>
      <c r="K15" s="81">
        <f>VLOOKUP(B15,Opportunities!B$3:L$30,7,FALSE)</f>
        <v>87.276641569976078</v>
      </c>
      <c r="L15" s="81">
        <f>VLOOKUP(B15,Opportunities!B$3:L$30,9,FALSE)</f>
        <v>153.24750318660244</v>
      </c>
      <c r="M15" s="81">
        <f>VLOOKUP(B15,Opportunities!B$3:L$30,11,FALSE)</f>
        <v>135.86657783213138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29.38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17.805138895740594</v>
      </c>
      <c r="K16" s="81">
        <f>VLOOKUP(B16,Opportunities!B$3:L$30,7,FALSE)</f>
        <v>14.204952212944807</v>
      </c>
      <c r="L16" s="81">
        <f>VLOOKUP(B16,Opportunities!B$3:L$30,9,FALSE)</f>
        <v>24.513887326360098</v>
      </c>
      <c r="M16" s="81">
        <f>VLOOKUP(B16,Opportunities!B$3:L$30,11,FALSE)</f>
        <v>21.805297785442345</v>
      </c>
    </row>
    <row r="17" spans="1:13">
      <c r="B17" s="63" t="s">
        <v>375</v>
      </c>
      <c r="C17" s="62" t="str">
        <f>VLOOKUP(B17,Opportunities!B$3:E$30,2,FALSE)</f>
        <v>腾讯音乐</v>
      </c>
      <c r="D17" s="60">
        <f>VLOOKUP(B17,Opportunities!B$3:E$30,3,FALSE)</f>
        <v>36.58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0.14617790705770228</v>
      </c>
      <c r="J17" s="81">
        <f>VLOOKUP(B17,Opportunities!B$3:L$30,10,FALSE)</f>
        <v>45.176704398116819</v>
      </c>
      <c r="K17" s="81">
        <f>VLOOKUP(B17,Opportunities!B$3:L$30,7,FALSE)</f>
        <v>35.555323258964883</v>
      </c>
      <c r="L17" s="81">
        <f>VLOOKUP(B17,Opportunities!B$3:L$30,9,FALSE)</f>
        <v>63.231960001166449</v>
      </c>
      <c r="M17" s="81">
        <f>VLOOKUP(B17,Opportunities!B$3:L$30,11,FALSE)</f>
        <v>55.92625803829123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10.47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0.13531395293893378</v>
      </c>
      <c r="J18" s="81">
        <f>VLOOKUP(B18,Opportunities!B$3:L$30,10,FALSE)</f>
        <v>12.316256165743265</v>
      </c>
      <c r="K18" s="81">
        <f>VLOOKUP(B18,Opportunities!B$3:L$30,7,FALSE)</f>
        <v>9.7855345868932009</v>
      </c>
      <c r="L18" s="81">
        <f>VLOOKUP(B18,Opportunities!B$3:L$30,9,FALSE)</f>
        <v>17.042599257132078</v>
      </c>
      <c r="M18" s="81">
        <f>VLOOKUP(B18,Opportunities!B$3:L$30,11,FALSE)</f>
        <v>15.133052078500594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7.65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3.9516668110038934E-2</v>
      </c>
      <c r="J19" s="81">
        <f>VLOOKUP(B19,Opportunities!B$3:L$30,10,FALSE)</f>
        <v>7.4358722516162334</v>
      </c>
      <c r="K19" s="81">
        <f>VLOOKUP(B19,Opportunities!B$3:L$30,7,FALSE)</f>
        <v>5.9003406129093534</v>
      </c>
      <c r="L19" s="81">
        <f>VLOOKUP(B19,Opportunities!B$3:L$30,9,FALSE)</f>
        <v>10.30555861639008</v>
      </c>
      <c r="M19" s="81">
        <f>VLOOKUP(B19,Opportunities!B$3:L$30,11,FALSE)</f>
        <v>9.1458946439251889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0.43727151782685103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389</v>
      </c>
    </row>
    <row r="15" spans="1:4" ht="12.4">
      <c r="B15" s="30" t="s">
        <v>90</v>
      </c>
      <c r="C15" s="30" t="s">
        <v>91</v>
      </c>
    </row>
    <row r="16" spans="1:4">
      <c r="B16" s="26" t="s">
        <v>376</v>
      </c>
      <c r="C16" s="26" t="s">
        <v>377</v>
      </c>
    </row>
    <row r="17" spans="1:4">
      <c r="B17" s="26" t="s">
        <v>379</v>
      </c>
      <c r="C17" s="26" t="s">
        <v>378</v>
      </c>
    </row>
    <row r="18" spans="1:4">
      <c r="B18" s="26" t="s">
        <v>380</v>
      </c>
      <c r="C18" s="26" t="s">
        <v>381</v>
      </c>
    </row>
    <row r="19" spans="1:4">
      <c r="B19" s="26" t="s">
        <v>382</v>
      </c>
      <c r="C19" s="26" t="s">
        <v>383</v>
      </c>
    </row>
    <row r="20" spans="1:4">
      <c r="B20" s="26" t="s">
        <v>87</v>
      </c>
      <c r="C20" s="26" t="s">
        <v>88</v>
      </c>
    </row>
    <row r="21" spans="1:4">
      <c r="B21" s="26" t="s">
        <v>384</v>
      </c>
      <c r="C21" s="26" t="s">
        <v>89</v>
      </c>
    </row>
    <row r="22" spans="1:4">
      <c r="B22" s="26" t="s">
        <v>386</v>
      </c>
      <c r="C22" s="26" t="s">
        <v>105</v>
      </c>
    </row>
    <row r="23" spans="1:4">
      <c r="B23" s="26" t="s">
        <v>387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388</v>
      </c>
      <c r="C25" s="26" t="s">
        <v>110</v>
      </c>
    </row>
    <row r="26" spans="1:4">
      <c r="B26" s="26" t="s">
        <v>109</v>
      </c>
      <c r="C26" s="26" t="s">
        <v>385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2026-05-01T01:43:58Z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