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3BE9230-2125-461A-B2A3-9DCC05105159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<sst xmlns="http://schemas.openxmlformats.org/spreadsheetml/2006/main" count="443" uniqueCount="376">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</sst>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Normal="100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6" sqref="P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3.93</v>
      </c>
      <c r="E3" s="12" t="s">
        <v>135</v>
      </c>
      <c r="F3" s="15">
        <v>0.21151245374364994</v>
      </c>
      <c r="G3" s="15">
        <f>F3 - Portfolio_Mgmt!$C$10</f>
        <v>9.4112453743649932E-2</v>
      </c>
      <c r="H3" s="15">
        <f>F3 - Portfolio_Mgmt!$C$11</f>
        <v>0.17701245374364993</v>
      </c>
      <c r="I3" s="15">
        <v>8.7069315328031568E-2</v>
      </c>
      <c r="J3" s="2">
        <v>3.2529310572008892</v>
      </c>
      <c r="K3" s="2">
        <v>6.0987262930314925</v>
      </c>
      <c r="L3" s="71">
        <v>5.5753169152831736</v>
      </c>
      <c r="M3" s="2">
        <v>4.0314781432043176</v>
      </c>
      <c r="N3" s="2">
        <v>4.9546928905349281</v>
      </c>
      <c r="O3" s="4">
        <v>0.10917503240400375</v>
      </c>
      <c r="P3" s="4">
        <v>6.1526717557251906E-2</v>
      </c>
      <c r="Q3" s="4">
        <v>0.17911384235321903</v>
      </c>
      <c r="R3" s="4">
        <v>0.23440332981639811</v>
      </c>
      <c r="S3" s="79">
        <v>0.61200300518899786</v>
      </c>
      <c r="T3" s="78">
        <v>1.2485669045200241</v>
      </c>
      <c r="U3" s="15">
        <v>3.1120102042901991E-2</v>
      </c>
      <c r="V3" s="76">
        <v>0.1723700558857961</v>
      </c>
      <c r="W3" s="71">
        <v>1.2402555711558032</v>
      </c>
      <c r="X3" s="13" t="s">
        <v>171</v>
      </c>
      <c r="Y3" s="11" t="s">
        <v>341</v>
      </c>
      <c r="Z3" s="14">
        <v>46081</v>
      </c>
      <c r="AA3" s="16" t="s">
        <v>334</v>
      </c>
    </row>
    <row r="4" spans="1:27">
      <c r="B4" s="11" t="s">
        <v>342</v>
      </c>
      <c r="C4" s="11" t="s">
        <v>343</v>
      </c>
      <c r="D4" s="2">
        <v>7.05</v>
      </c>
      <c r="E4" s="12" t="s">
        <v>135</v>
      </c>
      <c r="F4" s="15">
        <v>0.1845967456541571</v>
      </c>
      <c r="G4" s="15">
        <f>F4 - Portfolio_Mgmt!$C$10</f>
        <v>6.7196745654157092E-2</v>
      </c>
      <c r="H4" s="15">
        <f>F4 - Portfolio_Mgmt!$C$11</f>
        <v>0.15009674565415709</v>
      </c>
      <c r="I4" s="15">
        <v>5.4181428462920282E-2</v>
      </c>
      <c r="J4" s="2">
        <v>5.4553259188453129</v>
      </c>
      <c r="K4" s="2">
        <v>10.606284175670751</v>
      </c>
      <c r="L4" s="71">
        <v>9.4078672443472389</v>
      </c>
      <c r="M4" s="2">
        <v>6.7790555620992601</v>
      </c>
      <c r="N4" s="2">
        <v>8.3505768448419637</v>
      </c>
      <c r="O4" s="4">
        <v>9.7389256975997554E-2</v>
      </c>
      <c r="P4" s="4">
        <v>4.4001348767999993E-2</v>
      </c>
      <c r="Q4" s="4">
        <v>0.1717194156663443</v>
      </c>
      <c r="R4" s="4">
        <v>8.3605870993780376E-2</v>
      </c>
      <c r="S4" s="79">
        <v>1.3282158707615834</v>
      </c>
      <c r="T4" s="78">
        <v>1.5463719418456539</v>
      </c>
      <c r="U4" s="15">
        <v>0.22428295339746124</v>
      </c>
      <c r="V4" s="76">
        <v>1.2715557492373779</v>
      </c>
      <c r="W4" s="71">
        <v>-2.8803295862545686</v>
      </c>
      <c r="X4" s="13" t="s">
        <v>344</v>
      </c>
      <c r="Y4" s="11" t="s">
        <v>170</v>
      </c>
      <c r="Z4" s="14">
        <v>46081</v>
      </c>
      <c r="AA4" s="16" t="s">
        <v>334</v>
      </c>
    </row>
    <row r="5" spans="1:27">
      <c r="B5" s="11" t="s">
        <v>185</v>
      </c>
      <c r="C5" s="11" t="s">
        <v>335</v>
      </c>
      <c r="D5" s="2">
        <v>3.13</v>
      </c>
      <c r="E5" s="12" t="s">
        <v>135</v>
      </c>
      <c r="F5" s="15">
        <v>0.1773875120582889</v>
      </c>
      <c r="G5" s="15">
        <f>F5 - Portfolio_Mgmt!$C$10</f>
        <v>5.9987512058288894E-2</v>
      </c>
      <c r="H5" s="15">
        <f>F5 - Portfolio_Mgmt!$C$11</f>
        <v>0.1428875120582889</v>
      </c>
      <c r="I5" s="15">
        <v>8.7288429280332216E-2</v>
      </c>
      <c r="J5" s="2">
        <v>2.4048565177073828</v>
      </c>
      <c r="K5" s="2">
        <v>4.1464286049821002</v>
      </c>
      <c r="L5" s="71">
        <v>4.0664479320737961</v>
      </c>
      <c r="M5" s="2">
        <v>2.9631300794707243</v>
      </c>
      <c r="N5" s="2">
        <v>3.623398640518225</v>
      </c>
      <c r="O5" s="4">
        <v>6.8850810296265955E-2</v>
      </c>
      <c r="P5" s="4">
        <v>8.6261980830670937E-2</v>
      </c>
      <c r="Q5" s="4">
        <v>0.10109497147719294</v>
      </c>
      <c r="R5" s="4">
        <v>0.41984093276604345</v>
      </c>
      <c r="S5" s="79">
        <v>0.19832389661116825</v>
      </c>
      <c r="T5" s="78">
        <v>1.2141426890285656</v>
      </c>
      <c r="U5" s="15">
        <v>2.3107986944995245E-3</v>
      </c>
      <c r="V5" s="76">
        <v>2.2976895736939666E-2</v>
      </c>
      <c r="W5" s="71">
        <v>0.79833937207218564</v>
      </c>
      <c r="X5" s="13" t="s">
        <v>336</v>
      </c>
      <c r="Y5" s="11" t="s">
        <v>341</v>
      </c>
      <c r="Z5" s="14">
        <v>46081</v>
      </c>
      <c r="AA5" s="16" t="s">
        <v>183</v>
      </c>
    </row>
    <row r="6" spans="1:27">
      <c r="B6" s="11" t="s">
        <v>158</v>
      </c>
      <c r="C6" s="11" t="s">
        <v>337</v>
      </c>
      <c r="D6" s="2">
        <v>16.82</v>
      </c>
      <c r="E6" s="12" t="s">
        <v>135</v>
      </c>
      <c r="F6" s="15">
        <v>0.16517944386375302</v>
      </c>
      <c r="G6" s="15">
        <f>F6 - Portfolio_Mgmt!$C$10</f>
        <v>4.7779443863753018E-2</v>
      </c>
      <c r="H6" s="15">
        <f>F6 - Portfolio_Mgmt!$C$11</f>
        <v>0.13067944386375302</v>
      </c>
      <c r="I6" s="15">
        <v>4.7334476120187777E-2</v>
      </c>
      <c r="J6" s="2">
        <v>12.372137804013709</v>
      </c>
      <c r="K6" s="2">
        <v>24.719975729523263</v>
      </c>
      <c r="L6" s="71">
        <v>21.437805574898178</v>
      </c>
      <c r="M6" s="2">
        <v>15.406022516935389</v>
      </c>
      <c r="N6" s="2">
        <v>19.010984726978485</v>
      </c>
      <c r="O6" s="4">
        <v>5.6722416697583974E-2</v>
      </c>
      <c r="P6" s="4">
        <v>3.1855241474405264E-2</v>
      </c>
      <c r="Q6" s="4">
        <v>0.11088659065858371</v>
      </c>
      <c r="R6" s="4">
        <v>0.11515144021280303</v>
      </c>
      <c r="S6" s="79">
        <v>0.71131521233544359</v>
      </c>
      <c r="T6" s="78">
        <v>1.3537783359692717</v>
      </c>
      <c r="U6" s="15">
        <v>6.5417684980282262E-2</v>
      </c>
      <c r="V6" s="76">
        <v>0.5742845428370501</v>
      </c>
      <c r="W6" s="71">
        <v>5.444155739052281</v>
      </c>
      <c r="X6" s="13" t="s">
        <v>338</v>
      </c>
      <c r="Y6" s="11" t="s">
        <v>333</v>
      </c>
      <c r="Z6" s="14">
        <v>46081</v>
      </c>
      <c r="AA6" s="16" t="s">
        <v>183</v>
      </c>
    </row>
    <row r="7" spans="1:27">
      <c r="B7" s="11" t="s">
        <v>172</v>
      </c>
      <c r="C7" s="11" t="s">
        <v>339</v>
      </c>
      <c r="D7" s="2">
        <v>18.7</v>
      </c>
      <c r="E7" s="12" t="s">
        <v>135</v>
      </c>
      <c r="F7" s="15">
        <v>0.15955659570379019</v>
      </c>
      <c r="G7" s="15">
        <f>F7 - Portfolio_Mgmt!$C$10</f>
        <v>4.2156595703790184E-2</v>
      </c>
      <c r="H7" s="15">
        <f>F7 - Portfolio_Mgmt!$C$11</f>
        <v>0.12505659570379019</v>
      </c>
      <c r="I7" s="15">
        <v>2.6844090709888614E-2</v>
      </c>
      <c r="J7" s="2">
        <v>13.706578340488912</v>
      </c>
      <c r="K7" s="2">
        <v>24.740094819460644</v>
      </c>
      <c r="L7" s="71">
        <v>23.345982820939035</v>
      </c>
      <c r="M7" s="2">
        <v>16.941352450503821</v>
      </c>
      <c r="N7" s="2">
        <v>20.772600024702793</v>
      </c>
      <c r="O7" s="4">
        <v>0.12490157113251353</v>
      </c>
      <c r="P7" s="4">
        <v>6.737967914438503E-2</v>
      </c>
      <c r="Q7" s="4">
        <v>0.17244225698759846</v>
      </c>
      <c r="R7" s="4">
        <v>0.32385684070512349</v>
      </c>
      <c r="S7" s="79">
        <v>0.37515442207937094</v>
      </c>
      <c r="T7" s="78">
        <v>1.419320754716981</v>
      </c>
      <c r="U7" s="15">
        <v>9.2018392262565404E-2</v>
      </c>
      <c r="V7" s="76">
        <v>0.52904635366009978</v>
      </c>
      <c r="W7" s="71">
        <v>0.44896454798562274</v>
      </c>
      <c r="X7" s="13" t="s">
        <v>340</v>
      </c>
      <c r="Y7" s="11" t="s">
        <v>341</v>
      </c>
      <c r="Z7" s="14">
        <v>46081</v>
      </c>
      <c r="AA7" s="16" t="s">
        <v>183</v>
      </c>
    </row>
    <row r="8" spans="1:27">
      <c r="B8" s="11" t="s">
        <v>346</v>
      </c>
      <c r="C8" s="11" t="s">
        <v>347</v>
      </c>
      <c r="D8" s="2">
        <v>99.05</v>
      </c>
      <c r="E8" s="12" t="s">
        <v>135</v>
      </c>
      <c r="F8" s="15">
        <v>0.1299665366566248</v>
      </c>
      <c r="G8" s="15">
        <f>F8 - Portfolio_Mgmt!$C$10</f>
        <v>1.2566536656624799E-2</v>
      </c>
      <c r="H8" s="15">
        <f>F8 - Portfolio_Mgmt!$C$11</f>
        <v>9.5466536656624801E-2</v>
      </c>
      <c r="I8" s="15">
        <v>0</v>
      </c>
      <c r="J8" s="2">
        <v>65.855415300248424</v>
      </c>
      <c r="K8" s="2">
        <v>142.90625120153905</v>
      </c>
      <c r="L8" s="71">
        <v>115.84020679412686</v>
      </c>
      <c r="M8" s="2">
        <v>82.545127047820429</v>
      </c>
      <c r="N8" s="2">
        <v>102.42954077548724</v>
      </c>
      <c r="O8" s="4">
        <v>2.4112921435946417E-2</v>
      </c>
      <c r="P8" s="4">
        <v>0</v>
      </c>
      <c r="Q8" s="4">
        <v>0.14667015235144401</v>
      </c>
      <c r="R8" s="4">
        <v>8.0069983114389093E-2</v>
      </c>
      <c r="S8" s="79">
        <v>1.022390799101176</v>
      </c>
      <c r="T8" s="78">
        <v>1.7916578376478161</v>
      </c>
      <c r="U8" s="15">
        <v>0.27660377540313014</v>
      </c>
      <c r="V8" s="76">
        <v>1.7116972700897226</v>
      </c>
      <c r="W8" s="71">
        <v>3.4784970616815505</v>
      </c>
      <c r="X8" s="13" t="s">
        <v>348</v>
      </c>
      <c r="Y8" s="11" t="s">
        <v>349</v>
      </c>
      <c r="Z8" s="14">
        <v>46081</v>
      </c>
      <c r="AA8" s="16" t="s">
        <v>334</v>
      </c>
    </row>
    <row r="9" spans="1:27">
      <c r="B9" s="11" t="s">
        <v>329</v>
      </c>
      <c r="C9" s="11" t="s">
        <v>330</v>
      </c>
      <c r="D9" s="2">
        <v>6.52</v>
      </c>
      <c r="E9" s="12" t="s">
        <v>135</v>
      </c>
      <c r="F9" s="15">
        <v>0.12017169390553457</v>
      </c>
      <c r="G9" s="15">
        <f>F9 - Portfolio_Mgmt!$C$10</f>
        <v>2.7716939055345696E-3</v>
      </c>
      <c r="H9" s="15">
        <f>F9 - Portfolio_Mgmt!$C$11</f>
        <v>8.5671693905534571E-2</v>
      </c>
      <c r="I9" s="15">
        <v>0</v>
      </c>
      <c r="J9" s="2">
        <v>4.333028820025568</v>
      </c>
      <c r="K9" s="2">
        <v>7.8143613713918958</v>
      </c>
      <c r="L9" s="71">
        <v>7.3792932677079612</v>
      </c>
      <c r="M9" s="2">
        <v>5.3553121183397749</v>
      </c>
      <c r="N9" s="2">
        <v>6.5660659780940076</v>
      </c>
      <c r="O9" s="4">
        <v>6.0876354405804044E-2</v>
      </c>
      <c r="P9" s="4">
        <v>6.1349693251533749E-2</v>
      </c>
      <c r="Q9" s="4">
        <v>0.1167471410506614</v>
      </c>
      <c r="R9" s="4">
        <v>3.9086921133773919E-2</v>
      </c>
      <c r="S9" s="79">
        <v>1.3708738209065539</v>
      </c>
      <c r="T9" s="78">
        <v>2.1787997096988563</v>
      </c>
      <c r="U9" s="15">
        <v>0.77760119734648436</v>
      </c>
      <c r="V9" s="76">
        <v>5.3475400925918697</v>
      </c>
      <c r="W9" s="71">
        <v>-2.5047246524922007</v>
      </c>
      <c r="X9" s="13" t="s">
        <v>171</v>
      </c>
      <c r="Y9" s="11" t="s">
        <v>170</v>
      </c>
      <c r="Z9" s="14">
        <v>45991</v>
      </c>
      <c r="AA9" s="16" t="s">
        <v>183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7" sqref="C17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4.0300000000000002E-2</v>
      </c>
      <c r="D4" s="34">
        <v>7.2499999999999995E-2</v>
      </c>
      <c r="E4" s="35">
        <f>D4-C4</f>
        <v>3.2199999999999993E-2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D16" sqref="D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0.68577163866921165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16.82</v>
      </c>
      <c r="E4" s="59" t="str">
        <f>VLOOKUP(B4,Opportunities!B$3:E$30,4,FALSE)</f>
        <v>HKD</v>
      </c>
      <c r="F4" s="57">
        <v>4500</v>
      </c>
      <c r="G4" s="61">
        <f>D4*F4</f>
        <v>75690</v>
      </c>
      <c r="H4" s="58">
        <f>G4/$G$9</f>
        <v>6.7859124851286395E-2</v>
      </c>
      <c r="I4" s="58">
        <f>VLOOKUP(B4,Opportunities!B$3:I$30,8,FALSE)</f>
        <v>4.7334476120187777E-2</v>
      </c>
      <c r="J4" s="81">
        <f>VLOOKUP(B4,Opportunities!B$3:N$30,12,FALSE)</f>
        <v>15.406022516935389</v>
      </c>
      <c r="K4" s="81">
        <f>VLOOKUP(B4,Opportunities!B$3:N$30,9,FALSE)</f>
        <v>12.372137804013709</v>
      </c>
      <c r="L4" s="81">
        <f>VLOOKUP(B4,Opportunities!B$3:N$30,11,FALSE)</f>
        <v>21.437805574898178</v>
      </c>
      <c r="M4" s="81">
        <f>VLOOKUP(B4,Opportunities!B$3:N$30,13,FALSE)</f>
        <v>19.010984726978485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18.7</v>
      </c>
      <c r="E5" s="59" t="str">
        <f>VLOOKUP(B5,Opportunities!B$3:E$30,4,FALSE)</f>
        <v>HKD</v>
      </c>
      <c r="F5" s="57">
        <v>8000</v>
      </c>
      <c r="G5" s="61">
        <f>D5*F5</f>
        <v>149600</v>
      </c>
      <c r="H5" s="58">
        <f>G5/$G$9</f>
        <v>0.13412240821445959</v>
      </c>
      <c r="I5" s="58">
        <f>VLOOKUP(B5,Opportunities!B$3:I$30,8,FALSE)</f>
        <v>2.6844090709888614E-2</v>
      </c>
      <c r="J5" s="81">
        <f>VLOOKUP(B5,Opportunities!B$3:N$30,12,FALSE)</f>
        <v>16.941352450503821</v>
      </c>
      <c r="K5" s="81">
        <f>VLOOKUP(B5,Opportunities!B$3:N$30,9,FALSE)</f>
        <v>13.706578340488912</v>
      </c>
      <c r="L5" s="81">
        <f>VLOOKUP(B5,Opportunities!B$3:N$30,11,FALSE)</f>
        <v>23.345982820939035</v>
      </c>
      <c r="M5" s="81">
        <f>VLOOKUP(B5,Opportunities!B$3:N$30,13,FALSE)</f>
        <v>20.772600024702793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3.13</v>
      </c>
      <c r="E6" s="59" t="str">
        <f>VLOOKUP(B6,Opportunities!B$3:E$30,4,FALSE)</f>
        <v>HKD</v>
      </c>
      <c r="F6" s="57">
        <v>40000</v>
      </c>
      <c r="G6" s="61">
        <f>D6*F6</f>
        <v>125200</v>
      </c>
      <c r="H6" s="58">
        <f t="shared" ref="H6" si="0">G6/$G$9</f>
        <v>0.11224682826504237</v>
      </c>
      <c r="I6" s="58">
        <f>VLOOKUP(B6,Opportunities!B$3:I$30,8,FALSE)</f>
        <v>8.7288429280332216E-2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3.93</v>
      </c>
      <c r="E7" s="59" t="str">
        <f>VLOOKUP(B7,Opportunities!B$3:E$30,4,FALSE)</f>
        <v>HKD</v>
      </c>
      <c r="F7" s="57">
        <v>12000</v>
      </c>
      <c r="G7" s="61">
        <f>D7*F7</f>
        <v>47160</v>
      </c>
      <c r="H7" s="58">
        <f t="shared" ref="H7" si="1">G7/$G$9</f>
        <v>4.228083403338178E-2</v>
      </c>
      <c r="I7" s="58">
        <f>VLOOKUP(B7,Opportunities!B$3:I$30,8,FALSE)</f>
        <v>8.7069315328031568E-2</v>
      </c>
      <c r="J7" s="81">
        <f>VLOOKUP(B7,Opportunities!B$3:N$30,12,FALSE)</f>
        <v>4.0314781432043176</v>
      </c>
      <c r="K7" s="81">
        <f>VLOOKUP(B7,Opportunities!B$3:N$30,9,FALSE)</f>
        <v>3.2529310572008892</v>
      </c>
      <c r="L7" s="81">
        <f>VLOOKUP(B7,Opportunities!B$3:N$30,11,FALSE)</f>
        <v>5.5753169152831736</v>
      </c>
      <c r="M7" s="81">
        <f>VLOOKUP(B7,Opportunities!B$3:N$30,13,FALSE)</f>
        <v>4.9546928905349281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1115399</v>
      </c>
      <c r="H9" s="67">
        <f>SUM(H3:H6)</f>
        <v>1</v>
      </c>
      <c r="I9" s="73">
        <f>SUM(I3:I6)</f>
        <v>0.61146699611040856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16.82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4.7334476120187777E-2</v>
      </c>
      <c r="J12" s="81">
        <f>VLOOKUP(B12,Opportunities!B$3:N$30,12,FALSE)</f>
        <v>15.406022516935389</v>
      </c>
      <c r="K12" s="81">
        <f>VLOOKUP(B12,Opportunities!B$3:N$30,9,FALSE)</f>
        <v>12.372137804013709</v>
      </c>
      <c r="L12" s="81">
        <f>VLOOKUP(B12,Opportunities!B$3:N$30,11,FALSE)</f>
        <v>21.437805574898178</v>
      </c>
      <c r="M12" s="81">
        <f>VLOOKUP(B12,Opportunities!B$3:N$30,13,FALSE)</f>
        <v>19.010984726978485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18.7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2.6844090709888614E-2</v>
      </c>
      <c r="J13" s="81">
        <f>VLOOKUP(B13,Opportunities!B$3:N$30,12,FALSE)</f>
        <v>16.941352450503821</v>
      </c>
      <c r="K13" s="81">
        <f>VLOOKUP(B13,Opportunities!B$3:N$30,9,FALSE)</f>
        <v>13.706578340488912</v>
      </c>
      <c r="L13" s="81">
        <f>VLOOKUP(B13,Opportunities!B$3:N$30,11,FALSE)</f>
        <v>23.345982820939035</v>
      </c>
      <c r="M13" s="81">
        <f>VLOOKUP(B13,Opportunities!B$3:N$30,13,FALSE)</f>
        <v>20.772600024702793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3.13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8.7288429280332216E-2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3.93</v>
      </c>
      <c r="E15" s="59" t="str">
        <f>VLOOKUP(B15,Opportunities!B$3:E$30,4,FALSE)</f>
        <v>HKD</v>
      </c>
      <c r="F15" s="57">
        <v>8000</v>
      </c>
      <c r="G15" s="61">
        <f>-D15*F15</f>
        <v>-31440</v>
      </c>
      <c r="H15" s="58">
        <f>-G15/$G$9</f>
        <v>2.8187222688921185E-2</v>
      </c>
      <c r="I15" s="58">
        <f>VLOOKUP(B15,Opportunities!B$3:I$30,8,FALSE)</f>
        <v>8.7069315328031568E-2</v>
      </c>
      <c r="J15" s="81">
        <f>VLOOKUP(B15,Opportunities!B$3:N$30,12,FALSE)</f>
        <v>4.0314781432043176</v>
      </c>
      <c r="K15" s="81">
        <f>VLOOKUP(B15,Opportunities!B$3:N$30,9,FALSE)</f>
        <v>3.2529310572008892</v>
      </c>
      <c r="L15" s="81">
        <f>VLOOKUP(B15,Opportunities!B$3:N$30,11,FALSE)</f>
        <v>5.5753169152831736</v>
      </c>
      <c r="M15" s="81">
        <f>VLOOKUP(B15,Opportunities!B$3:N$30,13,FALSE)</f>
        <v>4.9546928905349281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7.05</v>
      </c>
      <c r="E16" s="59" t="str">
        <f>VLOOKUP(B16,Opportunities!B$3:E$30,4,FALSE)</f>
        <v>HKD</v>
      </c>
      <c r="F16" s="57">
        <v>8000</v>
      </c>
      <c r="G16" s="61">
        <f>-D16*F16</f>
        <v>-56400</v>
      </c>
      <c r="H16" s="58">
        <f>-G16/$G$9</f>
        <v>5.056486512898075E-2</v>
      </c>
      <c r="I16" s="58">
        <f>VLOOKUP(B16,Opportunities!B$3:I$30,8,FALSE)</f>
        <v>5.4181428462920282E-2</v>
      </c>
      <c r="J16" s="81">
        <f>VLOOKUP(B16,Opportunities!B$3:N$30,12,FALSE)</f>
        <v>6.7790555620992601</v>
      </c>
      <c r="K16" s="81">
        <f>VLOOKUP(B16,Opportunities!B$3:N$30,9,FALSE)</f>
        <v>5.4553259188453129</v>
      </c>
      <c r="L16" s="81">
        <f>VLOOKUP(B16,Opportunities!B$3:N$30,11,FALSE)</f>
        <v>9.4078672443472389</v>
      </c>
      <c r="M16" s="81">
        <f>VLOOKUP(B16,Opportunities!B$3:N$30,13,FALSE)</f>
        <v>8.3505768448419637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677069</v>
      </c>
      <c r="H18" s="73">
        <f t="shared" ref="H18" si="2">G18/$G$9</f>
        <v>0.60701955085130976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6" t="s">
        <v>87</v>
      </c>
      <c r="C3" s="156"/>
      <c r="D3" s="156"/>
    </row>
    <row r="5" spans="1:4">
      <c r="B5" s="157" t="s">
        <v>89</v>
      </c>
      <c r="C5" s="158"/>
      <c r="D5" s="158"/>
    </row>
    <row r="6" spans="1:4">
      <c r="B6" s="157" t="s">
        <v>90</v>
      </c>
      <c r="C6" s="158"/>
      <c r="D6" s="158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6" t="s">
        <v>92</v>
      </c>
      <c r="C11" s="156"/>
      <c r="D11" s="156"/>
    </row>
    <row r="12" spans="1:4">
      <c r="B12" s="156" t="s">
        <v>93</v>
      </c>
      <c r="C12" s="156"/>
      <c r="D12" s="156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6" t="s">
        <v>105</v>
      </c>
      <c r="C28" s="156"/>
      <c r="D28" s="156"/>
    </row>
    <row r="29" spans="1:4">
      <c r="B29" s="156" t="s">
        <v>106</v>
      </c>
      <c r="C29" s="156"/>
      <c r="D29" s="156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2025-10-16T01:48:19Z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