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730A297-B36C-4405-9804-2FFCDAC0B14D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<sst xmlns="http://schemas.openxmlformats.org/spreadsheetml/2006/main" count="373" uniqueCount="291">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</sst>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5" zoomScale="105" workbookViewId="0">
      <selection activeCell="B43" sqref="B43:E4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2.57</v>
      </c>
      <c r="E3" s="12" t="s">
        <v>136</v>
      </c>
      <c r="F3" s="15">
        <v>0.29306535315093174</v>
      </c>
      <c r="G3" s="15">
        <f>F3 - Portfolio_Mgmt!$C$10</f>
        <v>0.17566535315093174</v>
      </c>
      <c r="H3" s="15">
        <f>F3 - Portfolio_Mgmt!$C$11</f>
        <v>0.25856535315093176</v>
      </c>
      <c r="I3" s="15">
        <v>0.15877918039496483</v>
      </c>
      <c r="J3" s="2">
        <v>2.2019752270440667</v>
      </c>
      <c r="K3" s="2">
        <v>4.4858408799140586</v>
      </c>
      <c r="L3" s="74">
        <v>4.3130669791905083</v>
      </c>
      <c r="M3" s="2">
        <v>3.039853505232323</v>
      </c>
      <c r="N3" s="2">
        <v>3.8666759160925035</v>
      </c>
      <c r="O3" s="4">
        <v>8.3447280287888156E-2</v>
      </c>
      <c r="P3" s="4">
        <v>0.10505836575875488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18.239999999999998</v>
      </c>
      <c r="E4" s="12" t="s">
        <v>136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4.7066051487542344E-2</v>
      </c>
      <c r="J4" s="2">
        <v>13.238623976404986</v>
      </c>
      <c r="K4" s="2">
        <v>28.508881711889689</v>
      </c>
      <c r="L4" s="74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-0.4596348948369734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2.12</v>
      </c>
      <c r="E5" s="12" t="s">
        <v>136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4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1.8526470942667237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4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17.2</v>
      </c>
      <c r="E7" s="12" t="s">
        <v>136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4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4.6231847490597664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51.65</v>
      </c>
      <c r="E8" s="12" t="s">
        <v>136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4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1.3630035780909358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185</v>
      </c>
      <c r="C9" s="11" t="s">
        <v>186</v>
      </c>
      <c r="D9" s="2">
        <v>6.83</v>
      </c>
      <c r="E9" s="12" t="s">
        <v>136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4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2">
        <v>1.0025080757150273</v>
      </c>
      <c r="T9" s="81">
        <v>1.6100746083165727</v>
      </c>
      <c r="U9" s="15">
        <v>0.16360901428944893</v>
      </c>
      <c r="V9" s="79">
        <v>1.1309485990394448</v>
      </c>
      <c r="W9" s="74">
        <v>-3.891145411736276</v>
      </c>
      <c r="X9" s="13" t="s">
        <v>162</v>
      </c>
      <c r="Y9" s="11" t="s">
        <v>137</v>
      </c>
      <c r="Z9" s="14">
        <v>45900</v>
      </c>
      <c r="AA9" s="16" t="s">
        <v>224</v>
      </c>
    </row>
    <row r="10" spans="1:27">
      <c r="B10" s="11" t="s">
        <v>179</v>
      </c>
      <c r="C10" s="11" t="s">
        <v>180</v>
      </c>
      <c r="D10" s="2">
        <v>58.35</v>
      </c>
      <c r="E10" s="12" t="s">
        <v>136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4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-2.6747933489227389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208</v>
      </c>
      <c r="C11" s="11" t="s">
        <v>217</v>
      </c>
      <c r="D11" s="2">
        <v>27.06</v>
      </c>
      <c r="E11" s="12" t="s">
        <v>206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4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205</v>
      </c>
      <c r="C12" s="11" t="s">
        <v>216</v>
      </c>
      <c r="D12" s="2">
        <v>23.95</v>
      </c>
      <c r="E12" s="12" t="s">
        <v>206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4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5.94</v>
      </c>
      <c r="E13" s="12" t="s">
        <v>136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15.12</v>
      </c>
      <c r="E14" s="12" t="s">
        <v>136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8.6999999999999993</v>
      </c>
      <c r="E15" s="12" t="s">
        <v>136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20.95</v>
      </c>
      <c r="E16" s="12" t="s">
        <v>136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2.72</v>
      </c>
      <c r="E17" s="12" t="s">
        <v>136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1.9176660231063327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1.83</v>
      </c>
      <c r="E18" s="12" t="s">
        <v>136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50.5</v>
      </c>
      <c r="E19" s="12" t="s">
        <v>136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-6.0168078063871082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0.43564171086890724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6.83</v>
      </c>
      <c r="D4" s="62" t="str">
        <f>VLOOKUP(B4,Opportunities!B$3:E$30,4,FALSE)</f>
        <v>HKD</v>
      </c>
      <c r="E4" s="59">
        <v>10000</v>
      </c>
      <c r="F4" s="64">
        <f>E4*C4</f>
        <v>68300</v>
      </c>
      <c r="G4" s="61">
        <f>F4/$F$10</f>
        <v>7.2560654997277277E-2</v>
      </c>
      <c r="H4" s="61">
        <f>VLOOKUP(B4,Opportunities!B$3:I$30,8,FALSE)</f>
        <v>0</v>
      </c>
      <c r="I4" s="84">
        <f>VLOOKUP(B4,Opportunities!B$3:N$30,12,FALSE)</f>
        <v>5.7663680471223877</v>
      </c>
      <c r="J4" s="84">
        <f>VLOOKUP(B4,Opportunities!B$3:N$30,9,FALSE)</f>
        <v>4.1529124986149366</v>
      </c>
      <c r="K4" s="84">
        <f>VLOOKUP(B4,Opportunities!B$3:N$30,11,FALSE)</f>
        <v>8.2247389950012426</v>
      </c>
      <c r="L4" s="84">
        <f>VLOOKUP(B4,Opportunities!B$3:N$30,13,FALSE)</f>
        <v>7.3621366423823531</v>
      </c>
    </row>
    <row r="5" spans="1:12">
      <c r="B5" s="66" t="s">
        <v>163</v>
      </c>
      <c r="C5" s="63">
        <f>VLOOKUP(B5,Opportunities!B$3:E$30,3,FALSE)</f>
        <v>17.2</v>
      </c>
      <c r="D5" s="62" t="str">
        <f>VLOOKUP(B5,Opportunities!B$3:E$30,4,FALSE)</f>
        <v>HKD</v>
      </c>
      <c r="E5" s="59">
        <v>9000</v>
      </c>
      <c r="F5" s="64">
        <f>C5*E5</f>
        <v>154800</v>
      </c>
      <c r="G5" s="61">
        <f>F5/$F$10</f>
        <v>0.16445665290744543</v>
      </c>
      <c r="H5" s="61">
        <f>VLOOKUP(B5,Opportunities!B$3:I$30,8,FALSE)</f>
        <v>0</v>
      </c>
      <c r="I5" s="84">
        <f>VLOOKUP(B5,Opportunities!B$3:N$30,12,FALSE)</f>
        <v>15.222401719704914</v>
      </c>
      <c r="J5" s="84">
        <f>VLOOKUP(B5,Opportunities!B$3:N$30,9,FALSE)</f>
        <v>10.843215893000766</v>
      </c>
      <c r="K5" s="84">
        <f>VLOOKUP(B5,Opportunities!B$3:N$30,11,FALSE)</f>
        <v>21.92729017683217</v>
      </c>
      <c r="L5" s="84">
        <f>VLOOKUP(B5,Opportunities!B$3:N$30,13,FALSE)</f>
        <v>19.571262965369332</v>
      </c>
    </row>
    <row r="6" spans="1:12">
      <c r="B6" s="66" t="s">
        <v>210</v>
      </c>
      <c r="C6" s="63">
        <f>VLOOKUP(B6,Opportunities!B$3:E$30,3,FALSE)</f>
        <v>18.239999999999998</v>
      </c>
      <c r="D6" s="62" t="str">
        <f>VLOOKUP(B6,Opportunities!B$3:E$30,4,FALSE)</f>
        <v>HKD</v>
      </c>
      <c r="E6" s="59">
        <v>8000</v>
      </c>
      <c r="F6" s="64">
        <f>C6*E6</f>
        <v>145920</v>
      </c>
      <c r="G6" s="61">
        <f>F6/$F$10</f>
        <v>0.15502270537632065</v>
      </c>
      <c r="H6" s="61">
        <f>VLOOKUP(B6,Opportunities!B$3:I$30,8,FALSE)</f>
        <v>4.7066051487542344E-2</v>
      </c>
      <c r="I6" s="84">
        <f>VLOOKUP(B6,Opportunities!B$3:N$30,12,FALSE)</f>
        <v>18.384349198892416</v>
      </c>
      <c r="J6" s="84">
        <f>VLOOKUP(B6,Opportunities!B$3:N$30,9,FALSE)</f>
        <v>13.238623976404986</v>
      </c>
      <c r="K6" s="84">
        <f>VLOOKUP(B6,Opportunities!B$3:N$30,11,FALSE)</f>
        <v>26.2251880911233</v>
      </c>
      <c r="L6" s="84">
        <f>VLOOKUP(B6,Opportunities!B$3:N$30,13,FALSE)</f>
        <v>23.47391719890927</v>
      </c>
    </row>
    <row r="7" spans="1:12">
      <c r="B7" s="66" t="s">
        <v>227</v>
      </c>
      <c r="C7" s="63">
        <f>VLOOKUP(B7,Opportunities!B$3:E$30,3,FALSE)</f>
        <v>5.94</v>
      </c>
      <c r="D7" s="62" t="str">
        <f>VLOOKUP(B7,Opportunities!B$3:E$30,4,FALSE)</f>
        <v>HKD</v>
      </c>
      <c r="E7" s="59">
        <v>10000</v>
      </c>
      <c r="F7" s="64">
        <f>C7*E7</f>
        <v>59400.000000000007</v>
      </c>
      <c r="G7" s="61">
        <f t="shared" ref="G7" si="0">F7/$F$10</f>
        <v>6.3105459836577907E-2</v>
      </c>
      <c r="H7" s="61">
        <f>VLOOKUP(B7,Opportunities!B$3:I$30,8,FALSE)</f>
        <v>0</v>
      </c>
      <c r="I7" s="84">
        <f>VLOOKUP(B7,Opportunities!B$3:N$30,12,FALSE)</f>
        <v>4.8197379854720408</v>
      </c>
      <c r="J7" s="84">
        <f>VLOOKUP(B7,Opportunities!B$3:N$30,9,FALSE)</f>
        <v>3.4769479145113666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2.57</v>
      </c>
      <c r="D8" s="62" t="str">
        <f>VLOOKUP(B8,Opportunities!B$3:E$30,4,FALSE)</f>
        <v>HKD</v>
      </c>
      <c r="E8" s="59">
        <v>40000</v>
      </c>
      <c r="F8" s="64">
        <f>C8*E8</f>
        <v>102800</v>
      </c>
      <c r="G8" s="61">
        <f t="shared" ref="G8" si="1">F8/$F$10</f>
        <v>0.10921281601347151</v>
      </c>
      <c r="H8" s="61">
        <f>VLOOKUP(B8,Opportunities!B$3:I$30,8,FALSE)</f>
        <v>0.15877918039496483</v>
      </c>
      <c r="I8" s="84">
        <f>VLOOKUP(B8,Opportunities!B$3:N$30,12,FALSE)</f>
        <v>3.039853505232323</v>
      </c>
      <c r="J8" s="84">
        <f>VLOOKUP(B8,Opportunities!B$3:N$30,9,FALSE)</f>
        <v>2.2019752270440667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941281.47</v>
      </c>
      <c r="G10" s="70">
        <f>SUM(G3:G8)</f>
        <v>1</v>
      </c>
      <c r="H10" s="76">
        <f>SUM(H3:H8)</f>
        <v>0.65584523188250721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2.57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0.15877918039496483</v>
      </c>
      <c r="I13" s="84">
        <f>VLOOKUP(B13,Opportunities!B$3:N$30,12,FALSE)</f>
        <v>3.039853505232323</v>
      </c>
      <c r="J13" s="84">
        <f>VLOOKUP(B13,Opportunities!B$3:N$30,9,FALSE)</f>
        <v>2.2019752270440667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6.83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5.7663680471223877</v>
      </c>
      <c r="J14" s="84">
        <f>VLOOKUP(B14,Opportunities!B$3:N$30,9,FALSE)</f>
        <v>4.1529124986149366</v>
      </c>
      <c r="K14" s="84">
        <f>VLOOKUP(B14,Opportunities!B$3:N$30,11,FALSE)</f>
        <v>8.2247389950012426</v>
      </c>
      <c r="L14" s="84">
        <f>VLOOKUP(B14,Opportunities!B$3:N$30,13,FALSE)</f>
        <v>7.3621366423823531</v>
      </c>
    </row>
    <row r="15" spans="1:12">
      <c r="B15" s="66" t="s">
        <v>227</v>
      </c>
      <c r="C15" s="63">
        <f>VLOOKUP(B15,Opportunities!B$3:E$30,3,FALSE)</f>
        <v>5.94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4.8197379854720408</v>
      </c>
      <c r="J15" s="84">
        <f>VLOOKUP(B15,Opportunities!B$3:N$30,9,FALSE)</f>
        <v>3.4769479145113666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18.239999999999998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4.7066051487542344E-2</v>
      </c>
      <c r="I16" s="84">
        <f>VLOOKUP(B16,Opportunities!B$3:N$30,12,FALSE)</f>
        <v>18.384349198892416</v>
      </c>
      <c r="J16" s="84">
        <f>VLOOKUP(B16,Opportunities!B$3:N$30,9,FALSE)</f>
        <v>13.238623976404986</v>
      </c>
      <c r="K16" s="84">
        <f>VLOOKUP(B16,Opportunities!B$3:N$30,11,FALSE)</f>
        <v>26.2251880911233</v>
      </c>
      <c r="L16" s="84">
        <f>VLOOKUP(B16,Opportunities!B$3:N$30,13,FALSE)</f>
        <v>23.47391719890927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0.43564171086890724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2025-07-06T15:11:06Z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