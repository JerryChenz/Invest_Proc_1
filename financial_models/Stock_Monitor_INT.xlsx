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9BBF4CE-D9F2-462E-89A9-A0C680C70A5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<sst xmlns="http://schemas.openxmlformats.org/spreadsheetml/2006/main" count="494" uniqueCount="392">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</sst>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198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50" t="s">
        <v>342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200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50" t="s">
        <v>207</v>
      </c>
      <c r="C41" s="150"/>
      <c r="D41" s="150"/>
      <c r="E41" s="150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1" t="s">
        <v>344</v>
      </c>
      <c r="C50" s="150"/>
      <c r="D50" s="150"/>
      <c r="E50" s="150"/>
    </row>
    <row r="51" spans="1:5">
      <c r="B51" s="151" t="s">
        <v>220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209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K10" sqref="K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10.09</v>
      </c>
      <c r="E3" s="12" t="s">
        <v>129</v>
      </c>
      <c r="F3" s="15">
        <v>0.28278368951104055</v>
      </c>
      <c r="G3" s="15">
        <v>0.14334574001482767</v>
      </c>
      <c r="H3" s="2">
        <v>9.7116316002521508</v>
      </c>
      <c r="I3" s="2">
        <v>18.889038021953976</v>
      </c>
      <c r="J3" s="71">
        <v>16.913905658054667</v>
      </c>
      <c r="K3" s="2">
        <v>12.223245925204848</v>
      </c>
      <c r="L3" s="2">
        <v>15.01877520571135</v>
      </c>
      <c r="M3" s="4">
        <v>0.1012704980477256</v>
      </c>
      <c r="N3" s="4">
        <v>6.0791637264618448E-2</v>
      </c>
      <c r="O3" s="4">
        <v>0.10095809571926508</v>
      </c>
      <c r="P3" s="4">
        <v>0.12639819901308919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1.7724768754353302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3.74</v>
      </c>
      <c r="E4" s="12" t="s">
        <v>129</v>
      </c>
      <c r="F4" s="15">
        <v>0.25264215752963443</v>
      </c>
      <c r="G4" s="15">
        <v>8.2353184860977424E-2</v>
      </c>
      <c r="H4" s="2">
        <v>3.364491377208787</v>
      </c>
      <c r="I4" s="2">
        <v>6.4270055557277068</v>
      </c>
      <c r="J4" s="71">
        <v>5.8414210035033776</v>
      </c>
      <c r="K4" s="2">
        <v>4.2286791410461264</v>
      </c>
      <c r="L4" s="2">
        <v>5.1899904638836762</v>
      </c>
      <c r="M4" s="4">
        <v>0.11525108267036881</v>
      </c>
      <c r="N4" s="4">
        <v>6.4652406417112299E-2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1.2907792110039855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68.55</v>
      </c>
      <c r="E5" s="12" t="s">
        <v>129</v>
      </c>
      <c r="F5" s="15">
        <v>0.24632545477758799</v>
      </c>
      <c r="G5" s="15">
        <v>7.9161230264604129E-2</v>
      </c>
      <c r="H5" s="2">
        <v>60.957574813005664</v>
      </c>
      <c r="I5" s="2">
        <v>108.46918786417346</v>
      </c>
      <c r="J5" s="71">
        <v>104.59133596507058</v>
      </c>
      <c r="K5" s="2">
        <v>76.210030013989268</v>
      </c>
      <c r="L5" s="2">
        <v>93.137860625759643</v>
      </c>
      <c r="M5" s="4">
        <v>0.13242068375971852</v>
      </c>
      <c r="N5" s="4">
        <v>9.3064916119620714E-2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-19.267278069624581</v>
      </c>
      <c r="V5" s="13" t="s">
        <v>366</v>
      </c>
      <c r="W5" s="11" t="s">
        <v>363</v>
      </c>
      <c r="X5" s="14">
        <v>46081</v>
      </c>
      <c r="Y5" s="16" t="s">
        <v>352</v>
      </c>
    </row>
    <row r="6" spans="1:25">
      <c r="B6" s="11" t="s">
        <v>367</v>
      </c>
      <c r="C6" s="11" t="s">
        <v>368</v>
      </c>
      <c r="D6" s="2">
        <v>6.32</v>
      </c>
      <c r="E6" s="12" t="s">
        <v>129</v>
      </c>
      <c r="F6" s="15">
        <v>0.23096571898597296</v>
      </c>
      <c r="G6" s="15">
        <v>0.10597440070583153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7.4545350293564669E-2</v>
      </c>
      <c r="N6" s="4">
        <v>2.2468354430379745E-2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39.340000000000003</v>
      </c>
      <c r="E7" s="12" t="s">
        <v>129</v>
      </c>
      <c r="F7" s="15">
        <v>0.2189068073383065</v>
      </c>
      <c r="G7" s="15">
        <v>9.4660639895260815E-2</v>
      </c>
      <c r="H7" s="2">
        <v>32.446118385069326</v>
      </c>
      <c r="I7" s="2">
        <v>70.717542091997316</v>
      </c>
      <c r="J7" s="71">
        <v>57.694794630397716</v>
      </c>
      <c r="K7" s="2">
        <v>41.223623895831778</v>
      </c>
      <c r="L7" s="2">
        <v>51.030122906784129</v>
      </c>
      <c r="M7" s="4">
        <v>5.9505949518600436E-2</v>
      </c>
      <c r="N7" s="4">
        <v>3.6095577020843917E-3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11.42511410315061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319</v>
      </c>
      <c r="C8" s="11" t="s">
        <v>374</v>
      </c>
      <c r="D8" s="2">
        <v>4.28</v>
      </c>
      <c r="E8" s="12" t="s">
        <v>129</v>
      </c>
      <c r="F8" s="15">
        <v>0.21004549909867254</v>
      </c>
      <c r="G8" s="15">
        <v>5.6998861203807982E-2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9.4374574451461121E-2</v>
      </c>
      <c r="N8" s="4">
        <v>7.0093457943925241E-2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366</v>
      </c>
      <c r="W8" s="11" t="s">
        <v>363</v>
      </c>
      <c r="X8" s="14">
        <v>46173</v>
      </c>
      <c r="Y8" s="16" t="s">
        <v>352</v>
      </c>
    </row>
    <row r="9" spans="1:25">
      <c r="B9" s="11" t="s">
        <v>369</v>
      </c>
      <c r="C9" s="11" t="s">
        <v>370</v>
      </c>
      <c r="D9" s="2">
        <v>78</v>
      </c>
      <c r="E9" s="12" t="s">
        <v>129</v>
      </c>
      <c r="F9" s="15">
        <v>0.20964601416581005</v>
      </c>
      <c r="G9" s="15">
        <v>8.5066573632149617E-2</v>
      </c>
      <c r="H9" s="2">
        <v>63.501684738473905</v>
      </c>
      <c r="I9" s="2">
        <v>121.2350113704272</v>
      </c>
      <c r="J9" s="71">
        <v>110.24073010927142</v>
      </c>
      <c r="K9" s="2">
        <v>79.808941765293525</v>
      </c>
      <c r="L9" s="2">
        <v>97.948589316946411</v>
      </c>
      <c r="M9" s="4">
        <v>6.9831815923437526E-2</v>
      </c>
      <c r="N9" s="4">
        <v>5.8730769230769239E-2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1.4639953969702588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107.2</v>
      </c>
      <c r="E10" s="12" t="s">
        <v>129</v>
      </c>
      <c r="F10" s="15">
        <v>0.20863974928375445</v>
      </c>
      <c r="G10" s="15">
        <v>8.3971628785150784E-2</v>
      </c>
      <c r="H10" s="2">
        <v>86.662134691054163</v>
      </c>
      <c r="I10" s="2">
        <v>176.39180991624602</v>
      </c>
      <c r="J10" s="71">
        <v>152.15313136227087</v>
      </c>
      <c r="K10" s="2">
        <v>109.47234370153126</v>
      </c>
      <c r="L10" s="2">
        <v>134.8988999722055</v>
      </c>
      <c r="M10" s="4">
        <v>-1.0721870695521548E-2</v>
      </c>
      <c r="N10" s="4">
        <v>3.274253731343283E-2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-67.138417485858795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378</v>
      </c>
      <c r="C11" s="11" t="s">
        <v>379</v>
      </c>
      <c r="D11" s="2">
        <v>38.42</v>
      </c>
      <c r="E11" s="12" t="s">
        <v>129</v>
      </c>
      <c r="F11" s="15">
        <v>0.19036803948504941</v>
      </c>
      <c r="G11" s="15">
        <v>6.2032042739794235E-2</v>
      </c>
      <c r="H11" s="2">
        <v>29.745919945349897</v>
      </c>
      <c r="I11" s="2">
        <v>59.638896139933735</v>
      </c>
      <c r="J11" s="71">
        <v>52.083860038187233</v>
      </c>
      <c r="K11" s="2">
        <v>37.529314479128317</v>
      </c>
      <c r="L11" s="2">
        <v>46.201168617153108</v>
      </c>
      <c r="M11" s="4">
        <v>7.4880535426668754E-2</v>
      </c>
      <c r="N11" s="4">
        <v>3.7267100468505988E-2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-6.2046203775958029</v>
      </c>
      <c r="V11" s="13" t="s">
        <v>366</v>
      </c>
      <c r="W11" s="11" t="s">
        <v>351</v>
      </c>
      <c r="X11" s="14">
        <v>46081</v>
      </c>
      <c r="Y11" s="16" t="s">
        <v>364</v>
      </c>
    </row>
    <row r="12" spans="1:25">
      <c r="B12" s="11" t="s">
        <v>175</v>
      </c>
      <c r="C12" s="11" t="s">
        <v>376</v>
      </c>
      <c r="D12" s="2">
        <v>3.27</v>
      </c>
      <c r="E12" s="12" t="s">
        <v>129</v>
      </c>
      <c r="F12" s="15">
        <v>0.18222622082566256</v>
      </c>
      <c r="G12" s="15">
        <v>5.0810161756509313E-2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7.4258357213923459E-2</v>
      </c>
      <c r="N12" s="4">
        <v>8.2568807339449546E-2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4.53</v>
      </c>
      <c r="E13" s="12" t="s">
        <v>129</v>
      </c>
      <c r="F13" s="15">
        <v>0.16643817544217571</v>
      </c>
      <c r="G13" s="15">
        <v>1.7243053836800037E-2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6.8478585289669033E-2</v>
      </c>
      <c r="N13" s="4">
        <v>3.5143487858719645E-2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8.3000000000000007</v>
      </c>
      <c r="E14" s="12" t="s">
        <v>129</v>
      </c>
      <c r="F14" s="15">
        <v>0.1523329174543086</v>
      </c>
      <c r="G14" s="15">
        <v>0</v>
      </c>
      <c r="H14" s="2">
        <v>5.8556339381112288</v>
      </c>
      <c r="I14" s="2">
        <v>11.576670822896972</v>
      </c>
      <c r="J14" s="2">
        <v>10.227477546406098</v>
      </c>
      <c r="K14" s="2">
        <v>7.3795321407982479</v>
      </c>
      <c r="L14" s="2">
        <v>9.0765992436228338</v>
      </c>
      <c r="M14" s="4">
        <v>8.6092731622039911E-2</v>
      </c>
      <c r="N14" s="4">
        <v>3.8897150681927707E-2</v>
      </c>
      <c r="O14" s="4">
        <v>0.17172008317675019</v>
      </c>
      <c r="P14" s="4">
        <v>8.3606195987833407E-2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-2.9976640599262927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22</v>
      </c>
      <c r="E15" s="12" t="s">
        <v>129</v>
      </c>
      <c r="F15" s="15">
        <v>0.10753878801369247</v>
      </c>
      <c r="G15" s="15">
        <v>0</v>
      </c>
      <c r="H15" s="2">
        <v>13.757769786501274</v>
      </c>
      <c r="I15" s="2">
        <v>28.171637777548053</v>
      </c>
      <c r="J15" s="2">
        <v>24.180944523459061</v>
      </c>
      <c r="K15" s="2">
        <v>17.387516654247808</v>
      </c>
      <c r="L15" s="2">
        <v>21.434401128760559</v>
      </c>
      <c r="M15" s="4">
        <v>5.167259365068487E-2</v>
      </c>
      <c r="N15" s="4">
        <v>2.3401486026375651E-2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5.6659314522473956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</v>
      </c>
      <c r="E16" s="12" t="s">
        <v>129</v>
      </c>
      <c r="F16" s="15">
        <v>6.682195798376131E-2</v>
      </c>
      <c r="G16" s="15">
        <v>0</v>
      </c>
      <c r="H16" s="2">
        <v>43.658908356146299</v>
      </c>
      <c r="I16" s="2">
        <v>95.918621658453446</v>
      </c>
      <c r="J16" s="2">
        <v>77.751902907681895</v>
      </c>
      <c r="K16" s="2">
        <v>55.508461607901303</v>
      </c>
      <c r="L16" s="2">
        <v>68.750668957351252</v>
      </c>
      <c r="M16" s="4">
        <v>1.5761615817457927E-2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3.6201987696558029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29.44</v>
      </c>
      <c r="E17" s="12" t="s">
        <v>129</v>
      </c>
      <c r="F17" s="15">
        <v>3.7942195625982316E-3</v>
      </c>
      <c r="G17" s="15">
        <v>0</v>
      </c>
      <c r="H17" s="2">
        <v>14.114437075347045</v>
      </c>
      <c r="I17" s="2">
        <v>25.982018254537458</v>
      </c>
      <c r="J17" s="2">
        <v>24.352689429867432</v>
      </c>
      <c r="K17" s="2">
        <v>17.690056860264733</v>
      </c>
      <c r="L17" s="2">
        <v>21.662761554122742</v>
      </c>
      <c r="M17" s="4">
        <v>8.2719418697393493E-2</v>
      </c>
      <c r="N17" s="4">
        <v>4.2798913043478257E-2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0.4672537809909531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1" t="s">
        <v>226</v>
      </c>
      <c r="C4" s="150"/>
      <c r="D4" s="150"/>
      <c r="E4" s="150"/>
    </row>
    <row r="6" spans="1:5">
      <c r="A6" s="20" t="s">
        <v>55</v>
      </c>
      <c r="B6" s="19" t="s">
        <v>227</v>
      </c>
      <c r="C6" s="47"/>
    </row>
    <row r="7" spans="1:5">
      <c r="B7" s="151" t="s">
        <v>317</v>
      </c>
      <c r="C7" s="150"/>
      <c r="D7" s="150"/>
      <c r="E7" s="150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51" t="s">
        <v>242</v>
      </c>
      <c r="C24" s="150"/>
      <c r="D24" s="150"/>
      <c r="E24" s="150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0" t="s">
        <v>262</v>
      </c>
      <c r="C40" s="150"/>
      <c r="D40" s="150"/>
      <c r="E40" s="150"/>
    </row>
    <row r="41" spans="1:5">
      <c r="B41" s="151" t="s">
        <v>263</v>
      </c>
      <c r="C41" s="150"/>
      <c r="D41" s="150"/>
      <c r="E41" s="150"/>
    </row>
    <row r="42" spans="1:5">
      <c r="B42" s="151" t="s">
        <v>264</v>
      </c>
      <c r="C42" s="150"/>
      <c r="D42" s="150"/>
      <c r="E42" s="150"/>
    </row>
    <row r="43" spans="1:5">
      <c r="B43" s="151" t="s">
        <v>265</v>
      </c>
      <c r="C43" s="151"/>
      <c r="D43" s="151"/>
      <c r="E43" s="151"/>
    </row>
    <row r="44" spans="1:5" ht="34.25" customHeight="1">
      <c r="B44" s="150" t="s">
        <v>316</v>
      </c>
      <c r="C44" s="150"/>
      <c r="D44" s="150"/>
      <c r="E44" s="150"/>
    </row>
    <row r="46" spans="1:5">
      <c r="A46" s="21" t="s">
        <v>266</v>
      </c>
      <c r="B46" s="21"/>
      <c r="C46" s="21"/>
      <c r="D46" s="21"/>
      <c r="E46" s="21"/>
    </row>
    <row r="48" spans="1:5">
      <c r="B48" s="150" t="s">
        <v>267</v>
      </c>
      <c r="C48" s="150"/>
      <c r="D48" s="150"/>
      <c r="E48" s="150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0" t="s">
        <v>299</v>
      </c>
      <c r="C74" s="150"/>
      <c r="D74" s="150"/>
      <c r="E74" s="150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4.3899999999999995E-2</v>
      </c>
      <c r="D4" s="34">
        <v>6.7500000000000004E-2</v>
      </c>
      <c r="E4" s="35">
        <f>D4-C4</f>
        <v>2.360000000000001E-2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zoomScaleNormal="100" workbookViewId="0">
      <selection activeCell="G18" sqref="G1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 t="shared" ref="H3:H10" si="0">G3/$G$13</f>
        <v>0.34748451681467818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6.32</v>
      </c>
      <c r="E4" s="59" t="str">
        <f>VLOOKUP(B4,Opportunities!B$3:E$30,4,FALSE)</f>
        <v>HKD</v>
      </c>
      <c r="F4" s="57">
        <v>10000</v>
      </c>
      <c r="G4" s="61">
        <f t="shared" ref="G4:G11" si="1">D4*F4</f>
        <v>63200</v>
      </c>
      <c r="H4" s="58">
        <f t="shared" si="0"/>
        <v>4.8251346762273557E-2</v>
      </c>
      <c r="I4" s="58">
        <f>VLOOKUP(B4,Opportunities!B$3:H$30,6,FALSE)</f>
        <v>0.10597440070583153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107.2</v>
      </c>
      <c r="E5" s="59" t="str">
        <f>VLOOKUP(B5,Opportunities!B$3:E$30,4,FALSE)</f>
        <v>HKD</v>
      </c>
      <c r="F5" s="57">
        <v>2500</v>
      </c>
      <c r="G5" s="61">
        <f t="shared" si="1"/>
        <v>268000</v>
      </c>
      <c r="H5" s="58">
        <f t="shared" si="0"/>
        <v>0.20461014133369165</v>
      </c>
      <c r="I5" s="58">
        <f>VLOOKUP(B5,Opportunities!B$3:H$30,6,FALSE)</f>
        <v>8.3971628785150784E-2</v>
      </c>
      <c r="J5" s="81">
        <f>VLOOKUP(B5,Opportunities!B$3:L$30,10,FALSE)</f>
        <v>109.47234370153126</v>
      </c>
      <c r="K5" s="81">
        <f>VLOOKUP(B5,Opportunities!B$3:L$30,7,FALSE)</f>
        <v>86.662134691054163</v>
      </c>
      <c r="L5" s="81">
        <f>VLOOKUP(B5,Opportunities!B$3:L$30,9,FALSE)</f>
        <v>152.15313136227087</v>
      </c>
      <c r="M5" s="81">
        <f>VLOOKUP(B5,Opportunities!B$3:L$30,11,FALSE)</f>
        <v>134.8988999722055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9.9861964501667413E-2</v>
      </c>
      <c r="I6" s="58">
        <f>VLOOKUP(B6,Opportunities!B$3:H$30,6,FALSE)</f>
        <v>5.0810161756509313E-2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8.3000000000000007</v>
      </c>
      <c r="E7" s="59" t="str">
        <f>VLOOKUP(B7,Opportunities!B$3:E$30,4,FALSE)</f>
        <v>HKD</v>
      </c>
      <c r="F7" s="57">
        <v>8000</v>
      </c>
      <c r="G7" s="61">
        <f t="shared" si="1"/>
        <v>66400</v>
      </c>
      <c r="H7" s="58">
        <f t="shared" si="0"/>
        <v>5.0694452927451963E-2</v>
      </c>
      <c r="I7" s="58">
        <f>VLOOKUP(B7,Opportunities!B$3:H$30,6,FALSE)</f>
        <v>0</v>
      </c>
      <c r="J7" s="81">
        <f>VLOOKUP(B7,Opportunities!B$3:L$30,10,FALSE)</f>
        <v>7.3795321407982479</v>
      </c>
      <c r="K7" s="81">
        <f>VLOOKUP(B7,Opportunities!B$3:L$30,7,FALSE)</f>
        <v>5.8556339381112288</v>
      </c>
      <c r="L7" s="81">
        <f>VLOOKUP(B7,Opportunities!B$3:L$30,9,FALSE)</f>
        <v>10.227477546406098</v>
      </c>
      <c r="M7" s="81">
        <f>VLOOKUP(B7,Opportunities!B$3:L$30,11,FALSE)</f>
        <v>9.0765992436228338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10.09</v>
      </c>
      <c r="E8" s="59" t="str">
        <f>VLOOKUP(B8,Opportunities!B$3:E$30,4,FALSE)</f>
        <v>HKD</v>
      </c>
      <c r="F8" s="57">
        <v>15000</v>
      </c>
      <c r="G8" s="61">
        <f t="shared" si="1"/>
        <v>151350</v>
      </c>
      <c r="H8" s="58">
        <f t="shared" si="0"/>
        <v>0.1155512869061725</v>
      </c>
      <c r="I8" s="58">
        <f>VLOOKUP(B8,Opportunities!B$3:H$30,6,FALSE)</f>
        <v>0.14334574001482767</v>
      </c>
      <c r="J8" s="81">
        <f>VLOOKUP(B8,Opportunities!B$3:L$30,10,FALSE)</f>
        <v>12.223245925204848</v>
      </c>
      <c r="K8" s="81">
        <f>VLOOKUP(B8,Opportunities!B$3:L$30,7,FALSE)</f>
        <v>9.7116316002521508</v>
      </c>
      <c r="L8" s="81">
        <f>VLOOKUP(B8,Opportunities!B$3:L$30,9,FALSE)</f>
        <v>16.913905658054667</v>
      </c>
      <c r="M8" s="81">
        <f>VLOOKUP(B8,Opportunities!B$3:L$30,11,FALSE)</f>
        <v>15.01877520571135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4.28</v>
      </c>
      <c r="E9" s="59" t="str">
        <f>VLOOKUP(B9,Opportunities!B$3:E$30,4,FALSE)</f>
        <v>HKD</v>
      </c>
      <c r="F9" s="57">
        <v>12000</v>
      </c>
      <c r="G9" s="61">
        <f t="shared" si="1"/>
        <v>51360</v>
      </c>
      <c r="H9" s="58">
        <f t="shared" si="0"/>
        <v>3.9211853951113443E-2</v>
      </c>
      <c r="I9" s="58">
        <f>VLOOKUP(B9,Opportunities!B$3:H$30,6,FALSE)</f>
        <v>5.6998861203807982E-2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39.340000000000003</v>
      </c>
      <c r="E10" s="59" t="str">
        <f>VLOOKUP(B10,Opportunities!B$3:E$30,4,FALSE)</f>
        <v>HKD</v>
      </c>
      <c r="F10" s="57">
        <v>2000</v>
      </c>
      <c r="G10" s="61">
        <f t="shared" ref="G10" si="2">D10*F10</f>
        <v>78680</v>
      </c>
      <c r="H10" s="58">
        <f t="shared" si="0"/>
        <v>6.0069872836324104E-2</v>
      </c>
      <c r="I10" s="58">
        <f>VLOOKUP(B10,Opportunities!B$3:H$30,6,FALSE)</f>
        <v>9.4660639895260815E-2</v>
      </c>
      <c r="J10" s="81">
        <f>VLOOKUP(B10,Opportunities!B$3:L$30,10,FALSE)</f>
        <v>41.223623895831778</v>
      </c>
      <c r="K10" s="81">
        <f>VLOOKUP(B10,Opportunities!B$3:L$30,7,FALSE)</f>
        <v>32.446118385069326</v>
      </c>
      <c r="L10" s="81">
        <f>VLOOKUP(B10,Opportunities!B$3:L$30,9,FALSE)</f>
        <v>57.694794630397716</v>
      </c>
      <c r="M10" s="81">
        <f>VLOOKUP(B10,Opportunities!B$3:L$30,11,FALSE)</f>
        <v>51.030122906784129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3.74</v>
      </c>
      <c r="E11" s="59" t="str">
        <f>VLOOKUP(B11,Opportunities!B$3:E$30,4,FALSE)</f>
        <v>HKD</v>
      </c>
      <c r="F11" s="57">
        <v>12000</v>
      </c>
      <c r="G11" s="61">
        <f t="shared" si="1"/>
        <v>44880</v>
      </c>
      <c r="H11" s="58">
        <f t="shared" ref="H11" si="3">G11/$G$13</f>
        <v>3.4264563966627172E-2</v>
      </c>
      <c r="I11" s="58">
        <f>VLOOKUP(B11,Opportunities!B$3:H$30,6,FALSE)</f>
        <v>8.2353184860977424E-2</v>
      </c>
      <c r="J11" s="81">
        <f>VLOOKUP(B11,Opportunities!B$3:L$30,10,FALSE)</f>
        <v>4.2286791410461264</v>
      </c>
      <c r="K11" s="81">
        <f>VLOOKUP(B11,Opportunities!B$3:L$30,7,FALSE)</f>
        <v>3.364491377208787</v>
      </c>
      <c r="L11" s="81">
        <f>VLOOKUP(B11,Opportunities!B$3:L$30,9,FALSE)</f>
        <v>5.8414210035033776</v>
      </c>
      <c r="M11" s="81">
        <f>VLOOKUP(B11,Opportunities!B$3:L$30,11,FALSE)</f>
        <v>5.1899904638836762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1309808</v>
      </c>
      <c r="H13" s="67">
        <f>SUM(H3:H11)</f>
        <v>1</v>
      </c>
      <c r="I13" s="73">
        <f>SUM(I3:I11)</f>
        <v>1.0681146172223657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107.2</v>
      </c>
      <c r="E16" s="59" t="str">
        <f>VLOOKUP(B16,Opportunities!B$3:E$30,4,FALSE)</f>
        <v>HKD</v>
      </c>
      <c r="F16" s="57">
        <v>0</v>
      </c>
      <c r="G16" s="61">
        <f t="shared" ref="G16:G21" si="4">-D16*F16</f>
        <v>0</v>
      </c>
      <c r="H16" s="58">
        <f t="shared" ref="H16:H21" si="5">-G16/$G$13</f>
        <v>0</v>
      </c>
      <c r="I16" s="58">
        <f>VLOOKUP(B16,Opportunities!B$3:G$30,6,FALSE)</f>
        <v>8.3971628785150784E-2</v>
      </c>
      <c r="J16" s="81">
        <f>VLOOKUP(B16,Opportunities!B$3:L$30,10,FALSE)</f>
        <v>109.47234370153126</v>
      </c>
      <c r="K16" s="81">
        <f>VLOOKUP(B16,Opportunities!B$3:L$30,7,FALSE)</f>
        <v>86.662134691054163</v>
      </c>
      <c r="L16" s="81">
        <f>VLOOKUP(B16,Opportunities!B$3:L$30,9,FALSE)</f>
        <v>152.15313136227087</v>
      </c>
      <c r="M16" s="81">
        <f>VLOOKUP(B16,Opportunities!B$3:L$30,11,FALSE)</f>
        <v>134.8988999722055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29.44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</v>
      </c>
      <c r="J17" s="81">
        <f>VLOOKUP(B17,Opportunities!B$3:L$30,10,FALSE)</f>
        <v>17.690056860264733</v>
      </c>
      <c r="K17" s="81">
        <f>VLOOKUP(B17,Opportunities!B$3:L$30,7,FALSE)</f>
        <v>14.114437075347045</v>
      </c>
      <c r="L17" s="81">
        <f>VLOOKUP(B17,Opportunities!B$3:L$30,9,FALSE)</f>
        <v>24.352689429867432</v>
      </c>
      <c r="M17" s="81">
        <f>VLOOKUP(B17,Opportunities!B$3:L$30,11,FALSE)</f>
        <v>21.662761554122742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3.27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5.0810161756509313E-2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39.340000000000003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9.4660639895260815E-2</v>
      </c>
      <c r="J19" s="81">
        <f>VLOOKUP(B19,Opportunities!B$3:L$30,10,FALSE)</f>
        <v>41.223623895831778</v>
      </c>
      <c r="K19" s="81">
        <f>VLOOKUP(B19,Opportunities!B$3:L$30,7,FALSE)</f>
        <v>32.446118385069326</v>
      </c>
      <c r="L19" s="81">
        <f>VLOOKUP(B19,Opportunities!B$3:L$30,9,FALSE)</f>
        <v>57.694794630397716</v>
      </c>
      <c r="M19" s="81">
        <f>VLOOKUP(B19,Opportunities!B$3:L$30,11,FALSE)</f>
        <v>51.030122906784129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10.09</v>
      </c>
      <c r="E20" s="59" t="str">
        <f>VLOOKUP(B20,Opportunities!B$3:E$30,4,FALSE)</f>
        <v>HKD</v>
      </c>
      <c r="F20" s="57">
        <v>0</v>
      </c>
      <c r="G20" s="61">
        <f t="shared" si="4"/>
        <v>0</v>
      </c>
      <c r="H20" s="58">
        <f t="shared" si="5"/>
        <v>0</v>
      </c>
      <c r="I20" s="58">
        <f>VLOOKUP(B20,Opportunities!B$3:G$30,6,FALSE)</f>
        <v>0.14334574001482767</v>
      </c>
      <c r="J20" s="81">
        <f>VLOOKUP(B20,Opportunities!B$3:L$30,10,FALSE)</f>
        <v>12.223245925204848</v>
      </c>
      <c r="K20" s="81">
        <f>VLOOKUP(B20,Opportunities!B$3:L$30,7,FALSE)</f>
        <v>9.7116316002521508</v>
      </c>
      <c r="L20" s="81">
        <f>VLOOKUP(B20,Opportunities!B$3:L$30,9,FALSE)</f>
        <v>16.913905658054667</v>
      </c>
      <c r="M20" s="81">
        <f>VLOOKUP(B20,Opportunities!B$3:L$30,11,FALSE)</f>
        <v>15.01877520571135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8.3000000000000007</v>
      </c>
      <c r="E21" s="59" t="str">
        <f>VLOOKUP(B21,Opportunities!B$3:E$30,4,FALSE)</f>
        <v>HKD</v>
      </c>
      <c r="F21" s="57">
        <v>0</v>
      </c>
      <c r="G21" s="61">
        <f t="shared" si="4"/>
        <v>0</v>
      </c>
      <c r="H21" s="58">
        <f t="shared" si="5"/>
        <v>0</v>
      </c>
      <c r="I21" s="58">
        <f>VLOOKUP(B21,Opportunities!B$3:G$30,6,FALSE)</f>
        <v>0</v>
      </c>
      <c r="J21" s="81">
        <f>VLOOKUP(B21,Opportunities!B$3:L$30,10,FALSE)</f>
        <v>7.3795321407982479</v>
      </c>
      <c r="K21" s="81">
        <f>VLOOKUP(B21,Opportunities!B$3:L$30,7,FALSE)</f>
        <v>5.8556339381112288</v>
      </c>
      <c r="L21" s="81">
        <f>VLOOKUP(B21,Opportunities!B$3:L$30,9,FALSE)</f>
        <v>10.227477546406098</v>
      </c>
      <c r="M21" s="81">
        <f>VLOOKUP(B21,Opportunities!B$3:L$30,11,FALSE)</f>
        <v>9.0765992436228338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6">G24/$G$13</f>
        <v>0.34748451681467818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2026-03-24T09:56:53Z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