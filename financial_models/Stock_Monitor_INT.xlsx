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2EC3DE8-CEF5-4F8B-8A5A-71C5F1EAEE0A}" xr6:coauthVersionLast="47" xr6:coauthVersionMax="47" xr10:uidLastSave="{00000000-0000-0000-0000-000000000000}"/>
  <bookViews>
    <workbookView xWindow="-98" yWindow="-98" windowWidth="17115" windowHeight="10755" firstSheet="2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G3" i="1"/>
  <c r="G4" i="1"/>
  <c r="G5" i="1"/>
  <c r="G6" i="1"/>
  <c r="G7" i="1"/>
  <c r="G8" i="1"/>
  <c r="G9" i="1"/>
  <c r="G10" i="1"/>
  <c r="G11" i="1"/>
  <c r="G12" i="1"/>
  <c r="G13" i="1"/>
  <c r="G14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<sst xmlns="http://schemas.openxmlformats.org/spreadsheetml/2006/main" count="479" uniqueCount="386">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</sst>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10.82</v>
      </c>
      <c r="E3" s="12" t="s">
        <v>134</v>
      </c>
      <c r="F3" s="15">
        <v>0.2479660846412122</v>
      </c>
      <c r="G3" s="15">
        <f>F3 - Portfolio_Mgmt!$C$10</f>
        <v>0.13056608464121219</v>
      </c>
      <c r="H3" s="15">
        <f>F3 - Portfolio_Mgmt!$C$11</f>
        <v>0.21346608464121219</v>
      </c>
      <c r="I3" s="15">
        <v>0.1200095501562498</v>
      </c>
      <c r="J3" s="2">
        <v>9.7374850638369637</v>
      </c>
      <c r="K3" s="2">
        <v>18.717037749531148</v>
      </c>
      <c r="L3" s="71">
        <v>16.759796650209978</v>
      </c>
      <c r="M3" s="2">
        <v>12.090027949127135</v>
      </c>
      <c r="N3" s="2">
        <v>14.881930107992725</v>
      </c>
      <c r="O3" s="4">
        <v>9.3572055293329931E-2</v>
      </c>
      <c r="P3" s="4">
        <v>5.617063385210725E-2</v>
      </c>
      <c r="Q3" s="4">
        <v>0.10095759643514253</v>
      </c>
      <c r="R3" s="4">
        <v>0.126397573915979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1.7562330952665828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329</v>
      </c>
      <c r="C4" s="11" t="s">
        <v>368</v>
      </c>
      <c r="D4" s="2">
        <v>3.99</v>
      </c>
      <c r="E4" s="12" t="s">
        <v>134</v>
      </c>
      <c r="F4" s="15">
        <v>0.23111897751607929</v>
      </c>
      <c r="G4" s="15">
        <f>F4 - Portfolio_Mgmt!$C$10</f>
        <v>0.11371897751607929</v>
      </c>
      <c r="H4" s="15">
        <f>F4 - Portfolio_Mgmt!$C$11</f>
        <v>0.19661897751607929</v>
      </c>
      <c r="I4" s="15">
        <v>0.10611040461836935</v>
      </c>
      <c r="J4" s="2">
        <v>3.4559014778570916</v>
      </c>
      <c r="K4" s="2">
        <v>6.5391721058554513</v>
      </c>
      <c r="L4" s="71">
        <v>5.9323435226579617</v>
      </c>
      <c r="M4" s="2">
        <v>4.2858872769654486</v>
      </c>
      <c r="N4" s="2">
        <v>5.270387004436353</v>
      </c>
      <c r="O4" s="4">
        <v>0.11088820128324381</v>
      </c>
      <c r="P4" s="4">
        <v>6.060150375939849E-2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1.278949926210192</v>
      </c>
      <c r="X4" s="13" t="s">
        <v>169</v>
      </c>
      <c r="Y4" s="11" t="s">
        <v>361</v>
      </c>
      <c r="Z4" s="14">
        <v>46081</v>
      </c>
      <c r="AA4" s="16" t="s">
        <v>367</v>
      </c>
    </row>
    <row r="5" spans="1:27">
      <c r="B5" s="11" t="s">
        <v>380</v>
      </c>
      <c r="C5" s="11" t="s">
        <v>381</v>
      </c>
      <c r="D5" s="2">
        <v>108.8</v>
      </c>
      <c r="E5" s="12" t="s">
        <v>134</v>
      </c>
      <c r="F5" s="15">
        <v>0.2287790804195324</v>
      </c>
      <c r="G5" s="15">
        <f>F5 - Portfolio_Mgmt!$C$10</f>
        <v>0.1113790804195324</v>
      </c>
      <c r="H5" s="15">
        <f>F5 - Portfolio_Mgmt!$C$11</f>
        <v>0.1942790804195324</v>
      </c>
      <c r="I5" s="15">
        <v>0.20802717070339438</v>
      </c>
      <c r="J5" s="2">
        <v>93.398478672908823</v>
      </c>
      <c r="K5" s="2">
        <v>188.73726822045415</v>
      </c>
      <c r="L5" s="71">
        <v>162.16039438193326</v>
      </c>
      <c r="M5" s="2">
        <v>116.40297051654868</v>
      </c>
      <c r="N5" s="2">
        <v>143.74763551827758</v>
      </c>
      <c r="O5" s="4">
        <v>7.8770218530861663E-2</v>
      </c>
      <c r="P5" s="4">
        <v>3.2261029411764702E-2</v>
      </c>
      <c r="Q5" s="4">
        <v>0.15</v>
      </c>
      <c r="R5" s="4">
        <v>3.9404773307997187E-2</v>
      </c>
      <c r="S5" s="79">
        <v>1.6240671367246462</v>
      </c>
      <c r="T5" s="78">
        <v>2.3438965902371725</v>
      </c>
      <c r="U5" s="15">
        <v>0.36820511135930623</v>
      </c>
      <c r="V5" s="76">
        <v>2.8852377432054559</v>
      </c>
      <c r="W5" s="71">
        <v>-64.948553163371002</v>
      </c>
      <c r="X5" s="13" t="s">
        <v>169</v>
      </c>
      <c r="Y5" s="11" t="s">
        <v>364</v>
      </c>
      <c r="Z5" s="14">
        <v>46173</v>
      </c>
      <c r="AA5" s="16" t="s">
        <v>181</v>
      </c>
    </row>
    <row r="6" spans="1:27">
      <c r="B6" s="11" t="s">
        <v>382</v>
      </c>
      <c r="C6" s="11" t="s">
        <v>383</v>
      </c>
      <c r="D6" s="2">
        <v>80.400000000000006</v>
      </c>
      <c r="E6" s="12" t="s">
        <v>134</v>
      </c>
      <c r="F6" s="15">
        <v>0.19353650913892836</v>
      </c>
      <c r="G6" s="15">
        <f>F6 - Portfolio_Mgmt!$C$10</f>
        <v>7.613650913892836E-2</v>
      </c>
      <c r="H6" s="15">
        <f>F6 - Portfolio_Mgmt!$C$11</f>
        <v>0.15903650913892836</v>
      </c>
      <c r="I6" s="15">
        <v>0.13227882277681405</v>
      </c>
      <c r="J6" s="2">
        <v>63.739213141538961</v>
      </c>
      <c r="K6" s="2">
        <v>120.12395886489134</v>
      </c>
      <c r="L6" s="71">
        <v>109.34010784174797</v>
      </c>
      <c r="M6" s="2">
        <v>79.024122293207242</v>
      </c>
      <c r="N6" s="2">
        <v>97.152230886418451</v>
      </c>
      <c r="O6" s="4">
        <v>6.7126417336250729E-2</v>
      </c>
      <c r="P6" s="4">
        <v>5.697761194029851E-2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1.4505786806643819</v>
      </c>
      <c r="X6" s="13" t="s">
        <v>377</v>
      </c>
      <c r="Y6" s="11" t="s">
        <v>364</v>
      </c>
      <c r="Z6" s="14">
        <v>46081</v>
      </c>
      <c r="AA6" s="16" t="s">
        <v>181</v>
      </c>
    </row>
    <row r="7" spans="1:27">
      <c r="B7" s="11" t="s">
        <v>183</v>
      </c>
      <c r="C7" s="11" t="s">
        <v>371</v>
      </c>
      <c r="D7" s="2">
        <v>3.27</v>
      </c>
      <c r="E7" s="12" t="s">
        <v>134</v>
      </c>
      <c r="F7" s="15">
        <v>0.18222622082566256</v>
      </c>
      <c r="G7" s="15">
        <f>F7 - Portfolio_Mgmt!$C$10</f>
        <v>6.4826220825662556E-2</v>
      </c>
      <c r="H7" s="15">
        <f>F7 - Portfolio_Mgmt!$C$11</f>
        <v>0.14772622082566256</v>
      </c>
      <c r="I7" s="15">
        <v>0.10162032351301863</v>
      </c>
      <c r="J7" s="2">
        <v>2.5385815935033342</v>
      </c>
      <c r="K7" s="2">
        <v>4.4366120194593153</v>
      </c>
      <c r="L7" s="71">
        <v>4.3016714192105461</v>
      </c>
      <c r="M7" s="2">
        <v>3.1307450481218235</v>
      </c>
      <c r="N7" s="2">
        <v>3.8313906187252909</v>
      </c>
      <c r="O7" s="4">
        <v>7.4258357213923459E-2</v>
      </c>
      <c r="P7" s="4">
        <v>8.2568807339449546E-2</v>
      </c>
      <c r="Q7" s="4">
        <v>0.11354054587062024</v>
      </c>
      <c r="R7" s="4">
        <v>0.4243739445166862</v>
      </c>
      <c r="S7" s="79">
        <v>0.22035988512352028</v>
      </c>
      <c r="T7" s="78">
        <v>1.2141426890285656</v>
      </c>
      <c r="U7" s="15">
        <v>2.3107986944995245E-3</v>
      </c>
      <c r="V7" s="76">
        <v>2.0454423835375664E-2</v>
      </c>
      <c r="W7" s="71">
        <v>0.79833937207218564</v>
      </c>
      <c r="X7" s="13" t="s">
        <v>372</v>
      </c>
      <c r="Y7" s="11" t="s">
        <v>361</v>
      </c>
      <c r="Z7" s="14">
        <v>46081</v>
      </c>
      <c r="AA7" s="16" t="s">
        <v>181</v>
      </c>
    </row>
    <row r="8" spans="1:27">
      <c r="B8" s="11" t="s">
        <v>384</v>
      </c>
      <c r="C8" s="11" t="s">
        <v>385</v>
      </c>
      <c r="D8" s="2">
        <v>80.2</v>
      </c>
      <c r="E8" s="12" t="s">
        <v>134</v>
      </c>
      <c r="F8" s="15">
        <v>0.17735100790092828</v>
      </c>
      <c r="G8" s="15">
        <f>F8 - Portfolio_Mgmt!$C$10</f>
        <v>5.9951007900928277E-2</v>
      </c>
      <c r="H8" s="15">
        <f>F8 - Portfolio_Mgmt!$C$11</f>
        <v>0.14285100790092828</v>
      </c>
      <c r="I8" s="15">
        <v>8.7177284742804312E-2</v>
      </c>
      <c r="J8" s="2">
        <v>61.513338177664224</v>
      </c>
      <c r="K8" s="2">
        <v>108.15196902608523</v>
      </c>
      <c r="L8" s="71">
        <v>104.3341974879629</v>
      </c>
      <c r="M8" s="2">
        <v>75.893155005007358</v>
      </c>
      <c r="N8" s="2">
        <v>92.91049072669982</v>
      </c>
      <c r="O8" s="4">
        <v>0.11285400057661392</v>
      </c>
      <c r="P8" s="4">
        <v>7.9546134663341636E-2</v>
      </c>
      <c r="Q8" s="4">
        <v>0.08</v>
      </c>
      <c r="R8" s="4">
        <v>0.16758448420991445</v>
      </c>
      <c r="S8" s="79">
        <v>0.26833431587768736</v>
      </c>
      <c r="T8" s="78">
        <v>1.7790164507082717</v>
      </c>
      <c r="U8" s="15">
        <v>0.29042568125650897</v>
      </c>
      <c r="V8" s="76">
        <v>2.3236948196964886</v>
      </c>
      <c r="W8" s="71">
        <v>-19.210930790893016</v>
      </c>
      <c r="X8" s="13" t="s">
        <v>169</v>
      </c>
      <c r="Y8" s="11" t="s">
        <v>361</v>
      </c>
      <c r="Z8" s="14">
        <v>46081</v>
      </c>
      <c r="AA8" s="16" t="s">
        <v>181</v>
      </c>
    </row>
    <row r="9" spans="1:27">
      <c r="B9" s="11" t="s">
        <v>362</v>
      </c>
      <c r="C9" s="11" t="s">
        <v>363</v>
      </c>
      <c r="D9" s="2">
        <v>7.15</v>
      </c>
      <c r="E9" s="12" t="s">
        <v>134</v>
      </c>
      <c r="F9" s="15">
        <v>0.17065035608892362</v>
      </c>
      <c r="G9" s="15">
        <f>F9 - Portfolio_Mgmt!$C$10</f>
        <v>5.3250356088923617E-2</v>
      </c>
      <c r="H9" s="15">
        <f>F9 - Portfolio_Mgmt!$C$11</f>
        <v>0.13615035608892362</v>
      </c>
      <c r="I9" s="15">
        <v>6.5957116741633043E-2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6.4204214041681917E-2</v>
      </c>
      <c r="P9" s="4">
        <v>1.9860139860139858E-2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169</v>
      </c>
      <c r="Y9" s="11" t="s">
        <v>364</v>
      </c>
      <c r="Z9" s="14">
        <v>46081</v>
      </c>
      <c r="AA9" s="16" t="s">
        <v>181</v>
      </c>
    </row>
    <row r="10" spans="1:27">
      <c r="B10" s="11" t="s">
        <v>327</v>
      </c>
      <c r="C10" s="11" t="s">
        <v>328</v>
      </c>
      <c r="D10" s="2">
        <v>4.72</v>
      </c>
      <c r="E10" s="12" t="s">
        <v>134</v>
      </c>
      <c r="F10" s="15">
        <v>0.17022624371845238</v>
      </c>
      <c r="G10" s="15">
        <f>F10 - Portfolio_Mgmt!$C$10</f>
        <v>5.2826243718452376E-2</v>
      </c>
      <c r="H10" s="15">
        <f>F10 - Portfolio_Mgmt!$C$11</f>
        <v>0.13572624371845238</v>
      </c>
      <c r="I10" s="15">
        <v>6.4556899081208638E-2</v>
      </c>
      <c r="J10" s="2">
        <v>3.5453162653105039</v>
      </c>
      <c r="K10" s="2">
        <v>6.5021029196761031</v>
      </c>
      <c r="L10" s="71">
        <v>6.0543353749158966</v>
      </c>
      <c r="M10" s="2">
        <v>4.3869285024051887</v>
      </c>
      <c r="N10" s="2">
        <v>5.3842307819113344</v>
      </c>
      <c r="O10" s="4">
        <v>8.5576944629714768E-2</v>
      </c>
      <c r="P10" s="4">
        <v>6.3559322033898316E-2</v>
      </c>
      <c r="Q10" s="4">
        <v>0.18</v>
      </c>
      <c r="R10" s="4">
        <v>5.5599077391744495E-2</v>
      </c>
      <c r="S10" s="79">
        <v>1.4798367611150316</v>
      </c>
      <c r="T10" s="78">
        <v>2.187716833659914</v>
      </c>
      <c r="U10" s="15">
        <v>0.76701287002940366</v>
      </c>
      <c r="V10" s="76">
        <v>5.0983946232940358</v>
      </c>
      <c r="W10" s="71">
        <v>-2.4800067209187837</v>
      </c>
      <c r="X10" s="16" t="s">
        <v>169</v>
      </c>
      <c r="Y10" s="11" t="s">
        <v>361</v>
      </c>
      <c r="Z10" s="14">
        <v>46173</v>
      </c>
      <c r="AA10" s="16" t="s">
        <v>181</v>
      </c>
    </row>
    <row r="11" spans="1:27">
      <c r="B11" s="11" t="s">
        <v>330</v>
      </c>
      <c r="C11" s="11" t="s">
        <v>369</v>
      </c>
      <c r="D11" s="2">
        <v>8.17</v>
      </c>
      <c r="E11" s="12" t="s">
        <v>134</v>
      </c>
      <c r="F11" s="15">
        <v>0.15495682455495477</v>
      </c>
      <c r="G11" s="15">
        <f>F11 - Portfolio_Mgmt!$C$10</f>
        <v>3.7556824554954765E-2</v>
      </c>
      <c r="H11" s="15">
        <f>F11 - Portfolio_Mgmt!$C$11</f>
        <v>0.12045682455495477</v>
      </c>
      <c r="I11" s="15">
        <v>4.4803142488179203E-3</v>
      </c>
      <c r="J11" s="2">
        <v>5.871459758432044</v>
      </c>
      <c r="K11" s="2">
        <v>11.470864895539799</v>
      </c>
      <c r="L11" s="71">
        <v>10.133981705009429</v>
      </c>
      <c r="M11" s="2">
        <v>7.2988151952955818</v>
      </c>
      <c r="N11" s="2">
        <v>8.9936235524266532</v>
      </c>
      <c r="O11" s="4">
        <v>8.6660911275863922E-2</v>
      </c>
      <c r="P11" s="4">
        <v>3.9153933978939404E-2</v>
      </c>
      <c r="Q11" s="4">
        <v>0.17171992689009472</v>
      </c>
      <c r="R11" s="4">
        <v>8.3606119895785772E-2</v>
      </c>
      <c r="S11" s="79">
        <v>1.3282158707615834</v>
      </c>
      <c r="T11" s="78">
        <v>1.5463719418456539</v>
      </c>
      <c r="U11" s="15">
        <v>0.22428295339746124</v>
      </c>
      <c r="V11" s="76">
        <v>1.2715557492373779</v>
      </c>
      <c r="W11" s="71">
        <v>-2.9701921099764585</v>
      </c>
      <c r="X11" s="13" t="s">
        <v>370</v>
      </c>
      <c r="Y11" s="11" t="s">
        <v>364</v>
      </c>
      <c r="Z11" s="14">
        <v>46081</v>
      </c>
      <c r="AA11" s="16" t="s">
        <v>367</v>
      </c>
    </row>
    <row r="12" spans="1:27">
      <c r="B12" s="11" t="s">
        <v>378</v>
      </c>
      <c r="C12" s="11" t="s">
        <v>379</v>
      </c>
      <c r="D12" s="2">
        <v>4.99</v>
      </c>
      <c r="E12" s="12" t="s">
        <v>134</v>
      </c>
      <c r="F12" s="15">
        <v>0.12838808407975857</v>
      </c>
      <c r="G12" s="15">
        <f>F12 - Portfolio_Mgmt!$C$10</f>
        <v>1.098808407975857E-2</v>
      </c>
      <c r="H12" s="15">
        <f>F12 - Portfolio_Mgmt!$C$11</f>
        <v>9.3888084079758571E-2</v>
      </c>
      <c r="I12" s="15">
        <v>0</v>
      </c>
      <c r="J12" s="2">
        <v>3.3455729956390798</v>
      </c>
      <c r="K12" s="2">
        <v>6.6277455556474951</v>
      </c>
      <c r="L12" s="71">
        <v>5.7883592149489207</v>
      </c>
      <c r="M12" s="2">
        <v>4.1632581103676909</v>
      </c>
      <c r="N12" s="2">
        <v>5.1345919269174427</v>
      </c>
      <c r="O12" s="4">
        <v>6.2165930132705549E-2</v>
      </c>
      <c r="P12" s="4">
        <v>3.1903807615230463E-2</v>
      </c>
      <c r="Q12" s="4">
        <v>0.27382509866113364</v>
      </c>
      <c r="R12" s="4">
        <v>0.20764453215246689</v>
      </c>
      <c r="S12" s="79">
        <v>0.86056930273853416</v>
      </c>
      <c r="T12" s="78">
        <v>1.532381509863507</v>
      </c>
      <c r="U12" s="15">
        <v>0.27351475277205878</v>
      </c>
      <c r="V12" s="76">
        <v>0.94608729427783522</v>
      </c>
      <c r="W12" s="71">
        <v>0.59749676752244707</v>
      </c>
      <c r="X12" s="13" t="s">
        <v>169</v>
      </c>
      <c r="Y12" s="11" t="s">
        <v>364</v>
      </c>
      <c r="Z12" s="14">
        <v>46173</v>
      </c>
      <c r="AA12" s="16" t="s">
        <v>367</v>
      </c>
    </row>
    <row r="13" spans="1:27">
      <c r="B13" s="11" t="s">
        <v>157</v>
      </c>
      <c r="C13" s="11" t="s">
        <v>373</v>
      </c>
      <c r="D13" s="2">
        <v>21.46</v>
      </c>
      <c r="E13" s="12" t="s">
        <v>134</v>
      </c>
      <c r="F13" s="15">
        <v>0.11384685340708618</v>
      </c>
      <c r="G13" s="15">
        <f>F13 - Portfolio_Mgmt!$C$10</f>
        <v>-3.5531465929138223E-3</v>
      </c>
      <c r="H13" s="15">
        <f>F13 - Portfolio_Mgmt!$C$11</f>
        <v>7.9346853407086179E-2</v>
      </c>
      <c r="I13" s="15">
        <v>0</v>
      </c>
      <c r="J13" s="2">
        <v>13.813721726582123</v>
      </c>
      <c r="K13" s="2">
        <v>27.912581811887545</v>
      </c>
      <c r="L13" s="2">
        <v>23.983392639237451</v>
      </c>
      <c r="M13" s="2">
        <v>17.216019799640559</v>
      </c>
      <c r="N13" s="2">
        <v>21.260208404270369</v>
      </c>
      <c r="O13" s="4">
        <v>5.2487556251591523E-2</v>
      </c>
      <c r="P13" s="4">
        <v>2.4212231669559606E-2</v>
      </c>
      <c r="Q13" s="4">
        <v>0.2</v>
      </c>
      <c r="R13" s="4">
        <v>0.13430424833028851</v>
      </c>
      <c r="S13" s="79">
        <v>1.1000000000000001</v>
      </c>
      <c r="T13" s="78">
        <v>1.3537783359692717</v>
      </c>
      <c r="U13" s="15">
        <v>6.5417684980282262E-2</v>
      </c>
      <c r="V13" s="76">
        <v>0.50358953318926281</v>
      </c>
      <c r="W13" s="71">
        <v>5.6140062924684315</v>
      </c>
      <c r="X13" s="13" t="s">
        <v>374</v>
      </c>
      <c r="Y13" s="11" t="s">
        <v>364</v>
      </c>
      <c r="Z13" s="14">
        <v>46081</v>
      </c>
      <c r="AA13" s="16" t="s">
        <v>181</v>
      </c>
    </row>
    <row r="14" spans="1:27">
      <c r="B14" s="11" t="s">
        <v>170</v>
      </c>
      <c r="C14" s="11" t="s">
        <v>375</v>
      </c>
      <c r="D14" s="2">
        <v>23.58</v>
      </c>
      <c r="E14" s="12" t="s">
        <v>134</v>
      </c>
      <c r="F14" s="15">
        <v>8.1657412135849566E-2</v>
      </c>
      <c r="G14" s="15">
        <f>F14 - Portfolio_Mgmt!$C$10</f>
        <v>-3.5742587864150438E-2</v>
      </c>
      <c r="H14" s="15">
        <f>F14 - Portfolio_Mgmt!$C$11</f>
        <v>4.7157412135849563E-2</v>
      </c>
      <c r="I14" s="15">
        <v>0</v>
      </c>
      <c r="J14" s="2">
        <v>14.169164728689069</v>
      </c>
      <c r="K14" s="2">
        <v>25.743907281854984</v>
      </c>
      <c r="L14" s="2">
        <v>24.159676009645601</v>
      </c>
      <c r="M14" s="2">
        <v>17.521171923366978</v>
      </c>
      <c r="N14" s="2">
        <v>21.492093039761716</v>
      </c>
      <c r="O14" s="4">
        <v>0.10233001970651005</v>
      </c>
      <c r="P14" s="4">
        <v>5.34351145038168E-2</v>
      </c>
      <c r="Q14" s="4">
        <v>0.17275816461101692</v>
      </c>
      <c r="R14" s="4">
        <v>0.32389125963769955</v>
      </c>
      <c r="S14" s="79">
        <v>0.37580175109499292</v>
      </c>
      <c r="T14" s="78">
        <v>1.419320754716981</v>
      </c>
      <c r="U14" s="15">
        <v>9.2018392262565404E-2</v>
      </c>
      <c r="V14" s="76">
        <v>0.52808720739977155</v>
      </c>
      <c r="W14" s="71">
        <v>0.4629716559000015</v>
      </c>
      <c r="X14" s="13" t="s">
        <v>376</v>
      </c>
      <c r="Y14" s="11" t="s">
        <v>361</v>
      </c>
      <c r="Z14" s="14">
        <v>46081</v>
      </c>
      <c r="AA14" s="16" t="s">
        <v>181</v>
      </c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C9" sqref="C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805319</v>
      </c>
      <c r="H3" s="58">
        <f t="shared" ref="H3:H9" si="0">G3/$G$12</f>
        <v>0.60870718723143402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21.46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17.216019799640559</v>
      </c>
      <c r="K4" s="81">
        <f>VLOOKUP(B4,Opportunities!B$3:N$30,9,FALSE)</f>
        <v>13.813721726582123</v>
      </c>
      <c r="L4" s="81">
        <f>VLOOKUP(B4,Opportunities!B$3:N$30,11,FALSE)</f>
        <v>23.983392639237451</v>
      </c>
      <c r="M4" s="81">
        <f>VLOOKUP(B4,Opportunities!B$3:N$30,13,FALSE)</f>
        <v>21.260208404270369</v>
      </c>
    </row>
    <row r="5" spans="1:13">
      <c r="B5" s="63" t="s">
        <v>380</v>
      </c>
      <c r="C5" s="62" t="str">
        <f>VLOOKUP(B5,Opportunities!B$3:E$30,2,FALSE)</f>
        <v>京东集团</v>
      </c>
      <c r="D5" s="60">
        <f>VLOOKUP(B5,Opportunities!B$3:E$30,3,FALSE)</f>
        <v>108.8</v>
      </c>
      <c r="E5" s="59" t="str">
        <f>VLOOKUP(B5,Opportunities!B$3:E$30,4,FALSE)</f>
        <v>HKD</v>
      </c>
      <c r="F5" s="57">
        <v>1000</v>
      </c>
      <c r="G5" s="61">
        <f t="shared" si="1"/>
        <v>108800</v>
      </c>
      <c r="H5" s="58">
        <f t="shared" si="0"/>
        <v>8.2237401539986044E-2</v>
      </c>
      <c r="I5" s="58">
        <f>VLOOKUP(B5,Opportunities!B$3:I$30,8,FALSE)</f>
        <v>0.20802717070339438</v>
      </c>
      <c r="J5" s="81">
        <f>VLOOKUP(B5,Opportunities!B$3:N$30,12,FALSE)</f>
        <v>116.40297051654868</v>
      </c>
      <c r="K5" s="81">
        <f>VLOOKUP(B5,Opportunities!B$3:N$30,9,FALSE)</f>
        <v>93.398478672908823</v>
      </c>
      <c r="L5" s="81">
        <f>VLOOKUP(B5,Opportunities!B$3:N$30,11,FALSE)</f>
        <v>162.16039438193326</v>
      </c>
      <c r="M5" s="81">
        <f>VLOOKUP(B5,Opportunities!B$3:N$30,13,FALSE)</f>
        <v>143.74763551827758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9.8866287880792048E-2</v>
      </c>
      <c r="I6" s="58">
        <f>VLOOKUP(B6,Opportunities!B$3:I$30,8,FALSE)</f>
        <v>0.10162032351301863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8.17</v>
      </c>
      <c r="E7" s="59" t="str">
        <f>VLOOKUP(B7,Opportunities!B$3:E$30,4,FALSE)</f>
        <v>HKD</v>
      </c>
      <c r="F7" s="57">
        <v>8000</v>
      </c>
      <c r="G7" s="61">
        <f t="shared" si="1"/>
        <v>65360</v>
      </c>
      <c r="H7" s="58">
        <f t="shared" si="0"/>
        <v>4.9402909601594561E-2</v>
      </c>
      <c r="I7" s="58">
        <f>VLOOKUP(B7,Opportunities!B$3:I$30,8,FALSE)</f>
        <v>4.4803142488179203E-3</v>
      </c>
      <c r="J7" s="81">
        <f>VLOOKUP(B7,Opportunities!B$3:N$30,12,FALSE)</f>
        <v>7.2988151952955818</v>
      </c>
      <c r="K7" s="81">
        <f>VLOOKUP(B7,Opportunities!B$3:N$30,9,FALSE)</f>
        <v>5.871459758432044</v>
      </c>
      <c r="L7" s="81">
        <f>VLOOKUP(B7,Opportunities!B$3:N$30,11,FALSE)</f>
        <v>10.133981705009429</v>
      </c>
      <c r="M7" s="81">
        <f>VLOOKUP(B7,Opportunities!B$3:N$30,13,FALSE)</f>
        <v>8.9936235524266532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10.82</v>
      </c>
      <c r="E8" s="59" t="str">
        <f>VLOOKUP(B8,Opportunities!B$3:E$30,4,FALSE)</f>
        <v>HKD</v>
      </c>
      <c r="F8" s="57">
        <v>10000</v>
      </c>
      <c r="G8" s="61">
        <f t="shared" si="1"/>
        <v>108200</v>
      </c>
      <c r="H8" s="58">
        <f t="shared" si="0"/>
        <v>8.178388645796407E-2</v>
      </c>
      <c r="I8" s="58">
        <f>VLOOKUP(B8,Opportunities!B$3:I$30,8,FALSE)</f>
        <v>0.1200095501562498</v>
      </c>
      <c r="J8" s="81">
        <f>VLOOKUP(B8,Opportunities!B$3:N$30,12,FALSE)</f>
        <v>12.090027949127135</v>
      </c>
      <c r="K8" s="81">
        <f>VLOOKUP(B8,Opportunities!B$3:N$30,9,FALSE)</f>
        <v>9.7374850638369637</v>
      </c>
      <c r="L8" s="81">
        <f>VLOOKUP(B8,Opportunities!B$3:N$30,11,FALSE)</f>
        <v>16.759796650209978</v>
      </c>
      <c r="M8" s="81">
        <f>VLOOKUP(B8,Opportunities!B$3:N$30,13,FALSE)</f>
        <v>14.881930107992725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4.72</v>
      </c>
      <c r="E9" s="59" t="str">
        <f>VLOOKUP(B9,Opportunities!B$3:E$30,4,FALSE)</f>
        <v>HKD</v>
      </c>
      <c r="F9" s="57">
        <v>12000</v>
      </c>
      <c r="G9" s="61">
        <f t="shared" si="1"/>
        <v>56640</v>
      </c>
      <c r="H9" s="58">
        <f t="shared" si="0"/>
        <v>4.2811823742875087E-2</v>
      </c>
      <c r="I9" s="58">
        <f>VLOOKUP(B9,Opportunities!B$3:I$30,8,FALSE)</f>
        <v>6.4556899081208638E-2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3.99</v>
      </c>
      <c r="E10" s="59" t="str">
        <f>VLOOKUP(B10,Opportunities!B$3:E$30,4,FALSE)</f>
        <v>HKD</v>
      </c>
      <c r="F10" s="57">
        <v>12000</v>
      </c>
      <c r="G10" s="61">
        <f t="shared" si="1"/>
        <v>47880</v>
      </c>
      <c r="H10" s="58">
        <f t="shared" ref="H10" si="2">G10/$G$12</f>
        <v>3.6190503545354157E-2</v>
      </c>
      <c r="I10" s="58">
        <f>VLOOKUP(B10,Opportunities!B$3:I$30,8,FALSE)</f>
        <v>0.10611040461836935</v>
      </c>
      <c r="J10" s="81">
        <f>VLOOKUP(B10,Opportunities!B$3:N$30,12,FALSE)</f>
        <v>4.2858872769654486</v>
      </c>
      <c r="K10" s="81">
        <f>VLOOKUP(B10,Opportunities!B$3:N$30,9,FALSE)</f>
        <v>3.4559014778570916</v>
      </c>
      <c r="L10" s="81">
        <f>VLOOKUP(B10,Opportunities!B$3:N$30,11,FALSE)</f>
        <v>5.9323435226579617</v>
      </c>
      <c r="M10" s="81">
        <f>VLOOKUP(B10,Opportunities!B$3:N$30,13,FALSE)</f>
        <v>5.270387004436353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1322999</v>
      </c>
      <c r="H12" s="67">
        <f>SUM(H3:H10)</f>
        <v>0.99999999999999989</v>
      </c>
      <c r="I12" s="73">
        <f>SUM(I3:I10)</f>
        <v>1.0548046623210587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21.46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17.216019799640559</v>
      </c>
      <c r="K15" s="81">
        <f>VLOOKUP(B15,Opportunities!B$3:N$30,9,FALSE)</f>
        <v>13.813721726582123</v>
      </c>
      <c r="L15" s="81">
        <f>VLOOKUP(B15,Opportunities!B$3:N$30,11,FALSE)</f>
        <v>23.983392639237451</v>
      </c>
      <c r="M15" s="81">
        <f>VLOOKUP(B15,Opportunities!B$3:N$30,13,FALSE)</f>
        <v>21.260208404270369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23.58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17.521171923366978</v>
      </c>
      <c r="K16" s="81">
        <f>VLOOKUP(B16,Opportunities!B$3:N$30,9,FALSE)</f>
        <v>14.169164728689069</v>
      </c>
      <c r="L16" s="81">
        <f>VLOOKUP(B16,Opportunities!B$3:N$30,11,FALSE)</f>
        <v>24.159676009645601</v>
      </c>
      <c r="M16" s="81">
        <f>VLOOKUP(B16,Opportunities!B$3:N$30,13,FALSE)</f>
        <v>21.492093039761716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0.10162032351301863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3.99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0.10611040461836935</v>
      </c>
      <c r="J18" s="81">
        <f>VLOOKUP(B18,Opportunities!B$3:N$30,12,FALSE)</f>
        <v>4.2858872769654486</v>
      </c>
      <c r="K18" s="81">
        <f>VLOOKUP(B18,Opportunities!B$3:N$30,9,FALSE)</f>
        <v>3.4559014778570916</v>
      </c>
      <c r="L18" s="81">
        <f>VLOOKUP(B18,Opportunities!B$3:N$30,11,FALSE)</f>
        <v>5.9323435226579617</v>
      </c>
      <c r="M18" s="81">
        <f>VLOOKUP(B18,Opportunities!B$3:N$30,13,FALSE)</f>
        <v>5.270387004436353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10.82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0.1200095501562498</v>
      </c>
      <c r="J19" s="81">
        <f>VLOOKUP(B19,Opportunities!B$3:N$30,12,FALSE)</f>
        <v>12.090027949127135</v>
      </c>
      <c r="K19" s="81">
        <f>VLOOKUP(B19,Opportunities!B$3:N$30,9,FALSE)</f>
        <v>9.7374850638369637</v>
      </c>
      <c r="L19" s="81">
        <f>VLOOKUP(B19,Opportunities!B$3:N$30,11,FALSE)</f>
        <v>16.759796650209978</v>
      </c>
      <c r="M19" s="81">
        <f>VLOOKUP(B19,Opportunities!B$3:N$30,13,FALSE)</f>
        <v>14.881930107992725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8.17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4.4803142488179203E-3</v>
      </c>
      <c r="J20" s="81">
        <f>VLOOKUP(B20,Opportunities!B$3:N$30,12,FALSE)</f>
        <v>7.2988151952955818</v>
      </c>
      <c r="K20" s="81">
        <f>VLOOKUP(B20,Opportunities!B$3:N$30,9,FALSE)</f>
        <v>5.871459758432044</v>
      </c>
      <c r="L20" s="81">
        <f>VLOOKUP(B20,Opportunities!B$3:N$30,11,FALSE)</f>
        <v>10.133981705009429</v>
      </c>
      <c r="M20" s="81">
        <f>VLOOKUP(B20,Opportunities!B$3:N$30,13,FALSE)</f>
        <v>8.9936235524266532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805319</v>
      </c>
      <c r="H23" s="73">
        <f t="shared" ref="H23" si="5">G23/$G$12</f>
        <v>0.60870718723143402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2026-02-05T10:25:01Z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