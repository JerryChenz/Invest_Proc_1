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E8ED783-D9F4-43C0-9086-6D5AAB9455DC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C16" i="7"/>
  <c r="D16" i="7"/>
  <c r="G16" i="7" s="1"/>
  <c r="E16" i="7"/>
  <c r="I16" i="7"/>
  <c r="J16" i="7"/>
  <c r="K16" i="7"/>
  <c r="L16" i="7"/>
  <c r="M16" i="7"/>
  <c r="G3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17" i="7"/>
  <c r="J17" i="7"/>
  <c r="K17" i="7"/>
  <c r="L17" i="7"/>
  <c r="M17" i="7"/>
  <c r="C13" i="7"/>
  <c r="C14" i="7"/>
  <c r="C15" i="7"/>
  <c r="C17" i="7"/>
  <c r="C12" i="7"/>
  <c r="C5" i="7"/>
  <c r="C6" i="7"/>
  <c r="C7" i="7"/>
  <c r="C4" i="7"/>
  <c r="D17" i="7"/>
  <c r="G17" i="7" s="1"/>
  <c r="E17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4" i="7"/>
  <c r="C25" i="7" s="1"/>
  <c r="F25" i="7" s="1"/>
  <c r="F27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20" i="7" s="1"/>
  <c r="G4" i="7"/>
  <c r="E33" i="10" l="1"/>
  <c r="G9" i="7"/>
  <c r="H17" i="7" l="1"/>
  <c r="H16" i="7"/>
  <c r="H6" i="7"/>
  <c r="H15" i="7"/>
  <c r="H7" i="7"/>
  <c r="H14" i="7"/>
  <c r="E72" i="5"/>
  <c r="E73" i="5" s="1"/>
  <c r="H13" i="7" l="1"/>
  <c r="H12" i="7"/>
  <c r="H5" i="7"/>
  <c r="H4" i="7"/>
  <c r="H20" i="7"/>
  <c r="C10" i="5"/>
  <c r="C11" i="5"/>
  <c r="E6" i="2"/>
  <c r="E5" i="2"/>
  <c r="E4" i="2"/>
  <c r="C11" i="10" l="1"/>
  <c r="C10" i="10"/>
  <c r="I20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<sst xmlns="http://schemas.openxmlformats.org/spreadsheetml/2006/main" count="464" uniqueCount="387">
  <si>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</si>
  <si>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</si>
  <si>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</si>
  <si>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</si>
  <si>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</si>
  <si>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</si>
  <si>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</si>
  <si>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</si>
  <si>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</si>
  <si>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</si>
  <si>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</si>
  <si>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</si>
  <si>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</si>
  <si>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</si>
  <si>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</si>
  <si>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</si>
  <si>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</si>
  <si>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</si>
  <si>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</si>
  <si>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</si>
  <si>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</si>
  <si>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</si>
  <si>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</si>
  <si>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</si>
  <si>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</si>
  <si>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</si>
  <si>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</si>
  <si>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</si>
  <si>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</si>
  <si>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</si>
  <si>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</si>
  <si>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</si>
  <si>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</si>
  <si>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</si>
  <si>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</si>
  <si>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</si>
  <si>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</si>
  <si>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</si>
  <si>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</si>
  <si>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</si>
  <si>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</si>
  <si>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</si>
  <si>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</si>
  <si>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</si>
  <si>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</si>
  <si>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</si>
  <si>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</si>
  <si>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</si>
  <si>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</si>
  <si>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</si>
  <si>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</si>
  <si>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</si>
  <si>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</si>
  <si>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</si>
  <si>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</si>
  <si>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</si>
  <si>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</si>
  <si>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</si>
  <si>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</si>
  <si>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</si>
  <si>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</si>
  <si>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</si>
  <si>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</si>
  <si>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</si>
  <si>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</si>
  <si>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</si>
  <si>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</si>
  <si>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</si>
  <si>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</si>
  <si>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</si>
  <si>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</si>
  <si>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</si>
  <si>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</si>
  <si>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</si>
  <si>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</si>
  <si>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</si>
  <si>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</si>
  <si>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</si>
  <si>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</si>
  <si>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</si>
  <si>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</si>
  <si>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</si>
  <si>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</si>
  <si>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</si>
  <si>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</si>
  <si>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</si>
  <si>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</si>
  <si>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</si>
  <si>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</si>
  <si>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</si>
  <si>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</si>
  <si>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</si>
  <si>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</si>
  <si>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</si>
  <si>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</si>
  <si>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</si>
  <si>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</si>
  <si>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</si>
  <si>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</si>
  <si>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</si>
  <si>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</si>
  <si>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</si>
  <si>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</si>
  <si>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</si>
  <si>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</si>
  <si>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</si>
  <si>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</si>
  <si>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</si>
  <si>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</si>
  <si>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</si>
  <si>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</si>
  <si>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</si>
  <si>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</si>
  <si>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</si>
  <si>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</si>
  <si>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</si>
  <si>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</si>
  <si>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</si>
  <si>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</si>
  <si>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</si>
  <si>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</si>
  <si>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</si>
  <si>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</si>
  <si>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</si>
  <si>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</si>
  <si>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</si>
  <si>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</si>
  <si>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</si>
  <si>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</si>
  <si>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</si>
  <si>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</si>
  <si>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</si>
  <si>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</si>
  <si>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</si>
  <si>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</si>
  <si>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</si>
  <si>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</si>
  <si>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</si>
  <si>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</si>
  <si>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</si>
  <si>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</si>
  <si>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</si>
  <si>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</si>
  <si>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</si>
  <si>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</si>
  <si>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</si>
  <si>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</si>
  <si>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</si>
  <si>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</si>
  <si>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</si>
  <si>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</si>
  <si>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</si>
  <si>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</si>
  <si>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</si>
  <si>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</si>
  <si>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</si>
  <si>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</si>
  <si>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</si>
  <si>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</si>
  <si>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</si>
  <si>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</si>
  <si>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</si>
  <si>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</si>
  <si>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</si>
  <si>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</si>
  <si>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</si>
  <si>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</si>
  <si>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</si>
  <si>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</si>
  <si>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</si>
  <si>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</si>
  <si>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</si>
  <si>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</si>
  <si>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</si>
  <si>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</si>
  <si>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</si>
  <si>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</si>
  <si>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</si>
  <si>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</si>
  <si>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</si>
  <si>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</si>
  <si>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</si>
  <si>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</si>
  <si>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</si>
  <si>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</si>
  <si>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</si>
  <si>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</si>
  <si>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</si>
  <si>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</si>
  <si>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</si>
  <si>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</si>
  <si>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</si>
  <si>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</si>
  <si>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</si>
  <si>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</si>
  <si>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</si>
  <si>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</si>
  <si>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</si>
  <si>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</si>
  <si>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</si>
  <si>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</si>
  <si>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</si>
  <si>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</si>
  <si>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</si>
  <si>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</si>
  <si>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</si>
  <si>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</si>
  <si>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</si>
  <si>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</si>
  <si>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</si>
  <si>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</si>
  <si>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</si>
  <si>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</si>
  <si>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</si>
  <si>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</si>
  <si>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</si>
  <si>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</si>
  <si>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</si>
  <si>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</si>
  <si>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</si>
  <si>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</si>
  <si>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</si>
  <si>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</si>
  <si>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</si>
  <si>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</si>
  <si>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</si>
  <si>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</si>
  <si>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</si>
  <si>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</si>
  <si>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</si>
  <si>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</si>
  <si>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</si>
  <si>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</si>
  <si>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</si>
  <si>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</si>
  <si>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</si>
  <si>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</si>
  <si>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</si>
  <si>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</si>
  <si>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</si>
  <si>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</si>
  <si>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</si>
  <si>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</si>
  <si>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</si>
  <si>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</si>
  <si>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</si>
  <si>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</si>
  <si>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</si>
  <si>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</si>
  <si>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</si>
  <si>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</si>
  <si>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</si>
  <si>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</si>
  <si>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</si>
  <si>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</si>
  <si>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</si>
  <si>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</si>
  <si>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</si>
  <si>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</si>
  <si>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</si>
  <si>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</si>
  <si>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</si>
  <si>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</si>
  <si>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</si>
  <si>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</si>
  <si>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</si>
  <si>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</si>
  <si>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</si>
  <si>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</si>
  <si>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</si>
  <si>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</si>
  <si>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</si>
  <si>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</si>
  <si>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</si>
  <si>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</si>
  <si>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</si>
  <si>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</si>
  <si>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</si>
  <si>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</si>
  <si>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</si>
  <si>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</si>
  <si>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</si>
  <si>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</si>
  <si>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</si>
  <si>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</si>
  <si>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</si>
  <si>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</si>
  <si>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</si>
  <si>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</si>
  <si>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</si>
  <si>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</si>
  <si>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</si>
  <si>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</si>
  <si>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</si>
  <si>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</si>
  <si>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</si>
  <si>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</si>
  <si>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</si>
  <si>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</si>
  <si>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</si>
  <si>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</si>
  <si>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</si>
  <si>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</si>
  <si>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</si>
  <si>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</si>
  <si>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</si>
  <si>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</si>
  <si>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</si>
  <si>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</si>
  <si>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</si>
  <si>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</si>
  <si>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</si>
  <si>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</si>
  <si>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</si>
  <si>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</si>
  <si>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</si>
  <si>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</si>
  <si>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</si>
  <si>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</si>
  <si>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</si>
  <si>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</si>
  <si>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</si>
  <si>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</si>
  <si>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</si>
  <si>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</si>
  <si>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</si>
  <si>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</si>
  <si>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</si>
  <si>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</si>
  <si>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</si>
  <si>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</si>
  <si>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</si>
  <si>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</si>
  <si>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</si>
  <si>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</si>
  <si>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</si>
  <si>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</si>
  <si>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</si>
  <si>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</si>
  <si>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</si>
  <si>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</si>
  <si>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</si>
  <si>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</si>
  <si>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</si>
  <si>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</si>
  <si>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</si>
  <si>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</si>
  <si>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</si>
  <si>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</si>
  <si>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</si>
  <si>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</si>
  <si>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</si>
  <si>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</si>
  <si>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</si>
  <si>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</si>
  <si>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</si>
  <si>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</si>
  <si>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</si>
  <si>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</si>
  <si>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</si>
  <si>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</si>
  <si>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</si>
  <si>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</si>
  <si>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</si>
  <si>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</si>
  <si>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</si>
  <si>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</si>
  <si>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</si>
  <si>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</si>
  <si>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</si>
  <si>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</si>
  <si>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</si>
  <si>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</si>
  <si>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</si>
  <si>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</si>
  <si>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</si>
  <si>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</si>
  <si>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</si>
  <si>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3813.HK</t>
  </si>
  <si>
    <t>寶勝國際</t>
  </si>
  <si>
    <t>IND_01</t>
  </si>
  <si>
    <t>Negative Growth Asset Play</t>
  </si>
  <si>
    <t>0345.HK</t>
  </si>
  <si>
    <t>维他奶</t>
  </si>
  <si>
    <t>0811.HK</t>
  </si>
  <si>
    <t>新华文轩</t>
  </si>
  <si>
    <t>CNS_04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</si>
</sst>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B38" sqref="B3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197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0.55000000000000004</v>
      </c>
    </row>
    <row r="38" spans="1:5">
      <c r="B38" s="26" t="s">
        <v>363</v>
      </c>
      <c r="C38" s="138">
        <v>-0.65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375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N3" sqref="B2:N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384</v>
      </c>
      <c r="C3" s="11" t="s">
        <v>385</v>
      </c>
      <c r="D3" s="2">
        <v>10.51</v>
      </c>
      <c r="E3" s="12" t="s">
        <v>135</v>
      </c>
      <c r="F3" s="15">
        <v>0.21998237366068735</v>
      </c>
      <c r="G3" s="15">
        <f>F3 - Portfolio_Mgmt!$C$10</f>
        <v>0.10258237366068734</v>
      </c>
      <c r="H3" s="15">
        <f>F3 - Portfolio_Mgmt!$C$11</f>
        <v>0.18548237366068734</v>
      </c>
      <c r="I3" s="15">
        <v>9.5721372187096337E-2</v>
      </c>
      <c r="J3" s="2">
        <v>8.8657660079709828</v>
      </c>
      <c r="K3" s="2">
        <v>16.893862419523156</v>
      </c>
      <c r="L3" s="71">
        <v>15.236889064117824</v>
      </c>
      <c r="M3" s="2">
        <v>11.000657888146176</v>
      </c>
      <c r="N3" s="2">
        <v>13.533557687136012</v>
      </c>
      <c r="O3" s="4">
        <v>9.3598012371917214E-2</v>
      </c>
      <c r="P3" s="4">
        <v>5.6187113035204579E-2</v>
      </c>
      <c r="Q3" s="4">
        <v>0.10095606522098918</v>
      </c>
      <c r="R3" s="4">
        <v>0.12639565685613444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1.7064163577110023</v>
      </c>
      <c r="X3" s="13" t="s">
        <v>386</v>
      </c>
      <c r="Y3" s="11" t="s">
        <v>333</v>
      </c>
      <c r="Z3" s="14">
        <v>46173</v>
      </c>
      <c r="AA3" s="16" t="s">
        <v>334</v>
      </c>
    </row>
    <row r="4" spans="1:27">
      <c r="B4" s="11" t="s">
        <v>329</v>
      </c>
      <c r="C4" s="11" t="s">
        <v>330</v>
      </c>
      <c r="D4" s="2">
        <v>5.66</v>
      </c>
      <c r="E4" s="12" t="s">
        <v>135</v>
      </c>
      <c r="F4" s="15">
        <v>0.20280486606948164</v>
      </c>
      <c r="G4" s="15">
        <f>F4 - Portfolio_Mgmt!$C$10</f>
        <v>8.5404866069481639E-2</v>
      </c>
      <c r="H4" s="15">
        <f>F4 - Portfolio_Mgmt!$C$11</f>
        <v>0.16830486606948164</v>
      </c>
      <c r="I4" s="15">
        <v>0.15480736141011281</v>
      </c>
      <c r="J4" s="2">
        <v>4.5980258861772203</v>
      </c>
      <c r="K4" s="2">
        <v>8.3894050049409827</v>
      </c>
      <c r="L4" s="71">
        <v>7.8454252449020769</v>
      </c>
      <c r="M4" s="2">
        <v>5.6874672857327493</v>
      </c>
      <c r="N4" s="2">
        <v>6.9782344788773099</v>
      </c>
      <c r="O4" s="4">
        <v>0.10389453183284937</v>
      </c>
      <c r="P4" s="4">
        <v>7.0671378091872794E-2</v>
      </c>
      <c r="Q4" s="4">
        <v>0.1658525572748466</v>
      </c>
      <c r="R4" s="4">
        <v>5.3128459724860015E-2</v>
      </c>
      <c r="S4" s="79">
        <v>1.4327738230803833</v>
      </c>
      <c r="T4" s="78">
        <v>2.1787997096988563</v>
      </c>
      <c r="U4" s="15">
        <v>0.77760119734648436</v>
      </c>
      <c r="V4" s="76">
        <v>3.999044116203212</v>
      </c>
      <c r="W4" s="71">
        <v>-2.5047246524922007</v>
      </c>
      <c r="X4" s="13" t="s">
        <v>171</v>
      </c>
      <c r="Y4" s="11" t="s">
        <v>170</v>
      </c>
      <c r="Z4" s="14">
        <v>45991</v>
      </c>
      <c r="AA4" s="16" t="s">
        <v>183</v>
      </c>
    </row>
    <row r="5" spans="1:27">
      <c r="B5" s="11" t="s">
        <v>331</v>
      </c>
      <c r="C5" s="11" t="s">
        <v>332</v>
      </c>
      <c r="D5" s="2">
        <v>4.26</v>
      </c>
      <c r="E5" s="12" t="s">
        <v>135</v>
      </c>
      <c r="F5" s="15">
        <v>0.19212406523521777</v>
      </c>
      <c r="G5" s="15">
        <f>F5 - Portfolio_Mgmt!$C$10</f>
        <v>7.4724065235217768E-2</v>
      </c>
      <c r="H5" s="15">
        <f>F5 - Portfolio_Mgmt!$C$11</f>
        <v>0.15762406523521777</v>
      </c>
      <c r="I5" s="15">
        <v>6.4325473219113652E-2</v>
      </c>
      <c r="J5" s="2">
        <v>3.3657736770484949</v>
      </c>
      <c r="K5" s="2">
        <v>6.3435947781007966</v>
      </c>
      <c r="L5" s="71">
        <v>5.7738079939399709</v>
      </c>
      <c r="M5" s="2">
        <v>4.1729184233887535</v>
      </c>
      <c r="N5" s="2">
        <v>5.130204922130142</v>
      </c>
      <c r="O5" s="4">
        <v>0.10091401467201033</v>
      </c>
      <c r="P5" s="4">
        <v>5.6760563380281688E-2</v>
      </c>
      <c r="Q5" s="4">
        <v>0.17911384235321903</v>
      </c>
      <c r="R5" s="4">
        <v>0.23440332981639811</v>
      </c>
      <c r="S5" s="79">
        <v>0.61200300518899786</v>
      </c>
      <c r="T5" s="78">
        <v>1.2485669045200241</v>
      </c>
      <c r="U5" s="15">
        <v>3.1120102042901991E-2</v>
      </c>
      <c r="V5" s="76">
        <v>0.1723700558857961</v>
      </c>
      <c r="W5" s="71">
        <v>1.2426716480064259</v>
      </c>
      <c r="X5" s="13" t="s">
        <v>171</v>
      </c>
      <c r="Y5" s="11" t="s">
        <v>341</v>
      </c>
      <c r="Z5" s="14">
        <v>46081</v>
      </c>
      <c r="AA5" s="16" t="s">
        <v>334</v>
      </c>
    </row>
    <row r="6" spans="1:27">
      <c r="B6" s="11" t="s">
        <v>342</v>
      </c>
      <c r="C6" s="11" t="s">
        <v>343</v>
      </c>
      <c r="D6" s="2">
        <v>7.23</v>
      </c>
      <c r="E6" s="12" t="s">
        <v>135</v>
      </c>
      <c r="F6" s="15">
        <v>0.18899877100133211</v>
      </c>
      <c r="G6" s="15">
        <f>F6 - Portfolio_Mgmt!$C$10</f>
        <v>7.1598771001332107E-2</v>
      </c>
      <c r="H6" s="15">
        <f>F6 - Portfolio_Mgmt!$C$11</f>
        <v>0.15449877100133211</v>
      </c>
      <c r="I6" s="15">
        <v>6.021360734191053E-2</v>
      </c>
      <c r="J6" s="2">
        <v>5.6531663336456681</v>
      </c>
      <c r="K6" s="2">
        <v>11.033198323256117</v>
      </c>
      <c r="L6" s="71">
        <v>9.7555037119170596</v>
      </c>
      <c r="M6" s="2">
        <v>7.0269200271788748</v>
      </c>
      <c r="N6" s="2">
        <v>8.6580299400651679</v>
      </c>
      <c r="O6" s="4">
        <v>9.51496618694119E-2</v>
      </c>
      <c r="P6" s="4">
        <v>4.2989462198340246E-2</v>
      </c>
      <c r="Q6" s="4">
        <v>0.17171944758717272</v>
      </c>
      <c r="R6" s="4">
        <v>8.3605886535230087E-2</v>
      </c>
      <c r="S6" s="79">
        <v>1.3282158707615834</v>
      </c>
      <c r="T6" s="78">
        <v>1.5463719418456539</v>
      </c>
      <c r="U6" s="15">
        <v>0.22428295339746124</v>
      </c>
      <c r="V6" s="76">
        <v>1.2715557492373779</v>
      </c>
      <c r="W6" s="71">
        <v>-2.8859406053036731</v>
      </c>
      <c r="X6" s="13" t="s">
        <v>344</v>
      </c>
      <c r="Y6" s="11" t="s">
        <v>170</v>
      </c>
      <c r="Z6" s="14">
        <v>46081</v>
      </c>
      <c r="AA6" s="16" t="s">
        <v>334</v>
      </c>
    </row>
    <row r="7" spans="1:27">
      <c r="B7" s="11" t="s">
        <v>185</v>
      </c>
      <c r="C7" s="11" t="s">
        <v>335</v>
      </c>
      <c r="D7" s="2">
        <v>3.16</v>
      </c>
      <c r="E7" s="12" t="s">
        <v>135</v>
      </c>
      <c r="F7" s="15">
        <v>0.17337144056203113</v>
      </c>
      <c r="G7" s="15">
        <f>F7 - Portfolio_Mgmt!$C$10</f>
        <v>5.5971440562031127E-2</v>
      </c>
      <c r="H7" s="15">
        <f>F7 - Portfolio_Mgmt!$C$11</f>
        <v>0.13887144056203113</v>
      </c>
      <c r="I7" s="15">
        <v>7.4775392262181342E-2</v>
      </c>
      <c r="J7" s="2">
        <v>2.4048565177073828</v>
      </c>
      <c r="K7" s="2">
        <v>4.1464286049821002</v>
      </c>
      <c r="L7" s="71">
        <v>4.0664479320737961</v>
      </c>
      <c r="M7" s="2">
        <v>2.9631300794707243</v>
      </c>
      <c r="N7" s="2">
        <v>3.623398640518225</v>
      </c>
      <c r="O7" s="4">
        <v>6.8197163363073549E-2</v>
      </c>
      <c r="P7" s="4">
        <v>8.5443037974683542E-2</v>
      </c>
      <c r="Q7" s="4">
        <v>0.10109497147719294</v>
      </c>
      <c r="R7" s="4">
        <v>0.41984093276604345</v>
      </c>
      <c r="S7" s="79">
        <v>0.19832389661116825</v>
      </c>
      <c r="T7" s="78">
        <v>1.2141426890285656</v>
      </c>
      <c r="U7" s="15">
        <v>2.3107986944995245E-3</v>
      </c>
      <c r="V7" s="76">
        <v>2.2976895736939666E-2</v>
      </c>
      <c r="W7" s="71">
        <v>0.79833937207218564</v>
      </c>
      <c r="X7" s="13" t="s">
        <v>336</v>
      </c>
      <c r="Y7" s="11" t="s">
        <v>341</v>
      </c>
      <c r="Z7" s="14">
        <v>46081</v>
      </c>
      <c r="AA7" s="16" t="s">
        <v>183</v>
      </c>
    </row>
    <row r="8" spans="1:27">
      <c r="B8" s="11" t="s">
        <v>378</v>
      </c>
      <c r="C8" s="11" t="s">
        <v>379</v>
      </c>
      <c r="D8" s="2">
        <v>0.46500000000000002</v>
      </c>
      <c r="E8" s="12" t="s">
        <v>135</v>
      </c>
      <c r="F8" s="15">
        <v>0.16399294422271254</v>
      </c>
      <c r="G8" s="15">
        <f>F8 - Portfolio_Mgmt!$C$10</f>
        <v>4.659294422271254E-2</v>
      </c>
      <c r="H8" s="15">
        <f>F8 - Portfolio_Mgmt!$C$11</f>
        <v>0.12949294422271254</v>
      </c>
      <c r="I8" s="15">
        <v>2.1564657787226146E-2</v>
      </c>
      <c r="J8" s="2">
        <v>0.34356641424181522</v>
      </c>
      <c r="K8" s="2">
        <v>0.63832811506044695</v>
      </c>
      <c r="L8" s="71">
        <v>0.58796468598620144</v>
      </c>
      <c r="M8" s="2">
        <v>0.42551748711659565</v>
      </c>
      <c r="N8" s="2">
        <v>0.52266859502346763</v>
      </c>
      <c r="O8" s="4">
        <v>0.11323185050327873</v>
      </c>
      <c r="P8" s="4">
        <v>5.8064516129032254E-2</v>
      </c>
      <c r="Q8" s="4">
        <v>3.931859133292645E-2</v>
      </c>
      <c r="R8" s="4">
        <v>1.9127481481925439E-2</v>
      </c>
      <c r="S8" s="79">
        <v>1.4656521003611329</v>
      </c>
      <c r="T8" s="78">
        <v>1.4025206525126881</v>
      </c>
      <c r="U8" s="15">
        <v>0.16239287772638675</v>
      </c>
      <c r="V8" s="76">
        <v>3.5496550732945478</v>
      </c>
      <c r="W8" s="71">
        <v>0.58047083094388308</v>
      </c>
      <c r="X8" s="13" t="s">
        <v>380</v>
      </c>
      <c r="Y8" s="11" t="s">
        <v>381</v>
      </c>
      <c r="Z8" s="14">
        <v>46081</v>
      </c>
      <c r="AA8" s="16" t="s">
        <v>334</v>
      </c>
    </row>
    <row r="9" spans="1:27">
      <c r="B9" s="11" t="s">
        <v>346</v>
      </c>
      <c r="C9" s="11" t="s">
        <v>347</v>
      </c>
      <c r="D9" s="2">
        <v>98.75</v>
      </c>
      <c r="E9" s="12" t="s">
        <v>135</v>
      </c>
      <c r="F9" s="15">
        <v>0.15516456212145399</v>
      </c>
      <c r="G9" s="15">
        <f>F9 - Portfolio_Mgmt!$C$10</f>
        <v>3.7764562121453987E-2</v>
      </c>
      <c r="H9" s="15">
        <f>F9 - Portfolio_Mgmt!$C$11</f>
        <v>0.12066456212145399</v>
      </c>
      <c r="I9" s="15">
        <v>4.8957275128215924E-3</v>
      </c>
      <c r="J9" s="2">
        <v>70.146974161584382</v>
      </c>
      <c r="K9" s="2">
        <v>152.21893393063809</v>
      </c>
      <c r="L9" s="71">
        <v>123.38909345287442</v>
      </c>
      <c r="M9" s="2">
        <v>87.924293967155606</v>
      </c>
      <c r="N9" s="2">
        <v>109.10450290841843</v>
      </c>
      <c r="O9" s="4">
        <v>2.4233291701948878E-2</v>
      </c>
      <c r="P9" s="4">
        <v>0</v>
      </c>
      <c r="Q9" s="4">
        <v>0.14667015235144401</v>
      </c>
      <c r="R9" s="4">
        <v>8.0069983114389093E-2</v>
      </c>
      <c r="S9" s="79">
        <v>1.022390799101176</v>
      </c>
      <c r="T9" s="78">
        <v>1.7916578376478161</v>
      </c>
      <c r="U9" s="15">
        <v>0.27660377540313014</v>
      </c>
      <c r="V9" s="76">
        <v>1.7116972700897226</v>
      </c>
      <c r="W9" s="71">
        <v>3.4852733394271573</v>
      </c>
      <c r="X9" s="13" t="s">
        <v>348</v>
      </c>
      <c r="Y9" s="11" t="s">
        <v>349</v>
      </c>
      <c r="Z9" s="14">
        <v>46081</v>
      </c>
      <c r="AA9" s="16" t="s">
        <v>334</v>
      </c>
    </row>
    <row r="10" spans="1:27">
      <c r="B10" s="11" t="s">
        <v>158</v>
      </c>
      <c r="C10" s="11" t="s">
        <v>337</v>
      </c>
      <c r="D10" s="2">
        <v>17.649999999999999</v>
      </c>
      <c r="E10" s="12" t="s">
        <v>135</v>
      </c>
      <c r="F10" s="15">
        <v>0.14371739999034341</v>
      </c>
      <c r="G10" s="15">
        <f>F10 - Portfolio_Mgmt!$C$10</f>
        <v>2.631739999034341E-2</v>
      </c>
      <c r="H10" s="15">
        <f>F10 - Portfolio_Mgmt!$C$11</f>
        <v>0.10921739999034341</v>
      </c>
      <c r="I10" s="15">
        <v>0</v>
      </c>
      <c r="J10" s="2">
        <v>12.2965077794727</v>
      </c>
      <c r="K10" s="2">
        <v>24.559995112624744</v>
      </c>
      <c r="L10" s="71">
        <v>21.305403411809777</v>
      </c>
      <c r="M10" s="2">
        <v>15.311423105690393</v>
      </c>
      <c r="N10" s="2">
        <v>18.893803640918314</v>
      </c>
      <c r="O10" s="4">
        <v>5.4160270267835514E-2</v>
      </c>
      <c r="P10" s="4">
        <v>3.0298210596308467E-2</v>
      </c>
      <c r="Q10" s="4">
        <v>0.1108864915477122</v>
      </c>
      <c r="R10" s="4">
        <v>0.11515133728999219</v>
      </c>
      <c r="S10" s="79">
        <v>0.71131521233544359</v>
      </c>
      <c r="T10" s="78">
        <v>1.3537783359692717</v>
      </c>
      <c r="U10" s="15">
        <v>6.5417684980282262E-2</v>
      </c>
      <c r="V10" s="76">
        <v>0.5742845428370501</v>
      </c>
      <c r="W10" s="71">
        <v>5.4547612134062895</v>
      </c>
      <c r="X10" s="16" t="s">
        <v>338</v>
      </c>
      <c r="Y10" s="11" t="s">
        <v>333</v>
      </c>
      <c r="Z10" s="14">
        <v>46081</v>
      </c>
      <c r="AA10" s="16" t="s">
        <v>183</v>
      </c>
    </row>
    <row r="11" spans="1:27">
      <c r="B11" s="11" t="s">
        <v>172</v>
      </c>
      <c r="C11" s="11" t="s">
        <v>339</v>
      </c>
      <c r="D11" s="2">
        <v>22.08</v>
      </c>
      <c r="E11" s="12" t="s">
        <v>135</v>
      </c>
      <c r="F11" s="15">
        <v>9.4326057059805887E-2</v>
      </c>
      <c r="G11" s="15">
        <f>F11 - Portfolio_Mgmt!$C$10</f>
        <v>-2.3073942940194117E-2</v>
      </c>
      <c r="H11" s="15">
        <f>F11 - Portfolio_Mgmt!$C$11</f>
        <v>5.9826057059805884E-2</v>
      </c>
      <c r="I11" s="15">
        <v>0</v>
      </c>
      <c r="J11" s="2">
        <v>13.728787963334879</v>
      </c>
      <c r="K11" s="2">
        <v>24.788289701036391</v>
      </c>
      <c r="L11" s="71">
        <v>23.385049726698668</v>
      </c>
      <c r="M11" s="2">
        <v>16.969190649247935</v>
      </c>
      <c r="N11" s="2">
        <v>20.807144206962327</v>
      </c>
      <c r="O11" s="4">
        <v>0.10598774256141867</v>
      </c>
      <c r="P11" s="4">
        <v>5.7065217391304351E-2</v>
      </c>
      <c r="Q11" s="4">
        <v>0.17244225698759846</v>
      </c>
      <c r="R11" s="4">
        <v>0.32385684070512349</v>
      </c>
      <c r="S11" s="79">
        <v>0.37515442207937094</v>
      </c>
      <c r="T11" s="78">
        <v>1.419320754716981</v>
      </c>
      <c r="U11" s="15">
        <v>9.2018392262565404E-2</v>
      </c>
      <c r="V11" s="76">
        <v>0.52904635366009978</v>
      </c>
      <c r="W11" s="71">
        <v>0.44983915228199972</v>
      </c>
      <c r="X11" s="13" t="s">
        <v>340</v>
      </c>
      <c r="Y11" s="11" t="s">
        <v>341</v>
      </c>
      <c r="Z11" s="14">
        <v>46081</v>
      </c>
      <c r="AA11" s="16" t="s">
        <v>183</v>
      </c>
    </row>
    <row r="12" spans="1:27">
      <c r="B12" s="11" t="s">
        <v>382</v>
      </c>
      <c r="C12" s="11" t="s">
        <v>383</v>
      </c>
      <c r="D12" s="2">
        <v>6.99</v>
      </c>
      <c r="E12" s="12" t="s">
        <v>135</v>
      </c>
      <c r="F12" s="15">
        <v>7.0703084989331227E-2</v>
      </c>
      <c r="G12" s="15">
        <f>F12 - Portfolio_Mgmt!$C$10</f>
        <v>-4.6696915010668777E-2</v>
      </c>
      <c r="H12" s="15">
        <f>F12 - Portfolio_Mgmt!$C$11</f>
        <v>3.6203084989331225E-2</v>
      </c>
      <c r="I12" s="15">
        <v>0</v>
      </c>
      <c r="J12" s="2">
        <v>4.0476647681399474</v>
      </c>
      <c r="K12" s="2">
        <v>7.7113225084207642</v>
      </c>
      <c r="L12" s="71">
        <v>6.9561608977513227</v>
      </c>
      <c r="M12" s="2">
        <v>5.0222745724316873</v>
      </c>
      <c r="N12" s="2">
        <v>6.1785733958029958</v>
      </c>
      <c r="O12" s="4">
        <v>4.4851339524735467E-2</v>
      </c>
      <c r="P12" s="4">
        <v>3.8626609442060089E-2</v>
      </c>
      <c r="Q12" s="4">
        <v>0.15129103990745271</v>
      </c>
      <c r="R12" s="4">
        <v>7.6740113341060609E-2</v>
      </c>
      <c r="S12" s="79">
        <v>1.1106245684847842</v>
      </c>
      <c r="T12" s="78">
        <v>1.775102743966247</v>
      </c>
      <c r="U12" s="15">
        <v>0.17709797868255178</v>
      </c>
      <c r="V12" s="76">
        <v>1.1002434563583587</v>
      </c>
      <c r="W12" s="71">
        <v>-0.16671611581654458</v>
      </c>
      <c r="X12" s="13" t="s">
        <v>171</v>
      </c>
      <c r="Y12" s="11" t="s">
        <v>349</v>
      </c>
      <c r="Z12" s="14">
        <v>46081</v>
      </c>
      <c r="AA12" s="16" t="s">
        <v>183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0.1174</v>
      </c>
    </row>
    <row r="11" spans="1:5">
      <c r="B11" s="1" t="s">
        <v>240</v>
      </c>
      <c r="C11" s="105">
        <f>Cash_Yield</f>
        <v>3.4500000000000003E-2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6</v>
      </c>
    </row>
    <row r="28" spans="1:5">
      <c r="B28" s="26" t="s">
        <v>257</v>
      </c>
      <c r="C28" s="107">
        <f>Portfolio_Mgmt!C31</f>
        <v>0.3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0.29465259038036606</v>
      </c>
      <c r="D32" s="93" t="s">
        <v>322</v>
      </c>
      <c r="E32" s="108">
        <f>Portfolio_Mgmt!E46</f>
        <v>1.7999999999999994</v>
      </c>
    </row>
    <row r="33" spans="1:5">
      <c r="B33" s="95" t="s">
        <v>263</v>
      </c>
      <c r="C33" s="109">
        <f>Portfolio_Mgmt!C47</f>
        <v>0.20075184365903009</v>
      </c>
      <c r="D33" s="96" t="s">
        <v>268</v>
      </c>
      <c r="E33" s="97">
        <f>(C32*C33+(1-C32)*C34)/(2*C33)</f>
        <v>3.6621760332915154</v>
      </c>
    </row>
    <row r="34" spans="1:5" ht="12" thickBot="1">
      <c r="B34" s="98" t="s">
        <v>264</v>
      </c>
      <c r="C34" s="99">
        <f>E32+C33</f>
        <v>2.0007518436590295</v>
      </c>
      <c r="D34" s="100" t="s">
        <v>269</v>
      </c>
      <c r="E34" s="101">
        <f>-C33/C34</f>
        <v>-0.10033820250885769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373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-0.65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355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352</v>
      </c>
    </row>
    <row r="22" spans="1:5">
      <c r="B22" s="123" t="s">
        <v>358</v>
      </c>
      <c r="C22" s="123" t="s">
        <v>374</v>
      </c>
      <c r="D22" s="123" t="s">
        <v>216</v>
      </c>
    </row>
    <row r="23" spans="1:5">
      <c r="B23" s="127" t="s">
        <v>356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357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4.1200000000000001E-2</v>
      </c>
      <c r="D4" s="34">
        <v>7.0000000000000007E-2</v>
      </c>
      <c r="E4" s="35">
        <f>D4-C4</f>
        <v>2.8800000000000006E-2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376</v>
      </c>
    </row>
    <row r="35" spans="1:5" ht="223.15" customHeight="1">
      <c r="B35" s="156" t="s">
        <v>377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7"/>
  <sheetViews>
    <sheetView showGridLines="0" zoomScaleNormal="100" workbookViewId="0">
      <selection activeCell="G17" sqref="G17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</f>
        <v>764909</v>
      </c>
      <c r="H3" s="58">
        <f>G3/$G$9</f>
        <v>0.66666056577890032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17.649999999999999</v>
      </c>
      <c r="E4" s="59" t="str">
        <f>VLOOKUP(B4,Opportunities!B$3:E$30,4,FALSE)</f>
        <v>HKD</v>
      </c>
      <c r="F4" s="57">
        <v>4500</v>
      </c>
      <c r="G4" s="61">
        <f>D4*F4</f>
        <v>79425</v>
      </c>
      <c r="H4" s="58">
        <f>G4/$G$9</f>
        <v>6.9223287262915142E-2</v>
      </c>
      <c r="I4" s="58">
        <f>VLOOKUP(B4,Opportunities!B$3:I$30,8,FALSE)</f>
        <v>0</v>
      </c>
      <c r="J4" s="81">
        <f>VLOOKUP(B4,Opportunities!B$3:N$30,12,FALSE)</f>
        <v>15.311423105690393</v>
      </c>
      <c r="K4" s="81">
        <f>VLOOKUP(B4,Opportunities!B$3:N$30,9,FALSE)</f>
        <v>12.2965077794727</v>
      </c>
      <c r="L4" s="81">
        <f>VLOOKUP(B4,Opportunities!B$3:N$30,11,FALSE)</f>
        <v>21.305403411809777</v>
      </c>
      <c r="M4" s="81">
        <f>VLOOKUP(B4,Opportunities!B$3:N$30,13,FALSE)</f>
        <v>18.893803640918314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22.08</v>
      </c>
      <c r="E5" s="59" t="str">
        <f>VLOOKUP(B5,Opportunities!B$3:E$30,4,FALSE)</f>
        <v>HKD</v>
      </c>
      <c r="F5" s="57">
        <v>8000</v>
      </c>
      <c r="G5" s="61">
        <f>D5*F5</f>
        <v>176640</v>
      </c>
      <c r="H5" s="58">
        <f>G5/$G$9</f>
        <v>0.15395154500624905</v>
      </c>
      <c r="I5" s="58">
        <f>VLOOKUP(B5,Opportunities!B$3:I$30,8,FALSE)</f>
        <v>0</v>
      </c>
      <c r="J5" s="81">
        <f>VLOOKUP(B5,Opportunities!B$3:N$30,12,FALSE)</f>
        <v>16.969190649247935</v>
      </c>
      <c r="K5" s="81">
        <f>VLOOKUP(B5,Opportunities!B$3:N$30,9,FALSE)</f>
        <v>13.728787963334879</v>
      </c>
      <c r="L5" s="81">
        <f>VLOOKUP(B5,Opportunities!B$3:N$30,11,FALSE)</f>
        <v>23.385049726698668</v>
      </c>
      <c r="M5" s="81">
        <f>VLOOKUP(B5,Opportunities!B$3:N$30,13,FALSE)</f>
        <v>20.807144206962327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3.16</v>
      </c>
      <c r="E6" s="59" t="str">
        <f>VLOOKUP(B6,Opportunities!B$3:E$30,4,FALSE)</f>
        <v>HKD</v>
      </c>
      <c r="F6" s="57">
        <v>40000</v>
      </c>
      <c r="G6" s="61">
        <f>D6*F6</f>
        <v>126400</v>
      </c>
      <c r="H6" s="58">
        <f t="shared" ref="H6" si="0">G6/$G$9</f>
        <v>0.11016460195193546</v>
      </c>
      <c r="I6" s="58">
        <f>VLOOKUP(B6,Opportunities!B$3:I$30,8,FALSE)</f>
        <v>7.4775392262181342E-2</v>
      </c>
      <c r="J6" s="81">
        <f>VLOOKUP(B6,Opportunities!B$3:N$30,12,FALSE)</f>
        <v>2.9631300794707243</v>
      </c>
      <c r="K6" s="81">
        <f>VLOOKUP(B6,Opportunities!B$3:N$30,9,FALSE)</f>
        <v>2.4048565177073828</v>
      </c>
      <c r="L6" s="81">
        <f>VLOOKUP(B6,Opportunities!B$3:N$30,11,FALSE)</f>
        <v>4.0664479320737961</v>
      </c>
      <c r="M6" s="81">
        <f>VLOOKUP(B6,Opportunities!B$3:N$30,13,FALSE)</f>
        <v>3.623398640518225</v>
      </c>
    </row>
    <row r="7" spans="1:13">
      <c r="B7" s="63" t="s">
        <v>331</v>
      </c>
      <c r="C7" s="62" t="str">
        <f>VLOOKUP(B7,Opportunities!B$3:E$30,2,FALSE)</f>
        <v>中国飞鹤</v>
      </c>
      <c r="D7" s="60">
        <f>VLOOKUP(B7,Opportunities!B$3:E$30,3,FALSE)</f>
        <v>4.26</v>
      </c>
      <c r="E7" s="59" t="str">
        <f>VLOOKUP(B7,Opportunities!B$3:E$30,4,FALSE)</f>
        <v>HKD</v>
      </c>
      <c r="F7" s="57">
        <v>12000</v>
      </c>
      <c r="G7" s="61">
        <f>D7*F7</f>
        <v>51120</v>
      </c>
      <c r="H7" s="58">
        <f t="shared" ref="H7" si="1">G7/$G$9</f>
        <v>4.455391180208023E-2</v>
      </c>
      <c r="I7" s="58">
        <f>VLOOKUP(B7,Opportunities!B$3:I$30,8,FALSE)</f>
        <v>6.4325473219113652E-2</v>
      </c>
      <c r="J7" s="81">
        <f>VLOOKUP(B7,Opportunities!B$3:N$30,12,FALSE)</f>
        <v>4.1729184233887535</v>
      </c>
      <c r="K7" s="81">
        <f>VLOOKUP(B7,Opportunities!B$3:N$30,9,FALSE)</f>
        <v>3.3657736770484949</v>
      </c>
      <c r="L7" s="81">
        <f>VLOOKUP(B7,Opportunities!B$3:N$30,11,FALSE)</f>
        <v>5.7738079939399709</v>
      </c>
      <c r="M7" s="81">
        <f>VLOOKUP(B7,Opportunities!B$3:N$30,13,FALSE)</f>
        <v>5.130204922130142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>
        <f>SUM(G3:G6)</f>
        <v>1147374</v>
      </c>
      <c r="H9" s="67">
        <f>SUM(H3:H6)</f>
        <v>1</v>
      </c>
      <c r="I9" s="73">
        <f>SUM(I3:I6)</f>
        <v>0.52477539226218139</v>
      </c>
      <c r="J9" s="82" t="s">
        <v>189</v>
      </c>
      <c r="K9" s="82" t="s">
        <v>189</v>
      </c>
      <c r="L9" s="82" t="s">
        <v>189</v>
      </c>
      <c r="M9" s="82" t="s">
        <v>189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str">
        <f>VLOOKUP(B12,Opportunities!B$3:E$30,2,FALSE)</f>
        <v>李宁</v>
      </c>
      <c r="D12" s="60">
        <f>VLOOKUP(B12,Opportunities!B$3:E$30,3,FALSE)</f>
        <v>17.649999999999999</v>
      </c>
      <c r="E12" s="59" t="str">
        <f>VLOOKUP(B12,Opportunities!B$3:E$30,4,FALSE)</f>
        <v>HKD</v>
      </c>
      <c r="F12" s="57">
        <v>0</v>
      </c>
      <c r="G12" s="61">
        <f t="shared" ref="G12:G17" si="2">-D12*F12</f>
        <v>0</v>
      </c>
      <c r="H12" s="58">
        <f t="shared" ref="H12:H17" si="3">-G12/$G$9</f>
        <v>0</v>
      </c>
      <c r="I12" s="58">
        <f>VLOOKUP(B12,Opportunities!B$3:I$30,8,FALSE)</f>
        <v>0</v>
      </c>
      <c r="J12" s="81">
        <f>VLOOKUP(B12,Opportunities!B$3:N$30,12,FALSE)</f>
        <v>15.311423105690393</v>
      </c>
      <c r="K12" s="81">
        <f>VLOOKUP(B12,Opportunities!B$3:N$30,9,FALSE)</f>
        <v>12.2965077794727</v>
      </c>
      <c r="L12" s="81">
        <f>VLOOKUP(B12,Opportunities!B$3:N$30,11,FALSE)</f>
        <v>21.305403411809777</v>
      </c>
      <c r="M12" s="81">
        <f>VLOOKUP(B12,Opportunities!B$3:N$30,13,FALSE)</f>
        <v>18.893803640918314</v>
      </c>
    </row>
    <row r="13" spans="1:13">
      <c r="B13" s="63" t="s">
        <v>172</v>
      </c>
      <c r="C13" s="62" t="str">
        <f>VLOOKUP(B13,Opportunities!B$3:E$30,2,FALSE)</f>
        <v>中国海油</v>
      </c>
      <c r="D13" s="60">
        <f>VLOOKUP(B13,Opportunities!B$3:E$30,3,FALSE)</f>
        <v>22.08</v>
      </c>
      <c r="E13" s="59" t="str">
        <f>VLOOKUP(B13,Opportunities!B$3:E$30,4,FALSE)</f>
        <v>HKD</v>
      </c>
      <c r="F13" s="57">
        <v>0</v>
      </c>
      <c r="G13" s="61">
        <f t="shared" si="2"/>
        <v>0</v>
      </c>
      <c r="H13" s="58">
        <f t="shared" si="3"/>
        <v>0</v>
      </c>
      <c r="I13" s="58">
        <f>VLOOKUP(B13,Opportunities!B$3:I$30,8,FALSE)</f>
        <v>0</v>
      </c>
      <c r="J13" s="81">
        <f>VLOOKUP(B13,Opportunities!B$3:N$30,12,FALSE)</f>
        <v>16.969190649247935</v>
      </c>
      <c r="K13" s="81">
        <f>VLOOKUP(B13,Opportunities!B$3:N$30,9,FALSE)</f>
        <v>13.728787963334879</v>
      </c>
      <c r="L13" s="81">
        <f>VLOOKUP(B13,Opportunities!B$3:N$30,11,FALSE)</f>
        <v>23.385049726698668</v>
      </c>
      <c r="M13" s="81">
        <f>VLOOKUP(B13,Opportunities!B$3:N$30,13,FALSE)</f>
        <v>20.807144206962327</v>
      </c>
    </row>
    <row r="14" spans="1:13">
      <c r="B14" s="63" t="s">
        <v>185</v>
      </c>
      <c r="C14" s="62" t="str">
        <f>VLOOKUP(B14,Opportunities!B$3:E$30,2,FALSE)</f>
        <v>首钢资源</v>
      </c>
      <c r="D14" s="60">
        <f>VLOOKUP(B14,Opportunities!B$3:E$30,3,FALSE)</f>
        <v>3.16</v>
      </c>
      <c r="E14" s="59" t="str">
        <f>VLOOKUP(B14,Opportunities!B$3:E$30,4,FALSE)</f>
        <v>HKD</v>
      </c>
      <c r="F14" s="57">
        <v>0</v>
      </c>
      <c r="G14" s="61">
        <f t="shared" si="2"/>
        <v>0</v>
      </c>
      <c r="H14" s="58">
        <f t="shared" si="3"/>
        <v>0</v>
      </c>
      <c r="I14" s="58">
        <f>VLOOKUP(B14,Opportunities!B$3:I$30,8,FALSE)</f>
        <v>7.4775392262181342E-2</v>
      </c>
      <c r="J14" s="81">
        <f>VLOOKUP(B14,Opportunities!B$3:N$30,12,FALSE)</f>
        <v>2.9631300794707243</v>
      </c>
      <c r="K14" s="81">
        <f>VLOOKUP(B14,Opportunities!B$3:N$30,9,FALSE)</f>
        <v>2.4048565177073828</v>
      </c>
      <c r="L14" s="81">
        <f>VLOOKUP(B14,Opportunities!B$3:N$30,11,FALSE)</f>
        <v>4.0664479320737961</v>
      </c>
      <c r="M14" s="81">
        <f>VLOOKUP(B14,Opportunities!B$3:N$30,13,FALSE)</f>
        <v>3.623398640518225</v>
      </c>
    </row>
    <row r="15" spans="1:13">
      <c r="B15" s="63" t="s">
        <v>331</v>
      </c>
      <c r="C15" s="62" t="str">
        <f>VLOOKUP(B15,Opportunities!B$3:E$30,2,FALSE)</f>
        <v>中国飞鹤</v>
      </c>
      <c r="D15" s="60">
        <f>VLOOKUP(B15,Opportunities!B$3:E$30,3,FALSE)</f>
        <v>4.26</v>
      </c>
      <c r="E15" s="59" t="str">
        <f>VLOOKUP(B15,Opportunities!B$3:E$30,4,FALSE)</f>
        <v>HKD</v>
      </c>
      <c r="F15" s="57">
        <v>8000</v>
      </c>
      <c r="G15" s="61">
        <f t="shared" si="2"/>
        <v>-34080</v>
      </c>
      <c r="H15" s="58">
        <f t="shared" si="3"/>
        <v>2.9702607868053486E-2</v>
      </c>
      <c r="I15" s="58">
        <f>VLOOKUP(B15,Opportunities!B$3:I$30,8,FALSE)</f>
        <v>6.4325473219113652E-2</v>
      </c>
      <c r="J15" s="81">
        <f>VLOOKUP(B15,Opportunities!B$3:N$30,12,FALSE)</f>
        <v>4.1729184233887535</v>
      </c>
      <c r="K15" s="81">
        <f>VLOOKUP(B15,Opportunities!B$3:N$30,9,FALSE)</f>
        <v>3.3657736770484949</v>
      </c>
      <c r="L15" s="81">
        <f>VLOOKUP(B15,Opportunities!B$3:N$30,11,FALSE)</f>
        <v>5.7738079939399709</v>
      </c>
      <c r="M15" s="81">
        <f>VLOOKUP(B15,Opportunities!B$3:N$30,13,FALSE)</f>
        <v>5.130204922130142</v>
      </c>
    </row>
    <row r="16" spans="1:13">
      <c r="B16" s="63" t="s">
        <v>384</v>
      </c>
      <c r="C16" s="62" t="str">
        <f>VLOOKUP(B16,Opportunities!B$3:E$30,2,FALSE)</f>
        <v>新华文轩</v>
      </c>
      <c r="D16" s="60">
        <f>VLOOKUP(B16,Opportunities!B$3:E$30,3,FALSE)</f>
        <v>10.51</v>
      </c>
      <c r="E16" s="59" t="str">
        <f>VLOOKUP(B16,Opportunities!B$3:E$30,4,FALSE)</f>
        <v>HKD</v>
      </c>
      <c r="F16" s="57">
        <v>5000</v>
      </c>
      <c r="G16" s="61">
        <f t="shared" si="2"/>
        <v>-52550</v>
      </c>
      <c r="H16" s="58">
        <f t="shared" si="3"/>
        <v>4.580023601720102E-2</v>
      </c>
      <c r="I16" s="58">
        <f>VLOOKUP(B16,Opportunities!B$3:I$30,8,FALSE)</f>
        <v>9.5721372187096337E-2</v>
      </c>
      <c r="J16" s="81">
        <f>VLOOKUP(B16,Opportunities!B$3:N$30,12,FALSE)</f>
        <v>11.000657888146176</v>
      </c>
      <c r="K16" s="81">
        <f>VLOOKUP(B16,Opportunities!B$3:N$30,9,FALSE)</f>
        <v>8.8657660079709828</v>
      </c>
      <c r="L16" s="81">
        <f>VLOOKUP(B16,Opportunities!B$3:N$30,11,FALSE)</f>
        <v>15.236889064117824</v>
      </c>
      <c r="M16" s="81">
        <f>VLOOKUP(B16,Opportunities!B$3:N$30,13,FALSE)</f>
        <v>13.533557687136012</v>
      </c>
    </row>
    <row r="17" spans="1:13">
      <c r="B17" s="63" t="s">
        <v>342</v>
      </c>
      <c r="C17" s="62" t="str">
        <f>VLOOKUP(B17,Opportunities!B$3:E$30,2,FALSE)</f>
        <v>昆仑能源</v>
      </c>
      <c r="D17" s="60">
        <f>VLOOKUP(B17,Opportunities!B$3:E$30,3,FALSE)</f>
        <v>7.23</v>
      </c>
      <c r="E17" s="59" t="str">
        <f>VLOOKUP(B17,Opportunities!B$3:E$30,4,FALSE)</f>
        <v>HKD</v>
      </c>
      <c r="F17" s="57">
        <v>8000</v>
      </c>
      <c r="G17" s="61">
        <f t="shared" si="2"/>
        <v>-57840</v>
      </c>
      <c r="H17" s="58">
        <f t="shared" si="3"/>
        <v>5.0410764057752744E-2</v>
      </c>
      <c r="I17" s="58">
        <f>VLOOKUP(B17,Opportunities!B$3:I$30,8,FALSE)</f>
        <v>6.021360734191053E-2</v>
      </c>
      <c r="J17" s="81">
        <f>VLOOKUP(B17,Opportunities!B$3:N$30,12,FALSE)</f>
        <v>7.0269200271788748</v>
      </c>
      <c r="K17" s="81">
        <f>VLOOKUP(B17,Opportunities!B$3:N$30,9,FALSE)</f>
        <v>5.6531663336456681</v>
      </c>
      <c r="L17" s="81">
        <f>VLOOKUP(B17,Opportunities!B$3:N$30,11,FALSE)</f>
        <v>9.7555037119170596</v>
      </c>
      <c r="M17" s="81">
        <f>VLOOKUP(B17,Opportunities!B$3:N$30,13,FALSE)</f>
        <v>8.6580299400651679</v>
      </c>
    </row>
    <row r="18" spans="1:13">
      <c r="B18" s="63"/>
      <c r="C18" s="62"/>
      <c r="D18" s="60"/>
      <c r="E18" s="59"/>
      <c r="F18" s="57"/>
      <c r="G18" s="61"/>
      <c r="H18" s="58"/>
      <c r="I18" s="58"/>
      <c r="J18" s="81"/>
      <c r="K18" s="81"/>
      <c r="L18" s="81"/>
      <c r="M18" s="81"/>
    </row>
    <row r="19" spans="1:13">
      <c r="H19" s="72"/>
      <c r="I19" s="72"/>
    </row>
    <row r="20" spans="1:13" ht="13.15">
      <c r="B20" s="68" t="s">
        <v>160</v>
      </c>
      <c r="C20" s="68"/>
      <c r="D20" s="69" t="s">
        <v>156</v>
      </c>
      <c r="E20" s="70" t="s">
        <v>135</v>
      </c>
      <c r="F20" s="69" t="s">
        <v>156</v>
      </c>
      <c r="G20" s="66">
        <f>G3+SUM(G12:G17)</f>
        <v>620439</v>
      </c>
      <c r="H20" s="73">
        <f t="shared" ref="H20" si="4">G20/$G$9</f>
        <v>0.54074695783589311</v>
      </c>
      <c r="I20" s="73">
        <f>Portfolio_Mgmt!E73</f>
        <v>0.45</v>
      </c>
      <c r="J20" s="82" t="s">
        <v>189</v>
      </c>
      <c r="K20" s="82" t="s">
        <v>189</v>
      </c>
      <c r="L20" s="82" t="s">
        <v>189</v>
      </c>
      <c r="M20" s="82" t="s">
        <v>189</v>
      </c>
    </row>
    <row r="22" spans="1:13" ht="13.15">
      <c r="A22" s="49"/>
      <c r="B22" s="50" t="s">
        <v>190</v>
      </c>
      <c r="C22" s="115"/>
      <c r="D22" s="56"/>
      <c r="E22" s="53"/>
      <c r="F22" s="57"/>
      <c r="G22" s="57"/>
    </row>
    <row r="23" spans="1:13" ht="13.15">
      <c r="C23" s="84" t="s">
        <v>191</v>
      </c>
      <c r="D23" s="84" t="s">
        <v>194</v>
      </c>
      <c r="F23" s="84" t="s">
        <v>195</v>
      </c>
    </row>
    <row r="24" spans="1:13" ht="14.25">
      <c r="B24" s="83" t="s">
        <v>192</v>
      </c>
      <c r="C24" s="88">
        <v>200000</v>
      </c>
      <c r="D24" s="89">
        <v>7.8629699999999998</v>
      </c>
      <c r="F24" s="116">
        <f>C24/D24</f>
        <v>25435.681428264383</v>
      </c>
    </row>
    <row r="25" spans="1:13" ht="14.25">
      <c r="B25" s="83" t="s">
        <v>193</v>
      </c>
      <c r="C25" s="86">
        <f>F24</f>
        <v>25435.681428264383</v>
      </c>
      <c r="D25" s="89">
        <v>7.8387000000000002</v>
      </c>
      <c r="F25" s="117">
        <f>C25*D25</f>
        <v>199382.67601173601</v>
      </c>
    </row>
    <row r="26" spans="1:13" ht="14.25">
      <c r="C26"/>
      <c r="D26"/>
      <c r="F26"/>
    </row>
    <row r="27" spans="1:13" ht="14.25">
      <c r="C27"/>
      <c r="E27" s="87" t="s">
        <v>196</v>
      </c>
      <c r="F27" s="85">
        <f>C24-F25</f>
        <v>617.32398826399003</v>
      </c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4"/>
      <c r="E37" s="53"/>
      <c r="F37" s="55"/>
      <c r="G37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2025-11-20T02:01:54Z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