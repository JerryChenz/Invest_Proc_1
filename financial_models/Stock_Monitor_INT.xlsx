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BAC4180-CD8F-4B2A-A6B3-A6DBB8A4188D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<sst xmlns="http://schemas.openxmlformats.org/spreadsheetml/2006/main" count="467" uniqueCount="383">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</sst>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8" sqref="L8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10.75</v>
      </c>
      <c r="E3" s="12" t="s">
        <v>135</v>
      </c>
      <c r="F3" s="15">
        <v>0.24857571240316154</v>
      </c>
      <c r="G3" s="15">
        <f>F3 - Portfolio_Mgmt!$C$10</f>
        <v>0.13117571240316153</v>
      </c>
      <c r="H3" s="15">
        <f>F3 - Portfolio_Mgmt!$C$11</f>
        <v>0.21407571240316153</v>
      </c>
      <c r="I3" s="15">
        <v>0.12047621822249902</v>
      </c>
      <c r="J3" s="2">
        <v>9.6880750598555032</v>
      </c>
      <c r="K3" s="2">
        <v>18.622133071257309</v>
      </c>
      <c r="L3" s="71">
        <v>16.674764592822669</v>
      </c>
      <c r="M3" s="2">
        <v>12.028683972910242</v>
      </c>
      <c r="N3" s="2">
        <v>14.806423709871549</v>
      </c>
      <c r="O3" s="4">
        <v>9.3700487507701824E-2</v>
      </c>
      <c r="P3" s="4">
        <v>5.6247892394309815E-2</v>
      </c>
      <c r="Q3" s="4">
        <v>0.10095732097034157</v>
      </c>
      <c r="R3" s="4">
        <v>0.12639722903769574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1.7472710845216537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0.23134838175364006</v>
      </c>
      <c r="G4" s="15">
        <f>F4 - Portfolio_Mgmt!$C$10</f>
        <v>0.11394838175364005</v>
      </c>
      <c r="H4" s="15">
        <f>F4 - Portfolio_Mgmt!$C$11</f>
        <v>0.19684838175364006</v>
      </c>
      <c r="I4" s="15">
        <v>0.10631363595028843</v>
      </c>
      <c r="J4" s="2">
        <v>3.4405239565560359</v>
      </c>
      <c r="K4" s="2">
        <v>6.5058028846321605</v>
      </c>
      <c r="L4" s="71">
        <v>5.9052943386330199</v>
      </c>
      <c r="M4" s="2">
        <v>4.2666126365476638</v>
      </c>
      <c r="N4" s="2">
        <v>5.2464692683177487</v>
      </c>
      <c r="O4" s="4">
        <v>0.11087812180242319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1.2724234787745901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6.82</v>
      </c>
      <c r="E5" s="12" t="s">
        <v>135</v>
      </c>
      <c r="F5" s="15">
        <v>0.18954671847205182</v>
      </c>
      <c r="G5" s="15">
        <f>F5 - Portfolio_Mgmt!$C$10</f>
        <v>7.2146718472051813E-2</v>
      </c>
      <c r="H5" s="15">
        <f>F5 - Portfolio_Mgmt!$C$11</f>
        <v>0.15504671847205181</v>
      </c>
      <c r="I5" s="15">
        <v>0.12188902281768035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6.7310869559827818E-2</v>
      </c>
      <c r="P5" s="4">
        <v>2.0821114369501462E-2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328</v>
      </c>
      <c r="C6" s="11" t="s">
        <v>329</v>
      </c>
      <c r="D6" s="2">
        <v>4.58</v>
      </c>
      <c r="E6" s="12" t="s">
        <v>135</v>
      </c>
      <c r="F6" s="15">
        <v>0.18268278943543581</v>
      </c>
      <c r="G6" s="15">
        <f>F6 - Portfolio_Mgmt!$C$10</f>
        <v>6.5282789435435806E-2</v>
      </c>
      <c r="H6" s="15">
        <f>F6 - Portfolio_Mgmt!$C$11</f>
        <v>0.14818278943543581</v>
      </c>
      <c r="I6" s="15">
        <v>0.10293279251291566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8.8192833766867609E-2</v>
      </c>
      <c r="P6" s="4">
        <v>6.5502183406113551E-2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170</v>
      </c>
      <c r="Y6" s="11" t="s">
        <v>362</v>
      </c>
      <c r="Z6" s="14">
        <v>46173</v>
      </c>
      <c r="AA6" s="16" t="s">
        <v>182</v>
      </c>
    </row>
    <row r="7" spans="1:27">
      <c r="B7" s="11" t="s">
        <v>184</v>
      </c>
      <c r="C7" s="11" t="s">
        <v>372</v>
      </c>
      <c r="D7" s="2">
        <v>3.34</v>
      </c>
      <c r="E7" s="12" t="s">
        <v>135</v>
      </c>
      <c r="F7" s="15">
        <v>0.17332440890895257</v>
      </c>
      <c r="G7" s="15">
        <f>F7 - Portfolio_Mgmt!$C$10</f>
        <v>5.5924408908952561E-2</v>
      </c>
      <c r="H7" s="15">
        <f>F7 - Portfolio_Mgmt!$C$11</f>
        <v>0.13882440890895256</v>
      </c>
      <c r="I7" s="15">
        <v>7.462536362155528E-2</v>
      </c>
      <c r="J7" s="2">
        <v>2.5385815935033342</v>
      </c>
      <c r="K7" s="2">
        <v>4.4366120194593153</v>
      </c>
      <c r="L7" s="71">
        <v>4.3016714192105461</v>
      </c>
      <c r="M7" s="2">
        <v>3.1307450481218235</v>
      </c>
      <c r="N7" s="2">
        <v>3.8313906187252909</v>
      </c>
      <c r="O7" s="4">
        <v>7.2702044338182559E-2</v>
      </c>
      <c r="P7" s="4">
        <v>8.0838323353293426E-2</v>
      </c>
      <c r="Q7" s="4">
        <v>0.11354054587062024</v>
      </c>
      <c r="R7" s="4">
        <v>0.4243739445166862</v>
      </c>
      <c r="S7" s="79">
        <v>0.22035988512352028</v>
      </c>
      <c r="T7" s="78">
        <v>1.2141426890285656</v>
      </c>
      <c r="U7" s="15">
        <v>2.3107986944995245E-3</v>
      </c>
      <c r="V7" s="76">
        <v>2.0454423835375664E-2</v>
      </c>
      <c r="W7" s="71">
        <v>0.79833937207218564</v>
      </c>
      <c r="X7" s="13" t="s">
        <v>373</v>
      </c>
      <c r="Y7" s="11" t="s">
        <v>362</v>
      </c>
      <c r="Z7" s="14">
        <v>46081</v>
      </c>
      <c r="AA7" s="16" t="s">
        <v>182</v>
      </c>
    </row>
    <row r="8" spans="1:27">
      <c r="B8" s="11" t="s">
        <v>331</v>
      </c>
      <c r="C8" s="11" t="s">
        <v>370</v>
      </c>
      <c r="D8" s="2">
        <v>7.99</v>
      </c>
      <c r="E8" s="12" t="s">
        <v>135</v>
      </c>
      <c r="F8" s="15">
        <v>0.16181148869247997</v>
      </c>
      <c r="G8" s="15">
        <f>F8 - Portfolio_Mgmt!$C$10</f>
        <v>4.4411488692479961E-2</v>
      </c>
      <c r="H8" s="15">
        <f>F8 - Portfolio_Mgmt!$C$11</f>
        <v>0.12731148869247996</v>
      </c>
      <c r="I8" s="15">
        <v>1.7617315634907472E-2</v>
      </c>
      <c r="J8" s="2">
        <v>5.841570685953223</v>
      </c>
      <c r="K8" s="2">
        <v>11.412487419243361</v>
      </c>
      <c r="L8" s="71">
        <v>10.082396375345272</v>
      </c>
      <c r="M8" s="2">
        <v>7.2616608233908151</v>
      </c>
      <c r="N8" s="2">
        <v>8.947842609026468</v>
      </c>
      <c r="O8" s="4">
        <v>8.8160935933878568E-2</v>
      </c>
      <c r="P8" s="4">
        <v>3.9831697433212902E-2</v>
      </c>
      <c r="Q8" s="4">
        <v>0.17171984066369478</v>
      </c>
      <c r="R8" s="4">
        <v>8.3606077914317095E-2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-2.955035298687652</v>
      </c>
      <c r="X8" s="13" t="s">
        <v>371</v>
      </c>
      <c r="Y8" s="11" t="s">
        <v>365</v>
      </c>
      <c r="Z8" s="14">
        <v>46081</v>
      </c>
      <c r="AA8" s="16" t="s">
        <v>368</v>
      </c>
    </row>
    <row r="9" spans="1:27">
      <c r="B9" s="11" t="s">
        <v>381</v>
      </c>
      <c r="C9" s="11" t="s">
        <v>382</v>
      </c>
      <c r="D9" s="2">
        <v>4.6900000000000004</v>
      </c>
      <c r="E9" s="12" t="s">
        <v>135</v>
      </c>
      <c r="F9" s="15">
        <v>0.15262981708994752</v>
      </c>
      <c r="G9" s="15">
        <f>F9 - Portfolio_Mgmt!$C$10</f>
        <v>3.5229817089947518E-2</v>
      </c>
      <c r="H9" s="15">
        <f>F9 - Portfolio_Mgmt!$C$11</f>
        <v>0.11812981708994752</v>
      </c>
      <c r="I9" s="15">
        <v>0</v>
      </c>
      <c r="J9" s="2">
        <v>3.3455729956390798</v>
      </c>
      <c r="K9" s="2">
        <v>6.6277455556474951</v>
      </c>
      <c r="L9" s="71">
        <v>5.7883592149489207</v>
      </c>
      <c r="M9" s="2">
        <v>4.1632581103676909</v>
      </c>
      <c r="N9" s="2">
        <v>5.1345919269174427</v>
      </c>
      <c r="O9" s="4">
        <v>6.6142428861876476E-2</v>
      </c>
      <c r="P9" s="4">
        <v>3.3944562899786777E-2</v>
      </c>
      <c r="Q9" s="4">
        <v>0.27382509866113364</v>
      </c>
      <c r="R9" s="4">
        <v>0.20764453215246689</v>
      </c>
      <c r="S9" s="79">
        <v>0.86056930273853416</v>
      </c>
      <c r="T9" s="78">
        <v>1.532381509863507</v>
      </c>
      <c r="U9" s="15">
        <v>0.27351475277205878</v>
      </c>
      <c r="V9" s="76">
        <v>0.94608729427783522</v>
      </c>
      <c r="W9" s="71">
        <v>0.59749676752244707</v>
      </c>
      <c r="X9" s="13" t="s">
        <v>170</v>
      </c>
      <c r="Y9" s="11" t="s">
        <v>365</v>
      </c>
      <c r="Z9" s="14">
        <v>46173</v>
      </c>
      <c r="AA9" s="16" t="s">
        <v>368</v>
      </c>
    </row>
    <row r="10" spans="1:27">
      <c r="B10" s="11" t="s">
        <v>378</v>
      </c>
      <c r="C10" s="11" t="s">
        <v>379</v>
      </c>
      <c r="D10" s="2">
        <v>97</v>
      </c>
      <c r="E10" s="12" t="s">
        <v>135</v>
      </c>
      <c r="F10" s="15">
        <v>0.14315708491628415</v>
      </c>
      <c r="G10" s="15">
        <f>F10 - Portfolio_Mgmt!$C$10</f>
        <v>2.5757084916284145E-2</v>
      </c>
      <c r="H10" s="15">
        <f>F10 - Portfolio_Mgmt!$C$11</f>
        <v>0.10865708491628415</v>
      </c>
      <c r="I10" s="15">
        <v>0</v>
      </c>
      <c r="J10" s="2">
        <v>66.777435624643843</v>
      </c>
      <c r="K10" s="2">
        <v>144.90703530547711</v>
      </c>
      <c r="L10" s="71">
        <v>117.46204798303134</v>
      </c>
      <c r="M10" s="2">
        <v>83.700814616882113</v>
      </c>
      <c r="N10" s="2">
        <v>103.86362357616365</v>
      </c>
      <c r="O10" s="4">
        <v>1.2654232410871777E-2</v>
      </c>
      <c r="P10" s="4">
        <v>0</v>
      </c>
      <c r="Q10" s="4">
        <v>0.25</v>
      </c>
      <c r="R10" s="4">
        <v>0.13647968218259099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3.5687171540034233</v>
      </c>
      <c r="X10" s="16" t="s">
        <v>380</v>
      </c>
      <c r="Y10" s="11" t="s">
        <v>365</v>
      </c>
      <c r="Z10" s="14">
        <v>46081</v>
      </c>
      <c r="AA10" s="16" t="s">
        <v>368</v>
      </c>
    </row>
    <row r="11" spans="1:27">
      <c r="B11" s="11" t="s">
        <v>158</v>
      </c>
      <c r="C11" s="11" t="s">
        <v>374</v>
      </c>
      <c r="D11" s="2">
        <v>21.3</v>
      </c>
      <c r="E11" s="12" t="s">
        <v>135</v>
      </c>
      <c r="F11" s="15">
        <v>0.11496847164980739</v>
      </c>
      <c r="G11" s="15">
        <f>F11 - Portfolio_Mgmt!$C$10</f>
        <v>-2.4315283501926133E-3</v>
      </c>
      <c r="H11" s="15">
        <f>F11 - Portfolio_Mgmt!$C$11</f>
        <v>8.0468471649807388E-2</v>
      </c>
      <c r="I11" s="15">
        <v>0</v>
      </c>
      <c r="J11" s="2">
        <v>13.752733796744232</v>
      </c>
      <c r="K11" s="2">
        <v>27.769655576511969</v>
      </c>
      <c r="L11" s="71">
        <v>23.874498413507318</v>
      </c>
      <c r="M11" s="2">
        <v>17.139070461237182</v>
      </c>
      <c r="N11" s="2">
        <v>21.164194311953938</v>
      </c>
      <c r="O11" s="4">
        <v>5.2612079486870633E-2</v>
      </c>
      <c r="P11" s="4">
        <v>2.4519228558988346E-2</v>
      </c>
      <c r="Q11" s="4">
        <v>0.2</v>
      </c>
      <c r="R11" s="4">
        <v>0.13430424833028851</v>
      </c>
      <c r="S11" s="79">
        <v>1.1000000000000001</v>
      </c>
      <c r="T11" s="78">
        <v>1.3537783359692717</v>
      </c>
      <c r="U11" s="15">
        <v>6.5417684980282262E-2</v>
      </c>
      <c r="V11" s="76">
        <v>0.50358953318926281</v>
      </c>
      <c r="W11" s="71">
        <v>5.5853581677685806</v>
      </c>
      <c r="X11" s="13" t="s">
        <v>375</v>
      </c>
      <c r="Y11" s="11" t="s">
        <v>365</v>
      </c>
      <c r="Z11" s="14">
        <v>46081</v>
      </c>
      <c r="AA11" s="16" t="s">
        <v>182</v>
      </c>
    </row>
    <row r="12" spans="1:27">
      <c r="B12" s="11" t="s">
        <v>171</v>
      </c>
      <c r="C12" s="11" t="s">
        <v>376</v>
      </c>
      <c r="D12" s="2">
        <v>22.74</v>
      </c>
      <c r="E12" s="12" t="s">
        <v>135</v>
      </c>
      <c r="F12" s="15">
        <v>9.3801985612468525E-2</v>
      </c>
      <c r="G12" s="15">
        <f>F12 - Portfolio_Mgmt!$C$10</f>
        <v>-2.359801438753148E-2</v>
      </c>
      <c r="H12" s="15">
        <f>F12 - Portfolio_Mgmt!$C$11</f>
        <v>5.9301985612468522E-2</v>
      </c>
      <c r="I12" s="15">
        <v>0</v>
      </c>
      <c r="J12" s="2">
        <v>14.108625339881018</v>
      </c>
      <c r="K12" s="2">
        <v>25.612536808141513</v>
      </c>
      <c r="L12" s="71">
        <v>24.053186736337686</v>
      </c>
      <c r="M12" s="2">
        <v>17.445290061294216</v>
      </c>
      <c r="N12" s="2">
        <v>21.397931887392307</v>
      </c>
      <c r="O12" s="4">
        <v>0.10556854382417974</v>
      </c>
      <c r="P12" s="4">
        <v>5.5408970976253302E-2</v>
      </c>
      <c r="Q12" s="4">
        <v>0.17275816461101692</v>
      </c>
      <c r="R12" s="4">
        <v>0.32389125963769955</v>
      </c>
      <c r="S12" s="79">
        <v>0.37580175109499292</v>
      </c>
      <c r="T12" s="78">
        <v>1.419320754716981</v>
      </c>
      <c r="U12" s="15">
        <v>9.2018392262565404E-2</v>
      </c>
      <c r="V12" s="76">
        <v>0.52808720739977155</v>
      </c>
      <c r="W12" s="71">
        <v>0.46060912386142633</v>
      </c>
      <c r="X12" s="13" t="s">
        <v>377</v>
      </c>
      <c r="Y12" s="11" t="s">
        <v>362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0.59118953593150703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21.3</v>
      </c>
      <c r="E4" s="59" t="str">
        <f>VLOOKUP(B4,Opportunities!B$3:E$30,4,FALSE)</f>
        <v>HKD</v>
      </c>
      <c r="F4" s="57">
        <v>4500</v>
      </c>
      <c r="G4" s="61">
        <f t="shared" ref="G4:G10" si="1">D4*F4</f>
        <v>95850</v>
      </c>
      <c r="H4" s="58">
        <f t="shared" si="0"/>
        <v>7.7740820135237393E-2</v>
      </c>
      <c r="I4" s="58">
        <f>VLOOKUP(B4,Opportunities!B$3:I$30,8,FALSE)</f>
        <v>0</v>
      </c>
      <c r="J4" s="81">
        <f>VLOOKUP(B4,Opportunities!B$3:N$30,12,FALSE)</f>
        <v>17.139070461237182</v>
      </c>
      <c r="K4" s="81">
        <f>VLOOKUP(B4,Opportunities!B$3:N$30,9,FALSE)</f>
        <v>13.752733796744232</v>
      </c>
      <c r="L4" s="81">
        <f>VLOOKUP(B4,Opportunities!B$3:N$30,11,FALSE)</f>
        <v>23.874498413507318</v>
      </c>
      <c r="M4" s="81">
        <f>VLOOKUP(B4,Opportunities!B$3:N$30,13,FALSE)</f>
        <v>21.164194311953938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22.74</v>
      </c>
      <c r="E5" s="59" t="str">
        <f>VLOOKUP(B5,Opportunities!B$3:E$30,4,FALSE)</f>
        <v>HKD</v>
      </c>
      <c r="F5" s="57">
        <v>4000</v>
      </c>
      <c r="G5" s="61">
        <f t="shared" si="1"/>
        <v>90960</v>
      </c>
      <c r="H5" s="58">
        <f t="shared" si="0"/>
        <v>7.3774700046960809E-2</v>
      </c>
      <c r="I5" s="58">
        <f>VLOOKUP(B5,Opportunities!B$3:I$30,8,FALSE)</f>
        <v>0</v>
      </c>
      <c r="J5" s="81">
        <f>VLOOKUP(B5,Opportunities!B$3:N$30,12,FALSE)</f>
        <v>17.445290061294216</v>
      </c>
      <c r="K5" s="81">
        <f>VLOOKUP(B5,Opportunities!B$3:N$30,9,FALSE)</f>
        <v>14.108625339881018</v>
      </c>
      <c r="L5" s="81">
        <f>VLOOKUP(B5,Opportunities!B$3:N$30,11,FALSE)</f>
        <v>24.053186736337686</v>
      </c>
      <c r="M5" s="81">
        <f>VLOOKUP(B5,Opportunities!B$3:N$30,13,FALSE)</f>
        <v>21.397931887392307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3.34</v>
      </c>
      <c r="E6" s="59" t="str">
        <f>VLOOKUP(B6,Opportunities!B$3:E$30,4,FALSE)</f>
        <v>HKD</v>
      </c>
      <c r="F6" s="57">
        <v>40000</v>
      </c>
      <c r="G6" s="61">
        <f t="shared" si="1"/>
        <v>133600</v>
      </c>
      <c r="H6" s="58">
        <f t="shared" si="0"/>
        <v>0.10835861836273047</v>
      </c>
      <c r="I6" s="58">
        <f>VLOOKUP(B6,Opportunities!B$3:I$30,8,FALSE)</f>
        <v>7.462536362155528E-2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7.99</v>
      </c>
      <c r="E7" s="59" t="str">
        <f>VLOOKUP(B7,Opportunities!B$3:E$30,4,FALSE)</f>
        <v>HKD</v>
      </c>
      <c r="F7" s="57">
        <v>8000</v>
      </c>
      <c r="G7" s="61">
        <f t="shared" si="1"/>
        <v>63920</v>
      </c>
      <c r="H7" s="58">
        <f t="shared" si="0"/>
        <v>5.1843434773545895E-2</v>
      </c>
      <c r="I7" s="58">
        <f>VLOOKUP(B7,Opportunities!B$3:I$30,8,FALSE)</f>
        <v>1.7617315634907472E-2</v>
      </c>
      <c r="J7" s="81">
        <f>VLOOKUP(B7,Opportunities!B$3:N$30,12,FALSE)</f>
        <v>7.2616608233908151</v>
      </c>
      <c r="K7" s="81">
        <f>VLOOKUP(B7,Opportunities!B$3:N$30,9,FALSE)</f>
        <v>5.841570685953223</v>
      </c>
      <c r="L7" s="81">
        <f>VLOOKUP(B7,Opportunities!B$3:N$30,11,FALSE)</f>
        <v>10.082396375345272</v>
      </c>
      <c r="M7" s="81">
        <f>VLOOKUP(B7,Opportunities!B$3:N$30,13,FALSE)</f>
        <v>8.947842609026468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10.75</v>
      </c>
      <c r="E8" s="59" t="str">
        <f>VLOOKUP(B8,Opportunities!B$3:E$30,4,FALSE)</f>
        <v>HKD</v>
      </c>
      <c r="F8" s="57">
        <v>5000</v>
      </c>
      <c r="G8" s="61">
        <f t="shared" si="1"/>
        <v>53750</v>
      </c>
      <c r="H8" s="58">
        <f t="shared" si="0"/>
        <v>4.3594878270933855E-2</v>
      </c>
      <c r="I8" s="58">
        <f>VLOOKUP(B8,Opportunities!B$3:I$30,8,FALSE)</f>
        <v>0.12047621822249902</v>
      </c>
      <c r="J8" s="81">
        <f>VLOOKUP(B8,Opportunities!B$3:N$30,12,FALSE)</f>
        <v>12.028683972910242</v>
      </c>
      <c r="K8" s="81">
        <f>VLOOKUP(B8,Opportunities!B$3:N$30,9,FALSE)</f>
        <v>9.6880750598555032</v>
      </c>
      <c r="L8" s="81">
        <f>VLOOKUP(B8,Opportunities!B$3:N$30,11,FALSE)</f>
        <v>16.674764592822669</v>
      </c>
      <c r="M8" s="81">
        <f>VLOOKUP(B8,Opportunities!B$3:N$30,13,FALSE)</f>
        <v>14.806423709871549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4.58</v>
      </c>
      <c r="E9" s="59" t="str">
        <f>VLOOKUP(B9,Opportunities!B$3:E$30,4,FALSE)</f>
        <v>HKD</v>
      </c>
      <c r="F9" s="57">
        <v>4000</v>
      </c>
      <c r="G9" s="61">
        <f t="shared" si="1"/>
        <v>18320</v>
      </c>
      <c r="H9" s="58">
        <f t="shared" si="0"/>
        <v>1.4858756649739688E-2</v>
      </c>
      <c r="I9" s="58">
        <f>VLOOKUP(B9,Opportunities!B$3:I$30,8,FALSE)</f>
        <v>0.10293279251291566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3.863925582934491E-2</v>
      </c>
      <c r="I10" s="58">
        <f>VLOOKUP(B10,Opportunities!B$3:I$30,8,FALSE)</f>
        <v>0.10631363595028843</v>
      </c>
      <c r="J10" s="81">
        <f>VLOOKUP(B10,Opportunities!B$3:N$30,12,FALSE)</f>
        <v>4.2666126365476638</v>
      </c>
      <c r="K10" s="81">
        <f>VLOOKUP(B10,Opportunities!B$3:N$30,9,FALSE)</f>
        <v>3.4405239565560359</v>
      </c>
      <c r="L10" s="81">
        <f>VLOOKUP(B10,Opportunities!B$3:N$30,11,FALSE)</f>
        <v>5.9052943386330199</v>
      </c>
      <c r="M10" s="81">
        <f>VLOOKUP(B10,Opportunities!B$3:N$30,13,FALSE)</f>
        <v>5.2464692683177487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1232943</v>
      </c>
      <c r="H12" s="67">
        <f>SUM(H3:H10)</f>
        <v>1</v>
      </c>
      <c r="I12" s="73">
        <f>SUM(I3:I10)</f>
        <v>0.8719653259421658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21.3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17.139070461237182</v>
      </c>
      <c r="K15" s="81">
        <f>VLOOKUP(B15,Opportunities!B$3:N$30,9,FALSE)</f>
        <v>13.752733796744232</v>
      </c>
      <c r="L15" s="81">
        <f>VLOOKUP(B15,Opportunities!B$3:N$30,11,FALSE)</f>
        <v>23.874498413507318</v>
      </c>
      <c r="M15" s="81">
        <f>VLOOKUP(B15,Opportunities!B$3:N$30,13,FALSE)</f>
        <v>21.164194311953938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22.74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17.445290061294216</v>
      </c>
      <c r="K16" s="81">
        <f>VLOOKUP(B16,Opportunities!B$3:N$30,9,FALSE)</f>
        <v>14.108625339881018</v>
      </c>
      <c r="L16" s="81">
        <f>VLOOKUP(B16,Opportunities!B$3:N$30,11,FALSE)</f>
        <v>24.053186736337686</v>
      </c>
      <c r="M16" s="81">
        <f>VLOOKUP(B16,Opportunities!B$3:N$30,13,FALSE)</f>
        <v>21.397931887392307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7.462536362155528E-2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0.10631363595028843</v>
      </c>
      <c r="J18" s="81">
        <f>VLOOKUP(B18,Opportunities!B$3:N$30,12,FALSE)</f>
        <v>4.2666126365476638</v>
      </c>
      <c r="K18" s="81">
        <f>VLOOKUP(B18,Opportunities!B$3:N$30,9,FALSE)</f>
        <v>3.4405239565560359</v>
      </c>
      <c r="L18" s="81">
        <f>VLOOKUP(B18,Opportunities!B$3:N$30,11,FALSE)</f>
        <v>5.9052943386330199</v>
      </c>
      <c r="M18" s="81">
        <f>VLOOKUP(B18,Opportunities!B$3:N$30,13,FALSE)</f>
        <v>5.2464692683177487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10.75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0.12047621822249902</v>
      </c>
      <c r="J19" s="81">
        <f>VLOOKUP(B19,Opportunities!B$3:N$30,12,FALSE)</f>
        <v>12.028683972910242</v>
      </c>
      <c r="K19" s="81">
        <f>VLOOKUP(B19,Opportunities!B$3:N$30,9,FALSE)</f>
        <v>9.6880750598555032</v>
      </c>
      <c r="L19" s="81">
        <f>VLOOKUP(B19,Opportunities!B$3:N$30,11,FALSE)</f>
        <v>16.674764592822669</v>
      </c>
      <c r="M19" s="81">
        <f>VLOOKUP(B19,Opportunities!B$3:N$30,13,FALSE)</f>
        <v>14.806423709871549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7.99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1.7617315634907472E-2</v>
      </c>
      <c r="J20" s="81">
        <f>VLOOKUP(B20,Opportunities!B$3:N$30,12,FALSE)</f>
        <v>7.2616608233908151</v>
      </c>
      <c r="K20" s="81">
        <f>VLOOKUP(B20,Opportunities!B$3:N$30,9,FALSE)</f>
        <v>5.841570685953223</v>
      </c>
      <c r="L20" s="81">
        <f>VLOOKUP(B20,Opportunities!B$3:N$30,11,FALSE)</f>
        <v>10.082396375345272</v>
      </c>
      <c r="M20" s="81">
        <f>VLOOKUP(B20,Opportunities!B$3:N$30,13,FALSE)</f>
        <v>8.947842609026468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0.59118953593150703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2026-01-22T08:59:19Z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