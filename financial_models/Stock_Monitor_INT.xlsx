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85884A2-1B93-4732-B3C4-A14F5203DE9A}"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H11" i="7" l="1"/>
  <c r="F9" i="7"/>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D112" i="5"/>
  <c r="G3" i="7" l="1"/>
  <c r="G4" i="7"/>
  <c r="G11" i="7" l="1"/>
</calcChain>
</file>

<file path=xl/sharedStrings.xml><?xml version="1.0" encoding="utf-8"?>
<sst xmlns="http://schemas.openxmlformats.org/spreadsheetml/2006/main" count="378" uniqueCount="296">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</sst>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1" sqref="C3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0.17109538961721873</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B3" sqref="B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2.73</v>
      </c>
      <c r="E3" s="12" t="s">
        <v>153</v>
      </c>
      <c r="F3" s="15">
        <v>0.26525952363332039</v>
      </c>
      <c r="G3" s="15">
        <f>F3 - Portfolio_Mgmt!$C$10</f>
        <v>0.14785952363332039</v>
      </c>
      <c r="H3" s="15">
        <f>F3 - Portfolio_Mgmt!$C$11</f>
        <v>0.23075952363332039</v>
      </c>
      <c r="I3" s="15">
        <v>0.21659732468697906</v>
      </c>
      <c r="J3" s="2">
        <v>2.2019752270440667</v>
      </c>
      <c r="K3" s="2">
        <v>4.4858408799140586</v>
      </c>
      <c r="L3" s="85">
        <v>4.3130669791905083</v>
      </c>
      <c r="M3" s="2">
        <v>3.039853505232323</v>
      </c>
      <c r="N3" s="2">
        <v>3.8666759160925035</v>
      </c>
      <c r="O3" s="4">
        <v>7.8556597194092512E-2</v>
      </c>
      <c r="P3" s="4">
        <v>9.8901098901098911E-2</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1.93</v>
      </c>
      <c r="E4" s="12" t="s">
        <v>153</v>
      </c>
      <c r="F4" s="15">
        <v>0.23347117511285065</v>
      </c>
      <c r="G4" s="15">
        <f>F4 - Portfolio_Mgmt!$C$10</f>
        <v>0.11607117511285064</v>
      </c>
      <c r="H4" s="15">
        <f>F4 - Portfolio_Mgmt!$C$11</f>
        <v>0.19897117511285065</v>
      </c>
      <c r="I4" s="15">
        <v>0.19064058936814152</v>
      </c>
      <c r="J4" s="2">
        <v>1.4336098726161479</v>
      </c>
      <c r="K4" s="2">
        <v>3.2840226135419552</v>
      </c>
      <c r="L4" s="85">
        <v>2.8775560298676233</v>
      </c>
      <c r="M4" s="2">
        <v>2.0046821627105813</v>
      </c>
      <c r="N4" s="2">
        <v>2.5709916204863097</v>
      </c>
      <c r="O4" s="4">
        <v>6.9894377814195122E-2</v>
      </c>
      <c r="P4" s="4">
        <v>4.6632124352331612E-2</v>
      </c>
      <c r="Q4" s="4">
        <v>4.7832973362251327E-2</v>
      </c>
      <c r="R4" s="4">
        <v>7.8104812973574481E-2</v>
      </c>
      <c r="S4" s="94">
        <v>0.49619793491400876</v>
      </c>
      <c r="T4" s="93">
        <v>1.2342258232843137</v>
      </c>
      <c r="U4" s="15">
        <v>0.10863424600069688</v>
      </c>
      <c r="V4" s="90">
        <v>2.2824569622635926</v>
      </c>
      <c r="W4" s="85">
        <v>1.8458516736178046</v>
      </c>
      <c r="X4" s="13" t="s">
        <v>258</v>
      </c>
      <c r="Y4" s="11" t="s">
        <v>154</v>
      </c>
      <c r="Z4" s="14">
        <v>45900</v>
      </c>
      <c r="AA4" s="16" t="s">
        <v>281</v>
      </c>
    </row>
    <row r="5" spans="1:27">
      <c r="B5" s="11" t="s">
        <v>267</v>
      </c>
      <c r="C5" s="11" t="s">
        <v>268</v>
      </c>
      <c r="D5" s="2">
        <v>18.88</v>
      </c>
      <c r="E5" s="12" t="s">
        <v>153</v>
      </c>
      <c r="F5" s="15">
        <v>0.20471787053699186</v>
      </c>
      <c r="G5" s="15">
        <f>F5 - Portfolio_Mgmt!$C$10</f>
        <v>8.731787053699186E-2</v>
      </c>
      <c r="H5" s="15">
        <f>F5 - Portfolio_Mgmt!$C$11</f>
        <v>0.17021787053699186</v>
      </c>
      <c r="I5" s="15">
        <v>0.16716211529966674</v>
      </c>
      <c r="J5" s="2">
        <v>13.197724560927666</v>
      </c>
      <c r="K5" s="2">
        <v>28.404312501670379</v>
      </c>
      <c r="L5" s="85">
        <v>26.141014000111994</v>
      </c>
      <c r="M5" s="2">
        <v>18.326392460659275</v>
      </c>
      <c r="N5" s="2">
        <v>23.398966130695232</v>
      </c>
      <c r="O5" s="4">
        <v>0.10946781505048979</v>
      </c>
      <c r="P5" s="4">
        <v>6.6737288135593223E-2</v>
      </c>
      <c r="Q5" s="4">
        <v>0.16035109536268838</v>
      </c>
      <c r="R5" s="4">
        <v>0.31929962351402291</v>
      </c>
      <c r="S5" s="94">
        <v>0.35631048934895165</v>
      </c>
      <c r="T5" s="93">
        <v>1.4094345614568822</v>
      </c>
      <c r="U5" s="15">
        <v>0.12260820136742831</v>
      </c>
      <c r="V5" s="90">
        <v>0.75207444874659302</v>
      </c>
      <c r="W5" s="85">
        <v>-0.4579489760966991</v>
      </c>
      <c r="X5" s="13" t="s">
        <v>218</v>
      </c>
      <c r="Y5" s="11" t="s">
        <v>154</v>
      </c>
      <c r="Z5" s="14">
        <v>45900</v>
      </c>
      <c r="AA5" s="16" t="s">
        <v>281</v>
      </c>
    </row>
    <row r="6" spans="1:27">
      <c r="B6" s="11" t="s">
        <v>219</v>
      </c>
      <c r="C6" s="11" t="s">
        <v>249</v>
      </c>
      <c r="D6" s="2">
        <v>16</v>
      </c>
      <c r="E6" s="12" t="s">
        <v>153</v>
      </c>
      <c r="F6" s="15">
        <v>0.19554727299485952</v>
      </c>
      <c r="G6" s="15">
        <f>F6 - Portfolio_Mgmt!$C$10</f>
        <v>7.8147272994859518E-2</v>
      </c>
      <c r="H6" s="15">
        <f>F6 - Portfolio_Mgmt!$C$11</f>
        <v>0.16104727299485952</v>
      </c>
      <c r="I6" s="15">
        <v>0.12559997064521267</v>
      </c>
      <c r="J6" s="2">
        <v>10.809198316618676</v>
      </c>
      <c r="K6" s="2">
        <v>25.595228592419382</v>
      </c>
      <c r="L6" s="85">
        <v>21.855847829602553</v>
      </c>
      <c r="M6" s="2">
        <v>15.17367034783506</v>
      </c>
      <c r="N6" s="2">
        <v>19.50782003533736</v>
      </c>
      <c r="O6" s="4">
        <v>6.3927598295421703E-2</v>
      </c>
      <c r="P6" s="4">
        <v>3.0106845942569158E-2</v>
      </c>
      <c r="Q6" s="4">
        <v>0.12359678785028239</v>
      </c>
      <c r="R6" s="4">
        <v>0.1233191911729347</v>
      </c>
      <c r="S6" s="94">
        <v>0.73266920679685343</v>
      </c>
      <c r="T6" s="93">
        <v>1.3679448142367923</v>
      </c>
      <c r="U6" s="15">
        <v>7.4171010848313429E-2</v>
      </c>
      <c r="V6" s="90">
        <v>0.60402076709908736</v>
      </c>
      <c r="W6" s="85">
        <v>4.6062271292277153</v>
      </c>
      <c r="X6" s="13" t="s">
        <v>238</v>
      </c>
      <c r="Y6" s="11" t="s">
        <v>154</v>
      </c>
      <c r="Z6" s="14">
        <v>45900</v>
      </c>
      <c r="AA6" s="16" t="s">
        <v>281</v>
      </c>
    </row>
    <row r="7" spans="1:27">
      <c r="B7" s="11" t="s">
        <v>236</v>
      </c>
      <c r="C7" s="11" t="s">
        <v>237</v>
      </c>
      <c r="D7" s="2">
        <v>54.95</v>
      </c>
      <c r="E7" s="12" t="s">
        <v>153</v>
      </c>
      <c r="F7" s="15">
        <v>0.17135475527431598</v>
      </c>
      <c r="G7" s="15">
        <f>F7 - Portfolio_Mgmt!$C$10</f>
        <v>5.395475527431598E-2</v>
      </c>
      <c r="H7" s="15">
        <f>F7 - Portfolio_Mgmt!$C$11</f>
        <v>0.13685475527431598</v>
      </c>
      <c r="I7" s="15">
        <v>0</v>
      </c>
      <c r="J7" s="2">
        <v>35.926297671358427</v>
      </c>
      <c r="K7" s="2">
        <v>70.236214597543963</v>
      </c>
      <c r="L7" s="85">
        <v>69.805213616949615</v>
      </c>
      <c r="M7" s="2">
        <v>49.389024512092988</v>
      </c>
      <c r="N7" s="2">
        <v>62.6515896752841</v>
      </c>
      <c r="O7" s="4">
        <v>9.6780249672545504E-2</v>
      </c>
      <c r="P7" s="4">
        <v>9.2847679708826208E-2</v>
      </c>
      <c r="Q7" s="4">
        <v>0.32755394896836565</v>
      </c>
      <c r="R7" s="4">
        <v>8.9976704126159421E-2</v>
      </c>
      <c r="S7" s="94">
        <v>1.5891874956485419</v>
      </c>
      <c r="T7" s="93">
        <v>2.2907496012759174</v>
      </c>
      <c r="U7" s="15">
        <v>0.24768740031897937</v>
      </c>
      <c r="V7" s="90">
        <v>0.73855199466278643</v>
      </c>
      <c r="W7" s="85">
        <v>-2.6745548292799097</v>
      </c>
      <c r="X7" s="13" t="s">
        <v>241</v>
      </c>
      <c r="Y7" s="11" t="s">
        <v>154</v>
      </c>
      <c r="Z7" s="14">
        <v>45808</v>
      </c>
      <c r="AA7" s="16" t="s">
        <v>281</v>
      </c>
    </row>
    <row r="8" spans="1:27">
      <c r="B8" s="11" t="s">
        <v>284</v>
      </c>
      <c r="C8" s="11" t="s">
        <v>285</v>
      </c>
      <c r="D8" s="2">
        <v>5.38</v>
      </c>
      <c r="E8" s="12" t="s">
        <v>153</v>
      </c>
      <c r="F8" s="15">
        <v>0.17103273835707866</v>
      </c>
      <c r="G8" s="15">
        <f>F8 - Portfolio_Mgmt!$C$10</f>
        <v>5.3632738357078658E-2</v>
      </c>
      <c r="H8" s="15">
        <f>F8 - Portfolio_Mgmt!$C$11</f>
        <v>0.13653273835707866</v>
      </c>
      <c r="I8" s="15">
        <v>0</v>
      </c>
      <c r="J8" s="2">
        <v>3.4769479145113666</v>
      </c>
      <c r="K8" s="2">
        <v>7.3642693066239637</v>
      </c>
      <c r="L8" s="85">
        <v>6.8641356814360206</v>
      </c>
      <c r="M8" s="2">
        <v>4.8197379854720408</v>
      </c>
      <c r="N8" s="2">
        <v>6.1469536878205542</v>
      </c>
      <c r="O8" s="4">
        <v>6.8662106755480498E-2</v>
      </c>
      <c r="P8" s="4">
        <v>6.6914498141263934E-2</v>
      </c>
      <c r="Q8" s="4">
        <v>7.0630420943605887E-2</v>
      </c>
      <c r="R8" s="4">
        <v>9.3039179367971361E-2</v>
      </c>
      <c r="S8" s="94">
        <v>0.62627525695225639</v>
      </c>
      <c r="T8" s="93">
        <v>1.2121620122817016</v>
      </c>
      <c r="U8" s="15">
        <v>1.1610019159010268E-2</v>
      </c>
      <c r="V8" s="90">
        <v>0.16381589511191816</v>
      </c>
      <c r="W8" s="85">
        <v>3.7980767021052162</v>
      </c>
      <c r="X8" s="13" t="s">
        <v>286</v>
      </c>
      <c r="Y8" s="11" t="s">
        <v>154</v>
      </c>
      <c r="Z8" s="14">
        <v>45900</v>
      </c>
      <c r="AA8" s="16" t="s">
        <v>281</v>
      </c>
    </row>
    <row r="9" spans="1:27">
      <c r="B9" s="11" t="s">
        <v>244</v>
      </c>
      <c r="C9" s="11" t="s">
        <v>245</v>
      </c>
      <c r="D9" s="2">
        <v>3.67</v>
      </c>
      <c r="E9" s="12" t="s">
        <v>153</v>
      </c>
      <c r="F9" s="15">
        <v>0.15615975358820844</v>
      </c>
      <c r="G9" s="15">
        <f>F9 - Portfolio_Mgmt!$C$10</f>
        <v>3.8759753588208434E-2</v>
      </c>
      <c r="H9" s="15">
        <f>F9 - Portfolio_Mgmt!$C$11</f>
        <v>0.12165975358820844</v>
      </c>
      <c r="I9" s="15">
        <v>0</v>
      </c>
      <c r="J9" s="2">
        <v>2.2556276815093281</v>
      </c>
      <c r="K9" s="2">
        <v>5.2246962590200807</v>
      </c>
      <c r="L9" s="85">
        <v>4.5385417708791076</v>
      </c>
      <c r="M9" s="2">
        <v>3.1582019073444916</v>
      </c>
      <c r="N9" s="2">
        <v>4.0536685441183486</v>
      </c>
      <c r="O9" s="4">
        <v>7.7373988393374532E-2</v>
      </c>
      <c r="P9" s="4">
        <v>3.4877384196185288E-2</v>
      </c>
      <c r="Q9" s="4">
        <v>0.10112859174992994</v>
      </c>
      <c r="R9" s="4">
        <v>5.8835781303360896E-2</v>
      </c>
      <c r="S9" s="94">
        <v>1.2277297326073906</v>
      </c>
      <c r="T9" s="93">
        <v>1.4000052396569989</v>
      </c>
      <c r="U9" s="15">
        <v>0.10646655543311496</v>
      </c>
      <c r="V9" s="90">
        <v>0.9804830051022897</v>
      </c>
      <c r="W9" s="85">
        <v>1.6698226477450393</v>
      </c>
      <c r="X9" s="13" t="s">
        <v>246</v>
      </c>
      <c r="Y9" s="11" t="s">
        <v>154</v>
      </c>
      <c r="Z9" s="14">
        <v>45808</v>
      </c>
      <c r="AA9" s="16" t="s">
        <v>281</v>
      </c>
    </row>
    <row r="10" spans="1:27">
      <c r="B10" s="11" t="s">
        <v>262</v>
      </c>
      <c r="C10" s="11" t="s">
        <v>273</v>
      </c>
      <c r="D10" s="2">
        <v>22.81</v>
      </c>
      <c r="E10" s="12" t="s">
        <v>263</v>
      </c>
      <c r="F10" s="15">
        <v>0.14979684257151549</v>
      </c>
      <c r="G10" s="15">
        <f>F10 - Portfolio_Mgmt!$C$10</f>
        <v>3.2396842571515483E-2</v>
      </c>
      <c r="H10" s="15">
        <f>F10 - Portfolio_Mgmt!$C$11</f>
        <v>0.11529684257151548</v>
      </c>
      <c r="I10" s="15">
        <v>0</v>
      </c>
      <c r="J10" s="2">
        <v>13.685702538649531</v>
      </c>
      <c r="K10" s="2">
        <v>33.230161875234657</v>
      </c>
      <c r="L10" s="85">
        <v>27.829540483416785</v>
      </c>
      <c r="M10" s="2">
        <v>19.269562535958798</v>
      </c>
      <c r="N10" s="2">
        <v>24.820548736528732</v>
      </c>
      <c r="O10" s="4">
        <v>0.1998667929565188</v>
      </c>
      <c r="P10" s="4">
        <v>1.821657167908812E-2</v>
      </c>
      <c r="Q10" s="4">
        <v>0.18752610102828118</v>
      </c>
      <c r="R10" s="4">
        <v>0.23497655430253014</v>
      </c>
      <c r="S10" s="94">
        <v>0.32112750263435197</v>
      </c>
      <c r="T10" s="93">
        <v>2.4851905363915479</v>
      </c>
      <c r="U10" s="15">
        <v>0.95241105291674188</v>
      </c>
      <c r="V10" s="90">
        <v>4.0148803043206254</v>
      </c>
      <c r="W10" s="85">
        <v>-38.360607814419353</v>
      </c>
      <c r="X10" s="16" t="s">
        <v>264</v>
      </c>
      <c r="Y10" s="11" t="s">
        <v>154</v>
      </c>
      <c r="Z10" s="14">
        <v>45900</v>
      </c>
      <c r="AA10" s="16" t="s">
        <v>282</v>
      </c>
    </row>
    <row r="11" spans="1:27">
      <c r="B11" s="11" t="s">
        <v>265</v>
      </c>
      <c r="C11" s="11" t="s">
        <v>274</v>
      </c>
      <c r="D11" s="2">
        <v>26.59</v>
      </c>
      <c r="E11" s="12" t="s">
        <v>263</v>
      </c>
      <c r="F11" s="15">
        <v>0.1458961749631642</v>
      </c>
      <c r="G11" s="15">
        <f>F11 - Portfolio_Mgmt!$C$10</f>
        <v>2.84961749631642E-2</v>
      </c>
      <c r="H11" s="15">
        <f>F11 - Portfolio_Mgmt!$C$11</f>
        <v>0.1113961749631642</v>
      </c>
      <c r="I11" s="15">
        <v>0</v>
      </c>
      <c r="J11" s="2">
        <v>15.989209461106965</v>
      </c>
      <c r="K11" s="2">
        <v>36.134621832566509</v>
      </c>
      <c r="L11" s="85">
        <v>31.999534598013469</v>
      </c>
      <c r="M11" s="2">
        <v>22.32380510445234</v>
      </c>
      <c r="N11" s="2">
        <v>28.601981247202922</v>
      </c>
      <c r="O11" s="4">
        <v>9.5493321074952911E-2</v>
      </c>
      <c r="P11" s="4">
        <v>4.2121098157201949E-2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239</v>
      </c>
      <c r="C12" s="11" t="s">
        <v>240</v>
      </c>
      <c r="D12" s="2">
        <v>53.2</v>
      </c>
      <c r="E12" s="12" t="s">
        <v>153</v>
      </c>
      <c r="F12" s="15">
        <v>0.14175154085499986</v>
      </c>
      <c r="G12" s="15">
        <f>F12 - Portfolio_Mgmt!$C$10</f>
        <v>2.4351540854999854E-2</v>
      </c>
      <c r="H12" s="15">
        <f>F12 - Portfolio_Mgmt!$C$11</f>
        <v>0.10725154085499986</v>
      </c>
      <c r="I12" s="15">
        <v>0</v>
      </c>
      <c r="J12" s="2">
        <v>31.531134045907965</v>
      </c>
      <c r="K12" s="2">
        <v>72.938417306739453</v>
      </c>
      <c r="L12" s="85">
        <v>63.425162279205402</v>
      </c>
      <c r="M12" s="2">
        <v>44.141285826502774</v>
      </c>
      <c r="N12" s="2">
        <v>56.65143200330278</v>
      </c>
      <c r="O12" s="4">
        <v>4.333311759857908E-2</v>
      </c>
      <c r="P12" s="4">
        <v>3.4063473187235606E-2</v>
      </c>
      <c r="Q12" s="4">
        <v>0.13507628198079721</v>
      </c>
      <c r="R12" s="4">
        <v>0.12563602096354315</v>
      </c>
      <c r="S12" s="94">
        <v>0.62432788948992113</v>
      </c>
      <c r="T12" s="93">
        <v>1.7220755031358876</v>
      </c>
      <c r="U12" s="15">
        <v>9.5579625064196368E-3</v>
      </c>
      <c r="V12" s="90">
        <v>7.3592411949940734E-2</v>
      </c>
      <c r="W12" s="85">
        <v>1.3580041463655019</v>
      </c>
      <c r="X12" s="13" t="s">
        <v>238</v>
      </c>
      <c r="Y12" s="11" t="s">
        <v>154</v>
      </c>
      <c r="Z12" s="14">
        <v>45900</v>
      </c>
      <c r="AA12" s="16" t="s">
        <v>282</v>
      </c>
    </row>
    <row r="13" spans="1:27">
      <c r="B13" s="11" t="s">
        <v>250</v>
      </c>
      <c r="C13" s="11" t="s">
        <v>251</v>
      </c>
      <c r="D13" s="2">
        <v>14.62</v>
      </c>
      <c r="E13" s="12" t="s">
        <v>153</v>
      </c>
      <c r="F13" s="15">
        <v>0.13712057813367662</v>
      </c>
      <c r="G13" s="15">
        <f>F13 - Portfolio_Mgmt!$C$10</f>
        <v>1.9720578133676614E-2</v>
      </c>
      <c r="H13" s="15">
        <f>F13 - Portfolio_Mgmt!$C$11</f>
        <v>0.10262057813367662</v>
      </c>
      <c r="I13" s="15">
        <v>0</v>
      </c>
      <c r="J13" s="2">
        <v>8.6738468555266053</v>
      </c>
      <c r="K13" s="2">
        <v>18.604817060680727</v>
      </c>
      <c r="L13" s="2">
        <v>17.168397945644617</v>
      </c>
      <c r="M13" s="2">
        <v>12.040083294233064</v>
      </c>
      <c r="N13" s="2">
        <v>15.369030266969057</v>
      </c>
      <c r="O13" s="4">
        <v>0.1062330598062969</v>
      </c>
      <c r="P13" s="4">
        <v>5.7661017783857731E-2</v>
      </c>
      <c r="Q13" s="4">
        <v>0.26418100147106144</v>
      </c>
      <c r="R13" s="4">
        <v>0.1137378496552388</v>
      </c>
      <c r="S13" s="94">
        <v>0.70652858717908329</v>
      </c>
      <c r="T13" s="93">
        <v>3.2875080906148866</v>
      </c>
      <c r="U13" s="15">
        <v>1.5035598705501618</v>
      </c>
      <c r="V13" s="90">
        <v>4.1998196571663646</v>
      </c>
      <c r="W13" s="85">
        <v>-12.276873947278984</v>
      </c>
      <c r="X13" s="13" t="s">
        <v>238</v>
      </c>
      <c r="Y13" s="11" t="s">
        <v>252</v>
      </c>
      <c r="Z13" s="14">
        <v>45900</v>
      </c>
      <c r="AA13" s="16" t="s">
        <v>282</v>
      </c>
    </row>
    <row r="14" spans="1:27">
      <c r="B14" s="11" t="s">
        <v>242</v>
      </c>
      <c r="C14" s="11" t="s">
        <v>243</v>
      </c>
      <c r="D14" s="2">
        <v>7.16</v>
      </c>
      <c r="E14" s="12" t="s">
        <v>153</v>
      </c>
      <c r="F14" s="15">
        <v>0.12707510935866706</v>
      </c>
      <c r="G14" s="15">
        <f>F14 - Portfolio_Mgmt!$C$10</f>
        <v>9.6751093586670556E-3</v>
      </c>
      <c r="H14" s="15">
        <f>F14 - Portfolio_Mgmt!$C$11</f>
        <v>9.2575109358667057E-2</v>
      </c>
      <c r="I14" s="15">
        <v>0</v>
      </c>
      <c r="J14" s="2">
        <v>4.1400976097236111</v>
      </c>
      <c r="K14" s="2">
        <v>8.8998364523144851</v>
      </c>
      <c r="L14" s="2">
        <v>8.1983649842421791</v>
      </c>
      <c r="M14" s="2">
        <v>5.7482086394073013</v>
      </c>
      <c r="N14" s="2">
        <v>7.338652453177211</v>
      </c>
      <c r="O14" s="4">
        <v>0.10999475538571098</v>
      </c>
      <c r="P14" s="4">
        <v>5.5551055777037721E-2</v>
      </c>
      <c r="Q14" s="4">
        <v>0.12477871842229639</v>
      </c>
      <c r="R14" s="4">
        <v>7.7304831872868032E-2</v>
      </c>
      <c r="S14" s="94">
        <v>1.0025080757150273</v>
      </c>
      <c r="T14" s="93">
        <v>1.6100746083165727</v>
      </c>
      <c r="U14" s="15">
        <v>0.16360901428944893</v>
      </c>
      <c r="V14" s="90">
        <v>1.1309485990394448</v>
      </c>
      <c r="W14" s="85">
        <v>-3.8768728770691565</v>
      </c>
      <c r="X14" s="13" t="s">
        <v>218</v>
      </c>
      <c r="Y14" s="11" t="s">
        <v>154</v>
      </c>
      <c r="Z14" s="14">
        <v>45900</v>
      </c>
      <c r="AA14" s="16" t="s">
        <v>281</v>
      </c>
    </row>
    <row r="15" spans="1:27">
      <c r="B15" s="11" t="s">
        <v>155</v>
      </c>
      <c r="C15" s="11" t="s">
        <v>233</v>
      </c>
      <c r="D15" s="2">
        <v>8.19</v>
      </c>
      <c r="E15" s="12" t="s">
        <v>153</v>
      </c>
      <c r="F15" s="15">
        <v>0.11356756630452414</v>
      </c>
      <c r="G15" s="15">
        <f>F15 - Portfolio_Mgmt!$C$10</f>
        <v>-3.8324336954758675E-3</v>
      </c>
      <c r="H15" s="15">
        <f>F15 - Portfolio_Mgmt!$C$11</f>
        <v>7.9067566304524134E-2</v>
      </c>
      <c r="I15" s="15">
        <v>0</v>
      </c>
      <c r="J15" s="2">
        <v>4.6237469150396135</v>
      </c>
      <c r="K15" s="2">
        <v>9.3641570609339322</v>
      </c>
      <c r="L15" s="2">
        <v>9.0460821298724845</v>
      </c>
      <c r="M15" s="2">
        <v>6.3792496771334868</v>
      </c>
      <c r="N15" s="2">
        <v>8.1111667082917602</v>
      </c>
      <c r="O15" s="4">
        <v>3.7716528935563494E-2</v>
      </c>
      <c r="P15" s="4">
        <v>7.0818070818070816E-2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19.48</v>
      </c>
      <c r="E16" s="12" t="s">
        <v>153</v>
      </c>
      <c r="F16" s="15">
        <v>0.10811217181641419</v>
      </c>
      <c r="G16" s="15">
        <f>F16 - Portfolio_Mgmt!$C$10</f>
        <v>-9.2878281835858112E-3</v>
      </c>
      <c r="H16" s="15">
        <f>F16 - Portfolio_Mgmt!$C$11</f>
        <v>7.361217181641419E-2</v>
      </c>
      <c r="I16" s="15">
        <v>0</v>
      </c>
      <c r="J16" s="2">
        <v>10.846357673848024</v>
      </c>
      <c r="K16" s="2">
        <v>21.968758226348868</v>
      </c>
      <c r="L16" s="2">
        <v>21.220699139526428</v>
      </c>
      <c r="M16" s="2">
        <v>14.964572530067358</v>
      </c>
      <c r="N16" s="2">
        <v>19.027476031641555</v>
      </c>
      <c r="O16" s="4">
        <v>8.8705647811582619E-2</v>
      </c>
      <c r="P16" s="4">
        <v>6.9815195071868591E-2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230</v>
      </c>
      <c r="C17" s="11" t="s">
        <v>253</v>
      </c>
      <c r="D17" s="2">
        <v>1.77</v>
      </c>
      <c r="E17" s="12" t="s">
        <v>153</v>
      </c>
      <c r="F17" s="15">
        <v>6.0837849439042246E-2</v>
      </c>
      <c r="G17" s="15">
        <f>F17 - Portfolio_Mgmt!$C$10</f>
        <v>-5.6562150560957758E-2</v>
      </c>
      <c r="H17" s="15">
        <f>F17 - Portfolio_Mgmt!$C$11</f>
        <v>2.6337849439042244E-2</v>
      </c>
      <c r="I17" s="15">
        <v>0</v>
      </c>
      <c r="J17" s="2">
        <v>0.82648230361166808</v>
      </c>
      <c r="K17" s="2">
        <v>2.1131011468081908</v>
      </c>
      <c r="L17" s="2">
        <v>1.7009631025661165</v>
      </c>
      <c r="M17" s="2">
        <v>1.1711712249606363</v>
      </c>
      <c r="N17" s="2">
        <v>1.514587208466269</v>
      </c>
      <c r="O17" s="4">
        <v>5.4167549404163361E-3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3.03</v>
      </c>
      <c r="E18" s="12" t="s">
        <v>153</v>
      </c>
      <c r="F18" s="15">
        <v>1.5707905131974842E-2</v>
      </c>
      <c r="G18" s="15">
        <f>F18 - Portfolio_Mgmt!$C$10</f>
        <v>-0.10169209486802516</v>
      </c>
      <c r="H18" s="15">
        <f>F18 - Portfolio_Mgmt!$C$11</f>
        <v>-1.8792094868025161E-2</v>
      </c>
      <c r="I18" s="15">
        <v>0</v>
      </c>
      <c r="J18" s="2">
        <v>1.2937928490988213</v>
      </c>
      <c r="K18" s="2">
        <v>2.8347719659303765</v>
      </c>
      <c r="L18" s="2">
        <v>2.5722527399993576</v>
      </c>
      <c r="M18" s="2">
        <v>1.8000986028774555</v>
      </c>
      <c r="N18" s="2">
        <v>2.3012420302939023</v>
      </c>
      <c r="O18" s="4">
        <v>2.7771355229108181E-2</v>
      </c>
      <c r="P18" s="4">
        <v>3.6851279523691362E-2</v>
      </c>
      <c r="Q18" s="4">
        <v>4.3343791162611306E-2</v>
      </c>
      <c r="R18" s="4">
        <v>8.4129175877071916E-2</v>
      </c>
      <c r="S18" s="94">
        <v>0.42808280043619051</v>
      </c>
      <c r="T18" s="93">
        <v>1.2035176992971439</v>
      </c>
      <c r="U18" s="15">
        <v>1.0763175939415467E-2</v>
      </c>
      <c r="V18" s="90">
        <v>0.29882156160837919</v>
      </c>
      <c r="W18" s="85">
        <v>1.9106321161461377</v>
      </c>
      <c r="X18" s="13" t="s">
        <v>261</v>
      </c>
      <c r="Y18" s="11" t="s">
        <v>255</v>
      </c>
      <c r="Z18" s="14">
        <v>45900</v>
      </c>
      <c r="AA18" s="11" t="s">
        <v>281</v>
      </c>
    </row>
    <row r="19" spans="2:27">
      <c r="B19" s="11" t="s">
        <v>294</v>
      </c>
      <c r="C19" s="11" t="s">
        <v>295</v>
      </c>
      <c r="D19" s="2">
        <v>50.65</v>
      </c>
      <c r="E19" s="12" t="s">
        <v>153</v>
      </c>
      <c r="F19" s="15">
        <v>-0.10153176218238202</v>
      </c>
      <c r="G19" s="15">
        <f>F19 - Portfolio_Mgmt!$C$10</f>
        <v>-0.21893176218238203</v>
      </c>
      <c r="H19" s="15">
        <f>F19 - Portfolio_Mgmt!$C$11</f>
        <v>-0.13603176218238203</v>
      </c>
      <c r="I19" s="15">
        <v>0</v>
      </c>
      <c r="J19" s="2">
        <v>15.250481198063488</v>
      </c>
      <c r="K19" s="2">
        <v>32.750067624836312</v>
      </c>
      <c r="L19" s="2">
        <v>30.193143901383809</v>
      </c>
      <c r="M19" s="2">
        <v>21.17177605710603</v>
      </c>
      <c r="N19" s="2">
        <v>27.027768070697245</v>
      </c>
      <c r="O19" s="4">
        <v>4.8040980840132586E-2</v>
      </c>
      <c r="P19" s="4">
        <v>2.9082363037314912E-2</v>
      </c>
      <c r="Q19" s="4">
        <v>0.21039827332068567</v>
      </c>
      <c r="R19" s="4">
        <v>0.21042753223383909</v>
      </c>
      <c r="S19" s="94">
        <v>0.51682300464832642</v>
      </c>
      <c r="T19" s="93">
        <v>1.9346293526540752</v>
      </c>
      <c r="U19" s="15">
        <v>0.19606600851240996</v>
      </c>
      <c r="V19" s="90">
        <v>0.84886197155458731</v>
      </c>
      <c r="W19" s="85">
        <v>-5.8372216491647873</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4.4900000000000002E-2</v>
      </c>
      <c r="D4" s="34">
        <v>7.4999999999999997E-2</v>
      </c>
      <c r="E4" s="35">
        <f>D4-C4</f>
        <v>3.0099999999999995E-2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tabSelected="1" zoomScaleNormal="100" workbookViewId="0">
      <selection activeCell="C14" sqref="C14"/>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0.33982289964832813</v>
      </c>
      <c r="H3" s="89">
        <f>Portfolio_Mgmt!E61</f>
        <v>0.3</v>
      </c>
      <c r="I3" s="95" t="s">
        <v>293</v>
      </c>
      <c r="J3" s="95" t="s">
        <v>293</v>
      </c>
      <c r="K3" s="95" t="s">
        <v>293</v>
      </c>
      <c r="L3" s="95" t="s">
        <v>293</v>
      </c>
    </row>
    <row r="4" spans="1:12">
      <c r="B4" s="77" t="s">
        <v>242</v>
      </c>
      <c r="C4" s="74">
        <f>VLOOKUP(B4,Opportunities!B$3:E$30,3,FALSE)</f>
        <v>7.16</v>
      </c>
      <c r="D4" s="73" t="str">
        <f>VLOOKUP(B4,Opportunities!B$3:E$30,4,FALSE)</f>
        <v>HKD</v>
      </c>
      <c r="E4" s="70">
        <v>10000</v>
      </c>
      <c r="F4" s="75">
        <f>E4*C4</f>
        <v>71600</v>
      </c>
      <c r="G4" s="72">
        <f>F4/$F$11</f>
        <v>7.6469214717021561E-2</v>
      </c>
      <c r="H4" s="72">
        <f>VLOOKUP(B4,Opportunities!B$3:I$30,8,FALSE)</f>
        <v>0</v>
      </c>
      <c r="I4" s="96">
        <f>VLOOKUP(B4,Opportunities!B$3:N$30,12,FALSE)</f>
        <v>5.7482086394073013</v>
      </c>
      <c r="J4" s="96">
        <f>VLOOKUP(B4,Opportunities!B$3:N$30,9,FALSE)</f>
        <v>4.1400976097236111</v>
      </c>
      <c r="K4" s="96">
        <f>VLOOKUP(B4,Opportunities!B$3:N$30,11,FALSE)</f>
        <v>8.1983649842421791</v>
      </c>
      <c r="L4" s="96">
        <f>VLOOKUP(B4,Opportunities!B$3:N$30,13,FALSE)</f>
        <v>7.338652453177211</v>
      </c>
    </row>
    <row r="5" spans="1:12">
      <c r="B5" s="77" t="s">
        <v>219</v>
      </c>
      <c r="C5" s="74">
        <f>VLOOKUP(B5,Opportunities!B$3:E$30,3,FALSE)</f>
        <v>16</v>
      </c>
      <c r="D5" s="73" t="str">
        <f>VLOOKUP(B5,Opportunities!B$3:E$30,4,FALSE)</f>
        <v>HKD</v>
      </c>
      <c r="E5" s="70">
        <v>9000</v>
      </c>
      <c r="F5" s="75">
        <f>C5*E5</f>
        <v>144000</v>
      </c>
      <c r="G5" s="72">
        <f>F5/$F$11</f>
        <v>0.15379283406775285</v>
      </c>
      <c r="H5" s="72">
        <f>VLOOKUP(B5,Opportunities!B$3:I$30,8,FALSE)</f>
        <v>0.12559997064521267</v>
      </c>
      <c r="I5" s="96">
        <f>VLOOKUP(B5,Opportunities!B$3:N$30,12,FALSE)</f>
        <v>15.17367034783506</v>
      </c>
      <c r="J5" s="96">
        <f>VLOOKUP(B5,Opportunities!B$3:N$30,9,FALSE)</f>
        <v>10.809198316618676</v>
      </c>
      <c r="K5" s="96">
        <f>VLOOKUP(B5,Opportunities!B$3:N$30,11,FALSE)</f>
        <v>21.855847829602553</v>
      </c>
      <c r="L5" s="96">
        <f>VLOOKUP(B5,Opportunities!B$3:N$30,13,FALSE)</f>
        <v>19.50782003533736</v>
      </c>
    </row>
    <row r="6" spans="1:12">
      <c r="B6" s="77" t="s">
        <v>267</v>
      </c>
      <c r="C6" s="74">
        <f>VLOOKUP(B6,Opportunities!B$3:E$30,3,FALSE)</f>
        <v>18.88</v>
      </c>
      <c r="D6" s="73" t="str">
        <f>VLOOKUP(B6,Opportunities!B$3:E$30,4,FALSE)</f>
        <v>HKD</v>
      </c>
      <c r="E6" s="70">
        <v>8000</v>
      </c>
      <c r="F6" s="75">
        <f>C6*E6</f>
        <v>151040</v>
      </c>
      <c r="G6" s="72">
        <f>F6/$F$11</f>
        <v>0.16131159484439855</v>
      </c>
      <c r="H6" s="72">
        <f>VLOOKUP(B6,Opportunities!B$3:I$30,8,FALSE)</f>
        <v>0.16716211529966674</v>
      </c>
      <c r="I6" s="96">
        <f>VLOOKUP(B6,Opportunities!B$3:N$30,12,FALSE)</f>
        <v>18.326392460659275</v>
      </c>
      <c r="J6" s="96">
        <f>VLOOKUP(B6,Opportunities!B$3:N$30,9,FALSE)</f>
        <v>13.197724560927666</v>
      </c>
      <c r="K6" s="96">
        <f>VLOOKUP(B6,Opportunities!B$3:N$30,11,FALSE)</f>
        <v>26.141014000111994</v>
      </c>
      <c r="L6" s="96">
        <f>VLOOKUP(B6,Opportunities!B$3:N$30,13,FALSE)</f>
        <v>23.398966130695232</v>
      </c>
    </row>
    <row r="7" spans="1:12">
      <c r="B7" s="77" t="s">
        <v>256</v>
      </c>
      <c r="C7" s="74">
        <f>VLOOKUP(B7,Opportunities!B$3:E$30,3,FALSE)</f>
        <v>1.93</v>
      </c>
      <c r="D7" s="73" t="str">
        <f>VLOOKUP(B7,Opportunities!B$3:E$30,4,FALSE)</f>
        <v>HKD</v>
      </c>
      <c r="E7" s="70">
        <f>2000*30</f>
        <v>60000</v>
      </c>
      <c r="F7" s="75">
        <f>C7*E7</f>
        <v>115800</v>
      </c>
      <c r="G7" s="72">
        <f>F7/$F$11</f>
        <v>0.12367507072948458</v>
      </c>
      <c r="H7" s="72">
        <f>VLOOKUP(B7,Opportunities!B$3:I$30,8,FALSE)</f>
        <v>0.19064058936814152</v>
      </c>
      <c r="I7" s="96">
        <f>VLOOKUP(B7,Opportunities!B$3:N$30,12,FALSE)</f>
        <v>2.0046821627105813</v>
      </c>
      <c r="J7" s="96">
        <f>VLOOKUP(B7,Opportunities!B$3:N$30,9,FALSE)</f>
        <v>1.4336098726161479</v>
      </c>
      <c r="K7" s="96">
        <f>VLOOKUP(B7,Opportunities!B$3:N$30,11,FALSE)</f>
        <v>2.8775560298676233</v>
      </c>
      <c r="L7" s="96">
        <f>VLOOKUP(B7,Opportunities!B$3:N$30,13,FALSE)</f>
        <v>2.5709916204863097</v>
      </c>
    </row>
    <row r="8" spans="1:12">
      <c r="B8" s="77" t="s">
        <v>284</v>
      </c>
      <c r="C8" s="74">
        <f>VLOOKUP(B8,Opportunities!B$3:E$30,3,FALSE)</f>
        <v>5.38</v>
      </c>
      <c r="D8" s="73" t="str">
        <f>VLOOKUP(B8,Opportunities!B$3:E$30,4,FALSE)</f>
        <v>HKD</v>
      </c>
      <c r="E8" s="70">
        <v>10000</v>
      </c>
      <c r="F8" s="75">
        <f>C8*E8</f>
        <v>53800</v>
      </c>
      <c r="G8" s="72">
        <f t="shared" ref="G8" si="0">F8/$F$11</f>
        <v>5.7458711616979886E-2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2.73</v>
      </c>
      <c r="D9" s="73" t="str">
        <f>VLOOKUP(B9,Opportunities!B$3:E$30,4,FALSE)</f>
        <v>HKD</v>
      </c>
      <c r="E9" s="70">
        <v>30000</v>
      </c>
      <c r="F9" s="75">
        <f>C9*E9</f>
        <v>81900</v>
      </c>
      <c r="G9" s="72">
        <f t="shared" ref="G9" si="1">F9/$F$11</f>
        <v>8.7469674376034437E-2</v>
      </c>
      <c r="H9" s="72">
        <f>VLOOKUP(B9,Opportunities!B$3:I$30,8,FALSE)</f>
        <v>0.21659732468697906</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936324.51</v>
      </c>
      <c r="G11" s="81">
        <f>SUM(G3:G9)</f>
        <v>1</v>
      </c>
      <c r="H11" s="87">
        <f>SUM(H3:H9)</f>
        <v>1</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2.73</v>
      </c>
      <c r="D14" s="73" t="str">
        <f>VLOOKUP(B14,Opportunities!B$3:E$30,4,FALSE)</f>
        <v>HKD</v>
      </c>
      <c r="E14" s="70">
        <v>0</v>
      </c>
      <c r="F14" s="75">
        <f>-C14*E14</f>
        <v>0</v>
      </c>
      <c r="G14" s="72">
        <f>-F14/$F$11</f>
        <v>0</v>
      </c>
      <c r="H14" s="72">
        <f>VLOOKUP(B14,Opportunities!B$3:I$30,8,FALSE)</f>
        <v>0.21659732468697906</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7.16</v>
      </c>
      <c r="D15" s="73" t="str">
        <f>VLOOKUP(B15,Opportunities!B$3:E$30,4,FALSE)</f>
        <v>HKD</v>
      </c>
      <c r="E15" s="70">
        <v>0</v>
      </c>
      <c r="F15" s="75">
        <f>-C15*E15</f>
        <v>0</v>
      </c>
      <c r="G15" s="72">
        <f>-F15/$F$11</f>
        <v>0</v>
      </c>
      <c r="H15" s="72">
        <f>VLOOKUP(B15,Opportunities!B$3:I$30,8,FALSE)</f>
        <v>0</v>
      </c>
      <c r="I15" s="96">
        <f>VLOOKUP(B15,Opportunities!B$3:N$30,12,FALSE)</f>
        <v>5.7482086394073013</v>
      </c>
      <c r="J15" s="96">
        <f>VLOOKUP(B15,Opportunities!B$3:N$30,9,FALSE)</f>
        <v>4.1400976097236111</v>
      </c>
      <c r="K15" s="96">
        <f>VLOOKUP(B15,Opportunities!B$3:N$30,11,FALSE)</f>
        <v>8.1983649842421791</v>
      </c>
      <c r="L15" s="96">
        <f>VLOOKUP(B15,Opportunities!B$3:N$30,13,FALSE)</f>
        <v>7.338652453177211</v>
      </c>
    </row>
    <row r="16" spans="1:12">
      <c r="B16" s="77" t="s">
        <v>284</v>
      </c>
      <c r="C16" s="74">
        <f>VLOOKUP(B16,Opportunities!B$3:E$30,3,FALSE)</f>
        <v>5.38</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2:12">
      <c r="B17" s="77" t="s">
        <v>267</v>
      </c>
      <c r="C17" s="74">
        <f>VLOOKUP(B17,Opportunities!B$3:E$30,3,FALSE)</f>
        <v>18.88</v>
      </c>
      <c r="D17" s="73" t="str">
        <f>VLOOKUP(B17,Opportunities!B$3:E$30,4,FALSE)</f>
        <v>HKD</v>
      </c>
      <c r="E17" s="70">
        <v>0</v>
      </c>
      <c r="F17" s="75">
        <f>-C17*E17</f>
        <v>0</v>
      </c>
      <c r="G17" s="72">
        <f>-F17/$F$11</f>
        <v>0</v>
      </c>
      <c r="H17" s="72">
        <f>VLOOKUP(B17,Opportunities!B$3:I$30,8,FALSE)</f>
        <v>0.16716211529966674</v>
      </c>
      <c r="I17" s="96">
        <f>VLOOKUP(B17,Opportunities!B$3:N$30,12,FALSE)</f>
        <v>18.326392460659275</v>
      </c>
      <c r="J17" s="96">
        <f>VLOOKUP(B17,Opportunities!B$3:N$30,9,FALSE)</f>
        <v>13.197724560927666</v>
      </c>
      <c r="K17" s="96">
        <f>VLOOKUP(B17,Opportunities!B$3:N$30,11,FALSE)</f>
        <v>26.141014000111994</v>
      </c>
      <c r="L17" s="96">
        <f>VLOOKUP(B17,Opportunities!B$3:N$30,13,FALSE)</f>
        <v>23.398966130695232</v>
      </c>
    </row>
    <row r="18" spans="2:12">
      <c r="G18" s="86"/>
      <c r="H18" s="86"/>
    </row>
    <row r="19" spans="2:12" ht="13.15">
      <c r="B19" s="82" t="s">
        <v>221</v>
      </c>
      <c r="C19" s="83" t="s">
        <v>215</v>
      </c>
      <c r="D19" s="84" t="s">
        <v>153</v>
      </c>
      <c r="E19" s="83" t="s">
        <v>215</v>
      </c>
      <c r="F19" s="80">
        <f>F3+SUM(F14:F17)</f>
        <v>318184.51</v>
      </c>
      <c r="G19" s="87">
        <f t="shared" ref="G19" si="2">F19/$F$11</f>
        <v>0.33982289964832813</v>
      </c>
      <c r="H19" s="87">
        <f>Portfolio_Mgmt!E61</f>
        <v>0.3</v>
      </c>
      <c r="I19" s="97" t="s">
        <v>293</v>
      </c>
      <c r="J19" s="97" t="s">
        <v>293</v>
      </c>
      <c r="K19" s="97" t="s">
        <v>293</v>
      </c>
      <c r="L19" s="97" t="s">
        <v>293</v>
      </c>
    </row>
    <row r="21" spans="2:12">
      <c r="B21" s="66"/>
      <c r="C21" s="69"/>
      <c r="D21" s="66"/>
      <c r="E21" s="70"/>
      <c r="F21"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2025-06-11T09:32:55Z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