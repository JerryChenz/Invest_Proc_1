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CEE66C34-DEB7-438E-9C25-4AC206ABCEF5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<sst xmlns="http://schemas.openxmlformats.org/spreadsheetml/2006/main" count="472" uniqueCount="384">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</sst>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2.86</v>
      </c>
      <c r="E3" s="12" t="s">
        <v>136</v>
      </c>
      <c r="F3" s="15">
        <v>0.24429743578133856</v>
      </c>
      <c r="G3" s="15">
        <f>F3 - Portfolio_Mgmt!$C$10</f>
        <v>0.12689743578133855</v>
      </c>
      <c r="H3" s="15">
        <f>F3 - Portfolio_Mgmt!$C$11</f>
        <v>0.20979743578133855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7.4985842776179229E-2</v>
      </c>
      <c r="P3" s="4">
        <v>9.4405594405594415E-2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18.8</v>
      </c>
      <c r="E4" s="12" t="s">
        <v>136</v>
      </c>
      <c r="F4" s="15">
        <v>0.2070521786959012</v>
      </c>
      <c r="G4" s="15">
        <f>F4 - Portfolio_Mgmt!$C$10</f>
        <v>8.9652178695901197E-2</v>
      </c>
      <c r="H4" s="15">
        <f>F4 - Portfolio_Mgmt!$C$11</f>
        <v>0.1725521786959012</v>
      </c>
      <c r="I4" s="15">
        <v>0</v>
      </c>
      <c r="J4" s="2">
        <v>13.698398856221386</v>
      </c>
      <c r="K4" s="2">
        <v>28.445848085875696</v>
      </c>
      <c r="L4" s="74">
        <v>26.174448507628821</v>
      </c>
      <c r="M4" s="2">
        <v>17.023794219968355</v>
      </c>
      <c r="N4" s="2">
        <v>23.428737192354333</v>
      </c>
      <c r="O4" s="4">
        <v>0.11009439133289539</v>
      </c>
      <c r="P4" s="4">
        <v>6.702127659574468E-2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-0.45861863420784976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187</v>
      </c>
      <c r="C5" s="11" t="s">
        <v>188</v>
      </c>
      <c r="D5" s="2">
        <v>3.42</v>
      </c>
      <c r="E5" s="12" t="s">
        <v>136</v>
      </c>
      <c r="F5" s="15">
        <v>0.18451427862920888</v>
      </c>
      <c r="G5" s="15">
        <f>F5 - Portfolio_Mgmt!$C$10</f>
        <v>6.7114278629208879E-2</v>
      </c>
      <c r="H5" s="15">
        <f>F5 - Portfolio_Mgmt!$C$11</f>
        <v>0.15001427862920888</v>
      </c>
      <c r="I5" s="15">
        <v>0</v>
      </c>
      <c r="J5" s="2">
        <v>2.3406091587746096</v>
      </c>
      <c r="K5" s="2">
        <v>5.2246962590200807</v>
      </c>
      <c r="L5" s="74">
        <v>4.5385417708791076</v>
      </c>
      <c r="M5" s="2">
        <v>2.9249004846182811</v>
      </c>
      <c r="N5" s="2">
        <v>4.0536685441183486</v>
      </c>
      <c r="O5" s="4">
        <v>8.3029981696983779E-2</v>
      </c>
      <c r="P5" s="4">
        <v>3.7426900584795322E-2</v>
      </c>
      <c r="Q5" s="4">
        <v>0.10112859174992994</v>
      </c>
      <c r="R5" s="4">
        <v>5.8835781303360896E-2</v>
      </c>
      <c r="S5" s="82">
        <v>1.2277297326073906</v>
      </c>
      <c r="T5" s="81">
        <v>1.4000052396569989</v>
      </c>
      <c r="U5" s="15">
        <v>0.10646655543311496</v>
      </c>
      <c r="V5" s="79">
        <v>0.9804830051022897</v>
      </c>
      <c r="W5" s="74">
        <v>1.6698226477450393</v>
      </c>
      <c r="X5" s="13" t="s">
        <v>189</v>
      </c>
      <c r="Y5" s="11" t="s">
        <v>137</v>
      </c>
      <c r="Z5" s="14">
        <v>45808</v>
      </c>
      <c r="AA5" s="16" t="s">
        <v>224</v>
      </c>
    </row>
    <row r="6" spans="1:27">
      <c r="B6" s="11" t="s">
        <v>199</v>
      </c>
      <c r="C6" s="11" t="s">
        <v>200</v>
      </c>
      <c r="D6" s="2">
        <v>2.2200000000000002</v>
      </c>
      <c r="E6" s="12" t="s">
        <v>136</v>
      </c>
      <c r="F6" s="15">
        <v>0.17583941665624514</v>
      </c>
      <c r="G6" s="15">
        <f>F6 - Portfolio_Mgmt!$C$10</f>
        <v>5.8439416656245136E-2</v>
      </c>
      <c r="H6" s="15">
        <f>F6 - Portfolio_Mgmt!$C$11</f>
        <v>0.14133941665624514</v>
      </c>
      <c r="I6" s="15">
        <v>0</v>
      </c>
      <c r="J6" s="2">
        <v>1.489346069179603</v>
      </c>
      <c r="K6" s="2">
        <v>3.2888248349577665</v>
      </c>
      <c r="L6" s="74">
        <v>2.8814216287534062</v>
      </c>
      <c r="M6" s="2">
        <v>1.8595583154983766</v>
      </c>
      <c r="N6" s="2">
        <v>2.5744336625956503</v>
      </c>
      <c r="O6" s="4">
        <v>6.0852886315784935E-2</v>
      </c>
      <c r="P6" s="4">
        <v>4.0540540540540543E-2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1.8485508597929869</v>
      </c>
      <c r="X6" s="13" t="s">
        <v>201</v>
      </c>
      <c r="Y6" s="11" t="s">
        <v>137</v>
      </c>
      <c r="Z6" s="14">
        <v>45900</v>
      </c>
      <c r="AA6" s="16" t="s">
        <v>224</v>
      </c>
    </row>
    <row r="7" spans="1:27">
      <c r="B7" s="11" t="s">
        <v>163</v>
      </c>
      <c r="C7" s="11" t="s">
        <v>192</v>
      </c>
      <c r="D7" s="2">
        <v>16.82</v>
      </c>
      <c r="E7" s="12" t="s">
        <v>136</v>
      </c>
      <c r="F7" s="15">
        <v>0.17583760387183389</v>
      </c>
      <c r="G7" s="15">
        <f>F7 - Portfolio_Mgmt!$C$10</f>
        <v>5.8437603871833887E-2</v>
      </c>
      <c r="H7" s="15">
        <f>F7 - Portfolio_Mgmt!$C$11</f>
        <v>0.14133760387183389</v>
      </c>
      <c r="I7" s="15">
        <v>0</v>
      </c>
      <c r="J7" s="2">
        <v>11.233957114648371</v>
      </c>
      <c r="K7" s="2">
        <v>25.632749031336449</v>
      </c>
      <c r="L7" s="74">
        <v>21.884221159735098</v>
      </c>
      <c r="M7" s="2">
        <v>14.062891529307649</v>
      </c>
      <c r="N7" s="2">
        <v>19.533016236128255</v>
      </c>
      <c r="O7" s="4">
        <v>6.089980646523932E-2</v>
      </c>
      <c r="P7" s="4">
        <v>2.859727470174156E-2</v>
      </c>
      <c r="Q7" s="4">
        <v>0.12359648285713276</v>
      </c>
      <c r="R7" s="4">
        <v>0.12331888686479547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4.6129628083533261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51.7</v>
      </c>
      <c r="E8" s="12" t="s">
        <v>136</v>
      </c>
      <c r="F8" s="15">
        <v>0.15350210494993033</v>
      </c>
      <c r="G8" s="15">
        <f>F8 - Portfolio_Mgmt!$C$10</f>
        <v>3.6102104949930325E-2</v>
      </c>
      <c r="H8" s="15">
        <f>F8 - Portfolio_Mgmt!$C$11</f>
        <v>0.11900210494993033</v>
      </c>
      <c r="I8" s="15">
        <v>0</v>
      </c>
      <c r="J8" s="2">
        <v>32.757410906738428</v>
      </c>
      <c r="K8" s="2">
        <v>73.045248016033895</v>
      </c>
      <c r="L8" s="74">
        <v>63.504275604075744</v>
      </c>
      <c r="M8" s="2">
        <v>40.931370909618813</v>
      </c>
      <c r="N8" s="2">
        <v>56.72162009791387</v>
      </c>
      <c r="O8" s="4">
        <v>4.4655302314065198E-2</v>
      </c>
      <c r="P8" s="4">
        <v>3.5000593800629649E-2</v>
      </c>
      <c r="Q8" s="4">
        <v>0.13507551397206663</v>
      </c>
      <c r="R8" s="4">
        <v>0.12563530662969002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1.3599899538223525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179</v>
      </c>
      <c r="C9" s="11" t="s">
        <v>180</v>
      </c>
      <c r="D9" s="2">
        <v>57.35</v>
      </c>
      <c r="E9" s="12" t="s">
        <v>136</v>
      </c>
      <c r="F9" s="15">
        <v>0.15346700757354115</v>
      </c>
      <c r="G9" s="15">
        <f>F9 - Portfolio_Mgmt!$C$10</f>
        <v>3.6067007573541143E-2</v>
      </c>
      <c r="H9" s="15">
        <f>F9 - Portfolio_Mgmt!$C$11</f>
        <v>0.11896700757354114</v>
      </c>
      <c r="I9" s="15">
        <v>0</v>
      </c>
      <c r="J9" s="2">
        <v>37.200212641348479</v>
      </c>
      <c r="K9" s="2">
        <v>70.237919202457775</v>
      </c>
      <c r="L9" s="74">
        <v>69.806923825038027</v>
      </c>
      <c r="M9" s="2">
        <v>45.921133351658376</v>
      </c>
      <c r="N9" s="2">
        <v>62.653125106978429</v>
      </c>
      <c r="O9" s="4">
        <v>9.273252355127222E-2</v>
      </c>
      <c r="P9" s="4">
        <v>8.8964428945074114E-2</v>
      </c>
      <c r="Q9" s="4">
        <v>0.32755394896836565</v>
      </c>
      <c r="R9" s="4">
        <v>8.9976704126159421E-2</v>
      </c>
      <c r="S9" s="82">
        <v>1.5891874956485419</v>
      </c>
      <c r="T9" s="81">
        <v>2.2907496012759174</v>
      </c>
      <c r="U9" s="15">
        <v>0.24768740031897937</v>
      </c>
      <c r="V9" s="79">
        <v>0.73855199466278643</v>
      </c>
      <c r="W9" s="74">
        <v>-2.6746229777492898</v>
      </c>
      <c r="X9" s="13" t="s">
        <v>184</v>
      </c>
      <c r="Y9" s="11" t="s">
        <v>137</v>
      </c>
      <c r="Z9" s="14">
        <v>45808</v>
      </c>
      <c r="AA9" s="16" t="s">
        <v>224</v>
      </c>
    </row>
    <row r="10" spans="1:27">
      <c r="B10" s="11" t="s">
        <v>205</v>
      </c>
      <c r="C10" s="11" t="s">
        <v>216</v>
      </c>
      <c r="D10" s="2">
        <v>23.58</v>
      </c>
      <c r="E10" s="12" t="s">
        <v>206</v>
      </c>
      <c r="F10" s="15">
        <v>0.13695080181845909</v>
      </c>
      <c r="G10" s="15">
        <f>F10 - Portfolio_Mgmt!$C$10</f>
        <v>1.9550801818459085E-2</v>
      </c>
      <c r="H10" s="15">
        <f>F10 - Portfolio_Mgmt!$C$11</f>
        <v>0.10245080181845909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0.19334018436548747</v>
      </c>
      <c r="P10" s="4">
        <v>1.7621713316369806E-2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185</v>
      </c>
      <c r="C11" s="11" t="s">
        <v>186</v>
      </c>
      <c r="D11" s="2">
        <v>7.33</v>
      </c>
      <c r="E11" s="12" t="s">
        <v>136</v>
      </c>
      <c r="F11" s="15">
        <v>0.11835773517114401</v>
      </c>
      <c r="G11" s="15">
        <f>F11 - Portfolio_Mgmt!$C$10</f>
        <v>9.5773517114400297E-4</v>
      </c>
      <c r="H11" s="15">
        <f>F11 - Portfolio_Mgmt!$C$11</f>
        <v>8.3857735171144004E-2</v>
      </c>
      <c r="I11" s="15">
        <v>0</v>
      </c>
      <c r="J11" s="2">
        <v>4.2970864264407833</v>
      </c>
      <c r="K11" s="2">
        <v>8.9128506700096644</v>
      </c>
      <c r="L11" s="74">
        <v>8.2088409163298124</v>
      </c>
      <c r="M11" s="2">
        <v>5.3397788749226756</v>
      </c>
      <c r="N11" s="2">
        <v>7.347980528967188</v>
      </c>
      <c r="O11" s="4">
        <v>0.10760083219190182</v>
      </c>
      <c r="P11" s="4">
        <v>5.4262695683982273E-2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-3.8825420225494187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208</v>
      </c>
      <c r="C12" s="11" t="s">
        <v>217</v>
      </c>
      <c r="D12" s="2">
        <v>28.68</v>
      </c>
      <c r="E12" s="12" t="s">
        <v>206</v>
      </c>
      <c r="F12" s="15">
        <v>0.11635040027483878</v>
      </c>
      <c r="G12" s="15">
        <f>F12 - Portfolio_Mgmt!$C$10</f>
        <v>-1.049599725161221E-3</v>
      </c>
      <c r="H12" s="15">
        <f>F12 - Portfolio_Mgmt!$C$11</f>
        <v>8.185040027483878E-2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8.8534428430369516E-2</v>
      </c>
      <c r="P12" s="4">
        <v>3.9051603905160388E-2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6.36</v>
      </c>
      <c r="E13" s="12" t="s">
        <v>136</v>
      </c>
      <c r="F13" s="15">
        <v>0.1041194271854049</v>
      </c>
      <c r="G13" s="15">
        <f>F13 - Portfolio_Mgmt!$C$10</f>
        <v>-1.3280572814595104E-2</v>
      </c>
      <c r="H13" s="15">
        <f>F13 - Portfolio_Mgmt!$C$11</f>
        <v>6.9619427185404897E-2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5.8082096595044826E-2</v>
      </c>
      <c r="P13" s="4">
        <v>5.6603773584905655E-2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16.2</v>
      </c>
      <c r="E14" s="12" t="s">
        <v>136</v>
      </c>
      <c r="F14" s="15">
        <v>9.7024152891190152E-2</v>
      </c>
      <c r="G14" s="15">
        <f>F14 - Portfolio_Mgmt!$C$10</f>
        <v>-2.0375847108809853E-2</v>
      </c>
      <c r="H14" s="15">
        <f>F14 - Portfolio_Mgmt!$C$11</f>
        <v>6.2524152891190149E-2</v>
      </c>
      <c r="I14" s="15">
        <v>0</v>
      </c>
      <c r="J14" s="2">
        <v>8.9916396079421457</v>
      </c>
      <c r="K14" s="2">
        <v>18.605281151290658</v>
      </c>
      <c r="L14" s="2">
        <v>17.168827379579184</v>
      </c>
      <c r="M14" s="2">
        <v>11.171489842580817</v>
      </c>
      <c r="N14" s="2">
        <v>15.369414731452171</v>
      </c>
      <c r="O14" s="4">
        <v>9.587451360701793E-2</v>
      </c>
      <c r="P14" s="4">
        <v>5.2038614814814817E-2</v>
      </c>
      <c r="Q14" s="4">
        <v>0.26418103369409113</v>
      </c>
      <c r="R14" s="4">
        <v>0.11373786352822013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-12.277186765755959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190</v>
      </c>
      <c r="C15" s="11" t="s">
        <v>191</v>
      </c>
      <c r="D15" s="2">
        <v>20.9</v>
      </c>
      <c r="E15" s="12" t="s">
        <v>136</v>
      </c>
      <c r="F15" s="15">
        <v>8.0811174563363064E-2</v>
      </c>
      <c r="G15" s="15">
        <f>F15 - Portfolio_Mgmt!$C$10</f>
        <v>-3.658882543663694E-2</v>
      </c>
      <c r="H15" s="15">
        <f>F15 - Portfolio_Mgmt!$C$11</f>
        <v>4.6311174563363061E-2</v>
      </c>
      <c r="I15" s="15">
        <v>0</v>
      </c>
      <c r="J15" s="2">
        <v>11.235424773194682</v>
      </c>
      <c r="K15" s="2">
        <v>21.968758226348868</v>
      </c>
      <c r="L15" s="2">
        <v>21.220699139526428</v>
      </c>
      <c r="M15" s="2">
        <v>13.902724211890622</v>
      </c>
      <c r="N15" s="2">
        <v>19.027476031641555</v>
      </c>
      <c r="O15" s="4">
        <v>8.2678756907637777E-2</v>
      </c>
      <c r="P15" s="4">
        <v>6.5071770334928239E-2</v>
      </c>
      <c r="Q15" s="4">
        <v>0.10515362778966494</v>
      </c>
      <c r="R15" s="4">
        <v>0.11295218450174714</v>
      </c>
      <c r="S15" s="82">
        <v>0.71055479556740742</v>
      </c>
      <c r="T15" s="81">
        <v>1.3101832741522048</v>
      </c>
      <c r="U15" s="15">
        <v>0.15818859882129041</v>
      </c>
      <c r="V15" s="79">
        <v>1.4550387206421544</v>
      </c>
      <c r="W15" s="74">
        <v>5.8696003638854428</v>
      </c>
      <c r="X15" s="13" t="s">
        <v>189</v>
      </c>
      <c r="Y15" s="11" t="s">
        <v>137</v>
      </c>
      <c r="Z15" s="14">
        <v>45808</v>
      </c>
      <c r="AA15" s="16" t="s">
        <v>224</v>
      </c>
    </row>
    <row r="16" spans="1:27">
      <c r="B16" s="11" t="s">
        <v>138</v>
      </c>
      <c r="C16" s="11" t="s">
        <v>176</v>
      </c>
      <c r="D16" s="2">
        <v>9.09</v>
      </c>
      <c r="E16" s="12" t="s">
        <v>136</v>
      </c>
      <c r="F16" s="15">
        <v>7.3158905462027413E-2</v>
      </c>
      <c r="G16" s="15">
        <f>F16 - Portfolio_Mgmt!$C$10</f>
        <v>-4.4241094537972592E-2</v>
      </c>
      <c r="H16" s="15">
        <f>F16 - Portfolio_Mgmt!$C$11</f>
        <v>3.865890546202741E-2</v>
      </c>
      <c r="I16" s="15">
        <v>0</v>
      </c>
      <c r="J16" s="2">
        <v>4.7895979519113672</v>
      </c>
      <c r="K16" s="2">
        <v>9.3641570609339322</v>
      </c>
      <c r="L16" s="2">
        <v>9.0460821298724845</v>
      </c>
      <c r="M16" s="2">
        <v>5.9266084151981735</v>
      </c>
      <c r="N16" s="2">
        <v>8.1111667082917602</v>
      </c>
      <c r="O16" s="4">
        <v>3.3982219139963146E-2</v>
      </c>
      <c r="P16" s="4">
        <v>6.3806380638063806E-2</v>
      </c>
      <c r="Q16" s="4">
        <v>2.0056091670558843E-2</v>
      </c>
      <c r="R16" s="4">
        <v>0.38237459335905039</v>
      </c>
      <c r="S16" s="82">
        <v>4.8426484563194767E-2</v>
      </c>
      <c r="T16" s="81">
        <v>1.0831144117242246</v>
      </c>
      <c r="U16" s="15">
        <v>1.8509098960546238E-2</v>
      </c>
      <c r="V16" s="79">
        <v>1.1933697905849452</v>
      </c>
      <c r="W16" s="74">
        <v>11.511512740854835</v>
      </c>
      <c r="X16" s="13" t="s">
        <v>178</v>
      </c>
      <c r="Y16" s="11" t="s">
        <v>177</v>
      </c>
      <c r="Z16" s="14">
        <v>45900</v>
      </c>
      <c r="AA16" s="16" t="s">
        <v>224</v>
      </c>
    </row>
    <row r="17" spans="2:27">
      <c r="B17" s="11" t="s">
        <v>202</v>
      </c>
      <c r="C17" s="11" t="s">
        <v>203</v>
      </c>
      <c r="D17" s="2">
        <v>2.85</v>
      </c>
      <c r="E17" s="12" t="s">
        <v>136</v>
      </c>
      <c r="F17" s="15">
        <v>3.7880160952401765E-2</v>
      </c>
      <c r="G17" s="15">
        <f>F17 - Portfolio_Mgmt!$C$10</f>
        <v>-7.951983904759824E-2</v>
      </c>
      <c r="H17" s="15">
        <f>F17 - Portfolio_Mgmt!$C$11</f>
        <v>3.3801609524017617E-3</v>
      </c>
      <c r="I17" s="15">
        <v>0</v>
      </c>
      <c r="J17" s="2">
        <v>1.3429650795214469</v>
      </c>
      <c r="K17" s="2">
        <v>2.8389792454451634</v>
      </c>
      <c r="L17" s="2">
        <v>2.5752154419851916</v>
      </c>
      <c r="M17" s="2">
        <v>1.6711982215971937</v>
      </c>
      <c r="N17" s="2">
        <v>2.3038642885612326</v>
      </c>
      <c r="O17" s="4">
        <v>2.9567803932089722E-2</v>
      </c>
      <c r="P17" s="4">
        <v>3.9121521413803192E-2</v>
      </c>
      <c r="Q17" s="4">
        <v>4.3342755547320283E-2</v>
      </c>
      <c r="R17" s="4">
        <v>8.4127165774618429E-2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1.9134260306667197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2.38</v>
      </c>
      <c r="E18" s="12" t="s">
        <v>136</v>
      </c>
      <c r="F18" s="15">
        <v>-3.8872265432020159E-2</v>
      </c>
      <c r="G18" s="15">
        <f>F18 - Portfolio_Mgmt!$C$10</f>
        <v>-0.15627226543202016</v>
      </c>
      <c r="H18" s="15">
        <f>F18 - Portfolio_Mgmt!$C$11</f>
        <v>-7.3372265432020162E-2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4.0284269935029057E-3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4.4299999999999999E-2</v>
      </c>
      <c r="D4" s="34">
        <v>7.4999999999999997E-2</v>
      </c>
      <c r="E4" s="35">
        <f>D4-C4</f>
        <v>3.0699999999999998E-2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0.42575414180847182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7.33</v>
      </c>
      <c r="D4" s="62" t="str">
        <f>VLOOKUP(B4,Opportunities!B$3:E$30,4,FALSE)</f>
        <v>HKD</v>
      </c>
      <c r="E4" s="59">
        <v>10000</v>
      </c>
      <c r="F4" s="64">
        <f>E4*C4</f>
        <v>73300</v>
      </c>
      <c r="G4" s="61">
        <f>F4/$F$10</f>
        <v>7.6105122957689703E-2</v>
      </c>
      <c r="H4" s="61">
        <f>VLOOKUP(B4,Opportunities!B$3:I$30,8,FALSE)</f>
        <v>0</v>
      </c>
      <c r="I4" s="84">
        <f>VLOOKUP(B4,Opportunities!B$3:N$30,12,FALSE)</f>
        <v>5.3397788749226756</v>
      </c>
      <c r="J4" s="84">
        <f>VLOOKUP(B4,Opportunities!B$3:N$30,9,FALSE)</f>
        <v>4.2970864264407833</v>
      </c>
      <c r="K4" s="84">
        <f>VLOOKUP(B4,Opportunities!B$3:N$30,11,FALSE)</f>
        <v>8.2088409163298124</v>
      </c>
      <c r="L4" s="84">
        <f>VLOOKUP(B4,Opportunities!B$3:N$30,13,FALSE)</f>
        <v>7.347980528967188</v>
      </c>
    </row>
    <row r="5" spans="1:12">
      <c r="B5" s="66" t="s">
        <v>163</v>
      </c>
      <c r="C5" s="63">
        <f>VLOOKUP(B5,Opportunities!B$3:E$30,3,FALSE)</f>
        <v>16.82</v>
      </c>
      <c r="D5" s="62" t="str">
        <f>VLOOKUP(B5,Opportunities!B$3:E$30,4,FALSE)</f>
        <v>HKD</v>
      </c>
      <c r="E5" s="59">
        <v>9000</v>
      </c>
      <c r="F5" s="64">
        <f>C5*E5</f>
        <v>151380</v>
      </c>
      <c r="G5" s="61">
        <f>F5/$F$10</f>
        <v>0.15717317207824102</v>
      </c>
      <c r="H5" s="61">
        <f>VLOOKUP(B5,Opportunities!B$3:I$30,8,FALSE)</f>
        <v>0</v>
      </c>
      <c r="I5" s="84">
        <f>VLOOKUP(B5,Opportunities!B$3:N$30,12,FALSE)</f>
        <v>14.062891529307649</v>
      </c>
      <c r="J5" s="84">
        <f>VLOOKUP(B5,Opportunities!B$3:N$30,9,FALSE)</f>
        <v>11.233957114648371</v>
      </c>
      <c r="K5" s="84">
        <f>VLOOKUP(B5,Opportunities!B$3:N$30,11,FALSE)</f>
        <v>21.884221159735098</v>
      </c>
      <c r="L5" s="84">
        <f>VLOOKUP(B5,Opportunities!B$3:N$30,13,FALSE)</f>
        <v>19.533016236128255</v>
      </c>
    </row>
    <row r="6" spans="1:12">
      <c r="B6" s="66" t="s">
        <v>210</v>
      </c>
      <c r="C6" s="63">
        <f>VLOOKUP(B6,Opportunities!B$3:E$30,3,FALSE)</f>
        <v>18.8</v>
      </c>
      <c r="D6" s="62" t="str">
        <f>VLOOKUP(B6,Opportunities!B$3:E$30,4,FALSE)</f>
        <v>HKD</v>
      </c>
      <c r="E6" s="59">
        <v>8000</v>
      </c>
      <c r="F6" s="64">
        <f>C6*E6</f>
        <v>150400</v>
      </c>
      <c r="G6" s="61">
        <f>F6/$F$10</f>
        <v>0.1561556683879472</v>
      </c>
      <c r="H6" s="61">
        <f>VLOOKUP(B6,Opportunities!B$3:I$30,8,FALSE)</f>
        <v>0</v>
      </c>
      <c r="I6" s="84">
        <f>VLOOKUP(B6,Opportunities!B$3:N$30,12,FALSE)</f>
        <v>17.023794219968355</v>
      </c>
      <c r="J6" s="84">
        <f>VLOOKUP(B6,Opportunities!B$3:N$30,9,FALSE)</f>
        <v>13.698398856221386</v>
      </c>
      <c r="K6" s="84">
        <f>VLOOKUP(B6,Opportunities!B$3:N$30,11,FALSE)</f>
        <v>26.174448507628821</v>
      </c>
      <c r="L6" s="84">
        <f>VLOOKUP(B6,Opportunities!B$3:N$30,13,FALSE)</f>
        <v>23.428737192354333</v>
      </c>
    </row>
    <row r="7" spans="1:12">
      <c r="B7" s="66" t="s">
        <v>227</v>
      </c>
      <c r="C7" s="63">
        <f>VLOOKUP(B7,Opportunities!B$3:E$30,3,FALSE)</f>
        <v>6.36</v>
      </c>
      <c r="D7" s="62" t="str">
        <f>VLOOKUP(B7,Opportunities!B$3:E$30,4,FALSE)</f>
        <v>HKD</v>
      </c>
      <c r="E7" s="59">
        <v>10000</v>
      </c>
      <c r="F7" s="64">
        <f>C7*E7</f>
        <v>63600</v>
      </c>
      <c r="G7" s="61">
        <f t="shared" ref="G7" si="0">F7/$F$10</f>
        <v>6.6033912961924485E-2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2.86</v>
      </c>
      <c r="D8" s="62" t="str">
        <f>VLOOKUP(B8,Opportunities!B$3:E$30,4,FALSE)</f>
        <v>HKD</v>
      </c>
      <c r="E8" s="59">
        <v>40000</v>
      </c>
      <c r="F8" s="64">
        <f>C8*E8</f>
        <v>114400</v>
      </c>
      <c r="G8" s="61">
        <f t="shared" ref="G8" si="1">F8/$F$10</f>
        <v>0.1187779818057258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963141.47</v>
      </c>
      <c r="G10" s="70">
        <f>SUM(G3:G8)</f>
        <v>1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2.86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7.33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5.3397788749226756</v>
      </c>
      <c r="J14" s="84">
        <f>VLOOKUP(B14,Opportunities!B$3:N$30,9,FALSE)</f>
        <v>4.2970864264407833</v>
      </c>
      <c r="K14" s="84">
        <f>VLOOKUP(B14,Opportunities!B$3:N$30,11,FALSE)</f>
        <v>8.2088409163298124</v>
      </c>
      <c r="L14" s="84">
        <f>VLOOKUP(B14,Opportunities!B$3:N$30,13,FALSE)</f>
        <v>7.347980528967188</v>
      </c>
    </row>
    <row r="15" spans="1:12">
      <c r="B15" s="66" t="s">
        <v>227</v>
      </c>
      <c r="C15" s="63">
        <f>VLOOKUP(B15,Opportunities!B$3:E$30,3,FALSE)</f>
        <v>6.36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17.023794219968355</v>
      </c>
      <c r="J16" s="84">
        <f>VLOOKUP(B16,Opportunities!B$3:N$30,9,FALSE)</f>
        <v>13.698398856221386</v>
      </c>
      <c r="K16" s="84">
        <f>VLOOKUP(B16,Opportunities!B$3:N$30,11,FALSE)</f>
        <v>26.174448507628821</v>
      </c>
      <c r="L16" s="84">
        <f>VLOOKUP(B16,Opportunities!B$3:N$30,13,FALSE)</f>
        <v>23.428737192354333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0.42575414180847182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2025-07-28T09:09:43Z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