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84374F1-A44E-4912-A7E3-08BA64B7B187}" xr6:coauthVersionLast="47" xr6:coauthVersionMax="47" xr10:uidLastSave="{00000000-0000-0000-0000-000000000000}"/>
  <bookViews>
    <workbookView xWindow="735" yWindow="735" windowWidth="12690" windowHeight="7643" firstSheet="2" activeTab="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<sst xmlns="http://schemas.openxmlformats.org/spreadsheetml/2006/main" count="475" uniqueCount="387">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</sst>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9" sqref="I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2.84</v>
      </c>
      <c r="E3" s="12" t="s">
        <v>136</v>
      </c>
      <c r="F3" s="15">
        <v>0.24743461613512951</v>
      </c>
      <c r="G3" s="15">
        <f>F3 - Portfolio_Mgmt!$C$10</f>
        <v>0.13003461613512951</v>
      </c>
      <c r="H3" s="15">
        <f>F3 - Portfolio_Mgmt!$C$11</f>
        <v>0.21293461613512951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7.5513912091504432E-2</v>
      </c>
      <c r="P3" s="4">
        <v>9.507042253521128E-2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384</v>
      </c>
      <c r="C4" s="11" t="s">
        <v>385</v>
      </c>
      <c r="D4" s="2">
        <v>7.54</v>
      </c>
      <c r="E4" s="12" t="s">
        <v>136</v>
      </c>
      <c r="F4" s="15">
        <v>0.23523677184925385</v>
      </c>
      <c r="G4" s="15">
        <f>F4 - Portfolio_Mgmt!$C$10</f>
        <v>0.11783677184925384</v>
      </c>
      <c r="H4" s="15">
        <f>F4 - Portfolio_Mgmt!$C$11</f>
        <v>0.20073677184925384</v>
      </c>
      <c r="I4" s="15">
        <v>0</v>
      </c>
      <c r="J4" s="2">
        <v>5.8334088558780746</v>
      </c>
      <c r="K4" s="2">
        <v>12.917841027032001</v>
      </c>
      <c r="L4" s="74">
        <v>11.292430114260537</v>
      </c>
      <c r="M4" s="2">
        <v>7.2850447373524485</v>
      </c>
      <c r="N4" s="2">
        <v>10.088465254642657</v>
      </c>
      <c r="O4" s="4">
        <v>0.12056737215284274</v>
      </c>
      <c r="P4" s="4">
        <v>4.5597668412732086E-2</v>
      </c>
      <c r="Q4" s="4">
        <v>0.2003590889358437</v>
      </c>
      <c r="R4" s="4">
        <v>9.768880167736374E-2</v>
      </c>
      <c r="S4" s="82">
        <v>1.2706604365715879</v>
      </c>
      <c r="T4" s="81">
        <v>1.6141160578600777</v>
      </c>
      <c r="U4" s="15">
        <v>0.27330444081724548</v>
      </c>
      <c r="V4" s="79">
        <v>1.3936222417470483</v>
      </c>
      <c r="W4" s="74">
        <v>-3.1793344671276307</v>
      </c>
      <c r="X4" s="13" t="s">
        <v>201</v>
      </c>
      <c r="Y4" s="11" t="s">
        <v>137</v>
      </c>
      <c r="Z4" s="14">
        <v>45900</v>
      </c>
      <c r="AA4" s="16" t="s">
        <v>225</v>
      </c>
    </row>
    <row r="5" spans="1:27">
      <c r="B5" s="11" t="s">
        <v>210</v>
      </c>
      <c r="C5" s="11" t="s">
        <v>211</v>
      </c>
      <c r="D5" s="2">
        <v>18.66</v>
      </c>
      <c r="E5" s="12" t="s">
        <v>136</v>
      </c>
      <c r="F5" s="15">
        <v>0.20837927279807045</v>
      </c>
      <c r="G5" s="15">
        <f>F5 - Portfolio_Mgmt!$C$10</f>
        <v>9.0979272798070443E-2</v>
      </c>
      <c r="H5" s="15">
        <f>F5 - Portfolio_Mgmt!$C$11</f>
        <v>0.17387927279807044</v>
      </c>
      <c r="I5" s="15">
        <v>0</v>
      </c>
      <c r="J5" s="2">
        <v>13.640048983228075</v>
      </c>
      <c r="K5" s="2">
        <v>28.30228551710978</v>
      </c>
      <c r="L5" s="74">
        <v>26.058886300514747</v>
      </c>
      <c r="M5" s="2">
        <v>16.950290184760206</v>
      </c>
      <c r="N5" s="2">
        <v>23.32583722914346</v>
      </c>
      <c r="O5" s="4">
        <v>0.11036059318015955</v>
      </c>
      <c r="P5" s="4">
        <v>6.7524115755627015E-2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-0.45630404442968509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3.37</v>
      </c>
      <c r="E6" s="12" t="s">
        <v>136</v>
      </c>
      <c r="F6" s="15">
        <v>0.19052491213845579</v>
      </c>
      <c r="G6" s="15">
        <f>F6 - Portfolio_Mgmt!$C$10</f>
        <v>7.3124912138455789E-2</v>
      </c>
      <c r="H6" s="15">
        <f>F6 - Portfolio_Mgmt!$C$11</f>
        <v>0.15602491213845579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8.4261880535217951E-2</v>
      </c>
      <c r="P6" s="4">
        <v>3.7982195845697328E-2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225</v>
      </c>
    </row>
    <row r="7" spans="1:27">
      <c r="B7" s="11" t="s">
        <v>199</v>
      </c>
      <c r="C7" s="11" t="s">
        <v>200</v>
      </c>
      <c r="D7" s="2">
        <v>2.14</v>
      </c>
      <c r="E7" s="12" t="s">
        <v>136</v>
      </c>
      <c r="F7" s="15">
        <v>0.18892189569118023</v>
      </c>
      <c r="G7" s="15">
        <f>F7 - Portfolio_Mgmt!$C$10</f>
        <v>7.1521895691180226E-2</v>
      </c>
      <c r="H7" s="15">
        <f>F7 - Portfolio_Mgmt!$C$11</f>
        <v>0.15442189569118023</v>
      </c>
      <c r="I7" s="15">
        <v>0</v>
      </c>
      <c r="J7" s="2">
        <v>1.482599829417734</v>
      </c>
      <c r="K7" s="2">
        <v>3.272226555303658</v>
      </c>
      <c r="L7" s="74">
        <v>2.8680606681101555</v>
      </c>
      <c r="M7" s="2">
        <v>1.851059996315473</v>
      </c>
      <c r="N7" s="2">
        <v>2.562536673147402</v>
      </c>
      <c r="O7" s="4">
        <v>6.280916281105553E-2</v>
      </c>
      <c r="P7" s="4">
        <v>4.2056074766355145E-2</v>
      </c>
      <c r="Q7" s="4">
        <v>4.7832973362251327E-2</v>
      </c>
      <c r="R7" s="4">
        <v>7.8104812973574481E-2</v>
      </c>
      <c r="S7" s="82">
        <v>0.49619793491400876</v>
      </c>
      <c r="T7" s="81">
        <v>1.2342258232843137</v>
      </c>
      <c r="U7" s="15">
        <v>0.10863424600069688</v>
      </c>
      <c r="V7" s="79">
        <v>2.2824569622635926</v>
      </c>
      <c r="W7" s="74">
        <v>1.839221459272913</v>
      </c>
      <c r="X7" s="13" t="s">
        <v>386</v>
      </c>
      <c r="Y7" s="11" t="s">
        <v>137</v>
      </c>
      <c r="Z7" s="14">
        <v>45900</v>
      </c>
      <c r="AA7" s="16" t="s">
        <v>225</v>
      </c>
    </row>
    <row r="8" spans="1:27">
      <c r="B8" s="11" t="s">
        <v>163</v>
      </c>
      <c r="C8" s="11" t="s">
        <v>192</v>
      </c>
      <c r="D8" s="2">
        <v>16.36</v>
      </c>
      <c r="E8" s="12" t="s">
        <v>136</v>
      </c>
      <c r="F8" s="15">
        <v>0.18522454506561892</v>
      </c>
      <c r="G8" s="15">
        <f>F8 - Portfolio_Mgmt!$C$10</f>
        <v>6.7824545065618913E-2</v>
      </c>
      <c r="H8" s="15">
        <f>F8 - Portfolio_Mgmt!$C$11</f>
        <v>0.15072454506561891</v>
      </c>
      <c r="I8" s="15">
        <v>0</v>
      </c>
      <c r="J8" s="2">
        <v>11.185385544803802</v>
      </c>
      <c r="K8" s="2">
        <v>25.503064311710666</v>
      </c>
      <c r="L8" s="74">
        <v>21.786175072239406</v>
      </c>
      <c r="M8" s="2">
        <v>14.001255619282826</v>
      </c>
      <c r="N8" s="2">
        <v>19.44594985317563</v>
      </c>
      <c r="O8" s="4">
        <v>6.2296685929683425E-2</v>
      </c>
      <c r="P8" s="4">
        <v>2.9550492119140726E-2</v>
      </c>
      <c r="Q8" s="4">
        <v>0.12359754082811553</v>
      </c>
      <c r="R8" s="4">
        <v>0.12331994245959003</v>
      </c>
      <c r="S8" s="82">
        <v>0.73266920679685343</v>
      </c>
      <c r="T8" s="81">
        <v>1.3679448142367923</v>
      </c>
      <c r="U8" s="15">
        <v>7.4171010848313429E-2</v>
      </c>
      <c r="V8" s="79">
        <v>0.60402076709908736</v>
      </c>
      <c r="W8" s="74">
        <v>4.5896817731600876</v>
      </c>
      <c r="X8" s="13" t="s">
        <v>181</v>
      </c>
      <c r="Y8" s="11" t="s">
        <v>137</v>
      </c>
      <c r="Z8" s="14">
        <v>45900</v>
      </c>
      <c r="AA8" s="16" t="s">
        <v>224</v>
      </c>
    </row>
    <row r="9" spans="1:27">
      <c r="B9" s="11" t="s">
        <v>205</v>
      </c>
      <c r="C9" s="11" t="s">
        <v>216</v>
      </c>
      <c r="D9" s="2">
        <v>21.18</v>
      </c>
      <c r="E9" s="12" t="s">
        <v>206</v>
      </c>
      <c r="F9" s="15">
        <v>0.17902473459302337</v>
      </c>
      <c r="G9" s="15">
        <f>F9 - Portfolio_Mgmt!$C$10</f>
        <v>6.1624734593023367E-2</v>
      </c>
      <c r="H9" s="15">
        <f>F9 - Portfolio_Mgmt!$C$11</f>
        <v>0.14452473459302337</v>
      </c>
      <c r="I9" s="15">
        <v>0</v>
      </c>
      <c r="J9" s="2">
        <v>14.210808951982788</v>
      </c>
      <c r="K9" s="2">
        <v>33.230161875234657</v>
      </c>
      <c r="L9" s="74">
        <v>27.829540483416785</v>
      </c>
      <c r="M9" s="2">
        <v>17.824937920120146</v>
      </c>
      <c r="N9" s="2">
        <v>24.820548736528732</v>
      </c>
      <c r="O9" s="4">
        <v>0.21524842055421123</v>
      </c>
      <c r="P9" s="4">
        <v>1.9618508026440037E-2</v>
      </c>
      <c r="Q9" s="4">
        <v>0.18752610102828118</v>
      </c>
      <c r="R9" s="4">
        <v>0.23497655430253014</v>
      </c>
      <c r="S9" s="82">
        <v>0.32112750263435197</v>
      </c>
      <c r="T9" s="81">
        <v>2.4851905363915479</v>
      </c>
      <c r="U9" s="15">
        <v>0.95241105291674188</v>
      </c>
      <c r="V9" s="79">
        <v>4.0148803043206254</v>
      </c>
      <c r="W9" s="74">
        <v>-38.360607814419353</v>
      </c>
      <c r="X9" s="13" t="s">
        <v>207</v>
      </c>
      <c r="Y9" s="11" t="s">
        <v>137</v>
      </c>
      <c r="Z9" s="14">
        <v>45900</v>
      </c>
      <c r="AA9" s="16" t="s">
        <v>225</v>
      </c>
    </row>
    <row r="10" spans="1:27">
      <c r="B10" s="11" t="s">
        <v>182</v>
      </c>
      <c r="C10" s="11" t="s">
        <v>183</v>
      </c>
      <c r="D10" s="2">
        <v>48.8</v>
      </c>
      <c r="E10" s="12" t="s">
        <v>136</v>
      </c>
      <c r="F10" s="15">
        <v>0.17488578435645619</v>
      </c>
      <c r="G10" s="15">
        <f>F10 - Portfolio_Mgmt!$C$10</f>
        <v>5.7485784356456182E-2</v>
      </c>
      <c r="H10" s="15">
        <f>F10 - Portfolio_Mgmt!$C$11</f>
        <v>0.14038578435645618</v>
      </c>
      <c r="I10" s="15">
        <v>0</v>
      </c>
      <c r="J10" s="2">
        <v>32.622899498247413</v>
      </c>
      <c r="K10" s="2">
        <v>72.676000987423905</v>
      </c>
      <c r="L10" s="74">
        <v>63.23091599817397</v>
      </c>
      <c r="M10" s="2">
        <v>40.760233438719943</v>
      </c>
      <c r="N10" s="2">
        <v>56.479103241965241</v>
      </c>
      <c r="O10" s="4">
        <v>4.7071211735452236E-2</v>
      </c>
      <c r="P10" s="4">
        <v>3.7268637181273719E-2</v>
      </c>
      <c r="Q10" s="4">
        <v>0.13507817806780942</v>
      </c>
      <c r="R10" s="4">
        <v>0.1256377845361269</v>
      </c>
      <c r="S10" s="82">
        <v>0.62432788948992113</v>
      </c>
      <c r="T10" s="81">
        <v>1.7220755031358876</v>
      </c>
      <c r="U10" s="15">
        <v>9.5579625064196368E-3</v>
      </c>
      <c r="V10" s="79">
        <v>7.3592411949940734E-2</v>
      </c>
      <c r="W10" s="74">
        <v>1.3531262579087293</v>
      </c>
      <c r="X10" s="16" t="s">
        <v>181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179</v>
      </c>
      <c r="C11" s="11" t="s">
        <v>180</v>
      </c>
      <c r="D11" s="2">
        <v>57.85</v>
      </c>
      <c r="E11" s="12" t="s">
        <v>136</v>
      </c>
      <c r="F11" s="15">
        <v>0.1498599682715942</v>
      </c>
      <c r="G11" s="15">
        <f>F11 - Portfolio_Mgmt!$C$10</f>
        <v>3.2459968271594197E-2</v>
      </c>
      <c r="H11" s="15">
        <f>F11 - Portfolio_Mgmt!$C$11</f>
        <v>0.1153599682715942</v>
      </c>
      <c r="I11" s="15">
        <v>0</v>
      </c>
      <c r="J11" s="2">
        <v>37.199299353774919</v>
      </c>
      <c r="K11" s="2">
        <v>70.236214597543963</v>
      </c>
      <c r="L11" s="74">
        <v>69.805213616949615</v>
      </c>
      <c r="M11" s="2">
        <v>45.920006833942509</v>
      </c>
      <c r="N11" s="2">
        <v>62.6515896752841</v>
      </c>
      <c r="O11" s="4">
        <v>9.1928690051968451E-2</v>
      </c>
      <c r="P11" s="4">
        <v>8.8193258426966292E-2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-2.6745548292799097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>
      <c r="B12" s="11" t="s">
        <v>208</v>
      </c>
      <c r="C12" s="11" t="s">
        <v>217</v>
      </c>
      <c r="D12" s="2">
        <v>27.41</v>
      </c>
      <c r="E12" s="12" t="s">
        <v>206</v>
      </c>
      <c r="F12" s="15">
        <v>0.13393808049002009</v>
      </c>
      <c r="G12" s="15">
        <f>F12 - Portfolio_Mgmt!$C$10</f>
        <v>1.6538080490020091E-2</v>
      </c>
      <c r="H12" s="15">
        <f>F12 - Portfolio_Mgmt!$C$11</f>
        <v>9.9438080490020092E-2</v>
      </c>
      <c r="I12" s="15">
        <v>0</v>
      </c>
      <c r="J12" s="2">
        <v>16.586017104127016</v>
      </c>
      <c r="K12" s="2">
        <v>36.134621832566509</v>
      </c>
      <c r="L12" s="74">
        <v>31.999534598013469</v>
      </c>
      <c r="M12" s="2">
        <v>20.68716637827405</v>
      </c>
      <c r="N12" s="2">
        <v>28.601981247202922</v>
      </c>
      <c r="O12" s="4">
        <v>9.2636534380992244E-2</v>
      </c>
      <c r="P12" s="4">
        <v>4.0860999635169641E-2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185</v>
      </c>
      <c r="C13" s="11" t="s">
        <v>186</v>
      </c>
      <c r="D13" s="2">
        <v>7.42</v>
      </c>
      <c r="E13" s="12" t="s">
        <v>136</v>
      </c>
      <c r="F13" s="15">
        <v>0.11188426777727467</v>
      </c>
      <c r="G13" s="15">
        <f>F13 - Portfolio_Mgmt!$C$10</f>
        <v>-5.5157322227253336E-3</v>
      </c>
      <c r="H13" s="15">
        <f>F13 - Portfolio_Mgmt!$C$11</f>
        <v>7.7384267777274668E-2</v>
      </c>
      <c r="I13" s="15">
        <v>0</v>
      </c>
      <c r="J13" s="2">
        <v>4.2788038390124399</v>
      </c>
      <c r="K13" s="2">
        <v>8.8678686489656542</v>
      </c>
      <c r="L13" s="2">
        <v>8.1726321630525334</v>
      </c>
      <c r="M13" s="2">
        <v>5.3167480801481428</v>
      </c>
      <c r="N13" s="2">
        <v>7.3157391978850832</v>
      </c>
      <c r="O13" s="4">
        <v>0.10575923995366909</v>
      </c>
      <c r="P13" s="4">
        <v>5.3604522825281685E-2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-3.8629473279417534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</v>
      </c>
      <c r="E14" s="12" t="s">
        <v>136</v>
      </c>
      <c r="F14" s="15">
        <v>0.10178747204725247</v>
      </c>
      <c r="G14" s="15">
        <f>F14 - Portfolio_Mgmt!$C$10</f>
        <v>-1.5612527952747535E-2</v>
      </c>
      <c r="H14" s="15">
        <f>F14 - Portfolio_Mgmt!$C$11</f>
        <v>6.7287472047252467E-2</v>
      </c>
      <c r="I14" s="15">
        <v>0</v>
      </c>
      <c r="J14" s="2">
        <v>8.9914145544808104</v>
      </c>
      <c r="K14" s="2">
        <v>18.604817060680727</v>
      </c>
      <c r="L14" s="2">
        <v>17.168397945644617</v>
      </c>
      <c r="M14" s="2">
        <v>11.171210299228532</v>
      </c>
      <c r="N14" s="2">
        <v>15.369030266969057</v>
      </c>
      <c r="O14" s="4">
        <v>9.7070458398003781E-2</v>
      </c>
      <c r="P14" s="4">
        <v>5.2687754999999996E-2</v>
      </c>
      <c r="Q14" s="4">
        <v>0.26418100147106144</v>
      </c>
      <c r="R14" s="4">
        <v>0.1137378496552388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-12.276873947278984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190</v>
      </c>
      <c r="C15" s="11" t="s">
        <v>191</v>
      </c>
      <c r="D15" s="2">
        <v>20.149999999999999</v>
      </c>
      <c r="E15" s="12" t="s">
        <v>136</v>
      </c>
      <c r="F15" s="15">
        <v>9.4897922897460019E-2</v>
      </c>
      <c r="G15" s="15">
        <f>F15 - Portfolio_Mgmt!$C$10</f>
        <v>-2.2502077102539986E-2</v>
      </c>
      <c r="H15" s="15">
        <f>F15 - Portfolio_Mgmt!$C$11</f>
        <v>6.0397922897460016E-2</v>
      </c>
      <c r="I15" s="15">
        <v>0</v>
      </c>
      <c r="J15" s="2">
        <v>11.235424773194682</v>
      </c>
      <c r="K15" s="2">
        <v>21.968758226348868</v>
      </c>
      <c r="L15" s="2">
        <v>21.220699139526428</v>
      </c>
      <c r="M15" s="2">
        <v>13.902724211890622</v>
      </c>
      <c r="N15" s="2">
        <v>19.027476031641555</v>
      </c>
      <c r="O15" s="4">
        <v>8.5756129993529995E-2</v>
      </c>
      <c r="P15" s="4">
        <v>6.7493796526054597E-2</v>
      </c>
      <c r="Q15" s="4">
        <v>0.10515362778966494</v>
      </c>
      <c r="R15" s="4">
        <v>0.11295218450174714</v>
      </c>
      <c r="S15" s="82">
        <v>0.71055479556740742</v>
      </c>
      <c r="T15" s="81">
        <v>1.3101832741522048</v>
      </c>
      <c r="U15" s="15">
        <v>0.15818859882129041</v>
      </c>
      <c r="V15" s="79">
        <v>1.4550387206421544</v>
      </c>
      <c r="W15" s="74">
        <v>5.8696003638854428</v>
      </c>
      <c r="X15" s="13" t="s">
        <v>189</v>
      </c>
      <c r="Y15" s="11" t="s">
        <v>137</v>
      </c>
      <c r="Z15" s="14">
        <v>45808</v>
      </c>
      <c r="AA15" s="16" t="s">
        <v>224</v>
      </c>
    </row>
    <row r="16" spans="1:27">
      <c r="B16" s="11" t="s">
        <v>227</v>
      </c>
      <c r="C16" s="11" t="s">
        <v>228</v>
      </c>
      <c r="D16" s="2">
        <v>6.57</v>
      </c>
      <c r="E16" s="12" t="s">
        <v>136</v>
      </c>
      <c r="F16" s="15">
        <v>9.1615864855765006E-2</v>
      </c>
      <c r="G16" s="15">
        <f>F16 - Portfolio_Mgmt!$C$10</f>
        <v>-2.5784135144234999E-2</v>
      </c>
      <c r="H16" s="15">
        <f>F16 - Portfolio_Mgmt!$C$11</f>
        <v>5.7115864855765003E-2</v>
      </c>
      <c r="I16" s="15">
        <v>0</v>
      </c>
      <c r="J16" s="2">
        <v>3.6036658259915511</v>
      </c>
      <c r="K16" s="2">
        <v>7.3642693066239637</v>
      </c>
      <c r="L16" s="2">
        <v>6.8641356814360206</v>
      </c>
      <c r="M16" s="2">
        <v>4.4732258849914697</v>
      </c>
      <c r="N16" s="2">
        <v>6.1469536878205542</v>
      </c>
      <c r="O16" s="4">
        <v>5.6225591224426955E-2</v>
      </c>
      <c r="P16" s="4">
        <v>5.4794520547945202E-2</v>
      </c>
      <c r="Q16" s="4">
        <v>7.0630420943605887E-2</v>
      </c>
      <c r="R16" s="4">
        <v>9.3039179367971361E-2</v>
      </c>
      <c r="S16" s="82">
        <v>0.62627525695225639</v>
      </c>
      <c r="T16" s="81">
        <v>1.2121620122817016</v>
      </c>
      <c r="U16" s="15">
        <v>1.1610019159010268E-2</v>
      </c>
      <c r="V16" s="79">
        <v>0.16381589511191816</v>
      </c>
      <c r="W16" s="74">
        <v>3.7980767021052162</v>
      </c>
      <c r="X16" s="13" t="s">
        <v>229</v>
      </c>
      <c r="Y16" s="11" t="s">
        <v>137</v>
      </c>
      <c r="Z16" s="14">
        <v>45900</v>
      </c>
      <c r="AA16" s="16" t="s">
        <v>224</v>
      </c>
    </row>
    <row r="17" spans="2:27">
      <c r="B17" s="11" t="s">
        <v>138</v>
      </c>
      <c r="C17" s="11" t="s">
        <v>176</v>
      </c>
      <c r="D17" s="2">
        <v>9.0299999999999994</v>
      </c>
      <c r="E17" s="12" t="s">
        <v>136</v>
      </c>
      <c r="F17" s="15">
        <v>7.5677287719097652E-2</v>
      </c>
      <c r="G17" s="15">
        <f>F17 - Portfolio_Mgmt!$C$10</f>
        <v>-4.1722712280902352E-2</v>
      </c>
      <c r="H17" s="15">
        <f>F17 - Portfolio_Mgmt!$C$11</f>
        <v>4.1177287719097649E-2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3.4208014615976189E-2</v>
      </c>
      <c r="P17" s="4">
        <v>6.4230343300110737E-2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202</v>
      </c>
      <c r="C18" s="11" t="s">
        <v>203</v>
      </c>
      <c r="D18" s="2">
        <v>2.65</v>
      </c>
      <c r="E18" s="12" t="s">
        <v>136</v>
      </c>
      <c r="F18" s="15">
        <v>6.2905157031523773E-2</v>
      </c>
      <c r="G18" s="15">
        <f>F18 - Portfolio_Mgmt!$C$10</f>
        <v>-5.4494842968476231E-2</v>
      </c>
      <c r="H18" s="15">
        <f>F18 - Portfolio_Mgmt!$C$11</f>
        <v>2.840515703152377E-2</v>
      </c>
      <c r="I18" s="15">
        <v>0</v>
      </c>
      <c r="J18" s="2">
        <v>1.338013749247005</v>
      </c>
      <c r="K18" s="2">
        <v>2.8244373083034269</v>
      </c>
      <c r="L18" s="2">
        <v>2.5649805148149469</v>
      </c>
      <c r="M18" s="2">
        <v>1.6648567270257919</v>
      </c>
      <c r="N18" s="2">
        <v>2.2948056809027921</v>
      </c>
      <c r="O18" s="4">
        <v>3.1641471431656701E-2</v>
      </c>
      <c r="P18" s="4">
        <v>4.2287508733072458E-2</v>
      </c>
      <c r="Q18" s="4">
        <v>4.3346347926128098E-2</v>
      </c>
      <c r="R18" s="4">
        <v>8.4134138488828086E-2</v>
      </c>
      <c r="S18" s="82">
        <v>0.42808280043619051</v>
      </c>
      <c r="T18" s="81">
        <v>1.2035176992971439</v>
      </c>
      <c r="U18" s="15">
        <v>1.0763175939415467E-2</v>
      </c>
      <c r="V18" s="79">
        <v>0.29882156160837919</v>
      </c>
      <c r="W18" s="74">
        <v>1.9037692134300956</v>
      </c>
      <c r="X18" s="13" t="s">
        <v>204</v>
      </c>
      <c r="Y18" s="11" t="s">
        <v>198</v>
      </c>
      <c r="Z18" s="14">
        <v>45900</v>
      </c>
      <c r="AA18" s="11" t="s">
        <v>224</v>
      </c>
    </row>
    <row r="19" spans="2:27">
      <c r="B19" s="11" t="s">
        <v>173</v>
      </c>
      <c r="C19" s="11" t="s">
        <v>196</v>
      </c>
      <c r="D19" s="2">
        <v>2.0499999999999998</v>
      </c>
      <c r="E19" s="12" t="s">
        <v>136</v>
      </c>
      <c r="F19" s="15">
        <v>1.0156838442917371E-2</v>
      </c>
      <c r="G19" s="15">
        <f>F19 - Portfolio_Mgmt!$C$10</f>
        <v>-0.10724316155708263</v>
      </c>
      <c r="H19" s="15">
        <f>F19 - Portfolio_Mgmt!$C$11</f>
        <v>-2.4343161557082632E-2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4.6769054851399589E-3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4.3700000000000003E-2</v>
      </c>
      <c r="D4" s="34">
        <v>7.4999999999999997E-2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tabSelected="1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0.63819921803322655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16.36</v>
      </c>
      <c r="D4" s="62" t="str">
        <f>VLOOKUP(B4,Opportunities!B$3:E$30,4,FALSE)</f>
        <v>HKD</v>
      </c>
      <c r="E4" s="59">
        <v>9000</v>
      </c>
      <c r="F4" s="64">
        <f>C4*E4</f>
        <v>147240</v>
      </c>
      <c r="G4" s="61">
        <f>F4/$F$8</f>
        <v>0.12989258543057575</v>
      </c>
      <c r="H4" s="61">
        <f>VLOOKUP(B4,Opportunities!B$3:I$30,8,FALSE)</f>
        <v>0</v>
      </c>
      <c r="I4" s="84">
        <f>VLOOKUP(B4,Opportunities!B$3:N$30,12,FALSE)</f>
        <v>14.001255619282826</v>
      </c>
      <c r="J4" s="84">
        <f>VLOOKUP(B4,Opportunities!B$3:N$30,9,FALSE)</f>
        <v>11.185385544803802</v>
      </c>
      <c r="K4" s="84">
        <f>VLOOKUP(B4,Opportunities!B$3:N$30,11,FALSE)</f>
        <v>21.786175072239406</v>
      </c>
      <c r="L4" s="84">
        <f>VLOOKUP(B4,Opportunities!B$3:N$30,13,FALSE)</f>
        <v>19.44594985317563</v>
      </c>
    </row>
    <row r="5" spans="1:12">
      <c r="B5" s="66" t="s">
        <v>210</v>
      </c>
      <c r="C5" s="63">
        <f>VLOOKUP(B5,Opportunities!B$3:E$30,3,FALSE)</f>
        <v>18.66</v>
      </c>
      <c r="D5" s="62" t="str">
        <f>VLOOKUP(B5,Opportunities!B$3:E$30,4,FALSE)</f>
        <v>HKD</v>
      </c>
      <c r="E5" s="59">
        <v>8000</v>
      </c>
      <c r="F5" s="64">
        <f>C5*E5</f>
        <v>149280</v>
      </c>
      <c r="G5" s="61">
        <f>F5/$F$8</f>
        <v>0.13169223820345252</v>
      </c>
      <c r="H5" s="61">
        <f>VLOOKUP(B5,Opportunities!B$3:I$30,8,FALSE)</f>
        <v>0</v>
      </c>
      <c r="I5" s="84">
        <f>VLOOKUP(B5,Opportunities!B$3:N$30,12,FALSE)</f>
        <v>16.950290184760206</v>
      </c>
      <c r="J5" s="84">
        <f>VLOOKUP(B5,Opportunities!B$3:N$30,9,FALSE)</f>
        <v>13.640048983228075</v>
      </c>
      <c r="K5" s="84">
        <f>VLOOKUP(B5,Opportunities!B$3:N$30,11,FALSE)</f>
        <v>26.058886300514747</v>
      </c>
      <c r="L5" s="84">
        <f>VLOOKUP(B5,Opportunities!B$3:N$30,13,FALSE)</f>
        <v>23.32583722914346</v>
      </c>
    </row>
    <row r="6" spans="1:12">
      <c r="B6" s="66" t="s">
        <v>230</v>
      </c>
      <c r="C6" s="63">
        <f>VLOOKUP(B6,Opportunities!B$3:E$30,3,FALSE)</f>
        <v>2.84</v>
      </c>
      <c r="D6" s="62" t="str">
        <f>VLOOKUP(B6,Opportunities!B$3:E$30,4,FALSE)</f>
        <v>HKD</v>
      </c>
      <c r="E6" s="59">
        <v>40000</v>
      </c>
      <c r="F6" s="64">
        <f>C6*E6</f>
        <v>113600</v>
      </c>
      <c r="G6" s="61">
        <f t="shared" ref="G6" si="0">F6/$F$8</f>
        <v>0.10021595833274521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1133552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16.36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14.001255619282826</v>
      </c>
      <c r="J11" s="84">
        <f>VLOOKUP(B11,Opportunities!B$3:N$30,9,FALSE)</f>
        <v>11.185385544803802</v>
      </c>
      <c r="K11" s="84">
        <f>VLOOKUP(B11,Opportunities!B$3:N$30,11,FALSE)</f>
        <v>21.786175072239406</v>
      </c>
      <c r="L11" s="84">
        <f>VLOOKUP(B11,Opportunities!B$3:N$30,13,FALSE)</f>
        <v>19.44594985317563</v>
      </c>
    </row>
    <row r="12" spans="1:12">
      <c r="B12" s="66" t="s">
        <v>210</v>
      </c>
      <c r="C12" s="63">
        <f>VLOOKUP(B12,Opportunities!B$3:E$30,3,FALSE)</f>
        <v>18.66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16.950290184760206</v>
      </c>
      <c r="J12" s="84">
        <f>VLOOKUP(B12,Opportunities!B$3:N$30,9,FALSE)</f>
        <v>13.640048983228075</v>
      </c>
      <c r="K12" s="84">
        <f>VLOOKUP(B12,Opportunities!B$3:N$30,11,FALSE)</f>
        <v>26.058886300514747</v>
      </c>
      <c r="L12" s="84">
        <f>VLOOKUP(B12,Opportunities!B$3:N$30,13,FALSE)</f>
        <v>23.32583722914346</v>
      </c>
    </row>
    <row r="13" spans="1:12">
      <c r="B13" s="66" t="s">
        <v>230</v>
      </c>
      <c r="C13" s="63">
        <f>VLOOKUP(B13,Opportunities!B$3:E$30,3,FALSE)</f>
        <v>2.84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0.63819921803322655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2025-08-02T02:54:31Z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