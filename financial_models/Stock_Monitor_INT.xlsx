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0C24C9A1-D0BB-4B84-8FB7-E61182A9F19F}"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16" i="7"/>
  <c r="I16" i="7"/>
  <c r="J16" i="7"/>
  <c r="K16" i="7"/>
  <c r="L16" i="7"/>
  <c r="C16" i="7"/>
  <c r="F16" i="7" s="1"/>
  <c r="D16" i="7"/>
  <c r="H15" i="7"/>
  <c r="I15" i="7"/>
  <c r="J15" i="7"/>
  <c r="K15" i="7"/>
  <c r="L15" i="7"/>
  <c r="C15" i="7"/>
  <c r="F15" i="7" s="1"/>
  <c r="D15" i="7"/>
  <c r="E13" i="7"/>
  <c r="F3"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13" i="7" l="1"/>
  <c r="F18" i="7" s="1"/>
  <c r="F7" i="7"/>
  <c r="F5" i="7"/>
  <c r="F4" i="7" l="1"/>
  <c r="C31" i="5"/>
  <c r="F10" i="7" l="1"/>
  <c r="G16" i="7" s="1"/>
  <c r="E60" i="5"/>
  <c r="G14" i="7" l="1"/>
  <c r="G15" i="7"/>
  <c r="G8" i="7"/>
  <c r="G13" i="7"/>
  <c r="G6" i="7"/>
  <c r="G7"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<sst xmlns="http://schemas.openxmlformats.org/spreadsheetml/2006/main" count="371" uniqueCount="294">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</sst>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D9" sqref="D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9" t="s">
        <v>205</v>
      </c>
      <c r="C4" s="99"/>
      <c r="D4" s="99"/>
      <c r="E4" s="99"/>
    </row>
    <row r="6" spans="1:5">
      <c r="A6" s="20" t="s">
        <v>63</v>
      </c>
      <c r="B6" s="19" t="s">
        <v>188</v>
      </c>
      <c r="C6" s="60"/>
    </row>
    <row r="7" spans="1:5">
      <c r="B7" s="99" t="s">
        <v>193</v>
      </c>
      <c r="C7" s="99"/>
      <c r="D7" s="99"/>
      <c r="E7" s="99"/>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9" t="s">
        <v>204</v>
      </c>
      <c r="C24" s="99"/>
      <c r="D24" s="99"/>
      <c r="E24" s="99"/>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9" t="s">
        <v>151</v>
      </c>
      <c r="C39" s="99"/>
      <c r="D39" s="99"/>
      <c r="E39" s="99"/>
    </row>
    <row r="40" spans="1:5" ht="46.5" customHeight="1">
      <c r="B40" s="99" t="s">
        <v>217</v>
      </c>
      <c r="C40" s="99"/>
      <c r="D40" s="99"/>
      <c r="E40" s="99"/>
    </row>
    <row r="42" spans="1:5">
      <c r="A42" s="21" t="s">
        <v>171</v>
      </c>
      <c r="B42" s="21"/>
      <c r="C42" s="21"/>
      <c r="D42" s="21"/>
      <c r="E42" s="21"/>
    </row>
    <row r="44" spans="1:5">
      <c r="B44" s="99" t="s">
        <v>192</v>
      </c>
      <c r="C44" s="99"/>
      <c r="D44" s="99"/>
      <c r="E44" s="99"/>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9" t="s">
        <v>180</v>
      </c>
      <c r="C71" s="99"/>
      <c r="D71" s="99"/>
      <c r="E71" s="99"/>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0" t="s">
        <v>176</v>
      </c>
      <c r="C85" s="100"/>
      <c r="D85" s="100"/>
      <c r="E85" s="100"/>
    </row>
    <row r="86" spans="1:5">
      <c r="B86" s="98" t="s">
        <v>174</v>
      </c>
      <c r="C86" s="98"/>
      <c r="D86" s="98"/>
      <c r="E86" s="98"/>
    </row>
    <row r="87" spans="1:5" ht="24.5" customHeight="1">
      <c r="B87" s="99" t="s">
        <v>173</v>
      </c>
      <c r="C87" s="99"/>
      <c r="D87" s="99"/>
      <c r="E87" s="99"/>
    </row>
    <row r="88" spans="1:5" ht="24.5" customHeight="1">
      <c r="B88" s="99" t="s">
        <v>209</v>
      </c>
      <c r="C88" s="99"/>
      <c r="D88" s="99"/>
      <c r="E88" s="99"/>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1" t="s">
        <v>195</v>
      </c>
      <c r="C97" s="101"/>
      <c r="D97" s="101"/>
      <c r="E97" s="101"/>
    </row>
    <row r="99" spans="1:5">
      <c r="B99" s="24" t="s">
        <v>199</v>
      </c>
    </row>
    <row r="100" spans="1:5" ht="12.4">
      <c r="B100" s="101" t="s">
        <v>196</v>
      </c>
      <c r="C100" s="101"/>
      <c r="D100" s="101"/>
      <c r="E100" s="101"/>
    </row>
    <row r="101" spans="1:5" ht="58.5" customHeight="1">
      <c r="B101" s="99" t="s">
        <v>203</v>
      </c>
      <c r="C101" s="99"/>
      <c r="D101" s="99"/>
      <c r="E101" s="99"/>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0.18413138879126406</v>
      </c>
      <c r="D112" s="60" t="str">
        <f>IF(C112&lt;benchmark,"Warning: Return is lower than the Benchmark.","")</f>
        <v/>
      </c>
    </row>
    <row r="114" spans="1:5" ht="24.5" customHeight="1">
      <c r="B114" s="99" t="s">
        <v>201</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K12" sqref="K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2.68</v>
      </c>
      <c r="E3" s="12" t="s">
        <v>153</v>
      </c>
      <c r="F3" s="15">
        <v>0.28337714642224543</v>
      </c>
      <c r="G3" s="15">
        <f>F3 - Portfolio_Mgmt!$C$10</f>
        <v>0.16597714642224543</v>
      </c>
      <c r="H3" s="15">
        <f>F3 - Portfolio_Mgmt!$C$11</f>
        <v>0.24887714642224543</v>
      </c>
      <c r="I3" s="15">
        <v>0.2313912463981318</v>
      </c>
      <c r="J3" s="2">
        <v>2.2516930066250125</v>
      </c>
      <c r="K3" s="2">
        <v>4.4858408799140586</v>
      </c>
      <c r="L3" s="85">
        <v>4.3910827513866675</v>
      </c>
      <c r="M3" s="2">
        <v>3.101365529948271</v>
      </c>
      <c r="N3" s="2">
        <v>3.939054009870663</v>
      </c>
      <c r="O3" s="4">
        <v>8.0022205350698719E-2</v>
      </c>
      <c r="P3" s="4">
        <v>0.11194029850746268</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1.91</v>
      </c>
      <c r="E4" s="12" t="s">
        <v>153</v>
      </c>
      <c r="F4" s="15">
        <v>0.24196346270587843</v>
      </c>
      <c r="G4" s="15">
        <f>F4 - Portfolio_Mgmt!$C$10</f>
        <v>0.12456346270587842</v>
      </c>
      <c r="H4" s="15">
        <f>F4 - Portfolio_Mgmt!$C$11</f>
        <v>0.20746346270587843</v>
      </c>
      <c r="I4" s="15">
        <v>0.19757495593838739</v>
      </c>
      <c r="J4" s="2">
        <v>1.4488182088302848</v>
      </c>
      <c r="K4" s="2">
        <v>3.2805345618615389</v>
      </c>
      <c r="L4" s="85">
        <v>2.9007535431991962</v>
      </c>
      <c r="M4" s="2">
        <v>2.0232529432069382</v>
      </c>
      <c r="N4" s="2">
        <v>2.5926175544523851</v>
      </c>
      <c r="O4" s="4">
        <v>7.0551242006599013E-2</v>
      </c>
      <c r="P4" s="4">
        <v>5.2356020942408384E-2</v>
      </c>
      <c r="Q4" s="4">
        <v>4.7832973362251327E-2</v>
      </c>
      <c r="R4" s="4">
        <v>7.8104812973574481E-2</v>
      </c>
      <c r="S4" s="94">
        <v>0.49619793491400876</v>
      </c>
      <c r="T4" s="93">
        <v>1.2342258232843137</v>
      </c>
      <c r="U4" s="15">
        <v>0.10863424600069688</v>
      </c>
      <c r="V4" s="90">
        <v>2.2824569622635926</v>
      </c>
      <c r="W4" s="85">
        <v>1.8438911432592704</v>
      </c>
      <c r="X4" s="13" t="s">
        <v>258</v>
      </c>
      <c r="Y4" s="11" t="s">
        <v>154</v>
      </c>
      <c r="Z4" s="14">
        <v>45900</v>
      </c>
      <c r="AA4" s="16" t="s">
        <v>281</v>
      </c>
    </row>
    <row r="5" spans="1:27">
      <c r="B5" s="11" t="s">
        <v>267</v>
      </c>
      <c r="C5" s="11" t="s">
        <v>268</v>
      </c>
      <c r="D5" s="2">
        <v>18.28</v>
      </c>
      <c r="E5" s="12" t="s">
        <v>153</v>
      </c>
      <c r="F5" s="15">
        <v>0.22482599560207372</v>
      </c>
      <c r="G5" s="15">
        <f>F5 - Portfolio_Mgmt!$C$10</f>
        <v>0.10742599560207372</v>
      </c>
      <c r="H5" s="15">
        <f>F5 - Portfolio_Mgmt!$C$11</f>
        <v>0.19032599560207372</v>
      </c>
      <c r="I5" s="15">
        <v>0.18358137909804606</v>
      </c>
      <c r="J5" s="2">
        <v>13.417941074303926</v>
      </c>
      <c r="K5" s="2">
        <v>28.374143492010106</v>
      </c>
      <c r="L5" s="85">
        <v>26.480802740496394</v>
      </c>
      <c r="M5" s="2">
        <v>18.596727617775983</v>
      </c>
      <c r="N5" s="2">
        <v>23.715106617105675</v>
      </c>
      <c r="O5" s="4">
        <v>0.11294076548410761</v>
      </c>
      <c r="P5" s="4">
        <v>7.6586433260393869E-2</v>
      </c>
      <c r="Q5" s="4">
        <v>0.16035109536268838</v>
      </c>
      <c r="R5" s="4">
        <v>0.31929962351402291</v>
      </c>
      <c r="S5" s="94">
        <v>0.35631048934895165</v>
      </c>
      <c r="T5" s="93">
        <v>1.4094345614568822</v>
      </c>
      <c r="U5" s="15">
        <v>0.12260820136742831</v>
      </c>
      <c r="V5" s="90">
        <v>0.75207444874659302</v>
      </c>
      <c r="W5" s="85">
        <v>-0.45746257576284266</v>
      </c>
      <c r="X5" s="13" t="s">
        <v>218</v>
      </c>
      <c r="Y5" s="11" t="s">
        <v>154</v>
      </c>
      <c r="Z5" s="14">
        <v>45900</v>
      </c>
      <c r="AA5" s="16" t="s">
        <v>281</v>
      </c>
    </row>
    <row r="6" spans="1:27">
      <c r="B6" s="11" t="s">
        <v>219</v>
      </c>
      <c r="C6" s="11" t="s">
        <v>249</v>
      </c>
      <c r="D6" s="2">
        <v>15.22</v>
      </c>
      <c r="E6" s="12" t="s">
        <v>153</v>
      </c>
      <c r="F6" s="15">
        <v>0.21875450880786285</v>
      </c>
      <c r="G6" s="15">
        <f>F6 - Portfolio_Mgmt!$C$10</f>
        <v>0.10135450880786284</v>
      </c>
      <c r="H6" s="15">
        <f>F6 - Portfolio_Mgmt!$C$11</f>
        <v>0.18425450880786284</v>
      </c>
      <c r="I6" s="15">
        <v>8.7452418565434731E-2</v>
      </c>
      <c r="J6" s="2">
        <v>10.888184270030205</v>
      </c>
      <c r="K6" s="2">
        <v>25.567975948552579</v>
      </c>
      <c r="L6" s="85">
        <v>21.974579130995611</v>
      </c>
      <c r="M6" s="2">
        <v>15.269476808175142</v>
      </c>
      <c r="N6" s="2">
        <v>19.618789844832396</v>
      </c>
      <c r="O6" s="4">
        <v>6.7132524326022153E-2</v>
      </c>
      <c r="P6" s="4">
        <v>3.5203804655185258E-2</v>
      </c>
      <c r="Q6" s="4">
        <v>0.12359700993922755</v>
      </c>
      <c r="R6" s="4">
        <v>0.12331941276307117</v>
      </c>
      <c r="S6" s="94">
        <v>0.73266920679685343</v>
      </c>
      <c r="T6" s="93">
        <v>1.3679448142367923</v>
      </c>
      <c r="U6" s="15">
        <v>7.4171010848313429E-2</v>
      </c>
      <c r="V6" s="90">
        <v>0.60402076709908736</v>
      </c>
      <c r="W6" s="85">
        <v>4.6013347273872931</v>
      </c>
      <c r="X6" s="13" t="s">
        <v>238</v>
      </c>
      <c r="Y6" s="11" t="s">
        <v>154</v>
      </c>
      <c r="Z6" s="14">
        <v>45900</v>
      </c>
      <c r="AA6" s="16" t="s">
        <v>281</v>
      </c>
    </row>
    <row r="7" spans="1:27">
      <c r="B7" s="11" t="s">
        <v>284</v>
      </c>
      <c r="C7" s="11" t="s">
        <v>285</v>
      </c>
      <c r="D7" s="2">
        <v>5.36</v>
      </c>
      <c r="E7" s="12" t="s">
        <v>153</v>
      </c>
      <c r="F7" s="15">
        <v>0.17257120575125606</v>
      </c>
      <c r="G7" s="15">
        <f>F7 - Portfolio_Mgmt!$C$10</f>
        <v>5.5171205751256058E-2</v>
      </c>
      <c r="H7" s="15">
        <f>F7 - Portfolio_Mgmt!$C$11</f>
        <v>0.13807120575125606</v>
      </c>
      <c r="I7" s="15">
        <v>0</v>
      </c>
      <c r="J7" s="2">
        <v>3.4769479145113666</v>
      </c>
      <c r="K7" s="2">
        <v>7.3642693066239637</v>
      </c>
      <c r="L7" s="85">
        <v>6.8641356814360206</v>
      </c>
      <c r="M7" s="2">
        <v>4.8197379854720408</v>
      </c>
      <c r="N7" s="2">
        <v>6.1469536878205542</v>
      </c>
      <c r="O7" s="4">
        <v>6.8918308646359158E-2</v>
      </c>
      <c r="P7" s="4">
        <v>6.7164179104477612E-2</v>
      </c>
      <c r="Q7" s="4">
        <v>7.0630420943605887E-2</v>
      </c>
      <c r="R7" s="4">
        <v>9.3039179367971361E-2</v>
      </c>
      <c r="S7" s="94">
        <v>0.62627525695225639</v>
      </c>
      <c r="T7" s="93">
        <v>1.2121620122817016</v>
      </c>
      <c r="U7" s="15">
        <v>1.1610019159010268E-2</v>
      </c>
      <c r="V7" s="90">
        <v>0.16381589511191816</v>
      </c>
      <c r="W7" s="85">
        <v>3.7980767021052162</v>
      </c>
      <c r="X7" s="13" t="s">
        <v>286</v>
      </c>
      <c r="Y7" s="11" t="s">
        <v>154</v>
      </c>
      <c r="Z7" s="14">
        <v>45900</v>
      </c>
      <c r="AA7" s="16" t="s">
        <v>281</v>
      </c>
    </row>
    <row r="8" spans="1:27">
      <c r="B8" s="11" t="s">
        <v>262</v>
      </c>
      <c r="C8" s="11" t="s">
        <v>273</v>
      </c>
      <c r="D8" s="2">
        <v>21.99</v>
      </c>
      <c r="E8" s="12" t="s">
        <v>263</v>
      </c>
      <c r="F8" s="15">
        <v>0.17125970097833143</v>
      </c>
      <c r="G8" s="15">
        <f>F8 - Portfolio_Mgmt!$C$10</f>
        <v>5.3859700978331426E-2</v>
      </c>
      <c r="H8" s="15">
        <f>F8 - Portfolio_Mgmt!$C$11</f>
        <v>0.13675970097833143</v>
      </c>
      <c r="I8" s="15">
        <v>0</v>
      </c>
      <c r="J8" s="2">
        <v>13.980827278242025</v>
      </c>
      <c r="K8" s="2">
        <v>33.230161875234657</v>
      </c>
      <c r="L8" s="85">
        <v>28.292642107173183</v>
      </c>
      <c r="M8" s="2">
        <v>19.634697914672664</v>
      </c>
      <c r="N8" s="2">
        <v>25.250185101195886</v>
      </c>
      <c r="O8" s="4">
        <v>0.20731976113406977</v>
      </c>
      <c r="P8" s="4">
        <v>2.6994088221919055E-2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236</v>
      </c>
      <c r="C9" s="11" t="s">
        <v>237</v>
      </c>
      <c r="D9" s="2">
        <v>55.15</v>
      </c>
      <c r="E9" s="12" t="s">
        <v>153</v>
      </c>
      <c r="F9" s="15">
        <v>0.16968208251804073</v>
      </c>
      <c r="G9" s="15">
        <f>F9 - Portfolio_Mgmt!$C$10</f>
        <v>5.2282082518040729E-2</v>
      </c>
      <c r="H9" s="15">
        <f>F9 - Portfolio_Mgmt!$C$11</f>
        <v>0.13518208251804073</v>
      </c>
      <c r="I9" s="15">
        <v>0</v>
      </c>
      <c r="J9" s="2">
        <v>35.914388429535435</v>
      </c>
      <c r="K9" s="2">
        <v>70.213202007082828</v>
      </c>
      <c r="L9" s="85">
        <v>69.782125466352653</v>
      </c>
      <c r="M9" s="2">
        <v>49.372671494673391</v>
      </c>
      <c r="N9" s="2">
        <v>62.63086104341486</v>
      </c>
      <c r="O9" s="4">
        <v>9.6396108546848769E-2</v>
      </c>
      <c r="P9" s="4">
        <v>9.2479147778785131E-2</v>
      </c>
      <c r="Q9" s="4">
        <v>0.32755394896836565</v>
      </c>
      <c r="R9" s="4">
        <v>8.9976704126159421E-2</v>
      </c>
      <c r="S9" s="94">
        <v>1.5891874956485419</v>
      </c>
      <c r="T9" s="93">
        <v>2.2907496012759174</v>
      </c>
      <c r="U9" s="15">
        <v>0.24768740031897937</v>
      </c>
      <c r="V9" s="90">
        <v>0.73855199466278643</v>
      </c>
      <c r="W9" s="85">
        <v>-2.6736348249432824</v>
      </c>
      <c r="X9" s="13" t="s">
        <v>238</v>
      </c>
      <c r="Y9" s="11" t="s">
        <v>154</v>
      </c>
      <c r="Z9" s="14">
        <v>45808</v>
      </c>
      <c r="AA9" s="16" t="s">
        <v>281</v>
      </c>
    </row>
    <row r="10" spans="1:27">
      <c r="B10" s="11" t="s">
        <v>244</v>
      </c>
      <c r="C10" s="11" t="s">
        <v>245</v>
      </c>
      <c r="D10" s="2">
        <v>3.6</v>
      </c>
      <c r="E10" s="12" t="s">
        <v>153</v>
      </c>
      <c r="F10" s="15">
        <v>0.16382813843087729</v>
      </c>
      <c r="G10" s="15">
        <f>F10 - Portfolio_Mgmt!$C$10</f>
        <v>4.6428138430877286E-2</v>
      </c>
      <c r="H10" s="15">
        <f>F10 - Portfolio_Mgmt!$C$11</f>
        <v>0.12932813843087729</v>
      </c>
      <c r="I10" s="15">
        <v>0</v>
      </c>
      <c r="J10" s="2">
        <v>2.2556276815093281</v>
      </c>
      <c r="K10" s="2">
        <v>5.2246962590200807</v>
      </c>
      <c r="L10" s="85">
        <v>4.5385417708791076</v>
      </c>
      <c r="M10" s="2">
        <v>3.1582019073444916</v>
      </c>
      <c r="N10" s="2">
        <v>4.0536685441183486</v>
      </c>
      <c r="O10" s="4">
        <v>7.8878482612134579E-2</v>
      </c>
      <c r="P10" s="4">
        <v>3.5555555555555556E-2</v>
      </c>
      <c r="Q10" s="4">
        <v>0.10112859174992994</v>
      </c>
      <c r="R10" s="4">
        <v>5.8835781303360896E-2</v>
      </c>
      <c r="S10" s="94">
        <v>1.2277297326073906</v>
      </c>
      <c r="T10" s="93">
        <v>1.4000052396569989</v>
      </c>
      <c r="U10" s="15">
        <v>0.10646655543311496</v>
      </c>
      <c r="V10" s="90">
        <v>0.9804830051022897</v>
      </c>
      <c r="W10" s="85">
        <v>1.6698226477450393</v>
      </c>
      <c r="X10" s="16" t="s">
        <v>246</v>
      </c>
      <c r="Y10" s="11" t="s">
        <v>154</v>
      </c>
      <c r="Z10" s="14">
        <v>45808</v>
      </c>
      <c r="AA10" s="16" t="s">
        <v>281</v>
      </c>
    </row>
    <row r="11" spans="1:27">
      <c r="B11" s="11" t="s">
        <v>265</v>
      </c>
      <c r="C11" s="11" t="s">
        <v>274</v>
      </c>
      <c r="D11" s="2">
        <v>26.73</v>
      </c>
      <c r="E11" s="12" t="s">
        <v>263</v>
      </c>
      <c r="F11" s="15">
        <v>0.16020301829123884</v>
      </c>
      <c r="G11" s="15">
        <f>F11 - Portfolio_Mgmt!$C$10</f>
        <v>4.2803018291238837E-2</v>
      </c>
      <c r="H11" s="15">
        <f>F11 - Portfolio_Mgmt!$C$11</f>
        <v>0.12570301829123884</v>
      </c>
      <c r="I11" s="15">
        <v>0</v>
      </c>
      <c r="J11" s="2">
        <v>16.7846939344021</v>
      </c>
      <c r="K11" s="2">
        <v>36.134621832566509</v>
      </c>
      <c r="L11" s="85">
        <v>33.247786953152008</v>
      </c>
      <c r="M11" s="2">
        <v>23.307997499907511</v>
      </c>
      <c r="N11" s="2">
        <v>29.760030747653474</v>
      </c>
      <c r="O11" s="4">
        <v>9.4993169000486252E-2</v>
      </c>
      <c r="P11" s="4">
        <v>5.9857837635615418E-2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250</v>
      </c>
      <c r="C12" s="11" t="s">
        <v>251</v>
      </c>
      <c r="D12" s="2">
        <v>13.84</v>
      </c>
      <c r="E12" s="12" t="s">
        <v>153</v>
      </c>
      <c r="F12" s="15">
        <v>0.15905651029337431</v>
      </c>
      <c r="G12" s="15">
        <f>F12 - Portfolio_Mgmt!$C$10</f>
        <v>4.1656510293374305E-2</v>
      </c>
      <c r="H12" s="15">
        <f>F12 - Portfolio_Mgmt!$C$11</f>
        <v>0.12455651029337431</v>
      </c>
      <c r="I12" s="15">
        <v>0</v>
      </c>
      <c r="J12" s="2">
        <v>8.6709157915843349</v>
      </c>
      <c r="K12" s="2">
        <v>18.598551787740856</v>
      </c>
      <c r="L12" s="85">
        <v>17.162600547516757</v>
      </c>
      <c r="M12" s="2">
        <v>12.036016236203698</v>
      </c>
      <c r="N12" s="2">
        <v>15.36383996081987</v>
      </c>
      <c r="O12" s="4">
        <v>0.11218137453316335</v>
      </c>
      <c r="P12" s="4">
        <v>6.0889747109826586E-2</v>
      </c>
      <c r="Q12" s="4">
        <v>0.26418056646016069</v>
      </c>
      <c r="R12" s="4">
        <v>0.11373766236999061</v>
      </c>
      <c r="S12" s="94">
        <v>0.70652858717908329</v>
      </c>
      <c r="T12" s="93">
        <v>3.2875080906148866</v>
      </c>
      <c r="U12" s="15">
        <v>1.5035598705501618</v>
      </c>
      <c r="V12" s="90">
        <v>4.1998196571663646</v>
      </c>
      <c r="W12" s="85">
        <v>-12.272650897839851</v>
      </c>
      <c r="X12" s="13" t="s">
        <v>238</v>
      </c>
      <c r="Y12" s="11" t="s">
        <v>252</v>
      </c>
      <c r="Z12" s="14">
        <v>45900</v>
      </c>
      <c r="AA12" s="16" t="s">
        <v>282</v>
      </c>
    </row>
    <row r="13" spans="1:27">
      <c r="B13" s="11" t="s">
        <v>242</v>
      </c>
      <c r="C13" s="11" t="s">
        <v>243</v>
      </c>
      <c r="D13" s="2">
        <v>6.84</v>
      </c>
      <c r="E13" s="12" t="s">
        <v>153</v>
      </c>
      <c r="F13" s="15">
        <v>0.15086514440602339</v>
      </c>
      <c r="G13" s="15">
        <f>F13 - Portfolio_Mgmt!$C$10</f>
        <v>3.3465144406023384E-2</v>
      </c>
      <c r="H13" s="15">
        <f>F13 - Portfolio_Mgmt!$C$11</f>
        <v>0.11636514440602339</v>
      </c>
      <c r="I13" s="15">
        <v>0</v>
      </c>
      <c r="J13" s="2">
        <v>4.2096412543778872</v>
      </c>
      <c r="K13" s="2">
        <v>8.8903836886931522</v>
      </c>
      <c r="L13" s="2">
        <v>8.3056833894813096</v>
      </c>
      <c r="M13" s="2">
        <v>5.8335848262775611</v>
      </c>
      <c r="N13" s="2">
        <v>7.4384995510365544</v>
      </c>
      <c r="O13" s="4">
        <v>0.11501841470742871</v>
      </c>
      <c r="P13" s="4">
        <v>6.4611039532746925E-2</v>
      </c>
      <c r="Q13" s="4">
        <v>0.12477871842229639</v>
      </c>
      <c r="R13" s="4">
        <v>7.7304831872868032E-2</v>
      </c>
      <c r="S13" s="94">
        <v>1.0025080757150273</v>
      </c>
      <c r="T13" s="93">
        <v>1.6100746083165727</v>
      </c>
      <c r="U13" s="15">
        <v>0.16360901428944893</v>
      </c>
      <c r="V13" s="90">
        <v>1.1309485990394448</v>
      </c>
      <c r="W13" s="85">
        <v>-3.8727551426486144</v>
      </c>
      <c r="X13" s="13" t="s">
        <v>218</v>
      </c>
      <c r="Y13" s="11" t="s">
        <v>154</v>
      </c>
      <c r="Z13" s="14">
        <v>45900</v>
      </c>
      <c r="AA13" s="16" t="s">
        <v>281</v>
      </c>
    </row>
    <row r="14" spans="1:27">
      <c r="B14" s="11" t="s">
        <v>239</v>
      </c>
      <c r="C14" s="11" t="s">
        <v>240</v>
      </c>
      <c r="D14" s="2">
        <v>53.7</v>
      </c>
      <c r="E14" s="12" t="s">
        <v>153</v>
      </c>
      <c r="F14" s="15">
        <v>0.14115788552404029</v>
      </c>
      <c r="G14" s="15">
        <f>F14 - Portfolio_Mgmt!$C$10</f>
        <v>2.375788552404029E-2</v>
      </c>
      <c r="H14" s="15">
        <f>F14 - Portfolio_Mgmt!$C$11</f>
        <v>0.10665788552404029</v>
      </c>
      <c r="I14" s="15">
        <v>0</v>
      </c>
      <c r="J14" s="2">
        <v>31.838026765660207</v>
      </c>
      <c r="K14" s="2">
        <v>72.8608217519307</v>
      </c>
      <c r="L14" s="2">
        <v>63.891891976150823</v>
      </c>
      <c r="M14" s="2">
        <v>44.515523052448557</v>
      </c>
      <c r="N14" s="2">
        <v>57.086764541033745</v>
      </c>
      <c r="O14" s="4">
        <v>4.2884233332769764E-2</v>
      </c>
      <c r="P14" s="4">
        <v>3.7535766260926189E-2</v>
      </c>
      <c r="Q14" s="4">
        <v>0.13507684122696081</v>
      </c>
      <c r="R14" s="4">
        <v>0.1256365411249046</v>
      </c>
      <c r="S14" s="94">
        <v>0.62432788948992113</v>
      </c>
      <c r="T14" s="93">
        <v>1.7220755031358876</v>
      </c>
      <c r="U14" s="15">
        <v>9.5579625064196368E-3</v>
      </c>
      <c r="V14" s="90">
        <v>7.3592411949940734E-2</v>
      </c>
      <c r="W14" s="85">
        <v>1.3565617724228836</v>
      </c>
      <c r="X14" s="13" t="s">
        <v>241</v>
      </c>
      <c r="Y14" s="11" t="s">
        <v>154</v>
      </c>
      <c r="Z14" s="14">
        <v>45900</v>
      </c>
      <c r="AA14" s="16" t="s">
        <v>282</v>
      </c>
    </row>
    <row r="15" spans="1:27">
      <c r="B15" s="11" t="s">
        <v>247</v>
      </c>
      <c r="C15" s="11" t="s">
        <v>248</v>
      </c>
      <c r="D15" s="2">
        <v>19</v>
      </c>
      <c r="E15" s="12" t="s">
        <v>153</v>
      </c>
      <c r="F15" s="15">
        <v>0.11797380818186931</v>
      </c>
      <c r="G15" s="15">
        <f>F15 - Portfolio_Mgmt!$C$10</f>
        <v>5.7380818186930638E-4</v>
      </c>
      <c r="H15" s="15">
        <f>F15 - Portfolio_Mgmt!$C$11</f>
        <v>8.3473808181869308E-2</v>
      </c>
      <c r="I15" s="15">
        <v>0</v>
      </c>
      <c r="J15" s="2">
        <v>10.846357673848024</v>
      </c>
      <c r="K15" s="2">
        <v>21.968758226348868</v>
      </c>
      <c r="L15" s="2">
        <v>21.220699139526428</v>
      </c>
      <c r="M15" s="2">
        <v>14.964572530067358</v>
      </c>
      <c r="N15" s="2">
        <v>19.027476031641555</v>
      </c>
      <c r="O15" s="4">
        <v>9.094663259840155E-2</v>
      </c>
      <c r="P15" s="4">
        <v>7.1578947368421061E-2</v>
      </c>
      <c r="Q15" s="4">
        <v>0.10515362778966494</v>
      </c>
      <c r="R15" s="4">
        <v>0.11295218450174714</v>
      </c>
      <c r="S15" s="94">
        <v>0.71055479556740742</v>
      </c>
      <c r="T15" s="93">
        <v>1.3101832741522048</v>
      </c>
      <c r="U15" s="15">
        <v>0.15818859882129041</v>
      </c>
      <c r="V15" s="90">
        <v>1.4550387206421544</v>
      </c>
      <c r="W15" s="85">
        <v>5.8696003638854428</v>
      </c>
      <c r="X15" s="13" t="s">
        <v>246</v>
      </c>
      <c r="Y15" s="11" t="s">
        <v>154</v>
      </c>
      <c r="Z15" s="14">
        <v>45808</v>
      </c>
      <c r="AA15" s="16" t="s">
        <v>281</v>
      </c>
    </row>
    <row r="16" spans="1:27">
      <c r="B16" s="11" t="s">
        <v>155</v>
      </c>
      <c r="C16" s="11" t="s">
        <v>233</v>
      </c>
      <c r="D16" s="2">
        <v>8.1</v>
      </c>
      <c r="E16" s="12" t="s">
        <v>153</v>
      </c>
      <c r="F16" s="15">
        <v>0.11794705087240254</v>
      </c>
      <c r="G16" s="15">
        <f>F16 - Portfolio_Mgmt!$C$10</f>
        <v>5.4705087240253247E-4</v>
      </c>
      <c r="H16" s="15">
        <f>F16 - Portfolio_Mgmt!$C$11</f>
        <v>8.3447050872402534E-2</v>
      </c>
      <c r="I16" s="15">
        <v>0</v>
      </c>
      <c r="J16" s="2">
        <v>4.6237469150396135</v>
      </c>
      <c r="K16" s="2">
        <v>9.3641570609339322</v>
      </c>
      <c r="L16" s="2">
        <v>9.0460821298724845</v>
      </c>
      <c r="M16" s="2">
        <v>6.3792496771334868</v>
      </c>
      <c r="N16" s="2">
        <v>8.1111667082917602</v>
      </c>
      <c r="O16" s="4">
        <v>3.8135601479291979E-2</v>
      </c>
      <c r="P16" s="4">
        <v>7.160493827160494E-2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281</v>
      </c>
    </row>
    <row r="17" spans="2:27">
      <c r="B17" s="11" t="s">
        <v>230</v>
      </c>
      <c r="C17" s="11" t="s">
        <v>253</v>
      </c>
      <c r="D17" s="2">
        <v>1.6</v>
      </c>
      <c r="E17" s="12" t="s">
        <v>153</v>
      </c>
      <c r="F17" s="15">
        <v>9.7151920584806817E-2</v>
      </c>
      <c r="G17" s="15">
        <f>F17 - Portfolio_Mgmt!$C$10</f>
        <v>-2.0248079415193188E-2</v>
      </c>
      <c r="H17" s="15">
        <f>F17 - Portfolio_Mgmt!$C$11</f>
        <v>6.2651920584806814E-2</v>
      </c>
      <c r="I17" s="15">
        <v>0</v>
      </c>
      <c r="J17" s="2">
        <v>0.82648230361166808</v>
      </c>
      <c r="K17" s="2">
        <v>2.1131011468081908</v>
      </c>
      <c r="L17" s="2">
        <v>1.7009631025661165</v>
      </c>
      <c r="M17" s="2">
        <v>1.1711712249606363</v>
      </c>
      <c r="N17" s="2">
        <v>1.514587208466269</v>
      </c>
      <c r="O17" s="4">
        <v>5.9922851528355714E-3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3.01</v>
      </c>
      <c r="E18" s="12" t="s">
        <v>153</v>
      </c>
      <c r="F18" s="15">
        <v>1.7738173660958978E-2</v>
      </c>
      <c r="G18" s="15">
        <f>F18 - Portfolio_Mgmt!$C$10</f>
        <v>-9.9661826339041026E-2</v>
      </c>
      <c r="H18" s="15">
        <f>F18 - Portfolio_Mgmt!$C$11</f>
        <v>-1.6761826339041025E-2</v>
      </c>
      <c r="I18" s="15">
        <v>0</v>
      </c>
      <c r="J18" s="2">
        <v>1.2927943625860749</v>
      </c>
      <c r="K18" s="2">
        <v>2.8317160451156438</v>
      </c>
      <c r="L18" s="2">
        <v>2.5701015854844238</v>
      </c>
      <c r="M18" s="2">
        <v>1.7986483095523265</v>
      </c>
      <c r="N18" s="2">
        <v>2.299338097867996</v>
      </c>
      <c r="O18" s="4">
        <v>2.7926675656695769E-2</v>
      </c>
      <c r="P18" s="4">
        <v>3.7135581256694625E-2</v>
      </c>
      <c r="Q18" s="4">
        <v>4.3344545273672035E-2</v>
      </c>
      <c r="R18" s="4">
        <v>8.413063958710644E-2</v>
      </c>
      <c r="S18" s="94">
        <v>0.42808280043619051</v>
      </c>
      <c r="T18" s="93">
        <v>1.2035176992971439</v>
      </c>
      <c r="U18" s="15">
        <v>1.0763175939415467E-2</v>
      </c>
      <c r="V18" s="90">
        <v>0.29882156160837919</v>
      </c>
      <c r="W18" s="85">
        <v>1.908602780679354</v>
      </c>
      <c r="X18" s="13" t="s">
        <v>261</v>
      </c>
      <c r="Y18" s="11" t="s">
        <v>255</v>
      </c>
      <c r="Z18" s="14">
        <v>45900</v>
      </c>
      <c r="AA18" s="11" t="s">
        <v>281</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4.4000000000000004E-2</v>
      </c>
      <c r="D4" s="34">
        <v>7.4999999999999997E-2</v>
      </c>
      <c r="E4" s="35">
        <f>D4-C4</f>
        <v>3.0999999999999993E-2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abSelected="1" topLeftCell="C1" zoomScale="128" zoomScaleNormal="100" workbookViewId="0">
      <selection activeCell="L8" sqref="L8"/>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239918.82+101905.53</f>
        <v>341824.35</v>
      </c>
      <c r="G3" s="72">
        <f>F3/$F$10</f>
        <v>0.37302231366813865</v>
      </c>
      <c r="H3" s="89">
        <f>Portfolio_Mgmt!E61</f>
        <v>0.3</v>
      </c>
      <c r="I3" s="95" t="s">
        <v>293</v>
      </c>
      <c r="J3" s="95" t="s">
        <v>293</v>
      </c>
      <c r="K3" s="95" t="s">
        <v>293</v>
      </c>
      <c r="L3" s="95" t="s">
        <v>293</v>
      </c>
    </row>
    <row r="4" spans="1:12">
      <c r="B4" s="77" t="s">
        <v>242</v>
      </c>
      <c r="C4" s="74">
        <f>VLOOKUP(B4,Opportunities!B$3:E$30,3,FALSE)</f>
        <v>6.84</v>
      </c>
      <c r="D4" s="73" t="str">
        <f>VLOOKUP(B4,Opportunities!B$3:E$30,4,FALSE)</f>
        <v>HKD</v>
      </c>
      <c r="E4" s="70">
        <v>18000</v>
      </c>
      <c r="F4" s="75">
        <f>E4*C4</f>
        <v>123120</v>
      </c>
      <c r="G4" s="72">
        <f>F4/$F$10</f>
        <v>0.13435703822393352</v>
      </c>
      <c r="H4" s="72">
        <f>VLOOKUP(B4,Opportunities!B$3:I$30,8,FALSE)</f>
        <v>0</v>
      </c>
      <c r="I4" s="96">
        <f>VLOOKUP(B4,Opportunities!B$3:N$30,12,FALSE)</f>
        <v>5.8335848262775611</v>
      </c>
      <c r="J4" s="96">
        <f>VLOOKUP(B4,Opportunities!B$3:N$30,9,FALSE)</f>
        <v>4.2096412543778872</v>
      </c>
      <c r="K4" s="96">
        <f>VLOOKUP(B4,Opportunities!B$3:N$30,11,FALSE)</f>
        <v>8.3056833894813096</v>
      </c>
      <c r="L4" s="96">
        <f>VLOOKUP(B4,Opportunities!B$3:N$30,13,FALSE)</f>
        <v>7.4384995510365544</v>
      </c>
    </row>
    <row r="5" spans="1:12">
      <c r="B5" s="77" t="s">
        <v>219</v>
      </c>
      <c r="C5" s="74">
        <f>VLOOKUP(B5,Opportunities!B$3:E$30,3,FALSE)</f>
        <v>15.22</v>
      </c>
      <c r="D5" s="73" t="str">
        <f>VLOOKUP(B5,Opportunities!B$3:E$30,4,FALSE)</f>
        <v>HKD</v>
      </c>
      <c r="E5" s="70">
        <v>9000</v>
      </c>
      <c r="F5" s="75">
        <f>C5*E5</f>
        <v>136980</v>
      </c>
      <c r="G5" s="72">
        <f>F5/$F$10</f>
        <v>0.14948202644504885</v>
      </c>
      <c r="H5" s="72">
        <f>VLOOKUP(B5,Opportunities!B$3:I$30,8,FALSE)</f>
        <v>8.7452418565434731E-2</v>
      </c>
      <c r="I5" s="96">
        <f>VLOOKUP(B5,Opportunities!B$3:N$30,12,FALSE)</f>
        <v>15.269476808175142</v>
      </c>
      <c r="J5" s="96">
        <f>VLOOKUP(B5,Opportunities!B$3:N$30,9,FALSE)</f>
        <v>10.888184270030205</v>
      </c>
      <c r="K5" s="96">
        <f>VLOOKUP(B5,Opportunities!B$3:N$30,11,FALSE)</f>
        <v>21.974579130995611</v>
      </c>
      <c r="L5" s="96">
        <f>VLOOKUP(B5,Opportunities!B$3:N$30,13,FALSE)</f>
        <v>19.618789844832396</v>
      </c>
    </row>
    <row r="6" spans="1:12">
      <c r="B6" s="77" t="s">
        <v>267</v>
      </c>
      <c r="C6" s="74">
        <f>VLOOKUP(B6,Opportunities!B$3:E$30,3,FALSE)</f>
        <v>18.28</v>
      </c>
      <c r="D6" s="73" t="str">
        <f>VLOOKUP(B6,Opportunities!B$3:E$30,4,FALSE)</f>
        <v>HKD</v>
      </c>
      <c r="E6" s="70">
        <v>8000</v>
      </c>
      <c r="F6" s="75">
        <f>C6*E6</f>
        <v>146240</v>
      </c>
      <c r="G6" s="72">
        <f>F6/$F$10</f>
        <v>0.15958717730562086</v>
      </c>
      <c r="H6" s="72">
        <f>VLOOKUP(B6,Opportunities!B$3:I$30,8,FALSE)</f>
        <v>0.18358137909804606</v>
      </c>
      <c r="I6" s="96">
        <f>VLOOKUP(B6,Opportunities!B$3:N$30,12,FALSE)</f>
        <v>18.596727617775983</v>
      </c>
      <c r="J6" s="96">
        <f>VLOOKUP(B6,Opportunities!B$3:N$30,9,FALSE)</f>
        <v>13.417941074303926</v>
      </c>
      <c r="K6" s="96">
        <f>VLOOKUP(B6,Opportunities!B$3:N$30,11,FALSE)</f>
        <v>26.480802740496394</v>
      </c>
      <c r="L6" s="96">
        <f>VLOOKUP(B6,Opportunities!B$3:N$30,13,FALSE)</f>
        <v>23.715106617105675</v>
      </c>
    </row>
    <row r="7" spans="1:12">
      <c r="B7" s="77" t="s">
        <v>256</v>
      </c>
      <c r="C7" s="74">
        <f>VLOOKUP(B7,Opportunities!B$3:E$30,3,FALSE)</f>
        <v>1.91</v>
      </c>
      <c r="D7" s="73" t="str">
        <f>VLOOKUP(B7,Opportunities!B$3:E$30,4,FALSE)</f>
        <v>HKD</v>
      </c>
      <c r="E7" s="70">
        <f>2000*30</f>
        <v>60000</v>
      </c>
      <c r="F7" s="75">
        <f>C7*E7</f>
        <v>114600</v>
      </c>
      <c r="G7" s="72">
        <f>F7/$F$10</f>
        <v>0.12505942641701415</v>
      </c>
      <c r="H7" s="72">
        <f>VLOOKUP(B7,Opportunities!B$3:I$30,8,FALSE)</f>
        <v>0.19757495593838739</v>
      </c>
      <c r="I7" s="96">
        <f>VLOOKUP(B7,Opportunities!B$3:N$30,12,FALSE)</f>
        <v>2.0232529432069382</v>
      </c>
      <c r="J7" s="96">
        <f>VLOOKUP(B7,Opportunities!B$3:N$30,9,FALSE)</f>
        <v>1.4488182088302848</v>
      </c>
      <c r="K7" s="96">
        <f>VLOOKUP(B7,Opportunities!B$3:N$30,11,FALSE)</f>
        <v>2.9007535431991962</v>
      </c>
      <c r="L7" s="96">
        <f>VLOOKUP(B7,Opportunities!B$3:N$30,13,FALSE)</f>
        <v>2.5926175544523851</v>
      </c>
    </row>
    <row r="8" spans="1:12">
      <c r="B8" s="77" t="s">
        <v>284</v>
      </c>
      <c r="C8" s="74">
        <f>VLOOKUP(B8,Opportunities!B$3:E$30,3,FALSE)</f>
        <v>5.36</v>
      </c>
      <c r="D8" s="73" t="str">
        <f>VLOOKUP(B8,Opportunities!B$3:E$30,4,FALSE)</f>
        <v>HKD</v>
      </c>
      <c r="E8" s="70">
        <v>10000</v>
      </c>
      <c r="F8" s="75">
        <f>C8*E8</f>
        <v>53600</v>
      </c>
      <c r="G8" s="72">
        <f t="shared" ref="G8" si="0">F8/$F$10</f>
        <v>5.8492017940243966E-2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66"/>
      <c r="C9" s="69"/>
      <c r="D9" s="66"/>
      <c r="H9" s="88"/>
    </row>
    <row r="10" spans="1:12" ht="13.15">
      <c r="B10" s="78"/>
      <c r="C10" s="79"/>
      <c r="D10" s="78"/>
      <c r="E10" s="80" t="s">
        <v>222</v>
      </c>
      <c r="F10" s="80">
        <f>SUM(F3:F8)</f>
        <v>916364.35</v>
      </c>
      <c r="G10" s="81">
        <f>SUM(G3:G8)</f>
        <v>1</v>
      </c>
      <c r="H10" s="87">
        <f>SUM(H3:H8)</f>
        <v>0.76860875360186809</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2.68</v>
      </c>
      <c r="D13" s="73" t="str">
        <f>VLOOKUP(B13,Opportunities!B$3:E$30,4,FALSE)</f>
        <v>HKD</v>
      </c>
      <c r="E13" s="70">
        <f>2000*10</f>
        <v>20000</v>
      </c>
      <c r="F13" s="75">
        <f>-C13*E13</f>
        <v>-53600</v>
      </c>
      <c r="G13" s="72">
        <f>-F13/$F$10</f>
        <v>5.8492017940243966E-2</v>
      </c>
      <c r="H13" s="72">
        <f>VLOOKUP(B13,Opportunities!B$3:I$30,8,FALSE)</f>
        <v>0.2313912463981318</v>
      </c>
      <c r="I13" s="96">
        <f>VLOOKUP(B13,Opportunities!B$3:N$30,12,FALSE)</f>
        <v>3.101365529948271</v>
      </c>
      <c r="J13" s="96">
        <f>VLOOKUP(B13,Opportunities!B$3:N$30,9,FALSE)</f>
        <v>2.2516930066250125</v>
      </c>
      <c r="K13" s="96">
        <f>VLOOKUP(B13,Opportunities!B$3:N$30,11,FALSE)</f>
        <v>4.3910827513866675</v>
      </c>
      <c r="L13" s="96">
        <f>VLOOKUP(B13,Opportunities!B$3:N$30,13,FALSE)</f>
        <v>3.939054009870663</v>
      </c>
    </row>
    <row r="14" spans="1:12">
      <c r="B14" s="77" t="s">
        <v>242</v>
      </c>
      <c r="C14" s="74">
        <f>VLOOKUP(B14,Opportunities!B$3:E$30,3,FALSE)</f>
        <v>6.84</v>
      </c>
      <c r="D14" s="73" t="str">
        <f>VLOOKUP(B14,Opportunities!B$3:E$30,4,FALSE)</f>
        <v>HKD</v>
      </c>
      <c r="E14" s="70">
        <v>-8000</v>
      </c>
      <c r="F14" s="75">
        <f>-C14*E14</f>
        <v>54720</v>
      </c>
      <c r="G14" s="72">
        <f>-F14/$F$10</f>
        <v>-5.9714239210637121E-2</v>
      </c>
      <c r="H14" s="72">
        <f>VLOOKUP(B14,Opportunities!B$3:I$30,8,FALSE)</f>
        <v>0</v>
      </c>
      <c r="I14" s="96">
        <f>VLOOKUP(B14,Opportunities!B$3:N$30,12,FALSE)</f>
        <v>5.8335848262775611</v>
      </c>
      <c r="J14" s="96">
        <f>VLOOKUP(B14,Opportunities!B$3:N$30,9,FALSE)</f>
        <v>4.2096412543778872</v>
      </c>
      <c r="K14" s="96">
        <f>VLOOKUP(B14,Opportunities!B$3:N$30,11,FALSE)</f>
        <v>8.3056833894813096</v>
      </c>
      <c r="L14" s="96">
        <f>VLOOKUP(B14,Opportunities!B$3:N$30,13,FALSE)</f>
        <v>7.4384995510365544</v>
      </c>
    </row>
    <row r="15" spans="1:12">
      <c r="B15" s="77" t="s">
        <v>284</v>
      </c>
      <c r="C15" s="74">
        <f>VLOOKUP(B15,Opportunities!B$3:E$30,3,FALSE)</f>
        <v>5.36</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18.28</v>
      </c>
      <c r="D16" s="73" t="str">
        <f>VLOOKUP(B16,Opportunities!B$3:E$30,4,FALSE)</f>
        <v>HKD</v>
      </c>
      <c r="E16" s="70">
        <v>2000</v>
      </c>
      <c r="F16" s="75">
        <f>-C16*E16</f>
        <v>-36560</v>
      </c>
      <c r="G16" s="72">
        <f>-F16/$F$10</f>
        <v>3.9896794326405215E-2</v>
      </c>
      <c r="H16" s="72">
        <f>VLOOKUP(B16,Opportunities!B$3:I$30,8,FALSE)</f>
        <v>0.18358137909804606</v>
      </c>
      <c r="I16" s="96">
        <f>VLOOKUP(B16,Opportunities!B$3:N$30,12,FALSE)</f>
        <v>18.596727617775983</v>
      </c>
      <c r="J16" s="96">
        <f>VLOOKUP(B16,Opportunities!B$3:N$30,9,FALSE)</f>
        <v>13.417941074303926</v>
      </c>
      <c r="K16" s="96">
        <f>VLOOKUP(B16,Opportunities!B$3:N$30,11,FALSE)</f>
        <v>26.480802740496394</v>
      </c>
      <c r="L16" s="96">
        <f>VLOOKUP(B16,Opportunities!B$3:N$30,13,FALSE)</f>
        <v>23.715106617105675</v>
      </c>
    </row>
    <row r="17" spans="2:12">
      <c r="G17" s="86"/>
      <c r="H17" s="86"/>
    </row>
    <row r="18" spans="2:12" ht="13.15">
      <c r="B18" s="82" t="s">
        <v>221</v>
      </c>
      <c r="C18" s="83" t="s">
        <v>215</v>
      </c>
      <c r="D18" s="84" t="s">
        <v>153</v>
      </c>
      <c r="E18" s="83" t="s">
        <v>215</v>
      </c>
      <c r="F18" s="80">
        <f>F3+SUM(F13:F15)</f>
        <v>342944.35</v>
      </c>
      <c r="G18" s="87">
        <f t="shared" ref="G18" si="1">F18/$F$10</f>
        <v>0.37424453493853183</v>
      </c>
      <c r="H18" s="87">
        <f>Portfolio_Mgmt!E61</f>
        <v>0.3</v>
      </c>
      <c r="I18" s="97" t="s">
        <v>293</v>
      </c>
      <c r="J18" s="97" t="s">
        <v>293</v>
      </c>
      <c r="K18" s="97" t="s">
        <v>293</v>
      </c>
      <c r="L18" s="97" t="s">
        <v>293</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101"/>
      <c r="D5" s="101"/>
    </row>
    <row r="6" spans="1:4">
      <c r="B6" s="111" t="s">
        <v>102</v>
      </c>
      <c r="C6" s="101"/>
      <c r="D6" s="101"/>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2025-06-07T06:28:26Z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