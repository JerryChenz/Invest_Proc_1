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0F2ECBF9-0A2A-4AB2-AED2-739866E234A8}" xr6:coauthVersionLast="47" xr6:coauthVersionMax="47" xr10:uidLastSave="{00000000-0000-0000-0000-000000000000}"/>
  <bookViews>
    <workbookView xWindow="-98" yWindow="-98" windowWidth="17115" windowHeight="10755" firstSheet="1" activeTab="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5" i="5" l="1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0" i="10" l="1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<sst xmlns="http://schemas.openxmlformats.org/spreadsheetml/2006/main" count="475" uniqueCount="387">
  <si>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</si>
  <si>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</si>
  <si>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</si>
  <si>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</si>
  <si>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</si>
  <si>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</si>
  <si>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</si>
  <si>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</si>
  <si>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</si>
  <si>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</si>
  <si>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</si>
  <si>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</si>
  <si>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</si>
  <si>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</si>
  <si>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</si>
  <si>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</si>
  <si>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</si>
  <si>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</si>
  <si>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</si>
  <si>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</si>
  <si>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</si>
  <si>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</si>
  <si>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</si>
  <si>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</si>
  <si>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</si>
  <si>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</si>
  <si>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</si>
  <si>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</si>
  <si>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</si>
  <si>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</si>
  <si>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</si>
  <si>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</si>
  <si>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</si>
  <si>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</si>
  <si>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</si>
  <si>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</si>
  <si>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</si>
  <si>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</si>
  <si>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</si>
  <si>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</si>
  <si>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</si>
  <si>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</si>
  <si>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</si>
  <si>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</si>
  <si>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</si>
  <si>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</si>
  <si>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</si>
  <si>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</si>
  <si>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</si>
  <si>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</si>
  <si>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</si>
  <si>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</si>
  <si>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</si>
  <si>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</si>
  <si>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</si>
  <si>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</si>
  <si>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</si>
  <si>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</si>
  <si>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</si>
  <si>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</si>
  <si>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</si>
  <si>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</si>
  <si>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</si>
  <si>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</si>
  <si>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</si>
  <si>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</si>
  <si>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</si>
  <si>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</si>
  <si>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</si>
  <si>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</si>
  <si>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</si>
  <si>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</si>
  <si>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</si>
  <si>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</si>
  <si>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</si>
  <si>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</si>
  <si>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</si>
  <si>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</si>
  <si>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</si>
  <si>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</si>
  <si>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</si>
  <si>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</si>
  <si>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</si>
  <si>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</si>
  <si>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</si>
  <si>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</si>
  <si>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</si>
  <si>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</si>
  <si>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</si>
  <si>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</si>
  <si>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</si>
  <si>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</si>
  <si>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</si>
  <si>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</si>
  <si>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</si>
  <si>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</si>
  <si>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</si>
  <si>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</si>
  <si>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</si>
  <si>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</si>
  <si>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</si>
  <si>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</si>
  <si>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</si>
  <si>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</si>
  <si>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</si>
  <si>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</si>
  <si>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</si>
  <si>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</si>
  <si>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</si>
  <si>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</si>
  <si>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</si>
  <si>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</si>
  <si>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</si>
  <si>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</si>
  <si>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</si>
  <si>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</si>
  <si>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</si>
  <si>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</si>
  <si>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</si>
  <si>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</si>
  <si>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</si>
  <si>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</si>
  <si>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</si>
  <si>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</si>
  <si>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</si>
  <si>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</si>
  <si>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</si>
  <si>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</si>
  <si>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</si>
  <si>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</si>
  <si>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</si>
  <si>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</si>
  <si>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</si>
  <si>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</si>
  <si>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</si>
  <si>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</si>
  <si>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</si>
  <si>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</si>
  <si>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</si>
  <si>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</si>
  <si>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</si>
  <si>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</si>
  <si>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</si>
  <si>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</si>
  <si>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</si>
  <si>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</si>
  <si>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</si>
  <si>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</si>
  <si>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</si>
  <si>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</si>
  <si>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</si>
  <si>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</si>
  <si>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</si>
  <si>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</si>
  <si>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</si>
  <si>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</si>
  <si>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</si>
  <si>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</si>
  <si>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</si>
  <si>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</si>
  <si>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</si>
  <si>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</si>
  <si>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</si>
  <si>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</si>
  <si>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</si>
  <si>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</si>
  <si>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</si>
  <si>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</si>
  <si>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</si>
  <si>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</si>
  <si>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</si>
  <si>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</si>
  <si>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</si>
  <si>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</si>
  <si>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</si>
  <si>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</si>
  <si>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</si>
  <si>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</si>
  <si>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</si>
  <si>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</si>
  <si>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</si>
  <si>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</si>
  <si>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</si>
  <si>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</si>
  <si>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</si>
  <si>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</si>
  <si>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</si>
  <si>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</si>
  <si>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</si>
  <si>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</si>
  <si>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</si>
  <si>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</si>
  <si>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</si>
  <si>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</si>
  <si>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</si>
  <si>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</si>
  <si>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</si>
  <si>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</si>
  <si>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</si>
  <si>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</si>
  <si>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</si>
  <si>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</si>
  <si>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</si>
  <si>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</si>
  <si>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</si>
  <si>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</si>
  <si>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</si>
  <si>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</si>
  <si>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</si>
  <si>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</si>
  <si>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</si>
  <si>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</si>
  <si>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</si>
  <si>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</si>
  <si>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</si>
  <si>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</si>
  <si>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</si>
  <si>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</si>
  <si>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</si>
  <si>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</si>
  <si>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</si>
  <si>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</si>
  <si>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</si>
  <si>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</si>
  <si>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</si>
  <si>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</si>
  <si>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</si>
  <si>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</si>
  <si>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</si>
  <si>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</si>
  <si>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</si>
  <si>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</si>
  <si>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</si>
  <si>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</si>
  <si>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</si>
  <si>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</si>
  <si>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</si>
  <si>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</si>
  <si>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</si>
  <si>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</si>
  <si>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</si>
  <si>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</si>
  <si>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</si>
  <si>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</si>
  <si>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</si>
  <si>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</si>
  <si>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</si>
  <si>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</si>
  <si>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</si>
  <si>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</si>
  <si>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</si>
  <si>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</si>
  <si>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</si>
  <si>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</si>
  <si>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</si>
  <si>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</si>
  <si>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</si>
  <si>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</si>
  <si>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</si>
  <si>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</si>
  <si>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</si>
  <si>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</si>
  <si>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</si>
  <si>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</si>
  <si>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</si>
  <si>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</si>
  <si>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</si>
  <si>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</si>
  <si>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</si>
  <si>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</si>
  <si>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</si>
  <si>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</si>
  <si>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</si>
  <si>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</si>
  <si>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</si>
  <si>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</si>
  <si>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</si>
  <si>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</si>
  <si>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</si>
  <si>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</si>
  <si>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</si>
  <si>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</si>
  <si>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</si>
  <si>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</si>
  <si>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</si>
  <si>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</si>
  <si>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</si>
  <si>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</si>
  <si>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</si>
  <si>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</si>
  <si>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</si>
  <si>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</si>
  <si>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</si>
  <si>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</si>
  <si>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</si>
  <si>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</si>
  <si>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</si>
  <si>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</si>
  <si>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</si>
  <si>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</si>
  <si>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</si>
  <si>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</si>
  <si>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</si>
  <si>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</si>
  <si>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</si>
  <si>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</si>
  <si>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</si>
  <si>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</si>
  <si>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</si>
  <si>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</si>
  <si>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</si>
  <si>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</si>
  <si>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</si>
  <si>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</si>
  <si>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</si>
  <si>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</si>
  <si>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</si>
  <si>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</si>
  <si>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</si>
  <si>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</si>
  <si>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</si>
  <si>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</si>
  <si>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</si>
  <si>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</si>
  <si>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</si>
  <si>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</si>
  <si>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</si>
  <si>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</si>
  <si>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</si>
  <si>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</si>
  <si>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</si>
  <si>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</si>
  <si>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</si>
  <si>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</si>
  <si>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</si>
  <si>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</si>
  <si>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</si>
  <si>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</si>
  <si>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</si>
  <si>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</si>
  <si>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</si>
  <si>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</si>
  <si>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</si>
  <si>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</si>
  <si>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</si>
  <si>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</si>
  <si>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</si>
  <si>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</si>
  <si>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</si>
  <si>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</si>
  <si>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</si>
  <si>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</si>
  <si>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</si>
  <si>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</si>
  <si>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</si>
  <si>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</si>
  <si>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</si>
  <si>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</si>
  <si>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</si>
  <si>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</si>
  <si>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</si>
  <si>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</si>
  <si>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</si>
  <si>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</si>
  <si>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</si>
  <si>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</si>
  <si>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</si>
  <si>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</si>
  <si>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</si>
  <si>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</si>
  <si>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</si>
  <si>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</si>
  <si>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</si>
  <si>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</si>
  <si>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</si>
  <si>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</si>
  <si>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</si>
  <si>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</si>
  <si>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</si>
  <si>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</si>
  <si>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</si>
  <si>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</si>
  <si>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</si>
  <si>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</si>
  <si>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0135.HK</t>
  </si>
  <si>
    <t>昆仑能源</t>
  </si>
  <si>
    <t>ENG_03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</si>
</sst>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19" sqref="D19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2.7</v>
      </c>
      <c r="E3" s="12" t="s">
        <v>136</v>
      </c>
      <c r="F3" s="15">
        <v>0.27029639042727904</v>
      </c>
      <c r="G3" s="15">
        <f>F3 - Portfolio_Mgmt!$C$10</f>
        <v>0.15289639042727904</v>
      </c>
      <c r="H3" s="15">
        <f>F3 - Portfolio_Mgmt!$C$11</f>
        <v>0.23579639042727904</v>
      </c>
      <c r="I3" s="15">
        <v>0.1300357550394142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7.942944827402687E-2</v>
      </c>
      <c r="P3" s="4">
        <v>0.1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384</v>
      </c>
      <c r="C4" s="11" t="s">
        <v>385</v>
      </c>
      <c r="D4" s="2">
        <v>7.24</v>
      </c>
      <c r="E4" s="12" t="s">
        <v>136</v>
      </c>
      <c r="F4" s="15">
        <v>0.25430003593741213</v>
      </c>
      <c r="G4" s="15">
        <f>F4 - Portfolio_Mgmt!$C$10</f>
        <v>0.13690003593741212</v>
      </c>
      <c r="H4" s="15">
        <f>F4 - Portfolio_Mgmt!$C$11</f>
        <v>0.21980003593741212</v>
      </c>
      <c r="I4" s="15">
        <v>5.338186026719275E-2</v>
      </c>
      <c r="J4" s="2">
        <v>5.8552437306918286</v>
      </c>
      <c r="K4" s="2">
        <v>12.966172607509471</v>
      </c>
      <c r="L4" s="74">
        <v>11.334694716910828</v>
      </c>
      <c r="M4" s="2">
        <v>7.3123122705118568</v>
      </c>
      <c r="N4" s="2">
        <v>10.126224228531502</v>
      </c>
      <c r="O4" s="4">
        <v>0.12603531807473087</v>
      </c>
      <c r="P4" s="4">
        <v>4.766551203093921E-2</v>
      </c>
      <c r="Q4" s="4">
        <v>0.20035929880424613</v>
      </c>
      <c r="R4" s="4">
        <v>9.7688904002608157E-2</v>
      </c>
      <c r="S4" s="82">
        <v>1.2706604365715879</v>
      </c>
      <c r="T4" s="81">
        <v>1.6141160578600777</v>
      </c>
      <c r="U4" s="15">
        <v>0.27330444081724548</v>
      </c>
      <c r="V4" s="79">
        <v>1.3936222417470483</v>
      </c>
      <c r="W4" s="74">
        <v>-3.1912811368073881</v>
      </c>
      <c r="X4" s="13" t="s">
        <v>201</v>
      </c>
      <c r="Y4" s="11" t="s">
        <v>137</v>
      </c>
      <c r="Z4" s="14">
        <v>45900</v>
      </c>
      <c r="AA4" s="16" t="s">
        <v>225</v>
      </c>
    </row>
    <row r="5" spans="1:27">
      <c r="B5" s="11" t="s">
        <v>210</v>
      </c>
      <c r="C5" s="11" t="s">
        <v>211</v>
      </c>
      <c r="D5" s="2">
        <v>19.95</v>
      </c>
      <c r="E5" s="12" t="s">
        <v>136</v>
      </c>
      <c r="F5" s="15">
        <v>0.18165836160385518</v>
      </c>
      <c r="G5" s="15">
        <f>F5 - Portfolio_Mgmt!$C$10</f>
        <v>6.4258361603855174E-2</v>
      </c>
      <c r="H5" s="15">
        <f>F5 - Portfolio_Mgmt!$C$11</f>
        <v>0.14715836160385518</v>
      </c>
      <c r="I5" s="15">
        <v>0</v>
      </c>
      <c r="J5" s="2">
        <v>13.683273568988398</v>
      </c>
      <c r="K5" s="2">
        <v>28.408634207299833</v>
      </c>
      <c r="L5" s="74">
        <v>26.144492802736732</v>
      </c>
      <c r="M5" s="2">
        <v>17.004740714137515</v>
      </c>
      <c r="N5" s="2">
        <v>23.402063758120693</v>
      </c>
      <c r="O5" s="4">
        <v>0.10361237111567581</v>
      </c>
      <c r="P5" s="4">
        <v>6.3157894736842107E-2</v>
      </c>
      <c r="Q5" s="4">
        <v>0.16035109536268838</v>
      </c>
      <c r="R5" s="4">
        <v>0.31929962351402291</v>
      </c>
      <c r="S5" s="82">
        <v>0.35631048934895165</v>
      </c>
      <c r="T5" s="81">
        <v>1.4094345614568822</v>
      </c>
      <c r="U5" s="15">
        <v>0.12260820136742831</v>
      </c>
      <c r="V5" s="79">
        <v>0.75207444874659302</v>
      </c>
      <c r="W5" s="74">
        <v>-0.4580186528638408</v>
      </c>
      <c r="X5" s="13" t="s">
        <v>162</v>
      </c>
      <c r="Y5" s="11" t="s">
        <v>137</v>
      </c>
      <c r="Z5" s="14">
        <v>45900</v>
      </c>
      <c r="AA5" s="16" t="s">
        <v>224</v>
      </c>
    </row>
    <row r="6" spans="1:27">
      <c r="B6" s="11" t="s">
        <v>187</v>
      </c>
      <c r="C6" s="11" t="s">
        <v>188</v>
      </c>
      <c r="D6" s="2">
        <v>3.48</v>
      </c>
      <c r="E6" s="12" t="s">
        <v>136</v>
      </c>
      <c r="F6" s="15">
        <v>0.17745745144380831</v>
      </c>
      <c r="G6" s="15">
        <f>F6 - Portfolio_Mgmt!$C$10</f>
        <v>6.0057451443808307E-2</v>
      </c>
      <c r="H6" s="15">
        <f>F6 - Portfolio_Mgmt!$C$11</f>
        <v>0.14295745144380831</v>
      </c>
      <c r="I6" s="15">
        <v>0</v>
      </c>
      <c r="J6" s="2">
        <v>2.3406091587746096</v>
      </c>
      <c r="K6" s="2">
        <v>5.2246962590200807</v>
      </c>
      <c r="L6" s="74">
        <v>4.5385417708791076</v>
      </c>
      <c r="M6" s="2">
        <v>2.9249004846182811</v>
      </c>
      <c r="N6" s="2">
        <v>4.0536685441183486</v>
      </c>
      <c r="O6" s="4">
        <v>8.1598430288415097E-2</v>
      </c>
      <c r="P6" s="4">
        <v>3.6781609195402298E-2</v>
      </c>
      <c r="Q6" s="4">
        <v>0.10112859174992994</v>
      </c>
      <c r="R6" s="4">
        <v>5.8835781303360896E-2</v>
      </c>
      <c r="S6" s="82">
        <v>1.2277297326073906</v>
      </c>
      <c r="T6" s="81">
        <v>1.4000052396569989</v>
      </c>
      <c r="U6" s="15">
        <v>0.10646655543311496</v>
      </c>
      <c r="V6" s="79">
        <v>0.9804830051022897</v>
      </c>
      <c r="W6" s="74">
        <v>1.6698226477450393</v>
      </c>
      <c r="X6" s="13" t="s">
        <v>189</v>
      </c>
      <c r="Y6" s="11" t="s">
        <v>137</v>
      </c>
      <c r="Z6" s="14">
        <v>45808</v>
      </c>
      <c r="AA6" s="16" t="s">
        <v>225</v>
      </c>
    </row>
    <row r="7" spans="1:27">
      <c r="B7" s="11" t="s">
        <v>182</v>
      </c>
      <c r="C7" s="11" t="s">
        <v>183</v>
      </c>
      <c r="D7" s="2">
        <v>51.6</v>
      </c>
      <c r="E7" s="12" t="s">
        <v>136</v>
      </c>
      <c r="F7" s="15">
        <v>0.15383216523003118</v>
      </c>
      <c r="G7" s="15">
        <f>F7 - Portfolio_Mgmt!$C$10</f>
        <v>3.6432165230031177E-2</v>
      </c>
      <c r="H7" s="15">
        <f>F7 - Portfolio_Mgmt!$C$11</f>
        <v>0.11933216523003118</v>
      </c>
      <c r="I7" s="15">
        <v>0</v>
      </c>
      <c r="J7" s="2">
        <v>32.72252813885757</v>
      </c>
      <c r="K7" s="2">
        <v>72.949532857094397</v>
      </c>
      <c r="L7" s="74">
        <v>63.433392945804343</v>
      </c>
      <c r="M7" s="2">
        <v>40.886991757306227</v>
      </c>
      <c r="N7" s="2">
        <v>56.658734082919899</v>
      </c>
      <c r="O7" s="4">
        <v>4.4683549897844101E-2</v>
      </c>
      <c r="P7" s="4">
        <v>3.5114362276753491E-2</v>
      </c>
      <c r="Q7" s="4">
        <v>0.13507620196614034</v>
      </c>
      <c r="R7" s="4">
        <v>0.12563594654098015</v>
      </c>
      <c r="S7" s="82">
        <v>0.62432788948992113</v>
      </c>
      <c r="T7" s="81">
        <v>1.7220755031358876</v>
      </c>
      <c r="U7" s="15">
        <v>9.5579625064196368E-3</v>
      </c>
      <c r="V7" s="79">
        <v>7.3592411949940734E-2</v>
      </c>
      <c r="W7" s="74">
        <v>1.3582107661935237</v>
      </c>
      <c r="X7" s="13" t="s">
        <v>181</v>
      </c>
      <c r="Y7" s="11" t="s">
        <v>137</v>
      </c>
      <c r="Z7" s="14">
        <v>45900</v>
      </c>
      <c r="AA7" s="16" t="s">
        <v>225</v>
      </c>
    </row>
    <row r="8" spans="1:27">
      <c r="B8" s="11" t="s">
        <v>199</v>
      </c>
      <c r="C8" s="11" t="s">
        <v>200</v>
      </c>
      <c r="D8" s="2">
        <v>2.4300000000000002</v>
      </c>
      <c r="E8" s="12" t="s">
        <v>136</v>
      </c>
      <c r="F8" s="15">
        <v>0.13933878268107924</v>
      </c>
      <c r="G8" s="15">
        <f>F8 - Portfolio_Mgmt!$C$10</f>
        <v>2.1938782681079239E-2</v>
      </c>
      <c r="H8" s="15">
        <f>F8 - Portfolio_Mgmt!$C$11</f>
        <v>0.10483878268107924</v>
      </c>
      <c r="I8" s="15">
        <v>0</v>
      </c>
      <c r="J8" s="2">
        <v>1.4875973281985806</v>
      </c>
      <c r="K8" s="2">
        <v>3.2845222763665833</v>
      </c>
      <c r="L8" s="74">
        <v>2.8779582387394989</v>
      </c>
      <c r="M8" s="2">
        <v>1.8573554054996908</v>
      </c>
      <c r="N8" s="2">
        <v>2.5713497590088648</v>
      </c>
      <c r="O8" s="4">
        <v>5.552126484796073E-2</v>
      </c>
      <c r="P8" s="4">
        <v>3.7037037037037042E-2</v>
      </c>
      <c r="Q8" s="4">
        <v>4.7832973362251327E-2</v>
      </c>
      <c r="R8" s="4">
        <v>7.8104812973574481E-2</v>
      </c>
      <c r="S8" s="82">
        <v>0.49619793491400876</v>
      </c>
      <c r="T8" s="81">
        <v>1.2342258232843137</v>
      </c>
      <c r="U8" s="15">
        <v>0.10863424600069688</v>
      </c>
      <c r="V8" s="79">
        <v>2.2824569622635926</v>
      </c>
      <c r="W8" s="74">
        <v>1.8461325192664553</v>
      </c>
      <c r="X8" s="13" t="s">
        <v>386</v>
      </c>
      <c r="Y8" s="11" t="s">
        <v>137</v>
      </c>
      <c r="Z8" s="14">
        <v>45900</v>
      </c>
      <c r="AA8" s="16" t="s">
        <v>225</v>
      </c>
    </row>
    <row r="9" spans="1:27">
      <c r="B9" s="11" t="s">
        <v>163</v>
      </c>
      <c r="C9" s="11" t="s">
        <v>192</v>
      </c>
      <c r="D9" s="2">
        <v>18.77</v>
      </c>
      <c r="E9" s="12" t="s">
        <v>136</v>
      </c>
      <c r="F9" s="15">
        <v>0.13222557536598045</v>
      </c>
      <c r="G9" s="15">
        <f>F9 - Portfolio_Mgmt!$C$10</f>
        <v>1.4825575365980448E-2</v>
      </c>
      <c r="H9" s="15">
        <f>F9 - Portfolio_Mgmt!$C$11</f>
        <v>9.7725575365980449E-2</v>
      </c>
      <c r="I9" s="15">
        <v>0</v>
      </c>
      <c r="J9" s="2">
        <v>11.221362515963392</v>
      </c>
      <c r="K9" s="2">
        <v>25.599132529132678</v>
      </c>
      <c r="L9" s="74">
        <v>21.858799776173839</v>
      </c>
      <c r="M9" s="2">
        <v>14.046909823316083</v>
      </c>
      <c r="N9" s="2">
        <v>19.510441425116817</v>
      </c>
      <c r="O9" s="4">
        <v>5.4501701368688101E-2</v>
      </c>
      <c r="P9" s="4">
        <v>2.5659896340082936E-2</v>
      </c>
      <c r="Q9" s="4">
        <v>0.12359675607470322</v>
      </c>
      <c r="R9" s="4">
        <v>0.12331915946872304</v>
      </c>
      <c r="S9" s="82">
        <v>0.73266920679685343</v>
      </c>
      <c r="T9" s="81">
        <v>1.3679448142367923</v>
      </c>
      <c r="U9" s="15">
        <v>7.4171010848313429E-2</v>
      </c>
      <c r="V9" s="79">
        <v>0.60402076709908736</v>
      </c>
      <c r="W9" s="74">
        <v>4.6069279649798132</v>
      </c>
      <c r="X9" s="13" t="s">
        <v>181</v>
      </c>
      <c r="Y9" s="11" t="s">
        <v>137</v>
      </c>
      <c r="Z9" s="14">
        <v>45900</v>
      </c>
      <c r="AA9" s="16" t="s">
        <v>224</v>
      </c>
    </row>
    <row r="10" spans="1:27">
      <c r="B10" s="11" t="s">
        <v>205</v>
      </c>
      <c r="C10" s="11" t="s">
        <v>216</v>
      </c>
      <c r="D10" s="2">
        <v>23.64</v>
      </c>
      <c r="E10" s="12" t="s">
        <v>206</v>
      </c>
      <c r="F10" s="15">
        <v>0.13140279900680429</v>
      </c>
      <c r="G10" s="15">
        <f>F10 - Portfolio_Mgmt!$C$10</f>
        <v>1.400279900680429E-2</v>
      </c>
      <c r="H10" s="15">
        <f>F10 - Portfolio_Mgmt!$C$11</f>
        <v>9.6902799006804291E-2</v>
      </c>
      <c r="I10" s="15">
        <v>0</v>
      </c>
      <c r="J10" s="2">
        <v>14.005438973829049</v>
      </c>
      <c r="K10" s="2">
        <v>33.245001875234657</v>
      </c>
      <c r="L10" s="74">
        <v>27.517314961638828</v>
      </c>
      <c r="M10" s="2">
        <v>17.589207488120145</v>
      </c>
      <c r="N10" s="2">
        <v>24.530440005494061</v>
      </c>
      <c r="O10" s="4">
        <v>0.19284947323765625</v>
      </c>
      <c r="P10" s="4">
        <v>1.2303891708967849E-2</v>
      </c>
      <c r="Q10" s="4">
        <v>0.18752610102828118</v>
      </c>
      <c r="R10" s="4">
        <v>0.23497655430253014</v>
      </c>
      <c r="S10" s="82">
        <v>0.32112750263435197</v>
      </c>
      <c r="T10" s="81">
        <v>2.4851905363915479</v>
      </c>
      <c r="U10" s="15">
        <v>0.95241105291674188</v>
      </c>
      <c r="V10" s="79">
        <v>4.0148803043206254</v>
      </c>
      <c r="W10" s="74">
        <v>-38.360607814419353</v>
      </c>
      <c r="X10" s="16" t="s">
        <v>207</v>
      </c>
      <c r="Y10" s="11" t="s">
        <v>137</v>
      </c>
      <c r="Z10" s="14">
        <v>45900</v>
      </c>
      <c r="AA10" s="16" t="s">
        <v>225</v>
      </c>
    </row>
    <row r="11" spans="1:27">
      <c r="B11" s="11" t="s">
        <v>208</v>
      </c>
      <c r="C11" s="11" t="s">
        <v>217</v>
      </c>
      <c r="D11" s="2">
        <v>27.97</v>
      </c>
      <c r="E11" s="12" t="s">
        <v>206</v>
      </c>
      <c r="F11" s="15">
        <v>0.1153493608463394</v>
      </c>
      <c r="G11" s="15">
        <f>F11 - Portfolio_Mgmt!$C$10</f>
        <v>-2.050639153660605E-3</v>
      </c>
      <c r="H11" s="15">
        <f>F11 - Portfolio_Mgmt!$C$11</f>
        <v>8.0849360846339396E-2</v>
      </c>
      <c r="I11" s="15">
        <v>0</v>
      </c>
      <c r="J11" s="2">
        <v>16.032459211529339</v>
      </c>
      <c r="K11" s="2">
        <v>36.174621832566501</v>
      </c>
      <c r="L11" s="74">
        <v>31.157956372196864</v>
      </c>
      <c r="M11" s="2">
        <v>20.051774378274047</v>
      </c>
      <c r="N11" s="2">
        <v>27.820017012608126</v>
      </c>
      <c r="O11" s="4">
        <v>9.0781816495638101E-2</v>
      </c>
      <c r="P11" s="4">
        <v>2.8030032177332857E-2</v>
      </c>
      <c r="Q11" s="4">
        <v>8.3350635997632802E-2</v>
      </c>
      <c r="R11" s="4">
        <v>0.15660042549334799</v>
      </c>
      <c r="S11" s="82">
        <v>0.29736257886212014</v>
      </c>
      <c r="T11" s="81">
        <v>1.7899036999493159</v>
      </c>
      <c r="U11" s="15">
        <v>0.40281804358844397</v>
      </c>
      <c r="V11" s="79">
        <v>3.955391512509995</v>
      </c>
      <c r="W11" s="74">
        <v>-26.938493611476797</v>
      </c>
      <c r="X11" s="13" t="s">
        <v>209</v>
      </c>
      <c r="Y11" s="11" t="s">
        <v>137</v>
      </c>
      <c r="Z11" s="14">
        <v>45900</v>
      </c>
      <c r="AA11" s="16" t="s">
        <v>225</v>
      </c>
    </row>
    <row r="12" spans="1:27">
      <c r="B12" s="11" t="s">
        <v>179</v>
      </c>
      <c r="C12" s="11" t="s">
        <v>180</v>
      </c>
      <c r="D12" s="2">
        <v>62.85</v>
      </c>
      <c r="E12" s="12" t="s">
        <v>136</v>
      </c>
      <c r="F12" s="15">
        <v>0.113440956480374</v>
      </c>
      <c r="G12" s="15">
        <f>F12 - Portfolio_Mgmt!$C$10</f>
        <v>-3.9590435196260043E-3</v>
      </c>
      <c r="H12" s="15">
        <f>F12 - Portfolio_Mgmt!$C$11</f>
        <v>7.8940956480373997E-2</v>
      </c>
      <c r="I12" s="15">
        <v>0</v>
      </c>
      <c r="J12" s="2">
        <v>36.948992203559456</v>
      </c>
      <c r="K12" s="2">
        <v>69.768989592832597</v>
      </c>
      <c r="L12" s="74">
        <v>69.336485184213799</v>
      </c>
      <c r="M12" s="2">
        <v>45.611257391530287</v>
      </c>
      <c r="N12" s="2">
        <v>62.230764373934896</v>
      </c>
      <c r="O12" s="4">
        <v>8.4024598757624372E-2</v>
      </c>
      <c r="P12" s="4">
        <v>8.0610342084327768E-2</v>
      </c>
      <c r="Q12" s="4">
        <v>0.32755394896836565</v>
      </c>
      <c r="R12" s="4">
        <v>8.9976704126159421E-2</v>
      </c>
      <c r="S12" s="82">
        <v>1.5891874956485419</v>
      </c>
      <c r="T12" s="81">
        <v>2.2907496012759174</v>
      </c>
      <c r="U12" s="15">
        <v>0.24768740031897937</v>
      </c>
      <c r="V12" s="79">
        <v>0.73855199466278643</v>
      </c>
      <c r="W12" s="74">
        <v>-2.6558821486698427</v>
      </c>
      <c r="X12" s="13" t="s">
        <v>184</v>
      </c>
      <c r="Y12" s="11" t="s">
        <v>137</v>
      </c>
      <c r="Z12" s="14">
        <v>45808</v>
      </c>
      <c r="AA12" s="16" t="s">
        <v>224</v>
      </c>
    </row>
    <row r="13" spans="1:27">
      <c r="B13" s="11" t="s">
        <v>227</v>
      </c>
      <c r="C13" s="11" t="s">
        <v>228</v>
      </c>
      <c r="D13" s="2">
        <v>6.37</v>
      </c>
      <c r="E13" s="12" t="s">
        <v>136</v>
      </c>
      <c r="F13" s="15">
        <v>0.10351117218713557</v>
      </c>
      <c r="G13" s="15">
        <f>F13 - Portfolio_Mgmt!$C$10</f>
        <v>-1.3888827812864435E-2</v>
      </c>
      <c r="H13" s="15">
        <f>F13 - Portfolio_Mgmt!$C$11</f>
        <v>6.9011172187135567E-2</v>
      </c>
      <c r="I13" s="15">
        <v>0</v>
      </c>
      <c r="J13" s="2">
        <v>3.6036658259915511</v>
      </c>
      <c r="K13" s="2">
        <v>7.3642693066239637</v>
      </c>
      <c r="L13" s="2">
        <v>6.8641356814360206</v>
      </c>
      <c r="M13" s="2">
        <v>4.4732258849914697</v>
      </c>
      <c r="N13" s="2">
        <v>6.1469536878205542</v>
      </c>
      <c r="O13" s="4">
        <v>5.7990915909652288E-2</v>
      </c>
      <c r="P13" s="4">
        <v>5.6514913657770796E-2</v>
      </c>
      <c r="Q13" s="4">
        <v>7.0630420943605887E-2</v>
      </c>
      <c r="R13" s="4">
        <v>9.3039179367971361E-2</v>
      </c>
      <c r="S13" s="82">
        <v>0.62627525695225639</v>
      </c>
      <c r="T13" s="81">
        <v>1.2121620122817016</v>
      </c>
      <c r="U13" s="15">
        <v>1.1610019159010268E-2</v>
      </c>
      <c r="V13" s="79">
        <v>0.16381589511191816</v>
      </c>
      <c r="W13" s="74">
        <v>3.7980767021052162</v>
      </c>
      <c r="X13" s="13" t="s">
        <v>229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185</v>
      </c>
      <c r="C14" s="11" t="s">
        <v>186</v>
      </c>
      <c r="D14" s="2">
        <v>7.63</v>
      </c>
      <c r="E14" s="12" t="s">
        <v>136</v>
      </c>
      <c r="F14" s="15">
        <v>0.10234867142558945</v>
      </c>
      <c r="G14" s="15">
        <f>F14 - Portfolio_Mgmt!$C$10</f>
        <v>-1.505132857441055E-2</v>
      </c>
      <c r="H14" s="15">
        <f>F14 - Portfolio_Mgmt!$C$11</f>
        <v>6.7848671425589452E-2</v>
      </c>
      <c r="I14" s="15">
        <v>0</v>
      </c>
      <c r="J14" s="2">
        <v>4.2923472664044349</v>
      </c>
      <c r="K14" s="2">
        <v>8.901190559135232</v>
      </c>
      <c r="L14" s="2">
        <v>8.1994549868397844</v>
      </c>
      <c r="M14" s="2">
        <v>5.3338088981549667</v>
      </c>
      <c r="N14" s="2">
        <v>7.3396230233142337</v>
      </c>
      <c r="O14" s="4">
        <v>0.10323489854477289</v>
      </c>
      <c r="P14" s="4">
        <v>5.2129168986053742E-2</v>
      </c>
      <c r="Q14" s="4">
        <v>0.12477871842229639</v>
      </c>
      <c r="R14" s="4">
        <v>7.7304831872868032E-2</v>
      </c>
      <c r="S14" s="82">
        <v>1.0025080757150273</v>
      </c>
      <c r="T14" s="81">
        <v>1.6100746083165727</v>
      </c>
      <c r="U14" s="15">
        <v>0.16360901428944893</v>
      </c>
      <c r="V14" s="79">
        <v>1.1309485990394448</v>
      </c>
      <c r="W14" s="74">
        <v>-3.8774627418418568</v>
      </c>
      <c r="X14" s="13" t="s">
        <v>162</v>
      </c>
      <c r="Y14" s="11" t="s">
        <v>137</v>
      </c>
      <c r="Z14" s="14">
        <v>45900</v>
      </c>
      <c r="AA14" s="16" t="s">
        <v>224</v>
      </c>
    </row>
    <row r="15" spans="1:27">
      <c r="B15" s="11" t="s">
        <v>202</v>
      </c>
      <c r="C15" s="11" t="s">
        <v>203</v>
      </c>
      <c r="D15" s="2">
        <v>2.5</v>
      </c>
      <c r="E15" s="12" t="s">
        <v>136</v>
      </c>
      <c r="F15" s="15">
        <v>8.5729797114637352E-2</v>
      </c>
      <c r="G15" s="15">
        <f>F15 - Portfolio_Mgmt!$C$10</f>
        <v>-3.1670202885362653E-2</v>
      </c>
      <c r="H15" s="15">
        <f>F15 - Portfolio_Mgmt!$C$11</f>
        <v>5.1229797114637349E-2</v>
      </c>
      <c r="I15" s="15">
        <v>0</v>
      </c>
      <c r="J15" s="2">
        <v>1.3416806791215554</v>
      </c>
      <c r="K15" s="2">
        <v>2.8352097260801763</v>
      </c>
      <c r="L15" s="2">
        <v>2.5725609462226302</v>
      </c>
      <c r="M15" s="2">
        <v>1.6695533262206339</v>
      </c>
      <c r="N15" s="2">
        <v>2.3015148181136911</v>
      </c>
      <c r="O15" s="4">
        <v>3.366391992483124E-2</v>
      </c>
      <c r="P15" s="4">
        <v>4.4656956243357283E-2</v>
      </c>
      <c r="Q15" s="4">
        <v>4.3343683267480865E-2</v>
      </c>
      <c r="R15" s="4">
        <v>8.4128966455418633E-2</v>
      </c>
      <c r="S15" s="82">
        <v>0.42808280043619051</v>
      </c>
      <c r="T15" s="81">
        <v>1.2035176992971439</v>
      </c>
      <c r="U15" s="15">
        <v>1.0763175939415467E-2</v>
      </c>
      <c r="V15" s="79">
        <v>0.29882156160837919</v>
      </c>
      <c r="W15" s="74">
        <v>1.9109228181151319</v>
      </c>
      <c r="X15" s="13" t="s">
        <v>204</v>
      </c>
      <c r="Y15" s="11" t="s">
        <v>198</v>
      </c>
      <c r="Z15" s="14">
        <v>45900</v>
      </c>
      <c r="AA15" s="16" t="s">
        <v>224</v>
      </c>
    </row>
    <row r="16" spans="1:27">
      <c r="B16" s="11" t="s">
        <v>193</v>
      </c>
      <c r="C16" s="11" t="s">
        <v>194</v>
      </c>
      <c r="D16" s="2">
        <v>16.989999999999998</v>
      </c>
      <c r="E16" s="12" t="s">
        <v>136</v>
      </c>
      <c r="F16" s="15">
        <v>7.6338882101496974E-2</v>
      </c>
      <c r="G16" s="15">
        <f>F16 - Portfolio_Mgmt!$C$10</f>
        <v>-4.106111789850303E-2</v>
      </c>
      <c r="H16" s="15">
        <f>F16 - Portfolio_Mgmt!$C$11</f>
        <v>4.1838882101496971E-2</v>
      </c>
      <c r="I16" s="15">
        <v>0</v>
      </c>
      <c r="J16" s="2">
        <v>8.9297421295283854</v>
      </c>
      <c r="K16" s="2">
        <v>18.477637100338406</v>
      </c>
      <c r="L16" s="2">
        <v>17.050717646084721</v>
      </c>
      <c r="M16" s="2">
        <v>11.094605624493264</v>
      </c>
      <c r="N16" s="2">
        <v>15.263673284660713</v>
      </c>
      <c r="O16" s="4">
        <v>9.0772593244766595E-2</v>
      </c>
      <c r="P16" s="4">
        <v>4.9271251324308422E-2</v>
      </c>
      <c r="Q16" s="4">
        <v>0.2641721723609281</v>
      </c>
      <c r="R16" s="4">
        <v>0.11373404845834975</v>
      </c>
      <c r="S16" s="82">
        <v>0.70652858717908329</v>
      </c>
      <c r="T16" s="81">
        <v>3.2875080906148866</v>
      </c>
      <c r="U16" s="15">
        <v>1.5035598705501618</v>
      </c>
      <c r="V16" s="79">
        <v>4.1998196571663646</v>
      </c>
      <c r="W16" s="74">
        <v>-12.191161684588407</v>
      </c>
      <c r="X16" s="13" t="s">
        <v>181</v>
      </c>
      <c r="Y16" s="11" t="s">
        <v>195</v>
      </c>
      <c r="Z16" s="14">
        <v>45900</v>
      </c>
      <c r="AA16" s="16" t="s">
        <v>225</v>
      </c>
    </row>
    <row r="17" spans="2:27">
      <c r="B17" s="11" t="s">
        <v>138</v>
      </c>
      <c r="C17" s="11" t="s">
        <v>176</v>
      </c>
      <c r="D17" s="2">
        <v>9.4700000000000006</v>
      </c>
      <c r="E17" s="12" t="s">
        <v>136</v>
      </c>
      <c r="F17" s="15">
        <v>5.7727512205052012E-2</v>
      </c>
      <c r="G17" s="15">
        <f>F17 - Portfolio_Mgmt!$C$10</f>
        <v>-5.9672487794947993E-2</v>
      </c>
      <c r="H17" s="15">
        <f>F17 - Portfolio_Mgmt!$C$11</f>
        <v>2.3227512205052009E-2</v>
      </c>
      <c r="I17" s="15">
        <v>0</v>
      </c>
      <c r="J17" s="2">
        <v>4.7895979519113672</v>
      </c>
      <c r="K17" s="2">
        <v>9.3641570609339322</v>
      </c>
      <c r="L17" s="2">
        <v>9.0460821298724845</v>
      </c>
      <c r="M17" s="2">
        <v>5.9266084151981735</v>
      </c>
      <c r="N17" s="2">
        <v>8.1111667082917602</v>
      </c>
      <c r="O17" s="4">
        <v>3.2618624285350055E-2</v>
      </c>
      <c r="P17" s="4">
        <v>6.1246040126715938E-2</v>
      </c>
      <c r="Q17" s="4">
        <v>2.0056091670558843E-2</v>
      </c>
      <c r="R17" s="4">
        <v>0.38237459335905039</v>
      </c>
      <c r="S17" s="82">
        <v>4.8426484563194767E-2</v>
      </c>
      <c r="T17" s="81">
        <v>1.0831144117242246</v>
      </c>
      <c r="U17" s="15">
        <v>1.8509098960546238E-2</v>
      </c>
      <c r="V17" s="79">
        <v>1.1933697905849452</v>
      </c>
      <c r="W17" s="74">
        <v>11.511512740854835</v>
      </c>
      <c r="X17" s="13" t="s">
        <v>178</v>
      </c>
      <c r="Y17" s="11" t="s">
        <v>177</v>
      </c>
      <c r="Z17" s="14">
        <v>45900</v>
      </c>
      <c r="AA17" s="11" t="s">
        <v>224</v>
      </c>
    </row>
    <row r="18" spans="2:27">
      <c r="B18" s="11" t="s">
        <v>190</v>
      </c>
      <c r="C18" s="11" t="s">
        <v>191</v>
      </c>
      <c r="D18" s="2">
        <v>24.78</v>
      </c>
      <c r="E18" s="12" t="s">
        <v>136</v>
      </c>
      <c r="F18" s="15">
        <v>1.7729572409298955E-2</v>
      </c>
      <c r="G18" s="15">
        <f>F18 - Portfolio_Mgmt!$C$10</f>
        <v>-9.967042759070105E-2</v>
      </c>
      <c r="H18" s="15">
        <f>F18 - Portfolio_Mgmt!$C$11</f>
        <v>-1.6770427590701048E-2</v>
      </c>
      <c r="I18" s="15">
        <v>0</v>
      </c>
      <c r="J18" s="2">
        <v>11.235424773194682</v>
      </c>
      <c r="K18" s="2">
        <v>21.968758226348868</v>
      </c>
      <c r="L18" s="2">
        <v>21.220699139526428</v>
      </c>
      <c r="M18" s="2">
        <v>13.902724211890622</v>
      </c>
      <c r="N18" s="2">
        <v>19.027476031641555</v>
      </c>
      <c r="O18" s="4">
        <v>6.9733091984246542E-2</v>
      </c>
      <c r="P18" s="4">
        <v>5.4882970137207429E-2</v>
      </c>
      <c r="Q18" s="4">
        <v>0.10515362778966494</v>
      </c>
      <c r="R18" s="4">
        <v>0.11295218450174714</v>
      </c>
      <c r="S18" s="82">
        <v>0.71055479556740742</v>
      </c>
      <c r="T18" s="81">
        <v>1.3101832741522048</v>
      </c>
      <c r="U18" s="15">
        <v>0.15818859882129041</v>
      </c>
      <c r="V18" s="79">
        <v>1.4550387206421544</v>
      </c>
      <c r="W18" s="74">
        <v>5.8696003638854428</v>
      </c>
      <c r="X18" s="13" t="s">
        <v>189</v>
      </c>
      <c r="Y18" s="11" t="s">
        <v>137</v>
      </c>
      <c r="Z18" s="14">
        <v>45808</v>
      </c>
      <c r="AA18" s="11" t="s">
        <v>224</v>
      </c>
    </row>
    <row r="19" spans="2:27">
      <c r="B19" s="11" t="s">
        <v>173</v>
      </c>
      <c r="C19" s="11" t="s">
        <v>196</v>
      </c>
      <c r="D19" s="2">
        <v>2.7</v>
      </c>
      <c r="E19" s="12" t="s">
        <v>136</v>
      </c>
      <c r="F19" s="15">
        <v>-7.8450133548721768E-2</v>
      </c>
      <c r="G19" s="15">
        <f>F19 - Portfolio_Mgmt!$C$10</f>
        <v>-0.19585013354872177</v>
      </c>
      <c r="H19" s="15">
        <f>F19 - Portfolio_Mgmt!$C$11</f>
        <v>-0.11295013354872177</v>
      </c>
      <c r="I19" s="15">
        <v>0</v>
      </c>
      <c r="J19" s="2">
        <v>0.8588532832629947</v>
      </c>
      <c r="K19" s="2">
        <v>2.1131011468081908</v>
      </c>
      <c r="L19" s="2">
        <v>1.7009631025661165</v>
      </c>
      <c r="M19" s="2">
        <v>1.0819077871657936</v>
      </c>
      <c r="N19" s="2">
        <v>1.514587208466269</v>
      </c>
      <c r="O19" s="4">
        <v>3.5509837942729315E-3</v>
      </c>
      <c r="P19" s="4">
        <v>0</v>
      </c>
      <c r="Q19" s="4">
        <v>3.7288355461672987E-3</v>
      </c>
      <c r="R19" s="4">
        <v>2.8327145387125552E-2</v>
      </c>
      <c r="S19" s="82">
        <v>0.11998888979909481</v>
      </c>
      <c r="T19" s="81">
        <v>1.0970574812713703</v>
      </c>
      <c r="U19" s="15">
        <v>1.4790654865358754E-2</v>
      </c>
      <c r="V19" s="79">
        <v>3.4432102574884196</v>
      </c>
      <c r="W19" s="74">
        <v>2.0258239687205015</v>
      </c>
      <c r="X19" s="13" t="s">
        <v>197</v>
      </c>
      <c r="Y19" s="11" t="s">
        <v>198</v>
      </c>
      <c r="Z19" s="14">
        <v>45900</v>
      </c>
      <c r="AA19" s="11" t="s">
        <v>224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4.2199999999999994E-2</v>
      </c>
      <c r="D4" s="34">
        <v>7.4999999999999997E-2</v>
      </c>
      <c r="E4" s="35">
        <f>D4-C4</f>
        <v>3.2800000000000003E-2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zoomScaleNormal="100" workbookViewId="0">
      <selection activeCell="B4" sqref="B4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v>723432</v>
      </c>
      <c r="G3" s="61">
        <f>F3/$F$8</f>
        <v>0.62366870638865757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163</v>
      </c>
      <c r="C4" s="63">
        <f>VLOOKUP(B4,Opportunities!B$3:E$30,3,FALSE)</f>
        <v>18.77</v>
      </c>
      <c r="D4" s="62" t="str">
        <f>VLOOKUP(B4,Opportunities!B$3:E$30,4,FALSE)</f>
        <v>HKD</v>
      </c>
      <c r="E4" s="59">
        <v>9000</v>
      </c>
      <c r="F4" s="64">
        <f>C4*E4</f>
        <v>168930</v>
      </c>
      <c r="G4" s="61">
        <f>F4/$F$8</f>
        <v>0.14563408111645038</v>
      </c>
      <c r="H4" s="61">
        <f>VLOOKUP(B4,Opportunities!B$3:I$30,8,FALSE)</f>
        <v>0</v>
      </c>
      <c r="I4" s="84">
        <f>VLOOKUP(B4,Opportunities!B$3:N$30,12,FALSE)</f>
        <v>14.046909823316083</v>
      </c>
      <c r="J4" s="84">
        <f>VLOOKUP(B4,Opportunities!B$3:N$30,9,FALSE)</f>
        <v>11.221362515963392</v>
      </c>
      <c r="K4" s="84">
        <f>VLOOKUP(B4,Opportunities!B$3:N$30,11,FALSE)</f>
        <v>21.858799776173839</v>
      </c>
      <c r="L4" s="84">
        <f>VLOOKUP(B4,Opportunities!B$3:N$30,13,FALSE)</f>
        <v>19.510441425116817</v>
      </c>
    </row>
    <row r="5" spans="1:12">
      <c r="B5" s="66" t="s">
        <v>210</v>
      </c>
      <c r="C5" s="63">
        <f>VLOOKUP(B5,Opportunities!B$3:E$30,3,FALSE)</f>
        <v>19.95</v>
      </c>
      <c r="D5" s="62" t="str">
        <f>VLOOKUP(B5,Opportunities!B$3:E$30,4,FALSE)</f>
        <v>HKD</v>
      </c>
      <c r="E5" s="59">
        <v>8000</v>
      </c>
      <c r="F5" s="64">
        <f>C5*E5</f>
        <v>159600</v>
      </c>
      <c r="G5" s="61">
        <f>F5/$F$8</f>
        <v>0.13759071417856791</v>
      </c>
      <c r="H5" s="61">
        <f>VLOOKUP(B5,Opportunities!B$3:I$30,8,FALSE)</f>
        <v>0</v>
      </c>
      <c r="I5" s="84">
        <f>VLOOKUP(B5,Opportunities!B$3:N$30,12,FALSE)</f>
        <v>17.004740714137515</v>
      </c>
      <c r="J5" s="84">
        <f>VLOOKUP(B5,Opportunities!B$3:N$30,9,FALSE)</f>
        <v>13.683273568988398</v>
      </c>
      <c r="K5" s="84">
        <f>VLOOKUP(B5,Opportunities!B$3:N$30,11,FALSE)</f>
        <v>26.144492802736732</v>
      </c>
      <c r="L5" s="84">
        <f>VLOOKUP(B5,Opportunities!B$3:N$30,13,FALSE)</f>
        <v>23.402063758120693</v>
      </c>
    </row>
    <row r="6" spans="1:12">
      <c r="B6" s="66" t="s">
        <v>230</v>
      </c>
      <c r="C6" s="63">
        <f>VLOOKUP(B6,Opportunities!B$3:E$30,3,FALSE)</f>
        <v>2.7</v>
      </c>
      <c r="D6" s="62" t="str">
        <f>VLOOKUP(B6,Opportunities!B$3:E$30,4,FALSE)</f>
        <v>HKD</v>
      </c>
      <c r="E6" s="59">
        <v>40000</v>
      </c>
      <c r="F6" s="64">
        <f>C6*E6</f>
        <v>108000</v>
      </c>
      <c r="G6" s="61">
        <f t="shared" ref="G6" si="0">F6/$F$8</f>
        <v>9.3106498316324157E-2</v>
      </c>
      <c r="H6" s="61">
        <f>VLOOKUP(B6,Opportunities!B$3:I$30,8,FALSE)</f>
        <v>0.1300357550394142</v>
      </c>
      <c r="I6" s="84">
        <f>VLOOKUP(B6,Opportunities!B$3:N$30,12,FALSE)</f>
        <v>2.823790530515998</v>
      </c>
      <c r="J6" s="84">
        <f>VLOOKUP(B6,Opportunities!B$3:N$30,9,FALSE)</f>
        <v>2.2811221378505544</v>
      </c>
      <c r="K6" s="84">
        <f>VLOOKUP(B6,Opportunities!B$3:N$30,11,FALSE)</f>
        <v>4.3130669791905083</v>
      </c>
      <c r="L6" s="84">
        <f>VLOOKUP(B6,Opportunities!B$3:N$30,13,FALSE)</f>
        <v>3.8666759160925035</v>
      </c>
    </row>
    <row r="7" spans="1:12">
      <c r="B7" s="55"/>
      <c r="C7" s="58"/>
      <c r="D7" s="55"/>
      <c r="H7" s="77"/>
    </row>
    <row r="8" spans="1:12" ht="13.15">
      <c r="B8" s="67"/>
      <c r="C8" s="68"/>
      <c r="D8" s="67"/>
      <c r="E8" s="69" t="s">
        <v>166</v>
      </c>
      <c r="F8" s="69">
        <f>SUM(F3:F6)</f>
        <v>1159962</v>
      </c>
      <c r="G8" s="70">
        <f>SUM(G3:G6)</f>
        <v>1</v>
      </c>
      <c r="H8" s="76">
        <f>SUM(H3:H6)</f>
        <v>0.58003575503941418</v>
      </c>
      <c r="I8" s="85" t="s">
        <v>236</v>
      </c>
      <c r="J8" s="85" t="s">
        <v>236</v>
      </c>
      <c r="K8" s="85" t="s">
        <v>236</v>
      </c>
      <c r="L8" s="85" t="s">
        <v>236</v>
      </c>
    </row>
    <row r="9" spans="1:12">
      <c r="B9" s="55"/>
      <c r="C9" s="58"/>
      <c r="D9" s="55"/>
      <c r="E9" s="59"/>
      <c r="F9" s="59"/>
    </row>
    <row r="10" spans="1:12" ht="13.15">
      <c r="A10" s="51"/>
      <c r="B10" s="52" t="s">
        <v>164</v>
      </c>
    </row>
    <row r="11" spans="1:12">
      <c r="B11" s="66" t="s">
        <v>163</v>
      </c>
      <c r="C11" s="63">
        <f>VLOOKUP(B11,Opportunities!B$3:E$30,3,FALSE)</f>
        <v>18.77</v>
      </c>
      <c r="D11" s="62" t="str">
        <f>VLOOKUP(B11,Opportunities!B$3:E$30,4,FALSE)</f>
        <v>HKD</v>
      </c>
      <c r="E11" s="59">
        <v>0</v>
      </c>
      <c r="F11" s="64">
        <f>-C11*E11</f>
        <v>0</v>
      </c>
      <c r="G11" s="61">
        <f>-F11/$F$8</f>
        <v>0</v>
      </c>
      <c r="H11" s="61">
        <f>VLOOKUP(B11,Opportunities!B$3:I$30,8,FALSE)</f>
        <v>0</v>
      </c>
      <c r="I11" s="84">
        <f>VLOOKUP(B11,Opportunities!B$3:N$30,12,FALSE)</f>
        <v>14.046909823316083</v>
      </c>
      <c r="J11" s="84">
        <f>VLOOKUP(B11,Opportunities!B$3:N$30,9,FALSE)</f>
        <v>11.221362515963392</v>
      </c>
      <c r="K11" s="84">
        <f>VLOOKUP(B11,Opportunities!B$3:N$30,11,FALSE)</f>
        <v>21.858799776173839</v>
      </c>
      <c r="L11" s="84">
        <f>VLOOKUP(B11,Opportunities!B$3:N$30,13,FALSE)</f>
        <v>19.510441425116817</v>
      </c>
    </row>
    <row r="12" spans="1:12">
      <c r="B12" s="66" t="s">
        <v>210</v>
      </c>
      <c r="C12" s="63">
        <f>VLOOKUP(B12,Opportunities!B$3:E$30,3,FALSE)</f>
        <v>19.95</v>
      </c>
      <c r="D12" s="62" t="str">
        <f>VLOOKUP(B12,Opportunities!B$3:E$30,4,FALSE)</f>
        <v>HKD</v>
      </c>
      <c r="E12" s="59">
        <v>0</v>
      </c>
      <c r="F12" s="64">
        <f>-C12*E12</f>
        <v>0</v>
      </c>
      <c r="G12" s="61">
        <f>-F12/$F$8</f>
        <v>0</v>
      </c>
      <c r="H12" s="61">
        <f>VLOOKUP(B12,Opportunities!B$3:I$30,8,FALSE)</f>
        <v>0</v>
      </c>
      <c r="I12" s="84">
        <f>VLOOKUP(B12,Opportunities!B$3:N$30,12,FALSE)</f>
        <v>17.004740714137515</v>
      </c>
      <c r="J12" s="84">
        <f>VLOOKUP(B12,Opportunities!B$3:N$30,9,FALSE)</f>
        <v>13.683273568988398</v>
      </c>
      <c r="K12" s="84">
        <f>VLOOKUP(B12,Opportunities!B$3:N$30,11,FALSE)</f>
        <v>26.144492802736732</v>
      </c>
      <c r="L12" s="84">
        <f>VLOOKUP(B12,Opportunities!B$3:N$30,13,FALSE)</f>
        <v>23.402063758120693</v>
      </c>
    </row>
    <row r="13" spans="1:12">
      <c r="B13" s="66" t="s">
        <v>230</v>
      </c>
      <c r="C13" s="63">
        <f>VLOOKUP(B13,Opportunities!B$3:E$30,3,FALSE)</f>
        <v>2.7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-F13/$F$8</f>
        <v>0</v>
      </c>
      <c r="H13" s="61">
        <f>VLOOKUP(B13,Opportunities!B$3:I$30,8,FALSE)</f>
        <v>0.1300357550394142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G14" s="75"/>
      <c r="H14" s="75"/>
    </row>
    <row r="15" spans="1:12" ht="13.15">
      <c r="B15" s="71" t="s">
        <v>165</v>
      </c>
      <c r="C15" s="72" t="s">
        <v>159</v>
      </c>
      <c r="D15" s="73" t="s">
        <v>136</v>
      </c>
      <c r="E15" s="72" t="s">
        <v>159</v>
      </c>
      <c r="F15" s="69">
        <f>F3+SUM(F11:F13)</f>
        <v>723432</v>
      </c>
      <c r="G15" s="76">
        <f t="shared" ref="G15" si="1">F15/$F$8</f>
        <v>0.62366870638865757</v>
      </c>
      <c r="H15" s="76">
        <f>Portfolio_Mgmt!E66</f>
        <v>0.45</v>
      </c>
      <c r="I15" s="85" t="s">
        <v>236</v>
      </c>
      <c r="J15" s="85" t="s">
        <v>236</v>
      </c>
      <c r="K15" s="85" t="s">
        <v>236</v>
      </c>
      <c r="L15" s="85" t="s">
        <v>236</v>
      </c>
    </row>
    <row r="17" spans="1:6" ht="13.15">
      <c r="A17" s="51"/>
      <c r="B17" s="52" t="s">
        <v>237</v>
      </c>
      <c r="C17" s="58"/>
      <c r="D17" s="55"/>
      <c r="E17" s="59"/>
      <c r="F17" s="59"/>
    </row>
    <row r="18" spans="1:6" ht="13.15">
      <c r="C18" s="87" t="s">
        <v>238</v>
      </c>
      <c r="D18" s="87" t="s">
        <v>241</v>
      </c>
      <c r="E18" s="87" t="s">
        <v>242</v>
      </c>
    </row>
    <row r="19" spans="1:6" ht="14.25">
      <c r="B19" s="86" t="s">
        <v>239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4.25">
      <c r="B20" s="86" t="s">
        <v>240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4.25">
      <c r="C21"/>
      <c r="D21"/>
      <c r="E21"/>
    </row>
    <row r="22" spans="1:6" ht="14.25">
      <c r="C22"/>
      <c r="D22" s="90" t="s">
        <v>243</v>
      </c>
      <c r="E22" s="88">
        <f>C19-E20</f>
        <v>617.32398826399003</v>
      </c>
    </row>
    <row r="27" spans="1:6">
      <c r="B27" s="55"/>
      <c r="C27" s="58"/>
      <c r="D27" s="55"/>
      <c r="E27" s="59"/>
      <c r="F27" s="59"/>
    </row>
    <row r="28" spans="1:6">
      <c r="B28" s="55"/>
      <c r="C28" s="58"/>
      <c r="D28" s="55"/>
      <c r="E28" s="59"/>
      <c r="F28" s="59"/>
    </row>
    <row r="29" spans="1:6">
      <c r="B29" s="55"/>
      <c r="C29" s="58"/>
      <c r="D29" s="55"/>
      <c r="E29" s="59"/>
      <c r="F29" s="59"/>
    </row>
    <row r="30" spans="1:6">
      <c r="B30" s="55"/>
      <c r="C30" s="58"/>
      <c r="D30" s="55"/>
      <c r="E30" s="59"/>
      <c r="F30" s="59"/>
    </row>
    <row r="31" spans="1:6">
      <c r="B31" s="55"/>
      <c r="C31" s="58"/>
      <c r="D31" s="55"/>
      <c r="E31" s="59"/>
      <c r="F31" s="59"/>
    </row>
    <row r="32" spans="1:6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2025-09-01T09:05:14Z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