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FE2C63A8-5E40-44E9-AAF8-0B196AE2DCA9}"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F3" i="7"/>
  <c r="E22" i="7"/>
  <c r="C23" i="7" s="1"/>
  <c r="E23" i="7" s="1"/>
  <c r="E25" i="7" s="1"/>
  <c r="H8" i="7"/>
  <c r="I8" i="7"/>
  <c r="J8" i="7"/>
  <c r="K8" i="7"/>
  <c r="L8" i="7"/>
  <c r="C8" i="7"/>
  <c r="D8" i="7"/>
  <c r="H16" i="7"/>
  <c r="I16" i="7"/>
  <c r="J16" i="7"/>
  <c r="K16" i="7"/>
  <c r="L16" i="7"/>
  <c r="C16" i="7"/>
  <c r="F16" i="7" s="1"/>
  <c r="D16" i="7"/>
  <c r="H15" i="7"/>
  <c r="I15" i="7"/>
  <c r="J15" i="7"/>
  <c r="K15" i="7"/>
  <c r="L15" i="7"/>
  <c r="C15" i="7"/>
  <c r="F15" i="7" s="1"/>
  <c r="D15" i="7"/>
  <c r="C13" i="7"/>
  <c r="D13" i="7"/>
  <c r="H13" i="7"/>
  <c r="I13" i="7"/>
  <c r="J13" i="7"/>
  <c r="K13" i="7"/>
  <c r="L13" i="7"/>
  <c r="I14" i="7"/>
  <c r="J14" i="7"/>
  <c r="K14" i="7"/>
  <c r="L14" i="7"/>
  <c r="H14" i="7"/>
  <c r="C14" i="7"/>
  <c r="F14" i="7" s="1"/>
  <c r="D14" i="7"/>
  <c r="I4" i="7"/>
  <c r="J4" i="7"/>
  <c r="K4" i="7"/>
  <c r="L4" i="7"/>
  <c r="I5" i="7"/>
  <c r="J5" i="7"/>
  <c r="K5" i="7"/>
  <c r="L5" i="7"/>
  <c r="I6" i="7"/>
  <c r="J6" i="7"/>
  <c r="K6" i="7"/>
  <c r="L6" i="7"/>
  <c r="I7" i="7"/>
  <c r="J7" i="7"/>
  <c r="K7" i="7"/>
  <c r="L7" i="7"/>
  <c r="H7" i="7"/>
  <c r="C7" i="7"/>
  <c r="F7" i="7" s="1"/>
  <c r="D7" i="7"/>
  <c r="C36" i="5"/>
  <c r="H6" i="7"/>
  <c r="C6" i="7"/>
  <c r="F6" i="7" s="1"/>
  <c r="D6" i="7"/>
  <c r="D4" i="7"/>
  <c r="D5" i="7"/>
  <c r="H4" i="7"/>
  <c r="H5" i="7"/>
  <c r="C4" i="7"/>
  <c r="C5" i="7"/>
  <c r="F8" i="7" l="1"/>
  <c r="F13" i="7"/>
  <c r="F18" i="7" s="1"/>
  <c r="F5" i="7"/>
  <c r="F4" i="7" l="1"/>
  <c r="F10" i="7" s="1"/>
  <c r="G8" i="7" s="1"/>
  <c r="C31" i="5"/>
  <c r="G16" i="7" l="1"/>
  <c r="E60" i="5"/>
  <c r="G14" i="7" l="1"/>
  <c r="G15" i="7"/>
  <c r="G7" i="7"/>
  <c r="G13" i="7"/>
  <c r="G6" i="7"/>
  <c r="G5" i="7"/>
  <c r="G18" i="7"/>
  <c r="E61" i="5"/>
  <c r="C16" i="2"/>
  <c r="C10" i="5" s="1"/>
  <c r="C11" i="5"/>
  <c r="E6" i="2"/>
  <c r="E5" i="2"/>
  <c r="E4" i="2"/>
  <c r="E36" i="5" l="1"/>
  <c r="C35" i="5" s="1"/>
  <c r="C64" i="5" s="1"/>
  <c r="C65" i="5" s="1"/>
  <c r="H18" i="7"/>
  <c r="H3" i="7"/>
  <c r="H10" i="7" s="1"/>
  <c r="D112" i="5"/>
  <c r="G3" i="7" l="1"/>
  <c r="G4" i="7"/>
  <c r="G10" i="7" l="1"/>
</calcChain>
</file>

<file path=xl/sharedStrings.xml><?xml version="1.0" encoding="utf-8"?>
<sst xmlns="http://schemas.openxmlformats.org/spreadsheetml/2006/main" count="384" uniqueCount="303">
  <si>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</si>
  <si>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</si>
  <si>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</si>
  <si>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</si>
  <si>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</si>
  <si>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</si>
  <si>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</si>
  <si>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</si>
  <si>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</si>
  <si>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</si>
  <si>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</si>
  <si>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</si>
  <si>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</si>
  <si>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</si>
  <si>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</si>
  <si>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</si>
  <si>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</si>
  <si>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</si>
  <si>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</si>
  <si>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</si>
  <si>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</si>
  <si>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</si>
  <si>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</si>
  <si>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</si>
  <si>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</si>
  <si>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</si>
  <si>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</si>
  <si>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</si>
  <si>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</si>
  <si>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</si>
  <si>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</si>
  <si>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</si>
  <si>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</si>
  <si>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</si>
  <si>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</si>
  <si>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</si>
  <si>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</si>
  <si>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</si>
  <si>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</si>
  <si>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</si>
  <si>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</si>
  <si>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</si>
  <si>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</si>
  <si>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</si>
  <si>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</si>
  <si>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</si>
  <si>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</si>
  <si>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</si>
  <si>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</si>
  <si>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</si>
  <si>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</si>
  <si>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</si>
  <si>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</si>
  <si>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</si>
  <si>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</si>
  <si>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</si>
  <si>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</si>
  <si>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</si>
  <si>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</si>
  <si>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</si>
  <si>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</si>
  <si>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</si>
  <si>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</si>
  <si>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</si>
  <si>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</si>
  <si>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</si>
  <si>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</si>
  <si>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</si>
  <si>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</si>
  <si>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</si>
  <si>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</si>
  <si>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</si>
  <si>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</si>
  <si>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</si>
  <si>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</si>
  <si>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</si>
  <si>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</si>
  <si>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</si>
  <si>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</si>
  <si>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</si>
  <si>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</si>
  <si>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</si>
  <si>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</si>
  <si>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</si>
  <si>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</si>
  <si>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</si>
  <si>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</si>
  <si>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</si>
  <si>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</si>
  <si>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</si>
  <si>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</si>
  <si>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</si>
  <si>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</si>
  <si>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</si>
  <si>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</si>
  <si>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</si>
  <si>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</si>
  <si>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</si>
  <si>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</si>
  <si>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</si>
  <si>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</si>
  <si>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</si>
  <si>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</si>
  <si>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</si>
  <si>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</si>
  <si>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</si>
  <si>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</si>
  <si>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</si>
  <si>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</si>
  <si>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</si>
  <si>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</si>
  <si>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</si>
  <si>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</si>
  <si>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</si>
  <si>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</si>
  <si>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</si>
  <si>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</si>
  <si>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</si>
  <si>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</si>
  <si>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</si>
  <si>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</si>
  <si>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</si>
  <si>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</si>
  <si>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</si>
  <si>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</si>
  <si>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</si>
  <si>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</si>
  <si>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</si>
  <si>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</si>
  <si>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</si>
  <si>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</si>
  <si>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</si>
  <si>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</si>
  <si>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</si>
  <si>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</si>
  <si>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</si>
  <si>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</si>
  <si>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</si>
  <si>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</si>
  <si>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</si>
  <si>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</si>
  <si>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</si>
  <si>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</si>
  <si>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</si>
  <si>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</si>
  <si>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</si>
  <si>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</si>
  <si>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</si>
  <si>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</si>
  <si>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</si>
  <si>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</si>
  <si>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</si>
  <si>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</si>
  <si>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</si>
  <si>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</si>
  <si>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</si>
  <si>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</si>
  <si>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</si>
  <si>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</si>
  <si>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</si>
  <si>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</si>
  <si>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</si>
  <si>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</si>
  <si>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</si>
  <si>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</si>
  <si>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</si>
  <si>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</si>
  <si>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</si>
  <si>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</si>
  <si>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</si>
  <si>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</si>
  <si>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</si>
  <si>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</si>
  <si>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</si>
  <si>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</si>
  <si>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</si>
  <si>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</si>
  <si>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</si>
  <si>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</si>
  <si>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</si>
  <si>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</si>
  <si>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</si>
  <si>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</si>
  <si>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</si>
  <si>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</si>
  <si>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</si>
  <si>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</si>
  <si>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</si>
  <si>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</si>
  <si>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</si>
  <si>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</si>
  <si>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</si>
  <si>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</si>
  <si>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</si>
  <si>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</si>
  <si>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</si>
  <si>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</si>
  <si>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</si>
  <si>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</si>
  <si>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</si>
  <si>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</si>
  <si>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</si>
  <si>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</si>
  <si>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</si>
  <si>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</si>
  <si>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</si>
  <si>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</si>
  <si>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</si>
  <si>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</si>
  <si>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</si>
  <si>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</si>
  <si>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</si>
  <si>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</si>
  <si>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</si>
  <si>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</si>
  <si>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</si>
  <si>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</si>
  <si>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</si>
  <si>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</si>
  <si>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</si>
  <si>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</si>
  <si>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</si>
  <si>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</si>
  <si>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</si>
  <si>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</si>
  <si>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</si>
  <si>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</si>
  <si>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</si>
  <si>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</si>
  <si>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</si>
  <si>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</si>
  <si>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</si>
  <si>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</si>
  <si>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</si>
  <si>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</si>
  <si>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</si>
  <si>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</si>
  <si>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</si>
  <si>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</si>
  <si>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</si>
  <si>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</si>
  <si>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</si>
  <si>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</si>
  <si>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</si>
  <si>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</si>
  <si>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</si>
  <si>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</si>
  <si>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</si>
  <si>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</si>
  <si>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</si>
  <si>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</si>
  <si>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</si>
  <si>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</si>
  <si>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</si>
  <si>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</si>
  <si>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</si>
  <si>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</si>
  <si>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</si>
  <si>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</si>
  <si>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</si>
  <si>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</si>
  <si>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</si>
  <si>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</si>
  <si>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</si>
  <si>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</si>
  <si>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</si>
  <si>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</si>
  <si>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</si>
  <si>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</si>
  <si>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</si>
  <si>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</si>
  <si>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</si>
  <si>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</si>
  <si>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</si>
  <si>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</si>
  <si>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</si>
  <si>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</si>
  <si>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</si>
  <si>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</si>
  <si>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</si>
  <si>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</si>
  <si>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</si>
  <si>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</si>
  <si>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</si>
  <si>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</si>
  <si>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</si>
  <si>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</si>
  <si>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</si>
  <si>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</si>
  <si>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</si>
  <si>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</si>
  <si>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</si>
  <si>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</si>
  <si>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</si>
  <si>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</si>
  <si>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</si>
  <si>
    <t>Forex Cost</t>
  </si>
  <si>
    <t>From</t>
  </si>
  <si>
    <t>HKD to USD</t>
  </si>
  <si>
    <t>USD to HKD</t>
  </si>
  <si>
    <t>HKDUSD</t>
  </si>
  <si>
    <t>To</t>
  </si>
  <si>
    <t>Est.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</si>
</sst>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13C09]d\ mmm\ yyyy;@"/>
    <numFmt numFmtId="166" formatCode="0&quot; yrs&quot;"/>
    <numFmt numFmtId="167" formatCode="0.0\x"/>
    <numFmt numFmtId="168" formatCode="#,##0.00&quot;x&quot;"/>
    <numFmt numFmtId="169" formatCode="0.00000"/>
    <numFmt numFmtId="170" formatCode="_-[$HKD]\ * #,##0_-;\-[$HKD]\ * #,##0_-;_-[$HKD]\ * &quot;-&quot;_-;_-@_-"/>
    <numFmt numFmtId="171" formatCode="_-[$USD]\ * #,##0_-;\-[$USD]\ * #,##0_-;_-[$USD]\ * &quot;-&quot;_-;_-@_-"/>
  </numFmts>
  <fonts count="36">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
      <b/>
      <sz val="11"/>
      <color theme="1"/>
      <name val="Calibri"/>
      <family val="2"/>
      <scheme val="minor"/>
    </font>
    <font>
      <sz val="11"/>
      <color rgb="FF0000FF"/>
      <name val="Calibri"/>
      <family val="2"/>
      <scheme val="minor"/>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9" fillId="0" borderId="0" xfId="0" applyFont="1"/>
    <xf numFmtId="0" fontId="29" fillId="0" borderId="0" xfId="0" applyFont="1" applyAlignment="1">
      <alignment horizontal="center"/>
    </xf>
    <xf numFmtId="170" fontId="0" fillId="0" borderId="0" xfId="0" applyNumberFormat="1"/>
    <xf numFmtId="171" fontId="0" fillId="0" borderId="0" xfId="0" applyNumberFormat="1"/>
    <xf numFmtId="0" fontId="34" fillId="0" borderId="0" xfId="0" applyFont="1" applyAlignment="1">
      <alignment horizontal="left" indent="1"/>
    </xf>
    <xf numFmtId="170" fontId="35" fillId="0" borderId="0" xfId="0" applyNumberFormat="1" applyFont="1"/>
    <xf numFmtId="169" fontId="35"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B24" sqref="B24:E24"/>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105" t="s">
        <v>205</v>
      </c>
      <c r="C4" s="105"/>
      <c r="D4" s="105"/>
      <c r="E4" s="105"/>
    </row>
    <row r="6" spans="1:5">
      <c r="A6" s="20" t="s">
        <v>63</v>
      </c>
      <c r="B6" s="19" t="s">
        <v>188</v>
      </c>
      <c r="C6" s="60"/>
    </row>
    <row r="7" spans="1:5">
      <c r="B7" s="105" t="s">
        <v>193</v>
      </c>
      <c r="C7" s="105"/>
      <c r="D7" s="105"/>
      <c r="E7" s="105"/>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105" t="s">
        <v>204</v>
      </c>
      <c r="C24" s="105"/>
      <c r="D24" s="105"/>
      <c r="E24" s="105"/>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105" t="s">
        <v>151</v>
      </c>
      <c r="C39" s="105"/>
      <c r="D39" s="105"/>
      <c r="E39" s="105"/>
    </row>
    <row r="40" spans="1:5" ht="46.5" customHeight="1">
      <c r="B40" s="105" t="s">
        <v>217</v>
      </c>
      <c r="C40" s="105"/>
      <c r="D40" s="105"/>
      <c r="E40" s="105"/>
    </row>
    <row r="42" spans="1:5">
      <c r="A42" s="21" t="s">
        <v>171</v>
      </c>
      <c r="B42" s="21"/>
      <c r="C42" s="21"/>
      <c r="D42" s="21"/>
      <c r="E42" s="21"/>
    </row>
    <row r="44" spans="1:5">
      <c r="B44" s="105" t="s">
        <v>192</v>
      </c>
      <c r="C44" s="105"/>
      <c r="D44" s="105"/>
      <c r="E44" s="105"/>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105" t="s">
        <v>180</v>
      </c>
      <c r="C71" s="105"/>
      <c r="D71" s="105"/>
      <c r="E71" s="105"/>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8" t="s">
        <v>176</v>
      </c>
      <c r="C85" s="108"/>
      <c r="D85" s="108"/>
      <c r="E85" s="108"/>
    </row>
    <row r="86" spans="1:5">
      <c r="B86" s="107" t="s">
        <v>174</v>
      </c>
      <c r="C86" s="107"/>
      <c r="D86" s="107"/>
      <c r="E86" s="107"/>
    </row>
    <row r="87" spans="1:5" ht="24.5" customHeight="1">
      <c r="B87" s="105" t="s">
        <v>173</v>
      </c>
      <c r="C87" s="105"/>
      <c r="D87" s="105"/>
      <c r="E87" s="105"/>
    </row>
    <row r="88" spans="1:5" ht="24.5" customHeight="1">
      <c r="B88" s="105" t="s">
        <v>209</v>
      </c>
      <c r="C88" s="105"/>
      <c r="D88" s="105"/>
      <c r="E88" s="105"/>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6" t="s">
        <v>195</v>
      </c>
      <c r="C97" s="106"/>
      <c r="D97" s="106"/>
      <c r="E97" s="106"/>
    </row>
    <row r="99" spans="1:5">
      <c r="B99" s="24" t="s">
        <v>199</v>
      </c>
    </row>
    <row r="100" spans="1:5" ht="12.4">
      <c r="B100" s="106" t="s">
        <v>196</v>
      </c>
      <c r="C100" s="106"/>
      <c r="D100" s="106"/>
      <c r="E100" s="106"/>
    </row>
    <row r="101" spans="1:5" ht="58.5" customHeight="1">
      <c r="B101" s="105" t="s">
        <v>203</v>
      </c>
      <c r="C101" s="105"/>
      <c r="D101" s="105"/>
      <c r="E101" s="105"/>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0.17528781200034896</v>
      </c>
      <c r="D112" s="60" t="str">
        <f>IF(C112&lt;benchmark,"Warning: Return is lower than the Benchmark.","")</f>
        <v/>
      </c>
    </row>
    <row r="114" spans="1:5" ht="24.5" customHeight="1">
      <c r="B114" s="105" t="s">
        <v>201</v>
      </c>
      <c r="C114" s="105"/>
      <c r="D114" s="105"/>
      <c r="E114" s="105"/>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6" zoomScaleNormal="100" workbookViewId="0">
      <pane xSplit="3" ySplit="2" topLeftCell="D3" activePane="bottomRight" state="frozen"/>
      <selection pane="topRight" activeCell="D1" sqref="D1"/>
      <selection pane="bottomLeft" activeCell="A5" sqref="A5"/>
      <selection pane="bottomRight" activeCell="N21" sqref="N21"/>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11" t="s">
        <v>1</v>
      </c>
      <c r="E1" s="111"/>
      <c r="F1" s="111"/>
      <c r="G1" s="112" t="s">
        <v>96</v>
      </c>
      <c r="H1" s="112"/>
      <c r="I1" s="112"/>
      <c r="J1" s="114" t="s">
        <v>4</v>
      </c>
      <c r="K1" s="114"/>
      <c r="L1" s="114"/>
      <c r="M1" s="113" t="s">
        <v>229</v>
      </c>
      <c r="N1" s="113"/>
      <c r="O1" s="109" t="s">
        <v>8</v>
      </c>
      <c r="P1" s="109"/>
      <c r="Q1" s="116" t="s">
        <v>280</v>
      </c>
      <c r="R1" s="116"/>
      <c r="S1" s="116"/>
      <c r="T1" s="116"/>
      <c r="U1" s="115" t="s">
        <v>276</v>
      </c>
      <c r="V1" s="115"/>
      <c r="W1" s="115"/>
      <c r="X1" s="110" t="s">
        <v>50</v>
      </c>
      <c r="Y1" s="110"/>
      <c r="Z1" s="110"/>
      <c r="AA1" s="110"/>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2.64</v>
      </c>
      <c r="E3" s="12" t="s">
        <v>153</v>
      </c>
      <c r="F3" s="15">
        <v>0.28060956942594761</v>
      </c>
      <c r="G3" s="15">
        <f>F3 - Portfolio_Mgmt!$C$10</f>
        <v>0.16320956942594761</v>
      </c>
      <c r="H3" s="15">
        <f>F3 - Portfolio_Mgmt!$C$11</f>
        <v>0.24610956942594761</v>
      </c>
      <c r="I3" s="15">
        <v>0.22913138494225443</v>
      </c>
      <c r="J3" s="2">
        <v>2.2019752270440667</v>
      </c>
      <c r="K3" s="2">
        <v>4.4858408799140586</v>
      </c>
      <c r="L3" s="85">
        <v>4.3130669791905083</v>
      </c>
      <c r="M3" s="2">
        <v>3.039853505232323</v>
      </c>
      <c r="N3" s="2">
        <v>3.8666759160925035</v>
      </c>
      <c r="O3" s="4">
        <v>8.1234663007527477E-2</v>
      </c>
      <c r="P3" s="4">
        <v>0.10227272727272728</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267</v>
      </c>
      <c r="C4" s="11" t="s">
        <v>268</v>
      </c>
      <c r="D4" s="2">
        <v>18.100000000000001</v>
      </c>
      <c r="E4" s="12" t="s">
        <v>153</v>
      </c>
      <c r="F4" s="15">
        <v>0.2230383139343286</v>
      </c>
      <c r="G4" s="15">
        <f>F4 - Portfolio_Mgmt!$C$10</f>
        <v>0.1056383139343286</v>
      </c>
      <c r="H4" s="15">
        <f>F4 - Portfolio_Mgmt!$C$11</f>
        <v>0.1885383139343286</v>
      </c>
      <c r="I4" s="15">
        <v>0.18212164991915783</v>
      </c>
      <c r="J4" s="2">
        <v>13.206697055190944</v>
      </c>
      <c r="K4" s="2">
        <v>28.427252845141265</v>
      </c>
      <c r="L4" s="85">
        <v>26.159480072057065</v>
      </c>
      <c r="M4" s="2">
        <v>18.339106982254417</v>
      </c>
      <c r="N4" s="2">
        <v>23.415408860297315</v>
      </c>
      <c r="O4" s="4">
        <v>0.11427743268603927</v>
      </c>
      <c r="P4" s="4">
        <v>6.9613259668508287E-2</v>
      </c>
      <c r="Q4" s="4">
        <v>0.16035109536268838</v>
      </c>
      <c r="R4" s="4">
        <v>0.31929962351402291</v>
      </c>
      <c r="S4" s="94">
        <v>0.35631048934895165</v>
      </c>
      <c r="T4" s="93">
        <v>1.4094345614568822</v>
      </c>
      <c r="U4" s="15">
        <v>0.12260820136742831</v>
      </c>
      <c r="V4" s="90">
        <v>0.75207444874659302</v>
      </c>
      <c r="W4" s="85">
        <v>-0.45831883214595848</v>
      </c>
      <c r="X4" s="13" t="s">
        <v>218</v>
      </c>
      <c r="Y4" s="11" t="s">
        <v>154</v>
      </c>
      <c r="Z4" s="14">
        <v>45900</v>
      </c>
      <c r="AA4" s="16" t="s">
        <v>281</v>
      </c>
    </row>
    <row r="5" spans="1:27">
      <c r="B5" s="11" t="s">
        <v>256</v>
      </c>
      <c r="C5" s="11" t="s">
        <v>257</v>
      </c>
      <c r="D5" s="2">
        <v>2.0299999999999998</v>
      </c>
      <c r="E5" s="12" t="s">
        <v>153</v>
      </c>
      <c r="F5" s="15">
        <v>0.2124431009074137</v>
      </c>
      <c r="G5" s="15">
        <f>F5 - Portfolio_Mgmt!$C$10</f>
        <v>9.5043100907413691E-2</v>
      </c>
      <c r="H5" s="15">
        <f>F5 - Portfolio_Mgmt!$C$11</f>
        <v>0.17794310090741369</v>
      </c>
      <c r="I5" s="15">
        <v>0.17347014227605909</v>
      </c>
      <c r="J5" s="2">
        <v>1.4346472458691966</v>
      </c>
      <c r="K5" s="2">
        <v>3.2866749082143354</v>
      </c>
      <c r="L5" s="85">
        <v>2.8796910224976098</v>
      </c>
      <c r="M5" s="2">
        <v>2.0061521780977292</v>
      </c>
      <c r="N5" s="2">
        <v>2.572892680258076</v>
      </c>
      <c r="O5" s="4">
        <v>6.6504973477290646E-2</v>
      </c>
      <c r="P5" s="4">
        <v>4.4334975369458136E-2</v>
      </c>
      <c r="Q5" s="4">
        <v>4.7832973362251327E-2</v>
      </c>
      <c r="R5" s="4">
        <v>7.8104812973574481E-2</v>
      </c>
      <c r="S5" s="94">
        <v>0.49619793491400876</v>
      </c>
      <c r="T5" s="93">
        <v>1.2342258232843137</v>
      </c>
      <c r="U5" s="15">
        <v>0.10863424600069688</v>
      </c>
      <c r="V5" s="90">
        <v>2.2824569622635926</v>
      </c>
      <c r="W5" s="85">
        <v>1.84734244975916</v>
      </c>
      <c r="X5" s="13" t="s">
        <v>258</v>
      </c>
      <c r="Y5" s="11" t="s">
        <v>154</v>
      </c>
      <c r="Z5" s="14">
        <v>45900</v>
      </c>
      <c r="AA5" s="16" t="s">
        <v>281</v>
      </c>
    </row>
    <row r="6" spans="1:27">
      <c r="B6" s="11" t="s">
        <v>219</v>
      </c>
      <c r="C6" s="11" t="s">
        <v>249</v>
      </c>
      <c r="D6" s="2">
        <v>15.8</v>
      </c>
      <c r="E6" s="12" t="s">
        <v>153</v>
      </c>
      <c r="F6" s="15">
        <v>0.20098326346552864</v>
      </c>
      <c r="G6" s="15">
        <f>F6 - Portfolio_Mgmt!$C$10</f>
        <v>8.3583263465528634E-2</v>
      </c>
      <c r="H6" s="15">
        <f>F6 - Portfolio_Mgmt!$C$11</f>
        <v>0.16648326346552864</v>
      </c>
      <c r="I6" s="15">
        <v>0.11527682286252861</v>
      </c>
      <c r="J6" s="2">
        <v>10.816659231694064</v>
      </c>
      <c r="K6" s="2">
        <v>25.615951347916965</v>
      </c>
      <c r="L6" s="85">
        <v>21.871517923158621</v>
      </c>
      <c r="M6" s="2">
        <v>15.184358730762506</v>
      </c>
      <c r="N6" s="2">
        <v>19.521735429730246</v>
      </c>
      <c r="O6" s="4">
        <v>6.4789003814665833E-2</v>
      </c>
      <c r="P6" s="4">
        <v>3.0463341968639295E-2</v>
      </c>
      <c r="Q6" s="4">
        <v>0.12359661929061266</v>
      </c>
      <c r="R6" s="4">
        <v>0.12331902299184766</v>
      </c>
      <c r="S6" s="94">
        <v>0.73266920679685343</v>
      </c>
      <c r="T6" s="93">
        <v>1.3679448142367923</v>
      </c>
      <c r="U6" s="15">
        <v>7.4171010848313429E-2</v>
      </c>
      <c r="V6" s="90">
        <v>0.60402076709908736</v>
      </c>
      <c r="W6" s="85">
        <v>4.60994728377971</v>
      </c>
      <c r="X6" s="13" t="s">
        <v>238</v>
      </c>
      <c r="Y6" s="11" t="s">
        <v>154</v>
      </c>
      <c r="Z6" s="14">
        <v>45900</v>
      </c>
      <c r="AA6" s="16" t="s">
        <v>281</v>
      </c>
    </row>
    <row r="7" spans="1:27">
      <c r="B7" s="11" t="s">
        <v>244</v>
      </c>
      <c r="C7" s="11" t="s">
        <v>245</v>
      </c>
      <c r="D7" s="2">
        <v>3.43</v>
      </c>
      <c r="E7" s="12" t="s">
        <v>153</v>
      </c>
      <c r="F7" s="15">
        <v>0.18332649113807564</v>
      </c>
      <c r="G7" s="15">
        <f>F7 - Portfolio_Mgmt!$C$10</f>
        <v>6.5926491138075638E-2</v>
      </c>
      <c r="H7" s="15">
        <f>F7 - Portfolio_Mgmt!$C$11</f>
        <v>0.14882649113807564</v>
      </c>
      <c r="I7" s="15">
        <v>0</v>
      </c>
      <c r="J7" s="2">
        <v>2.2556276815093281</v>
      </c>
      <c r="K7" s="2">
        <v>5.2246962590200807</v>
      </c>
      <c r="L7" s="85">
        <v>4.5385417708791076</v>
      </c>
      <c r="M7" s="2">
        <v>3.1582019073444916</v>
      </c>
      <c r="N7" s="2">
        <v>4.0536685441183486</v>
      </c>
      <c r="O7" s="4">
        <v>8.2787911779499845E-2</v>
      </c>
      <c r="P7" s="4">
        <v>3.7317784256559766E-2</v>
      </c>
      <c r="Q7" s="4">
        <v>0.10112859174992994</v>
      </c>
      <c r="R7" s="4">
        <v>5.8835781303360896E-2</v>
      </c>
      <c r="S7" s="94">
        <v>1.2277297326073906</v>
      </c>
      <c r="T7" s="93">
        <v>1.4000052396569989</v>
      </c>
      <c r="U7" s="15">
        <v>0.10646655543311496</v>
      </c>
      <c r="V7" s="90">
        <v>0.9804830051022897</v>
      </c>
      <c r="W7" s="85">
        <v>1.6698226477450393</v>
      </c>
      <c r="X7" s="13" t="s">
        <v>246</v>
      </c>
      <c r="Y7" s="11" t="s">
        <v>154</v>
      </c>
      <c r="Z7" s="14">
        <v>45808</v>
      </c>
      <c r="AA7" s="16" t="s">
        <v>281</v>
      </c>
    </row>
    <row r="8" spans="1:27">
      <c r="B8" s="11" t="s">
        <v>236</v>
      </c>
      <c r="C8" s="11" t="s">
        <v>237</v>
      </c>
      <c r="D8" s="2">
        <v>55.6</v>
      </c>
      <c r="E8" s="12" t="s">
        <v>153</v>
      </c>
      <c r="F8" s="15">
        <v>0.16643663111659524</v>
      </c>
      <c r="G8" s="15">
        <f>F8 - Portfolio_Mgmt!$C$10</f>
        <v>4.9036631116595231E-2</v>
      </c>
      <c r="H8" s="15">
        <f>F8 - Portfolio_Mgmt!$C$11</f>
        <v>0.13193663111659523</v>
      </c>
      <c r="I8" s="15">
        <v>0</v>
      </c>
      <c r="J8" s="2">
        <v>35.92938520214954</v>
      </c>
      <c r="K8" s="2">
        <v>70.242180695783915</v>
      </c>
      <c r="L8" s="85">
        <v>69.811199329998246</v>
      </c>
      <c r="M8" s="2">
        <v>49.39326411182472</v>
      </c>
      <c r="N8" s="2">
        <v>62.656963672625629</v>
      </c>
      <c r="O8" s="4">
        <v>9.5657355954373705E-2</v>
      </c>
      <c r="P8" s="4">
        <v>9.1770413669064743E-2</v>
      </c>
      <c r="Q8" s="4">
        <v>0.32755394896836565</v>
      </c>
      <c r="R8" s="4">
        <v>8.9976704126159421E-2</v>
      </c>
      <c r="S8" s="94">
        <v>1.5891874956485419</v>
      </c>
      <c r="T8" s="93">
        <v>2.2907496012759174</v>
      </c>
      <c r="U8" s="15">
        <v>0.24768740031897937</v>
      </c>
      <c r="V8" s="90">
        <v>0.73855199466278643</v>
      </c>
      <c r="W8" s="85">
        <v>-2.6747933489227389</v>
      </c>
      <c r="X8" s="13" t="s">
        <v>241</v>
      </c>
      <c r="Y8" s="11" t="s">
        <v>154</v>
      </c>
      <c r="Z8" s="14">
        <v>45808</v>
      </c>
      <c r="AA8" s="16" t="s">
        <v>281</v>
      </c>
    </row>
    <row r="9" spans="1:27">
      <c r="B9" s="11" t="s">
        <v>262</v>
      </c>
      <c r="C9" s="11" t="s">
        <v>273</v>
      </c>
      <c r="D9" s="2">
        <v>21.91</v>
      </c>
      <c r="E9" s="12" t="s">
        <v>263</v>
      </c>
      <c r="F9" s="15">
        <v>0.16557294744450646</v>
      </c>
      <c r="G9" s="15">
        <f>F9 - Portfolio_Mgmt!$C$10</f>
        <v>4.8172947444506453E-2</v>
      </c>
      <c r="H9" s="15">
        <f>F9 - Portfolio_Mgmt!$C$11</f>
        <v>0.13107294744450645</v>
      </c>
      <c r="I9" s="15">
        <v>0</v>
      </c>
      <c r="J9" s="2">
        <v>13.685702538649531</v>
      </c>
      <c r="K9" s="2">
        <v>33.230161875234657</v>
      </c>
      <c r="L9" s="85">
        <v>27.829540483416785</v>
      </c>
      <c r="M9" s="2">
        <v>19.269562535958798</v>
      </c>
      <c r="N9" s="2">
        <v>24.820548736528732</v>
      </c>
      <c r="O9" s="4">
        <v>0.2080767479387583</v>
      </c>
      <c r="P9" s="4">
        <v>1.8964856230031951E-2</v>
      </c>
      <c r="Q9" s="4">
        <v>0.18752610102828118</v>
      </c>
      <c r="R9" s="4">
        <v>0.23497655430253014</v>
      </c>
      <c r="S9" s="94">
        <v>0.32112750263435197</v>
      </c>
      <c r="T9" s="93">
        <v>2.4851905363915479</v>
      </c>
      <c r="U9" s="15">
        <v>0.95241105291674188</v>
      </c>
      <c r="V9" s="90">
        <v>4.0148803043206254</v>
      </c>
      <c r="W9" s="85">
        <v>-38.360607814419353</v>
      </c>
      <c r="X9" s="13" t="s">
        <v>264</v>
      </c>
      <c r="Y9" s="11" t="s">
        <v>154</v>
      </c>
      <c r="Z9" s="14">
        <v>45900</v>
      </c>
      <c r="AA9" s="16" t="s">
        <v>282</v>
      </c>
    </row>
    <row r="10" spans="1:27">
      <c r="B10" s="11" t="s">
        <v>239</v>
      </c>
      <c r="C10" s="11" t="s">
        <v>240</v>
      </c>
      <c r="D10" s="2">
        <v>50.65</v>
      </c>
      <c r="E10" s="12" t="s">
        <v>153</v>
      </c>
      <c r="F10" s="15">
        <v>0.16143771387948691</v>
      </c>
      <c r="G10" s="15">
        <f>F10 - Portfolio_Mgmt!$C$10</f>
        <v>4.4037713879486906E-2</v>
      </c>
      <c r="H10" s="15">
        <f>F10 - Portfolio_Mgmt!$C$11</f>
        <v>0.12693771387948691</v>
      </c>
      <c r="I10" s="15">
        <v>0</v>
      </c>
      <c r="J10" s="2">
        <v>31.551787984798533</v>
      </c>
      <c r="K10" s="2">
        <v>72.997420525577979</v>
      </c>
      <c r="L10" s="85">
        <v>63.468854540211929</v>
      </c>
      <c r="M10" s="2">
        <v>44.170989437256196</v>
      </c>
      <c r="N10" s="2">
        <v>56.690194987648155</v>
      </c>
      <c r="O10" s="4">
        <v>4.5551354348737562E-2</v>
      </c>
      <c r="P10" s="4">
        <v>3.5749543446478349E-2</v>
      </c>
      <c r="Q10" s="4">
        <v>0.13507585752766396</v>
      </c>
      <c r="R10" s="4">
        <v>0.12563562617474705</v>
      </c>
      <c r="S10" s="94">
        <v>0.62432788948992113</v>
      </c>
      <c r="T10" s="93">
        <v>1.7220755031358876</v>
      </c>
      <c r="U10" s="15">
        <v>9.5579625064196368E-3</v>
      </c>
      <c r="V10" s="90">
        <v>7.3592411949940734E-2</v>
      </c>
      <c r="W10" s="85">
        <v>1.3591009193132955</v>
      </c>
      <c r="X10" s="16" t="s">
        <v>238</v>
      </c>
      <c r="Y10" s="11" t="s">
        <v>154</v>
      </c>
      <c r="Z10" s="14">
        <v>45900</v>
      </c>
      <c r="AA10" s="16" t="s">
        <v>282</v>
      </c>
    </row>
    <row r="11" spans="1:27">
      <c r="B11" s="11" t="s">
        <v>250</v>
      </c>
      <c r="C11" s="11" t="s">
        <v>251</v>
      </c>
      <c r="D11" s="2">
        <v>13.78</v>
      </c>
      <c r="E11" s="12" t="s">
        <v>153</v>
      </c>
      <c r="F11" s="15">
        <v>0.16099844949006914</v>
      </c>
      <c r="G11" s="15">
        <f>F11 - Portfolio_Mgmt!$C$10</f>
        <v>4.3598449490069136E-2</v>
      </c>
      <c r="H11" s="15">
        <f>F11 - Portfolio_Mgmt!$C$11</f>
        <v>0.12649844949006914</v>
      </c>
      <c r="I11" s="15">
        <v>0</v>
      </c>
      <c r="J11" s="2">
        <v>8.6746067550838326</v>
      </c>
      <c r="K11" s="2">
        <v>18.606441375593661</v>
      </c>
      <c r="L11" s="85">
        <v>17.169900962627121</v>
      </c>
      <c r="M11" s="2">
        <v>12.041137708311338</v>
      </c>
      <c r="N11" s="2">
        <v>15.37037589106744</v>
      </c>
      <c r="O11" s="4">
        <v>0.11271891042416626</v>
      </c>
      <c r="P11" s="4">
        <v>6.1181368650217713E-2</v>
      </c>
      <c r="Q11" s="4">
        <v>0.26418111425166535</v>
      </c>
      <c r="R11" s="4">
        <v>0.1137378982106735</v>
      </c>
      <c r="S11" s="94">
        <v>0.70652858717908329</v>
      </c>
      <c r="T11" s="93">
        <v>3.2875080906148866</v>
      </c>
      <c r="U11" s="15">
        <v>1.5035598705501618</v>
      </c>
      <c r="V11" s="90">
        <v>4.1998196571663646</v>
      </c>
      <c r="W11" s="85">
        <v>-12.277968811948389</v>
      </c>
      <c r="X11" s="13" t="s">
        <v>238</v>
      </c>
      <c r="Y11" s="11" t="s">
        <v>252</v>
      </c>
      <c r="Z11" s="14">
        <v>45900</v>
      </c>
      <c r="AA11" s="16" t="s">
        <v>282</v>
      </c>
    </row>
    <row r="12" spans="1:27">
      <c r="B12" s="11" t="s">
        <v>284</v>
      </c>
      <c r="C12" s="11" t="s">
        <v>285</v>
      </c>
      <c r="D12" s="2">
        <v>5.54</v>
      </c>
      <c r="E12" s="12" t="s">
        <v>153</v>
      </c>
      <c r="F12" s="15">
        <v>0.15900337065231462</v>
      </c>
      <c r="G12" s="15">
        <f>F12 - Portfolio_Mgmt!$C$10</f>
        <v>4.160337065231462E-2</v>
      </c>
      <c r="H12" s="15">
        <f>F12 - Portfolio_Mgmt!$C$11</f>
        <v>0.12450337065231462</v>
      </c>
      <c r="I12" s="15">
        <v>0</v>
      </c>
      <c r="J12" s="2">
        <v>3.4769479145113666</v>
      </c>
      <c r="K12" s="2">
        <v>7.3642693066239637</v>
      </c>
      <c r="L12" s="85">
        <v>6.8641356814360206</v>
      </c>
      <c r="M12" s="2">
        <v>4.8197379854720408</v>
      </c>
      <c r="N12" s="2">
        <v>6.1469536878205542</v>
      </c>
      <c r="O12" s="4">
        <v>6.6679085621748208E-2</v>
      </c>
      <c r="P12" s="4">
        <v>6.4981949458483748E-2</v>
      </c>
      <c r="Q12" s="4">
        <v>7.0630420943605887E-2</v>
      </c>
      <c r="R12" s="4">
        <v>9.3039179367971361E-2</v>
      </c>
      <c r="S12" s="94">
        <v>0.62627525695225639</v>
      </c>
      <c r="T12" s="93">
        <v>1.2121620122817016</v>
      </c>
      <c r="U12" s="15">
        <v>1.1610019159010268E-2</v>
      </c>
      <c r="V12" s="90">
        <v>0.16381589511191816</v>
      </c>
      <c r="W12" s="85">
        <v>3.7980767021052162</v>
      </c>
      <c r="X12" s="13" t="s">
        <v>286</v>
      </c>
      <c r="Y12" s="11" t="s">
        <v>154</v>
      </c>
      <c r="Z12" s="14">
        <v>45900</v>
      </c>
      <c r="AA12" s="16" t="s">
        <v>281</v>
      </c>
    </row>
    <row r="13" spans="1:27">
      <c r="B13" s="11" t="s">
        <v>265</v>
      </c>
      <c r="C13" s="11" t="s">
        <v>274</v>
      </c>
      <c r="D13" s="2">
        <v>25.92</v>
      </c>
      <c r="E13" s="12" t="s">
        <v>263</v>
      </c>
      <c r="F13" s="15">
        <v>0.15604697907967013</v>
      </c>
      <c r="G13" s="15">
        <f>F13 - Portfolio_Mgmt!$C$10</f>
        <v>3.864697907967013E-2</v>
      </c>
      <c r="H13" s="15">
        <f>F13 - Portfolio_Mgmt!$C$11</f>
        <v>0.12154697907967013</v>
      </c>
      <c r="I13" s="15">
        <v>0</v>
      </c>
      <c r="J13" s="2">
        <v>15.989209461106965</v>
      </c>
      <c r="K13" s="2">
        <v>36.134621832566509</v>
      </c>
      <c r="L13" s="2">
        <v>31.999534598013469</v>
      </c>
      <c r="M13" s="2">
        <v>22.32380510445234</v>
      </c>
      <c r="N13" s="2">
        <v>28.601981247202922</v>
      </c>
      <c r="O13" s="4">
        <v>9.7961705531751445E-2</v>
      </c>
      <c r="P13" s="4">
        <v>4.3209876543209867E-2</v>
      </c>
      <c r="Q13" s="4">
        <v>8.3350635997632802E-2</v>
      </c>
      <c r="R13" s="4">
        <v>0.15660042549334799</v>
      </c>
      <c r="S13" s="94">
        <v>0.29736257886212014</v>
      </c>
      <c r="T13" s="93">
        <v>1.7899036999493159</v>
      </c>
      <c r="U13" s="15">
        <v>0.40281804358844397</v>
      </c>
      <c r="V13" s="90">
        <v>3.955391512509995</v>
      </c>
      <c r="W13" s="85">
        <v>-26.938493611476797</v>
      </c>
      <c r="X13" s="13" t="s">
        <v>266</v>
      </c>
      <c r="Y13" s="11" t="s">
        <v>154</v>
      </c>
      <c r="Z13" s="14">
        <v>45900</v>
      </c>
      <c r="AA13" s="16" t="s">
        <v>282</v>
      </c>
    </row>
    <row r="14" spans="1:27">
      <c r="B14" s="11" t="s">
        <v>242</v>
      </c>
      <c r="C14" s="11" t="s">
        <v>243</v>
      </c>
      <c r="D14" s="2">
        <v>6.71</v>
      </c>
      <c r="E14" s="12" t="s">
        <v>153</v>
      </c>
      <c r="F14" s="15">
        <v>0.153274687854283</v>
      </c>
      <c r="G14" s="15">
        <f>F14 - Portfolio_Mgmt!$C$10</f>
        <v>3.5874687854282994E-2</v>
      </c>
      <c r="H14" s="15">
        <f>F14 - Portfolio_Mgmt!$C$11</f>
        <v>0.118774687854283</v>
      </c>
      <c r="I14" s="15">
        <v>0</v>
      </c>
      <c r="J14" s="2">
        <v>4.1429089339374165</v>
      </c>
      <c r="K14" s="2">
        <v>8.907024280044471</v>
      </c>
      <c r="L14" s="2">
        <v>8.2041509021452459</v>
      </c>
      <c r="M14" s="2">
        <v>5.7521924416119656</v>
      </c>
      <c r="N14" s="2">
        <v>7.343804403405878</v>
      </c>
      <c r="O14" s="4">
        <v>0.11746624624378617</v>
      </c>
      <c r="P14" s="4">
        <v>5.9276536417822663E-2</v>
      </c>
      <c r="Q14" s="4">
        <v>0.12477871842229639</v>
      </c>
      <c r="R14" s="4">
        <v>7.7304831872868032E-2</v>
      </c>
      <c r="S14" s="94">
        <v>1.0025080757150273</v>
      </c>
      <c r="T14" s="93">
        <v>1.6100746083165727</v>
      </c>
      <c r="U14" s="15">
        <v>0.16360901428944893</v>
      </c>
      <c r="V14" s="90">
        <v>1.1309485990394448</v>
      </c>
      <c r="W14" s="85">
        <v>-3.880003978918134</v>
      </c>
      <c r="X14" s="13" t="s">
        <v>218</v>
      </c>
      <c r="Y14" s="11" t="s">
        <v>154</v>
      </c>
      <c r="Z14" s="14">
        <v>45900</v>
      </c>
      <c r="AA14" s="16" t="s">
        <v>281</v>
      </c>
    </row>
    <row r="15" spans="1:27">
      <c r="B15" s="11" t="s">
        <v>247</v>
      </c>
      <c r="C15" s="11" t="s">
        <v>248</v>
      </c>
      <c r="D15" s="2">
        <v>19.36</v>
      </c>
      <c r="E15" s="12" t="s">
        <v>153</v>
      </c>
      <c r="F15" s="15">
        <v>0.11054567779557312</v>
      </c>
      <c r="G15" s="15">
        <f>F15 - Portfolio_Mgmt!$C$10</f>
        <v>-6.8543222044268881E-3</v>
      </c>
      <c r="H15" s="15">
        <f>F15 - Portfolio_Mgmt!$C$11</f>
        <v>7.6045677795573113E-2</v>
      </c>
      <c r="I15" s="15">
        <v>0</v>
      </c>
      <c r="J15" s="2">
        <v>10.846357673848024</v>
      </c>
      <c r="K15" s="2">
        <v>21.968758226348868</v>
      </c>
      <c r="L15" s="2">
        <v>21.220699139526428</v>
      </c>
      <c r="M15" s="2">
        <v>14.964572530067358</v>
      </c>
      <c r="N15" s="2">
        <v>19.027476031641555</v>
      </c>
      <c r="O15" s="4">
        <v>8.9255476207108955E-2</v>
      </c>
      <c r="P15" s="4">
        <v>7.0247933884297523E-2</v>
      </c>
      <c r="Q15" s="4">
        <v>0.10515362778966494</v>
      </c>
      <c r="R15" s="4">
        <v>0.11295218450174714</v>
      </c>
      <c r="S15" s="94">
        <v>0.71055479556740742</v>
      </c>
      <c r="T15" s="93">
        <v>1.3101832741522048</v>
      </c>
      <c r="U15" s="15">
        <v>0.15818859882129041</v>
      </c>
      <c r="V15" s="90">
        <v>1.4550387206421544</v>
      </c>
      <c r="W15" s="85">
        <v>5.8696003638854428</v>
      </c>
      <c r="X15" s="13" t="s">
        <v>246</v>
      </c>
      <c r="Y15" s="11" t="s">
        <v>154</v>
      </c>
      <c r="Z15" s="14">
        <v>45808</v>
      </c>
      <c r="AA15" s="16" t="s">
        <v>281</v>
      </c>
    </row>
    <row r="16" spans="1:27">
      <c r="B16" s="11" t="s">
        <v>155</v>
      </c>
      <c r="C16" s="11" t="s">
        <v>233</v>
      </c>
      <c r="D16" s="2">
        <v>8.2799999999999994</v>
      </c>
      <c r="E16" s="12" t="s">
        <v>153</v>
      </c>
      <c r="F16" s="15">
        <v>0.10925447859933213</v>
      </c>
      <c r="G16" s="15">
        <f>F16 - Portfolio_Mgmt!$C$10</f>
        <v>-8.1455214006678767E-3</v>
      </c>
      <c r="H16" s="15">
        <f>F16 - Portfolio_Mgmt!$C$11</f>
        <v>7.4754478599332125E-2</v>
      </c>
      <c r="I16" s="15">
        <v>0</v>
      </c>
      <c r="J16" s="2">
        <v>4.6237469150396135</v>
      </c>
      <c r="K16" s="2">
        <v>9.3641570609339322</v>
      </c>
      <c r="L16" s="2">
        <v>9.0460821298724845</v>
      </c>
      <c r="M16" s="2">
        <v>6.3792496771334868</v>
      </c>
      <c r="N16" s="2">
        <v>8.1111667082917602</v>
      </c>
      <c r="O16" s="4">
        <v>3.7306566664524761E-2</v>
      </c>
      <c r="P16" s="4">
        <v>7.0048309178743967E-2</v>
      </c>
      <c r="Q16" s="4">
        <v>2.0056091670558843E-2</v>
      </c>
      <c r="R16" s="4">
        <v>0.38237459335905039</v>
      </c>
      <c r="S16" s="94">
        <v>4.8426484563194767E-2</v>
      </c>
      <c r="T16" s="93">
        <v>1.0831144117242246</v>
      </c>
      <c r="U16" s="15">
        <v>1.8509098960546238E-2</v>
      </c>
      <c r="V16" s="90">
        <v>1.1933697905849452</v>
      </c>
      <c r="W16" s="85">
        <v>11.511512740854835</v>
      </c>
      <c r="X16" s="13" t="s">
        <v>235</v>
      </c>
      <c r="Y16" s="11" t="s">
        <v>234</v>
      </c>
      <c r="Z16" s="14">
        <v>45900</v>
      </c>
      <c r="AA16" s="16" t="s">
        <v>281</v>
      </c>
    </row>
    <row r="17" spans="2:27">
      <c r="B17" s="11" t="s">
        <v>259</v>
      </c>
      <c r="C17" s="11" t="s">
        <v>260</v>
      </c>
      <c r="D17" s="2">
        <v>2.67</v>
      </c>
      <c r="E17" s="12" t="s">
        <v>153</v>
      </c>
      <c r="F17" s="15">
        <v>6.1416797926589828E-2</v>
      </c>
      <c r="G17" s="15">
        <f>F17 - Portfolio_Mgmt!$C$10</f>
        <v>-5.5983202073410177E-2</v>
      </c>
      <c r="H17" s="15">
        <f>F17 - Portfolio_Mgmt!$C$11</f>
        <v>2.6916797926589825E-2</v>
      </c>
      <c r="I17" s="15">
        <v>0</v>
      </c>
      <c r="J17" s="2">
        <v>1.2945523720789367</v>
      </c>
      <c r="K17" s="2">
        <v>2.8370956707486386</v>
      </c>
      <c r="L17" s="2">
        <v>2.573888904266783</v>
      </c>
      <c r="M17" s="2">
        <v>1.8012017434964176</v>
      </c>
      <c r="N17" s="2">
        <v>2.3026901765952292</v>
      </c>
      <c r="O17" s="4">
        <v>3.1540844419063532E-2</v>
      </c>
      <c r="P17" s="4">
        <v>4.178624329792751E-2</v>
      </c>
      <c r="Q17" s="4">
        <v>4.3343218812144944E-2</v>
      </c>
      <c r="R17" s="4">
        <v>8.412806495964277E-2</v>
      </c>
      <c r="S17" s="94">
        <v>0.42808280043619051</v>
      </c>
      <c r="T17" s="93">
        <v>1.2035176992971439</v>
      </c>
      <c r="U17" s="15">
        <v>1.0763175939415467E-2</v>
      </c>
      <c r="V17" s="90">
        <v>0.29882156160837919</v>
      </c>
      <c r="W17" s="85">
        <v>1.9121752113007313</v>
      </c>
      <c r="X17" s="13" t="s">
        <v>261</v>
      </c>
      <c r="Y17" s="11" t="s">
        <v>255</v>
      </c>
      <c r="Z17" s="14">
        <v>45900</v>
      </c>
      <c r="AA17" s="11" t="s">
        <v>281</v>
      </c>
    </row>
    <row r="18" spans="2:27">
      <c r="B18" s="11" t="s">
        <v>230</v>
      </c>
      <c r="C18" s="11" t="s">
        <v>253</v>
      </c>
      <c r="D18" s="2">
        <v>1.83</v>
      </c>
      <c r="E18" s="12" t="s">
        <v>153</v>
      </c>
      <c r="F18" s="15">
        <v>4.9114924667453375E-2</v>
      </c>
      <c r="G18" s="15">
        <f>F18 - Portfolio_Mgmt!$C$10</f>
        <v>-6.828507533254663E-2</v>
      </c>
      <c r="H18" s="15">
        <f>F18 - Portfolio_Mgmt!$C$11</f>
        <v>1.4614924667453372E-2</v>
      </c>
      <c r="I18" s="15">
        <v>0</v>
      </c>
      <c r="J18" s="2">
        <v>0.82648230361166808</v>
      </c>
      <c r="K18" s="2">
        <v>2.1131011468081908</v>
      </c>
      <c r="L18" s="2">
        <v>1.7009631025661165</v>
      </c>
      <c r="M18" s="2">
        <v>1.1711712249606363</v>
      </c>
      <c r="N18" s="2">
        <v>1.514587208466269</v>
      </c>
      <c r="O18" s="4">
        <v>5.2391564177797344E-3</v>
      </c>
      <c r="P18" s="4">
        <v>0</v>
      </c>
      <c r="Q18" s="4">
        <v>3.7288355461672987E-3</v>
      </c>
      <c r="R18" s="4">
        <v>2.8327145387125552E-2</v>
      </c>
      <c r="S18" s="94">
        <v>0.11998888979909481</v>
      </c>
      <c r="T18" s="93">
        <v>1.0970574812713703</v>
      </c>
      <c r="U18" s="15">
        <v>1.4790654865358754E-2</v>
      </c>
      <c r="V18" s="90">
        <v>3.4432102574884196</v>
      </c>
      <c r="W18" s="85">
        <v>2.0258239687205015</v>
      </c>
      <c r="X18" s="13" t="s">
        <v>254</v>
      </c>
      <c r="Y18" s="11" t="s">
        <v>255</v>
      </c>
      <c r="Z18" s="14">
        <v>45900</v>
      </c>
      <c r="AA18" s="11" t="s">
        <v>281</v>
      </c>
    </row>
    <row r="19" spans="2:27">
      <c r="B19" s="11" t="s">
        <v>294</v>
      </c>
      <c r="C19" s="11" t="s">
        <v>295</v>
      </c>
      <c r="D19" s="2">
        <v>47.8</v>
      </c>
      <c r="E19" s="12" t="s">
        <v>153</v>
      </c>
      <c r="F19" s="15">
        <v>-7.8960977262645282E-2</v>
      </c>
      <c r="G19" s="15">
        <f>F19 - Portfolio_Mgmt!$C$10</f>
        <v>-0.19636097726264529</v>
      </c>
      <c r="H19" s="15">
        <f>F19 - Portfolio_Mgmt!$C$11</f>
        <v>-0.11346097726264529</v>
      </c>
      <c r="I19" s="15">
        <v>0</v>
      </c>
      <c r="J19" s="2">
        <v>15.46541426368313</v>
      </c>
      <c r="K19" s="2">
        <v>33.20903366081091</v>
      </c>
      <c r="L19" s="2">
        <v>30.618175006932312</v>
      </c>
      <c r="M19" s="2">
        <v>21.469978322655386</v>
      </c>
      <c r="N19" s="2">
        <v>27.40830178418765</v>
      </c>
      <c r="O19" s="4">
        <v>5.1643973474421914E-2</v>
      </c>
      <c r="P19" s="4">
        <v>3.126349127364017E-2</v>
      </c>
      <c r="Q19" s="4">
        <v>0.21039827332068567</v>
      </c>
      <c r="R19" s="4">
        <v>0.21042753223383909</v>
      </c>
      <c r="S19" s="94">
        <v>0.51682300464832642</v>
      </c>
      <c r="T19" s="93">
        <v>1.9346293526540752</v>
      </c>
      <c r="U19" s="15">
        <v>0.19606600851240996</v>
      </c>
      <c r="V19" s="90">
        <v>0.84886197155458731</v>
      </c>
      <c r="W19" s="85">
        <v>-5.9219183497152414</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4.3799999999999999E-2</v>
      </c>
      <c r="D4" s="34">
        <v>7.4999999999999997E-2</v>
      </c>
      <c r="E4" s="35">
        <f>D4-C4</f>
        <v>3.1199999999999999E-2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showGridLines="0" zoomScaleNormal="100" workbookViewId="0">
      <selection activeCell="F3" sqref="F3"/>
    </sheetView>
  </sheetViews>
  <sheetFormatPr defaultColWidth="9" defaultRowHeight="12.75"/>
  <cols>
    <col min="1" max="1" width="2.6640625" style="64" customWidth="1"/>
    <col min="2" max="2" width="17.33203125" style="64" bestFit="1" customWidth="1"/>
    <col min="3" max="3" width="13.796875" style="64" bestFit="1" customWidth="1"/>
    <col min="4"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118725.1+291336.37</f>
        <v>410061.47</v>
      </c>
      <c r="G3" s="72">
        <f>F3/$F$10</f>
        <v>0.4432323257041822</v>
      </c>
      <c r="H3" s="89">
        <f>Portfolio_Mgmt!E61</f>
        <v>0.3</v>
      </c>
      <c r="I3" s="95" t="s">
        <v>293</v>
      </c>
      <c r="J3" s="95" t="s">
        <v>293</v>
      </c>
      <c r="K3" s="95" t="s">
        <v>293</v>
      </c>
      <c r="L3" s="95" t="s">
        <v>293</v>
      </c>
    </row>
    <row r="4" spans="1:12">
      <c r="B4" s="77" t="s">
        <v>242</v>
      </c>
      <c r="C4" s="74">
        <f>VLOOKUP(B4,Opportunities!B$3:E$30,3,FALSE)</f>
        <v>6.71</v>
      </c>
      <c r="D4" s="73" t="str">
        <f>VLOOKUP(B4,Opportunities!B$3:E$30,4,FALSE)</f>
        <v>HKD</v>
      </c>
      <c r="E4" s="70">
        <v>10000</v>
      </c>
      <c r="F4" s="75">
        <f>E4*C4</f>
        <v>67100</v>
      </c>
      <c r="G4" s="72">
        <f>F4/$F$10</f>
        <v>7.2527879917005197E-2</v>
      </c>
      <c r="H4" s="72">
        <f>VLOOKUP(B4,Opportunities!B$3:I$30,8,FALSE)</f>
        <v>0</v>
      </c>
      <c r="I4" s="96">
        <f>VLOOKUP(B4,Opportunities!B$3:N$30,12,FALSE)</f>
        <v>5.7521924416119656</v>
      </c>
      <c r="J4" s="96">
        <f>VLOOKUP(B4,Opportunities!B$3:N$30,9,FALSE)</f>
        <v>4.1429089339374165</v>
      </c>
      <c r="K4" s="96">
        <f>VLOOKUP(B4,Opportunities!B$3:N$30,11,FALSE)</f>
        <v>8.2041509021452459</v>
      </c>
      <c r="L4" s="96">
        <f>VLOOKUP(B4,Opportunities!B$3:N$30,13,FALSE)</f>
        <v>7.343804403405878</v>
      </c>
    </row>
    <row r="5" spans="1:12">
      <c r="B5" s="77" t="s">
        <v>219</v>
      </c>
      <c r="C5" s="74">
        <f>VLOOKUP(B5,Opportunities!B$3:E$30,3,FALSE)</f>
        <v>15.8</v>
      </c>
      <c r="D5" s="73" t="str">
        <f>VLOOKUP(B5,Opportunities!B$3:E$30,4,FALSE)</f>
        <v>HKD</v>
      </c>
      <c r="E5" s="70">
        <v>9000</v>
      </c>
      <c r="F5" s="75">
        <f>C5*E5</f>
        <v>142200</v>
      </c>
      <c r="G5" s="72">
        <f>F5/$F$10</f>
        <v>0.15370289901934633</v>
      </c>
      <c r="H5" s="72">
        <f>VLOOKUP(B5,Opportunities!B$3:I$30,8,FALSE)</f>
        <v>0.11527682286252861</v>
      </c>
      <c r="I5" s="96">
        <f>VLOOKUP(B5,Opportunities!B$3:N$30,12,FALSE)</f>
        <v>15.184358730762506</v>
      </c>
      <c r="J5" s="96">
        <f>VLOOKUP(B5,Opportunities!B$3:N$30,9,FALSE)</f>
        <v>10.816659231694064</v>
      </c>
      <c r="K5" s="96">
        <f>VLOOKUP(B5,Opportunities!B$3:N$30,11,FALSE)</f>
        <v>21.871517923158621</v>
      </c>
      <c r="L5" s="96">
        <f>VLOOKUP(B5,Opportunities!B$3:N$30,13,FALSE)</f>
        <v>19.521735429730246</v>
      </c>
    </row>
    <row r="6" spans="1:12">
      <c r="B6" s="77" t="s">
        <v>267</v>
      </c>
      <c r="C6" s="74">
        <f>VLOOKUP(B6,Opportunities!B$3:E$30,3,FALSE)</f>
        <v>18.100000000000001</v>
      </c>
      <c r="D6" s="73" t="str">
        <f>VLOOKUP(B6,Opportunities!B$3:E$30,4,FALSE)</f>
        <v>HKD</v>
      </c>
      <c r="E6" s="70">
        <v>8000</v>
      </c>
      <c r="F6" s="75">
        <f>C6*E6</f>
        <v>144800</v>
      </c>
      <c r="G6" s="72">
        <f>F6/$F$10</f>
        <v>0.1565132192545805</v>
      </c>
      <c r="H6" s="72">
        <f>VLOOKUP(B6,Opportunities!B$3:I$30,8,FALSE)</f>
        <v>0.18212164991915783</v>
      </c>
      <c r="I6" s="96">
        <f>VLOOKUP(B6,Opportunities!B$3:N$30,12,FALSE)</f>
        <v>18.339106982254417</v>
      </c>
      <c r="J6" s="96">
        <f>VLOOKUP(B6,Opportunities!B$3:N$30,9,FALSE)</f>
        <v>13.206697055190944</v>
      </c>
      <c r="K6" s="96">
        <f>VLOOKUP(B6,Opportunities!B$3:N$30,11,FALSE)</f>
        <v>26.159480072057065</v>
      </c>
      <c r="L6" s="96">
        <f>VLOOKUP(B6,Opportunities!B$3:N$30,13,FALSE)</f>
        <v>23.415408860297315</v>
      </c>
    </row>
    <row r="7" spans="1:12">
      <c r="B7" s="77" t="s">
        <v>284</v>
      </c>
      <c r="C7" s="74">
        <f>VLOOKUP(B7,Opportunities!B$3:E$30,3,FALSE)</f>
        <v>5.54</v>
      </c>
      <c r="D7" s="73" t="str">
        <f>VLOOKUP(B7,Opportunities!B$3:E$30,4,FALSE)</f>
        <v>HKD</v>
      </c>
      <c r="E7" s="70">
        <v>10000</v>
      </c>
      <c r="F7" s="75">
        <f>C7*E7</f>
        <v>55400</v>
      </c>
      <c r="G7" s="72">
        <f t="shared" ref="G7" si="0">F7/$F$10</f>
        <v>5.9881438858451382E-2</v>
      </c>
      <c r="H7" s="72">
        <f>VLOOKUP(B7,Opportunities!B$3:I$30,8,FALSE)</f>
        <v>0</v>
      </c>
      <c r="I7" s="96">
        <f>VLOOKUP(B7,Opportunities!B$3:N$30,12,FALSE)</f>
        <v>4.8197379854720408</v>
      </c>
      <c r="J7" s="96">
        <f>VLOOKUP(B7,Opportunities!B$3:N$30,9,FALSE)</f>
        <v>3.4769479145113666</v>
      </c>
      <c r="K7" s="96">
        <f>VLOOKUP(B7,Opportunities!B$3:N$30,11,FALSE)</f>
        <v>6.8641356814360206</v>
      </c>
      <c r="L7" s="96">
        <f>VLOOKUP(B7,Opportunities!B$3:N$30,13,FALSE)</f>
        <v>6.1469536878205542</v>
      </c>
    </row>
    <row r="8" spans="1:12">
      <c r="B8" s="77" t="s">
        <v>287</v>
      </c>
      <c r="C8" s="74">
        <f>VLOOKUP(B8,Opportunities!B$3:E$30,3,FALSE)</f>
        <v>2.64</v>
      </c>
      <c r="D8" s="73" t="str">
        <f>VLOOKUP(B8,Opportunities!B$3:E$30,4,FALSE)</f>
        <v>HKD</v>
      </c>
      <c r="E8" s="70">
        <v>40000</v>
      </c>
      <c r="F8" s="75">
        <f>C8*E8</f>
        <v>105600</v>
      </c>
      <c r="G8" s="72">
        <f t="shared" ref="G8" si="1">F8/$F$10</f>
        <v>0.11414223724643441</v>
      </c>
      <c r="H8" s="72">
        <f>VLOOKUP(B8,Opportunities!B$3:I$30,8,FALSE)</f>
        <v>0.22913138494225443</v>
      </c>
      <c r="I8" s="96">
        <f>VLOOKUP(B8,Opportunities!B$3:N$30,12,FALSE)</f>
        <v>3.039853505232323</v>
      </c>
      <c r="J8" s="96">
        <f>VLOOKUP(B8,Opportunities!B$3:N$30,9,FALSE)</f>
        <v>2.2019752270440667</v>
      </c>
      <c r="K8" s="96">
        <f>VLOOKUP(B8,Opportunities!B$3:N$30,11,FALSE)</f>
        <v>4.3130669791905083</v>
      </c>
      <c r="L8" s="96">
        <f>VLOOKUP(B8,Opportunities!B$3:N$30,13,FALSE)</f>
        <v>3.8666759160925035</v>
      </c>
    </row>
    <row r="9" spans="1:12">
      <c r="B9" s="66"/>
      <c r="C9" s="69"/>
      <c r="D9" s="66"/>
      <c r="H9" s="88"/>
    </row>
    <row r="10" spans="1:12" ht="13.15">
      <c r="B10" s="78"/>
      <c r="C10" s="79"/>
      <c r="D10" s="78"/>
      <c r="E10" s="80" t="s">
        <v>222</v>
      </c>
      <c r="F10" s="80">
        <f>SUM(F3:F8)</f>
        <v>925161.47</v>
      </c>
      <c r="G10" s="81">
        <f>SUM(G3:G8)</f>
        <v>1</v>
      </c>
      <c r="H10" s="87">
        <f>SUM(H3:H8)</f>
        <v>0.82652985772394083</v>
      </c>
      <c r="I10" s="97" t="s">
        <v>293</v>
      </c>
      <c r="J10" s="97" t="s">
        <v>293</v>
      </c>
      <c r="K10" s="97" t="s">
        <v>293</v>
      </c>
      <c r="L10" s="97" t="s">
        <v>293</v>
      </c>
    </row>
    <row r="11" spans="1:12">
      <c r="B11" s="66"/>
      <c r="C11" s="69"/>
      <c r="D11" s="66"/>
      <c r="E11" s="70"/>
      <c r="F11" s="70"/>
    </row>
    <row r="12" spans="1:12" ht="13.15">
      <c r="A12" s="62"/>
      <c r="B12" s="63" t="s">
        <v>220</v>
      </c>
    </row>
    <row r="13" spans="1:12">
      <c r="B13" s="77" t="s">
        <v>287</v>
      </c>
      <c r="C13" s="74">
        <f>VLOOKUP(B13,Opportunities!B$3:E$30,3,FALSE)</f>
        <v>2.64</v>
      </c>
      <c r="D13" s="73" t="str">
        <f>VLOOKUP(B13,Opportunities!B$3:E$30,4,FALSE)</f>
        <v>HKD</v>
      </c>
      <c r="E13" s="70">
        <v>0</v>
      </c>
      <c r="F13" s="75">
        <f>-C13*E13</f>
        <v>0</v>
      </c>
      <c r="G13" s="72">
        <f>-F13/$F$10</f>
        <v>0</v>
      </c>
      <c r="H13" s="72">
        <f>VLOOKUP(B13,Opportunities!B$3:I$30,8,FALSE)</f>
        <v>0.22913138494225443</v>
      </c>
      <c r="I13" s="96">
        <f>VLOOKUP(B13,Opportunities!B$3:N$30,12,FALSE)</f>
        <v>3.039853505232323</v>
      </c>
      <c r="J13" s="96">
        <f>VLOOKUP(B13,Opportunities!B$3:N$30,9,FALSE)</f>
        <v>2.2019752270440667</v>
      </c>
      <c r="K13" s="96">
        <f>VLOOKUP(B13,Opportunities!B$3:N$30,11,FALSE)</f>
        <v>4.3130669791905083</v>
      </c>
      <c r="L13" s="96">
        <f>VLOOKUP(B13,Opportunities!B$3:N$30,13,FALSE)</f>
        <v>3.8666759160925035</v>
      </c>
    </row>
    <row r="14" spans="1:12">
      <c r="B14" s="77" t="s">
        <v>242</v>
      </c>
      <c r="C14" s="74">
        <f>VLOOKUP(B14,Opportunities!B$3:E$30,3,FALSE)</f>
        <v>6.71</v>
      </c>
      <c r="D14" s="73" t="str">
        <f>VLOOKUP(B14,Opportunities!B$3:E$30,4,FALSE)</f>
        <v>HKD</v>
      </c>
      <c r="E14" s="70">
        <v>0</v>
      </c>
      <c r="F14" s="75">
        <f>-C14*E14</f>
        <v>0</v>
      </c>
      <c r="G14" s="72">
        <f>-F14/$F$10</f>
        <v>0</v>
      </c>
      <c r="H14" s="72">
        <f>VLOOKUP(B14,Opportunities!B$3:I$30,8,FALSE)</f>
        <v>0</v>
      </c>
      <c r="I14" s="96">
        <f>VLOOKUP(B14,Opportunities!B$3:N$30,12,FALSE)</f>
        <v>5.7521924416119656</v>
      </c>
      <c r="J14" s="96">
        <f>VLOOKUP(B14,Opportunities!B$3:N$30,9,FALSE)</f>
        <v>4.1429089339374165</v>
      </c>
      <c r="K14" s="96">
        <f>VLOOKUP(B14,Opportunities!B$3:N$30,11,FALSE)</f>
        <v>8.2041509021452459</v>
      </c>
      <c r="L14" s="96">
        <f>VLOOKUP(B14,Opportunities!B$3:N$30,13,FALSE)</f>
        <v>7.343804403405878</v>
      </c>
    </row>
    <row r="15" spans="1:12">
      <c r="B15" s="77" t="s">
        <v>284</v>
      </c>
      <c r="C15" s="74">
        <f>VLOOKUP(B15,Opportunities!B$3:E$30,3,FALSE)</f>
        <v>5.54</v>
      </c>
      <c r="D15" s="73" t="str">
        <f>VLOOKUP(B15,Opportunities!B$3:E$30,4,FALSE)</f>
        <v>HKD</v>
      </c>
      <c r="E15" s="70">
        <v>0</v>
      </c>
      <c r="F15" s="75">
        <f>-C15*E15</f>
        <v>0</v>
      </c>
      <c r="G15" s="72">
        <f>-F15/$F$10</f>
        <v>0</v>
      </c>
      <c r="H15" s="72">
        <f>VLOOKUP(B15,Opportunities!B$3:I$30,8,FALSE)</f>
        <v>0</v>
      </c>
      <c r="I15" s="96">
        <f>VLOOKUP(B15,Opportunities!B$3:N$30,12,FALSE)</f>
        <v>4.8197379854720408</v>
      </c>
      <c r="J15" s="96">
        <f>VLOOKUP(B15,Opportunities!B$3:N$30,9,FALSE)</f>
        <v>3.4769479145113666</v>
      </c>
      <c r="K15" s="96">
        <f>VLOOKUP(B15,Opportunities!B$3:N$30,11,FALSE)</f>
        <v>6.8641356814360206</v>
      </c>
      <c r="L15" s="96">
        <f>VLOOKUP(B15,Opportunities!B$3:N$30,13,FALSE)</f>
        <v>6.1469536878205542</v>
      </c>
    </row>
    <row r="16" spans="1:12">
      <c r="B16" s="77" t="s">
        <v>267</v>
      </c>
      <c r="C16" s="74">
        <f>VLOOKUP(B16,Opportunities!B$3:E$30,3,FALSE)</f>
        <v>18.100000000000001</v>
      </c>
      <c r="D16" s="73" t="str">
        <f>VLOOKUP(B16,Opportunities!B$3:E$30,4,FALSE)</f>
        <v>HKD</v>
      </c>
      <c r="E16" s="70">
        <v>0</v>
      </c>
      <c r="F16" s="75">
        <f>-C16*E16</f>
        <v>0</v>
      </c>
      <c r="G16" s="72">
        <f>-F16/$F$10</f>
        <v>0</v>
      </c>
      <c r="H16" s="72">
        <f>VLOOKUP(B16,Opportunities!B$3:I$30,8,FALSE)</f>
        <v>0.18212164991915783</v>
      </c>
      <c r="I16" s="96">
        <f>VLOOKUP(B16,Opportunities!B$3:N$30,12,FALSE)</f>
        <v>18.339106982254417</v>
      </c>
      <c r="J16" s="96">
        <f>VLOOKUP(B16,Opportunities!B$3:N$30,9,FALSE)</f>
        <v>13.206697055190944</v>
      </c>
      <c r="K16" s="96">
        <f>VLOOKUP(B16,Opportunities!B$3:N$30,11,FALSE)</f>
        <v>26.159480072057065</v>
      </c>
      <c r="L16" s="96">
        <f>VLOOKUP(B16,Opportunities!B$3:N$30,13,FALSE)</f>
        <v>23.415408860297315</v>
      </c>
    </row>
    <row r="17" spans="1:12">
      <c r="G17" s="86"/>
      <c r="H17" s="86"/>
    </row>
    <row r="18" spans="1:12" ht="13.15">
      <c r="B18" s="82" t="s">
        <v>221</v>
      </c>
      <c r="C18" s="83" t="s">
        <v>215</v>
      </c>
      <c r="D18" s="84" t="s">
        <v>153</v>
      </c>
      <c r="E18" s="83" t="s">
        <v>215</v>
      </c>
      <c r="F18" s="80">
        <f>F3+SUM(F13:F16)</f>
        <v>410061.47</v>
      </c>
      <c r="G18" s="87">
        <f t="shared" ref="G18" si="2">F18/$F$10</f>
        <v>0.4432323257041822</v>
      </c>
      <c r="H18" s="87">
        <f>Portfolio_Mgmt!E61</f>
        <v>0.3</v>
      </c>
      <c r="I18" s="97" t="s">
        <v>293</v>
      </c>
      <c r="J18" s="97" t="s">
        <v>293</v>
      </c>
      <c r="K18" s="97" t="s">
        <v>293</v>
      </c>
      <c r="L18" s="97" t="s">
        <v>293</v>
      </c>
    </row>
    <row r="20" spans="1:12" ht="13.15">
      <c r="A20" s="62"/>
      <c r="B20" s="63" t="s">
        <v>296</v>
      </c>
      <c r="C20" s="69"/>
      <c r="D20" s="66"/>
      <c r="E20" s="70"/>
      <c r="F20" s="70"/>
    </row>
    <row r="21" spans="1:12" ht="13.15">
      <c r="C21" s="99" t="s">
        <v>297</v>
      </c>
      <c r="D21" s="99" t="s">
        <v>300</v>
      </c>
      <c r="E21" s="99" t="s">
        <v>301</v>
      </c>
    </row>
    <row r="22" spans="1:12" ht="14.25">
      <c r="B22" s="98" t="s">
        <v>298</v>
      </c>
      <c r="C22" s="103">
        <v>200000</v>
      </c>
      <c r="D22" s="104">
        <v>7.8629699999999998</v>
      </c>
      <c r="E22" s="101">
        <f>C22/D22</f>
        <v>25435.681428264383</v>
      </c>
    </row>
    <row r="23" spans="1:12" ht="14.25">
      <c r="B23" s="98" t="s">
        <v>299</v>
      </c>
      <c r="C23" s="101">
        <f>E22</f>
        <v>25435.681428264383</v>
      </c>
      <c r="D23" s="104">
        <v>7.8387000000000002</v>
      </c>
      <c r="E23" s="100">
        <f>C23*D23</f>
        <v>199382.67601173601</v>
      </c>
    </row>
    <row r="24" spans="1:12" ht="14.25">
      <c r="C24"/>
      <c r="D24"/>
      <c r="E24"/>
    </row>
    <row r="25" spans="1:12" ht="14.25">
      <c r="C25"/>
      <c r="D25" s="102" t="s">
        <v>302</v>
      </c>
      <c r="E25" s="100">
        <f>C22-E23</f>
        <v>617.32398826399003</v>
      </c>
    </row>
    <row r="30" spans="1:12">
      <c r="B30" s="66"/>
      <c r="C30" s="69"/>
      <c r="D30" s="66"/>
      <c r="E30" s="70"/>
      <c r="F30" s="70"/>
    </row>
    <row r="31" spans="1:12">
      <c r="B31" s="66"/>
      <c r="C31" s="69"/>
      <c r="D31" s="66"/>
      <c r="E31" s="70"/>
      <c r="F31" s="70"/>
    </row>
    <row r="32" spans="1: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7" t="s">
        <v>99</v>
      </c>
      <c r="C3" s="117"/>
      <c r="D3" s="117"/>
    </row>
    <row r="5" spans="1:4">
      <c r="B5" s="118" t="s">
        <v>101</v>
      </c>
      <c r="C5" s="106"/>
      <c r="D5" s="106"/>
    </row>
    <row r="6" spans="1:4">
      <c r="B6" s="118" t="s">
        <v>102</v>
      </c>
      <c r="C6" s="106"/>
      <c r="D6" s="106"/>
    </row>
    <row r="8" spans="1:4">
      <c r="B8" s="1" t="s">
        <v>100</v>
      </c>
    </row>
    <row r="10" spans="1:4">
      <c r="A10" s="5"/>
      <c r="B10" s="6" t="s">
        <v>103</v>
      </c>
    </row>
    <row r="11" spans="1:4">
      <c r="B11" s="117" t="s">
        <v>104</v>
      </c>
      <c r="C11" s="117"/>
      <c r="D11" s="117"/>
    </row>
    <row r="12" spans="1:4">
      <c r="B12" s="117" t="s">
        <v>105</v>
      </c>
      <c r="C12" s="117"/>
      <c r="D12" s="11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7" t="s">
        <v>117</v>
      </c>
      <c r="C28" s="117"/>
      <c r="D28" s="117"/>
    </row>
    <row r="29" spans="1:4">
      <c r="B29" s="117" t="s">
        <v>118</v>
      </c>
      <c r="C29" s="117"/>
      <c r="D29" s="11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2025-06-24T01:13:54Z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