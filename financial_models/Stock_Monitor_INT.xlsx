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2A6A56E-D39A-4B69-B12C-EB9BD89C9DEB}"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H11" i="7" l="1"/>
  <c r="F9" i="7"/>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D112" i="5"/>
  <c r="G3" i="7" l="1"/>
  <c r="G4" i="7"/>
  <c r="G11" i="7" l="1"/>
</calcChain>
</file>

<file path=xl/sharedStrings.xml><?xml version="1.0" encoding="utf-8"?>
<sst xmlns="http://schemas.openxmlformats.org/spreadsheetml/2006/main" count="378" uniqueCount="296">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</sst>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0.18062449138812822</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J5" sqref="J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0.28164513964422611</v>
      </c>
      <c r="G3" s="15">
        <f>F3 - Portfolio_Mgmt!$C$10</f>
        <v>0.1642451396442261</v>
      </c>
      <c r="H3" s="15">
        <f>F3 - Portfolio_Mgmt!$C$11</f>
        <v>0.2471451396442261</v>
      </c>
      <c r="I3" s="15">
        <v>0.22997697847922652</v>
      </c>
      <c r="J3" s="2">
        <v>2.2516930066250125</v>
      </c>
      <c r="K3" s="2">
        <v>4.4858408799140586</v>
      </c>
      <c r="L3" s="85">
        <v>4.3910827513866675</v>
      </c>
      <c r="M3" s="2">
        <v>3.101365529948271</v>
      </c>
      <c r="N3" s="2">
        <v>3.939054009870663</v>
      </c>
      <c r="O3" s="4">
        <v>7.9724725033409882E-2</v>
      </c>
      <c r="P3" s="4">
        <v>0.11152416356877323</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1.93</v>
      </c>
      <c r="E4" s="12" t="s">
        <v>153</v>
      </c>
      <c r="F4" s="15">
        <v>0.23784293912282584</v>
      </c>
      <c r="G4" s="15">
        <f>F4 - Portfolio_Mgmt!$C$10</f>
        <v>0.12044293912282583</v>
      </c>
      <c r="H4" s="15">
        <f>F4 - Portfolio_Mgmt!$C$11</f>
        <v>0.20334293912282583</v>
      </c>
      <c r="I4" s="15">
        <v>0.19421034767786541</v>
      </c>
      <c r="J4" s="2">
        <v>1.4500188240967717</v>
      </c>
      <c r="K4" s="2">
        <v>3.2836042240737875</v>
      </c>
      <c r="L4" s="85">
        <v>2.90322450024177</v>
      </c>
      <c r="M4" s="2">
        <v>2.0249542815734265</v>
      </c>
      <c r="N4" s="2">
        <v>2.594817766746059</v>
      </c>
      <c r="O4" s="4">
        <v>6.9885473164318174E-2</v>
      </c>
      <c r="P4" s="4">
        <v>5.1813471502590677E-2</v>
      </c>
      <c r="Q4" s="4">
        <v>4.7832973362251327E-2</v>
      </c>
      <c r="R4" s="4">
        <v>7.8104812973574481E-2</v>
      </c>
      <c r="S4" s="94">
        <v>0.49619793491400876</v>
      </c>
      <c r="T4" s="93">
        <v>1.2342258232843137</v>
      </c>
      <c r="U4" s="15">
        <v>0.10863424600069688</v>
      </c>
      <c r="V4" s="90">
        <v>2.2824569622635926</v>
      </c>
      <c r="W4" s="85">
        <v>1.845616509311427</v>
      </c>
      <c r="X4" s="13" t="s">
        <v>258</v>
      </c>
      <c r="Y4" s="11" t="s">
        <v>154</v>
      </c>
      <c r="Z4" s="14">
        <v>45900</v>
      </c>
      <c r="AA4" s="16" t="s">
        <v>281</v>
      </c>
    </row>
    <row r="5" spans="1:27">
      <c r="B5" s="11" t="s">
        <v>267</v>
      </c>
      <c r="C5" s="11" t="s">
        <v>268</v>
      </c>
      <c r="D5" s="2">
        <v>18.52</v>
      </c>
      <c r="E5" s="12" t="s">
        <v>153</v>
      </c>
      <c r="F5" s="15">
        <v>0.21952405646856232</v>
      </c>
      <c r="G5" s="15">
        <f>F5 - Portfolio_Mgmt!$C$10</f>
        <v>0.10212405646856232</v>
      </c>
      <c r="H5" s="15">
        <f>F5 - Portfolio_Mgmt!$C$11</f>
        <v>0.18502405646856232</v>
      </c>
      <c r="I5" s="15">
        <v>0.17925208748113419</v>
      </c>
      <c r="J5" s="2">
        <v>13.428325488553369</v>
      </c>
      <c r="K5" s="2">
        <v>28.400693749122134</v>
      </c>
      <c r="L5" s="85">
        <v>26.502174650581921</v>
      </c>
      <c r="M5" s="2">
        <v>18.611442908235166</v>
      </c>
      <c r="N5" s="2">
        <v>23.734136789827936</v>
      </c>
      <c r="O5" s="4">
        <v>0.11158148168280067</v>
      </c>
      <c r="P5" s="4">
        <v>7.5593952483801297E-2</v>
      </c>
      <c r="Q5" s="4">
        <v>0.16035109536268838</v>
      </c>
      <c r="R5" s="4">
        <v>0.31929962351402291</v>
      </c>
      <c r="S5" s="94">
        <v>0.35631048934895165</v>
      </c>
      <c r="T5" s="93">
        <v>1.4094345614568822</v>
      </c>
      <c r="U5" s="15">
        <v>0.12260820136742831</v>
      </c>
      <c r="V5" s="90">
        <v>0.75207444874659302</v>
      </c>
      <c r="W5" s="85">
        <v>-0.45789063270169111</v>
      </c>
      <c r="X5" s="13" t="s">
        <v>218</v>
      </c>
      <c r="Y5" s="11" t="s">
        <v>154</v>
      </c>
      <c r="Z5" s="14">
        <v>45900</v>
      </c>
      <c r="AA5" s="16" t="s">
        <v>281</v>
      </c>
    </row>
    <row r="6" spans="1:27">
      <c r="B6" s="11" t="s">
        <v>219</v>
      </c>
      <c r="C6" s="11" t="s">
        <v>249</v>
      </c>
      <c r="D6" s="2">
        <v>15.68</v>
      </c>
      <c r="E6" s="12" t="s">
        <v>153</v>
      </c>
      <c r="F6" s="15">
        <v>0.20671879332337806</v>
      </c>
      <c r="G6" s="15">
        <f>F6 - Portfolio_Mgmt!$C$10</f>
        <v>8.9318793323378054E-2</v>
      </c>
      <c r="H6" s="15">
        <f>F6 - Portfolio_Mgmt!$C$11</f>
        <v>0.17221879332337806</v>
      </c>
      <c r="I6" s="15">
        <v>9.6560586361773781E-2</v>
      </c>
      <c r="J6" s="2">
        <v>10.896734740040809</v>
      </c>
      <c r="K6" s="2">
        <v>25.591959655999197</v>
      </c>
      <c r="L6" s="85">
        <v>21.992582487436362</v>
      </c>
      <c r="M6" s="2">
        <v>15.281742577573237</v>
      </c>
      <c r="N6" s="2">
        <v>19.634771962964685</v>
      </c>
      <c r="O6" s="4">
        <v>6.5223946516643067E-2</v>
      </c>
      <c r="P6" s="4">
        <v>3.4139095339222429E-2</v>
      </c>
      <c r="Q6" s="4">
        <v>0.1235968144647992</v>
      </c>
      <c r="R6" s="4">
        <v>0.12331921772767568</v>
      </c>
      <c r="S6" s="94">
        <v>0.73266920679685343</v>
      </c>
      <c r="T6" s="93">
        <v>1.3679448142367923</v>
      </c>
      <c r="U6" s="15">
        <v>7.4171010848313429E-2</v>
      </c>
      <c r="V6" s="90">
        <v>0.60402076709908736</v>
      </c>
      <c r="W6" s="85">
        <v>4.605640288896315</v>
      </c>
      <c r="X6" s="13" t="s">
        <v>238</v>
      </c>
      <c r="Y6" s="11" t="s">
        <v>154</v>
      </c>
      <c r="Z6" s="14">
        <v>45900</v>
      </c>
      <c r="AA6" s="16" t="s">
        <v>281</v>
      </c>
    </row>
    <row r="7" spans="1:27">
      <c r="B7" s="11" t="s">
        <v>236</v>
      </c>
      <c r="C7" s="11" t="s">
        <v>237</v>
      </c>
      <c r="D7" s="2">
        <v>54.35</v>
      </c>
      <c r="E7" s="12" t="s">
        <v>153</v>
      </c>
      <c r="F7" s="15">
        <v>0.17594942883379239</v>
      </c>
      <c r="G7" s="15">
        <f>F7 - Portfolio_Mgmt!$C$10</f>
        <v>5.8549428833792383E-2</v>
      </c>
      <c r="H7" s="15">
        <f>F7 - Portfolio_Mgmt!$C$11</f>
        <v>0.14144942883379238</v>
      </c>
      <c r="I7" s="15">
        <v>0</v>
      </c>
      <c r="J7" s="2">
        <v>35.921886877069525</v>
      </c>
      <c r="K7" s="2">
        <v>70.227691507975038</v>
      </c>
      <c r="L7" s="85">
        <v>69.796662524185322</v>
      </c>
      <c r="M7" s="2">
        <v>49.382967890011152</v>
      </c>
      <c r="N7" s="2">
        <v>62.643912470223114</v>
      </c>
      <c r="O7" s="4">
        <v>9.7836194824488382E-2</v>
      </c>
      <c r="P7" s="4">
        <v>9.3860717571297145E-2</v>
      </c>
      <c r="Q7" s="4">
        <v>0.32755394896836565</v>
      </c>
      <c r="R7" s="4">
        <v>8.9976704126159421E-2</v>
      </c>
      <c r="S7" s="94">
        <v>1.5891874956485419</v>
      </c>
      <c r="T7" s="93">
        <v>2.2907496012759174</v>
      </c>
      <c r="U7" s="15">
        <v>0.24768740031897937</v>
      </c>
      <c r="V7" s="90">
        <v>0.73855199466278643</v>
      </c>
      <c r="W7" s="85">
        <v>-2.6742140869330107</v>
      </c>
      <c r="X7" s="13" t="s">
        <v>241</v>
      </c>
      <c r="Y7" s="11" t="s">
        <v>154</v>
      </c>
      <c r="Z7" s="14">
        <v>45808</v>
      </c>
      <c r="AA7" s="16" t="s">
        <v>281</v>
      </c>
    </row>
    <row r="8" spans="1:27">
      <c r="B8" s="11" t="s">
        <v>262</v>
      </c>
      <c r="C8" s="11" t="s">
        <v>273</v>
      </c>
      <c r="D8" s="2">
        <v>21.99</v>
      </c>
      <c r="E8" s="12" t="s">
        <v>263</v>
      </c>
      <c r="F8" s="15">
        <v>0.17125970097833143</v>
      </c>
      <c r="G8" s="15">
        <f>F8 - Portfolio_Mgmt!$C$10</f>
        <v>5.3859700978331426E-2</v>
      </c>
      <c r="H8" s="15">
        <f>F8 - Portfolio_Mgmt!$C$11</f>
        <v>0.13675970097833143</v>
      </c>
      <c r="I8" s="15">
        <v>0</v>
      </c>
      <c r="J8" s="2">
        <v>13.980827278242025</v>
      </c>
      <c r="K8" s="2">
        <v>33.230161875234657</v>
      </c>
      <c r="L8" s="85">
        <v>28.292642107173183</v>
      </c>
      <c r="M8" s="2">
        <v>19.634697914672664</v>
      </c>
      <c r="N8" s="2">
        <v>25.250185101195886</v>
      </c>
      <c r="O8" s="4">
        <v>0.20731976113406977</v>
      </c>
      <c r="P8" s="4">
        <v>2.6994088221919055E-2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284</v>
      </c>
      <c r="C9" s="11" t="s">
        <v>285</v>
      </c>
      <c r="D9" s="2">
        <v>5.49</v>
      </c>
      <c r="E9" s="12" t="s">
        <v>153</v>
      </c>
      <c r="F9" s="15">
        <v>0.16271039755997063</v>
      </c>
      <c r="G9" s="15">
        <f>F9 - Portfolio_Mgmt!$C$10</f>
        <v>4.5310397559970628E-2</v>
      </c>
      <c r="H9" s="15">
        <f>F9 - Portfolio_Mgmt!$C$11</f>
        <v>0.12821039755997063</v>
      </c>
      <c r="I9" s="15">
        <v>0</v>
      </c>
      <c r="J9" s="2">
        <v>3.4769479145113666</v>
      </c>
      <c r="K9" s="2">
        <v>7.3642693066239637</v>
      </c>
      <c r="L9" s="85">
        <v>6.8641356814360206</v>
      </c>
      <c r="M9" s="2">
        <v>4.8197379854720408</v>
      </c>
      <c r="N9" s="2">
        <v>6.1469536878205542</v>
      </c>
      <c r="O9" s="4">
        <v>6.7286363268576524E-2</v>
      </c>
      <c r="P9" s="4">
        <v>6.5573770491803268E-2</v>
      </c>
      <c r="Q9" s="4">
        <v>7.0630420943605887E-2</v>
      </c>
      <c r="R9" s="4">
        <v>9.3039179367971361E-2</v>
      </c>
      <c r="S9" s="94">
        <v>0.62627525695225639</v>
      </c>
      <c r="T9" s="93">
        <v>1.2121620122817016</v>
      </c>
      <c r="U9" s="15">
        <v>1.1610019159010268E-2</v>
      </c>
      <c r="V9" s="90">
        <v>0.16381589511191816</v>
      </c>
      <c r="W9" s="85">
        <v>3.7980767021052162</v>
      </c>
      <c r="X9" s="13" t="s">
        <v>286</v>
      </c>
      <c r="Y9" s="11" t="s">
        <v>154</v>
      </c>
      <c r="Z9" s="14">
        <v>45900</v>
      </c>
      <c r="AA9" s="16" t="s">
        <v>281</v>
      </c>
    </row>
    <row r="10" spans="1:27">
      <c r="B10" s="11" t="s">
        <v>244</v>
      </c>
      <c r="C10" s="11" t="s">
        <v>245</v>
      </c>
      <c r="D10" s="2">
        <v>3.63</v>
      </c>
      <c r="E10" s="12" t="s">
        <v>153</v>
      </c>
      <c r="F10" s="15">
        <v>0.16051707285873706</v>
      </c>
      <c r="G10" s="15">
        <f>F10 - Portfolio_Mgmt!$C$10</f>
        <v>4.311707285873706E-2</v>
      </c>
      <c r="H10" s="15">
        <f>F10 - Portfolio_Mgmt!$C$11</f>
        <v>0.12601707285873706</v>
      </c>
      <c r="I10" s="15">
        <v>0</v>
      </c>
      <c r="J10" s="2">
        <v>2.2556276815093281</v>
      </c>
      <c r="K10" s="2">
        <v>5.2246962590200807</v>
      </c>
      <c r="L10" s="85">
        <v>4.5385417708791076</v>
      </c>
      <c r="M10" s="2">
        <v>3.1582019073444916</v>
      </c>
      <c r="N10" s="2">
        <v>4.0536685441183486</v>
      </c>
      <c r="O10" s="4">
        <v>7.8226594326083893E-2</v>
      </c>
      <c r="P10" s="4">
        <v>3.526170798898072E-2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265</v>
      </c>
      <c r="C11" s="11" t="s">
        <v>274</v>
      </c>
      <c r="D11" s="2">
        <v>26.73</v>
      </c>
      <c r="E11" s="12" t="s">
        <v>263</v>
      </c>
      <c r="F11" s="15">
        <v>0.16020301829123884</v>
      </c>
      <c r="G11" s="15">
        <f>F11 - Portfolio_Mgmt!$C$10</f>
        <v>4.2803018291238837E-2</v>
      </c>
      <c r="H11" s="15">
        <f>F11 - Portfolio_Mgmt!$C$11</f>
        <v>0.12570301829123884</v>
      </c>
      <c r="I11" s="15">
        <v>0</v>
      </c>
      <c r="J11" s="2">
        <v>16.7846939344021</v>
      </c>
      <c r="K11" s="2">
        <v>36.134621832566509</v>
      </c>
      <c r="L11" s="85">
        <v>33.247786953152008</v>
      </c>
      <c r="M11" s="2">
        <v>23.307997499907511</v>
      </c>
      <c r="N11" s="2">
        <v>29.760030747653474</v>
      </c>
      <c r="O11" s="4">
        <v>9.4993169000486252E-2</v>
      </c>
      <c r="P11" s="4">
        <v>5.9857837635615418E-2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239</v>
      </c>
      <c r="C12" s="11" t="s">
        <v>240</v>
      </c>
      <c r="D12" s="2">
        <v>53.1</v>
      </c>
      <c r="E12" s="12" t="s">
        <v>153</v>
      </c>
      <c r="F12" s="15">
        <v>0.14588516919794459</v>
      </c>
      <c r="G12" s="15">
        <f>F12 - Portfolio_Mgmt!$C$10</f>
        <v>2.8485169197944582E-2</v>
      </c>
      <c r="H12" s="15">
        <f>F12 - Portfolio_Mgmt!$C$11</f>
        <v>0.11138516919794458</v>
      </c>
      <c r="I12" s="15">
        <v>0</v>
      </c>
      <c r="J12" s="2">
        <v>31.861612935153723</v>
      </c>
      <c r="K12" s="2">
        <v>72.929109771793577</v>
      </c>
      <c r="L12" s="85">
        <v>63.941960863857545</v>
      </c>
      <c r="M12" s="2">
        <v>44.549507546880776</v>
      </c>
      <c r="N12" s="2">
        <v>57.131164523505241</v>
      </c>
      <c r="O12" s="4">
        <v>4.3409215756069888E-2</v>
      </c>
      <c r="P12" s="4">
        <v>3.7924412576927399E-2</v>
      </c>
      <c r="Q12" s="4">
        <v>0.13507634899929027</v>
      </c>
      <c r="R12" s="4">
        <v>0.12563608329822304</v>
      </c>
      <c r="S12" s="94">
        <v>0.62432788948992113</v>
      </c>
      <c r="T12" s="93">
        <v>1.7220755031358876</v>
      </c>
      <c r="U12" s="15">
        <v>9.5579625064196368E-3</v>
      </c>
      <c r="V12" s="90">
        <v>7.3592411949940734E-2</v>
      </c>
      <c r="W12" s="85">
        <v>1.3578311345749545</v>
      </c>
      <c r="X12" s="13" t="s">
        <v>238</v>
      </c>
      <c r="Y12" s="11" t="s">
        <v>154</v>
      </c>
      <c r="Z12" s="14">
        <v>45900</v>
      </c>
      <c r="AA12" s="16" t="s">
        <v>282</v>
      </c>
    </row>
    <row r="13" spans="1:27">
      <c r="B13" s="11" t="s">
        <v>250</v>
      </c>
      <c r="C13" s="11" t="s">
        <v>251</v>
      </c>
      <c r="D13" s="2">
        <v>14.32</v>
      </c>
      <c r="E13" s="12" t="s">
        <v>153</v>
      </c>
      <c r="F13" s="15">
        <v>0.14536363097586458</v>
      </c>
      <c r="G13" s="15">
        <f>F13 - Portfolio_Mgmt!$C$10</f>
        <v>2.7963630975864573E-2</v>
      </c>
      <c r="H13" s="15">
        <f>F13 - Portfolio_Mgmt!$C$11</f>
        <v>0.11086363097586457</v>
      </c>
      <c r="I13" s="15">
        <v>0</v>
      </c>
      <c r="J13" s="2">
        <v>8.6727612805096435</v>
      </c>
      <c r="K13" s="2">
        <v>18.602496600013303</v>
      </c>
      <c r="L13" s="2">
        <v>17.166250769839781</v>
      </c>
      <c r="M13" s="2">
        <v>12.038576982425681</v>
      </c>
      <c r="N13" s="2">
        <v>15.367107939093373</v>
      </c>
      <c r="O13" s="4">
        <v>0.10844472096381917</v>
      </c>
      <c r="P13" s="4">
        <v>5.8861499999999997E-2</v>
      </c>
      <c r="Q13" s="4">
        <v>0.26418084035591299</v>
      </c>
      <c r="R13" s="4">
        <v>0.11373778029033205</v>
      </c>
      <c r="S13" s="94">
        <v>0.70652858717908329</v>
      </c>
      <c r="T13" s="93">
        <v>3.2875080906148866</v>
      </c>
      <c r="U13" s="15">
        <v>1.5035598705501618</v>
      </c>
      <c r="V13" s="90">
        <v>4.1998196571663646</v>
      </c>
      <c r="W13" s="85">
        <v>-12.27530985489412</v>
      </c>
      <c r="X13" s="13" t="s">
        <v>238</v>
      </c>
      <c r="Y13" s="11" t="s">
        <v>252</v>
      </c>
      <c r="Z13" s="14">
        <v>45900</v>
      </c>
      <c r="AA13" s="16" t="s">
        <v>282</v>
      </c>
    </row>
    <row r="14" spans="1:27">
      <c r="B14" s="11" t="s">
        <v>242</v>
      </c>
      <c r="C14" s="11" t="s">
        <v>243</v>
      </c>
      <c r="D14" s="2">
        <v>6.94</v>
      </c>
      <c r="E14" s="12" t="s">
        <v>153</v>
      </c>
      <c r="F14" s="15">
        <v>0.14531949503203423</v>
      </c>
      <c r="G14" s="15">
        <f>F14 - Portfolio_Mgmt!$C$10</f>
        <v>2.7919495032034225E-2</v>
      </c>
      <c r="H14" s="15">
        <f>F14 - Portfolio_Mgmt!$C$11</f>
        <v>0.11081949503203423</v>
      </c>
      <c r="I14" s="15">
        <v>0</v>
      </c>
      <c r="J14" s="2">
        <v>4.2128949711671142</v>
      </c>
      <c r="K14" s="2">
        <v>8.8987025996349356</v>
      </c>
      <c r="L14" s="2">
        <v>8.3123797847707088</v>
      </c>
      <c r="M14" s="2">
        <v>5.838195523277439</v>
      </c>
      <c r="N14" s="2">
        <v>7.4444622169126422</v>
      </c>
      <c r="O14" s="4">
        <v>0.11346716309938486</v>
      </c>
      <c r="P14" s="4">
        <v>6.3680044726799556E-2</v>
      </c>
      <c r="Q14" s="4">
        <v>0.12477871842229639</v>
      </c>
      <c r="R14" s="4">
        <v>7.7304831872868032E-2</v>
      </c>
      <c r="S14" s="94">
        <v>1.0025080757150273</v>
      </c>
      <c r="T14" s="93">
        <v>1.6100746083165727</v>
      </c>
      <c r="U14" s="15">
        <v>0.16360901428944893</v>
      </c>
      <c r="V14" s="90">
        <v>1.1309485990394448</v>
      </c>
      <c r="W14" s="85">
        <v>-3.8763789575770975</v>
      </c>
      <c r="X14" s="13" t="s">
        <v>218</v>
      </c>
      <c r="Y14" s="11" t="s">
        <v>154</v>
      </c>
      <c r="Z14" s="14">
        <v>45900</v>
      </c>
      <c r="AA14" s="16" t="s">
        <v>281</v>
      </c>
    </row>
    <row r="15" spans="1:27">
      <c r="B15" s="11" t="s">
        <v>247</v>
      </c>
      <c r="C15" s="11" t="s">
        <v>248</v>
      </c>
      <c r="D15" s="2">
        <v>19</v>
      </c>
      <c r="E15" s="12" t="s">
        <v>153</v>
      </c>
      <c r="F15" s="15">
        <v>0.11797380818186931</v>
      </c>
      <c r="G15" s="15">
        <f>F15 - Portfolio_Mgmt!$C$10</f>
        <v>5.7380818186930638E-4</v>
      </c>
      <c r="H15" s="15">
        <f>F15 - Portfolio_Mgmt!$C$11</f>
        <v>8.3473808181869308E-2</v>
      </c>
      <c r="I15" s="15">
        <v>0</v>
      </c>
      <c r="J15" s="2">
        <v>10.846357673848024</v>
      </c>
      <c r="K15" s="2">
        <v>21.968758226348868</v>
      </c>
      <c r="L15" s="2">
        <v>21.220699139526428</v>
      </c>
      <c r="M15" s="2">
        <v>14.964572530067358</v>
      </c>
      <c r="N15" s="2">
        <v>19.027476031641555</v>
      </c>
      <c r="O15" s="4">
        <v>9.094663259840155E-2</v>
      </c>
      <c r="P15" s="4">
        <v>7.1578947368421061E-2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8.15</v>
      </c>
      <c r="E16" s="12" t="s">
        <v>153</v>
      </c>
      <c r="F16" s="15">
        <v>0.11550570160916585</v>
      </c>
      <c r="G16" s="15">
        <f>F16 - Portfolio_Mgmt!$C$10</f>
        <v>-1.8942983908341593E-3</v>
      </c>
      <c r="H16" s="15">
        <f>F16 - Portfolio_Mgmt!$C$11</f>
        <v>8.1005701609165842E-2</v>
      </c>
      <c r="I16" s="15">
        <v>0</v>
      </c>
      <c r="J16" s="2">
        <v>4.6237469150396135</v>
      </c>
      <c r="K16" s="2">
        <v>9.3641570609339322</v>
      </c>
      <c r="L16" s="2">
        <v>9.0460821298724845</v>
      </c>
      <c r="M16" s="2">
        <v>6.3792496771334868</v>
      </c>
      <c r="N16" s="2">
        <v>8.1111667082917602</v>
      </c>
      <c r="O16" s="4">
        <v>3.7901640734020248E-2</v>
      </c>
      <c r="P16" s="4">
        <v>7.1165644171779133E-2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230</v>
      </c>
      <c r="C17" s="11" t="s">
        <v>253</v>
      </c>
      <c r="D17" s="2">
        <v>1.76</v>
      </c>
      <c r="E17" s="12" t="s">
        <v>153</v>
      </c>
      <c r="F17" s="15">
        <v>6.2843218767976605E-2</v>
      </c>
      <c r="G17" s="15">
        <f>F17 - Portfolio_Mgmt!$C$10</f>
        <v>-5.4556781232023399E-2</v>
      </c>
      <c r="H17" s="15">
        <f>F17 - Portfolio_Mgmt!$C$11</f>
        <v>2.8343218767976602E-2</v>
      </c>
      <c r="I17" s="15">
        <v>0</v>
      </c>
      <c r="J17" s="2">
        <v>0.82648230361166808</v>
      </c>
      <c r="K17" s="2">
        <v>2.1131011468081908</v>
      </c>
      <c r="L17" s="2">
        <v>1.7009631025661165</v>
      </c>
      <c r="M17" s="2">
        <v>1.1711712249606363</v>
      </c>
      <c r="N17" s="2">
        <v>1.514587208466269</v>
      </c>
      <c r="O17" s="4">
        <v>5.4475319571232472E-3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3.05</v>
      </c>
      <c r="E18" s="12" t="s">
        <v>153</v>
      </c>
      <c r="F18" s="15">
        <v>1.3364148859083436E-2</v>
      </c>
      <c r="G18" s="15">
        <f>F18 - Portfolio_Mgmt!$C$10</f>
        <v>-0.10403585114091657</v>
      </c>
      <c r="H18" s="15">
        <f>F18 - Portfolio_Mgmt!$C$11</f>
        <v>-2.1135851140916567E-2</v>
      </c>
      <c r="I18" s="15">
        <v>0</v>
      </c>
      <c r="J18" s="2">
        <v>1.2936730592460099</v>
      </c>
      <c r="K18" s="2">
        <v>2.834405410270775</v>
      </c>
      <c r="L18" s="2">
        <v>2.5719946758323902</v>
      </c>
      <c r="M18" s="2">
        <v>1.7999246138655851</v>
      </c>
      <c r="N18" s="2">
        <v>2.3010136227530928</v>
      </c>
      <c r="O18" s="4">
        <v>2.7585790585072534E-2</v>
      </c>
      <c r="P18" s="4">
        <v>3.6614296506088079E-2</v>
      </c>
      <c r="Q18" s="4">
        <v>4.3343881533167553E-2</v>
      </c>
      <c r="R18" s="4">
        <v>8.412935128398065E-2</v>
      </c>
      <c r="S18" s="94">
        <v>0.42808280043619051</v>
      </c>
      <c r="T18" s="93">
        <v>1.2035176992971439</v>
      </c>
      <c r="U18" s="15">
        <v>1.0763175939415467E-2</v>
      </c>
      <c r="V18" s="90">
        <v>0.29882156160837919</v>
      </c>
      <c r="W18" s="85">
        <v>1.910388698713005</v>
      </c>
      <c r="X18" s="13" t="s">
        <v>261</v>
      </c>
      <c r="Y18" s="11" t="s">
        <v>255</v>
      </c>
      <c r="Z18" s="14">
        <v>45900</v>
      </c>
      <c r="AA18" s="11" t="s">
        <v>281</v>
      </c>
    </row>
    <row r="19" spans="2:27">
      <c r="B19" s="11" t="s">
        <v>294</v>
      </c>
      <c r="C19" s="11" t="s">
        <v>295</v>
      </c>
      <c r="D19" s="2">
        <v>50.15</v>
      </c>
      <c r="E19" s="12" t="s">
        <v>153</v>
      </c>
      <c r="F19" s="15">
        <v>-9.8595701784031209E-2</v>
      </c>
      <c r="G19" s="15">
        <f>F19 - Portfolio_Mgmt!$C$10</f>
        <v>-0.21599570178403121</v>
      </c>
      <c r="H19" s="15">
        <f>F19 - Portfolio_Mgmt!$C$11</f>
        <v>-0.13309570178403121</v>
      </c>
      <c r="I19" s="15">
        <v>0</v>
      </c>
      <c r="J19" s="2">
        <v>15.243413565733329</v>
      </c>
      <c r="K19" s="2">
        <v>32.734974170923991</v>
      </c>
      <c r="L19" s="2">
        <v>30.179167378278677</v>
      </c>
      <c r="M19" s="2">
        <v>21.161970196851307</v>
      </c>
      <c r="N19" s="2">
        <v>27.015254809865393</v>
      </c>
      <c r="O19" s="4">
        <v>4.8496813803793899E-2</v>
      </c>
      <c r="P19" s="4">
        <v>2.9358308688334996E-2</v>
      </c>
      <c r="Q19" s="4">
        <v>0.21039827332068567</v>
      </c>
      <c r="R19" s="4">
        <v>0.21042753223383909</v>
      </c>
      <c r="S19" s="94">
        <v>0.51682300464832642</v>
      </c>
      <c r="T19" s="93">
        <v>1.9346293526540752</v>
      </c>
      <c r="U19" s="15">
        <v>0.19606600851240996</v>
      </c>
      <c r="V19" s="90">
        <v>0.84886197155458731</v>
      </c>
      <c r="W19" s="85">
        <v>-5.8344377867115664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tabSelected="1" zoomScaleNormal="100" workbookViewId="0">
      <selection activeCell="D14" sqref="D14"/>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v>270000</v>
      </c>
      <c r="G3" s="72">
        <f>F3/$F$11</f>
        <v>0.28858486532706284</v>
      </c>
      <c r="H3" s="89">
        <f>Portfolio_Mgmt!E61</f>
        <v>0.3</v>
      </c>
      <c r="I3" s="95" t="s">
        <v>293</v>
      </c>
      <c r="J3" s="95" t="s">
        <v>293</v>
      </c>
      <c r="K3" s="95" t="s">
        <v>293</v>
      </c>
      <c r="L3" s="95" t="s">
        <v>293</v>
      </c>
    </row>
    <row r="4" spans="1:12">
      <c r="B4" s="77" t="s">
        <v>242</v>
      </c>
      <c r="C4" s="74">
        <f>VLOOKUP(B4,Opportunities!B$3:E$30,3,FALSE)</f>
        <v>6.94</v>
      </c>
      <c r="D4" s="73" t="str">
        <f>VLOOKUP(B4,Opportunities!B$3:E$30,4,FALSE)</f>
        <v>HKD</v>
      </c>
      <c r="E4" s="70">
        <v>18000</v>
      </c>
      <c r="F4" s="75">
        <f>E4*C4</f>
        <v>124920</v>
      </c>
      <c r="G4" s="72">
        <f>F4/$F$11</f>
        <v>0.13351859769132107</v>
      </c>
      <c r="H4" s="72">
        <f>VLOOKUP(B4,Opportunities!B$3:I$30,8,FALSE)</f>
        <v>0</v>
      </c>
      <c r="I4" s="96">
        <f>VLOOKUP(B4,Opportunities!B$3:N$30,12,FALSE)</f>
        <v>5.838195523277439</v>
      </c>
      <c r="J4" s="96">
        <f>VLOOKUP(B4,Opportunities!B$3:N$30,9,FALSE)</f>
        <v>4.2128949711671142</v>
      </c>
      <c r="K4" s="96">
        <f>VLOOKUP(B4,Opportunities!B$3:N$30,11,FALSE)</f>
        <v>8.3123797847707088</v>
      </c>
      <c r="L4" s="96">
        <f>VLOOKUP(B4,Opportunities!B$3:N$30,13,FALSE)</f>
        <v>7.4444622169126422</v>
      </c>
    </row>
    <row r="5" spans="1:12">
      <c r="B5" s="77" t="s">
        <v>219</v>
      </c>
      <c r="C5" s="74">
        <f>VLOOKUP(B5,Opportunities!B$3:E$30,3,FALSE)</f>
        <v>15.68</v>
      </c>
      <c r="D5" s="73" t="str">
        <f>VLOOKUP(B5,Opportunities!B$3:E$30,4,FALSE)</f>
        <v>HKD</v>
      </c>
      <c r="E5" s="70">
        <v>9000</v>
      </c>
      <c r="F5" s="75">
        <f>C5*E5</f>
        <v>141120</v>
      </c>
      <c r="G5" s="72">
        <f>F5/$F$11</f>
        <v>0.15083368961094484</v>
      </c>
      <c r="H5" s="72">
        <f>VLOOKUP(B5,Opportunities!B$3:I$30,8,FALSE)</f>
        <v>9.6560586361773781E-2</v>
      </c>
      <c r="I5" s="96">
        <f>VLOOKUP(B5,Opportunities!B$3:N$30,12,FALSE)</f>
        <v>15.281742577573237</v>
      </c>
      <c r="J5" s="96">
        <f>VLOOKUP(B5,Opportunities!B$3:N$30,9,FALSE)</f>
        <v>10.896734740040809</v>
      </c>
      <c r="K5" s="96">
        <f>VLOOKUP(B5,Opportunities!B$3:N$30,11,FALSE)</f>
        <v>21.992582487436362</v>
      </c>
      <c r="L5" s="96">
        <f>VLOOKUP(B5,Opportunities!B$3:N$30,13,FALSE)</f>
        <v>19.634771962964685</v>
      </c>
    </row>
    <row r="6" spans="1:12">
      <c r="B6" s="77" t="s">
        <v>267</v>
      </c>
      <c r="C6" s="74">
        <f>VLOOKUP(B6,Opportunities!B$3:E$30,3,FALSE)</f>
        <v>18.52</v>
      </c>
      <c r="D6" s="73" t="str">
        <f>VLOOKUP(B6,Opportunities!B$3:E$30,4,FALSE)</f>
        <v>HKD</v>
      </c>
      <c r="E6" s="70">
        <v>8000</v>
      </c>
      <c r="F6" s="75">
        <f>C6*E6</f>
        <v>148160</v>
      </c>
      <c r="G6" s="72">
        <f>F6/$F$11</f>
        <v>0.15835827276613937</v>
      </c>
      <c r="H6" s="72">
        <f>VLOOKUP(B6,Opportunities!B$3:I$30,8,FALSE)</f>
        <v>0.17925208748113419</v>
      </c>
      <c r="I6" s="96">
        <f>VLOOKUP(B6,Opportunities!B$3:N$30,12,FALSE)</f>
        <v>18.611442908235166</v>
      </c>
      <c r="J6" s="96">
        <f>VLOOKUP(B6,Opportunities!B$3:N$30,9,FALSE)</f>
        <v>13.428325488553369</v>
      </c>
      <c r="K6" s="96">
        <f>VLOOKUP(B6,Opportunities!B$3:N$30,11,FALSE)</f>
        <v>26.502174650581921</v>
      </c>
      <c r="L6" s="96">
        <f>VLOOKUP(B6,Opportunities!B$3:N$30,13,FALSE)</f>
        <v>23.734136789827936</v>
      </c>
    </row>
    <row r="7" spans="1:12">
      <c r="B7" s="77" t="s">
        <v>256</v>
      </c>
      <c r="C7" s="74">
        <f>VLOOKUP(B7,Opportunities!B$3:E$30,3,FALSE)</f>
        <v>1.93</v>
      </c>
      <c r="D7" s="73" t="str">
        <f>VLOOKUP(B7,Opportunities!B$3:E$30,4,FALSE)</f>
        <v>HKD</v>
      </c>
      <c r="E7" s="70">
        <f>2000*30</f>
        <v>60000</v>
      </c>
      <c r="F7" s="75">
        <f>C7*E7</f>
        <v>115800</v>
      </c>
      <c r="G7" s="72">
        <f>F7/$F$11</f>
        <v>0.12377084224027363</v>
      </c>
      <c r="H7" s="72">
        <f>VLOOKUP(B7,Opportunities!B$3:I$30,8,FALSE)</f>
        <v>0.19421034767786541</v>
      </c>
      <c r="I7" s="96">
        <f>VLOOKUP(B7,Opportunities!B$3:N$30,12,FALSE)</f>
        <v>2.0249542815734265</v>
      </c>
      <c r="J7" s="96">
        <f>VLOOKUP(B7,Opportunities!B$3:N$30,9,FALSE)</f>
        <v>1.4500188240967717</v>
      </c>
      <c r="K7" s="96">
        <f>VLOOKUP(B7,Opportunities!B$3:N$30,11,FALSE)</f>
        <v>2.90322450024177</v>
      </c>
      <c r="L7" s="96">
        <f>VLOOKUP(B7,Opportunities!B$3:N$30,13,FALSE)</f>
        <v>2.594817766746059</v>
      </c>
    </row>
    <row r="8" spans="1:12">
      <c r="B8" s="77" t="s">
        <v>284</v>
      </c>
      <c r="C8" s="74">
        <f>VLOOKUP(B8,Opportunities!B$3:E$30,3,FALSE)</f>
        <v>5.49</v>
      </c>
      <c r="D8" s="73" t="str">
        <f>VLOOKUP(B8,Opportunities!B$3:E$30,4,FALSE)</f>
        <v>HKD</v>
      </c>
      <c r="E8" s="70">
        <v>10000</v>
      </c>
      <c r="F8" s="75">
        <f>C8*E8</f>
        <v>54900</v>
      </c>
      <c r="G8" s="72">
        <f t="shared" ref="G8" si="0">F8/$F$11</f>
        <v>5.8678922616502781E-2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8.6254809747755457E-2</v>
      </c>
      <c r="H9" s="72">
        <f>VLOOKUP(B9,Opportunities!B$3:I$30,8,FALSE)</f>
        <v>0.22997697847922652</v>
      </c>
      <c r="I9" s="96">
        <f>VLOOKUP(B9,Opportunities!B$3:N$30,12,FALSE)</f>
        <v>3.101365529948271</v>
      </c>
      <c r="J9" s="96">
        <f>VLOOKUP(B9,Opportunities!B$3:N$30,9,FALSE)</f>
        <v>2.2516930066250125</v>
      </c>
      <c r="K9" s="96">
        <f>VLOOKUP(B9,Opportunities!B$3:N$30,11,FALSE)</f>
        <v>4.3910827513866675</v>
      </c>
      <c r="L9" s="96">
        <f>VLOOKUP(B9,Opportunities!B$3:N$30,13,FALSE)</f>
        <v>3.939054009870663</v>
      </c>
    </row>
    <row r="10" spans="1:12">
      <c r="B10" s="66"/>
      <c r="C10" s="69"/>
      <c r="D10" s="66"/>
      <c r="H10" s="88"/>
    </row>
    <row r="11" spans="1:12" ht="13.15">
      <c r="B11" s="78"/>
      <c r="C11" s="79"/>
      <c r="D11" s="78"/>
      <c r="E11" s="80" t="s">
        <v>222</v>
      </c>
      <c r="F11" s="80">
        <f>SUM(F3:F9)</f>
        <v>935600</v>
      </c>
      <c r="G11" s="81">
        <f>SUM(G3:G9)</f>
        <v>0.99999999999999989</v>
      </c>
      <c r="H11" s="87">
        <f>SUM(H3:H9)</f>
        <v>0.99999999999999978</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0.22997697847922652</v>
      </c>
      <c r="I14" s="96">
        <f>VLOOKUP(B14,Opportunities!B$3:N$30,12,FALSE)</f>
        <v>3.101365529948271</v>
      </c>
      <c r="J14" s="96">
        <f>VLOOKUP(B14,Opportunities!B$3:N$30,9,FALSE)</f>
        <v>2.2516930066250125</v>
      </c>
      <c r="K14" s="96">
        <f>VLOOKUP(B14,Opportunities!B$3:N$30,11,FALSE)</f>
        <v>4.3910827513866675</v>
      </c>
      <c r="L14" s="96">
        <f>VLOOKUP(B14,Opportunities!B$3:N$30,13,FALSE)</f>
        <v>3.939054009870663</v>
      </c>
    </row>
    <row r="15" spans="1:12">
      <c r="B15" s="77" t="s">
        <v>242</v>
      </c>
      <c r="C15" s="74">
        <f>VLOOKUP(B15,Opportunities!B$3:E$30,3,FALSE)</f>
        <v>6.94</v>
      </c>
      <c r="D15" s="73" t="str">
        <f>VLOOKUP(B15,Opportunities!B$3:E$30,4,FALSE)</f>
        <v>HKD</v>
      </c>
      <c r="E15" s="70">
        <v>0</v>
      </c>
      <c r="F15" s="75">
        <f>-C15*E15</f>
        <v>0</v>
      </c>
      <c r="G15" s="72">
        <f>-F15/$F$11</f>
        <v>0</v>
      </c>
      <c r="H15" s="72">
        <f>VLOOKUP(B15,Opportunities!B$3:I$30,8,FALSE)</f>
        <v>0</v>
      </c>
      <c r="I15" s="96">
        <f>VLOOKUP(B15,Opportunities!B$3:N$30,12,FALSE)</f>
        <v>5.838195523277439</v>
      </c>
      <c r="J15" s="96">
        <f>VLOOKUP(B15,Opportunities!B$3:N$30,9,FALSE)</f>
        <v>4.2128949711671142</v>
      </c>
      <c r="K15" s="96">
        <f>VLOOKUP(B15,Opportunities!B$3:N$30,11,FALSE)</f>
        <v>8.3123797847707088</v>
      </c>
      <c r="L15" s="96">
        <f>VLOOKUP(B15,Opportunities!B$3:N$30,13,FALSE)</f>
        <v>7.4444622169126422</v>
      </c>
    </row>
    <row r="16" spans="1:12">
      <c r="B16" s="77" t="s">
        <v>284</v>
      </c>
      <c r="C16" s="74">
        <f>VLOOKUP(B16,Opportunities!B$3:E$30,3,FALSE)</f>
        <v>5.49</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2:12">
      <c r="B17" s="77" t="s">
        <v>267</v>
      </c>
      <c r="C17" s="74">
        <f>VLOOKUP(B17,Opportunities!B$3:E$30,3,FALSE)</f>
        <v>18.52</v>
      </c>
      <c r="D17" s="73" t="str">
        <f>VLOOKUP(B17,Opportunities!B$3:E$30,4,FALSE)</f>
        <v>HKD</v>
      </c>
      <c r="E17" s="70">
        <v>0</v>
      </c>
      <c r="F17" s="75">
        <f>-C17*E17</f>
        <v>0</v>
      </c>
      <c r="G17" s="72">
        <f>-F17/$F$11</f>
        <v>0</v>
      </c>
      <c r="H17" s="72">
        <f>VLOOKUP(B17,Opportunities!B$3:I$30,8,FALSE)</f>
        <v>0.17925208748113419</v>
      </c>
      <c r="I17" s="96">
        <f>VLOOKUP(B17,Opportunities!B$3:N$30,12,FALSE)</f>
        <v>18.611442908235166</v>
      </c>
      <c r="J17" s="96">
        <f>VLOOKUP(B17,Opportunities!B$3:N$30,9,FALSE)</f>
        <v>13.428325488553369</v>
      </c>
      <c r="K17" s="96">
        <f>VLOOKUP(B17,Opportunities!B$3:N$30,11,FALSE)</f>
        <v>26.502174650581921</v>
      </c>
      <c r="L17" s="96">
        <f>VLOOKUP(B17,Opportunities!B$3:N$30,13,FALSE)</f>
        <v>23.734136789827936</v>
      </c>
    </row>
    <row r="18" spans="2:12">
      <c r="G18" s="86"/>
      <c r="H18" s="86"/>
    </row>
    <row r="19" spans="2:12" ht="13.15">
      <c r="B19" s="82" t="s">
        <v>221</v>
      </c>
      <c r="C19" s="83" t="s">
        <v>215</v>
      </c>
      <c r="D19" s="84" t="s">
        <v>153</v>
      </c>
      <c r="E19" s="83" t="s">
        <v>215</v>
      </c>
      <c r="F19" s="80">
        <f>F3+SUM(F14:F17)</f>
        <v>270000</v>
      </c>
      <c r="G19" s="87">
        <f t="shared" ref="G19" si="2">F19/$F$11</f>
        <v>0.28858486532706284</v>
      </c>
      <c r="H19" s="87">
        <f>Portfolio_Mgmt!E61</f>
        <v>0.3</v>
      </c>
      <c r="I19" s="97" t="s">
        <v>293</v>
      </c>
      <c r="J19" s="97" t="s">
        <v>293</v>
      </c>
      <c r="K19" s="97" t="s">
        <v>293</v>
      </c>
      <c r="L19" s="97" t="s">
        <v>293</v>
      </c>
    </row>
    <row r="21" spans="2:12">
      <c r="B21" s="66"/>
      <c r="C21" s="69"/>
      <c r="D21" s="66"/>
      <c r="E21" s="70"/>
      <c r="F21"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2025-06-09T12:28:13Z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