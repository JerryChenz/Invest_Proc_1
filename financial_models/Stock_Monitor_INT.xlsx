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B880750-C1B9-4687-AC39-7585F48F71FC}" xr6:coauthVersionLast="47" xr6:coauthVersionMax="47" xr10:uidLastSave="{00000000-0000-0000-0000-000000000000}"/>
  <bookViews>
    <workbookView xWindow="-28920" yWindow="6150" windowWidth="29040" windowHeight="15720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C19" i="11"/>
  <c r="E32" i="10"/>
  <c r="C7" i="11"/>
  <c r="C10" i="11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<sst xmlns="http://schemas.openxmlformats.org/spreadsheetml/2006/main" count="490" uniqueCount="392">
  <si>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</si>
  <si>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</si>
  <si>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</si>
  <si>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</si>
  <si>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</si>
  <si>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</si>
  <si>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</si>
  <si>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</si>
  <si>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</si>
  <si>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</si>
  <si>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</si>
  <si>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</si>
  <si>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</si>
  <si>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</si>
  <si>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</si>
  <si>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</si>
  <si>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</si>
  <si>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</si>
  <si>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</si>
  <si>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</si>
  <si>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</si>
  <si>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</si>
  <si>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</si>
  <si>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</si>
  <si>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</si>
  <si>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</si>
  <si>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</si>
  <si>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</si>
  <si>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</si>
  <si>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</si>
  <si>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</si>
  <si>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</si>
  <si>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</si>
  <si>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</si>
  <si>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</si>
  <si>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</si>
  <si>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</si>
  <si>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</si>
  <si>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</si>
  <si>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</si>
  <si>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</si>
  <si>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</si>
  <si>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</si>
  <si>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</si>
  <si>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</si>
  <si>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</si>
  <si>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</si>
  <si>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</si>
  <si>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</si>
  <si>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</si>
  <si>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</si>
  <si>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</si>
  <si>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</si>
  <si>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</si>
  <si>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</si>
  <si>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</si>
  <si>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</si>
  <si>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</si>
  <si>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</si>
  <si>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</si>
  <si>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</si>
  <si>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</si>
  <si>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</si>
  <si>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</si>
  <si>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</si>
  <si>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</si>
  <si>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</si>
  <si>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</si>
  <si>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</si>
  <si>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</si>
  <si>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</si>
  <si>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</si>
  <si>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</si>
  <si>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</si>
  <si>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</si>
  <si>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</si>
  <si>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</si>
  <si>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</si>
  <si>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</si>
  <si>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</si>
  <si>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</si>
  <si>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</si>
  <si>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</si>
  <si>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</si>
  <si>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</si>
  <si>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</si>
  <si>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</si>
  <si>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</si>
  <si>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</si>
  <si>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</si>
  <si>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</si>
  <si>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</si>
  <si>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</si>
  <si>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</si>
  <si>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</si>
  <si>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</si>
  <si>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</si>
  <si>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</si>
  <si>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</si>
  <si>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</si>
  <si>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</si>
  <si>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</si>
  <si>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</si>
  <si>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</si>
  <si>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</si>
  <si>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</si>
  <si>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</si>
  <si>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</si>
  <si>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</si>
  <si>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</si>
  <si>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</si>
  <si>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</si>
  <si>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</si>
  <si>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</si>
  <si>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</si>
  <si>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</si>
  <si>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</si>
  <si>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</si>
  <si>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</si>
  <si>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</si>
  <si>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</si>
  <si>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</si>
  <si>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</si>
  <si>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</si>
  <si>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</si>
  <si>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</si>
  <si>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</si>
  <si>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</si>
  <si>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</si>
  <si>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</si>
  <si>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</si>
  <si>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</si>
  <si>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</si>
  <si>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</si>
  <si>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</si>
  <si>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</si>
  <si>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</si>
  <si>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</si>
  <si>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</si>
  <si>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</si>
  <si>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</si>
  <si>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</si>
  <si>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</si>
  <si>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</si>
  <si>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</si>
  <si>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</si>
  <si>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</si>
  <si>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</si>
  <si>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</si>
  <si>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</si>
  <si>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</si>
  <si>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</si>
  <si>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</si>
  <si>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</si>
  <si>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</si>
  <si>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</si>
  <si>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</si>
  <si>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</si>
  <si>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</si>
  <si>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</si>
  <si>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</si>
  <si>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</si>
  <si>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</si>
  <si>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</si>
  <si>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</si>
  <si>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</si>
  <si>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</si>
  <si>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</si>
  <si>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</si>
  <si>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</si>
  <si>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</si>
  <si>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</si>
  <si>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</si>
  <si>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</si>
  <si>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</si>
  <si>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</si>
  <si>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</si>
  <si>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</si>
  <si>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</si>
  <si>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</si>
  <si>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</si>
  <si>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</si>
  <si>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</si>
  <si>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</si>
  <si>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</si>
  <si>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</si>
  <si>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</si>
  <si>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</si>
  <si>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</si>
  <si>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</si>
  <si>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</si>
  <si>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</si>
  <si>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</si>
  <si>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</si>
  <si>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</si>
  <si>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</si>
  <si>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</si>
  <si>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</si>
  <si>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</si>
  <si>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</si>
  <si>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</si>
  <si>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</si>
  <si>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</si>
  <si>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</si>
  <si>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</si>
  <si>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</si>
  <si>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</si>
  <si>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</si>
  <si>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</si>
  <si>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</si>
  <si>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</si>
  <si>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</si>
  <si>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</si>
  <si>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</si>
  <si>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</si>
  <si>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</si>
  <si>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</si>
  <si>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</si>
  <si>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</si>
  <si>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</si>
  <si>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</si>
  <si>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</si>
  <si>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</si>
  <si>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</si>
  <si>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</si>
  <si>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</si>
  <si>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</si>
  <si>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</si>
  <si>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</si>
  <si>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</si>
  <si>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</si>
  <si>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</si>
  <si>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</si>
  <si>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</si>
  <si>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</si>
  <si>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</si>
  <si>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</si>
  <si>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</si>
  <si>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</si>
  <si>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</si>
  <si>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</si>
  <si>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</si>
  <si>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</si>
  <si>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</si>
  <si>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</si>
  <si>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</si>
  <si>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</si>
  <si>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</si>
  <si>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</si>
  <si>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</si>
  <si>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</si>
  <si>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</si>
  <si>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</si>
  <si>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</si>
  <si>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</si>
  <si>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</si>
  <si>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</si>
  <si>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</si>
  <si>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</si>
  <si>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</si>
  <si>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</si>
  <si>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</si>
  <si>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</si>
  <si>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</si>
  <si>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</si>
  <si>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</si>
  <si>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</si>
  <si>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</si>
  <si>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</si>
  <si>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</si>
  <si>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</si>
  <si>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</si>
  <si>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</si>
  <si>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</si>
  <si>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</si>
  <si>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</si>
  <si>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</si>
  <si>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</si>
  <si>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</si>
  <si>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</si>
  <si>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</si>
  <si>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</si>
  <si>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</si>
  <si>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</si>
  <si>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</si>
  <si>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</si>
  <si>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</si>
  <si>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</si>
  <si>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</si>
  <si>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</si>
  <si>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</si>
  <si>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</si>
  <si>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</si>
  <si>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</si>
  <si>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</si>
  <si>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</si>
  <si>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</si>
  <si>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</si>
  <si>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</si>
  <si>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</si>
  <si>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</si>
  <si>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</si>
  <si>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</si>
  <si>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</si>
  <si>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</si>
  <si>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</si>
  <si>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</si>
  <si>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</si>
  <si>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</si>
  <si>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</si>
  <si>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</si>
  <si>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</si>
  <si>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</si>
  <si>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</si>
  <si>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</si>
  <si>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</si>
  <si>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</si>
  <si>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</si>
  <si>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</si>
  <si>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</si>
  <si>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</si>
  <si>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</si>
  <si>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</si>
  <si>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</si>
  <si>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</si>
  <si>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</si>
  <si>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</si>
  <si>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</si>
  <si>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</si>
  <si>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</si>
  <si>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</si>
  <si>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</si>
  <si>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</si>
  <si>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</si>
  <si>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</si>
  <si>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</si>
  <si>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</si>
  <si>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</si>
  <si>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</si>
  <si>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</si>
  <si>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</si>
  <si>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</si>
  <si>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</si>
  <si>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</si>
  <si>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</si>
  <si>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</si>
  <si>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</si>
  <si>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</si>
  <si>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</si>
  <si>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</si>
  <si>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</si>
  <si>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</si>
  <si>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</si>
  <si>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</si>
  <si>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</si>
  <si>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</si>
  <si>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</si>
  <si>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</si>
  <si>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</si>
  <si>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</si>
  <si>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</si>
  <si>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</si>
  <si>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</si>
  <si>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</si>
  <si>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</si>
  <si>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</si>
  <si>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</si>
  <si>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</si>
  <si>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</si>
  <si>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</si>
  <si>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</si>
  <si>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</si>
  <si>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</si>
  <si>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</si>
  <si>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</si>
  <si>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</si>
  <si>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</si>
  <si>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</si>
  <si>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</si>
  <si>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</si>
  <si>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</si>
  <si>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</si>
  <si>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</si>
  <si>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</si>
  <si>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</si>
  <si>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</si>
  <si>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</si>
  <si>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</si>
  <si>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</si>
  <si>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</si>
  <si>
    <t>Target Yield</t>
  </si>
  <si>
    <t>Entry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</si>
</sst>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2" t="s">
        <v>146</v>
      </c>
      <c r="C4" s="142"/>
      <c r="D4" s="142"/>
      <c r="E4" s="142"/>
    </row>
    <row r="6" spans="1:5">
      <c r="A6" s="20" t="s">
        <v>58</v>
      </c>
      <c r="B6" s="19" t="s">
        <v>140</v>
      </c>
      <c r="C6" s="47"/>
    </row>
    <row r="7" spans="1:5">
      <c r="B7" s="142" t="s">
        <v>205</v>
      </c>
      <c r="C7" s="142"/>
      <c r="D7" s="142"/>
      <c r="E7" s="142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2" t="s">
        <v>350</v>
      </c>
      <c r="C14" s="142"/>
      <c r="D14" s="142"/>
      <c r="E14" s="142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3" t="s">
        <v>207</v>
      </c>
      <c r="C27" s="142"/>
      <c r="D27" s="142"/>
      <c r="E27" s="142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2" t="s">
        <v>214</v>
      </c>
      <c r="C41" s="142"/>
      <c r="D41" s="142"/>
      <c r="E41" s="142"/>
    </row>
    <row r="43" spans="1:5">
      <c r="A43" s="20" t="s">
        <v>60</v>
      </c>
      <c r="B43" s="19" t="s">
        <v>355</v>
      </c>
    </row>
    <row r="45" spans="1:5">
      <c r="B45" s="43" t="s">
        <v>208</v>
      </c>
      <c r="C45" s="43"/>
      <c r="D45" s="43"/>
      <c r="E45" s="43"/>
    </row>
    <row r="46" spans="1:5">
      <c r="B46" s="26" t="s">
        <v>390</v>
      </c>
      <c r="C46" s="138">
        <v>0.3</v>
      </c>
      <c r="D46" s="137"/>
      <c r="E46" s="139"/>
    </row>
    <row r="47" spans="1:5">
      <c r="B47" s="26" t="s">
        <v>391</v>
      </c>
      <c r="C47" s="138">
        <v>0.2</v>
      </c>
      <c r="D47" s="137"/>
      <c r="E47" s="139"/>
    </row>
    <row r="49" spans="1:5">
      <c r="B49" s="20" t="s">
        <v>215</v>
      </c>
    </row>
    <row r="50" spans="1:5">
      <c r="B50" s="143" t="s">
        <v>352</v>
      </c>
      <c r="C50" s="142"/>
      <c r="D50" s="142"/>
      <c r="E50" s="142"/>
    </row>
    <row r="51" spans="1:5">
      <c r="B51" s="143" t="s">
        <v>227</v>
      </c>
      <c r="C51" s="143"/>
      <c r="D51" s="143"/>
      <c r="E51" s="143"/>
    </row>
    <row r="53" spans="1:5">
      <c r="A53" s="21" t="s">
        <v>135</v>
      </c>
      <c r="B53" s="21"/>
      <c r="C53" s="21"/>
      <c r="D53" s="21"/>
      <c r="E53" s="21"/>
    </row>
    <row r="55" spans="1:5">
      <c r="B55" s="142" t="s">
        <v>216</v>
      </c>
      <c r="C55" s="142"/>
      <c r="D55" s="142"/>
      <c r="E55" s="142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389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2" t="s">
        <v>136</v>
      </c>
      <c r="C81" s="142"/>
      <c r="D81" s="142"/>
      <c r="E81" s="142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5" sqref="F5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6" t="s">
        <v>1</v>
      </c>
      <c r="E1" s="146"/>
      <c r="F1" s="146"/>
      <c r="G1" s="147" t="s">
        <v>82</v>
      </c>
      <c r="H1" s="147"/>
      <c r="I1" s="147"/>
      <c r="J1" s="149" t="s">
        <v>4</v>
      </c>
      <c r="K1" s="149"/>
      <c r="L1" s="149"/>
      <c r="M1" s="148" t="s">
        <v>165</v>
      </c>
      <c r="N1" s="148"/>
      <c r="O1" s="144" t="s">
        <v>7</v>
      </c>
      <c r="P1" s="144"/>
      <c r="Q1" s="151" t="s">
        <v>179</v>
      </c>
      <c r="R1" s="151"/>
      <c r="S1" s="151"/>
      <c r="T1" s="151"/>
      <c r="U1" s="150" t="s">
        <v>175</v>
      </c>
      <c r="V1" s="150"/>
      <c r="W1" s="150"/>
      <c r="X1" s="145" t="s">
        <v>47</v>
      </c>
      <c r="Y1" s="145"/>
      <c r="Z1" s="145"/>
      <c r="AA1" s="14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358</v>
      </c>
      <c r="C3" s="11" t="s">
        <v>363</v>
      </c>
      <c r="D3" s="2">
        <v>10.43</v>
      </c>
      <c r="E3" s="12" t="s">
        <v>133</v>
      </c>
      <c r="F3" s="15">
        <v>0.26887075697973906</v>
      </c>
      <c r="G3" s="15">
        <f>F3 - Portfolio_Mgmt!$C$10</f>
        <v>0.15147075697973905</v>
      </c>
      <c r="H3" s="15">
        <f>F3 - Portfolio_Mgmt!$C$11</f>
        <v>0.23437075697973905</v>
      </c>
      <c r="I3" s="15">
        <v>0.16713018131833002</v>
      </c>
      <c r="J3" s="2">
        <v>9.7296163413456824</v>
      </c>
      <c r="K3" s="2">
        <v>18.923992081336472</v>
      </c>
      <c r="L3" s="71">
        <v>16.945224051441368</v>
      </c>
      <c r="M3" s="2">
        <v>12.245880540401425</v>
      </c>
      <c r="N3" s="2">
        <v>15.046585194465594</v>
      </c>
      <c r="O3" s="4">
        <v>9.815183033615861E-2</v>
      </c>
      <c r="P3" s="4">
        <v>5.8919470791071522E-2</v>
      </c>
      <c r="Q3" s="4">
        <v>0.10095819719153144</v>
      </c>
      <c r="R3" s="4">
        <v>0.12639832605502307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1.7757781884827459</v>
      </c>
      <c r="X3" s="13" t="s">
        <v>364</v>
      </c>
      <c r="Y3" s="11" t="s">
        <v>359</v>
      </c>
      <c r="Z3" s="14">
        <v>46173</v>
      </c>
      <c r="AA3" s="16" t="s">
        <v>365</v>
      </c>
    </row>
    <row r="4" spans="1:27">
      <c r="B4" s="11" t="s">
        <v>328</v>
      </c>
      <c r="C4" s="11" t="s">
        <v>366</v>
      </c>
      <c r="D4" s="2">
        <v>3.93</v>
      </c>
      <c r="E4" s="12" t="s">
        <v>133</v>
      </c>
      <c r="F4" s="15">
        <v>0.23180908848988793</v>
      </c>
      <c r="G4" s="15">
        <f>F4 - Portfolio_Mgmt!$C$10</f>
        <v>0.11440908848988793</v>
      </c>
      <c r="H4" s="15">
        <f>F4 - Portfolio_Mgmt!$C$11</f>
        <v>0.19730908848988793</v>
      </c>
      <c r="I4" s="15">
        <v>0.14555425678279871</v>
      </c>
      <c r="J4" s="2">
        <v>3.3699399749853787</v>
      </c>
      <c r="K4" s="2">
        <v>6.4389761250428785</v>
      </c>
      <c r="L4" s="71">
        <v>5.8511243804603259</v>
      </c>
      <c r="M4" s="2">
        <v>4.2356065538442582</v>
      </c>
      <c r="N4" s="2">
        <v>5.1985704938506299</v>
      </c>
      <c r="O4" s="4">
        <v>0.10988342942055231</v>
      </c>
      <c r="P4" s="4">
        <v>6.1526717557251906E-2</v>
      </c>
      <c r="Q4" s="4">
        <v>0.17304079935938224</v>
      </c>
      <c r="R4" s="4">
        <v>0.22645563866550303</v>
      </c>
      <c r="S4" s="79">
        <v>0.61200300518899786</v>
      </c>
      <c r="T4" s="78">
        <v>1.2485669045200241</v>
      </c>
      <c r="U4" s="15">
        <v>3.1120102042901991E-2</v>
      </c>
      <c r="V4" s="76">
        <v>0.17837624059729351</v>
      </c>
      <c r="W4" s="71">
        <v>1.2931833418051695</v>
      </c>
      <c r="X4" s="13" t="s">
        <v>168</v>
      </c>
      <c r="Y4" s="11" t="s">
        <v>359</v>
      </c>
      <c r="Z4" s="14">
        <v>46081</v>
      </c>
      <c r="AA4" s="16" t="s">
        <v>365</v>
      </c>
    </row>
    <row r="5" spans="1:27">
      <c r="B5" s="11" t="s">
        <v>360</v>
      </c>
      <c r="C5" s="11" t="s">
        <v>361</v>
      </c>
      <c r="D5" s="2">
        <v>6.55</v>
      </c>
      <c r="E5" s="12" t="s">
        <v>133</v>
      </c>
      <c r="F5" s="15">
        <v>0.21613572546466733</v>
      </c>
      <c r="G5" s="15">
        <f>F5 - Portfolio_Mgmt!$C$10</f>
        <v>9.8735725464667329E-2</v>
      </c>
      <c r="H5" s="15">
        <f>F5 - Portfolio_Mgmt!$C$11</f>
        <v>0.18163572546466733</v>
      </c>
      <c r="I5" s="15">
        <v>0.26827382537085409</v>
      </c>
      <c r="J5" s="2">
        <v>5.3814365192952689</v>
      </c>
      <c r="K5" s="2">
        <v>11.25643603289171</v>
      </c>
      <c r="L5" s="71">
        <v>9.4954558038529377</v>
      </c>
      <c r="M5" s="2">
        <v>6.8132615931086278</v>
      </c>
      <c r="N5" s="2">
        <v>8.410757158764735</v>
      </c>
      <c r="O5" s="4">
        <v>7.1927727306157055E-2</v>
      </c>
      <c r="P5" s="4">
        <v>2.1679389312977099E-2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-0.17087844774809768</v>
      </c>
      <c r="X5" s="13" t="s">
        <v>168</v>
      </c>
      <c r="Y5" s="11" t="s">
        <v>362</v>
      </c>
      <c r="Z5" s="14">
        <v>46081</v>
      </c>
      <c r="AA5" s="16" t="s">
        <v>180</v>
      </c>
    </row>
    <row r="6" spans="1:27">
      <c r="B6" s="11" t="s">
        <v>380</v>
      </c>
      <c r="C6" s="11" t="s">
        <v>381</v>
      </c>
      <c r="D6" s="2">
        <v>80.75</v>
      </c>
      <c r="E6" s="12" t="s">
        <v>133</v>
      </c>
      <c r="F6" s="15">
        <v>0.19578285339228979</v>
      </c>
      <c r="G6" s="15">
        <f>F6 - Portfolio_Mgmt!$C$10</f>
        <v>7.8382853392289786E-2</v>
      </c>
      <c r="H6" s="15">
        <f>F6 - Portfolio_Mgmt!$C$11</f>
        <v>0.16128285339228979</v>
      </c>
      <c r="I6" s="15">
        <v>0.23302978456004483</v>
      </c>
      <c r="J6" s="2">
        <v>63.604463677696899</v>
      </c>
      <c r="K6" s="2">
        <v>121.46081669990011</v>
      </c>
      <c r="L6" s="71">
        <v>110.42376854070062</v>
      </c>
      <c r="M6" s="2">
        <v>79.939616145775531</v>
      </c>
      <c r="N6" s="2">
        <v>98.110437633644253</v>
      </c>
      <c r="O6" s="4">
        <v>6.7579277884272246E-2</v>
      </c>
      <c r="P6" s="4">
        <v>5.6730650154798765E-2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1.4667221502342118</v>
      </c>
      <c r="X6" s="13" t="s">
        <v>375</v>
      </c>
      <c r="Y6" s="11" t="s">
        <v>362</v>
      </c>
      <c r="Z6" s="14">
        <v>46081</v>
      </c>
      <c r="AA6" s="16" t="s">
        <v>180</v>
      </c>
    </row>
    <row r="7" spans="1:27">
      <c r="B7" s="11" t="s">
        <v>382</v>
      </c>
      <c r="C7" s="11" t="s">
        <v>383</v>
      </c>
      <c r="D7" s="2">
        <v>77.7</v>
      </c>
      <c r="E7" s="12" t="s">
        <v>133</v>
      </c>
      <c r="F7" s="15">
        <v>0.19168637716804129</v>
      </c>
      <c r="G7" s="15">
        <f>F7 - Portfolio_Mgmt!$C$10</f>
        <v>7.428637716804129E-2</v>
      </c>
      <c r="H7" s="15">
        <f>F7 - Portfolio_Mgmt!$C$11</f>
        <v>0.15718637716804129</v>
      </c>
      <c r="I7" s="15">
        <v>0.22501206484691932</v>
      </c>
      <c r="J7" s="2">
        <v>60.949955185491234</v>
      </c>
      <c r="K7" s="2">
        <v>108.45244754252425</v>
      </c>
      <c r="L7" s="71">
        <v>104.5777662135353</v>
      </c>
      <c r="M7" s="2">
        <v>76.200342327849683</v>
      </c>
      <c r="N7" s="2">
        <v>93.125861826235152</v>
      </c>
      <c r="O7" s="4">
        <v>0.11680871207192643</v>
      </c>
      <c r="P7" s="4">
        <v>8.2105534105534103E-2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-19.264304502305222</v>
      </c>
      <c r="X7" s="13" t="s">
        <v>168</v>
      </c>
      <c r="Y7" s="11" t="s">
        <v>359</v>
      </c>
      <c r="Z7" s="14">
        <v>46081</v>
      </c>
      <c r="AA7" s="16" t="s">
        <v>180</v>
      </c>
    </row>
    <row r="8" spans="1:27">
      <c r="B8" s="11" t="s">
        <v>326</v>
      </c>
      <c r="C8" s="11" t="s">
        <v>327</v>
      </c>
      <c r="D8" s="2">
        <v>4.5</v>
      </c>
      <c r="E8" s="12" t="s">
        <v>133</v>
      </c>
      <c r="F8" s="15">
        <v>0.18886507023572469</v>
      </c>
      <c r="G8" s="15">
        <f>F8 - Portfolio_Mgmt!$C$10</f>
        <v>7.1465070235724681E-2</v>
      </c>
      <c r="H8" s="15">
        <f>F8 - Portfolio_Mgmt!$C$11</f>
        <v>0.15436507023572468</v>
      </c>
      <c r="I8" s="15">
        <v>0.219284014131717</v>
      </c>
      <c r="J8" s="2">
        <v>3.4947017610502455</v>
      </c>
      <c r="K8" s="2">
        <v>6.4808597690273908</v>
      </c>
      <c r="L8" s="71">
        <v>6.0371156176035647</v>
      </c>
      <c r="M8" s="2">
        <v>4.3824419959649257</v>
      </c>
      <c r="N8" s="2">
        <v>5.3690045329034906</v>
      </c>
      <c r="O8" s="4">
        <v>8.9760706367167487E-2</v>
      </c>
      <c r="P8" s="4">
        <v>6.666666666666668E-2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168</v>
      </c>
      <c r="Y8" s="11" t="s">
        <v>359</v>
      </c>
      <c r="Z8" s="14">
        <v>46173</v>
      </c>
      <c r="AA8" s="16" t="s">
        <v>180</v>
      </c>
    </row>
    <row r="9" spans="1:27">
      <c r="B9" s="11" t="s">
        <v>378</v>
      </c>
      <c r="C9" s="11" t="s">
        <v>379</v>
      </c>
      <c r="D9" s="2">
        <v>113.5</v>
      </c>
      <c r="E9" s="12" t="s">
        <v>133</v>
      </c>
      <c r="F9" s="15">
        <v>0.18597230762732159</v>
      </c>
      <c r="G9" s="15">
        <f>F9 - Portfolio_Mgmt!$C$10</f>
        <v>6.8572307627321583E-2</v>
      </c>
      <c r="H9" s="15">
        <f>F9 - Portfolio_Mgmt!$C$11</f>
        <v>0.15147230762732158</v>
      </c>
      <c r="I9" s="15">
        <v>0.21322709411147722</v>
      </c>
      <c r="J9" s="2">
        <v>86.811673697203304</v>
      </c>
      <c r="K9" s="2">
        <v>176.72034711275569</v>
      </c>
      <c r="L9" s="71">
        <v>152.41944453236147</v>
      </c>
      <c r="M9" s="2">
        <v>109.66246939395583</v>
      </c>
      <c r="N9" s="2">
        <v>135.13438242229577</v>
      </c>
      <c r="O9" s="4">
        <v>-1.0145597496135292E-2</v>
      </c>
      <c r="P9" s="4">
        <v>3.0925110132158588E-2</v>
      </c>
      <c r="Q9" s="4">
        <v>0.15</v>
      </c>
      <c r="R9" s="4">
        <v>3.3662787366748527E-2</v>
      </c>
      <c r="S9" s="79">
        <v>1.883030950761003</v>
      </c>
      <c r="T9" s="78">
        <v>2.3663758624563029</v>
      </c>
      <c r="U9" s="15">
        <v>0.36286306559603515</v>
      </c>
      <c r="V9" s="76">
        <v>22.317734925377231</v>
      </c>
      <c r="W9" s="71">
        <v>-67.263465624258046</v>
      </c>
      <c r="X9" s="13" t="s">
        <v>168</v>
      </c>
      <c r="Y9" s="11" t="s">
        <v>362</v>
      </c>
      <c r="Z9" s="14">
        <v>46265</v>
      </c>
      <c r="AA9" s="16" t="s">
        <v>180</v>
      </c>
    </row>
    <row r="10" spans="1:27">
      <c r="B10" s="11" t="s">
        <v>182</v>
      </c>
      <c r="C10" s="11" t="s">
        <v>369</v>
      </c>
      <c r="D10" s="2">
        <v>3.27</v>
      </c>
      <c r="E10" s="12" t="s">
        <v>133</v>
      </c>
      <c r="F10" s="15">
        <v>0.18222622082566256</v>
      </c>
      <c r="G10" s="15">
        <f>F10 - Portfolio_Mgmt!$C$10</f>
        <v>6.4826220825662556E-2</v>
      </c>
      <c r="H10" s="15">
        <f>F10 - Portfolio_Mgmt!$C$11</f>
        <v>0.14772622082566256</v>
      </c>
      <c r="I10" s="15">
        <v>0.20509255654847586</v>
      </c>
      <c r="J10" s="2">
        <v>2.5097460261535343</v>
      </c>
      <c r="K10" s="2">
        <v>4.4366120194593153</v>
      </c>
      <c r="L10" s="71">
        <v>4.3016714192105461</v>
      </c>
      <c r="M10" s="2">
        <v>3.1362338075574741</v>
      </c>
      <c r="N10" s="2">
        <v>3.8313906187252909</v>
      </c>
      <c r="O10" s="4">
        <v>7.4258357213923459E-2</v>
      </c>
      <c r="P10" s="4">
        <v>8.2568807339449546E-2</v>
      </c>
      <c r="Q10" s="4">
        <v>0.11354054587062024</v>
      </c>
      <c r="R10" s="4">
        <v>0.4243739445166862</v>
      </c>
      <c r="S10" s="79">
        <v>0.22035988512352028</v>
      </c>
      <c r="T10" s="78">
        <v>1.2141426890285656</v>
      </c>
      <c r="U10" s="15">
        <v>2.3107986944995245E-3</v>
      </c>
      <c r="V10" s="76">
        <v>2.0454423835375664E-2</v>
      </c>
      <c r="W10" s="71">
        <v>0.79833937207218564</v>
      </c>
      <c r="X10" s="16" t="s">
        <v>370</v>
      </c>
      <c r="Y10" s="11" t="s">
        <v>359</v>
      </c>
      <c r="Z10" s="14">
        <v>46081</v>
      </c>
      <c r="AA10" s="16" t="s">
        <v>180</v>
      </c>
    </row>
    <row r="11" spans="1:27">
      <c r="B11" s="11" t="s">
        <v>384</v>
      </c>
      <c r="C11" s="11" t="s">
        <v>385</v>
      </c>
      <c r="D11" s="2">
        <v>39.479999999999997</v>
      </c>
      <c r="E11" s="12" t="s">
        <v>133</v>
      </c>
      <c r="F11" s="15">
        <v>0.17581128918566552</v>
      </c>
      <c r="G11" s="15">
        <f>F11 - Portfolio_Mgmt!$C$10</f>
        <v>5.8411289185665516E-2</v>
      </c>
      <c r="H11" s="15">
        <f>F11 - Portfolio_Mgmt!$C$11</f>
        <v>0.14131128918566552</v>
      </c>
      <c r="I11" s="15">
        <v>0.19034351743027197</v>
      </c>
      <c r="J11" s="2">
        <v>29.493224587572751</v>
      </c>
      <c r="K11" s="2">
        <v>59.083724438897349</v>
      </c>
      <c r="L11" s="71">
        <v>51.63383630505043</v>
      </c>
      <c r="M11" s="2">
        <v>37.208034559547073</v>
      </c>
      <c r="N11" s="2">
        <v>45.803243530527567</v>
      </c>
      <c r="O11" s="4">
        <v>7.2191725975687293E-2</v>
      </c>
      <c r="P11" s="4">
        <v>3.6266514690982778E-2</v>
      </c>
      <c r="Q11" s="4">
        <v>0.2658092571428613</v>
      </c>
      <c r="R11" s="4">
        <v>0.20771863979883598</v>
      </c>
      <c r="S11" s="79">
        <v>0.65265738052043343</v>
      </c>
      <c r="T11" s="78">
        <v>1.9606920057834423</v>
      </c>
      <c r="U11" s="15">
        <v>0.67283405398617657</v>
      </c>
      <c r="V11" s="76">
        <v>2.2041306156151999</v>
      </c>
      <c r="W11" s="71">
        <v>-6.1468622721937072</v>
      </c>
      <c r="X11" s="13" t="s">
        <v>168</v>
      </c>
      <c r="Y11" s="11" t="s">
        <v>362</v>
      </c>
      <c r="Z11" s="14">
        <v>46081</v>
      </c>
      <c r="AA11" s="16" t="s">
        <v>180</v>
      </c>
    </row>
    <row r="12" spans="1:27">
      <c r="B12" s="11" t="s">
        <v>329</v>
      </c>
      <c r="C12" s="11" t="s">
        <v>367</v>
      </c>
      <c r="D12" s="2">
        <v>8.43</v>
      </c>
      <c r="E12" s="12" t="s">
        <v>133</v>
      </c>
      <c r="F12" s="15">
        <v>0.14691450693491426</v>
      </c>
      <c r="G12" s="15">
        <f>F12 - Portfolio_Mgmt!$C$10</f>
        <v>2.9514506934914253E-2</v>
      </c>
      <c r="H12" s="15">
        <f>F12 - Portfolio_Mgmt!$C$11</f>
        <v>0.11241450693491425</v>
      </c>
      <c r="I12" s="15">
        <v>5.3833314868334828E-2</v>
      </c>
      <c r="J12" s="2">
        <v>5.866513372679246</v>
      </c>
      <c r="K12" s="2">
        <v>11.598173693933841</v>
      </c>
      <c r="L12" s="71">
        <v>10.246478694108708</v>
      </c>
      <c r="M12" s="2">
        <v>7.3932425907451789</v>
      </c>
      <c r="N12" s="2">
        <v>9.0934623842816222</v>
      </c>
      <c r="O12" s="4">
        <v>8.4922998076927159E-2</v>
      </c>
      <c r="P12" s="4">
        <v>3.8368643609095816E-2</v>
      </c>
      <c r="Q12" s="4">
        <v>0.17172011493974929</v>
      </c>
      <c r="R12" s="4">
        <v>8.3606211452439974E-2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-3.0032473358549976</v>
      </c>
      <c r="X12" s="13" t="s">
        <v>368</v>
      </c>
      <c r="Y12" s="11" t="s">
        <v>362</v>
      </c>
      <c r="Z12" s="14">
        <v>46081</v>
      </c>
      <c r="AA12" s="16" t="s">
        <v>365</v>
      </c>
    </row>
    <row r="13" spans="1:27">
      <c r="B13" s="11" t="s">
        <v>376</v>
      </c>
      <c r="C13" s="11" t="s">
        <v>377</v>
      </c>
      <c r="D13" s="2">
        <v>4.7699999999999996</v>
      </c>
      <c r="E13" s="12" t="s">
        <v>133</v>
      </c>
      <c r="F13" s="15">
        <v>0.14596342489630992</v>
      </c>
      <c r="G13" s="15">
        <f>F13 - Portfolio_Mgmt!$C$10</f>
        <v>2.8563424896309919E-2</v>
      </c>
      <c r="H13" s="15">
        <f>F13 - Portfolio_Mgmt!$C$11</f>
        <v>0.11146342489630992</v>
      </c>
      <c r="I13" s="15">
        <v>5.2190677564469351E-2</v>
      </c>
      <c r="J13" s="2">
        <v>3.3058505032532972</v>
      </c>
      <c r="K13" s="2">
        <v>6.6277455556474951</v>
      </c>
      <c r="L13" s="2">
        <v>5.7883592149489207</v>
      </c>
      <c r="M13" s="2">
        <v>4.170852752110819</v>
      </c>
      <c r="N13" s="2">
        <v>5.1345919269174427</v>
      </c>
      <c r="O13" s="4">
        <v>6.5033121878868075E-2</v>
      </c>
      <c r="P13" s="4">
        <v>3.3375262054507339E-2</v>
      </c>
      <c r="Q13" s="4">
        <v>0.27382509866113364</v>
      </c>
      <c r="R13" s="4">
        <v>0.20764453215246689</v>
      </c>
      <c r="S13" s="79">
        <v>0.86056930273853416</v>
      </c>
      <c r="T13" s="78">
        <v>1.532381509863507</v>
      </c>
      <c r="U13" s="15">
        <v>0.27351475277205878</v>
      </c>
      <c r="V13" s="76">
        <v>0.94608729427783522</v>
      </c>
      <c r="W13" s="71">
        <v>0.59749676752244707</v>
      </c>
      <c r="X13" s="13" t="s">
        <v>168</v>
      </c>
      <c r="Y13" s="11" t="s">
        <v>362</v>
      </c>
      <c r="Z13" s="14">
        <v>46173</v>
      </c>
      <c r="AA13" s="16" t="s">
        <v>365</v>
      </c>
    </row>
    <row r="14" spans="1:27">
      <c r="B14" s="11" t="s">
        <v>156</v>
      </c>
      <c r="C14" s="11" t="s">
        <v>371</v>
      </c>
      <c r="D14" s="2">
        <v>20.52</v>
      </c>
      <c r="E14" s="12" t="s">
        <v>133</v>
      </c>
      <c r="F14" s="15">
        <v>0.13474719459711484</v>
      </c>
      <c r="G14" s="15">
        <f>F14 - Portfolio_Mgmt!$C$10</f>
        <v>1.734719459711484E-2</v>
      </c>
      <c r="H14" s="15">
        <f>F14 - Portfolio_Mgmt!$C$11</f>
        <v>0.10024719459711484</v>
      </c>
      <c r="I14" s="15">
        <v>6.2098421581444012E-2</v>
      </c>
      <c r="J14" s="2">
        <v>13.779995769285607</v>
      </c>
      <c r="K14" s="2">
        <v>28.224287150450262</v>
      </c>
      <c r="L14" s="2">
        <v>24.22112190890908</v>
      </c>
      <c r="M14" s="2">
        <v>17.415968896386826</v>
      </c>
      <c r="N14" s="2">
        <v>21.46982897540861</v>
      </c>
      <c r="O14" s="4">
        <v>5.5502610913527241E-2</v>
      </c>
      <c r="P14" s="4">
        <v>2.5042669474248769E-2</v>
      </c>
      <c r="Q14" s="4">
        <v>0.2</v>
      </c>
      <c r="R14" s="4">
        <v>0.13430424833028851</v>
      </c>
      <c r="S14" s="79">
        <v>1.1000000000000001</v>
      </c>
      <c r="T14" s="78">
        <v>1.3537783359692717</v>
      </c>
      <c r="U14" s="15">
        <v>6.5417684980282262E-2</v>
      </c>
      <c r="V14" s="76">
        <v>0.50358953318926281</v>
      </c>
      <c r="W14" s="71">
        <v>5.6764844888981409</v>
      </c>
      <c r="X14" s="13" t="s">
        <v>372</v>
      </c>
      <c r="Y14" s="11" t="s">
        <v>362</v>
      </c>
      <c r="Z14" s="14">
        <v>46081</v>
      </c>
      <c r="AA14" s="16" t="s">
        <v>180</v>
      </c>
    </row>
    <row r="15" spans="1:27">
      <c r="B15" s="11" t="s">
        <v>386</v>
      </c>
      <c r="C15" s="11" t="s">
        <v>387</v>
      </c>
      <c r="D15" s="2">
        <v>81.75</v>
      </c>
      <c r="E15" s="12" t="s">
        <v>133</v>
      </c>
      <c r="F15" s="15">
        <v>5.537734961015963E-2</v>
      </c>
      <c r="G15" s="15">
        <f>F15 - Portfolio_Mgmt!$C$10</f>
        <v>-6.2022650389840374E-2</v>
      </c>
      <c r="H15" s="15">
        <f>F15 - Portfolio_Mgmt!$C$11</f>
        <v>2.0877349610159628E-2</v>
      </c>
      <c r="I15" s="15">
        <v>0</v>
      </c>
      <c r="J15" s="2">
        <v>43.740224917050199</v>
      </c>
      <c r="K15" s="2">
        <v>96.097274142759304</v>
      </c>
      <c r="L15" s="2">
        <v>77.896719110977912</v>
      </c>
      <c r="M15" s="2">
        <v>55.611848462244971</v>
      </c>
      <c r="N15" s="2">
        <v>68.878719982215387</v>
      </c>
      <c r="O15" s="4">
        <v>1.525977769933503E-2</v>
      </c>
      <c r="P15" s="4">
        <v>0</v>
      </c>
      <c r="Q15" s="4">
        <v>0.15</v>
      </c>
      <c r="R15" s="4">
        <v>8.1887809309554582E-2</v>
      </c>
      <c r="S15" s="79">
        <v>1.022390799101176</v>
      </c>
      <c r="T15" s="78">
        <v>1.7916578376478161</v>
      </c>
      <c r="U15" s="15">
        <v>0.27660377540313014</v>
      </c>
      <c r="V15" s="76">
        <v>3.1316510969641755</v>
      </c>
      <c r="W15" s="71">
        <v>3.6269415427763652</v>
      </c>
      <c r="X15" s="13" t="s">
        <v>388</v>
      </c>
      <c r="Y15" s="11" t="s">
        <v>362</v>
      </c>
      <c r="Z15" s="14">
        <v>46081</v>
      </c>
      <c r="AA15" s="16" t="s">
        <v>365</v>
      </c>
    </row>
    <row r="16" spans="1:27">
      <c r="B16" s="11" t="s">
        <v>169</v>
      </c>
      <c r="C16" s="11" t="s">
        <v>373</v>
      </c>
      <c r="D16" s="2">
        <v>28.88</v>
      </c>
      <c r="E16" s="12" t="s">
        <v>133</v>
      </c>
      <c r="F16" s="15">
        <v>1.1101246888204793E-2</v>
      </c>
      <c r="G16" s="15">
        <f>F16 - Portfolio_Mgmt!$C$10</f>
        <v>-0.10629875311179521</v>
      </c>
      <c r="H16" s="15">
        <f>F16 - Portfolio_Mgmt!$C$11</f>
        <v>-2.339875311179521E-2</v>
      </c>
      <c r="I16" s="15">
        <v>0</v>
      </c>
      <c r="J16" s="2">
        <v>14.136463751015135</v>
      </c>
      <c r="K16" s="2">
        <v>26.030410860980254</v>
      </c>
      <c r="L16" s="2">
        <v>24.391916611957136</v>
      </c>
      <c r="M16" s="2">
        <v>17.718061840845053</v>
      </c>
      <c r="N16" s="2">
        <v>21.697447457735692</v>
      </c>
      <c r="O16" s="4">
        <v>8.4480452232659486E-2</v>
      </c>
      <c r="P16" s="4">
        <v>4.3628808864265928E-2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0.4681240608941879</v>
      </c>
      <c r="X16" s="13" t="s">
        <v>374</v>
      </c>
      <c r="Y16" s="11" t="s">
        <v>359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3" t="s">
        <v>233</v>
      </c>
      <c r="C4" s="142"/>
      <c r="D4" s="142"/>
      <c r="E4" s="142"/>
    </row>
    <row r="6" spans="1:5">
      <c r="A6" s="20" t="s">
        <v>58</v>
      </c>
      <c r="B6" s="19" t="s">
        <v>234</v>
      </c>
      <c r="C6" s="47"/>
    </row>
    <row r="7" spans="1:5">
      <c r="B7" s="143" t="s">
        <v>324</v>
      </c>
      <c r="C7" s="142"/>
      <c r="D7" s="142"/>
      <c r="E7" s="142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3" t="s">
        <v>249</v>
      </c>
      <c r="C24" s="142"/>
      <c r="D24" s="142"/>
      <c r="E24" s="142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</v>
      </c>
      <c r="D32" s="93" t="s">
        <v>319</v>
      </c>
      <c r="E32" s="108">
        <f>Portfolio_Mgmt!E46</f>
        <v>0</v>
      </c>
    </row>
    <row r="33" spans="1:5">
      <c r="B33" s="95" t="s">
        <v>260</v>
      </c>
      <c r="C33" s="109">
        <f>Portfolio_Mgmt!C47</f>
        <v>0.2</v>
      </c>
      <c r="D33" s="96" t="s">
        <v>265</v>
      </c>
      <c r="E33" s="97">
        <f>(C32*C33+(1-C32)*C34)/(2*C33)</f>
        <v>0.49999999999999994</v>
      </c>
    </row>
    <row r="34" spans="1:5" ht="12" thickBot="1">
      <c r="B34" s="98" t="s">
        <v>261</v>
      </c>
      <c r="C34" s="99">
        <f>E32+C33</f>
        <v>0.2</v>
      </c>
      <c r="D34" s="100" t="s">
        <v>266</v>
      </c>
      <c r="E34" s="101">
        <f>-C33/C34</f>
        <v>-1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2" t="s">
        <v>269</v>
      </c>
      <c r="C40" s="142"/>
      <c r="D40" s="142"/>
      <c r="E40" s="142"/>
    </row>
    <row r="41" spans="1:5">
      <c r="B41" s="143" t="s">
        <v>270</v>
      </c>
      <c r="C41" s="142"/>
      <c r="D41" s="142"/>
      <c r="E41" s="142"/>
    </row>
    <row r="42" spans="1:5">
      <c r="B42" s="143" t="s">
        <v>271</v>
      </c>
      <c r="C42" s="142"/>
      <c r="D42" s="142"/>
      <c r="E42" s="142"/>
    </row>
    <row r="43" spans="1:5">
      <c r="B43" s="143" t="s">
        <v>272</v>
      </c>
      <c r="C43" s="143"/>
      <c r="D43" s="143"/>
      <c r="E43" s="143"/>
    </row>
    <row r="44" spans="1:5" ht="34.25" customHeight="1">
      <c r="B44" s="142" t="s">
        <v>323</v>
      </c>
      <c r="C44" s="142"/>
      <c r="D44" s="142"/>
      <c r="E44" s="142"/>
    </row>
    <row r="46" spans="1:5">
      <c r="A46" s="21" t="s">
        <v>273</v>
      </c>
      <c r="B46" s="21"/>
      <c r="C46" s="21"/>
      <c r="D46" s="21"/>
      <c r="E46" s="21"/>
    </row>
    <row r="48" spans="1:5">
      <c r="B48" s="142" t="s">
        <v>274</v>
      </c>
      <c r="C48" s="142"/>
      <c r="D48" s="142"/>
      <c r="E48" s="142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2" t="s">
        <v>306</v>
      </c>
      <c r="C74" s="142"/>
      <c r="D74" s="142"/>
      <c r="E74" s="142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353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2" t="s">
        <v>341</v>
      </c>
      <c r="C13" s="152"/>
      <c r="D13" s="152"/>
    </row>
    <row r="14" spans="1:4">
      <c r="B14" s="153" t="s">
        <v>342</v>
      </c>
      <c r="C14" s="154"/>
      <c r="D14" s="154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351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333</v>
      </c>
    </row>
    <row r="22" spans="1:5">
      <c r="B22" s="123" t="s">
        <v>339</v>
      </c>
      <c r="C22" s="123" t="s">
        <v>354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356</v>
      </c>
    </row>
    <row r="35" spans="1:5" ht="223.25" customHeight="1">
      <c r="B35" s="155" t="s">
        <v>357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C25" sqref="C25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606091</v>
      </c>
      <c r="H3" s="58">
        <f t="shared" ref="H3:H9" si="0">G3/$G$12</f>
        <v>0.45039388685812715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20.52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6.2098421581444012E-2</v>
      </c>
      <c r="J4" s="81">
        <f>VLOOKUP(B4,Opportunities!B$3:N$30,12,FALSE)</f>
        <v>17.415968896386826</v>
      </c>
      <c r="K4" s="81">
        <f>VLOOKUP(B4,Opportunities!B$3:N$30,9,FALSE)</f>
        <v>13.779995769285607</v>
      </c>
      <c r="L4" s="81">
        <f>VLOOKUP(B4,Opportunities!B$3:N$30,11,FALSE)</f>
        <v>24.22112190890908</v>
      </c>
      <c r="M4" s="81">
        <f>VLOOKUP(B4,Opportunities!B$3:N$30,13,FALSE)</f>
        <v>21.46982897540861</v>
      </c>
    </row>
    <row r="5" spans="1:13">
      <c r="B5" s="63" t="s">
        <v>378</v>
      </c>
      <c r="C5" s="62" t="str">
        <f>VLOOKUP(B5,Opportunities!B$3:E$30,2,FALSE)</f>
        <v>京东集团</v>
      </c>
      <c r="D5" s="60">
        <f>VLOOKUP(B5,Opportunities!B$3:E$30,3,FALSE)</f>
        <v>113.5</v>
      </c>
      <c r="E5" s="59" t="str">
        <f>VLOOKUP(B5,Opportunities!B$3:E$30,4,FALSE)</f>
        <v>HKD</v>
      </c>
      <c r="F5" s="57">
        <v>2500</v>
      </c>
      <c r="G5" s="61">
        <f t="shared" si="1"/>
        <v>283750</v>
      </c>
      <c r="H5" s="58">
        <f t="shared" si="0"/>
        <v>0.21085821336398922</v>
      </c>
      <c r="I5" s="58">
        <f>VLOOKUP(B5,Opportunities!B$3:I$30,8,FALSE)</f>
        <v>0.21322709411147722</v>
      </c>
      <c r="J5" s="81">
        <f>VLOOKUP(B5,Opportunities!B$3:N$30,12,FALSE)</f>
        <v>109.66246939395583</v>
      </c>
      <c r="K5" s="81">
        <f>VLOOKUP(B5,Opportunities!B$3:N$30,9,FALSE)</f>
        <v>86.811673697203304</v>
      </c>
      <c r="L5" s="81">
        <f>VLOOKUP(B5,Opportunities!B$3:N$30,11,FALSE)</f>
        <v>152.41944453236147</v>
      </c>
      <c r="M5" s="81">
        <f>VLOOKUP(B5,Opportunities!B$3:N$30,13,FALSE)</f>
        <v>135.13438242229577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9.7199134125144623E-2</v>
      </c>
      <c r="I6" s="58">
        <f>VLOOKUP(B6,Opportunities!B$3:I$30,8,FALSE)</f>
        <v>0.20509255654847586</v>
      </c>
      <c r="J6" s="81">
        <f>VLOOKUP(B6,Opportunities!B$3:N$30,12,FALSE)</f>
        <v>3.1362338075574741</v>
      </c>
      <c r="K6" s="81">
        <f>VLOOKUP(B6,Opportunities!B$3:N$30,9,FALSE)</f>
        <v>2.5097460261535343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8.43</v>
      </c>
      <c r="E7" s="59" t="str">
        <f>VLOOKUP(B7,Opportunities!B$3:E$30,4,FALSE)</f>
        <v>HKD</v>
      </c>
      <c r="F7" s="57">
        <v>8000</v>
      </c>
      <c r="G7" s="61">
        <f t="shared" si="1"/>
        <v>67440</v>
      </c>
      <c r="H7" s="58">
        <f t="shared" si="0"/>
        <v>5.0115516860854387E-2</v>
      </c>
      <c r="I7" s="58">
        <f>VLOOKUP(B7,Opportunities!B$3:I$30,8,FALSE)</f>
        <v>5.3833314868334828E-2</v>
      </c>
      <c r="J7" s="81">
        <f>VLOOKUP(B7,Opportunities!B$3:N$30,12,FALSE)</f>
        <v>7.3932425907451789</v>
      </c>
      <c r="K7" s="81">
        <f>VLOOKUP(B7,Opportunities!B$3:N$30,9,FALSE)</f>
        <v>5.866513372679246</v>
      </c>
      <c r="L7" s="81">
        <f>VLOOKUP(B7,Opportunities!B$3:N$30,11,FALSE)</f>
        <v>10.246478694108708</v>
      </c>
      <c r="M7" s="81">
        <f>VLOOKUP(B7,Opportunities!B$3:N$30,13,FALSE)</f>
        <v>9.0934623842816222</v>
      </c>
    </row>
    <row r="8" spans="1:13">
      <c r="B8" s="63" t="s">
        <v>358</v>
      </c>
      <c r="C8" s="62" t="str">
        <f>VLOOKUP(B8,Opportunities!B$3:E$30,2,FALSE)</f>
        <v>新华文轩</v>
      </c>
      <c r="D8" s="60">
        <f>VLOOKUP(B8,Opportunities!B$3:E$30,3,FALSE)</f>
        <v>10.43</v>
      </c>
      <c r="E8" s="59" t="str">
        <f>VLOOKUP(B8,Opportunities!B$3:E$30,4,FALSE)</f>
        <v>HKD</v>
      </c>
      <c r="F8" s="57">
        <v>15000</v>
      </c>
      <c r="G8" s="61">
        <f t="shared" si="1"/>
        <v>156450</v>
      </c>
      <c r="H8" s="58">
        <f t="shared" si="0"/>
        <v>0.11625997350060303</v>
      </c>
      <c r="I8" s="58">
        <f>VLOOKUP(B8,Opportunities!B$3:I$30,8,FALSE)</f>
        <v>0.16713018131833002</v>
      </c>
      <c r="J8" s="81">
        <f>VLOOKUP(B8,Opportunities!B$3:N$30,12,FALSE)</f>
        <v>12.245880540401425</v>
      </c>
      <c r="K8" s="81">
        <f>VLOOKUP(B8,Opportunities!B$3:N$30,9,FALSE)</f>
        <v>9.7296163413456824</v>
      </c>
      <c r="L8" s="81">
        <f>VLOOKUP(B8,Opportunities!B$3:N$30,11,FALSE)</f>
        <v>16.945224051441368</v>
      </c>
      <c r="M8" s="81">
        <f>VLOOKUP(B8,Opportunities!B$3:N$30,13,FALSE)</f>
        <v>15.046585194465594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4.5</v>
      </c>
      <c r="E9" s="59" t="str">
        <f>VLOOKUP(B9,Opportunities!B$3:E$30,4,FALSE)</f>
        <v>HKD</v>
      </c>
      <c r="F9" s="57">
        <v>12000</v>
      </c>
      <c r="G9" s="61">
        <f t="shared" si="1"/>
        <v>54000</v>
      </c>
      <c r="H9" s="58">
        <f t="shared" si="0"/>
        <v>4.0128082895701911E-2</v>
      </c>
      <c r="I9" s="58">
        <f>VLOOKUP(B9,Opportunities!B$3:I$30,8,FALSE)</f>
        <v>0.219284014131717</v>
      </c>
      <c r="J9" s="81">
        <f>VLOOKUP(B9,Opportunities!B$3:N$30,12,FALSE)</f>
        <v>4.3824419959649257</v>
      </c>
      <c r="K9" s="81">
        <f>VLOOKUP(B9,Opportunities!B$3:N$30,9,FALSE)</f>
        <v>3.4947017610502455</v>
      </c>
      <c r="L9" s="81">
        <f>VLOOKUP(B9,Opportunities!B$3:N$30,11,FALSE)</f>
        <v>6.0371156176035647</v>
      </c>
      <c r="M9" s="81">
        <f>VLOOKUP(B9,Opportunities!B$3:N$30,13,FALSE)</f>
        <v>5.3690045329034906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3.93</v>
      </c>
      <c r="E10" s="59" t="str">
        <f>VLOOKUP(B10,Opportunities!B$3:E$30,4,FALSE)</f>
        <v>HKD</v>
      </c>
      <c r="F10" s="57">
        <v>12000</v>
      </c>
      <c r="G10" s="61">
        <f t="shared" si="1"/>
        <v>47160</v>
      </c>
      <c r="H10" s="58">
        <f t="shared" ref="H10" si="2">G10/$G$12</f>
        <v>3.5045192395579669E-2</v>
      </c>
      <c r="I10" s="58">
        <f>VLOOKUP(B10,Opportunities!B$3:I$30,8,FALSE)</f>
        <v>0.14555425678279871</v>
      </c>
      <c r="J10" s="81">
        <f>VLOOKUP(B10,Opportunities!B$3:N$30,12,FALSE)</f>
        <v>4.2356065538442582</v>
      </c>
      <c r="K10" s="81">
        <f>VLOOKUP(B10,Opportunities!B$3:N$30,9,FALSE)</f>
        <v>3.3699399749853787</v>
      </c>
      <c r="L10" s="81">
        <f>VLOOKUP(B10,Opportunities!B$3:N$30,11,FALSE)</f>
        <v>5.8511243804603259</v>
      </c>
      <c r="M10" s="81">
        <f>VLOOKUP(B10,Opportunities!B$3:N$30,13,FALSE)</f>
        <v>5.1985704938506299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1345691</v>
      </c>
      <c r="H12" s="67">
        <f>SUM(H3:H10)</f>
        <v>0.99999999999999989</v>
      </c>
      <c r="I12" s="73">
        <f>SUM(I3:I10)</f>
        <v>1.5162198393425776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378</v>
      </c>
      <c r="C15" s="62" t="str">
        <f>VLOOKUP(B15,Opportunities!B$3:E$30,2,FALSE)</f>
        <v>京东集团</v>
      </c>
      <c r="D15" s="60">
        <f>VLOOKUP(B15,Opportunities!B$3:E$30,3,FALSE)</f>
        <v>113.5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0.21322709411147722</v>
      </c>
      <c r="J15" s="81">
        <f>VLOOKUP(B15,Opportunities!B$3:N$30,12,FALSE)</f>
        <v>109.66246939395583</v>
      </c>
      <c r="K15" s="81">
        <f>VLOOKUP(B15,Opportunities!B$3:N$30,9,FALSE)</f>
        <v>86.811673697203304</v>
      </c>
      <c r="L15" s="81">
        <f>VLOOKUP(B15,Opportunities!B$3:N$30,11,FALSE)</f>
        <v>152.41944453236147</v>
      </c>
      <c r="M15" s="81">
        <f>VLOOKUP(B15,Opportunities!B$3:N$30,13,FALSE)</f>
        <v>135.13438242229577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28.88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17.718061840845053</v>
      </c>
      <c r="K16" s="81">
        <f>VLOOKUP(B16,Opportunities!B$3:N$30,9,FALSE)</f>
        <v>14.136463751015135</v>
      </c>
      <c r="L16" s="81">
        <f>VLOOKUP(B16,Opportunities!B$3:N$30,11,FALSE)</f>
        <v>24.391916611957136</v>
      </c>
      <c r="M16" s="81">
        <f>VLOOKUP(B16,Opportunities!B$3:N$30,13,FALSE)</f>
        <v>21.697447457735692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0.20509255654847586</v>
      </c>
      <c r="J17" s="81">
        <f>VLOOKUP(B17,Opportunities!B$3:N$30,12,FALSE)</f>
        <v>3.1362338075574741</v>
      </c>
      <c r="K17" s="81">
        <f>VLOOKUP(B17,Opportunities!B$3:N$30,9,FALSE)</f>
        <v>2.5097460261535343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3.93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0.14555425678279871</v>
      </c>
      <c r="J18" s="81">
        <f>VLOOKUP(B18,Opportunities!B$3:N$30,12,FALSE)</f>
        <v>4.2356065538442582</v>
      </c>
      <c r="K18" s="81">
        <f>VLOOKUP(B18,Opportunities!B$3:N$30,9,FALSE)</f>
        <v>3.3699399749853787</v>
      </c>
      <c r="L18" s="81">
        <f>VLOOKUP(B18,Opportunities!B$3:N$30,11,FALSE)</f>
        <v>5.8511243804603259</v>
      </c>
      <c r="M18" s="81">
        <f>VLOOKUP(B18,Opportunities!B$3:N$30,13,FALSE)</f>
        <v>5.1985704938506299</v>
      </c>
    </row>
    <row r="19" spans="1:13">
      <c r="B19" s="63" t="s">
        <v>358</v>
      </c>
      <c r="C19" s="62" t="str">
        <f>VLOOKUP(B19,Opportunities!B$3:E$30,2,FALSE)</f>
        <v>新华文轩</v>
      </c>
      <c r="D19" s="60">
        <f>VLOOKUP(B19,Opportunities!B$3:E$30,3,FALSE)</f>
        <v>10.43</v>
      </c>
      <c r="E19" s="59" t="str">
        <f>VLOOKUP(B19,Opportunities!B$3:E$30,4,FALSE)</f>
        <v>HKD</v>
      </c>
      <c r="F19" s="57">
        <v>5000</v>
      </c>
      <c r="G19" s="61">
        <f t="shared" si="3"/>
        <v>-52150</v>
      </c>
      <c r="H19" s="58">
        <f t="shared" si="4"/>
        <v>3.8753324500201011E-2</v>
      </c>
      <c r="I19" s="58">
        <f>VLOOKUP(B19,Opportunities!B$3:I$30,8,FALSE)</f>
        <v>0.16713018131833002</v>
      </c>
      <c r="J19" s="81">
        <f>VLOOKUP(B19,Opportunities!B$3:N$30,12,FALSE)</f>
        <v>12.245880540401425</v>
      </c>
      <c r="K19" s="81">
        <f>VLOOKUP(B19,Opportunities!B$3:N$30,9,FALSE)</f>
        <v>9.7296163413456824</v>
      </c>
      <c r="L19" s="81">
        <f>VLOOKUP(B19,Opportunities!B$3:N$30,11,FALSE)</f>
        <v>16.945224051441368</v>
      </c>
      <c r="M19" s="81">
        <f>VLOOKUP(B19,Opportunities!B$3:N$30,13,FALSE)</f>
        <v>15.046585194465594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8.43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5.3833314868334828E-2</v>
      </c>
      <c r="J20" s="81">
        <f>VLOOKUP(B20,Opportunities!B$3:N$30,12,FALSE)</f>
        <v>7.3932425907451789</v>
      </c>
      <c r="K20" s="81">
        <f>VLOOKUP(B20,Opportunities!B$3:N$30,9,FALSE)</f>
        <v>5.866513372679246</v>
      </c>
      <c r="L20" s="81">
        <f>VLOOKUP(B20,Opportunities!B$3:N$30,11,FALSE)</f>
        <v>10.246478694108708</v>
      </c>
      <c r="M20" s="81">
        <f>VLOOKUP(B20,Opportunities!B$3:N$30,13,FALSE)</f>
        <v>9.0934623842816222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553941</v>
      </c>
      <c r="H23" s="73">
        <f t="shared" ref="H23" si="5">G23/$G$12</f>
        <v>0.41164056235792618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6" t="s">
        <v>85</v>
      </c>
      <c r="C3" s="156"/>
      <c r="D3" s="156"/>
    </row>
    <row r="5" spans="1:4">
      <c r="B5" s="157" t="s">
        <v>87</v>
      </c>
      <c r="C5" s="158"/>
      <c r="D5" s="158"/>
    </row>
    <row r="6" spans="1:4">
      <c r="B6" s="157" t="s">
        <v>88</v>
      </c>
      <c r="C6" s="158"/>
      <c r="D6" s="158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6" t="s">
        <v>90</v>
      </c>
      <c r="C11" s="156"/>
      <c r="D11" s="156"/>
    </row>
    <row r="12" spans="1:4">
      <c r="B12" s="156" t="s">
        <v>91</v>
      </c>
      <c r="C12" s="156"/>
      <c r="D12" s="156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6" t="s">
        <v>103</v>
      </c>
      <c r="C28" s="156"/>
      <c r="D28" s="156"/>
    </row>
    <row r="29" spans="1:4">
      <c r="B29" s="156" t="s">
        <v>104</v>
      </c>
      <c r="C29" s="156"/>
      <c r="D29" s="156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2026-03-17T02:30:53Z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