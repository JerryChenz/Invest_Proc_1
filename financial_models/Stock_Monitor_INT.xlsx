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5FEAD1C-AC97-434A-8190-800A74741889}"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<sst xmlns="http://schemas.openxmlformats.org/spreadsheetml/2006/main" count="384" uniqueCount="303">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</sst>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6" t="s">
        <v>205</v>
      </c>
      <c r="C4" s="106"/>
      <c r="D4" s="106"/>
      <c r="E4" s="106"/>
    </row>
    <row r="6" spans="1:5">
      <c r="A6" s="20" t="s">
        <v>63</v>
      </c>
      <c r="B6" s="19" t="s">
        <v>188</v>
      </c>
      <c r="C6" s="60"/>
    </row>
    <row r="7" spans="1:5">
      <c r="B7" s="106" t="s">
        <v>193</v>
      </c>
      <c r="C7" s="106"/>
      <c r="D7" s="106"/>
      <c r="E7" s="10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6" t="s">
        <v>204</v>
      </c>
      <c r="C24" s="106"/>
      <c r="D24" s="106"/>
      <c r="E24" s="10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6" t="s">
        <v>151</v>
      </c>
      <c r="C39" s="106"/>
      <c r="D39" s="106"/>
      <c r="E39" s="106"/>
    </row>
    <row r="40" spans="1:5" ht="46.5" customHeight="1">
      <c r="B40" s="106" t="s">
        <v>217</v>
      </c>
      <c r="C40" s="106"/>
      <c r="D40" s="106"/>
      <c r="E40" s="106"/>
    </row>
    <row r="42" spans="1:5">
      <c r="A42" s="21" t="s">
        <v>171</v>
      </c>
      <c r="B42" s="21"/>
      <c r="C42" s="21"/>
      <c r="D42" s="21"/>
      <c r="E42" s="21"/>
    </row>
    <row r="44" spans="1:5">
      <c r="B44" s="106" t="s">
        <v>192</v>
      </c>
      <c r="C44" s="106"/>
      <c r="D44" s="106"/>
      <c r="E44" s="10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6" t="s">
        <v>180</v>
      </c>
      <c r="C71" s="106"/>
      <c r="D71" s="106"/>
      <c r="E71" s="10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7" t="s">
        <v>176</v>
      </c>
      <c r="C85" s="107"/>
      <c r="D85" s="107"/>
      <c r="E85" s="107"/>
    </row>
    <row r="86" spans="1:5">
      <c r="B86" s="105" t="s">
        <v>174</v>
      </c>
      <c r="C86" s="105"/>
      <c r="D86" s="105"/>
      <c r="E86" s="105"/>
    </row>
    <row r="87" spans="1:5" ht="24.5" customHeight="1">
      <c r="B87" s="106" t="s">
        <v>173</v>
      </c>
      <c r="C87" s="106"/>
      <c r="D87" s="106"/>
      <c r="E87" s="106"/>
    </row>
    <row r="88" spans="1:5" ht="24.5" customHeight="1">
      <c r="B88" s="106" t="s">
        <v>209</v>
      </c>
      <c r="C88" s="106"/>
      <c r="D88" s="106"/>
      <c r="E88" s="10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8" t="s">
        <v>195</v>
      </c>
      <c r="C97" s="108"/>
      <c r="D97" s="108"/>
      <c r="E97" s="108"/>
    </row>
    <row r="99" spans="1:5">
      <c r="B99" s="24" t="s">
        <v>199</v>
      </c>
    </row>
    <row r="100" spans="1:5" ht="12.4">
      <c r="B100" s="108" t="s">
        <v>196</v>
      </c>
      <c r="C100" s="108"/>
      <c r="D100" s="108"/>
      <c r="E100" s="108"/>
    </row>
    <row r="101" spans="1:5" ht="58.5" customHeight="1">
      <c r="B101" s="106" t="s">
        <v>203</v>
      </c>
      <c r="C101" s="106"/>
      <c r="D101" s="106"/>
      <c r="E101" s="10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0.17882926021386886</v>
      </c>
      <c r="D112" s="60" t="str">
        <f>IF(C112&lt;benchmark,"Warning: Return is lower than the Benchmark.","")</f>
        <v/>
      </c>
    </row>
    <row r="114" spans="1:5" ht="24.5" customHeight="1">
      <c r="B114" s="106" t="s">
        <v>201</v>
      </c>
      <c r="C114" s="106"/>
      <c r="D114" s="106"/>
      <c r="E114" s="10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D19" sqref="D19"/>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2.61</v>
      </c>
      <c r="E3" s="12" t="s">
        <v>153</v>
      </c>
      <c r="F3" s="15">
        <v>0.28589032424265848</v>
      </c>
      <c r="G3" s="15">
        <f>F3 - Portfolio_Mgmt!$C$10</f>
        <v>0.16849032424265847</v>
      </c>
      <c r="H3" s="15">
        <f>F3 - Portfolio_Mgmt!$C$11</f>
        <v>0.2513903242426585</v>
      </c>
      <c r="I3" s="15">
        <v>0.23344337853238306</v>
      </c>
      <c r="J3" s="2">
        <v>2.2019752270440667</v>
      </c>
      <c r="K3" s="2">
        <v>4.4858408799140586</v>
      </c>
      <c r="L3" s="85">
        <v>4.3130669791905083</v>
      </c>
      <c r="M3" s="2">
        <v>3.039853505232323</v>
      </c>
      <c r="N3" s="2">
        <v>3.8666759160925035</v>
      </c>
      <c r="O3" s="4">
        <v>8.2168394766234706E-2</v>
      </c>
      <c r="P3" s="4">
        <v>0.10344827586206898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17.899999999999999</v>
      </c>
      <c r="E4" s="12" t="s">
        <v>153</v>
      </c>
      <c r="F4" s="15">
        <v>0.2278294372295131</v>
      </c>
      <c r="G4" s="15">
        <f>F4 - Portfolio_Mgmt!$C$10</f>
        <v>0.11042943722951309</v>
      </c>
      <c r="H4" s="15">
        <f>F4 - Portfolio_Mgmt!$C$11</f>
        <v>0.1933294372295131</v>
      </c>
      <c r="I4" s="15">
        <v>0.18603383551674993</v>
      </c>
      <c r="J4" s="2">
        <v>13.206555415803017</v>
      </c>
      <c r="K4" s="2">
        <v>28.426890709918581</v>
      </c>
      <c r="L4" s="85">
        <v>26.159188567481973</v>
      </c>
      <c r="M4" s="2">
        <v>18.338906271392567</v>
      </c>
      <c r="N4" s="2">
        <v>23.41514929611278</v>
      </c>
      <c r="O4" s="4">
        <v>0.1155528034616074</v>
      </c>
      <c r="P4" s="4">
        <v>7.0391061452513976E-2</v>
      </c>
      <c r="Q4" s="4">
        <v>0.16035109536268838</v>
      </c>
      <c r="R4" s="4">
        <v>0.31929962351402291</v>
      </c>
      <c r="S4" s="94">
        <v>0.35631048934895165</v>
      </c>
      <c r="T4" s="93">
        <v>1.4094345614568822</v>
      </c>
      <c r="U4" s="15">
        <v>0.12260820136742831</v>
      </c>
      <c r="V4" s="90">
        <v>0.75207444874659302</v>
      </c>
      <c r="W4" s="85">
        <v>-0.45831299361512184</v>
      </c>
      <c r="X4" s="13" t="s">
        <v>218</v>
      </c>
      <c r="Y4" s="11" t="s">
        <v>154</v>
      </c>
      <c r="Z4" s="14">
        <v>45900</v>
      </c>
      <c r="AA4" s="16" t="s">
        <v>281</v>
      </c>
    </row>
    <row r="5" spans="1:27">
      <c r="B5" s="11" t="s">
        <v>256</v>
      </c>
      <c r="C5" s="11" t="s">
        <v>257</v>
      </c>
      <c r="D5" s="2">
        <v>2.0099999999999998</v>
      </c>
      <c r="E5" s="12" t="s">
        <v>153</v>
      </c>
      <c r="F5" s="15">
        <v>0.21658992264112209</v>
      </c>
      <c r="G5" s="15">
        <f>F5 - Portfolio_Mgmt!$C$10</f>
        <v>9.9189922641122086E-2</v>
      </c>
      <c r="H5" s="15">
        <f>F5 - Portfolio_Mgmt!$C$11</f>
        <v>0.18208992264112209</v>
      </c>
      <c r="I5" s="15">
        <v>0.17685622425785688</v>
      </c>
      <c r="J5" s="2">
        <v>1.434630869942024</v>
      </c>
      <c r="K5" s="2">
        <v>3.2866330392108036</v>
      </c>
      <c r="L5" s="85">
        <v>2.8796573196006823</v>
      </c>
      <c r="M5" s="2">
        <v>2.0061289725014291</v>
      </c>
      <c r="N5" s="2">
        <v>2.5728626702146493</v>
      </c>
      <c r="O5" s="4">
        <v>6.716585886907922E-2</v>
      </c>
      <c r="P5" s="4">
        <v>4.4776119402985086E-2</v>
      </c>
      <c r="Q5" s="4">
        <v>4.7832973362251327E-2</v>
      </c>
      <c r="R5" s="4">
        <v>7.8104812973574481E-2</v>
      </c>
      <c r="S5" s="94">
        <v>0.49619793491400876</v>
      </c>
      <c r="T5" s="93">
        <v>1.2342258232843137</v>
      </c>
      <c r="U5" s="15">
        <v>0.10863424600069688</v>
      </c>
      <c r="V5" s="90">
        <v>2.2824569622635926</v>
      </c>
      <c r="W5" s="85">
        <v>1.8473189164345347</v>
      </c>
      <c r="X5" s="13" t="s">
        <v>258</v>
      </c>
      <c r="Y5" s="11" t="s">
        <v>154</v>
      </c>
      <c r="Z5" s="14">
        <v>45900</v>
      </c>
      <c r="AA5" s="16" t="s">
        <v>281</v>
      </c>
    </row>
    <row r="6" spans="1:27">
      <c r="B6" s="11" t="s">
        <v>219</v>
      </c>
      <c r="C6" s="11" t="s">
        <v>249</v>
      </c>
      <c r="D6" s="2">
        <v>15.72</v>
      </c>
      <c r="E6" s="12" t="s">
        <v>153</v>
      </c>
      <c r="F6" s="15">
        <v>0.2030625565960531</v>
      </c>
      <c r="G6" s="15">
        <f>F6 - Portfolio_Mgmt!$C$10</f>
        <v>8.5662556596053097E-2</v>
      </c>
      <c r="H6" s="15">
        <f>F6 - Portfolio_Mgmt!$C$11</f>
        <v>0.1685625565960531</v>
      </c>
      <c r="I6" s="15">
        <v>0.10366656169301014</v>
      </c>
      <c r="J6" s="2">
        <v>10.81654144594931</v>
      </c>
      <c r="K6" s="2">
        <v>25.615624219437557</v>
      </c>
      <c r="L6" s="85">
        <v>21.871270543096863</v>
      </c>
      <c r="M6" s="2">
        <v>15.184189994440313</v>
      </c>
      <c r="N6" s="2">
        <v>19.521515750185905</v>
      </c>
      <c r="O6" s="4">
        <v>6.5117890699204775E-2</v>
      </c>
      <c r="P6" s="4">
        <v>3.0618761751648828E-2</v>
      </c>
      <c r="Q6" s="4">
        <v>0.12359662194937454</v>
      </c>
      <c r="R6" s="4">
        <v>0.12331902564463801</v>
      </c>
      <c r="S6" s="94">
        <v>0.73266920679685343</v>
      </c>
      <c r="T6" s="93">
        <v>1.3679448142367923</v>
      </c>
      <c r="U6" s="15">
        <v>7.4171010848313429E-2</v>
      </c>
      <c r="V6" s="90">
        <v>0.60402076709908736</v>
      </c>
      <c r="W6" s="85">
        <v>4.6098885575885005</v>
      </c>
      <c r="X6" s="13" t="s">
        <v>238</v>
      </c>
      <c r="Y6" s="11" t="s">
        <v>154</v>
      </c>
      <c r="Z6" s="14">
        <v>45900</v>
      </c>
      <c r="AA6" s="16" t="s">
        <v>281</v>
      </c>
    </row>
    <row r="7" spans="1:27">
      <c r="B7" s="11" t="s">
        <v>244</v>
      </c>
      <c r="C7" s="11" t="s">
        <v>245</v>
      </c>
      <c r="D7" s="2">
        <v>3.44</v>
      </c>
      <c r="E7" s="12" t="s">
        <v>153</v>
      </c>
      <c r="F7" s="15">
        <v>0.18214340634209858</v>
      </c>
      <c r="G7" s="15">
        <f>F7 - Portfolio_Mgmt!$C$10</f>
        <v>6.4743406342098575E-2</v>
      </c>
      <c r="H7" s="15">
        <f>F7 - Portfolio_Mgmt!$C$11</f>
        <v>0.14764340634209858</v>
      </c>
      <c r="I7" s="15">
        <v>0</v>
      </c>
      <c r="J7" s="2">
        <v>2.2556276815093281</v>
      </c>
      <c r="K7" s="2">
        <v>5.2246962590200807</v>
      </c>
      <c r="L7" s="85">
        <v>4.5385417708791076</v>
      </c>
      <c r="M7" s="2">
        <v>3.1582019073444916</v>
      </c>
      <c r="N7" s="2">
        <v>4.0536685441183486</v>
      </c>
      <c r="O7" s="4">
        <v>8.2547249245257137E-2</v>
      </c>
      <c r="P7" s="4">
        <v>3.7209302325581395E-2</v>
      </c>
      <c r="Q7" s="4">
        <v>0.10112859174992994</v>
      </c>
      <c r="R7" s="4">
        <v>5.8835781303360896E-2</v>
      </c>
      <c r="S7" s="94">
        <v>1.2277297326073906</v>
      </c>
      <c r="T7" s="93">
        <v>1.4000052396569989</v>
      </c>
      <c r="U7" s="15">
        <v>0.10646655543311496</v>
      </c>
      <c r="V7" s="90">
        <v>0.9804830051022897</v>
      </c>
      <c r="W7" s="85">
        <v>1.6698226477450393</v>
      </c>
      <c r="X7" s="13" t="s">
        <v>246</v>
      </c>
      <c r="Y7" s="11" t="s">
        <v>154</v>
      </c>
      <c r="Z7" s="14">
        <v>45808</v>
      </c>
      <c r="AA7" s="16" t="s">
        <v>281</v>
      </c>
    </row>
    <row r="8" spans="1:27">
      <c r="B8" s="11" t="s">
        <v>262</v>
      </c>
      <c r="C8" s="11" t="s">
        <v>273</v>
      </c>
      <c r="D8" s="2">
        <v>21.49</v>
      </c>
      <c r="E8" s="12" t="s">
        <v>263</v>
      </c>
      <c r="F8" s="15">
        <v>0.17323714896989184</v>
      </c>
      <c r="G8" s="15">
        <f>F8 - Portfolio_Mgmt!$C$10</f>
        <v>5.5837148969891837E-2</v>
      </c>
      <c r="H8" s="15">
        <f>F8 - Portfolio_Mgmt!$C$11</f>
        <v>0.13873714896989184</v>
      </c>
      <c r="I8" s="15">
        <v>0</v>
      </c>
      <c r="J8" s="2">
        <v>13.685702538649531</v>
      </c>
      <c r="K8" s="2">
        <v>33.230161875234657</v>
      </c>
      <c r="L8" s="85">
        <v>27.829540483416785</v>
      </c>
      <c r="M8" s="2">
        <v>19.269562535958798</v>
      </c>
      <c r="N8" s="2">
        <v>24.820548736528732</v>
      </c>
      <c r="O8" s="4">
        <v>0.21214339447827801</v>
      </c>
      <c r="P8" s="4">
        <v>1.9335504885993487E-2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236</v>
      </c>
      <c r="C9" s="11" t="s">
        <v>237</v>
      </c>
      <c r="D9" s="2">
        <v>55.5</v>
      </c>
      <c r="E9" s="12" t="s">
        <v>153</v>
      </c>
      <c r="F9" s="15">
        <v>0.16718837965629074</v>
      </c>
      <c r="G9" s="15">
        <f>F9 - Portfolio_Mgmt!$C$10</f>
        <v>4.9788379656290738E-2</v>
      </c>
      <c r="H9" s="15">
        <f>F9 - Portfolio_Mgmt!$C$11</f>
        <v>0.13268837965629074</v>
      </c>
      <c r="I9" s="15">
        <v>0</v>
      </c>
      <c r="J9" s="2">
        <v>35.92894412759339</v>
      </c>
      <c r="K9" s="2">
        <v>70.241328399285351</v>
      </c>
      <c r="L9" s="85">
        <v>69.810344230750275</v>
      </c>
      <c r="M9" s="2">
        <v>49.392658456521474</v>
      </c>
      <c r="N9" s="2">
        <v>62.656195961049164</v>
      </c>
      <c r="O9" s="4">
        <v>9.5828490774479913E-2</v>
      </c>
      <c r="P9" s="4">
        <v>9.1934594594594604E-2</v>
      </c>
      <c r="Q9" s="4">
        <v>0.32755394896836565</v>
      </c>
      <c r="R9" s="4">
        <v>8.9976704126159421E-2</v>
      </c>
      <c r="S9" s="94">
        <v>1.5891874956485419</v>
      </c>
      <c r="T9" s="93">
        <v>2.2907496012759174</v>
      </c>
      <c r="U9" s="15">
        <v>0.24768740031897937</v>
      </c>
      <c r="V9" s="90">
        <v>0.73855199466278643</v>
      </c>
      <c r="W9" s="85">
        <v>-2.6747592746880491</v>
      </c>
      <c r="X9" s="13" t="s">
        <v>241</v>
      </c>
      <c r="Y9" s="11" t="s">
        <v>154</v>
      </c>
      <c r="Z9" s="14">
        <v>45808</v>
      </c>
      <c r="AA9" s="16" t="s">
        <v>281</v>
      </c>
    </row>
    <row r="10" spans="1:27">
      <c r="B10" s="11" t="s">
        <v>239</v>
      </c>
      <c r="C10" s="11" t="s">
        <v>240</v>
      </c>
      <c r="D10" s="2">
        <v>50.65</v>
      </c>
      <c r="E10" s="12" t="s">
        <v>153</v>
      </c>
      <c r="F10" s="15">
        <v>0.16143343927042597</v>
      </c>
      <c r="G10" s="15">
        <f>F10 - Portfolio_Mgmt!$C$10</f>
        <v>4.4033439270425967E-2</v>
      </c>
      <c r="H10" s="15">
        <f>F10 - Portfolio_Mgmt!$C$11</f>
        <v>0.12693343927042597</v>
      </c>
      <c r="I10" s="15">
        <v>0</v>
      </c>
      <c r="J10" s="2">
        <v>31.551461912268032</v>
      </c>
      <c r="K10" s="2">
        <v>72.996489103438648</v>
      </c>
      <c r="L10" s="85">
        <v>63.468164768476889</v>
      </c>
      <c r="M10" s="2">
        <v>44.170520499807168</v>
      </c>
      <c r="N10" s="2">
        <v>56.689583032696845</v>
      </c>
      <c r="O10" s="4">
        <v>4.5550776442071984E-2</v>
      </c>
      <c r="P10" s="4">
        <v>3.5749998866278165E-2</v>
      </c>
      <c r="Q10" s="4">
        <v>0.13507586422274007</v>
      </c>
      <c r="R10" s="4">
        <v>0.12563563240191519</v>
      </c>
      <c r="S10" s="94">
        <v>0.62432788948992113</v>
      </c>
      <c r="T10" s="93">
        <v>1.7220755031358876</v>
      </c>
      <c r="U10" s="15">
        <v>9.5579625064196368E-3</v>
      </c>
      <c r="V10" s="90">
        <v>7.3592411949940734E-2</v>
      </c>
      <c r="W10" s="85">
        <v>1.3590836057052329</v>
      </c>
      <c r="X10" s="16" t="s">
        <v>238</v>
      </c>
      <c r="Y10" s="11" t="s">
        <v>154</v>
      </c>
      <c r="Z10" s="14">
        <v>45900</v>
      </c>
      <c r="AA10" s="16" t="s">
        <v>282</v>
      </c>
    </row>
    <row r="11" spans="1:27">
      <c r="B11" s="11" t="s">
        <v>250</v>
      </c>
      <c r="C11" s="11" t="s">
        <v>251</v>
      </c>
      <c r="D11" s="2">
        <v>13.78</v>
      </c>
      <c r="E11" s="12" t="s">
        <v>153</v>
      </c>
      <c r="F11" s="15">
        <v>0.16099335273647641</v>
      </c>
      <c r="G11" s="15">
        <f>F11 - Portfolio_Mgmt!$C$10</f>
        <v>4.359335273647641E-2</v>
      </c>
      <c r="H11" s="15">
        <f>F11 - Portfolio_Mgmt!$C$11</f>
        <v>0.12649335273647641</v>
      </c>
      <c r="I11" s="15">
        <v>0</v>
      </c>
      <c r="J11" s="2">
        <v>8.6744981981532003</v>
      </c>
      <c r="K11" s="2">
        <v>18.606209330986982</v>
      </c>
      <c r="L11" s="85">
        <v>17.169686246221929</v>
      </c>
      <c r="M11" s="2">
        <v>12.040987077939828</v>
      </c>
      <c r="N11" s="2">
        <v>15.370183659326386</v>
      </c>
      <c r="O11" s="4">
        <v>0.11271746680677412</v>
      </c>
      <c r="P11" s="4">
        <v>6.118058925979681E-2</v>
      </c>
      <c r="Q11" s="4">
        <v>0.26418109814015051</v>
      </c>
      <c r="R11" s="4">
        <v>0.11373789127418284</v>
      </c>
      <c r="S11" s="94">
        <v>0.70652858717908329</v>
      </c>
      <c r="T11" s="93">
        <v>3.2875080906148866</v>
      </c>
      <c r="U11" s="15">
        <v>1.5035598705501618</v>
      </c>
      <c r="V11" s="90">
        <v>4.1998196571663646</v>
      </c>
      <c r="W11" s="85">
        <v>-12.277812402709904</v>
      </c>
      <c r="X11" s="13" t="s">
        <v>238</v>
      </c>
      <c r="Y11" s="11" t="s">
        <v>252</v>
      </c>
      <c r="Z11" s="14">
        <v>45900</v>
      </c>
      <c r="AA11" s="16" t="s">
        <v>282</v>
      </c>
    </row>
    <row r="12" spans="1:27">
      <c r="B12" s="11" t="s">
        <v>265</v>
      </c>
      <c r="C12" s="11" t="s">
        <v>274</v>
      </c>
      <c r="D12" s="2">
        <v>25.68</v>
      </c>
      <c r="E12" s="12" t="s">
        <v>263</v>
      </c>
      <c r="F12" s="15">
        <v>0.15977067671711898</v>
      </c>
      <c r="G12" s="15">
        <f>F12 - Portfolio_Mgmt!$C$10</f>
        <v>4.2370676717118971E-2</v>
      </c>
      <c r="H12" s="15">
        <f>F12 - Portfolio_Mgmt!$C$11</f>
        <v>0.12527067671711897</v>
      </c>
      <c r="I12" s="15">
        <v>0</v>
      </c>
      <c r="J12" s="2">
        <v>15.989209461106965</v>
      </c>
      <c r="K12" s="2">
        <v>36.134621832566509</v>
      </c>
      <c r="L12" s="85">
        <v>31.999534598013469</v>
      </c>
      <c r="M12" s="2">
        <v>22.32380510445234</v>
      </c>
      <c r="N12" s="2">
        <v>28.601981247202922</v>
      </c>
      <c r="O12" s="4">
        <v>9.887723548999211E-2</v>
      </c>
      <c r="P12" s="4">
        <v>4.3613707165109032E-2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284</v>
      </c>
      <c r="C13" s="11" t="s">
        <v>285</v>
      </c>
      <c r="D13" s="2">
        <v>5.58</v>
      </c>
      <c r="E13" s="12" t="s">
        <v>153</v>
      </c>
      <c r="F13" s="15">
        <v>0.15607090064212614</v>
      </c>
      <c r="G13" s="15">
        <f>F13 - Portfolio_Mgmt!$C$10</f>
        <v>3.8670900642126138E-2</v>
      </c>
      <c r="H13" s="15">
        <f>F13 - Portfolio_Mgmt!$C$11</f>
        <v>0.12157090064212614</v>
      </c>
      <c r="I13" s="15">
        <v>0</v>
      </c>
      <c r="J13" s="2">
        <v>3.4769479145113666</v>
      </c>
      <c r="K13" s="2">
        <v>7.3642693066239637</v>
      </c>
      <c r="L13" s="2">
        <v>6.8641356814360206</v>
      </c>
      <c r="M13" s="2">
        <v>4.8197379854720408</v>
      </c>
      <c r="N13" s="2">
        <v>6.1469536878205542</v>
      </c>
      <c r="O13" s="4">
        <v>6.6201099344889797E-2</v>
      </c>
      <c r="P13" s="4">
        <v>6.4516129032258063E-2</v>
      </c>
      <c r="Q13" s="4">
        <v>7.0630420943605887E-2</v>
      </c>
      <c r="R13" s="4">
        <v>9.3039179367971361E-2</v>
      </c>
      <c r="S13" s="94">
        <v>0.62627525695225639</v>
      </c>
      <c r="T13" s="93">
        <v>1.2121620122817016</v>
      </c>
      <c r="U13" s="15">
        <v>1.1610019159010268E-2</v>
      </c>
      <c r="V13" s="90">
        <v>0.16381589511191816</v>
      </c>
      <c r="W13" s="85">
        <v>3.7980767021052162</v>
      </c>
      <c r="X13" s="13" t="s">
        <v>286</v>
      </c>
      <c r="Y13" s="11" t="s">
        <v>154</v>
      </c>
      <c r="Z13" s="14">
        <v>45900</v>
      </c>
      <c r="AA13" s="16" t="s">
        <v>281</v>
      </c>
    </row>
    <row r="14" spans="1:27">
      <c r="B14" s="11" t="s">
        <v>242</v>
      </c>
      <c r="C14" s="11" t="s">
        <v>243</v>
      </c>
      <c r="D14" s="2">
        <v>6.71</v>
      </c>
      <c r="E14" s="12" t="s">
        <v>153</v>
      </c>
      <c r="F14" s="15">
        <v>0.15327023092344838</v>
      </c>
      <c r="G14" s="15">
        <f>F14 - Portfolio_Mgmt!$C$10</f>
        <v>3.5870230923448376E-2</v>
      </c>
      <c r="H14" s="15">
        <f>F14 - Portfolio_Mgmt!$C$11</f>
        <v>0.11877023092344838</v>
      </c>
      <c r="I14" s="15">
        <v>0</v>
      </c>
      <c r="J14" s="2">
        <v>4.1428645545007505</v>
      </c>
      <c r="K14" s="2">
        <v>8.9069108133215842</v>
      </c>
      <c r="L14" s="2">
        <v>8.2040595659073698</v>
      </c>
      <c r="M14" s="2">
        <v>5.7521295534908568</v>
      </c>
      <c r="N14" s="2">
        <v>7.3437230749529885</v>
      </c>
      <c r="O14" s="4">
        <v>0.11746474983942123</v>
      </c>
      <c r="P14" s="4">
        <v>5.9276536417822663E-2</v>
      </c>
      <c r="Q14" s="4">
        <v>0.12477871842229639</v>
      </c>
      <c r="R14" s="4">
        <v>7.7304831872868032E-2</v>
      </c>
      <c r="S14" s="94">
        <v>1.0025080757150273</v>
      </c>
      <c r="T14" s="93">
        <v>1.6100746083165727</v>
      </c>
      <c r="U14" s="15">
        <v>0.16360901428944893</v>
      </c>
      <c r="V14" s="90">
        <v>1.1309485990394448</v>
      </c>
      <c r="W14" s="85">
        <v>-3.8799545514862062</v>
      </c>
      <c r="X14" s="13" t="s">
        <v>218</v>
      </c>
      <c r="Y14" s="11" t="s">
        <v>154</v>
      </c>
      <c r="Z14" s="14">
        <v>45900</v>
      </c>
      <c r="AA14" s="16" t="s">
        <v>281</v>
      </c>
    </row>
    <row r="15" spans="1:27">
      <c r="B15" s="11" t="s">
        <v>155</v>
      </c>
      <c r="C15" s="11" t="s">
        <v>233</v>
      </c>
      <c r="D15" s="2">
        <v>8.16</v>
      </c>
      <c r="E15" s="12" t="s">
        <v>153</v>
      </c>
      <c r="F15" s="15">
        <v>0.11501992981145359</v>
      </c>
      <c r="G15" s="15">
        <f>F15 - Portfolio_Mgmt!$C$10</f>
        <v>-2.3800701885464126E-3</v>
      </c>
      <c r="H15" s="15">
        <f>F15 - Portfolio_Mgmt!$C$11</f>
        <v>8.0519929811453589E-2</v>
      </c>
      <c r="I15" s="15">
        <v>0</v>
      </c>
      <c r="J15" s="2">
        <v>4.6237469150396135</v>
      </c>
      <c r="K15" s="2">
        <v>9.3641570609339322</v>
      </c>
      <c r="L15" s="2">
        <v>9.0460821298724845</v>
      </c>
      <c r="M15" s="2">
        <v>6.3792496771334868</v>
      </c>
      <c r="N15" s="2">
        <v>8.1111667082917602</v>
      </c>
      <c r="O15" s="4">
        <v>3.7855192644885419E-2</v>
      </c>
      <c r="P15" s="4">
        <v>7.1078431372549017E-2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19.239999999999998</v>
      </c>
      <c r="E16" s="12" t="s">
        <v>153</v>
      </c>
      <c r="F16" s="15">
        <v>0.11300023911512924</v>
      </c>
      <c r="G16" s="15">
        <f>F16 - Portfolio_Mgmt!$C$10</f>
        <v>-4.3997608848707626E-3</v>
      </c>
      <c r="H16" s="15">
        <f>F16 - Portfolio_Mgmt!$C$11</f>
        <v>7.8500239115129239E-2</v>
      </c>
      <c r="I16" s="15">
        <v>0</v>
      </c>
      <c r="J16" s="2">
        <v>10.846357673848024</v>
      </c>
      <c r="K16" s="2">
        <v>21.968758226348868</v>
      </c>
      <c r="L16" s="2">
        <v>21.220699139526428</v>
      </c>
      <c r="M16" s="2">
        <v>14.964572530067358</v>
      </c>
      <c r="N16" s="2">
        <v>19.027476031641555</v>
      </c>
      <c r="O16" s="4">
        <v>8.9812163168899659E-2</v>
      </c>
      <c r="P16" s="4">
        <v>7.068607068607069E-2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2.67</v>
      </c>
      <c r="E17" s="12" t="s">
        <v>153</v>
      </c>
      <c r="F17" s="15">
        <v>6.1413092070400355E-2</v>
      </c>
      <c r="G17" s="15">
        <f>F17 - Portfolio_Mgmt!$C$10</f>
        <v>-5.598690792959965E-2</v>
      </c>
      <c r="H17" s="15">
        <f>F17 - Portfolio_Mgmt!$C$11</f>
        <v>2.6913092070400352E-2</v>
      </c>
      <c r="I17" s="15">
        <v>0</v>
      </c>
      <c r="J17" s="2">
        <v>1.294540380411257</v>
      </c>
      <c r="K17" s="2">
        <v>2.8370589888496567</v>
      </c>
      <c r="L17" s="2">
        <v>2.5738630729137828</v>
      </c>
      <c r="M17" s="2">
        <v>1.8011843270520989</v>
      </c>
      <c r="N17" s="2">
        <v>2.3026673134976332</v>
      </c>
      <c r="O17" s="4">
        <v>3.1540449189280749E-2</v>
      </c>
      <c r="P17" s="4">
        <v>4.1786775620321688E-2</v>
      </c>
      <c r="Q17" s="4">
        <v>4.3343227840067299E-2</v>
      </c>
      <c r="R17" s="4">
        <v>8.4128082482606212E-2</v>
      </c>
      <c r="S17" s="94">
        <v>0.42808280043619051</v>
      </c>
      <c r="T17" s="93">
        <v>1.2035176992971439</v>
      </c>
      <c r="U17" s="15">
        <v>1.0763175939415467E-2</v>
      </c>
      <c r="V17" s="90">
        <v>0.29882156160837919</v>
      </c>
      <c r="W17" s="85">
        <v>1.9121508520705335</v>
      </c>
      <c r="X17" s="13" t="s">
        <v>261</v>
      </c>
      <c r="Y17" s="11" t="s">
        <v>255</v>
      </c>
      <c r="Z17" s="14">
        <v>45900</v>
      </c>
      <c r="AA17" s="11" t="s">
        <v>281</v>
      </c>
    </row>
    <row r="18" spans="2:27">
      <c r="B18" s="11" t="s">
        <v>230</v>
      </c>
      <c r="C18" s="11" t="s">
        <v>253</v>
      </c>
      <c r="D18" s="2">
        <v>1.8</v>
      </c>
      <c r="E18" s="12" t="s">
        <v>153</v>
      </c>
      <c r="F18" s="15">
        <v>5.4911257349898879E-2</v>
      </c>
      <c r="G18" s="15">
        <f>F18 - Portfolio_Mgmt!$C$10</f>
        <v>-6.2488742650101126E-2</v>
      </c>
      <c r="H18" s="15">
        <f>F18 - Portfolio_Mgmt!$C$11</f>
        <v>2.0411257349898876E-2</v>
      </c>
      <c r="I18" s="15">
        <v>0</v>
      </c>
      <c r="J18" s="2">
        <v>0.82648230361166808</v>
      </c>
      <c r="K18" s="2">
        <v>2.1131011468081908</v>
      </c>
      <c r="L18" s="2">
        <v>1.7009631025661165</v>
      </c>
      <c r="M18" s="2">
        <v>1.1711712249606363</v>
      </c>
      <c r="N18" s="2">
        <v>1.514587208466269</v>
      </c>
      <c r="O18" s="4">
        <v>5.3264756914093974E-3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47.7</v>
      </c>
      <c r="E19" s="12" t="s">
        <v>153</v>
      </c>
      <c r="F19" s="15">
        <v>-8.0510996454183692E-2</v>
      </c>
      <c r="G19" s="15">
        <f>F19 - Portfolio_Mgmt!$C$10</f>
        <v>-0.1979109964541837</v>
      </c>
      <c r="H19" s="15">
        <f>F19 - Portfolio_Mgmt!$C$11</f>
        <v>-0.11501099645418369</v>
      </c>
      <c r="I19" s="15">
        <v>0</v>
      </c>
      <c r="J19" s="2">
        <v>15.357793565778509</v>
      </c>
      <c r="K19" s="2">
        <v>32.979231003471874</v>
      </c>
      <c r="L19" s="2">
        <v>30.405356420701072</v>
      </c>
      <c r="M19" s="2">
        <v>21.320663970914513</v>
      </c>
      <c r="N19" s="2">
        <v>27.21776339129536</v>
      </c>
      <c r="O19" s="4">
        <v>5.138154619204785E-2</v>
      </c>
      <c r="P19" s="4">
        <v>3.1104626792452832E-2</v>
      </c>
      <c r="Q19" s="4">
        <v>0.21039827332068567</v>
      </c>
      <c r="R19" s="4">
        <v>0.21042753223383909</v>
      </c>
      <c r="S19" s="94">
        <v>0.51682300464832642</v>
      </c>
      <c r="T19" s="93">
        <v>1.9346293526540752</v>
      </c>
      <c r="U19" s="15">
        <v>0.19606600851240996</v>
      </c>
      <c r="V19" s="90">
        <v>0.84886197155458731</v>
      </c>
      <c r="W19" s="85">
        <v>-5.879500305070005</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4.3899999999999995E-2</v>
      </c>
      <c r="D4" s="34">
        <v>7.4999999999999997E-2</v>
      </c>
      <c r="E4" s="35">
        <f>D4-C4</f>
        <v>3.1100000000000003E-2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0.44473213336055262</v>
      </c>
      <c r="H3" s="89">
        <f>Portfolio_Mgmt!E61</f>
        <v>0.3</v>
      </c>
      <c r="I3" s="95" t="s">
        <v>293</v>
      </c>
      <c r="J3" s="95" t="s">
        <v>293</v>
      </c>
      <c r="K3" s="95" t="s">
        <v>293</v>
      </c>
      <c r="L3" s="95" t="s">
        <v>293</v>
      </c>
    </row>
    <row r="4" spans="1:12">
      <c r="B4" s="77" t="s">
        <v>242</v>
      </c>
      <c r="C4" s="74">
        <f>VLOOKUP(B4,Opportunities!B$3:E$30,3,FALSE)</f>
        <v>6.71</v>
      </c>
      <c r="D4" s="73" t="str">
        <f>VLOOKUP(B4,Opportunities!B$3:E$30,4,FALSE)</f>
        <v>HKD</v>
      </c>
      <c r="E4" s="70">
        <v>10000</v>
      </c>
      <c r="F4" s="75">
        <f>E4*C4</f>
        <v>67100</v>
      </c>
      <c r="G4" s="72">
        <f>F4/$F$10</f>
        <v>7.2773299448234144E-2</v>
      </c>
      <c r="H4" s="72">
        <f>VLOOKUP(B4,Opportunities!B$3:I$30,8,FALSE)</f>
        <v>0</v>
      </c>
      <c r="I4" s="96">
        <f>VLOOKUP(B4,Opportunities!B$3:N$30,12,FALSE)</f>
        <v>5.7521295534908568</v>
      </c>
      <c r="J4" s="96">
        <f>VLOOKUP(B4,Opportunities!B$3:N$30,9,FALSE)</f>
        <v>4.1428645545007505</v>
      </c>
      <c r="K4" s="96">
        <f>VLOOKUP(B4,Opportunities!B$3:N$30,11,FALSE)</f>
        <v>8.2040595659073698</v>
      </c>
      <c r="L4" s="96">
        <f>VLOOKUP(B4,Opportunities!B$3:N$30,13,FALSE)</f>
        <v>7.3437230749529885</v>
      </c>
    </row>
    <row r="5" spans="1:12">
      <c r="B5" s="77" t="s">
        <v>219</v>
      </c>
      <c r="C5" s="74">
        <f>VLOOKUP(B5,Opportunities!B$3:E$30,3,FALSE)</f>
        <v>15.72</v>
      </c>
      <c r="D5" s="73" t="str">
        <f>VLOOKUP(B5,Opportunities!B$3:E$30,4,FALSE)</f>
        <v>HKD</v>
      </c>
      <c r="E5" s="70">
        <v>9000</v>
      </c>
      <c r="F5" s="75">
        <f>C5*E5</f>
        <v>141480</v>
      </c>
      <c r="G5" s="72">
        <f>F5/$F$10</f>
        <v>0.15344212229413065</v>
      </c>
      <c r="H5" s="72">
        <f>VLOOKUP(B5,Opportunities!B$3:I$30,8,FALSE)</f>
        <v>0.10366656169301014</v>
      </c>
      <c r="I5" s="96">
        <f>VLOOKUP(B5,Opportunities!B$3:N$30,12,FALSE)</f>
        <v>15.184189994440313</v>
      </c>
      <c r="J5" s="96">
        <f>VLOOKUP(B5,Opportunities!B$3:N$30,9,FALSE)</f>
        <v>10.81654144594931</v>
      </c>
      <c r="K5" s="96">
        <f>VLOOKUP(B5,Opportunities!B$3:N$30,11,FALSE)</f>
        <v>21.871270543096863</v>
      </c>
      <c r="L5" s="96">
        <f>VLOOKUP(B5,Opportunities!B$3:N$30,13,FALSE)</f>
        <v>19.521515750185905</v>
      </c>
    </row>
    <row r="6" spans="1:12">
      <c r="B6" s="77" t="s">
        <v>267</v>
      </c>
      <c r="C6" s="74">
        <f>VLOOKUP(B6,Opportunities!B$3:E$30,3,FALSE)</f>
        <v>17.899999999999999</v>
      </c>
      <c r="D6" s="73" t="str">
        <f>VLOOKUP(B6,Opportunities!B$3:E$30,4,FALSE)</f>
        <v>HKD</v>
      </c>
      <c r="E6" s="70">
        <v>8000</v>
      </c>
      <c r="F6" s="75">
        <f>C6*E6</f>
        <v>143200</v>
      </c>
      <c r="G6" s="72">
        <f>F6/$F$10</f>
        <v>0.15530754815182013</v>
      </c>
      <c r="H6" s="72">
        <f>VLOOKUP(B6,Opportunities!B$3:I$30,8,FALSE)</f>
        <v>0.18603383551674993</v>
      </c>
      <c r="I6" s="96">
        <f>VLOOKUP(B6,Opportunities!B$3:N$30,12,FALSE)</f>
        <v>18.338906271392567</v>
      </c>
      <c r="J6" s="96">
        <f>VLOOKUP(B6,Opportunities!B$3:N$30,9,FALSE)</f>
        <v>13.206555415803017</v>
      </c>
      <c r="K6" s="96">
        <f>VLOOKUP(B6,Opportunities!B$3:N$30,11,FALSE)</f>
        <v>26.159188567481973</v>
      </c>
      <c r="L6" s="96">
        <f>VLOOKUP(B6,Opportunities!B$3:N$30,13,FALSE)</f>
        <v>23.41514929611278</v>
      </c>
    </row>
    <row r="7" spans="1:12">
      <c r="B7" s="77" t="s">
        <v>284</v>
      </c>
      <c r="C7" s="74">
        <f>VLOOKUP(B7,Opportunities!B$3:E$30,3,FALSE)</f>
        <v>5.58</v>
      </c>
      <c r="D7" s="73" t="str">
        <f>VLOOKUP(B7,Opportunities!B$3:E$30,4,FALSE)</f>
        <v>HKD</v>
      </c>
      <c r="E7" s="70">
        <v>10000</v>
      </c>
      <c r="F7" s="75">
        <f>C7*E7</f>
        <v>55800</v>
      </c>
      <c r="G7" s="72">
        <f t="shared" ref="G7" si="0">F7/$F$10</f>
        <v>6.05178853831813E-2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2.61</v>
      </c>
      <c r="D8" s="73" t="str">
        <f>VLOOKUP(B8,Opportunities!B$3:E$30,4,FALSE)</f>
        <v>HKD</v>
      </c>
      <c r="E8" s="70">
        <v>40000</v>
      </c>
      <c r="F8" s="75">
        <f>C8*E8</f>
        <v>104400</v>
      </c>
      <c r="G8" s="72">
        <f t="shared" ref="G8" si="1">F8/$F$10</f>
        <v>0.11322701136208115</v>
      </c>
      <c r="H8" s="72">
        <f>VLOOKUP(B8,Opportunities!B$3:I$30,8,FALSE)</f>
        <v>0.23344337853238306</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922041.47</v>
      </c>
      <c r="G10" s="81">
        <f>SUM(G3:G8)</f>
        <v>1</v>
      </c>
      <c r="H10" s="87">
        <f>SUM(H3:H8)</f>
        <v>0.82314377574214315</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2.61</v>
      </c>
      <c r="D13" s="73" t="str">
        <f>VLOOKUP(B13,Opportunities!B$3:E$30,4,FALSE)</f>
        <v>HKD</v>
      </c>
      <c r="E13" s="70">
        <v>0</v>
      </c>
      <c r="F13" s="75">
        <f>-C13*E13</f>
        <v>0</v>
      </c>
      <c r="G13" s="72">
        <f>-F13/$F$10</f>
        <v>0</v>
      </c>
      <c r="H13" s="72">
        <f>VLOOKUP(B13,Opportunities!B$3:I$30,8,FALSE)</f>
        <v>0.23344337853238306</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6.71</v>
      </c>
      <c r="D14" s="73" t="str">
        <f>VLOOKUP(B14,Opportunities!B$3:E$30,4,FALSE)</f>
        <v>HKD</v>
      </c>
      <c r="E14" s="70">
        <v>0</v>
      </c>
      <c r="F14" s="75">
        <f>-C14*E14</f>
        <v>0</v>
      </c>
      <c r="G14" s="72">
        <f>-F14/$F$10</f>
        <v>0</v>
      </c>
      <c r="H14" s="72">
        <f>VLOOKUP(B14,Opportunities!B$3:I$30,8,FALSE)</f>
        <v>0</v>
      </c>
      <c r="I14" s="96">
        <f>VLOOKUP(B14,Opportunities!B$3:N$30,12,FALSE)</f>
        <v>5.7521295534908568</v>
      </c>
      <c r="J14" s="96">
        <f>VLOOKUP(B14,Opportunities!B$3:N$30,9,FALSE)</f>
        <v>4.1428645545007505</v>
      </c>
      <c r="K14" s="96">
        <f>VLOOKUP(B14,Opportunities!B$3:N$30,11,FALSE)</f>
        <v>8.2040595659073698</v>
      </c>
      <c r="L14" s="96">
        <f>VLOOKUP(B14,Opportunities!B$3:N$30,13,FALSE)</f>
        <v>7.3437230749529885</v>
      </c>
    </row>
    <row r="15" spans="1:12">
      <c r="B15" s="77" t="s">
        <v>284</v>
      </c>
      <c r="C15" s="74">
        <f>VLOOKUP(B15,Opportunities!B$3:E$30,3,FALSE)</f>
        <v>5.58</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17.899999999999999</v>
      </c>
      <c r="D16" s="73" t="str">
        <f>VLOOKUP(B16,Opportunities!B$3:E$30,4,FALSE)</f>
        <v>HKD</v>
      </c>
      <c r="E16" s="70">
        <v>0</v>
      </c>
      <c r="F16" s="75">
        <f>-C16*E16</f>
        <v>0</v>
      </c>
      <c r="G16" s="72">
        <f>-F16/$F$10</f>
        <v>0</v>
      </c>
      <c r="H16" s="72">
        <f>VLOOKUP(B16,Opportunities!B$3:I$30,8,FALSE)</f>
        <v>0.18603383551674993</v>
      </c>
      <c r="I16" s="96">
        <f>VLOOKUP(B16,Opportunities!B$3:N$30,12,FALSE)</f>
        <v>18.338906271392567</v>
      </c>
      <c r="J16" s="96">
        <f>VLOOKUP(B16,Opportunities!B$3:N$30,9,FALSE)</f>
        <v>13.206555415803017</v>
      </c>
      <c r="K16" s="96">
        <f>VLOOKUP(B16,Opportunities!B$3:N$30,11,FALSE)</f>
        <v>26.159188567481973</v>
      </c>
      <c r="L16" s="96">
        <f>VLOOKUP(B16,Opportunities!B$3:N$30,13,FALSE)</f>
        <v>23.41514929611278</v>
      </c>
    </row>
    <row r="17" spans="1:12">
      <c r="G17" s="86"/>
      <c r="H17" s="86"/>
    </row>
    <row r="18" spans="1:12" ht="13.15">
      <c r="B18" s="82" t="s">
        <v>221</v>
      </c>
      <c r="C18" s="83" t="s">
        <v>215</v>
      </c>
      <c r="D18" s="84" t="s">
        <v>153</v>
      </c>
      <c r="E18" s="83" t="s">
        <v>215</v>
      </c>
      <c r="F18" s="80">
        <f>F3+SUM(F13:F16)</f>
        <v>410061.47</v>
      </c>
      <c r="G18" s="87">
        <f t="shared" ref="G18" si="2">F18/$F$10</f>
        <v>0.44473213336055262</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8"/>
      <c r="D5" s="108"/>
    </row>
    <row r="6" spans="1:4">
      <c r="B6" s="118" t="s">
        <v>102</v>
      </c>
      <c r="C6" s="108"/>
      <c r="D6" s="108"/>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2025-06-20T09:39:04Z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