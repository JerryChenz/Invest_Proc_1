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ACD857E2-E5F6-4967-ACCD-32043F0E0EA6}"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<sst xmlns="http://schemas.openxmlformats.org/spreadsheetml/2006/main" count="337" uniqueCount="283">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</sst>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158</v>
      </c>
    </row>
    <row r="2" spans="1:5">
      <c r="A2" s="21" t="s">
        <v>53</v>
      </c>
      <c r="B2" s="21"/>
      <c r="C2" s="21"/>
      <c r="D2" s="21"/>
      <c r="E2" s="21"/>
    </row>
    <row r="4" spans="1:5" ht="24.5" customHeight="1">
      <c r="B4" s="94" t="s">
        <v>207</v>
      </c>
      <c r="C4" s="94"/>
      <c r="D4" s="94"/>
      <c r="E4" s="94"/>
    </row>
    <row r="6" spans="1:5">
      <c r="A6" s="20" t="s">
        <v>64</v>
      </c>
      <c r="B6" s="19" t="s">
        <v>190</v>
      </c>
      <c r="C6" s="60"/>
    </row>
    <row r="7" spans="1:5">
      <c r="B7" s="94" t="s">
        <v>195</v>
      </c>
      <c r="C7" s="94"/>
      <c r="D7" s="94"/>
      <c r="E7" s="94"/>
    </row>
    <row r="9" spans="1:5">
      <c r="B9" s="23" t="s">
        <v>56</v>
      </c>
    </row>
    <row r="10" spans="1:5">
      <c r="B10" s="1" t="s">
        <v>62</v>
      </c>
      <c r="C10" s="92">
        <f>Market_Yield!C16</f>
        <v>0.1174</v>
      </c>
    </row>
    <row r="11" spans="1:5">
      <c r="B11" s="1" t="s">
        <v>52</v>
      </c>
      <c r="C11" s="92">
        <f>Market_Yield!C6</f>
        <v>3.4500000000000003E-2</v>
      </c>
    </row>
    <row r="12" spans="1:5">
      <c r="C12" s="4"/>
    </row>
    <row r="13" spans="1:5">
      <c r="B13" s="23" t="s">
        <v>57</v>
      </c>
      <c r="C13" s="4"/>
    </row>
    <row r="14" spans="1:5">
      <c r="B14" s="1" t="s">
        <v>192</v>
      </c>
      <c r="C14" s="4" t="s">
        <v>193</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191</v>
      </c>
    </row>
    <row r="23" spans="1:5">
      <c r="A23" s="25" t="s">
        <v>65</v>
      </c>
      <c r="B23" s="19" t="s">
        <v>189</v>
      </c>
      <c r="C23" s="60"/>
    </row>
    <row r="24" spans="1:5">
      <c r="A24" s="18"/>
      <c r="B24" s="94" t="s">
        <v>206</v>
      </c>
      <c r="C24" s="94"/>
      <c r="D24" s="94"/>
      <c r="E24" s="94"/>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E36+15%</f>
        <v>0.3674</v>
      </c>
      <c r="D35" s="18" t="s">
        <v>54</v>
      </c>
      <c r="E35" s="91">
        <v>3</v>
      </c>
    </row>
    <row r="36" spans="1:5">
      <c r="B36" s="1" t="s">
        <v>15</v>
      </c>
      <c r="C36" s="48">
        <f>MAX(6%,Market_Yield!C4:D4,Market_Yield!C6:D6)</f>
        <v>7.4999999999999997E-2</v>
      </c>
      <c r="D36" s="1" t="s">
        <v>233</v>
      </c>
      <c r="E36" s="47">
        <f>benchmark+10%</f>
        <v>0.21740000000000001</v>
      </c>
    </row>
    <row r="38" spans="1:5">
      <c r="B38" s="20" t="s">
        <v>83</v>
      </c>
    </row>
    <row r="39" spans="1:5">
      <c r="B39" s="94" t="s">
        <v>152</v>
      </c>
      <c r="C39" s="94"/>
      <c r="D39" s="94"/>
      <c r="E39" s="94"/>
    </row>
    <row r="40" spans="1:5" ht="46.5" customHeight="1">
      <c r="B40" s="94" t="s">
        <v>220</v>
      </c>
      <c r="C40" s="94"/>
      <c r="D40" s="94"/>
      <c r="E40" s="94"/>
    </row>
    <row r="42" spans="1:5">
      <c r="A42" s="21" t="s">
        <v>173</v>
      </c>
      <c r="B42" s="21"/>
      <c r="C42" s="21"/>
      <c r="D42" s="21"/>
      <c r="E42" s="21"/>
    </row>
    <row r="44" spans="1:5">
      <c r="B44" s="94" t="s">
        <v>194</v>
      </c>
      <c r="C44" s="94"/>
      <c r="D44" s="94"/>
      <c r="E44" s="94"/>
    </row>
    <row r="46" spans="1:5">
      <c r="B46" s="23" t="s">
        <v>88</v>
      </c>
    </row>
    <row r="48" spans="1:5">
      <c r="B48" s="49" t="s">
        <v>89</v>
      </c>
      <c r="C48" s="49" t="s">
        <v>185</v>
      </c>
      <c r="D48" s="55"/>
      <c r="E48" s="55"/>
    </row>
    <row r="49" spans="2:5">
      <c r="B49" s="26" t="s">
        <v>85</v>
      </c>
      <c r="C49" s="29">
        <v>0.5</v>
      </c>
      <c r="D49" s="56"/>
      <c r="E49" s="54"/>
    </row>
    <row r="50" spans="2:5">
      <c r="B50" s="26" t="s">
        <v>86</v>
      </c>
      <c r="C50" s="29">
        <v>0.3</v>
      </c>
      <c r="D50" s="56"/>
      <c r="E50" s="54"/>
    </row>
    <row r="51" spans="2:5">
      <c r="B51" s="26" t="s">
        <v>87</v>
      </c>
      <c r="C51" s="29">
        <v>0.2</v>
      </c>
      <c r="D51" s="61" t="s">
        <v>208</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237</v>
      </c>
      <c r="D58" s="26" t="s">
        <v>238</v>
      </c>
      <c r="E58" s="41">
        <v>2</v>
      </c>
    </row>
    <row r="59" spans="2:5">
      <c r="B59" s="26" t="s">
        <v>70</v>
      </c>
      <c r="C59" s="26" t="s">
        <v>72</v>
      </c>
      <c r="D59" s="26" t="s">
        <v>76</v>
      </c>
      <c r="E59" s="41">
        <v>1</v>
      </c>
    </row>
    <row r="60" spans="2:5">
      <c r="D60" s="27" t="s">
        <v>77</v>
      </c>
      <c r="E60" s="40">
        <f>SUM(E56:E59)</f>
        <v>5</v>
      </c>
    </row>
    <row r="61" spans="2:5" ht="12" thickBot="1">
      <c r="D61" s="42" t="s">
        <v>183</v>
      </c>
      <c r="E61" s="43">
        <f>IF(E60&lt;=2,C49,IF(E60&gt;=6,C51,C50))</f>
        <v>0.3</v>
      </c>
    </row>
    <row r="62" spans="2:5" ht="12" thickTop="1"/>
    <row r="63" spans="2:5">
      <c r="B63" s="23" t="s">
        <v>184</v>
      </c>
    </row>
    <row r="64" spans="2:5">
      <c r="B64" s="52" t="s">
        <v>159</v>
      </c>
      <c r="C64" s="53">
        <f>-E61*(C35-Cash_Yield)</f>
        <v>-9.9869999999999987E-2</v>
      </c>
    </row>
    <row r="65" spans="1:5">
      <c r="B65" s="52" t="s">
        <v>160</v>
      </c>
      <c r="C65" s="53">
        <f>C35+C64</f>
        <v>0.26753000000000005</v>
      </c>
    </row>
    <row r="66" spans="1:5">
      <c r="B66" s="45"/>
      <c r="C66" s="46"/>
    </row>
    <row r="67" spans="1:5">
      <c r="B67" s="39" t="s">
        <v>188</v>
      </c>
    </row>
    <row r="69" spans="1:5">
      <c r="A69" s="21" t="s">
        <v>78</v>
      </c>
      <c r="B69" s="21"/>
      <c r="C69" s="21"/>
      <c r="D69" s="21"/>
      <c r="E69" s="21"/>
    </row>
    <row r="71" spans="1:5">
      <c r="B71" s="94" t="s">
        <v>182</v>
      </c>
      <c r="C71" s="94"/>
      <c r="D71" s="94"/>
      <c r="E71" s="94"/>
    </row>
    <row r="73" spans="1:5">
      <c r="A73" s="28" t="s">
        <v>64</v>
      </c>
      <c r="B73" s="20" t="s">
        <v>164</v>
      </c>
    </row>
    <row r="74" spans="1:5">
      <c r="B74" s="24" t="s">
        <v>210</v>
      </c>
    </row>
    <row r="75" spans="1:5">
      <c r="B75" s="24" t="s">
        <v>209</v>
      </c>
    </row>
    <row r="77" spans="1:5">
      <c r="A77" s="28" t="s">
        <v>124</v>
      </c>
      <c r="B77" s="20" t="s">
        <v>163</v>
      </c>
    </row>
    <row r="78" spans="1:5">
      <c r="B78" s="39" t="s">
        <v>165</v>
      </c>
    </row>
    <row r="79" spans="1:5">
      <c r="B79" s="24" t="s">
        <v>166</v>
      </c>
    </row>
    <row r="80" spans="1:5">
      <c r="B80" s="24" t="s">
        <v>167</v>
      </c>
    </row>
    <row r="81" spans="1:5">
      <c r="B81" s="24" t="s">
        <v>174</v>
      </c>
    </row>
    <row r="83" spans="1:5">
      <c r="A83" s="28" t="s">
        <v>142</v>
      </c>
      <c r="B83" s="20" t="s">
        <v>202</v>
      </c>
    </row>
    <row r="84" spans="1:5">
      <c r="B84" s="24" t="s">
        <v>177</v>
      </c>
    </row>
    <row r="85" spans="1:5">
      <c r="B85" s="95" t="s">
        <v>178</v>
      </c>
      <c r="C85" s="95"/>
      <c r="D85" s="95"/>
      <c r="E85" s="95"/>
    </row>
    <row r="86" spans="1:5">
      <c r="B86" s="93" t="s">
        <v>176</v>
      </c>
      <c r="C86" s="93"/>
      <c r="D86" s="93"/>
      <c r="E86" s="93"/>
    </row>
    <row r="87" spans="1:5" ht="24.5" customHeight="1">
      <c r="B87" s="94" t="s">
        <v>175</v>
      </c>
      <c r="C87" s="94"/>
      <c r="D87" s="94"/>
      <c r="E87" s="94"/>
    </row>
    <row r="88" spans="1:5" ht="24.5" customHeight="1">
      <c r="B88" s="94" t="s">
        <v>211</v>
      </c>
      <c r="C88" s="94"/>
      <c r="D88" s="94"/>
      <c r="E88" s="94"/>
    </row>
    <row r="90" spans="1:5">
      <c r="B90" s="24" t="s">
        <v>180</v>
      </c>
    </row>
    <row r="91" spans="1:5">
      <c r="B91" s="1" t="s">
        <v>179</v>
      </c>
    </row>
    <row r="92" spans="1:5">
      <c r="B92" s="59" t="s">
        <v>168</v>
      </c>
    </row>
    <row r="93" spans="1:5">
      <c r="B93" s="24" t="s">
        <v>181</v>
      </c>
    </row>
    <row r="94" spans="1:5">
      <c r="B94" s="24" t="s">
        <v>169</v>
      </c>
    </row>
    <row r="96" spans="1:5">
      <c r="B96" s="24" t="s">
        <v>196</v>
      </c>
    </row>
    <row r="97" spans="1:5">
      <c r="B97" s="96" t="s">
        <v>197</v>
      </c>
      <c r="C97" s="96"/>
      <c r="D97" s="96"/>
      <c r="E97" s="96"/>
    </row>
    <row r="99" spans="1:5">
      <c r="B99" s="24" t="s">
        <v>201</v>
      </c>
    </row>
    <row r="100" spans="1:5" ht="12.4">
      <c r="B100" s="96" t="s">
        <v>198</v>
      </c>
      <c r="C100" s="96"/>
      <c r="D100" s="96"/>
      <c r="E100" s="96"/>
    </row>
    <row r="101" spans="1:5" ht="58.5" customHeight="1">
      <c r="B101" s="94" t="s">
        <v>205</v>
      </c>
      <c r="C101" s="94"/>
      <c r="D101" s="94"/>
      <c r="E101" s="94"/>
    </row>
    <row r="103" spans="1:5">
      <c r="A103" s="28" t="s">
        <v>171</v>
      </c>
      <c r="B103" s="20" t="s">
        <v>170</v>
      </c>
    </row>
    <row r="104" spans="1:5">
      <c r="B104" s="1" t="s">
        <v>186</v>
      </c>
    </row>
    <row r="105" spans="1:5">
      <c r="B105" s="1" t="s">
        <v>187</v>
      </c>
    </row>
    <row r="107" spans="1:5">
      <c r="B107" s="1" t="s">
        <v>172</v>
      </c>
    </row>
    <row r="108" spans="1:5">
      <c r="B108" s="1" t="s">
        <v>199</v>
      </c>
    </row>
    <row r="110" spans="1:5">
      <c r="B110" s="23" t="s">
        <v>153</v>
      </c>
    </row>
    <row r="111" spans="1:5">
      <c r="B111" s="1" t="s">
        <v>161</v>
      </c>
      <c r="C111" s="44">
        <v>0.30000000000000004</v>
      </c>
    </row>
    <row r="112" spans="1:5">
      <c r="B112" s="1" t="s">
        <v>162</v>
      </c>
      <c r="C112" s="44">
        <v>0.17034743493373267</v>
      </c>
      <c r="D112" s="60" t="str">
        <f>IF(C112&lt;benchmark,"Warning: Return is lower than the Benchmark.","")</f>
        <v/>
      </c>
    </row>
    <row r="114" spans="1:5" ht="24.5" customHeight="1">
      <c r="B114" s="94" t="s">
        <v>203</v>
      </c>
      <c r="C114" s="94"/>
      <c r="D114" s="94"/>
      <c r="E114" s="94"/>
    </row>
    <row r="116" spans="1:5">
      <c r="A116" s="21" t="s">
        <v>79</v>
      </c>
      <c r="B116" s="21"/>
      <c r="C116" s="21"/>
      <c r="D116" s="21"/>
      <c r="E116" s="21"/>
    </row>
    <row r="118" spans="1:5">
      <c r="B118" s="20" t="s">
        <v>80</v>
      </c>
    </row>
    <row r="119" spans="1:5">
      <c r="B119" s="24" t="s">
        <v>94</v>
      </c>
    </row>
    <row r="120" spans="1:5">
      <c r="B120" s="24" t="s">
        <v>95</v>
      </c>
    </row>
    <row r="121" spans="1:5">
      <c r="B121" s="24" t="s">
        <v>204</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zoomScaleNormal="100" workbookViewId="0">
      <pane xSplit="3" ySplit="2" topLeftCell="D3" activePane="bottomRight" state="frozen"/>
      <selection pane="topRight" activeCell="D1" sqref="D1"/>
      <selection pane="bottomLeft" activeCell="A5" sqref="A5"/>
      <selection pane="bottomRight" activeCell="F27" sqref="F2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99" t="s">
        <v>1</v>
      </c>
      <c r="E1" s="99"/>
      <c r="F1" s="99"/>
      <c r="G1" s="100" t="s">
        <v>97</v>
      </c>
      <c r="H1" s="100"/>
      <c r="I1" s="100"/>
      <c r="J1" s="103" t="s">
        <v>4</v>
      </c>
      <c r="K1" s="103"/>
      <c r="L1" s="103"/>
      <c r="M1" s="102" t="s">
        <v>235</v>
      </c>
      <c r="N1" s="102"/>
      <c r="O1" s="97" t="s">
        <v>8</v>
      </c>
      <c r="P1" s="97"/>
      <c r="Q1" s="101" t="s">
        <v>232</v>
      </c>
      <c r="R1" s="101"/>
      <c r="S1" s="101"/>
      <c r="T1" s="101"/>
      <c r="U1" s="98" t="s">
        <v>51</v>
      </c>
      <c r="V1" s="98"/>
      <c r="W1" s="98"/>
      <c r="X1" s="98"/>
    </row>
    <row r="2" spans="1:24" ht="26" customHeight="1">
      <c r="B2" s="7" t="s">
        <v>2</v>
      </c>
      <c r="C2" s="7" t="s">
        <v>0</v>
      </c>
      <c r="D2" s="8" t="s">
        <v>1</v>
      </c>
      <c r="E2" s="7" t="s">
        <v>280</v>
      </c>
      <c r="F2" s="7" t="s">
        <v>279</v>
      </c>
      <c r="G2" s="7" t="s">
        <v>59</v>
      </c>
      <c r="H2" s="7" t="s">
        <v>60</v>
      </c>
      <c r="I2" s="7" t="s">
        <v>200</v>
      </c>
      <c r="J2" s="8" t="s">
        <v>7</v>
      </c>
      <c r="K2" s="8" t="s">
        <v>10</v>
      </c>
      <c r="L2" s="8" t="s">
        <v>278</v>
      </c>
      <c r="M2" s="8" t="s">
        <v>234</v>
      </c>
      <c r="N2" s="8" t="s">
        <v>277</v>
      </c>
      <c r="O2" s="7" t="s">
        <v>11</v>
      </c>
      <c r="P2" s="7" t="s">
        <v>6</v>
      </c>
      <c r="Q2" s="7" t="s">
        <v>229</v>
      </c>
      <c r="R2" s="7" t="s">
        <v>228</v>
      </c>
      <c r="S2" s="7" t="s">
        <v>231</v>
      </c>
      <c r="T2" s="7" t="s">
        <v>230</v>
      </c>
      <c r="U2" s="7" t="s">
        <v>5</v>
      </c>
      <c r="V2" s="7" t="s">
        <v>12</v>
      </c>
      <c r="W2" s="9" t="s">
        <v>9</v>
      </c>
      <c r="X2" s="10" t="s">
        <v>50</v>
      </c>
    </row>
    <row r="3" spans="1:24">
      <c r="B3" s="11" t="s">
        <v>275</v>
      </c>
      <c r="C3" s="11" t="s">
        <v>276</v>
      </c>
      <c r="D3" s="2">
        <v>17.600000000000001</v>
      </c>
      <c r="E3" s="12" t="s">
        <v>154</v>
      </c>
      <c r="F3" s="15">
        <v>0.2544229151627766</v>
      </c>
      <c r="G3" s="15">
        <f>F3 - Portfolio_Mgmt!$C$10</f>
        <v>0.13702291516277659</v>
      </c>
      <c r="H3" s="15">
        <f>F3 - Portfolio_Mgmt!$C$11</f>
        <v>0.21992291516277659</v>
      </c>
      <c r="I3" s="15">
        <v>0.20774870590319264</v>
      </c>
      <c r="J3" s="2">
        <v>13.812130390149576</v>
      </c>
      <c r="K3" s="2">
        <v>29.381983456317865</v>
      </c>
      <c r="L3" s="85">
        <v>27.292074172140108</v>
      </c>
      <c r="M3" s="2">
        <v>19.155315722914967</v>
      </c>
      <c r="N3" s="2">
        <v>24.437486386018929</v>
      </c>
      <c r="O3" s="4">
        <v>0.11653641683529066</v>
      </c>
      <c r="P3" s="4">
        <v>7.954545454545453E-2</v>
      </c>
      <c r="Q3" s="15">
        <v>0.40943456145688223</v>
      </c>
      <c r="R3" s="15">
        <v>0.12260820136742831</v>
      </c>
      <c r="S3" s="90">
        <v>0.75207444874659302</v>
      </c>
      <c r="T3" s="85">
        <v>-0.4544676567324577</v>
      </c>
      <c r="U3" s="13" t="s">
        <v>221</v>
      </c>
      <c r="V3" s="11" t="s">
        <v>155</v>
      </c>
      <c r="W3" s="14">
        <v>45900</v>
      </c>
      <c r="X3" s="11" t="s">
        <v>156</v>
      </c>
    </row>
    <row r="4" spans="1:24">
      <c r="B4" s="11" t="s">
        <v>264</v>
      </c>
      <c r="C4" s="11" t="s">
        <v>265</v>
      </c>
      <c r="D4" s="2">
        <v>1.98</v>
      </c>
      <c r="E4" s="12" t="s">
        <v>154</v>
      </c>
      <c r="F4" s="15">
        <v>0.22476237737510796</v>
      </c>
      <c r="G4" s="15">
        <f>F4 - Portfolio_Mgmt!$C$10</f>
        <v>0.10736237737510795</v>
      </c>
      <c r="H4" s="15">
        <f>F4 - Portfolio_Mgmt!$C$11</f>
        <v>0.19026237737510796</v>
      </c>
      <c r="I4" s="15">
        <v>0.18352943171620137</v>
      </c>
      <c r="J4" s="2">
        <v>1.4428078857473128</v>
      </c>
      <c r="K4" s="2">
        <v>3.2651677227364715</v>
      </c>
      <c r="L4" s="85">
        <v>2.8883838436255198</v>
      </c>
      <c r="M4" s="2">
        <v>2.0147359823273976</v>
      </c>
      <c r="N4" s="2">
        <v>2.5816032128017063</v>
      </c>
      <c r="O4" s="4">
        <v>6.761145011786554E-2</v>
      </c>
      <c r="P4" s="4">
        <v>5.0505050505050511E-2</v>
      </c>
      <c r="Q4" s="15">
        <v>0.23422582328431374</v>
      </c>
      <c r="R4" s="15">
        <v>0.10863424600069688</v>
      </c>
      <c r="S4" s="90">
        <v>2.2824569622635926</v>
      </c>
      <c r="T4" s="85">
        <v>1.8318195444717704</v>
      </c>
      <c r="U4" s="13" t="s">
        <v>266</v>
      </c>
      <c r="V4" s="11" t="s">
        <v>155</v>
      </c>
      <c r="W4" s="14">
        <v>45900</v>
      </c>
      <c r="X4" s="11" t="s">
        <v>156</v>
      </c>
    </row>
    <row r="5" spans="1:24">
      <c r="B5" s="11" t="s">
        <v>223</v>
      </c>
      <c r="C5" s="11" t="s">
        <v>257</v>
      </c>
      <c r="D5" s="2">
        <v>15.26</v>
      </c>
      <c r="E5" s="12" t="s">
        <v>154</v>
      </c>
      <c r="F5" s="15">
        <v>0.21531075188549287</v>
      </c>
      <c r="G5" s="15">
        <f>F5 - Portfolio_Mgmt!$C$10</f>
        <v>9.7910751885492864E-2</v>
      </c>
      <c r="H5" s="15">
        <f>F5 - Portfolio_Mgmt!$C$11</f>
        <v>0.18081075188549287</v>
      </c>
      <c r="I5" s="15">
        <v>0.1758117190137394</v>
      </c>
      <c r="J5" s="2">
        <v>10.828404277954453</v>
      </c>
      <c r="K5" s="2">
        <v>25.400172894023672</v>
      </c>
      <c r="L5" s="85">
        <v>21.848686504894168</v>
      </c>
      <c r="M5" s="2">
        <v>15.183712939128043</v>
      </c>
      <c r="N5" s="2">
        <v>19.507033940360998</v>
      </c>
      <c r="O5" s="4">
        <v>6.6518944382802758E-2</v>
      </c>
      <c r="P5" s="4">
        <v>3.5342910518037292E-2</v>
      </c>
      <c r="Q5" s="15">
        <v>0.36794481423679237</v>
      </c>
      <c r="R5" s="15">
        <v>7.4171010848313429E-2</v>
      </c>
      <c r="S5" s="90">
        <v>0.60402076709908736</v>
      </c>
      <c r="T5" s="85">
        <v>4.571210678622772</v>
      </c>
      <c r="U5" s="13" t="s">
        <v>244</v>
      </c>
      <c r="V5" s="11" t="s">
        <v>155</v>
      </c>
      <c r="W5" s="14">
        <v>45900</v>
      </c>
      <c r="X5" s="11" t="s">
        <v>156</v>
      </c>
    </row>
    <row r="6" spans="1:24">
      <c r="B6" s="11" t="s">
        <v>236</v>
      </c>
      <c r="C6" s="11" t="s">
        <v>261</v>
      </c>
      <c r="D6" s="2">
        <v>1.19</v>
      </c>
      <c r="E6" s="12" t="s">
        <v>154</v>
      </c>
      <c r="F6" s="15">
        <v>0.21094506441990801</v>
      </c>
      <c r="G6" s="15">
        <f>F6 - Portfolio_Mgmt!$C$10</f>
        <v>9.3545064419908008E-2</v>
      </c>
      <c r="H6" s="15">
        <f>F6 - Portfolio_Mgmt!$C$11</f>
        <v>0.17644506441990801</v>
      </c>
      <c r="I6" s="15">
        <v>0.13291014336686657</v>
      </c>
      <c r="J6" s="2">
        <v>0.82648230361166808</v>
      </c>
      <c r="K6" s="2">
        <v>2.1131011468081908</v>
      </c>
      <c r="L6" s="85">
        <v>1.7009631025661165</v>
      </c>
      <c r="M6" s="2">
        <v>1.1711712249606363</v>
      </c>
      <c r="N6" s="2">
        <v>1.514587208466269</v>
      </c>
      <c r="O6" s="4">
        <v>8.0568539870058114E-3</v>
      </c>
      <c r="P6" s="4">
        <v>0</v>
      </c>
      <c r="Q6" s="15">
        <v>9.7057481271370302E-2</v>
      </c>
      <c r="R6" s="15">
        <v>1.4790654865358754E-2</v>
      </c>
      <c r="S6" s="90">
        <v>3.4432102574884196</v>
      </c>
      <c r="T6" s="85">
        <v>2.0258239687205015</v>
      </c>
      <c r="U6" s="13" t="s">
        <v>262</v>
      </c>
      <c r="V6" s="11" t="s">
        <v>263</v>
      </c>
      <c r="W6" s="14">
        <v>45900</v>
      </c>
      <c r="X6" s="11" t="s">
        <v>156</v>
      </c>
    </row>
    <row r="7" spans="1:24">
      <c r="B7" s="11" t="s">
        <v>242</v>
      </c>
      <c r="C7" s="11" t="s">
        <v>243</v>
      </c>
      <c r="D7" s="2">
        <v>52.95</v>
      </c>
      <c r="E7" s="12" t="s">
        <v>154</v>
      </c>
      <c r="F7" s="15">
        <v>0.1860616757315392</v>
      </c>
      <c r="G7" s="15">
        <f>F7 - Portfolio_Mgmt!$C$10</f>
        <v>6.8661675731539196E-2</v>
      </c>
      <c r="H7" s="15">
        <f>F7 - Portfolio_Mgmt!$C$11</f>
        <v>0.1515616757315392</v>
      </c>
      <c r="I7" s="15">
        <v>0</v>
      </c>
      <c r="J7" s="2">
        <v>35.836750246899136</v>
      </c>
      <c r="K7" s="2">
        <v>70.063174657336106</v>
      </c>
      <c r="L7" s="85">
        <v>69.631609350994381</v>
      </c>
      <c r="M7" s="2">
        <v>49.26606332171275</v>
      </c>
      <c r="N7" s="2">
        <v>62.495727201486694</v>
      </c>
      <c r="O7" s="4">
        <v>0.10017603105494056</v>
      </c>
      <c r="P7" s="4">
        <v>9.6105476864966954E-2</v>
      </c>
      <c r="Q7" s="15">
        <v>1.2907496012759174</v>
      </c>
      <c r="R7" s="15">
        <v>0.24768740031897937</v>
      </c>
      <c r="S7" s="90">
        <v>0.73855199466278643</v>
      </c>
      <c r="T7" s="85">
        <v>-2.6676377596378593</v>
      </c>
      <c r="U7" s="13" t="s">
        <v>244</v>
      </c>
      <c r="V7" s="11" t="s">
        <v>155</v>
      </c>
      <c r="W7" s="14">
        <v>45808</v>
      </c>
      <c r="X7" s="11" t="s">
        <v>156</v>
      </c>
    </row>
    <row r="8" spans="1:24">
      <c r="B8" s="11" t="s">
        <v>249</v>
      </c>
      <c r="C8" s="11" t="s">
        <v>250</v>
      </c>
      <c r="D8" s="2">
        <v>6.34</v>
      </c>
      <c r="E8" s="12" t="s">
        <v>154</v>
      </c>
      <c r="F8" s="15">
        <v>0.17414878379816789</v>
      </c>
      <c r="G8" s="15">
        <f>F8 - Portfolio_Mgmt!$C$10</f>
        <v>5.674878379816789E-2</v>
      </c>
      <c r="H8" s="15">
        <f>F8 - Portfolio_Mgmt!$C$11</f>
        <v>0.13964878379816789</v>
      </c>
      <c r="I8" s="15">
        <v>0</v>
      </c>
      <c r="J8" s="2">
        <v>4.1322515868214058</v>
      </c>
      <c r="K8" s="2">
        <v>8.6925183568523128</v>
      </c>
      <c r="L8" s="85">
        <v>8.1464095992765024</v>
      </c>
      <c r="M8" s="2">
        <v>5.7239193786867961</v>
      </c>
      <c r="N8" s="2">
        <v>7.2966775180223093</v>
      </c>
      <c r="O8" s="4">
        <v>0.12327687916074846</v>
      </c>
      <c r="P8" s="4">
        <v>6.9706547382332645E-2</v>
      </c>
      <c r="Q8" s="15">
        <v>0.61007460831657279</v>
      </c>
      <c r="R8" s="15">
        <v>0.16360901428944893</v>
      </c>
      <c r="S8" s="90">
        <v>1.1309485990394448</v>
      </c>
      <c r="T8" s="85">
        <v>-3.8474009635501427</v>
      </c>
      <c r="U8" s="13" t="s">
        <v>221</v>
      </c>
      <c r="V8" s="11" t="s">
        <v>251</v>
      </c>
      <c r="W8" s="14">
        <v>45900</v>
      </c>
      <c r="X8" s="11" t="s">
        <v>156</v>
      </c>
    </row>
    <row r="9" spans="1:24">
      <c r="B9" s="11" t="s">
        <v>252</v>
      </c>
      <c r="C9" s="11" t="s">
        <v>253</v>
      </c>
      <c r="D9" s="2">
        <v>3.59</v>
      </c>
      <c r="E9" s="12" t="s">
        <v>154</v>
      </c>
      <c r="F9" s="15">
        <v>0.16494017618254819</v>
      </c>
      <c r="G9" s="15">
        <f>F9 - Portfolio_Mgmt!$C$10</f>
        <v>4.7540176182548188E-2</v>
      </c>
      <c r="H9" s="15">
        <f>F9 - Portfolio_Mgmt!$C$11</f>
        <v>0.13044017618254819</v>
      </c>
      <c r="I9" s="15">
        <v>0</v>
      </c>
      <c r="J9" s="2">
        <v>2.2556276815093281</v>
      </c>
      <c r="K9" s="2">
        <v>5.2246962590200807</v>
      </c>
      <c r="L9" s="85">
        <v>4.5385417708791076</v>
      </c>
      <c r="M9" s="2">
        <v>3.1582019073444916</v>
      </c>
      <c r="N9" s="2">
        <v>4.0536685441183486</v>
      </c>
      <c r="O9" s="4">
        <v>7.9098199833895419E-2</v>
      </c>
      <c r="P9" s="4">
        <v>3.5654596100278553E-2</v>
      </c>
      <c r="Q9" s="15">
        <v>0.40000523965699897</v>
      </c>
      <c r="R9" s="15">
        <v>0.10646655543311496</v>
      </c>
      <c r="S9" s="90">
        <v>0.9804830051022897</v>
      </c>
      <c r="T9" s="85">
        <v>1.6698226477450393</v>
      </c>
      <c r="U9" s="13" t="s">
        <v>254</v>
      </c>
      <c r="V9" s="11" t="s">
        <v>155</v>
      </c>
      <c r="W9" s="14">
        <v>45808</v>
      </c>
      <c r="X9" s="11" t="s">
        <v>156</v>
      </c>
    </row>
    <row r="10" spans="1:24">
      <c r="B10" s="11" t="s">
        <v>270</v>
      </c>
      <c r="C10" s="11" t="s">
        <v>281</v>
      </c>
      <c r="D10" s="2">
        <v>22.47</v>
      </c>
      <c r="E10" s="12" t="s">
        <v>271</v>
      </c>
      <c r="F10" s="15">
        <v>0.16267307080533766</v>
      </c>
      <c r="G10" s="15">
        <f>F10 - Portfolio_Mgmt!$C$10</f>
        <v>4.5273070805337656E-2</v>
      </c>
      <c r="H10" s="15">
        <f>F10 - Portfolio_Mgmt!$C$11</f>
        <v>0.12817307080533766</v>
      </c>
      <c r="I10" s="15">
        <v>0</v>
      </c>
      <c r="J10" s="2">
        <v>13.980827278242025</v>
      </c>
      <c r="K10" s="2">
        <v>33.230161875234657</v>
      </c>
      <c r="L10" s="85">
        <v>28.292642107173183</v>
      </c>
      <c r="M10" s="2">
        <v>19.634697914672664</v>
      </c>
      <c r="N10" s="2">
        <v>25.250185101195886</v>
      </c>
      <c r="O10" s="4">
        <v>0.20289103459449018</v>
      </c>
      <c r="P10" s="4">
        <v>2.6417445482866047E-2</v>
      </c>
      <c r="Q10" s="15">
        <v>1.4851905363915479</v>
      </c>
      <c r="R10" s="15">
        <v>0.95241105291674188</v>
      </c>
      <c r="S10" s="90">
        <v>4.0148803043206254</v>
      </c>
      <c r="T10" s="85">
        <v>-38.360607814419353</v>
      </c>
      <c r="U10" s="16" t="s">
        <v>272</v>
      </c>
      <c r="V10" s="11" t="s">
        <v>155</v>
      </c>
      <c r="W10" s="14">
        <v>45900</v>
      </c>
      <c r="X10" s="11" t="s">
        <v>248</v>
      </c>
    </row>
    <row r="11" spans="1:24">
      <c r="B11" s="11" t="s">
        <v>255</v>
      </c>
      <c r="C11" s="11" t="s">
        <v>256</v>
      </c>
      <c r="D11" s="2">
        <v>17.68</v>
      </c>
      <c r="E11" s="12" t="s">
        <v>154</v>
      </c>
      <c r="F11" s="15">
        <v>0.14698046183231805</v>
      </c>
      <c r="G11" s="15">
        <f>F11 - Portfolio_Mgmt!$C$10</f>
        <v>2.958046183231805E-2</v>
      </c>
      <c r="H11" s="15">
        <f>F11 - Portfolio_Mgmt!$C$11</f>
        <v>0.11248046183231805</v>
      </c>
      <c r="I11" s="15">
        <v>0</v>
      </c>
      <c r="J11" s="2">
        <v>10.846357673848024</v>
      </c>
      <c r="K11" s="2">
        <v>21.968758226348868</v>
      </c>
      <c r="L11" s="85">
        <v>21.220699139526428</v>
      </c>
      <c r="M11" s="2">
        <v>14.964572530067358</v>
      </c>
      <c r="N11" s="2">
        <v>19.027476031641555</v>
      </c>
      <c r="O11" s="4">
        <v>9.7736765801449632E-2</v>
      </c>
      <c r="P11" s="4">
        <v>7.6923076923076927E-2</v>
      </c>
      <c r="Q11" s="15">
        <v>0.31018327415220487</v>
      </c>
      <c r="R11" s="15">
        <v>0.15818859882129041</v>
      </c>
      <c r="S11" s="90">
        <v>1.4550387206421544</v>
      </c>
      <c r="T11" s="85">
        <v>5.8696003638854428</v>
      </c>
      <c r="U11" s="13" t="s">
        <v>254</v>
      </c>
      <c r="V11" s="11" t="s">
        <v>155</v>
      </c>
      <c r="W11" s="14">
        <v>45808</v>
      </c>
      <c r="X11" s="11" t="s">
        <v>156</v>
      </c>
    </row>
    <row r="12" spans="1:24">
      <c r="B12" s="11" t="s">
        <v>273</v>
      </c>
      <c r="C12" s="11" t="s">
        <v>282</v>
      </c>
      <c r="D12" s="2">
        <v>27.88</v>
      </c>
      <c r="E12" s="12" t="s">
        <v>271</v>
      </c>
      <c r="F12" s="15">
        <v>0.14320511727220997</v>
      </c>
      <c r="G12" s="15">
        <f>F12 - Portfolio_Mgmt!$C$10</f>
        <v>2.5805117272209965E-2</v>
      </c>
      <c r="H12" s="15">
        <f>F12 - Portfolio_Mgmt!$C$11</f>
        <v>0.10870511727220997</v>
      </c>
      <c r="I12" s="15">
        <v>0</v>
      </c>
      <c r="J12" s="2">
        <v>16.7846939344021</v>
      </c>
      <c r="K12" s="2">
        <v>36.134621832566509</v>
      </c>
      <c r="L12" s="85">
        <v>33.247786953152008</v>
      </c>
      <c r="M12" s="2">
        <v>23.307997499907511</v>
      </c>
      <c r="N12" s="2">
        <v>29.760030747653474</v>
      </c>
      <c r="O12" s="4">
        <v>9.1074871139992741E-2</v>
      </c>
      <c r="P12" s="4">
        <v>5.7388809182209476E-2</v>
      </c>
      <c r="Q12" s="15">
        <v>0.78990369994931575</v>
      </c>
      <c r="R12" s="15">
        <v>0.40281804358844397</v>
      </c>
      <c r="S12" s="90">
        <v>3.955391512509995</v>
      </c>
      <c r="T12" s="85">
        <v>-26.938493611476797</v>
      </c>
      <c r="U12" s="13" t="s">
        <v>274</v>
      </c>
      <c r="V12" s="11" t="s">
        <v>155</v>
      </c>
      <c r="W12" s="14">
        <v>45900</v>
      </c>
      <c r="X12" s="11" t="s">
        <v>248</v>
      </c>
    </row>
    <row r="13" spans="1:24">
      <c r="B13" s="11" t="s">
        <v>258</v>
      </c>
      <c r="C13" s="11" t="s">
        <v>259</v>
      </c>
      <c r="D13" s="2">
        <v>14.5</v>
      </c>
      <c r="E13" s="12" t="s">
        <v>154</v>
      </c>
      <c r="F13" s="15">
        <v>0.1393937866232875</v>
      </c>
      <c r="G13" s="15">
        <f>F13 - Portfolio_Mgmt!$C$10</f>
        <v>2.1993786623287492E-2</v>
      </c>
      <c r="H13" s="15">
        <f>F13 - Portfolio_Mgmt!$C$11</f>
        <v>0.10489378662328749</v>
      </c>
      <c r="I13" s="15">
        <v>0</v>
      </c>
      <c r="J13" s="2">
        <v>8.6518087099094956</v>
      </c>
      <c r="K13" s="2">
        <v>18.557709222004032</v>
      </c>
      <c r="L13" s="2">
        <v>17.124808274766476</v>
      </c>
      <c r="M13" s="2">
        <v>12.009503786070258</v>
      </c>
      <c r="N13" s="2">
        <v>15.330005228417837</v>
      </c>
      <c r="O13" s="4">
        <v>0.10683373137106081</v>
      </c>
      <c r="P13" s="4">
        <v>5.7987852413793103E-2</v>
      </c>
      <c r="Q13" s="15">
        <v>2.2875080906148866</v>
      </c>
      <c r="R13" s="15">
        <v>1.5035598705501618</v>
      </c>
      <c r="S13" s="90">
        <v>4.1998196571663646</v>
      </c>
      <c r="T13" s="85">
        <v>-12.245122871866235</v>
      </c>
      <c r="U13" s="13" t="s">
        <v>244</v>
      </c>
      <c r="V13" s="11" t="s">
        <v>260</v>
      </c>
      <c r="W13" s="14">
        <v>45900</v>
      </c>
      <c r="X13" s="11" t="s">
        <v>248</v>
      </c>
    </row>
    <row r="14" spans="1:24">
      <c r="B14" s="11" t="s">
        <v>245</v>
      </c>
      <c r="C14" s="11" t="s">
        <v>246</v>
      </c>
      <c r="D14" s="2">
        <v>56.45</v>
      </c>
      <c r="E14" s="12" t="s">
        <v>154</v>
      </c>
      <c r="F14" s="15">
        <v>0.11961784686350896</v>
      </c>
      <c r="G14" s="15">
        <f>F14 - Portfolio_Mgmt!$C$10</f>
        <v>2.2178468635089543E-3</v>
      </c>
      <c r="H14" s="15">
        <f>F14 - Portfolio_Mgmt!$C$11</f>
        <v>8.5117846863508956E-2</v>
      </c>
      <c r="I14" s="15">
        <v>0</v>
      </c>
      <c r="J14" s="2">
        <v>31.673169666521172</v>
      </c>
      <c r="K14" s="2">
        <v>72.38304164448806</v>
      </c>
      <c r="L14" s="2">
        <v>63.541841049903496</v>
      </c>
      <c r="M14" s="2">
        <v>44.277952658102528</v>
      </c>
      <c r="N14" s="2">
        <v>56.776357696875337</v>
      </c>
      <c r="O14" s="4">
        <v>4.0529115337132847E-2</v>
      </c>
      <c r="P14" s="4">
        <v>3.5942494535663679E-2</v>
      </c>
      <c r="Q14" s="15">
        <v>0.72207550313588764</v>
      </c>
      <c r="R14" s="15">
        <v>9.5579625064196368E-3</v>
      </c>
      <c r="S14" s="90">
        <v>7.3592411949940734E-2</v>
      </c>
      <c r="T14" s="85">
        <v>1.347680624798191</v>
      </c>
      <c r="U14" s="13" t="s">
        <v>247</v>
      </c>
      <c r="V14" s="11" t="s">
        <v>155</v>
      </c>
      <c r="W14" s="14">
        <v>45900</v>
      </c>
      <c r="X14" s="11" t="s">
        <v>248</v>
      </c>
    </row>
    <row r="15" spans="1:24">
      <c r="B15" s="11" t="s">
        <v>157</v>
      </c>
      <c r="C15" s="11" t="s">
        <v>239</v>
      </c>
      <c r="D15" s="2">
        <v>8.1199999999999992</v>
      </c>
      <c r="E15" s="12" t="s">
        <v>154</v>
      </c>
      <c r="F15" s="15">
        <v>0.11696800321199485</v>
      </c>
      <c r="G15" s="15">
        <f>F15 - Portfolio_Mgmt!$C$10</f>
        <v>-4.3199678800515118E-4</v>
      </c>
      <c r="H15" s="15">
        <f>F15 - Portfolio_Mgmt!$C$11</f>
        <v>8.246800321199485E-2</v>
      </c>
      <c r="I15" s="15">
        <v>0</v>
      </c>
      <c r="J15" s="2">
        <v>4.6237469150396135</v>
      </c>
      <c r="K15" s="2">
        <v>9.3641570609339322</v>
      </c>
      <c r="L15" s="2">
        <v>9.0460821298724845</v>
      </c>
      <c r="M15" s="2">
        <v>6.3792496771334868</v>
      </c>
      <c r="N15" s="2">
        <v>8.1111667082917602</v>
      </c>
      <c r="O15" s="4">
        <v>3.804167142638732E-2</v>
      </c>
      <c r="P15" s="4">
        <v>7.1428571428571425E-2</v>
      </c>
      <c r="Q15" s="15">
        <v>8.3114411724224596E-2</v>
      </c>
      <c r="R15" s="15">
        <v>1.8509098960546238E-2</v>
      </c>
      <c r="S15" s="90">
        <v>1.1933697905849452</v>
      </c>
      <c r="T15" s="85">
        <v>11.511512740854835</v>
      </c>
      <c r="U15" s="13" t="s">
        <v>241</v>
      </c>
      <c r="V15" s="11" t="s">
        <v>240</v>
      </c>
      <c r="W15" s="14">
        <v>45900</v>
      </c>
      <c r="X15" s="11" t="s">
        <v>156</v>
      </c>
    </row>
    <row r="16" spans="1:24">
      <c r="B16" s="11" t="s">
        <v>267</v>
      </c>
      <c r="C16" s="11" t="s">
        <v>268</v>
      </c>
      <c r="D16" s="2">
        <v>2.63</v>
      </c>
      <c r="E16" s="12" t="s">
        <v>154</v>
      </c>
      <c r="F16" s="15">
        <v>6.4528934027962892E-2</v>
      </c>
      <c r="G16" s="15">
        <f>F16 - Portfolio_Mgmt!$C$10</f>
        <v>-5.2871065972037112E-2</v>
      </c>
      <c r="H16" s="15">
        <f>F16 - Portfolio_Mgmt!$C$11</f>
        <v>3.0028934027962889E-2</v>
      </c>
      <c r="I16" s="15">
        <v>0</v>
      </c>
      <c r="J16" s="2">
        <v>1.2866556489143171</v>
      </c>
      <c r="K16" s="2">
        <v>2.8128997845863255</v>
      </c>
      <c r="L16" s="2">
        <v>2.5568708163195604</v>
      </c>
      <c r="M16" s="2">
        <v>1.7897298814635352</v>
      </c>
      <c r="N16" s="2">
        <v>2.2876285001386938</v>
      </c>
      <c r="O16" s="4">
        <v>3.1755889063180762E-2</v>
      </c>
      <c r="P16" s="4">
        <v>4.2781259180377153E-2</v>
      </c>
      <c r="Q16" s="15">
        <v>0.20351769929714394</v>
      </c>
      <c r="R16" s="15">
        <v>1.0763175939415467E-2</v>
      </c>
      <c r="S16" s="90">
        <v>0.29882156160837919</v>
      </c>
      <c r="T16" s="85">
        <v>1.8961075273140482</v>
      </c>
      <c r="U16" s="13" t="s">
        <v>269</v>
      </c>
      <c r="V16" s="11" t="s">
        <v>263</v>
      </c>
      <c r="W16" s="14">
        <v>45900</v>
      </c>
      <c r="X16" s="11" t="s">
        <v>156</v>
      </c>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4.4299999999999999E-2</v>
      </c>
      <c r="D4" s="34">
        <v>7.4999999999999997E-2</v>
      </c>
      <c r="E4" s="35">
        <f>D4-C4</f>
        <v>3.0699999999999998E-2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212</v>
      </c>
    </row>
    <row r="2" spans="1:8" ht="29.75" customHeight="1">
      <c r="B2" s="65" t="s">
        <v>2</v>
      </c>
      <c r="C2" s="65" t="s">
        <v>215</v>
      </c>
      <c r="D2" s="65" t="s">
        <v>214</v>
      </c>
      <c r="E2" s="65" t="s">
        <v>213</v>
      </c>
      <c r="F2" s="65" t="s">
        <v>219</v>
      </c>
      <c r="G2" s="65" t="s">
        <v>227</v>
      </c>
      <c r="H2" s="65" t="s">
        <v>200</v>
      </c>
    </row>
    <row r="3" spans="1:8">
      <c r="B3" s="76" t="s">
        <v>28</v>
      </c>
      <c r="C3" s="74" t="s">
        <v>218</v>
      </c>
      <c r="D3" s="73" t="s">
        <v>216</v>
      </c>
      <c r="E3" s="75" t="s">
        <v>218</v>
      </c>
      <c r="F3" s="70">
        <v>241805.8</v>
      </c>
      <c r="G3" s="72">
        <f t="shared" ref="G3:G9" si="0">F3/$F$11</f>
        <v>0.27880751650724589</v>
      </c>
      <c r="H3" s="89">
        <f>Portfolio_Mgmt!E61</f>
        <v>0.3</v>
      </c>
    </row>
    <row r="4" spans="1:8">
      <c r="B4" s="77" t="s">
        <v>217</v>
      </c>
      <c r="C4" s="74">
        <f>VLOOKUP(B4,Opportunities!B$3:E$30,3,FALSE)</f>
        <v>17.68</v>
      </c>
      <c r="D4" s="73" t="str">
        <f>VLOOKUP(B4,Opportunities!B$3:E$30,4,FALSE)</f>
        <v>HKD</v>
      </c>
      <c r="E4" s="70">
        <v>10000</v>
      </c>
      <c r="F4" s="75">
        <f>C4*E4</f>
        <v>176800</v>
      </c>
      <c r="G4" s="72">
        <f t="shared" si="0"/>
        <v>0.20385436957459696</v>
      </c>
      <c r="H4" s="72">
        <f>VLOOKUP(B4,Opportunities!B$3:I$30,8,FALSE)</f>
        <v>0</v>
      </c>
    </row>
    <row r="5" spans="1:8">
      <c r="B5" s="77" t="s">
        <v>236</v>
      </c>
      <c r="C5" s="74">
        <f>VLOOKUP(B5,Opportunities!B$3:E$30,3,FALSE)</f>
        <v>1.19</v>
      </c>
      <c r="D5" s="73" t="str">
        <f>VLOOKUP(B5,Opportunities!B$3:E$30,4,FALSE)</f>
        <v>HKD</v>
      </c>
      <c r="E5" s="70">
        <v>60000</v>
      </c>
      <c r="F5" s="75">
        <f>E5*C5</f>
        <v>71400</v>
      </c>
      <c r="G5" s="72">
        <f t="shared" si="0"/>
        <v>8.2325803097433384E-2</v>
      </c>
      <c r="H5" s="72">
        <f>VLOOKUP(B5,Opportunities!B$3:I$30,8,FALSE)</f>
        <v>0.13291014336686657</v>
      </c>
    </row>
    <row r="6" spans="1:8">
      <c r="B6" s="77" t="s">
        <v>222</v>
      </c>
      <c r="C6" s="74">
        <f>VLOOKUP(B6,Opportunities!B$3:E$30,3,FALSE)</f>
        <v>6.34</v>
      </c>
      <c r="D6" s="73" t="str">
        <f>VLOOKUP(B6,Opportunities!B$3:E$30,4,FALSE)</f>
        <v>HKD</v>
      </c>
      <c r="E6" s="70">
        <v>18000</v>
      </c>
      <c r="F6" s="75">
        <f>E6*C6</f>
        <v>114120</v>
      </c>
      <c r="G6" s="72">
        <f t="shared" si="0"/>
        <v>0.13158292226161203</v>
      </c>
      <c r="H6" s="72">
        <f>VLOOKUP(B6,Opportunities!B$3:I$30,8,FALSE)</f>
        <v>0</v>
      </c>
    </row>
    <row r="7" spans="1:8">
      <c r="B7" s="77" t="s">
        <v>223</v>
      </c>
      <c r="C7" s="74">
        <f>VLOOKUP(B7,Opportunities!B$3:E$30,3,FALSE)</f>
        <v>15.26</v>
      </c>
      <c r="D7" s="73" t="str">
        <f>VLOOKUP(B7,Opportunities!B$3:E$30,4,FALSE)</f>
        <v>HKD</v>
      </c>
      <c r="E7" s="70">
        <v>6000</v>
      </c>
      <c r="F7" s="75">
        <f>C7*E7</f>
        <v>91560</v>
      </c>
      <c r="G7" s="72">
        <f t="shared" si="0"/>
        <v>0.10557073573670871</v>
      </c>
      <c r="H7" s="72">
        <f>VLOOKUP(B7,Opportunities!B$3:I$30,8,FALSE)</f>
        <v>0.1758117190137394</v>
      </c>
    </row>
    <row r="8" spans="1:8">
      <c r="B8" s="77" t="s">
        <v>275</v>
      </c>
      <c r="C8" s="74">
        <f>VLOOKUP(B8,Opportunities!B$3:E$30,3,FALSE)</f>
        <v>17.600000000000001</v>
      </c>
      <c r="D8" s="73" t="str">
        <f>VLOOKUP(B8,Opportunities!B$3:E$30,4,FALSE)</f>
        <v>HKD</v>
      </c>
      <c r="E8" s="70">
        <v>3000</v>
      </c>
      <c r="F8" s="75">
        <f>C8*E8</f>
        <v>52800.000000000007</v>
      </c>
      <c r="G8" s="72">
        <f t="shared" si="0"/>
        <v>6.0879585483816299E-2</v>
      </c>
      <c r="H8" s="72">
        <f>VLOOKUP(B8,Opportunities!B$3:I$30,8,FALSE)</f>
        <v>0.20774870590319264</v>
      </c>
    </row>
    <row r="9" spans="1:8">
      <c r="B9" s="77" t="s">
        <v>264</v>
      </c>
      <c r="C9" s="74">
        <f>VLOOKUP(B9,Opportunities!B$3:E$30,3,FALSE)</f>
        <v>1.98</v>
      </c>
      <c r="D9" s="73" t="str">
        <f>VLOOKUP(B9,Opportunities!B$3:E$30,4,FALSE)</f>
        <v>HKD</v>
      </c>
      <c r="E9" s="70">
        <f>2000*30</f>
        <v>60000</v>
      </c>
      <c r="F9" s="75">
        <f>C9*E9</f>
        <v>118800</v>
      </c>
      <c r="G9" s="72">
        <f t="shared" si="0"/>
        <v>0.13697906733858664</v>
      </c>
      <c r="H9" s="72">
        <f>VLOOKUP(B9,Opportunities!B$3:I$30,8,FALSE)</f>
        <v>0.18352943171620137</v>
      </c>
    </row>
    <row r="10" spans="1:8">
      <c r="B10" s="66"/>
      <c r="C10" s="69"/>
      <c r="D10" s="66"/>
      <c r="H10" s="88"/>
    </row>
    <row r="11" spans="1:8" ht="13.15">
      <c r="B11" s="78"/>
      <c r="C11" s="79"/>
      <c r="D11" s="78"/>
      <c r="E11" s="80" t="s">
        <v>226</v>
      </c>
      <c r="F11" s="80">
        <f>SUM(F3:F9)</f>
        <v>867285.8</v>
      </c>
      <c r="G11" s="81">
        <f>SUM(G3:G9)</f>
        <v>1</v>
      </c>
      <c r="H11" s="87">
        <f>SUM(H3:H9)</f>
        <v>1</v>
      </c>
    </row>
    <row r="12" spans="1:8">
      <c r="B12" s="66"/>
      <c r="C12" s="69"/>
      <c r="D12" s="66"/>
      <c r="E12" s="70"/>
      <c r="F12" s="70"/>
    </row>
    <row r="13" spans="1:8" ht="13.15">
      <c r="A13" s="62"/>
      <c r="B13" s="63" t="s">
        <v>224</v>
      </c>
    </row>
    <row r="14" spans="1:8">
      <c r="B14" s="77" t="s">
        <v>236</v>
      </c>
      <c r="C14" s="74">
        <f>VLOOKUP(B14,Opportunities!B$3:E$30,3,FALSE)</f>
        <v>1.19</v>
      </c>
      <c r="D14" s="73" t="str">
        <f>VLOOKUP(B14,Opportunities!B$3:E$30,4,FALSE)</f>
        <v>HKD</v>
      </c>
      <c r="E14" s="70">
        <f>60000-E5</f>
        <v>0</v>
      </c>
      <c r="F14" s="75">
        <f>-C14*E14</f>
        <v>0</v>
      </c>
      <c r="G14" s="72">
        <f>-F14/$F$11</f>
        <v>0</v>
      </c>
      <c r="H14" s="72">
        <f>VLOOKUP(B14,Opportunities!B$3:I$30,8,FALSE)</f>
        <v>0.13291014336686657</v>
      </c>
    </row>
    <row r="15" spans="1:8">
      <c r="G15" s="86"/>
      <c r="H15" s="86"/>
    </row>
    <row r="16" spans="1:8" ht="13.15">
      <c r="B16" s="82" t="s">
        <v>225</v>
      </c>
      <c r="C16" s="83" t="s">
        <v>218</v>
      </c>
      <c r="D16" s="84" t="s">
        <v>154</v>
      </c>
      <c r="E16" s="83" t="s">
        <v>218</v>
      </c>
      <c r="F16" s="80">
        <f>F3+SUM(F14:F14)</f>
        <v>241805.8</v>
      </c>
      <c r="G16" s="87">
        <f t="shared" ref="G16" si="1">F16/$F$11</f>
        <v>0.27880751650724589</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4" t="s">
        <v>100</v>
      </c>
      <c r="C3" s="104"/>
      <c r="D3" s="104"/>
    </row>
    <row r="5" spans="1:4">
      <c r="B5" s="105" t="s">
        <v>102</v>
      </c>
      <c r="C5" s="96"/>
      <c r="D5" s="96"/>
    </row>
    <row r="6" spans="1:4">
      <c r="B6" s="105" t="s">
        <v>103</v>
      </c>
      <c r="C6" s="96"/>
      <c r="D6" s="96"/>
    </row>
    <row r="8" spans="1:4">
      <c r="B8" s="1" t="s">
        <v>101</v>
      </c>
    </row>
    <row r="10" spans="1:4">
      <c r="A10" s="5"/>
      <c r="B10" s="6" t="s">
        <v>104</v>
      </c>
    </row>
    <row r="11" spans="1:4">
      <c r="B11" s="104" t="s">
        <v>105</v>
      </c>
      <c r="C11" s="104"/>
      <c r="D11" s="104"/>
    </row>
    <row r="12" spans="1:4">
      <c r="B12" s="104" t="s">
        <v>106</v>
      </c>
      <c r="C12" s="104"/>
      <c r="D12" s="104"/>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4" t="s">
        <v>118</v>
      </c>
      <c r="C28" s="104"/>
      <c r="D28" s="104"/>
    </row>
    <row r="29" spans="1:4">
      <c r="B29" s="104" t="s">
        <v>119</v>
      </c>
      <c r="C29" s="104"/>
      <c r="D29" s="104"/>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2025-05-20T09:41:57Z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