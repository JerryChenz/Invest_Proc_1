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8E16162A-7AC7-452B-99C6-86065348610F}" xr6:coauthVersionLast="47" xr6:coauthVersionMax="47" xr10:uidLastSave="{00000000-0000-0000-0000-000000000000}"/>
  <bookViews>
    <workbookView xWindow="1837" yWindow="1837" windowWidth="12691" windowHeight="7643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G3" i="1"/>
  <c r="G4" i="1"/>
  <c r="G5" i="1"/>
  <c r="G6" i="1"/>
  <c r="G7" i="1"/>
  <c r="G8" i="1"/>
  <c r="G9" i="1"/>
  <c r="C18" i="11"/>
  <c r="D18" i="11" s="1"/>
  <c r="E18" i="11" s="1"/>
  <c r="E19" i="11"/>
  <c r="C9" i="11"/>
  <c r="D1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G3" i="7"/>
  <c r="E64" i="10"/>
  <c r="E63" i="10"/>
  <c r="E62" i="10"/>
  <c r="E61" i="10"/>
  <c r="E60" i="10"/>
  <c r="C55" i="10"/>
  <c r="C54" i="10"/>
  <c r="C53" i="10"/>
  <c r="E32" i="10"/>
  <c r="C37" i="10"/>
  <c r="C35" i="10"/>
  <c r="C33" i="10"/>
  <c r="C32" i="10"/>
  <c r="C28" i="10"/>
  <c r="C27" i="10"/>
  <c r="C11" i="10"/>
  <c r="B80" i="10"/>
  <c r="B83" i="10"/>
  <c r="B83" i="5"/>
  <c r="B80" i="5"/>
  <c r="C36" i="10" l="1"/>
  <c r="E36" i="10" s="1"/>
  <c r="C23" i="11"/>
  <c r="C24" i="11"/>
  <c r="E65" i="10"/>
  <c r="E66" i="10" s="1"/>
  <c r="C34" i="10"/>
  <c r="E34" i="10" s="1"/>
  <c r="C32" i="5"/>
  <c r="C34" i="5"/>
  <c r="E34" i="5" s="1"/>
  <c r="C36" i="5"/>
  <c r="E36" i="5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E37" i="5"/>
  <c r="E37" i="10" s="1"/>
  <c r="I5" i="7"/>
  <c r="D5" i="7"/>
  <c r="G5" i="7" s="1"/>
  <c r="E5" i="7"/>
  <c r="E4" i="7"/>
  <c r="I4" i="7"/>
  <c r="D4" i="7"/>
  <c r="E35" i="10" l="1"/>
  <c r="E33" i="10"/>
  <c r="E35" i="5"/>
  <c r="E33" i="5"/>
  <c r="G6" i="7"/>
  <c r="G12" i="7"/>
  <c r="G18" i="7" s="1"/>
  <c r="G4" i="7"/>
  <c r="G9" i="7" l="1"/>
  <c r="H16" i="7" s="1"/>
  <c r="H6" i="7" l="1"/>
  <c r="H15" i="7"/>
  <c r="H7" i="7"/>
  <c r="H14" i="7"/>
  <c r="E65" i="5"/>
  <c r="E66" i="5" s="1"/>
  <c r="H13" i="7" l="1"/>
  <c r="H12" i="7"/>
  <c r="H5" i="7"/>
  <c r="H4" i="7"/>
  <c r="H18" i="7"/>
  <c r="C16" i="2"/>
  <c r="C10" i="5" s="1"/>
  <c r="C11" i="5"/>
  <c r="E6" i="2"/>
  <c r="E5" i="2"/>
  <c r="E4" i="2"/>
  <c r="C10" i="10" l="1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<sst xmlns="http://schemas.openxmlformats.org/spreadsheetml/2006/main" count="446" uniqueCount="379">
  <si>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</si>
  <si>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</si>
  <si>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</si>
  <si>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</si>
  <si>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</si>
  <si>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</si>
  <si>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</si>
  <si>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</si>
  <si>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</si>
  <si>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</si>
  <si>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</si>
  <si>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</si>
  <si>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</si>
  <si>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</si>
  <si>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</si>
  <si>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</si>
  <si>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</si>
  <si>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</si>
  <si>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</si>
  <si>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</si>
  <si>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</si>
  <si>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</si>
  <si>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</si>
  <si>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</si>
  <si>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</si>
  <si>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</si>
  <si>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</si>
  <si>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</si>
  <si>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</si>
  <si>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</si>
  <si>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</si>
  <si>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</si>
  <si>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</si>
  <si>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</si>
  <si>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</si>
  <si>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</si>
  <si>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</si>
  <si>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</si>
  <si>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</si>
  <si>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</si>
  <si>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</si>
  <si>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</si>
  <si>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</si>
  <si>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</si>
  <si>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</si>
  <si>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</si>
  <si>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</si>
  <si>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</si>
  <si>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</si>
  <si>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</si>
  <si>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</si>
  <si>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</si>
  <si>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</si>
  <si>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</si>
  <si>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</si>
  <si>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</si>
  <si>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</si>
  <si>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</si>
  <si>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</si>
  <si>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</si>
  <si>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</si>
  <si>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</si>
  <si>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</si>
  <si>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</si>
  <si>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</si>
  <si>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</si>
  <si>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</si>
  <si>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</si>
  <si>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</si>
  <si>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</si>
  <si>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</si>
  <si>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</si>
  <si>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</si>
  <si>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</si>
  <si>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</si>
  <si>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</si>
  <si>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</si>
  <si>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</si>
  <si>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</si>
  <si>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</si>
  <si>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</si>
  <si>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</si>
  <si>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</si>
  <si>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</si>
  <si>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</si>
  <si>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</si>
  <si>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</si>
  <si>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</si>
  <si>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</si>
  <si>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</si>
  <si>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</si>
  <si>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</si>
  <si>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</si>
  <si>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</si>
  <si>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</si>
  <si>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</si>
  <si>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</si>
  <si>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</si>
  <si>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</si>
  <si>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</si>
  <si>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</si>
  <si>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</si>
  <si>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</si>
  <si>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</si>
  <si>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</si>
  <si>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</si>
  <si>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</si>
  <si>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</si>
  <si>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</si>
  <si>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</si>
  <si>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</si>
  <si>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</si>
  <si>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</si>
  <si>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</si>
  <si>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</si>
  <si>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</si>
  <si>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</si>
  <si>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</si>
  <si>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</si>
  <si>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</si>
  <si>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</si>
  <si>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</si>
  <si>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</si>
  <si>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</si>
  <si>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</si>
  <si>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</si>
  <si>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</si>
  <si>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</si>
  <si>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</si>
  <si>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</si>
  <si>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</si>
  <si>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</si>
  <si>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</si>
  <si>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</si>
  <si>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</si>
  <si>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</si>
  <si>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</si>
  <si>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</si>
  <si>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</si>
  <si>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</si>
  <si>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</si>
  <si>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</si>
  <si>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</si>
  <si>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</si>
  <si>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</si>
  <si>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</si>
  <si>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</si>
  <si>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</si>
  <si>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</si>
  <si>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</si>
  <si>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</si>
  <si>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</si>
  <si>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</si>
  <si>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</si>
  <si>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</si>
  <si>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</si>
  <si>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</si>
  <si>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</si>
  <si>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</si>
  <si>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</si>
  <si>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</si>
  <si>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</si>
  <si>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</si>
  <si>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</si>
  <si>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</si>
  <si>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</si>
  <si>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</si>
  <si>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</si>
  <si>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</si>
  <si>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</si>
  <si>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</si>
  <si>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</si>
  <si>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Low Growth Asset Play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</si>
  <si>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</si>
  <si>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</si>
  <si>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</si>
  <si>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</si>
  <si>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</si>
  <si>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</si>
  <si>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</si>
  <si>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</si>
  <si>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</si>
  <si>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</si>
  <si>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</si>
  <si>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</si>
  <si>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</si>
  <si>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</si>
  <si>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</si>
  <si>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</si>
  <si>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</si>
  <si>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</si>
  <si>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</si>
  <si>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</si>
  <si>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</si>
  <si>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</si>
  <si>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</si>
  <si>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</si>
  <si>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</si>
  <si>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</si>
  <si>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</si>
  <si>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</si>
  <si>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</si>
  <si>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</si>
  <si>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</si>
  <si>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</si>
  <si>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</si>
  <si>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</si>
  <si>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</si>
  <si>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</si>
  <si>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</si>
  <si>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</si>
  <si>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</si>
  <si>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</si>
  <si>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</si>
  <si>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</si>
  <si>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</si>
  <si>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</si>
  <si>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</si>
  <si>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</si>
  <si>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</si>
  <si>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</si>
  <si>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</si>
  <si>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</si>
  <si>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</si>
  <si>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</si>
  <si>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</si>
  <si>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</si>
  <si>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</si>
  <si>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</si>
  <si>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</si>
  <si>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</si>
  <si>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</si>
  <si>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</si>
  <si>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</si>
  <si>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</si>
  <si>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</si>
  <si>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</si>
  <si>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</si>
  <si>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</si>
  <si>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</si>
  <si>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</si>
  <si>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</si>
  <si>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</si>
  <si>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</si>
  <si>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</si>
  <si>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</si>
  <si>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</si>
  <si>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</si>
  <si>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</si>
  <si>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</si>
  <si>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</si>
  <si>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</si>
  <si>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</si>
  <si>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</si>
  <si>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</si>
  <si>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</si>
  <si>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</si>
  <si>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</si>
  <si>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</si>
  <si>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</si>
  <si>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</si>
  <si>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</si>
  <si>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</si>
  <si>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</si>
  <si>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</si>
  <si>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</si>
  <si>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</si>
  <si>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</si>
  <si>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</si>
  <si>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</si>
  <si>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</si>
  <si>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</si>
  <si>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</si>
  <si>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</si>
  <si>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</si>
  <si>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</si>
  <si>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</si>
  <si>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</si>
  <si>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</si>
  <si>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</si>
  <si>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</si>
  <si>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</si>
  <si>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</si>
  <si>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</si>
  <si>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</si>
  <si>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</si>
  <si>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</si>
  <si>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</si>
  <si>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</si>
  <si>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</si>
  <si>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</si>
  <si>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</si>
  <si>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</si>
  <si>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</si>
  <si>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</si>
  <si>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</si>
  <si>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</si>
  <si>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</si>
  <si>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</si>
  <si>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</si>
  <si>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</si>
  <si>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</si>
  <si>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</si>
  <si>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</si>
  <si>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</si>
  <si>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</si>
  <si>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</si>
  <si>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</si>
  <si>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</si>
  <si>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</si>
  <si>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</si>
  <si>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</si>
  <si>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</si>
  <si>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</si>
  <si>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</si>
  <si>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</si>
  <si>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</si>
  <si>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</si>
  <si>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</si>
  <si>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</si>
  <si>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</si>
  <si>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</si>
  <si>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</si>
  <si>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</si>
  <si>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</si>
  <si>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</si>
  <si>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</si>
  <si>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</si>
  <si>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</si>
  <si>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</si>
  <si>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</si>
  <si>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</si>
  <si>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</si>
  <si>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</si>
  <si>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</si>
  <si>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</si>
  <si>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</si>
  <si>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</si>
  <si>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</si>
  <si>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</si>
  <si>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</si>
  <si>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</si>
  <si>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</si>
  <si>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</si>
  <si>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N</t>
  </si>
  <si>
    <t>首钢资源</t>
  </si>
  <si>
    <t>MAT_01</t>
  </si>
  <si>
    <t>李宁</t>
  </si>
  <si>
    <t>CNS_02</t>
  </si>
  <si>
    <t>中国海油</t>
  </si>
  <si>
    <t>ENG_01</t>
  </si>
  <si>
    <t xml:space="preserve">Negative Growth </t>
  </si>
  <si>
    <t>0135.HK</t>
  </si>
  <si>
    <t>昆仑能源</t>
  </si>
  <si>
    <t>ENG_02</t>
  </si>
  <si>
    <t>Company Name</t>
  </si>
  <si>
    <t>3690.HK</t>
  </si>
  <si>
    <t>美团</t>
  </si>
  <si>
    <t>TMT_01</t>
  </si>
  <si>
    <t xml:space="preserve">High Growth </t>
  </si>
  <si>
    <t>i.</t>
  </si>
  <si>
    <t>Goal: Use Kelly's forumla to determine your required returns during your investment horizon.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</si>
  <si>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</si>
  <si>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</si>
  <si>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</si>
  <si>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</si>
  <si>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</si>
  <si>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</si>
  <si>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</si>
  <si>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</si>
  <si>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</si>
  <si>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</si>
  <si>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</si>
  <si>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</si>
  <si>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</si>
  <si>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total Gain if right (w)</t>
  </si>
  <si>
    <t>Expected annual Gains if right</t>
  </si>
  <si>
    <t>q</t>
  </si>
  <si>
    <t>Allocation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</si>
</sst>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166" fontId="11" fillId="0" borderId="7" xfId="0" applyNumberFormat="1" applyFont="1" applyBorder="1" applyAlignment="1">
      <alignment horizontal="righ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9" fontId="37" fillId="0" borderId="4" xfId="0" applyNumberFormat="1" applyFont="1" applyBorder="1" applyAlignment="1">
      <alignment horizontal="right"/>
    </xf>
    <xf numFmtId="9" fontId="43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3" fillId="0" borderId="4" xfId="0" applyNumberFormat="1" applyFont="1" applyBorder="1"/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B6D7A8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10" zoomScale="83" workbookViewId="0">
      <selection activeCell="J35" sqref="J35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39" t="s">
        <v>149</v>
      </c>
      <c r="C4" s="139"/>
      <c r="D4" s="139"/>
      <c r="E4" s="139"/>
    </row>
    <row r="6" spans="1:5">
      <c r="A6" s="20" t="s">
        <v>60</v>
      </c>
      <c r="B6" s="19" t="s">
        <v>143</v>
      </c>
      <c r="C6" s="49"/>
    </row>
    <row r="7" spans="1:5">
      <c r="B7" s="139" t="s">
        <v>210</v>
      </c>
      <c r="C7" s="139"/>
      <c r="D7" s="139"/>
      <c r="E7" s="139"/>
    </row>
    <row r="9" spans="1:5">
      <c r="B9" s="23" t="s">
        <v>53</v>
      </c>
    </row>
    <row r="10" spans="1:5">
      <c r="B10" s="1" t="s">
        <v>58</v>
      </c>
      <c r="C10" s="79">
        <f>Market_Yield!C16</f>
        <v>0.1174</v>
      </c>
    </row>
    <row r="11" spans="1:5">
      <c r="B11" s="1" t="s">
        <v>50</v>
      </c>
      <c r="C11" s="79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242</v>
      </c>
    </row>
    <row r="20" spans="1:5">
      <c r="B20" s="24" t="s">
        <v>211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40" t="s">
        <v>212</v>
      </c>
      <c r="C24" s="139"/>
      <c r="D24" s="139"/>
      <c r="E24" s="139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199</v>
      </c>
      <c r="C28" s="45">
        <v>0.3</v>
      </c>
    </row>
    <row r="30" spans="1:5">
      <c r="A30" s="20" t="s">
        <v>62</v>
      </c>
      <c r="B30" s="94" t="s">
        <v>12</v>
      </c>
      <c r="C30" s="49"/>
    </row>
    <row r="31" spans="1:5">
      <c r="A31" s="20"/>
      <c r="B31" s="43" t="s">
        <v>213</v>
      </c>
      <c r="C31" s="43" t="s">
        <v>214</v>
      </c>
      <c r="D31" s="43" t="s">
        <v>215</v>
      </c>
      <c r="E31" s="43" t="s">
        <v>214</v>
      </c>
    </row>
    <row r="32" spans="1:5" ht="12" thickBot="1">
      <c r="A32" s="20"/>
      <c r="B32" s="95" t="s">
        <v>216</v>
      </c>
      <c r="C32" s="96">
        <f>3/5</f>
        <v>0.6</v>
      </c>
      <c r="D32" s="95" t="s">
        <v>237</v>
      </c>
      <c r="E32" s="96">
        <v>-0.7</v>
      </c>
    </row>
    <row r="33" spans="1:5">
      <c r="B33" s="98" t="s">
        <v>219</v>
      </c>
      <c r="C33" s="99">
        <v>0.22</v>
      </c>
      <c r="D33" s="100" t="s">
        <v>222</v>
      </c>
      <c r="E33" s="101">
        <f>(C32*C33+(1-C32)*C34)/(2*C33)</f>
        <v>-0.13636363636363635</v>
      </c>
    </row>
    <row r="34" spans="1:5" ht="12" thickBot="1">
      <c r="B34" s="102" t="s">
        <v>218</v>
      </c>
      <c r="C34" s="103">
        <f>E32+C33</f>
        <v>-0.48</v>
      </c>
      <c r="D34" s="104" t="s">
        <v>223</v>
      </c>
      <c r="E34" s="105">
        <f>-C33/C34</f>
        <v>0.45833333333333337</v>
      </c>
    </row>
    <row r="35" spans="1:5">
      <c r="B35" s="98" t="s">
        <v>217</v>
      </c>
      <c r="C35" s="99">
        <v>0.16</v>
      </c>
      <c r="D35" s="100" t="s">
        <v>222</v>
      </c>
      <c r="E35" s="101">
        <f>(C32*C35+(1-C32)*C36)/(2*C35)</f>
        <v>-0.37499999999999989</v>
      </c>
    </row>
    <row r="36" spans="1:5" ht="12" thickBot="1">
      <c r="B36" s="102" t="s">
        <v>220</v>
      </c>
      <c r="C36" s="103">
        <f>E32+C35</f>
        <v>-0.53999999999999992</v>
      </c>
      <c r="D36" s="104" t="s">
        <v>223</v>
      </c>
      <c r="E36" s="105">
        <f>-C35/C36</f>
        <v>0.29629629629629634</v>
      </c>
    </row>
    <row r="37" spans="1:5">
      <c r="B37" s="106" t="s">
        <v>221</v>
      </c>
      <c r="C37" s="120">
        <v>3</v>
      </c>
      <c r="D37" s="97" t="s">
        <v>13</v>
      </c>
      <c r="E37" s="107">
        <f>MAX(6%,Market_Yield!C4:D4,Market_Yield!C6:D6)</f>
        <v>7.2499999999999995E-2</v>
      </c>
    </row>
    <row r="38" spans="1:5">
      <c r="C38" s="92"/>
    </row>
    <row r="39" spans="1:5">
      <c r="B39" s="20" t="s">
        <v>225</v>
      </c>
    </row>
    <row r="40" spans="1:5">
      <c r="B40" s="139" t="s">
        <v>224</v>
      </c>
      <c r="C40" s="139"/>
      <c r="D40" s="139"/>
      <c r="E40" s="139"/>
    </row>
    <row r="41" spans="1:5">
      <c r="B41" s="140" t="s">
        <v>240</v>
      </c>
      <c r="C41" s="139"/>
      <c r="D41" s="139"/>
      <c r="E41" s="139"/>
    </row>
    <row r="42" spans="1:5">
      <c r="B42" s="140" t="s">
        <v>238</v>
      </c>
      <c r="C42" s="139"/>
      <c r="D42" s="139"/>
      <c r="E42" s="139"/>
    </row>
    <row r="43" spans="1:5">
      <c r="B43" s="140" t="s">
        <v>239</v>
      </c>
      <c r="C43" s="140"/>
      <c r="D43" s="140"/>
      <c r="E43" s="140"/>
    </row>
    <row r="44" spans="1:5" ht="46.5" customHeight="1">
      <c r="B44" s="139" t="s">
        <v>159</v>
      </c>
      <c r="C44" s="139"/>
      <c r="D44" s="139"/>
      <c r="E44" s="139"/>
    </row>
    <row r="46" spans="1:5">
      <c r="A46" s="21" t="s">
        <v>138</v>
      </c>
      <c r="B46" s="21"/>
      <c r="C46" s="21"/>
      <c r="D46" s="21"/>
      <c r="E46" s="21"/>
    </row>
    <row r="48" spans="1:5">
      <c r="B48" s="139" t="s">
        <v>226</v>
      </c>
      <c r="C48" s="139"/>
      <c r="D48" s="139"/>
      <c r="E48" s="139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208</v>
      </c>
      <c r="C53" s="29">
        <v>0.45</v>
      </c>
      <c r="D53" s="48"/>
      <c r="E53" s="46"/>
    </row>
    <row r="54" spans="2:5">
      <c r="B54" s="26" t="s">
        <v>207</v>
      </c>
      <c r="C54" s="29">
        <v>0.3</v>
      </c>
      <c r="D54" s="48"/>
      <c r="E54" s="46"/>
    </row>
    <row r="55" spans="2:5">
      <c r="B55" s="26" t="s">
        <v>206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203</v>
      </c>
      <c r="C62" s="26" t="s">
        <v>204</v>
      </c>
      <c r="D62" s="26" t="s">
        <v>205</v>
      </c>
      <c r="E62" s="40">
        <v>0</v>
      </c>
    </row>
    <row r="63" spans="2:5">
      <c r="B63" s="26" t="s">
        <v>201</v>
      </c>
      <c r="C63" s="26" t="s">
        <v>170</v>
      </c>
      <c r="D63" s="26" t="s">
        <v>171</v>
      </c>
      <c r="E63" s="40">
        <v>2</v>
      </c>
    </row>
    <row r="64" spans="2:5">
      <c r="B64" s="26" t="s">
        <v>202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228</v>
      </c>
    </row>
    <row r="69" spans="1:5">
      <c r="B69" s="1" t="s">
        <v>241</v>
      </c>
    </row>
    <row r="70" spans="1:5">
      <c r="B70" s="1" t="s">
        <v>227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39" t="s">
        <v>139</v>
      </c>
      <c r="C74" s="139"/>
      <c r="D74" s="139"/>
      <c r="E74" s="139"/>
    </row>
    <row r="76" spans="1:5">
      <c r="A76" s="28" t="s">
        <v>60</v>
      </c>
      <c r="B76" s="20" t="s">
        <v>230</v>
      </c>
    </row>
    <row r="77" spans="1:5">
      <c r="B77" s="24" t="s">
        <v>151</v>
      </c>
    </row>
    <row r="79" spans="1:5">
      <c r="A79" s="28" t="s">
        <v>209</v>
      </c>
      <c r="B79" s="20" t="s">
        <v>229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9" t="s">
        <v>233</v>
      </c>
      <c r="C81" s="93" t="s">
        <v>243</v>
      </c>
    </row>
    <row r="82" spans="1:5">
      <c r="B82" s="109" t="s">
        <v>232</v>
      </c>
      <c r="C82" s="93" t="s">
        <v>200</v>
      </c>
    </row>
    <row r="83" spans="1:5">
      <c r="B83" s="108" t="str">
        <f>B20</f>
        <v>- Non-selected investments receive 50% of normal allocation.</v>
      </c>
    </row>
    <row r="85" spans="1:5">
      <c r="B85" s="20" t="s">
        <v>231</v>
      </c>
    </row>
    <row r="86" spans="1:5">
      <c r="B86" s="1" t="s">
        <v>234</v>
      </c>
    </row>
    <row r="87" spans="1:5">
      <c r="B87" s="1" t="s">
        <v>236</v>
      </c>
    </row>
    <row r="88" spans="1:5">
      <c r="B88" s="1" t="s">
        <v>235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M9" sqref="M9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1" customWidth="1"/>
    <col min="20" max="20" width="8.6640625" style="80" customWidth="1"/>
    <col min="21" max="21" width="8.6640625" style="15" customWidth="1"/>
    <col min="22" max="22" width="8.6640625" style="78" customWidth="1"/>
    <col min="23" max="23" width="8.6640625" style="73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3" t="s">
        <v>1</v>
      </c>
      <c r="E1" s="143"/>
      <c r="F1" s="143"/>
      <c r="G1" s="144" t="s">
        <v>85</v>
      </c>
      <c r="H1" s="144"/>
      <c r="I1" s="144"/>
      <c r="J1" s="146" t="s">
        <v>4</v>
      </c>
      <c r="K1" s="146"/>
      <c r="L1" s="146"/>
      <c r="M1" s="145" t="s">
        <v>169</v>
      </c>
      <c r="N1" s="145"/>
      <c r="O1" s="141" t="s">
        <v>8</v>
      </c>
      <c r="P1" s="141"/>
      <c r="Q1" s="148" t="s">
        <v>184</v>
      </c>
      <c r="R1" s="148"/>
      <c r="S1" s="148"/>
      <c r="T1" s="148"/>
      <c r="U1" s="147" t="s">
        <v>180</v>
      </c>
      <c r="V1" s="147"/>
      <c r="W1" s="147"/>
      <c r="X1" s="142" t="s">
        <v>49</v>
      </c>
      <c r="Y1" s="142"/>
      <c r="Z1" s="142"/>
      <c r="AA1" s="142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178</v>
      </c>
      <c r="F2" s="7" t="s">
        <v>177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176</v>
      </c>
      <c r="M2" s="8" t="s">
        <v>168</v>
      </c>
      <c r="N2" s="8" t="s">
        <v>175</v>
      </c>
      <c r="O2" s="7" t="s">
        <v>11</v>
      </c>
      <c r="P2" s="7" t="s">
        <v>6</v>
      </c>
      <c r="Q2" s="7" t="s">
        <v>181</v>
      </c>
      <c r="R2" s="7" t="s">
        <v>186</v>
      </c>
      <c r="S2" s="7" t="s">
        <v>182</v>
      </c>
      <c r="T2" s="7" t="s">
        <v>183</v>
      </c>
      <c r="U2" s="7" t="s">
        <v>165</v>
      </c>
      <c r="V2" s="7" t="s">
        <v>167</v>
      </c>
      <c r="W2" s="7" t="s">
        <v>166</v>
      </c>
      <c r="X2" s="7" t="s">
        <v>5</v>
      </c>
      <c r="Y2" s="7" t="s">
        <v>179</v>
      </c>
      <c r="Z2" s="9" t="s">
        <v>9</v>
      </c>
      <c r="AA2" s="10" t="s">
        <v>48</v>
      </c>
    </row>
    <row r="3" spans="1:27">
      <c r="B3" s="11" t="s">
        <v>341</v>
      </c>
      <c r="C3" s="11" t="s">
        <v>342</v>
      </c>
      <c r="D3" s="2">
        <v>3.89</v>
      </c>
      <c r="E3" s="12" t="s">
        <v>136</v>
      </c>
      <c r="F3" s="15">
        <v>0.23344938128212497</v>
      </c>
      <c r="G3" s="15">
        <f>F3 - Portfolio_Mgmt!$C$10</f>
        <v>0.11604938128212497</v>
      </c>
      <c r="H3" s="15">
        <f>F3 - Portfolio_Mgmt!$C$11</f>
        <v>0.19894938128212497</v>
      </c>
      <c r="I3" s="15">
        <v>0.22985701921598123</v>
      </c>
      <c r="J3" s="2">
        <v>4.0138896271444429</v>
      </c>
      <c r="K3" s="2">
        <v>6.3919223316709823</v>
      </c>
      <c r="L3" s="73">
        <v>5.8129824439892515</v>
      </c>
      <c r="M3" s="2">
        <v>4.6380901813259712</v>
      </c>
      <c r="N3" s="2">
        <v>5.1648441984205515</v>
      </c>
      <c r="O3" s="4">
        <v>8.031104380627542E-2</v>
      </c>
      <c r="P3" s="4">
        <v>6.2159383033419016E-2</v>
      </c>
      <c r="Q3" s="4">
        <v>0.13051754934484086</v>
      </c>
      <c r="R3" s="4">
        <v>0.21350770384328224</v>
      </c>
      <c r="S3" s="81">
        <v>0.48960240415119827</v>
      </c>
      <c r="T3" s="80">
        <v>1.2485669045200241</v>
      </c>
      <c r="U3" s="15">
        <v>3.1120102042901991E-2</v>
      </c>
      <c r="V3" s="78">
        <v>0.2356683101838101</v>
      </c>
      <c r="W3" s="73">
        <v>1.2421767123602019</v>
      </c>
      <c r="X3" s="13" t="s">
        <v>173</v>
      </c>
      <c r="Y3" s="11" t="s">
        <v>343</v>
      </c>
      <c r="Z3" s="14">
        <v>46081</v>
      </c>
      <c r="AA3" s="16" t="s">
        <v>344</v>
      </c>
    </row>
    <row r="4" spans="1:27">
      <c r="B4" s="11" t="s">
        <v>187</v>
      </c>
      <c r="C4" s="11" t="s">
        <v>345</v>
      </c>
      <c r="D4" s="2">
        <v>2.79</v>
      </c>
      <c r="E4" s="12" t="s">
        <v>136</v>
      </c>
      <c r="F4" s="15">
        <v>0.20532122001811634</v>
      </c>
      <c r="G4" s="15">
        <f>F4 - Portfolio_Mgmt!$C$10</f>
        <v>8.7921220018116336E-2</v>
      </c>
      <c r="H4" s="15">
        <f>F4 - Portfolio_Mgmt!$C$11</f>
        <v>0.17082122001811634</v>
      </c>
      <c r="I4" s="15">
        <v>0.48639583190063135</v>
      </c>
      <c r="J4" s="2">
        <v>2.6979768656754866</v>
      </c>
      <c r="K4" s="2">
        <v>3.8978478955831006</v>
      </c>
      <c r="L4" s="73">
        <v>3.864947713995857</v>
      </c>
      <c r="M4" s="2">
        <v>3.1035763405012897</v>
      </c>
      <c r="N4" s="2">
        <v>3.4452258335534998</v>
      </c>
      <c r="O4" s="4">
        <v>5.7655717742966989E-2</v>
      </c>
      <c r="P4" s="4">
        <v>9.6774193548387108E-2</v>
      </c>
      <c r="Q4" s="4">
        <v>7.6203822690338374E-2</v>
      </c>
      <c r="R4" s="4">
        <v>0.40688947062135006</v>
      </c>
      <c r="S4" s="81">
        <v>0.1542519195864642</v>
      </c>
      <c r="T4" s="80">
        <v>1.2141426890285656</v>
      </c>
      <c r="U4" s="15">
        <v>2.3107986944995245E-3</v>
      </c>
      <c r="V4" s="78">
        <v>3.0499352531108609E-2</v>
      </c>
      <c r="W4" s="73">
        <v>0.79833937207218564</v>
      </c>
      <c r="X4" s="13" t="s">
        <v>346</v>
      </c>
      <c r="Y4" s="11" t="s">
        <v>343</v>
      </c>
      <c r="Z4" s="14">
        <v>46081</v>
      </c>
      <c r="AA4" s="16" t="s">
        <v>185</v>
      </c>
    </row>
    <row r="5" spans="1:27">
      <c r="B5" s="11" t="s">
        <v>352</v>
      </c>
      <c r="C5" s="11" t="s">
        <v>353</v>
      </c>
      <c r="D5" s="2">
        <v>6.89</v>
      </c>
      <c r="E5" s="12" t="s">
        <v>136</v>
      </c>
      <c r="F5" s="15">
        <v>0.19466931503290705</v>
      </c>
      <c r="G5" s="15">
        <f>F5 - Portfolio_Mgmt!$C$10</f>
        <v>7.7269315032907043E-2</v>
      </c>
      <c r="H5" s="15">
        <f>F5 - Portfolio_Mgmt!$C$11</f>
        <v>0.16016931503290704</v>
      </c>
      <c r="I5" s="15">
        <v>0.24928041726705305</v>
      </c>
      <c r="J5" s="2">
        <v>6.4844802189960866</v>
      </c>
      <c r="K5" s="2">
        <v>10.622667567748252</v>
      </c>
      <c r="L5" s="73">
        <v>9.4224029424371114</v>
      </c>
      <c r="M5" s="2">
        <v>7.5032689562366235</v>
      </c>
      <c r="N5" s="2">
        <v>8.3634790933858536</v>
      </c>
      <c r="O5" s="4">
        <v>9.9805225969102032E-2</v>
      </c>
      <c r="P5" s="4">
        <v>4.509289109912918E-2</v>
      </c>
      <c r="Q5" s="4">
        <v>0.17171944104816061</v>
      </c>
      <c r="R5" s="4">
        <v>8.3605883351549309E-2</v>
      </c>
      <c r="S5" s="81">
        <v>1.3282158707615834</v>
      </c>
      <c r="T5" s="80">
        <v>1.5463719418456539</v>
      </c>
      <c r="U5" s="15">
        <v>0.22428295339746124</v>
      </c>
      <c r="V5" s="78">
        <v>1.2715557492373779</v>
      </c>
      <c r="W5" s="73">
        <v>-2.8847911827021826</v>
      </c>
      <c r="X5" s="13" t="s">
        <v>354</v>
      </c>
      <c r="Y5" s="11" t="s">
        <v>172</v>
      </c>
      <c r="Z5" s="14">
        <v>46081</v>
      </c>
      <c r="AA5" s="16" t="s">
        <v>344</v>
      </c>
    </row>
    <row r="6" spans="1:27">
      <c r="B6" s="11" t="s">
        <v>174</v>
      </c>
      <c r="C6" s="11" t="s">
        <v>349</v>
      </c>
      <c r="D6" s="2">
        <v>18.78</v>
      </c>
      <c r="E6" s="12" t="s">
        <v>136</v>
      </c>
      <c r="F6" s="15">
        <v>0.1583480072167385</v>
      </c>
      <c r="G6" s="15">
        <f>F6 - Portfolio_Mgmt!$C$10</f>
        <v>4.0948007216738497E-2</v>
      </c>
      <c r="H6" s="15">
        <f>F6 - Portfolio_Mgmt!$C$11</f>
        <v>0.1238480072167385</v>
      </c>
      <c r="I6" s="15">
        <v>0</v>
      </c>
      <c r="J6" s="2">
        <v>16.21886905379683</v>
      </c>
      <c r="K6" s="2">
        <v>24.778416933598866</v>
      </c>
      <c r="L6" s="73">
        <v>23.37704683380926</v>
      </c>
      <c r="M6" s="2">
        <v>18.704303767578921</v>
      </c>
      <c r="N6" s="2">
        <v>20.800067798293661</v>
      </c>
      <c r="O6" s="4">
        <v>0.12456215595959605</v>
      </c>
      <c r="P6" s="4">
        <v>6.7092651757188496E-2</v>
      </c>
      <c r="Q6" s="4">
        <v>0.17244225698759846</v>
      </c>
      <c r="R6" s="4">
        <v>0.32385684070512349</v>
      </c>
      <c r="S6" s="81">
        <v>0.37515442207937094</v>
      </c>
      <c r="T6" s="80">
        <v>1.419320754716981</v>
      </c>
      <c r="U6" s="15">
        <v>9.2018392262565404E-2</v>
      </c>
      <c r="V6" s="78">
        <v>0.52904635366009978</v>
      </c>
      <c r="W6" s="73">
        <v>0.44965998875808033</v>
      </c>
      <c r="X6" s="13" t="s">
        <v>350</v>
      </c>
      <c r="Y6" s="11" t="s">
        <v>351</v>
      </c>
      <c r="Z6" s="14">
        <v>46081</v>
      </c>
      <c r="AA6" s="16" t="s">
        <v>185</v>
      </c>
    </row>
    <row r="7" spans="1:27">
      <c r="B7" s="11" t="s">
        <v>160</v>
      </c>
      <c r="C7" s="11" t="s">
        <v>347</v>
      </c>
      <c r="D7" s="2">
        <v>17.21</v>
      </c>
      <c r="E7" s="12" t="s">
        <v>136</v>
      </c>
      <c r="F7" s="15">
        <v>0.15660426079873735</v>
      </c>
      <c r="G7" s="15">
        <f>F7 - Portfolio_Mgmt!$C$10</f>
        <v>3.9204260798737345E-2</v>
      </c>
      <c r="H7" s="15">
        <f>F7 - Portfolio_Mgmt!$C$11</f>
        <v>0.12210426079873735</v>
      </c>
      <c r="I7" s="15">
        <v>0</v>
      </c>
      <c r="J7" s="2">
        <v>14.727177107552508</v>
      </c>
      <c r="K7" s="2">
        <v>24.758408283298344</v>
      </c>
      <c r="L7" s="73">
        <v>21.466794307584543</v>
      </c>
      <c r="M7" s="2">
        <v>17.063162353132633</v>
      </c>
      <c r="N7" s="2">
        <v>19.036532402061585</v>
      </c>
      <c r="O7" s="4">
        <v>5.552284800887753E-2</v>
      </c>
      <c r="P7" s="4">
        <v>3.1085211467031103E-2</v>
      </c>
      <c r="Q7" s="4">
        <v>0.11088651181926831</v>
      </c>
      <c r="R7" s="4">
        <v>0.11515135834122001</v>
      </c>
      <c r="S7" s="81">
        <v>0.71131521233544359</v>
      </c>
      <c r="T7" s="80">
        <v>1.3537783359692717</v>
      </c>
      <c r="U7" s="15">
        <v>6.5417684980282262E-2</v>
      </c>
      <c r="V7" s="78">
        <v>0.5742845428370501</v>
      </c>
      <c r="W7" s="73">
        <v>5.4525886718741106</v>
      </c>
      <c r="X7" s="13" t="s">
        <v>348</v>
      </c>
      <c r="Y7" s="11" t="s">
        <v>343</v>
      </c>
      <c r="Z7" s="14">
        <v>46081</v>
      </c>
      <c r="AA7" s="16" t="s">
        <v>185</v>
      </c>
    </row>
    <row r="8" spans="1:27">
      <c r="B8" s="11" t="s">
        <v>339</v>
      </c>
      <c r="C8" s="11" t="s">
        <v>340</v>
      </c>
      <c r="D8" s="2">
        <v>6.66</v>
      </c>
      <c r="E8" s="12" t="s">
        <v>136</v>
      </c>
      <c r="F8" s="15">
        <v>0.11183056447009664</v>
      </c>
      <c r="G8" s="15">
        <f>F8 - Portfolio_Mgmt!$C$10</f>
        <v>-5.5694355299033688E-3</v>
      </c>
      <c r="H8" s="15">
        <f>F8 - Portfolio_Mgmt!$C$11</f>
        <v>7.7330564470096633E-2</v>
      </c>
      <c r="I8" s="15">
        <v>0</v>
      </c>
      <c r="J8" s="2">
        <v>5.1203191959855099</v>
      </c>
      <c r="K8" s="2">
        <v>7.8143613713918958</v>
      </c>
      <c r="L8" s="73">
        <v>7.3792932677079612</v>
      </c>
      <c r="M8" s="2">
        <v>5.9046863925539546</v>
      </c>
      <c r="N8" s="2">
        <v>6.5660659780940076</v>
      </c>
      <c r="O8" s="4">
        <v>5.9596671280156499E-2</v>
      </c>
      <c r="P8" s="4">
        <v>6.006006006006006E-2</v>
      </c>
      <c r="Q8" s="4">
        <v>0.1167471410506614</v>
      </c>
      <c r="R8" s="4">
        <v>3.9086921133773919E-2</v>
      </c>
      <c r="S8" s="81">
        <v>1.3708738209065539</v>
      </c>
      <c r="T8" s="80">
        <v>2.1787997096988563</v>
      </c>
      <c r="U8" s="15">
        <v>0.77760119734648436</v>
      </c>
      <c r="V8" s="78">
        <v>5.3475400925918697</v>
      </c>
      <c r="W8" s="73">
        <v>-2.5047246524922007</v>
      </c>
      <c r="X8" s="13" t="s">
        <v>173</v>
      </c>
      <c r="Y8" s="11" t="s">
        <v>172</v>
      </c>
      <c r="Z8" s="14">
        <v>45991</v>
      </c>
      <c r="AA8" s="16" t="s">
        <v>185</v>
      </c>
    </row>
    <row r="9" spans="1:27">
      <c r="B9" s="11" t="s">
        <v>356</v>
      </c>
      <c r="C9" s="11" t="s">
        <v>357</v>
      </c>
      <c r="D9" s="2">
        <v>105.7</v>
      </c>
      <c r="E9" s="12" t="s">
        <v>136</v>
      </c>
      <c r="F9" s="15">
        <v>0.10632521800376663</v>
      </c>
      <c r="G9" s="15">
        <f>F9 - Portfolio_Mgmt!$C$10</f>
        <v>-1.1074781996233379E-2</v>
      </c>
      <c r="H9" s="15">
        <f>F9 - Portfolio_Mgmt!$C$11</f>
        <v>7.1825218003766622E-2</v>
      </c>
      <c r="I9" s="15">
        <v>0</v>
      </c>
      <c r="J9" s="2">
        <v>78.821361310920452</v>
      </c>
      <c r="K9" s="2">
        <v>143.12761129371228</v>
      </c>
      <c r="L9" s="73">
        <v>116.01964190377193</v>
      </c>
      <c r="M9" s="2">
        <v>91.695802470960459</v>
      </c>
      <c r="N9" s="2">
        <v>102.58820292215111</v>
      </c>
      <c r="O9" s="4">
        <v>2.2630884088276466E-2</v>
      </c>
      <c r="P9" s="4">
        <v>0</v>
      </c>
      <c r="Q9" s="4">
        <v>0.14667015235144401</v>
      </c>
      <c r="R9" s="4">
        <v>8.0069983114389093E-2</v>
      </c>
      <c r="S9" s="81">
        <v>1.022390799101176</v>
      </c>
      <c r="T9" s="80">
        <v>1.7916578376478161</v>
      </c>
      <c r="U9" s="15">
        <v>0.27660377540313014</v>
      </c>
      <c r="V9" s="78">
        <v>1.7116972700897226</v>
      </c>
      <c r="W9" s="73">
        <v>3.4838852124707858</v>
      </c>
      <c r="X9" s="13" t="s">
        <v>358</v>
      </c>
      <c r="Y9" s="11" t="s">
        <v>359</v>
      </c>
      <c r="Z9" s="14">
        <v>46081</v>
      </c>
      <c r="AA9" s="16" t="s">
        <v>344</v>
      </c>
    </row>
    <row r="10" spans="1:27">
      <c r="B10" s="11"/>
      <c r="C10" s="11"/>
      <c r="E10" s="12"/>
      <c r="L10" s="73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3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3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C10" sqref="C10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244</v>
      </c>
    </row>
    <row r="2" spans="1:5">
      <c r="A2" s="21" t="s">
        <v>245</v>
      </c>
      <c r="B2" s="21"/>
      <c r="C2" s="21"/>
      <c r="D2" s="21"/>
      <c r="E2" s="21"/>
    </row>
    <row r="4" spans="1:5">
      <c r="B4" s="140" t="s">
        <v>246</v>
      </c>
      <c r="C4" s="139"/>
      <c r="D4" s="139"/>
      <c r="E4" s="139"/>
    </row>
    <row r="6" spans="1:5">
      <c r="A6" s="20" t="s">
        <v>60</v>
      </c>
      <c r="B6" s="19" t="s">
        <v>247</v>
      </c>
      <c r="C6" s="49"/>
    </row>
    <row r="7" spans="1:5">
      <c r="B7" s="140" t="s">
        <v>337</v>
      </c>
      <c r="C7" s="139"/>
      <c r="D7" s="139"/>
      <c r="E7" s="139"/>
    </row>
    <row r="9" spans="1:5">
      <c r="B9" s="23" t="s">
        <v>248</v>
      </c>
    </row>
    <row r="10" spans="1:5">
      <c r="B10" s="1" t="s">
        <v>249</v>
      </c>
      <c r="C10" s="110">
        <f>benchmark</f>
        <v>0.1174</v>
      </c>
    </row>
    <row r="11" spans="1:5">
      <c r="B11" s="1" t="s">
        <v>250</v>
      </c>
      <c r="C11" s="110">
        <f>Cash_Yield</f>
        <v>3.4500000000000003E-2</v>
      </c>
    </row>
    <row r="12" spans="1:5">
      <c r="C12" s="4"/>
    </row>
    <row r="13" spans="1:5">
      <c r="B13" s="23" t="s">
        <v>251</v>
      </c>
      <c r="C13" s="4"/>
    </row>
    <row r="14" spans="1:5">
      <c r="B14" s="1" t="s">
        <v>252</v>
      </c>
      <c r="C14" s="4" t="s">
        <v>255</v>
      </c>
    </row>
    <row r="15" spans="1:5">
      <c r="B15" s="1" t="s">
        <v>253</v>
      </c>
      <c r="C15" s="24" t="s">
        <v>256</v>
      </c>
    </row>
    <row r="16" spans="1:5">
      <c r="B16" s="1" t="s">
        <v>254</v>
      </c>
      <c r="C16" s="24" t="s">
        <v>257</v>
      </c>
    </row>
    <row r="18" spans="1:5">
      <c r="B18" s="23" t="s">
        <v>258</v>
      </c>
    </row>
    <row r="19" spans="1:5">
      <c r="B19" s="24" t="s">
        <v>259</v>
      </c>
    </row>
    <row r="20" spans="1:5">
      <c r="B20" s="24" t="s">
        <v>260</v>
      </c>
    </row>
    <row r="21" spans="1:5">
      <c r="B21" s="24" t="s">
        <v>261</v>
      </c>
    </row>
    <row r="23" spans="1:5">
      <c r="A23" s="25" t="s">
        <v>61</v>
      </c>
      <c r="B23" s="19" t="s">
        <v>263</v>
      </c>
      <c r="C23" s="49"/>
    </row>
    <row r="24" spans="1:5">
      <c r="A24" s="18"/>
      <c r="B24" s="140" t="s">
        <v>262</v>
      </c>
      <c r="C24" s="139"/>
      <c r="D24" s="139"/>
      <c r="E24" s="139"/>
    </row>
    <row r="25" spans="1:5">
      <c r="A25" s="18"/>
    </row>
    <row r="26" spans="1:5">
      <c r="A26" s="18"/>
      <c r="B26" s="43" t="s">
        <v>264</v>
      </c>
      <c r="C26" s="43" t="s">
        <v>265</v>
      </c>
    </row>
    <row r="27" spans="1:5">
      <c r="B27" s="26" t="s">
        <v>266</v>
      </c>
      <c r="C27" s="111">
        <f>Portfolio_Mgmt!C27</f>
        <v>6</v>
      </c>
    </row>
    <row r="28" spans="1:5">
      <c r="B28" s="26" t="s">
        <v>267</v>
      </c>
      <c r="C28" s="112">
        <f>Portfolio_Mgmt!C28</f>
        <v>0.3</v>
      </c>
    </row>
    <row r="30" spans="1:5">
      <c r="A30" s="20" t="s">
        <v>62</v>
      </c>
      <c r="B30" s="94" t="s">
        <v>268</v>
      </c>
      <c r="C30" s="49"/>
    </row>
    <row r="31" spans="1:5">
      <c r="A31" s="20"/>
      <c r="B31" s="43" t="s">
        <v>269</v>
      </c>
      <c r="C31" s="43" t="s">
        <v>270</v>
      </c>
      <c r="D31" s="43" t="s">
        <v>271</v>
      </c>
      <c r="E31" s="43" t="s">
        <v>270</v>
      </c>
    </row>
    <row r="32" spans="1:5" ht="12" thickBot="1">
      <c r="A32" s="20"/>
      <c r="B32" s="95" t="s">
        <v>272</v>
      </c>
      <c r="C32" s="113">
        <f>Portfolio_Mgmt!C32</f>
        <v>0.6</v>
      </c>
      <c r="D32" s="95" t="s">
        <v>332</v>
      </c>
      <c r="E32" s="113">
        <f>Portfolio_Mgmt!E32</f>
        <v>-0.7</v>
      </c>
    </row>
    <row r="33" spans="1:5">
      <c r="B33" s="98" t="s">
        <v>273</v>
      </c>
      <c r="C33" s="114">
        <f>Portfolio_Mgmt!C33</f>
        <v>0.22</v>
      </c>
      <c r="D33" s="100" t="s">
        <v>278</v>
      </c>
      <c r="E33" s="101">
        <f>(C32*C33+(1-C32)*C34)/(2*C33)</f>
        <v>-0.13636363636363635</v>
      </c>
    </row>
    <row r="34" spans="1:5" ht="12" thickBot="1">
      <c r="B34" s="102" t="s">
        <v>274</v>
      </c>
      <c r="C34" s="103">
        <f>E32+C33</f>
        <v>-0.48</v>
      </c>
      <c r="D34" s="104" t="s">
        <v>279</v>
      </c>
      <c r="E34" s="105">
        <f>-C33/C34</f>
        <v>0.45833333333333337</v>
      </c>
    </row>
    <row r="35" spans="1:5">
      <c r="B35" s="98" t="s">
        <v>275</v>
      </c>
      <c r="C35" s="114">
        <f>Portfolio_Mgmt!C35</f>
        <v>0.16</v>
      </c>
      <c r="D35" s="100" t="s">
        <v>278</v>
      </c>
      <c r="E35" s="101">
        <f>(C32*C35+(1-C32)*C36)/(2*C35)</f>
        <v>-0.37499999999999989</v>
      </c>
    </row>
    <row r="36" spans="1:5" ht="12" thickBot="1">
      <c r="B36" s="102" t="s">
        <v>276</v>
      </c>
      <c r="C36" s="103">
        <f>E32+C35</f>
        <v>-0.53999999999999992</v>
      </c>
      <c r="D36" s="104" t="s">
        <v>279</v>
      </c>
      <c r="E36" s="105">
        <f>-C35/C36</f>
        <v>0.29629629629629634</v>
      </c>
    </row>
    <row r="37" spans="1:5">
      <c r="B37" s="106" t="s">
        <v>277</v>
      </c>
      <c r="C37" s="115">
        <f>Portfolio_Mgmt!C37</f>
        <v>3</v>
      </c>
      <c r="D37" s="97" t="s">
        <v>280</v>
      </c>
      <c r="E37" s="116">
        <f>Portfolio_Mgmt!E37</f>
        <v>7.2499999999999995E-2</v>
      </c>
    </row>
    <row r="38" spans="1:5">
      <c r="C38" s="92"/>
    </row>
    <row r="39" spans="1:5">
      <c r="B39" s="20" t="s">
        <v>281</v>
      </c>
    </row>
    <row r="40" spans="1:5">
      <c r="B40" s="139" t="s">
        <v>282</v>
      </c>
      <c r="C40" s="139"/>
      <c r="D40" s="139"/>
      <c r="E40" s="139"/>
    </row>
    <row r="41" spans="1:5">
      <c r="B41" s="140" t="s">
        <v>283</v>
      </c>
      <c r="C41" s="139"/>
      <c r="D41" s="139"/>
      <c r="E41" s="139"/>
    </row>
    <row r="42" spans="1:5">
      <c r="B42" s="140" t="s">
        <v>284</v>
      </c>
      <c r="C42" s="139"/>
      <c r="D42" s="139"/>
      <c r="E42" s="139"/>
    </row>
    <row r="43" spans="1:5">
      <c r="B43" s="140" t="s">
        <v>285</v>
      </c>
      <c r="C43" s="140"/>
      <c r="D43" s="140"/>
      <c r="E43" s="140"/>
    </row>
    <row r="44" spans="1:5" ht="34.35" customHeight="1">
      <c r="B44" s="139" t="s">
        <v>336</v>
      </c>
      <c r="C44" s="139"/>
      <c r="D44" s="139"/>
      <c r="E44" s="139"/>
    </row>
    <row r="46" spans="1:5">
      <c r="A46" s="21" t="s">
        <v>286</v>
      </c>
      <c r="B46" s="21"/>
      <c r="C46" s="21"/>
      <c r="D46" s="21"/>
      <c r="E46" s="21"/>
    </row>
    <row r="48" spans="1:5">
      <c r="B48" s="139" t="s">
        <v>287</v>
      </c>
      <c r="C48" s="139"/>
      <c r="D48" s="139"/>
      <c r="E48" s="139"/>
    </row>
    <row r="50" spans="2:5">
      <c r="B50" s="23" t="s">
        <v>288</v>
      </c>
    </row>
    <row r="52" spans="2:5">
      <c r="B52" s="43" t="s">
        <v>289</v>
      </c>
      <c r="C52" s="43" t="s">
        <v>290</v>
      </c>
      <c r="D52" s="47"/>
      <c r="E52" s="47"/>
    </row>
    <row r="53" spans="2:5">
      <c r="B53" s="26" t="s">
        <v>291</v>
      </c>
      <c r="C53" s="117">
        <f>Portfolio_Mgmt!C53</f>
        <v>0.45</v>
      </c>
      <c r="D53" s="48"/>
      <c r="E53" s="46"/>
    </row>
    <row r="54" spans="2:5">
      <c r="B54" s="26" t="s">
        <v>292</v>
      </c>
      <c r="C54" s="117">
        <f>Portfolio_Mgmt!C54</f>
        <v>0.3</v>
      </c>
      <c r="D54" s="48"/>
      <c r="E54" s="46"/>
    </row>
    <row r="55" spans="2:5">
      <c r="B55" s="26" t="s">
        <v>293</v>
      </c>
      <c r="C55" s="117">
        <f>Portfolio_Mgmt!C55</f>
        <v>0.15</v>
      </c>
      <c r="D55" s="119" t="s">
        <v>334</v>
      </c>
      <c r="E55" s="46"/>
    </row>
    <row r="57" spans="2:5">
      <c r="B57" s="23" t="s">
        <v>294</v>
      </c>
    </row>
    <row r="59" spans="2:5">
      <c r="B59" s="43" t="s">
        <v>271</v>
      </c>
      <c r="C59" s="43" t="s">
        <v>295</v>
      </c>
      <c r="D59" s="43" t="s">
        <v>296</v>
      </c>
      <c r="E59" s="43" t="s">
        <v>297</v>
      </c>
    </row>
    <row r="60" spans="2:5">
      <c r="B60" s="26" t="s">
        <v>298</v>
      </c>
      <c r="C60" s="26" t="s">
        <v>303</v>
      </c>
      <c r="D60" s="26" t="s">
        <v>304</v>
      </c>
      <c r="E60" s="118">
        <f>Portfolio_Mgmt!E60</f>
        <v>1</v>
      </c>
    </row>
    <row r="61" spans="2:5">
      <c r="B61" s="26" t="s">
        <v>299</v>
      </c>
      <c r="C61" s="26" t="s">
        <v>305</v>
      </c>
      <c r="D61" s="26" t="s">
        <v>306</v>
      </c>
      <c r="E61" s="118">
        <f>Portfolio_Mgmt!E61</f>
        <v>1</v>
      </c>
    </row>
    <row r="62" spans="2:5">
      <c r="B62" s="26" t="s">
        <v>300</v>
      </c>
      <c r="C62" s="26" t="s">
        <v>307</v>
      </c>
      <c r="D62" s="26" t="s">
        <v>308</v>
      </c>
      <c r="E62" s="118">
        <f>Portfolio_Mgmt!E62</f>
        <v>0</v>
      </c>
    </row>
    <row r="63" spans="2:5">
      <c r="B63" s="26" t="s">
        <v>301</v>
      </c>
      <c r="C63" s="26" t="s">
        <v>309</v>
      </c>
      <c r="D63" s="26" t="s">
        <v>310</v>
      </c>
      <c r="E63" s="118">
        <f>Portfolio_Mgmt!E63</f>
        <v>2</v>
      </c>
    </row>
    <row r="64" spans="2:5">
      <c r="B64" s="26" t="s">
        <v>302</v>
      </c>
      <c r="C64" s="26" t="s">
        <v>311</v>
      </c>
      <c r="D64" s="26" t="s">
        <v>312</v>
      </c>
      <c r="E64" s="118">
        <f>Portfolio_Mgmt!E64</f>
        <v>0</v>
      </c>
    </row>
    <row r="65" spans="1:5">
      <c r="D65" s="27" t="s">
        <v>313</v>
      </c>
      <c r="E65" s="39">
        <f>SUM(E60:E64)</f>
        <v>4</v>
      </c>
    </row>
    <row r="66" spans="1:5" ht="12" thickBot="1">
      <c r="D66" s="41" t="s">
        <v>314</v>
      </c>
      <c r="E66" s="42">
        <f>IF(E65&lt;=4,C53,IF(E65&gt;=8,C55,C54))</f>
        <v>0.45</v>
      </c>
    </row>
    <row r="67" spans="1:5" ht="12" thickTop="1"/>
    <row r="68" spans="1:5">
      <c r="B68" s="1" t="s">
        <v>315</v>
      </c>
    </row>
    <row r="69" spans="1:5">
      <c r="B69" s="1" t="s">
        <v>316</v>
      </c>
    </row>
    <row r="70" spans="1:5">
      <c r="B70" s="1" t="s">
        <v>317</v>
      </c>
    </row>
    <row r="72" spans="1:5">
      <c r="A72" s="21" t="s">
        <v>318</v>
      </c>
      <c r="B72" s="21"/>
      <c r="C72" s="21"/>
      <c r="D72" s="21"/>
      <c r="E72" s="21"/>
    </row>
    <row r="74" spans="1:5">
      <c r="B74" s="139" t="s">
        <v>319</v>
      </c>
      <c r="C74" s="139"/>
      <c r="D74" s="139"/>
      <c r="E74" s="139"/>
    </row>
    <row r="76" spans="1:5">
      <c r="A76" s="28" t="s">
        <v>60</v>
      </c>
      <c r="B76" s="20" t="s">
        <v>321</v>
      </c>
    </row>
    <row r="77" spans="1:5">
      <c r="B77" s="24" t="s">
        <v>320</v>
      </c>
    </row>
    <row r="79" spans="1:5">
      <c r="A79" s="28" t="s">
        <v>209</v>
      </c>
      <c r="B79" s="20" t="s">
        <v>322</v>
      </c>
    </row>
    <row r="80" spans="1:5">
      <c r="B80" s="1" t="str">
        <f>B19</f>
        <v>- 仅当ERB&gt;0且市场价格≤入场价格时具备配置资格</v>
      </c>
    </row>
    <row r="81" spans="1:5">
      <c r="B81" s="109" t="s">
        <v>323</v>
      </c>
      <c r="C81" s="93" t="s">
        <v>333</v>
      </c>
    </row>
    <row r="82" spans="1:5">
      <c r="B82" s="109" t="s">
        <v>324</v>
      </c>
      <c r="C82" s="93" t="s">
        <v>200</v>
      </c>
    </row>
    <row r="83" spans="1:5">
      <c r="B83" s="108" t="str">
        <f>B20</f>
        <v xml:space="preserve">- 未入选标的获得正常配置额的50%	</v>
      </c>
    </row>
    <row r="85" spans="1:5">
      <c r="B85" s="20" t="s">
        <v>325</v>
      </c>
    </row>
    <row r="86" spans="1:5">
      <c r="B86" s="1" t="s">
        <v>335</v>
      </c>
    </row>
    <row r="87" spans="1:5">
      <c r="B87" s="1" t="s">
        <v>326</v>
      </c>
    </row>
    <row r="88" spans="1:5">
      <c r="B88" s="1" t="s">
        <v>327</v>
      </c>
    </row>
    <row r="90" spans="1:5">
      <c r="A90" s="21" t="s">
        <v>331</v>
      </c>
      <c r="B90" s="21"/>
      <c r="C90" s="21"/>
      <c r="D90" s="21"/>
      <c r="E90" s="21"/>
    </row>
    <row r="92" spans="1:5">
      <c r="B92" s="20" t="s">
        <v>328</v>
      </c>
    </row>
    <row r="93" spans="1:5">
      <c r="B93" s="24" t="s">
        <v>329</v>
      </c>
    </row>
    <row r="94" spans="1:5">
      <c r="B94" s="24" t="s">
        <v>330</v>
      </c>
    </row>
    <row r="95" spans="1:5">
      <c r="B95" s="24" t="s">
        <v>338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topLeftCell="A4" workbookViewId="0">
      <selection activeCell="B17" sqref="B17"/>
    </sheetView>
  </sheetViews>
  <sheetFormatPr defaultRowHeight="13.15"/>
  <cols>
    <col min="1" max="1" width="2.59765625" style="124" customWidth="1"/>
    <col min="2" max="2" width="24.73046875" style="126" customWidth="1"/>
    <col min="3" max="3" width="22.46484375" style="126" bestFit="1" customWidth="1"/>
    <col min="4" max="4" width="31.53125" style="126" bestFit="1" customWidth="1"/>
    <col min="5" max="5" width="19.73046875" style="126" customWidth="1"/>
    <col min="6" max="16384" width="9.06640625" style="126"/>
  </cols>
  <sheetData>
    <row r="1" spans="1:4">
      <c r="B1" s="125" t="s">
        <v>378</v>
      </c>
    </row>
    <row r="3" spans="1:4">
      <c r="B3" s="126" t="s">
        <v>361</v>
      </c>
    </row>
    <row r="5" spans="1:4">
      <c r="A5" s="127" t="s">
        <v>360</v>
      </c>
      <c r="B5" s="128" t="s">
        <v>12</v>
      </c>
    </row>
    <row r="6" spans="1:4">
      <c r="B6" s="129" t="s">
        <v>215</v>
      </c>
      <c r="C6" s="129" t="s">
        <v>214</v>
      </c>
      <c r="D6" s="130"/>
    </row>
    <row r="7" spans="1:4">
      <c r="B7" s="131" t="s">
        <v>221</v>
      </c>
      <c r="C7" s="132">
        <v>3</v>
      </c>
    </row>
    <row r="8" spans="1:4">
      <c r="B8" s="133" t="s">
        <v>216</v>
      </c>
      <c r="C8" s="136">
        <v>0.6</v>
      </c>
      <c r="D8" s="126" t="s">
        <v>370</v>
      </c>
    </row>
    <row r="9" spans="1:4">
      <c r="B9" s="133" t="s">
        <v>377</v>
      </c>
      <c r="C9" s="136">
        <f>1-C8</f>
        <v>0.4</v>
      </c>
    </row>
    <row r="10" spans="1:4">
      <c r="B10" s="133" t="s">
        <v>374</v>
      </c>
      <c r="C10" s="136">
        <v>-0.7</v>
      </c>
    </row>
    <row r="12" spans="1:4">
      <c r="B12" s="125" t="s">
        <v>225</v>
      </c>
    </row>
    <row r="13" spans="1:4">
      <c r="B13" s="149" t="s">
        <v>371</v>
      </c>
      <c r="C13" s="149"/>
      <c r="D13" s="149"/>
    </row>
    <row r="14" spans="1:4">
      <c r="B14" s="150" t="s">
        <v>372</v>
      </c>
      <c r="C14" s="151"/>
      <c r="D14" s="151"/>
    </row>
    <row r="16" spans="1:4">
      <c r="A16" s="127" t="s">
        <v>209</v>
      </c>
      <c r="B16" s="128" t="s">
        <v>362</v>
      </c>
    </row>
    <row r="17" spans="1:5">
      <c r="B17" s="129" t="s">
        <v>364</v>
      </c>
      <c r="C17" s="129" t="s">
        <v>376</v>
      </c>
      <c r="D17" s="129" t="s">
        <v>375</v>
      </c>
      <c r="E17" s="129" t="s">
        <v>373</v>
      </c>
    </row>
    <row r="18" spans="1:5">
      <c r="B18" s="133" t="s">
        <v>365</v>
      </c>
      <c r="C18" s="134">
        <f>Opportunities!F5</f>
        <v>0.19466931503290705</v>
      </c>
      <c r="D18" s="135">
        <f xml:space="preserve"> (1 + C18) ^ C$7-1</f>
        <v>0.70507358779232265</v>
      </c>
      <c r="E18" s="137">
        <f>-D18/C$10</f>
        <v>1.007247982560461</v>
      </c>
    </row>
    <row r="19" spans="1:5">
      <c r="B19" s="133" t="s">
        <v>366</v>
      </c>
      <c r="C19" s="134">
        <v>0.16</v>
      </c>
      <c r="D19" s="135">
        <f xml:space="preserve"> (1 + C19) ^ C$7-1</f>
        <v>0.56089599999999984</v>
      </c>
      <c r="E19" s="137">
        <f>-D19/C$10</f>
        <v>0.80127999999999977</v>
      </c>
    </row>
    <row r="21" spans="1:5">
      <c r="A21" s="127" t="s">
        <v>363</v>
      </c>
    </row>
    <row r="22" spans="1:5">
      <c r="B22" s="129" t="s">
        <v>369</v>
      </c>
      <c r="C22" s="129" t="s">
        <v>222</v>
      </c>
    </row>
    <row r="23" spans="1:5">
      <c r="B23" s="133" t="s">
        <v>367</v>
      </c>
      <c r="C23" s="138">
        <f>(E18*C$8-C9)/E18</f>
        <v>0.20287833093178753</v>
      </c>
    </row>
    <row r="24" spans="1:5">
      <c r="B24" s="133" t="s">
        <v>368</v>
      </c>
      <c r="C24" s="138">
        <f>(E19*C$8-(1-C$8))/E19</f>
        <v>0.10079872204472827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E15" sqref="E1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4.0999999999999995E-2</v>
      </c>
      <c r="D4" s="34">
        <v>7.2499999999999995E-2</v>
      </c>
      <c r="E4" s="35">
        <f>D4-C4</f>
        <v>3.15E-2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zoomScaleNormal="100" workbookViewId="0">
      <selection activeCell="F16" sqref="F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4.86328125" style="53" bestFit="1" customWidth="1"/>
    <col min="4" max="4" width="13.796875" style="53" bestFit="1" customWidth="1"/>
    <col min="5" max="5" width="9" style="53"/>
    <col min="6" max="7" width="15.6640625" style="53" customWidth="1"/>
    <col min="8" max="9" width="10" style="53" customWidth="1"/>
    <col min="10" max="16384" width="9" style="53"/>
  </cols>
  <sheetData>
    <row r="1" spans="1:13" ht="13.15">
      <c r="A1" s="51"/>
      <c r="B1" s="52" t="s">
        <v>152</v>
      </c>
      <c r="C1" s="121"/>
    </row>
    <row r="2" spans="1:13" ht="29.75" customHeight="1">
      <c r="B2" s="54" t="s">
        <v>2</v>
      </c>
      <c r="C2" s="54" t="s">
        <v>355</v>
      </c>
      <c r="D2" s="54" t="s">
        <v>155</v>
      </c>
      <c r="E2" s="54" t="s">
        <v>154</v>
      </c>
      <c r="F2" s="54" t="s">
        <v>153</v>
      </c>
      <c r="G2" s="54" t="s">
        <v>158</v>
      </c>
      <c r="H2" s="54" t="s">
        <v>164</v>
      </c>
      <c r="I2" s="54" t="s">
        <v>147</v>
      </c>
      <c r="J2" s="54" t="s">
        <v>168</v>
      </c>
      <c r="K2" s="54" t="s">
        <v>188</v>
      </c>
      <c r="L2" s="54" t="s">
        <v>189</v>
      </c>
      <c r="M2" s="54" t="s">
        <v>190</v>
      </c>
    </row>
    <row r="3" spans="1:13">
      <c r="B3" s="64" t="s">
        <v>26</v>
      </c>
      <c r="C3" s="64"/>
      <c r="D3" s="62" t="s">
        <v>157</v>
      </c>
      <c r="E3" s="61" t="s">
        <v>156</v>
      </c>
      <c r="F3" s="63" t="s">
        <v>157</v>
      </c>
      <c r="G3" s="59">
        <f>764909+14759</f>
        <v>779668</v>
      </c>
      <c r="H3" s="60">
        <f>G3/$G$9</f>
        <v>0.69678351101431424</v>
      </c>
      <c r="I3" s="77">
        <f>Portfolio_Mgmt!E66</f>
        <v>0.45</v>
      </c>
      <c r="J3" s="82" t="s">
        <v>191</v>
      </c>
      <c r="K3" s="82" t="s">
        <v>191</v>
      </c>
      <c r="L3" s="82" t="s">
        <v>191</v>
      </c>
      <c r="M3" s="82" t="s">
        <v>191</v>
      </c>
    </row>
    <row r="4" spans="1:13">
      <c r="B4" s="65" t="s">
        <v>160</v>
      </c>
      <c r="C4" s="64" t="str">
        <f>VLOOKUP(B4,Opportunities!B$3:E$30,2,FALSE)</f>
        <v>李宁</v>
      </c>
      <c r="D4" s="62">
        <f>VLOOKUP(B4,Opportunities!B$3:E$30,3,FALSE)</f>
        <v>17.21</v>
      </c>
      <c r="E4" s="61" t="str">
        <f>VLOOKUP(B4,Opportunities!B$3:E$30,4,FALSE)</f>
        <v>HKD</v>
      </c>
      <c r="F4" s="59">
        <v>4500</v>
      </c>
      <c r="G4" s="63">
        <f>D4*F4</f>
        <v>77445</v>
      </c>
      <c r="H4" s="60">
        <f>G4/$G$9</f>
        <v>6.9212022310141716E-2</v>
      </c>
      <c r="I4" s="60">
        <f>VLOOKUP(B4,Opportunities!B$3:I$30,8,FALSE)</f>
        <v>0</v>
      </c>
      <c r="J4" s="83">
        <f>VLOOKUP(B4,Opportunities!B$3:N$30,12,FALSE)</f>
        <v>17.063162353132633</v>
      </c>
      <c r="K4" s="83">
        <f>VLOOKUP(B4,Opportunities!B$3:N$30,9,FALSE)</f>
        <v>14.727177107552508</v>
      </c>
      <c r="L4" s="83">
        <f>VLOOKUP(B4,Opportunities!B$3:N$30,11,FALSE)</f>
        <v>21.466794307584543</v>
      </c>
      <c r="M4" s="83">
        <f>VLOOKUP(B4,Opportunities!B$3:N$30,13,FALSE)</f>
        <v>19.036532402061585</v>
      </c>
    </row>
    <row r="5" spans="1:13">
      <c r="B5" s="65" t="s">
        <v>174</v>
      </c>
      <c r="C5" s="64" t="str">
        <f>VLOOKUP(B5,Opportunities!B$3:E$30,2,FALSE)</f>
        <v>中国海油</v>
      </c>
      <c r="D5" s="62">
        <f>VLOOKUP(B5,Opportunities!B$3:E$30,3,FALSE)</f>
        <v>18.78</v>
      </c>
      <c r="E5" s="61" t="str">
        <f>VLOOKUP(B5,Opportunities!B$3:E$30,4,FALSE)</f>
        <v>HKD</v>
      </c>
      <c r="F5" s="59">
        <v>8000</v>
      </c>
      <c r="G5" s="63">
        <f>D5*F5</f>
        <v>150240</v>
      </c>
      <c r="H5" s="60">
        <f>G5/$G$9</f>
        <v>0.13426837409614167</v>
      </c>
      <c r="I5" s="60">
        <f>VLOOKUP(B5,Opportunities!B$3:I$30,8,FALSE)</f>
        <v>0</v>
      </c>
      <c r="J5" s="83">
        <f>VLOOKUP(B5,Opportunities!B$3:N$30,12,FALSE)</f>
        <v>18.704303767578921</v>
      </c>
      <c r="K5" s="83">
        <f>VLOOKUP(B5,Opportunities!B$3:N$30,9,FALSE)</f>
        <v>16.21886905379683</v>
      </c>
      <c r="L5" s="83">
        <f>VLOOKUP(B5,Opportunities!B$3:N$30,11,FALSE)</f>
        <v>23.37704683380926</v>
      </c>
      <c r="M5" s="83">
        <f>VLOOKUP(B5,Opportunities!B$3:N$30,13,FALSE)</f>
        <v>20.800067798293661</v>
      </c>
    </row>
    <row r="6" spans="1:13">
      <c r="B6" s="65" t="s">
        <v>187</v>
      </c>
      <c r="C6" s="64" t="str">
        <f>VLOOKUP(B6,Opportunities!B$3:E$30,2,FALSE)</f>
        <v>首钢资源</v>
      </c>
      <c r="D6" s="62">
        <f>VLOOKUP(B6,Opportunities!B$3:E$30,3,FALSE)</f>
        <v>2.79</v>
      </c>
      <c r="E6" s="61" t="str">
        <f>VLOOKUP(B6,Opportunities!B$3:E$30,4,FALSE)</f>
        <v>HKD</v>
      </c>
      <c r="F6" s="59">
        <v>40000</v>
      </c>
      <c r="G6" s="63">
        <f>D6*F6</f>
        <v>111600</v>
      </c>
      <c r="H6" s="60">
        <f t="shared" ref="H6" si="0">G6/$G$9</f>
        <v>9.9736092579402358E-2</v>
      </c>
      <c r="I6" s="60">
        <f>VLOOKUP(B6,Opportunities!B$3:I$30,8,FALSE)</f>
        <v>0.48639583190063135</v>
      </c>
      <c r="J6" s="83">
        <f>VLOOKUP(B6,Opportunities!B$3:N$30,12,FALSE)</f>
        <v>3.1035763405012897</v>
      </c>
      <c r="K6" s="83">
        <f>VLOOKUP(B6,Opportunities!B$3:N$30,9,FALSE)</f>
        <v>2.6979768656754866</v>
      </c>
      <c r="L6" s="83">
        <f>VLOOKUP(B6,Opportunities!B$3:N$30,11,FALSE)</f>
        <v>3.864947713995857</v>
      </c>
      <c r="M6" s="83">
        <f>VLOOKUP(B6,Opportunities!B$3:N$30,13,FALSE)</f>
        <v>3.4452258335534998</v>
      </c>
    </row>
    <row r="7" spans="1:13">
      <c r="B7" s="65" t="s">
        <v>341</v>
      </c>
      <c r="C7" s="64" t="str">
        <f>VLOOKUP(B7,Opportunities!B$3:E$30,2,FALSE)</f>
        <v>中国飞鹤</v>
      </c>
      <c r="D7" s="62">
        <f>VLOOKUP(B7,Opportunities!B$3:E$30,3,FALSE)</f>
        <v>3.89</v>
      </c>
      <c r="E7" s="61" t="str">
        <f>VLOOKUP(B7,Opportunities!B$3:E$30,4,FALSE)</f>
        <v>HKD</v>
      </c>
      <c r="F7" s="59">
        <v>9000</v>
      </c>
      <c r="G7" s="63">
        <f>D7*F7</f>
        <v>35010</v>
      </c>
      <c r="H7" s="60">
        <f t="shared" ref="H7" si="1">G7/$G$9</f>
        <v>3.1288177430151221E-2</v>
      </c>
      <c r="I7" s="60">
        <f>VLOOKUP(B7,Opportunities!B$3:I$30,8,FALSE)</f>
        <v>0.22985701921598123</v>
      </c>
      <c r="J7" s="83">
        <f>VLOOKUP(B7,Opportunities!B$3:N$30,12,FALSE)</f>
        <v>4.6380901813259712</v>
      </c>
      <c r="K7" s="83">
        <f>VLOOKUP(B7,Opportunities!B$3:N$30,9,FALSE)</f>
        <v>4.0138896271444429</v>
      </c>
      <c r="L7" s="83">
        <f>VLOOKUP(B7,Opportunities!B$3:N$30,11,FALSE)</f>
        <v>5.8129824439892515</v>
      </c>
      <c r="M7" s="83">
        <f>VLOOKUP(B7,Opportunities!B$3:N$30,13,FALSE)</f>
        <v>5.1648441984205515</v>
      </c>
    </row>
    <row r="8" spans="1:13">
      <c r="B8" s="55"/>
      <c r="C8" s="55"/>
      <c r="D8" s="58"/>
      <c r="E8" s="55"/>
      <c r="I8" s="76"/>
    </row>
    <row r="9" spans="1:13" ht="13.15">
      <c r="B9" s="66"/>
      <c r="C9" s="66"/>
      <c r="D9" s="67"/>
      <c r="E9" s="66"/>
      <c r="F9" s="68" t="s">
        <v>163</v>
      </c>
      <c r="G9" s="68">
        <f>SUM(G3:G6)</f>
        <v>1118953</v>
      </c>
      <c r="H9" s="69">
        <f>SUM(H3:H6)</f>
        <v>1</v>
      </c>
      <c r="I9" s="75">
        <f>SUM(I3:I6)</f>
        <v>0.93639583190063136</v>
      </c>
      <c r="J9" s="84" t="s">
        <v>191</v>
      </c>
      <c r="K9" s="84" t="s">
        <v>191</v>
      </c>
      <c r="L9" s="84" t="s">
        <v>191</v>
      </c>
      <c r="M9" s="84" t="s">
        <v>191</v>
      </c>
    </row>
    <row r="10" spans="1:13">
      <c r="B10" s="55"/>
      <c r="C10" s="55"/>
      <c r="D10" s="58"/>
      <c r="E10" s="55"/>
      <c r="F10" s="59"/>
      <c r="G10" s="59"/>
    </row>
    <row r="11" spans="1:13" ht="13.15">
      <c r="A11" s="51"/>
      <c r="B11" s="52" t="s">
        <v>161</v>
      </c>
      <c r="C11" s="121"/>
    </row>
    <row r="12" spans="1:13">
      <c r="B12" s="65" t="s">
        <v>160</v>
      </c>
      <c r="C12" s="64" t="str">
        <f>VLOOKUP(B12,Opportunities!B$3:E$30,2,FALSE)</f>
        <v>李宁</v>
      </c>
      <c r="D12" s="62">
        <f>VLOOKUP(B12,Opportunities!B$3:E$30,3,FALSE)</f>
        <v>17.21</v>
      </c>
      <c r="E12" s="61" t="str">
        <f>VLOOKUP(B12,Opportunities!B$3:E$30,4,FALSE)</f>
        <v>HKD</v>
      </c>
      <c r="F12" s="59">
        <v>0</v>
      </c>
      <c r="G12" s="63">
        <f>-D12*F12</f>
        <v>0</v>
      </c>
      <c r="H12" s="60">
        <f>-G12/$G$9</f>
        <v>0</v>
      </c>
      <c r="I12" s="60">
        <f>VLOOKUP(B12,Opportunities!B$3:I$30,8,FALSE)</f>
        <v>0</v>
      </c>
      <c r="J12" s="83">
        <f>VLOOKUP(B12,Opportunities!B$3:N$30,12,FALSE)</f>
        <v>17.063162353132633</v>
      </c>
      <c r="K12" s="83">
        <f>VLOOKUP(B12,Opportunities!B$3:N$30,9,FALSE)</f>
        <v>14.727177107552508</v>
      </c>
      <c r="L12" s="83">
        <f>VLOOKUP(B12,Opportunities!B$3:N$30,11,FALSE)</f>
        <v>21.466794307584543</v>
      </c>
      <c r="M12" s="83">
        <f>VLOOKUP(B12,Opportunities!B$3:N$30,13,FALSE)</f>
        <v>19.036532402061585</v>
      </c>
    </row>
    <row r="13" spans="1:13">
      <c r="B13" s="65" t="s">
        <v>174</v>
      </c>
      <c r="C13" s="64" t="str">
        <f>VLOOKUP(B13,Opportunities!B$3:E$30,2,FALSE)</f>
        <v>中国海油</v>
      </c>
      <c r="D13" s="62">
        <f>VLOOKUP(B13,Opportunities!B$3:E$30,3,FALSE)</f>
        <v>18.78</v>
      </c>
      <c r="E13" s="61" t="str">
        <f>VLOOKUP(B13,Opportunities!B$3:E$30,4,FALSE)</f>
        <v>HKD</v>
      </c>
      <c r="F13" s="59">
        <v>0</v>
      </c>
      <c r="G13" s="63">
        <f>-D13*F13</f>
        <v>0</v>
      </c>
      <c r="H13" s="60">
        <f>-G13/$G$9</f>
        <v>0</v>
      </c>
      <c r="I13" s="60">
        <f>VLOOKUP(B13,Opportunities!B$3:I$30,8,FALSE)</f>
        <v>0</v>
      </c>
      <c r="J13" s="83">
        <f>VLOOKUP(B13,Opportunities!B$3:N$30,12,FALSE)</f>
        <v>18.704303767578921</v>
      </c>
      <c r="K13" s="83">
        <f>VLOOKUP(B13,Opportunities!B$3:N$30,9,FALSE)</f>
        <v>16.21886905379683</v>
      </c>
      <c r="L13" s="83">
        <f>VLOOKUP(B13,Opportunities!B$3:N$30,11,FALSE)</f>
        <v>23.37704683380926</v>
      </c>
      <c r="M13" s="83">
        <f>VLOOKUP(B13,Opportunities!B$3:N$30,13,FALSE)</f>
        <v>20.800067798293661</v>
      </c>
    </row>
    <row r="14" spans="1:13">
      <c r="B14" s="65" t="s">
        <v>187</v>
      </c>
      <c r="C14" s="64" t="str">
        <f>VLOOKUP(B14,Opportunities!B$3:E$30,2,FALSE)</f>
        <v>首钢资源</v>
      </c>
      <c r="D14" s="62">
        <f>VLOOKUP(B14,Opportunities!B$3:E$30,3,FALSE)</f>
        <v>2.79</v>
      </c>
      <c r="E14" s="61" t="str">
        <f>VLOOKUP(B14,Opportunities!B$3:E$30,4,FALSE)</f>
        <v>HKD</v>
      </c>
      <c r="F14" s="59">
        <v>0</v>
      </c>
      <c r="G14" s="63">
        <f>-D14*F14</f>
        <v>0</v>
      </c>
      <c r="H14" s="60">
        <f>-G14/$G$9</f>
        <v>0</v>
      </c>
      <c r="I14" s="60">
        <f>VLOOKUP(B14,Opportunities!B$3:I$30,8,FALSE)</f>
        <v>0.48639583190063135</v>
      </c>
      <c r="J14" s="83">
        <f>VLOOKUP(B14,Opportunities!B$3:N$30,12,FALSE)</f>
        <v>3.1035763405012897</v>
      </c>
      <c r="K14" s="83">
        <f>VLOOKUP(B14,Opportunities!B$3:N$30,9,FALSE)</f>
        <v>2.6979768656754866</v>
      </c>
      <c r="L14" s="83">
        <f>VLOOKUP(B14,Opportunities!B$3:N$30,11,FALSE)</f>
        <v>3.864947713995857</v>
      </c>
      <c r="M14" s="83">
        <f>VLOOKUP(B14,Opportunities!B$3:N$30,13,FALSE)</f>
        <v>3.4452258335534998</v>
      </c>
    </row>
    <row r="15" spans="1:13">
      <c r="B15" s="65" t="s">
        <v>341</v>
      </c>
      <c r="C15" s="64" t="str">
        <f>VLOOKUP(B15,Opportunities!B$3:E$30,2,FALSE)</f>
        <v>中国飞鹤</v>
      </c>
      <c r="D15" s="62">
        <f>VLOOKUP(B15,Opportunities!B$3:E$30,3,FALSE)</f>
        <v>3.89</v>
      </c>
      <c r="E15" s="61" t="str">
        <f>VLOOKUP(B15,Opportunities!B$3:E$30,4,FALSE)</f>
        <v>HKD</v>
      </c>
      <c r="F15" s="59">
        <v>3000</v>
      </c>
      <c r="G15" s="63">
        <f>-D15*F15</f>
        <v>-11670</v>
      </c>
      <c r="H15" s="60">
        <f>-G15/$G$9</f>
        <v>1.0429392476717075E-2</v>
      </c>
      <c r="I15" s="60">
        <f>VLOOKUP(B15,Opportunities!B$3:I$30,8,FALSE)</f>
        <v>0.22985701921598123</v>
      </c>
      <c r="J15" s="83">
        <f>VLOOKUP(B15,Opportunities!B$3:N$30,12,FALSE)</f>
        <v>4.6380901813259712</v>
      </c>
      <c r="K15" s="83">
        <f>VLOOKUP(B15,Opportunities!B$3:N$30,9,FALSE)</f>
        <v>4.0138896271444429</v>
      </c>
      <c r="L15" s="83">
        <f>VLOOKUP(B15,Opportunities!B$3:N$30,11,FALSE)</f>
        <v>5.8129824439892515</v>
      </c>
      <c r="M15" s="83">
        <f>VLOOKUP(B15,Opportunities!B$3:N$30,13,FALSE)</f>
        <v>5.1648441984205515</v>
      </c>
    </row>
    <row r="16" spans="1:13">
      <c r="B16" s="65" t="s">
        <v>352</v>
      </c>
      <c r="C16" s="64" t="str">
        <f>VLOOKUP(B16,Opportunities!B$3:E$30,2,FALSE)</f>
        <v>昆仑能源</v>
      </c>
      <c r="D16" s="62">
        <f>VLOOKUP(B16,Opportunities!B$3:E$30,3,FALSE)</f>
        <v>6.89</v>
      </c>
      <c r="E16" s="61" t="str">
        <f>VLOOKUP(B16,Opportunities!B$3:E$30,4,FALSE)</f>
        <v>HKD</v>
      </c>
      <c r="F16" s="59">
        <v>8000</v>
      </c>
      <c r="G16" s="63">
        <f>-D16*F16</f>
        <v>-55120</v>
      </c>
      <c r="H16" s="60">
        <f>-G16/$G$9</f>
        <v>4.9260335331332054E-2</v>
      </c>
      <c r="I16" s="60">
        <f>VLOOKUP(B16,Opportunities!B$3:I$30,8,FALSE)</f>
        <v>0.24928041726705305</v>
      </c>
      <c r="J16" s="83">
        <f>VLOOKUP(B16,Opportunities!B$3:N$30,12,FALSE)</f>
        <v>7.5032689562366235</v>
      </c>
      <c r="K16" s="83">
        <f>VLOOKUP(B16,Opportunities!B$3:N$30,9,FALSE)</f>
        <v>6.4844802189960866</v>
      </c>
      <c r="L16" s="83">
        <f>VLOOKUP(B16,Opportunities!B$3:N$30,11,FALSE)</f>
        <v>9.4224029424371114</v>
      </c>
      <c r="M16" s="83">
        <f>VLOOKUP(B16,Opportunities!B$3:N$30,13,FALSE)</f>
        <v>8.3634790933858536</v>
      </c>
    </row>
    <row r="17" spans="1:13">
      <c r="H17" s="74"/>
      <c r="I17" s="74"/>
    </row>
    <row r="18" spans="1:13" ht="13.15">
      <c r="B18" s="70" t="s">
        <v>162</v>
      </c>
      <c r="C18" s="70"/>
      <c r="D18" s="71" t="s">
        <v>157</v>
      </c>
      <c r="E18" s="72" t="s">
        <v>136</v>
      </c>
      <c r="F18" s="71" t="s">
        <v>157</v>
      </c>
      <c r="G18" s="68">
        <f>G3+SUM(G12:G16)</f>
        <v>712878</v>
      </c>
      <c r="H18" s="75">
        <f t="shared" ref="H18" si="2">G18/$G$9</f>
        <v>0.6370937832062652</v>
      </c>
      <c r="I18" s="75">
        <f>Portfolio_Mgmt!E66</f>
        <v>0.45</v>
      </c>
      <c r="J18" s="84" t="s">
        <v>191</v>
      </c>
      <c r="K18" s="84" t="s">
        <v>191</v>
      </c>
      <c r="L18" s="84" t="s">
        <v>191</v>
      </c>
      <c r="M18" s="84" t="s">
        <v>191</v>
      </c>
    </row>
    <row r="20" spans="1:13" ht="13.15">
      <c r="A20" s="51"/>
      <c r="B20" s="52" t="s">
        <v>192</v>
      </c>
      <c r="C20" s="121"/>
      <c r="D20" s="58"/>
      <c r="E20" s="55"/>
      <c r="F20" s="59"/>
      <c r="G20" s="59"/>
    </row>
    <row r="21" spans="1:13" ht="13.15">
      <c r="C21" s="86" t="s">
        <v>193</v>
      </c>
      <c r="D21" s="86" t="s">
        <v>196</v>
      </c>
      <c r="F21" s="86" t="s">
        <v>197</v>
      </c>
    </row>
    <row r="22" spans="1:13" ht="14.25">
      <c r="B22" s="85" t="s">
        <v>194</v>
      </c>
      <c r="C22" s="90">
        <v>200000</v>
      </c>
      <c r="D22" s="91">
        <v>7.8629699999999998</v>
      </c>
      <c r="F22" s="122">
        <f>C22/D22</f>
        <v>25435.681428264383</v>
      </c>
    </row>
    <row r="23" spans="1:13" ht="14.25">
      <c r="B23" s="85" t="s">
        <v>195</v>
      </c>
      <c r="C23" s="88">
        <f>F22</f>
        <v>25435.681428264383</v>
      </c>
      <c r="D23" s="91">
        <v>7.8387000000000002</v>
      </c>
      <c r="F23" s="123">
        <f>C23*D23</f>
        <v>199382.67601173601</v>
      </c>
    </row>
    <row r="24" spans="1:13" ht="14.25">
      <c r="C24"/>
      <c r="D24"/>
      <c r="F24"/>
    </row>
    <row r="25" spans="1:13" ht="14.25">
      <c r="C25"/>
      <c r="E25" s="89" t="s">
        <v>198</v>
      </c>
      <c r="F25" s="87">
        <f>C22-F23</f>
        <v>617.32398826399003</v>
      </c>
    </row>
    <row r="30" spans="1:13">
      <c r="B30" s="55"/>
      <c r="C30" s="55"/>
      <c r="D30" s="58"/>
      <c r="E30" s="55"/>
      <c r="F30" s="59"/>
      <c r="G30" s="59"/>
    </row>
    <row r="31" spans="1:13">
      <c r="B31" s="55"/>
      <c r="C31" s="55"/>
      <c r="D31" s="58"/>
      <c r="E31" s="55"/>
      <c r="F31" s="59"/>
      <c r="G31" s="59"/>
    </row>
    <row r="32" spans="1:13">
      <c r="B32" s="55"/>
      <c r="C32" s="55"/>
      <c r="D32" s="58"/>
      <c r="E32" s="55"/>
      <c r="F32" s="59"/>
      <c r="G32" s="59"/>
    </row>
    <row r="33" spans="2:7">
      <c r="B33" s="55"/>
      <c r="C33" s="55"/>
      <c r="D33" s="58"/>
      <c r="E33" s="55"/>
      <c r="F33" s="59"/>
      <c r="G33" s="59"/>
    </row>
    <row r="34" spans="2:7">
      <c r="B34" s="55"/>
      <c r="C34" s="55"/>
      <c r="D34" s="58"/>
      <c r="E34" s="55"/>
      <c r="F34" s="59"/>
      <c r="G34" s="59"/>
    </row>
    <row r="35" spans="2:7">
      <c r="B35" s="55"/>
      <c r="C35" s="55"/>
      <c r="D35" s="56"/>
      <c r="E35" s="55"/>
      <c r="F35" s="57"/>
      <c r="G35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52" t="s">
        <v>88</v>
      </c>
      <c r="C3" s="152"/>
      <c r="D3" s="152"/>
    </row>
    <row r="5" spans="1:4">
      <c r="B5" s="153" t="s">
        <v>90</v>
      </c>
      <c r="C5" s="154"/>
      <c r="D5" s="154"/>
    </row>
    <row r="6" spans="1:4">
      <c r="B6" s="153" t="s">
        <v>91</v>
      </c>
      <c r="C6" s="154"/>
      <c r="D6" s="15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52" t="s">
        <v>93</v>
      </c>
      <c r="C11" s="152"/>
      <c r="D11" s="152"/>
    </row>
    <row r="12" spans="1:4">
      <c r="B12" s="152" t="s">
        <v>94</v>
      </c>
      <c r="C12" s="152"/>
      <c r="D12" s="15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52" t="s">
        <v>106</v>
      </c>
      <c r="C28" s="152"/>
      <c r="D28" s="152"/>
    </row>
    <row r="29" spans="1:4">
      <c r="B29" s="152" t="s">
        <v>107</v>
      </c>
      <c r="C29" s="152"/>
      <c r="D29" s="15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2025-10-06T03:01:56Z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