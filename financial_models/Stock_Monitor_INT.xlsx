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2EB78A70-D712-45E7-9C2E-88F20C395E7D}" xr6:coauthVersionLast="47" xr6:coauthVersionMax="47" xr10:uidLastSave="{00000000-0000-0000-0000-000000000000}"/>
  <bookViews>
    <workbookView xWindow="1470" yWindow="1470" windowWidth="12690" windowHeight="7643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s="1"/>
  <c r="E33" i="10" l="1"/>
  <c r="H7" i="7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<sst xmlns="http://schemas.openxmlformats.org/spreadsheetml/2006/main" count="467" uniqueCount="387">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</sst>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zoomScaleNormal="100" workbookViewId="0">
      <selection activeCell="D20" sqref="D2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12" sqref="N12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10.43</v>
      </c>
      <c r="E3" s="12" t="s">
        <v>135</v>
      </c>
      <c r="F3" s="15">
        <v>0.22759647505526648</v>
      </c>
      <c r="G3" s="15">
        <f>F3 - Portfolio_Mgmt!$C$10</f>
        <v>0.11019647505526647</v>
      </c>
      <c r="H3" s="15">
        <f>F3 - Portfolio_Mgmt!$C$11</f>
        <v>0.19309647505526648</v>
      </c>
      <c r="I3" s="15">
        <v>0.10293701139809934</v>
      </c>
      <c r="J3" s="2">
        <v>8.956774760697618</v>
      </c>
      <c r="K3" s="2">
        <v>17.067136411217259</v>
      </c>
      <c r="L3" s="71">
        <v>15.393276498541313</v>
      </c>
      <c r="M3" s="2">
        <v>11.113574799169326</v>
      </c>
      <c r="N3" s="2">
        <v>13.672466403255244</v>
      </c>
      <c r="O3" s="4">
        <v>9.5290454527600585E-2</v>
      </c>
      <c r="P3" s="4">
        <v>5.7202766989015767E-2</v>
      </c>
      <c r="Q3" s="4">
        <v>0.10095660686647698</v>
      </c>
      <c r="R3" s="4">
        <v>0.12639633498911301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1.7240383285205625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185</v>
      </c>
      <c r="C4" s="11" t="s">
        <v>335</v>
      </c>
      <c r="D4" s="2">
        <v>2.84</v>
      </c>
      <c r="E4" s="12" t="s">
        <v>135</v>
      </c>
      <c r="F4" s="15">
        <v>0.20656685679497649</v>
      </c>
      <c r="G4" s="15">
        <f>F4 - Portfolio_Mgmt!$C$10</f>
        <v>8.916685679497649E-2</v>
      </c>
      <c r="H4" s="15">
        <f>F4 - Portfolio_Mgmt!$C$11</f>
        <v>0.17206685679497649</v>
      </c>
      <c r="I4" s="15">
        <v>0.16336340306611324</v>
      </c>
      <c r="J4" s="2">
        <v>2.3372346420267727</v>
      </c>
      <c r="K4" s="2">
        <v>3.9996891347551768</v>
      </c>
      <c r="L4" s="71">
        <v>3.9475005072198974</v>
      </c>
      <c r="M4" s="2">
        <v>2.87837081868983</v>
      </c>
      <c r="N4" s="2">
        <v>3.5182216001675917</v>
      </c>
      <c r="O4" s="4">
        <v>7.107117616063513E-2</v>
      </c>
      <c r="P4" s="4">
        <v>9.507042253521128E-2</v>
      </c>
      <c r="Q4" s="4">
        <v>9.4872184280479305E-2</v>
      </c>
      <c r="R4" s="4">
        <v>0.41717445526566538</v>
      </c>
      <c r="S4" s="79">
        <v>0.18730590235499223</v>
      </c>
      <c r="T4" s="78">
        <v>1.2141426890285656</v>
      </c>
      <c r="U4" s="15">
        <v>2.3107986944995245E-3</v>
      </c>
      <c r="V4" s="76">
        <v>2.4486769298072242E-2</v>
      </c>
      <c r="W4" s="71">
        <v>0.79833937207218564</v>
      </c>
      <c r="X4" s="13" t="s">
        <v>336</v>
      </c>
      <c r="Y4" s="11" t="s">
        <v>341</v>
      </c>
      <c r="Z4" s="14">
        <v>46081</v>
      </c>
      <c r="AA4" s="16" t="s">
        <v>183</v>
      </c>
    </row>
    <row r="5" spans="1:27">
      <c r="B5" s="11" t="s">
        <v>331</v>
      </c>
      <c r="C5" s="11" t="s">
        <v>332</v>
      </c>
      <c r="D5" s="2">
        <v>4.1900000000000004</v>
      </c>
      <c r="E5" s="12" t="s">
        <v>135</v>
      </c>
      <c r="F5" s="15">
        <v>0.20282532000570719</v>
      </c>
      <c r="G5" s="15">
        <f>F5 - Portfolio_Mgmt!$C$10</f>
        <v>8.5425320005707184E-2</v>
      </c>
      <c r="H5" s="15">
        <f>F5 - Portfolio_Mgmt!$C$11</f>
        <v>0.16832532000570719</v>
      </c>
      <c r="I5" s="15">
        <v>7.7427378374033726E-2</v>
      </c>
      <c r="J5" s="2">
        <v>3.3959624298329087</v>
      </c>
      <c r="K5" s="2">
        <v>6.4091043716429743</v>
      </c>
      <c r="L5" s="71">
        <v>5.8269102536320467</v>
      </c>
      <c r="M5" s="2">
        <v>4.2107578998030073</v>
      </c>
      <c r="N5" s="2">
        <v>5.1771596041436725</v>
      </c>
      <c r="O5" s="4">
        <v>0.10365946698599825</v>
      </c>
      <c r="P5" s="4">
        <v>5.7708830548926005E-2</v>
      </c>
      <c r="Q5" s="4">
        <v>0.17911384235321903</v>
      </c>
      <c r="R5" s="4">
        <v>0.23440332981639811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1.2555045790833479</v>
      </c>
      <c r="X5" s="13" t="s">
        <v>171</v>
      </c>
      <c r="Y5" s="11" t="s">
        <v>341</v>
      </c>
      <c r="Z5" s="14">
        <v>46081</v>
      </c>
      <c r="AA5" s="16" t="s">
        <v>334</v>
      </c>
    </row>
    <row r="6" spans="1:27">
      <c r="B6" s="11" t="s">
        <v>342</v>
      </c>
      <c r="C6" s="11" t="s">
        <v>343</v>
      </c>
      <c r="D6" s="2">
        <v>7.39</v>
      </c>
      <c r="E6" s="12" t="s">
        <v>135</v>
      </c>
      <c r="F6" s="15">
        <v>0.18423207455668486</v>
      </c>
      <c r="G6" s="15">
        <f>F6 - Portfolio_Mgmt!$C$10</f>
        <v>6.6832074556684856E-2</v>
      </c>
      <c r="H6" s="15">
        <f>F6 - Portfolio_Mgmt!$C$11</f>
        <v>0.14973207455668486</v>
      </c>
      <c r="I6" s="15">
        <v>5.3668551946455895E-2</v>
      </c>
      <c r="J6" s="2">
        <v>5.7114040229664056</v>
      </c>
      <c r="K6" s="2">
        <v>11.146828946508737</v>
      </c>
      <c r="L6" s="71">
        <v>9.8559980566887102</v>
      </c>
      <c r="M6" s="2">
        <v>7.0993083487116051</v>
      </c>
      <c r="N6" s="2">
        <v>8.7472196976985366</v>
      </c>
      <c r="O6" s="4">
        <v>9.405111370982823E-2</v>
      </c>
      <c r="P6" s="4">
        <v>4.2493038045064997E-2</v>
      </c>
      <c r="Q6" s="4">
        <v>0.17171961713384551</v>
      </c>
      <c r="R6" s="4">
        <v>8.360596908324712E-2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-2.9157433910511119</v>
      </c>
      <c r="X6" s="13" t="s">
        <v>344</v>
      </c>
      <c r="Y6" s="11" t="s">
        <v>170</v>
      </c>
      <c r="Z6" s="14">
        <v>46081</v>
      </c>
      <c r="AA6" s="16" t="s">
        <v>334</v>
      </c>
    </row>
    <row r="7" spans="1:27">
      <c r="B7" s="11" t="s">
        <v>378</v>
      </c>
      <c r="C7" s="11" t="s">
        <v>379</v>
      </c>
      <c r="D7" s="2">
        <v>0.47</v>
      </c>
      <c r="E7" s="12" t="s">
        <v>135</v>
      </c>
      <c r="F7" s="15">
        <v>0.163282037072601</v>
      </c>
      <c r="G7" s="15">
        <f>F7 - Portfolio_Mgmt!$C$10</f>
        <v>4.5882037072600995E-2</v>
      </c>
      <c r="H7" s="15">
        <f>F7 - Portfolio_Mgmt!$C$11</f>
        <v>0.128782037072601</v>
      </c>
      <c r="I7" s="15">
        <v>2.0290019891521925E-2</v>
      </c>
      <c r="J7" s="2">
        <v>0.34660417600544891</v>
      </c>
      <c r="K7" s="2">
        <v>0.64492005808753206</v>
      </c>
      <c r="L7" s="71">
        <v>0.59330813343522681</v>
      </c>
      <c r="M7" s="2">
        <v>0.42932510763765563</v>
      </c>
      <c r="N7" s="2">
        <v>0.52739343869829225</v>
      </c>
      <c r="O7" s="4">
        <v>0.11318414929152056</v>
      </c>
      <c r="P7" s="4">
        <v>5.7446808510638298E-2</v>
      </c>
      <c r="Q7" s="4">
        <v>3.931859133292645E-2</v>
      </c>
      <c r="R7" s="4">
        <v>1.9127481481925439E-2</v>
      </c>
      <c r="S7" s="79">
        <v>1.4656521003611329</v>
      </c>
      <c r="T7" s="78">
        <v>1.4025206525126881</v>
      </c>
      <c r="U7" s="15">
        <v>0.16239287772638675</v>
      </c>
      <c r="V7" s="76">
        <v>3.5496550732945478</v>
      </c>
      <c r="W7" s="71">
        <v>0.58646528827105937</v>
      </c>
      <c r="X7" s="13" t="s">
        <v>380</v>
      </c>
      <c r="Y7" s="11" t="s">
        <v>381</v>
      </c>
      <c r="Z7" s="14">
        <v>46081</v>
      </c>
      <c r="AA7" s="16" t="s">
        <v>334</v>
      </c>
    </row>
    <row r="8" spans="1:27">
      <c r="B8" s="11" t="s">
        <v>346</v>
      </c>
      <c r="C8" s="11" t="s">
        <v>347</v>
      </c>
      <c r="D8" s="2">
        <v>103.4</v>
      </c>
      <c r="E8" s="12" t="s">
        <v>135</v>
      </c>
      <c r="F8" s="15">
        <v>0.141484493362</v>
      </c>
      <c r="G8" s="15">
        <f>F8 - Portfolio_Mgmt!$C$10</f>
        <v>2.4084493361999998E-2</v>
      </c>
      <c r="H8" s="15">
        <f>F8 - Portfolio_Mgmt!$C$11</f>
        <v>0.106984493362</v>
      </c>
      <c r="I8" s="15">
        <v>0</v>
      </c>
      <c r="J8" s="2">
        <v>70.871374115598286</v>
      </c>
      <c r="K8" s="2">
        <v>153.79088183084824</v>
      </c>
      <c r="L8" s="71">
        <v>124.6633188159982</v>
      </c>
      <c r="M8" s="2">
        <v>88.832278313847397</v>
      </c>
      <c r="N8" s="2">
        <v>110.23121290317185</v>
      </c>
      <c r="O8" s="4">
        <v>2.3382496969700444E-2</v>
      </c>
      <c r="P8" s="4">
        <v>0</v>
      </c>
      <c r="Q8" s="4">
        <v>0.14667015235144401</v>
      </c>
      <c r="R8" s="4">
        <v>8.0069983114389093E-2</v>
      </c>
      <c r="S8" s="79">
        <v>1.022390799101176</v>
      </c>
      <c r="T8" s="78">
        <v>1.7916578376478161</v>
      </c>
      <c r="U8" s="15">
        <v>0.27660377540313014</v>
      </c>
      <c r="V8" s="76">
        <v>1.7116972700897226</v>
      </c>
      <c r="W8" s="71">
        <v>3.5212653672656091</v>
      </c>
      <c r="X8" s="13" t="s">
        <v>348</v>
      </c>
      <c r="Y8" s="11" t="s">
        <v>349</v>
      </c>
      <c r="Z8" s="14">
        <v>46081</v>
      </c>
      <c r="AA8" s="16" t="s">
        <v>334</v>
      </c>
    </row>
    <row r="9" spans="1:27">
      <c r="B9" s="11" t="s">
        <v>172</v>
      </c>
      <c r="C9" s="11" t="s">
        <v>339</v>
      </c>
      <c r="D9" s="2">
        <v>20.34</v>
      </c>
      <c r="E9" s="12" t="s">
        <v>135</v>
      </c>
      <c r="F9" s="15">
        <v>0.12984341923772974</v>
      </c>
      <c r="G9" s="15">
        <f>F9 - Portfolio_Mgmt!$C$10</f>
        <v>1.2443419237729736E-2</v>
      </c>
      <c r="H9" s="15">
        <f>F9 - Portfolio_Mgmt!$C$11</f>
        <v>9.5343419237729737E-2</v>
      </c>
      <c r="I9" s="15">
        <v>0</v>
      </c>
      <c r="J9" s="2">
        <v>13.846753813284243</v>
      </c>
      <c r="K9" s="2">
        <v>25.044275595426512</v>
      </c>
      <c r="L9" s="71">
        <v>23.592552608435533</v>
      </c>
      <c r="M9" s="2">
        <v>17.117052537704325</v>
      </c>
      <c r="N9" s="2">
        <v>20.990624757231636</v>
      </c>
      <c r="O9" s="4">
        <v>0.11624269596591683</v>
      </c>
      <c r="P9" s="4">
        <v>6.1946902654867256E-2</v>
      </c>
      <c r="Q9" s="4">
        <v>0.17244225698759846</v>
      </c>
      <c r="R9" s="4">
        <v>0.32385684070512349</v>
      </c>
      <c r="S9" s="79">
        <v>0.37515442207937094</v>
      </c>
      <c r="T9" s="78">
        <v>1.419320754716981</v>
      </c>
      <c r="U9" s="15">
        <v>9.2018392262565404E-2</v>
      </c>
      <c r="V9" s="76">
        <v>0.52904635366009978</v>
      </c>
      <c r="W9" s="71">
        <v>0.45448459087891058</v>
      </c>
      <c r="X9" s="13" t="s">
        <v>340</v>
      </c>
      <c r="Y9" s="11" t="s">
        <v>341</v>
      </c>
      <c r="Z9" s="14">
        <v>46081</v>
      </c>
      <c r="AA9" s="16" t="s">
        <v>183</v>
      </c>
    </row>
    <row r="10" spans="1:27">
      <c r="B10" s="11" t="s">
        <v>158</v>
      </c>
      <c r="C10" s="11" t="s">
        <v>337</v>
      </c>
      <c r="D10" s="2">
        <v>19.22</v>
      </c>
      <c r="E10" s="12" t="s">
        <v>135</v>
      </c>
      <c r="F10" s="15">
        <v>0.114276155813564</v>
      </c>
      <c r="G10" s="15">
        <f>F10 - Portfolio_Mgmt!$C$10</f>
        <v>-3.1238441864360061E-3</v>
      </c>
      <c r="H10" s="15">
        <f>F10 - Portfolio_Mgmt!$C$11</f>
        <v>7.9776155813563995E-2</v>
      </c>
      <c r="I10" s="15">
        <v>0</v>
      </c>
      <c r="J10" s="2">
        <v>12.403820277948832</v>
      </c>
      <c r="K10" s="2">
        <v>24.814567487592115</v>
      </c>
      <c r="L10" s="71">
        <v>21.49748126015173</v>
      </c>
      <c r="M10" s="2">
        <v>15.446968045239652</v>
      </c>
      <c r="N10" s="2">
        <v>19.063083759209679</v>
      </c>
      <c r="O10" s="4">
        <v>5.0249532274375903E-2</v>
      </c>
      <c r="P10" s="4">
        <v>2.7538887709097699E-2</v>
      </c>
      <c r="Q10" s="4">
        <v>0.11088597151663486</v>
      </c>
      <c r="R10" s="4">
        <v>0.11515079725781016</v>
      </c>
      <c r="S10" s="79">
        <v>0.71131521233544359</v>
      </c>
      <c r="T10" s="78">
        <v>1.3537783359692717</v>
      </c>
      <c r="U10" s="15">
        <v>6.5417684980282262E-2</v>
      </c>
      <c r="V10" s="76">
        <v>0.5742845428370501</v>
      </c>
      <c r="W10" s="71">
        <v>5.5110919221699515</v>
      </c>
      <c r="X10" s="16" t="s">
        <v>338</v>
      </c>
      <c r="Y10" s="11" t="s">
        <v>333</v>
      </c>
      <c r="Z10" s="14">
        <v>46081</v>
      </c>
      <c r="AA10" s="16" t="s">
        <v>183</v>
      </c>
    </row>
    <row r="11" spans="1:27">
      <c r="B11" s="11" t="s">
        <v>382</v>
      </c>
      <c r="C11" s="11" t="s">
        <v>383</v>
      </c>
      <c r="D11" s="2">
        <v>6.45</v>
      </c>
      <c r="E11" s="12" t="s">
        <v>135</v>
      </c>
      <c r="F11" s="15">
        <v>0.10088941571874904</v>
      </c>
      <c r="G11" s="15">
        <f>F11 - Portfolio_Mgmt!$C$10</f>
        <v>-1.6510584281250962E-2</v>
      </c>
      <c r="H11" s="15">
        <f>F11 - Portfolio_Mgmt!$C$11</f>
        <v>6.638941571874904E-2</v>
      </c>
      <c r="I11" s="15">
        <v>0</v>
      </c>
      <c r="J11" s="2">
        <v>4.0476647681399474</v>
      </c>
      <c r="K11" s="2">
        <v>7.7113225084207642</v>
      </c>
      <c r="L11" s="71">
        <v>6.9561608977513227</v>
      </c>
      <c r="M11" s="2">
        <v>5.0222745724316873</v>
      </c>
      <c r="N11" s="2">
        <v>6.1785733958029958</v>
      </c>
      <c r="O11" s="4">
        <v>4.8606335391922627E-2</v>
      </c>
      <c r="P11" s="4">
        <v>4.1860465116279069E-2</v>
      </c>
      <c r="Q11" s="4">
        <v>0.15129103990745271</v>
      </c>
      <c r="R11" s="4">
        <v>7.6740113341060609E-2</v>
      </c>
      <c r="S11" s="79">
        <v>1.1106245684847842</v>
      </c>
      <c r="T11" s="78">
        <v>1.775102743966247</v>
      </c>
      <c r="U11" s="15">
        <v>0.17709797868255178</v>
      </c>
      <c r="V11" s="76">
        <v>1.1002434563583587</v>
      </c>
      <c r="W11" s="71">
        <v>-0.16671611581654458</v>
      </c>
      <c r="X11" s="13" t="s">
        <v>171</v>
      </c>
      <c r="Y11" s="11" t="s">
        <v>349</v>
      </c>
      <c r="Z11" s="14">
        <v>46081</v>
      </c>
      <c r="AA11" s="16" t="s">
        <v>183</v>
      </c>
    </row>
    <row r="12" spans="1:27">
      <c r="B12" s="11" t="s">
        <v>329</v>
      </c>
      <c r="C12" s="11" t="s">
        <v>330</v>
      </c>
      <c r="D12" s="2">
        <v>5.07</v>
      </c>
      <c r="E12" s="12" t="s">
        <v>135</v>
      </c>
      <c r="F12" s="15">
        <v>4.1619073756881036E-2</v>
      </c>
      <c r="G12" s="15">
        <f>F12 - Portfolio_Mgmt!$C$10</f>
        <v>-7.5780926243118968E-2</v>
      </c>
      <c r="H12" s="15">
        <f>F12 - Portfolio_Mgmt!$C$11</f>
        <v>7.1190737568810336E-3</v>
      </c>
      <c r="I12" s="15">
        <v>0</v>
      </c>
      <c r="J12" s="2">
        <v>2.7571401547991856</v>
      </c>
      <c r="K12" s="2">
        <v>4.791760759866543</v>
      </c>
      <c r="L12" s="71">
        <v>4.667927238006353</v>
      </c>
      <c r="M12" s="2">
        <v>3.3990052332011103</v>
      </c>
      <c r="N12" s="2">
        <v>4.1583252632564474</v>
      </c>
      <c r="O12" s="4">
        <v>7.7515226162011369E-2</v>
      </c>
      <c r="P12" s="4">
        <v>5.9171597633136098E-2</v>
      </c>
      <c r="Q12" s="4">
        <v>0.11649319406611419</v>
      </c>
      <c r="R12" s="4">
        <v>3.7316904067420706E-2</v>
      </c>
      <c r="S12" s="79">
        <v>1.4327738230803833</v>
      </c>
      <c r="T12" s="78">
        <v>2.1787997096988563</v>
      </c>
      <c r="U12" s="15">
        <v>0.77760119734648436</v>
      </c>
      <c r="V12" s="76">
        <v>5.3604060658726853</v>
      </c>
      <c r="W12" s="71">
        <v>-2.5047246524922007</v>
      </c>
      <c r="X12" s="13" t="s">
        <v>171</v>
      </c>
      <c r="Y12" s="11" t="s">
        <v>170</v>
      </c>
      <c r="Z12" s="14">
        <v>45991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4.1200000000000001E-2</v>
      </c>
      <c r="D4" s="34">
        <v>6.7500000000000004E-2</v>
      </c>
      <c r="E4" s="35">
        <f>D4-C4</f>
        <v>2.6300000000000004E-2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0.61140194080942267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19.22</v>
      </c>
      <c r="E4" s="59" t="str">
        <f>VLOOKUP(B4,Opportunities!B$3:E$30,4,FALSE)</f>
        <v>HKD</v>
      </c>
      <c r="F4" s="57">
        <v>4500</v>
      </c>
      <c r="G4" s="61">
        <f t="shared" ref="G4:G10" si="1">D4*F4</f>
        <v>86490</v>
      </c>
      <c r="H4" s="58">
        <f t="shared" si="0"/>
        <v>7.254758707346104E-2</v>
      </c>
      <c r="I4" s="58">
        <f>VLOOKUP(B4,Opportunities!B$3:I$30,8,FALSE)</f>
        <v>0</v>
      </c>
      <c r="J4" s="81">
        <f>VLOOKUP(B4,Opportunities!B$3:N$30,12,FALSE)</f>
        <v>15.446968045239652</v>
      </c>
      <c r="K4" s="81">
        <f>VLOOKUP(B4,Opportunities!B$3:N$30,9,FALSE)</f>
        <v>12.403820277948832</v>
      </c>
      <c r="L4" s="81">
        <f>VLOOKUP(B4,Opportunities!B$3:N$30,11,FALSE)</f>
        <v>21.49748126015173</v>
      </c>
      <c r="M4" s="81">
        <f>VLOOKUP(B4,Opportunities!B$3:N$30,13,FALSE)</f>
        <v>19.063083759209679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20.34</v>
      </c>
      <c r="E5" s="59" t="str">
        <f>VLOOKUP(B5,Opportunities!B$3:E$30,4,FALSE)</f>
        <v>HKD</v>
      </c>
      <c r="F5" s="57">
        <v>4000</v>
      </c>
      <c r="G5" s="61">
        <f t="shared" si="1"/>
        <v>81360</v>
      </c>
      <c r="H5" s="58">
        <f t="shared" si="0"/>
        <v>6.8244556414577287E-2</v>
      </c>
      <c r="I5" s="58">
        <f>VLOOKUP(B5,Opportunities!B$3:I$30,8,FALSE)</f>
        <v>0</v>
      </c>
      <c r="J5" s="81">
        <f>VLOOKUP(B5,Opportunities!B$3:N$30,12,FALSE)</f>
        <v>17.117052537704325</v>
      </c>
      <c r="K5" s="81">
        <f>VLOOKUP(B5,Opportunities!B$3:N$30,9,FALSE)</f>
        <v>13.846753813284243</v>
      </c>
      <c r="L5" s="81">
        <f>VLOOKUP(B5,Opportunities!B$3:N$30,11,FALSE)</f>
        <v>23.592552608435533</v>
      </c>
      <c r="M5" s="81">
        <f>VLOOKUP(B5,Opportunities!B$3:N$30,13,FALSE)</f>
        <v>20.990624757231636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2.84</v>
      </c>
      <c r="E6" s="59" t="str">
        <f>VLOOKUP(B6,Opportunities!B$3:E$30,4,FALSE)</f>
        <v>HKD</v>
      </c>
      <c r="F6" s="57">
        <v>40000</v>
      </c>
      <c r="G6" s="61">
        <f t="shared" si="1"/>
        <v>113600</v>
      </c>
      <c r="H6" s="58">
        <f t="shared" si="0"/>
        <v>9.5287384570992881E-2</v>
      </c>
      <c r="I6" s="58">
        <f>VLOOKUP(B6,Opportunities!B$3:I$30,8,FALSE)</f>
        <v>0.16336340306611324</v>
      </c>
      <c r="J6" s="81">
        <f>VLOOKUP(B6,Opportunities!B$3:N$30,12,FALSE)</f>
        <v>2.87837081868983</v>
      </c>
      <c r="K6" s="81">
        <f>VLOOKUP(B6,Opportunities!B$3:N$30,9,FALSE)</f>
        <v>2.3372346420267727</v>
      </c>
      <c r="L6" s="81">
        <f>VLOOKUP(B6,Opportunities!B$3:N$30,11,FALSE)</f>
        <v>3.9475005072198974</v>
      </c>
      <c r="M6" s="81">
        <f>VLOOKUP(B6,Opportunities!B$3:N$30,13,FALSE)</f>
        <v>3.5182216001675917</v>
      </c>
    </row>
    <row r="7" spans="1:13">
      <c r="B7" s="63" t="s">
        <v>342</v>
      </c>
      <c r="C7" s="62" t="str">
        <f>VLOOKUP(B7,Opportunities!B$3:E$30,2,FALSE)</f>
        <v>昆仑能源</v>
      </c>
      <c r="D7" s="60">
        <f>VLOOKUP(B7,Opportunities!B$3:E$30,3,FALSE)</f>
        <v>7.39</v>
      </c>
      <c r="E7" s="59" t="str">
        <f>VLOOKUP(B7,Opportunities!B$3:E$30,4,FALSE)</f>
        <v>HKD</v>
      </c>
      <c r="F7" s="57">
        <v>8000</v>
      </c>
      <c r="G7" s="61">
        <f t="shared" si="1"/>
        <v>59120</v>
      </c>
      <c r="H7" s="58">
        <f t="shared" si="0"/>
        <v>4.9589702252087135E-2</v>
      </c>
      <c r="I7" s="58">
        <f>VLOOKUP(B7,Opportunities!B$3:I$30,8,FALSE)</f>
        <v>5.3668551946455895E-2</v>
      </c>
      <c r="J7" s="81">
        <f>VLOOKUP(B7,Opportunities!B$3:N$30,12,FALSE)</f>
        <v>7.0993083487116051</v>
      </c>
      <c r="K7" s="81">
        <f>VLOOKUP(B7,Opportunities!B$3:N$30,9,FALSE)</f>
        <v>5.7114040229664056</v>
      </c>
      <c r="L7" s="81">
        <f>VLOOKUP(B7,Opportunities!B$3:N$30,11,FALSE)</f>
        <v>9.8559980566887102</v>
      </c>
      <c r="M7" s="81">
        <f>VLOOKUP(B7,Opportunities!B$3:N$30,13,FALSE)</f>
        <v>8.7472196976985366</v>
      </c>
    </row>
    <row r="8" spans="1:13">
      <c r="B8" s="63" t="s">
        <v>384</v>
      </c>
      <c r="C8" s="62" t="str">
        <f>VLOOKUP(B8,Opportunities!B$3:E$30,2,FALSE)</f>
        <v>新华文轩</v>
      </c>
      <c r="D8" s="60">
        <f>VLOOKUP(B8,Opportunities!B$3:E$30,3,FALSE)</f>
        <v>10.43</v>
      </c>
      <c r="E8" s="59" t="str">
        <f>VLOOKUP(B8,Opportunities!B$3:E$30,4,FALSE)</f>
        <v>HKD</v>
      </c>
      <c r="F8" s="57">
        <v>5000</v>
      </c>
      <c r="G8" s="61">
        <f t="shared" si="1"/>
        <v>52150</v>
      </c>
      <c r="H8" s="58">
        <f t="shared" si="0"/>
        <v>4.3743284378321111E-2</v>
      </c>
      <c r="I8" s="58">
        <f>VLOOKUP(B8,Opportunities!B$3:I$30,8,FALSE)</f>
        <v>0.10293701139809934</v>
      </c>
      <c r="J8" s="81">
        <f>VLOOKUP(B8,Opportunities!B$3:N$30,12,FALSE)</f>
        <v>11.113574799169326</v>
      </c>
      <c r="K8" s="81">
        <f>VLOOKUP(B8,Opportunities!B$3:N$30,9,FALSE)</f>
        <v>8.956774760697618</v>
      </c>
      <c r="L8" s="81">
        <f>VLOOKUP(B8,Opportunities!B$3:N$30,11,FALSE)</f>
        <v>15.393276498541313</v>
      </c>
      <c r="M8" s="81">
        <f>VLOOKUP(B8,Opportunities!B$3:N$30,13,FALSE)</f>
        <v>13.672466403255244</v>
      </c>
    </row>
    <row r="9" spans="1:13">
      <c r="B9" s="63" t="s">
        <v>329</v>
      </c>
      <c r="C9" s="62" t="str">
        <f>VLOOKUP(B9,Opportunities!B$3:E$30,2,FALSE)</f>
        <v>大家乐集团</v>
      </c>
      <c r="D9" s="60">
        <f>VLOOKUP(B9,Opportunities!B$3:E$30,3,FALSE)</f>
        <v>5.07</v>
      </c>
      <c r="E9" s="59" t="str">
        <f>VLOOKUP(B9,Opportunities!B$3:E$30,4,FALSE)</f>
        <v>HKD</v>
      </c>
      <c r="F9" s="57">
        <v>4000</v>
      </c>
      <c r="G9" s="61">
        <f t="shared" si="1"/>
        <v>20280</v>
      </c>
      <c r="H9" s="58">
        <f t="shared" si="0"/>
        <v>1.7010811259680771E-2</v>
      </c>
      <c r="I9" s="58">
        <f>VLOOKUP(B9,Opportunities!B$3:I$30,8,FALSE)</f>
        <v>0</v>
      </c>
      <c r="J9" s="81">
        <f>VLOOKUP(B9,Opportunities!B$3:N$30,12,FALSE)</f>
        <v>3.3990052332011103</v>
      </c>
      <c r="K9" s="81">
        <f>VLOOKUP(B9,Opportunities!B$3:N$30,9,FALSE)</f>
        <v>2.7571401547991856</v>
      </c>
      <c r="L9" s="81">
        <f>VLOOKUP(B9,Opportunities!B$3:N$30,11,FALSE)</f>
        <v>4.667927238006353</v>
      </c>
      <c r="M9" s="81">
        <f>VLOOKUP(B9,Opportunities!B$3:N$30,13,FALSE)</f>
        <v>4.1583252632564474</v>
      </c>
    </row>
    <row r="10" spans="1:13">
      <c r="B10" s="63" t="s">
        <v>331</v>
      </c>
      <c r="C10" s="62" t="str">
        <f>VLOOKUP(B10,Opportunities!B$3:E$30,2,FALSE)</f>
        <v>中国飞鹤</v>
      </c>
      <c r="D10" s="60">
        <f>VLOOKUP(B10,Opportunities!B$3:E$30,3,FALSE)</f>
        <v>4.1900000000000004</v>
      </c>
      <c r="E10" s="59" t="str">
        <f>VLOOKUP(B10,Opportunities!B$3:E$30,4,FALSE)</f>
        <v>HKD</v>
      </c>
      <c r="F10" s="57">
        <v>12000</v>
      </c>
      <c r="G10" s="61">
        <f t="shared" si="1"/>
        <v>50280.000000000007</v>
      </c>
      <c r="H10" s="58">
        <f t="shared" ref="H10" si="2">G10/$G$12</f>
        <v>4.2174733241457062E-2</v>
      </c>
      <c r="I10" s="58">
        <f>VLOOKUP(B10,Opportunities!B$3:I$30,8,FALSE)</f>
        <v>7.7427378374033726E-2</v>
      </c>
      <c r="J10" s="81">
        <f>VLOOKUP(B10,Opportunities!B$3:N$30,12,FALSE)</f>
        <v>4.2107578998030073</v>
      </c>
      <c r="K10" s="81">
        <f>VLOOKUP(B10,Opportunities!B$3:N$30,9,FALSE)</f>
        <v>3.3959624298329087</v>
      </c>
      <c r="L10" s="81">
        <f>VLOOKUP(B10,Opportunities!B$3:N$30,11,FALSE)</f>
        <v>5.8269102536320467</v>
      </c>
      <c r="M10" s="81">
        <f>VLOOKUP(B10,Opportunities!B$3:N$30,13,FALSE)</f>
        <v>5.1771596041436725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1192183</v>
      </c>
      <c r="H12" s="67">
        <f>SUM(H3:H10)</f>
        <v>0.99999999999999989</v>
      </c>
      <c r="I12" s="73">
        <f>SUM(I3:I10)</f>
        <v>0.84739634478470216</v>
      </c>
      <c r="J12" s="82" t="s">
        <v>189</v>
      </c>
      <c r="K12" s="82" t="s">
        <v>189</v>
      </c>
      <c r="L12" s="82" t="s">
        <v>189</v>
      </c>
      <c r="M12" s="82" t="s">
        <v>189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19.22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15.446968045239652</v>
      </c>
      <c r="K15" s="81">
        <f>VLOOKUP(B15,Opportunities!B$3:N$30,9,FALSE)</f>
        <v>12.403820277948832</v>
      </c>
      <c r="L15" s="81">
        <f>VLOOKUP(B15,Opportunities!B$3:N$30,11,FALSE)</f>
        <v>21.49748126015173</v>
      </c>
      <c r="M15" s="81">
        <f>VLOOKUP(B15,Opportunities!B$3:N$30,13,FALSE)</f>
        <v>19.063083759209679</v>
      </c>
    </row>
    <row r="16" spans="1:13">
      <c r="B16" s="63" t="s">
        <v>172</v>
      </c>
      <c r="C16" s="62" t="str">
        <f>VLOOKUP(B16,Opportunities!B$3:E$30,2,FALSE)</f>
        <v>中国海油</v>
      </c>
      <c r="D16" s="60">
        <f>VLOOKUP(B16,Opportunities!B$3:E$30,3,FALSE)</f>
        <v>20.34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17.117052537704325</v>
      </c>
      <c r="K16" s="81">
        <f>VLOOKUP(B16,Opportunities!B$3:N$30,9,FALSE)</f>
        <v>13.846753813284243</v>
      </c>
      <c r="L16" s="81">
        <f>VLOOKUP(B16,Opportunities!B$3:N$30,11,FALSE)</f>
        <v>23.592552608435533</v>
      </c>
      <c r="M16" s="81">
        <f>VLOOKUP(B16,Opportunities!B$3:N$30,13,FALSE)</f>
        <v>20.990624757231636</v>
      </c>
    </row>
    <row r="17" spans="1:13">
      <c r="B17" s="63" t="s">
        <v>185</v>
      </c>
      <c r="C17" s="62" t="str">
        <f>VLOOKUP(B17,Opportunities!B$3:E$30,2,FALSE)</f>
        <v>首钢资源</v>
      </c>
      <c r="D17" s="60">
        <f>VLOOKUP(B17,Opportunities!B$3:E$30,3,FALSE)</f>
        <v>2.84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0.16336340306611324</v>
      </c>
      <c r="J17" s="81">
        <f>VLOOKUP(B17,Opportunities!B$3:N$30,12,FALSE)</f>
        <v>2.87837081868983</v>
      </c>
      <c r="K17" s="81">
        <f>VLOOKUP(B17,Opportunities!B$3:N$30,9,FALSE)</f>
        <v>2.3372346420267727</v>
      </c>
      <c r="L17" s="81">
        <f>VLOOKUP(B17,Opportunities!B$3:N$30,11,FALSE)</f>
        <v>3.9475005072198974</v>
      </c>
      <c r="M17" s="81">
        <f>VLOOKUP(B17,Opportunities!B$3:N$30,13,FALSE)</f>
        <v>3.5182216001675917</v>
      </c>
    </row>
    <row r="18" spans="1:13">
      <c r="B18" s="63" t="s">
        <v>331</v>
      </c>
      <c r="C18" s="62" t="str">
        <f>VLOOKUP(B18,Opportunities!B$3:E$30,2,FALSE)</f>
        <v>中国飞鹤</v>
      </c>
      <c r="D18" s="60">
        <f>VLOOKUP(B18,Opportunities!B$3:E$30,3,FALSE)</f>
        <v>4.1900000000000004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7.7427378374033726E-2</v>
      </c>
      <c r="J18" s="81">
        <f>VLOOKUP(B18,Opportunities!B$3:N$30,12,FALSE)</f>
        <v>4.2107578998030073</v>
      </c>
      <c r="K18" s="81">
        <f>VLOOKUP(B18,Opportunities!B$3:N$30,9,FALSE)</f>
        <v>3.3959624298329087</v>
      </c>
      <c r="L18" s="81">
        <f>VLOOKUP(B18,Opportunities!B$3:N$30,11,FALSE)</f>
        <v>5.8269102536320467</v>
      </c>
      <c r="M18" s="81">
        <f>VLOOKUP(B18,Opportunities!B$3:N$30,13,FALSE)</f>
        <v>5.1771596041436725</v>
      </c>
    </row>
    <row r="19" spans="1:13">
      <c r="B19" s="63" t="s">
        <v>384</v>
      </c>
      <c r="C19" s="62" t="str">
        <f>VLOOKUP(B19,Opportunities!B$3:E$30,2,FALSE)</f>
        <v>新华文轩</v>
      </c>
      <c r="D19" s="60">
        <f>VLOOKUP(B19,Opportunities!B$3:E$30,3,FALSE)</f>
        <v>10.43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0.10293701139809934</v>
      </c>
      <c r="J19" s="81">
        <f>VLOOKUP(B19,Opportunities!B$3:N$30,12,FALSE)</f>
        <v>11.113574799169326</v>
      </c>
      <c r="K19" s="81">
        <f>VLOOKUP(B19,Opportunities!B$3:N$30,9,FALSE)</f>
        <v>8.956774760697618</v>
      </c>
      <c r="L19" s="81">
        <f>VLOOKUP(B19,Opportunities!B$3:N$30,11,FALSE)</f>
        <v>15.393276498541313</v>
      </c>
      <c r="M19" s="81">
        <f>VLOOKUP(B19,Opportunities!B$3:N$30,13,FALSE)</f>
        <v>13.672466403255244</v>
      </c>
    </row>
    <row r="20" spans="1:13">
      <c r="B20" s="63" t="s">
        <v>342</v>
      </c>
      <c r="C20" s="62" t="str">
        <f>VLOOKUP(B20,Opportunities!B$3:E$30,2,FALSE)</f>
        <v>昆仑能源</v>
      </c>
      <c r="D20" s="60">
        <f>VLOOKUP(B20,Opportunities!B$3:E$30,3,FALSE)</f>
        <v>7.39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5.3668551946455895E-2</v>
      </c>
      <c r="J20" s="81">
        <f>VLOOKUP(B20,Opportunities!B$3:N$30,12,FALSE)</f>
        <v>7.0993083487116051</v>
      </c>
      <c r="K20" s="81">
        <f>VLOOKUP(B20,Opportunities!B$3:N$30,9,FALSE)</f>
        <v>5.7114040229664056</v>
      </c>
      <c r="L20" s="81">
        <f>VLOOKUP(B20,Opportunities!B$3:N$30,11,FALSE)</f>
        <v>9.8559980566887102</v>
      </c>
      <c r="M20" s="81">
        <f>VLOOKUP(B20,Opportunities!B$3:N$30,13,FALSE)</f>
        <v>8.7472196976985366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0.61140194080942267</v>
      </c>
      <c r="I23" s="73">
        <f>Portfolio_Mgmt!E73</f>
        <v>0.45</v>
      </c>
      <c r="J23" s="82" t="s">
        <v>189</v>
      </c>
      <c r="K23" s="82" t="s">
        <v>189</v>
      </c>
      <c r="L23" s="82" t="s">
        <v>189</v>
      </c>
      <c r="M23" s="82" t="s">
        <v>189</v>
      </c>
    </row>
    <row r="25" spans="1:13" ht="13.15">
      <c r="A25" s="49"/>
      <c r="B25" s="50" t="s">
        <v>190</v>
      </c>
      <c r="C25" s="115"/>
      <c r="D25" s="56"/>
      <c r="E25" s="53"/>
      <c r="F25" s="57"/>
      <c r="G25" s="57"/>
    </row>
    <row r="26" spans="1:13" ht="13.15">
      <c r="C26" s="84" t="s">
        <v>191</v>
      </c>
      <c r="D26" s="84" t="s">
        <v>194</v>
      </c>
      <c r="F26" s="84" t="s">
        <v>195</v>
      </c>
    </row>
    <row r="27" spans="1:13" ht="14.25">
      <c r="B27" s="83" t="s">
        <v>192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193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196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2025-12-22T02:17:57Z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