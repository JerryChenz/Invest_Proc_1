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FA906DB-9E41-4076-A9D9-D9DC5877D107}" xr6:coauthVersionLast="47" xr6:coauthVersionMax="47" xr10:uidLastSave="{00000000-0000-0000-0000-000000000000}"/>
  <bookViews>
    <workbookView xWindow="735" yWindow="735" windowWidth="12690" windowHeight="7643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G3" i="1"/>
  <c r="G4" i="1"/>
  <c r="G5" i="1"/>
  <c r="G6" i="1"/>
  <c r="G7" i="1"/>
  <c r="G8" i="1"/>
  <c r="G9" i="1"/>
  <c r="G10" i="1"/>
  <c r="G11" i="1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<sst xmlns="http://schemas.openxmlformats.org/spreadsheetml/2006/main" count="457" uniqueCount="384">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</sst>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Normal="100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7" sqref="M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4.22</v>
      </c>
      <c r="E3" s="12" t="s">
        <v>135</v>
      </c>
      <c r="F3" s="15">
        <v>0.19533826835250381</v>
      </c>
      <c r="G3" s="15">
        <f>F3 - Portfolio_Mgmt!$C$10</f>
        <v>7.7938268352503809E-2</v>
      </c>
      <c r="H3" s="15">
        <f>F3 - Portfolio_Mgmt!$C$11</f>
        <v>0.16083826835250381</v>
      </c>
      <c r="I3" s="15">
        <v>6.8414536319529484E-2</v>
      </c>
      <c r="J3" s="2">
        <v>3.3600524597516164</v>
      </c>
      <c r="K3" s="2">
        <v>6.3311797365665701</v>
      </c>
      <c r="L3" s="71">
        <v>5.7637443265594994</v>
      </c>
      <c r="M3" s="2">
        <v>4.1657472802642896</v>
      </c>
      <c r="N3" s="2">
        <v>5.1213063120807742</v>
      </c>
      <c r="O3" s="4">
        <v>0.10167117489729709</v>
      </c>
      <c r="P3" s="4">
        <v>5.7298578199052132E-2</v>
      </c>
      <c r="Q3" s="4">
        <v>0.17911384235321903</v>
      </c>
      <c r="R3" s="4">
        <v>0.23440332981639811</v>
      </c>
      <c r="S3" s="79">
        <v>0.61200300518899786</v>
      </c>
      <c r="T3" s="78">
        <v>1.2485669045200241</v>
      </c>
      <c r="U3" s="15">
        <v>3.1120102042901991E-2</v>
      </c>
      <c r="V3" s="76">
        <v>0.1723700558857961</v>
      </c>
      <c r="W3" s="71">
        <v>1.2402396168532595</v>
      </c>
      <c r="X3" s="13" t="s">
        <v>171</v>
      </c>
      <c r="Y3" s="11" t="s">
        <v>341</v>
      </c>
      <c r="Z3" s="14">
        <v>46081</v>
      </c>
      <c r="AA3" s="16" t="s">
        <v>334</v>
      </c>
    </row>
    <row r="4" spans="1:27">
      <c r="B4" s="11" t="s">
        <v>342</v>
      </c>
      <c r="C4" s="11" t="s">
        <v>343</v>
      </c>
      <c r="D4" s="2">
        <v>7.21</v>
      </c>
      <c r="E4" s="12" t="s">
        <v>135</v>
      </c>
      <c r="F4" s="15">
        <v>0.18933362158706946</v>
      </c>
      <c r="G4" s="15">
        <f>F4 - Portfolio_Mgmt!$C$10</f>
        <v>7.1933621587069452E-2</v>
      </c>
      <c r="H4" s="15">
        <f>F4 - Portfolio_Mgmt!$C$11</f>
        <v>0.15483362158706945</v>
      </c>
      <c r="I4" s="15">
        <v>6.0660774580110058E-2</v>
      </c>
      <c r="J4" s="2">
        <v>5.64212909900297</v>
      </c>
      <c r="K4" s="2">
        <v>11.011662921798854</v>
      </c>
      <c r="L4" s="71">
        <v>9.7364579648602074</v>
      </c>
      <c r="M4" s="2">
        <v>7.0132009545564769</v>
      </c>
      <c r="N4" s="2">
        <v>8.6411266468673418</v>
      </c>
      <c r="O4" s="4">
        <v>9.5226827698828773E-2</v>
      </c>
      <c r="P4" s="4">
        <v>4.3024343740027733E-2</v>
      </c>
      <c r="Q4" s="4">
        <v>0.17171941545555858</v>
      </c>
      <c r="R4" s="4">
        <v>8.3605870891154094E-2</v>
      </c>
      <c r="S4" s="79">
        <v>1.3282158707615834</v>
      </c>
      <c r="T4" s="78">
        <v>1.5463719418456539</v>
      </c>
      <c r="U4" s="15">
        <v>0.22428295339746124</v>
      </c>
      <c r="V4" s="76">
        <v>1.2715557492373779</v>
      </c>
      <c r="W4" s="71">
        <v>-2.8802925344962746</v>
      </c>
      <c r="X4" s="13" t="s">
        <v>344</v>
      </c>
      <c r="Y4" s="11" t="s">
        <v>170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3.1</v>
      </c>
      <c r="E5" s="12" t="s">
        <v>135</v>
      </c>
      <c r="F5" s="15">
        <v>0.18145777058862814</v>
      </c>
      <c r="G5" s="15">
        <f>F5 - Portfolio_Mgmt!$C$10</f>
        <v>6.4057770588628132E-2</v>
      </c>
      <c r="H5" s="15">
        <f>F5 - Portfolio_Mgmt!$C$11</f>
        <v>0.14695777058862813</v>
      </c>
      <c r="I5" s="15">
        <v>9.939613899803304E-2</v>
      </c>
      <c r="J5" s="2">
        <v>2.4048565177073828</v>
      </c>
      <c r="K5" s="2">
        <v>4.1464286049821002</v>
      </c>
      <c r="L5" s="71">
        <v>4.0664479320737961</v>
      </c>
      <c r="M5" s="2">
        <v>2.9631300794707243</v>
      </c>
      <c r="N5" s="2">
        <v>3.623398640518225</v>
      </c>
      <c r="O5" s="4">
        <v>6.951710846042336E-2</v>
      </c>
      <c r="P5" s="4">
        <v>8.7096774193548387E-2</v>
      </c>
      <c r="Q5" s="4">
        <v>0.10109497147719294</v>
      </c>
      <c r="R5" s="4">
        <v>0.41984093276604345</v>
      </c>
      <c r="S5" s="79">
        <v>0.19832389661116825</v>
      </c>
      <c r="T5" s="78">
        <v>1.2141426890285656</v>
      </c>
      <c r="U5" s="15">
        <v>2.3107986944995245E-3</v>
      </c>
      <c r="V5" s="76">
        <v>2.2976895736939666E-2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329</v>
      </c>
      <c r="C6" s="11" t="s">
        <v>330</v>
      </c>
      <c r="D6" s="2">
        <v>6.28</v>
      </c>
      <c r="E6" s="12" t="s">
        <v>135</v>
      </c>
      <c r="F6" s="15">
        <v>0.15955100724787913</v>
      </c>
      <c r="G6" s="15">
        <f>F6 - Portfolio_Mgmt!$C$10</f>
        <v>4.2151007247879124E-2</v>
      </c>
      <c r="H6" s="15">
        <f>F6 - Portfolio_Mgmt!$C$11</f>
        <v>0.12505100724787913</v>
      </c>
      <c r="I6" s="15">
        <v>2.6822997202368613E-2</v>
      </c>
      <c r="J6" s="2">
        <v>4.5980258861772203</v>
      </c>
      <c r="K6" s="2">
        <v>8.3894050049409827</v>
      </c>
      <c r="L6" s="71">
        <v>7.8454252449020769</v>
      </c>
      <c r="M6" s="2">
        <v>5.6874672857327493</v>
      </c>
      <c r="N6" s="2">
        <v>6.9782344788773099</v>
      </c>
      <c r="O6" s="4">
        <v>9.3637428371644488E-2</v>
      </c>
      <c r="P6" s="4">
        <v>6.3694267515923567E-2</v>
      </c>
      <c r="Q6" s="4">
        <v>0.1658525572748466</v>
      </c>
      <c r="R6" s="4">
        <v>5.3128459724860015E-2</v>
      </c>
      <c r="S6" s="79">
        <v>1.4327738230803833</v>
      </c>
      <c r="T6" s="78">
        <v>2.1787997096988563</v>
      </c>
      <c r="U6" s="15">
        <v>0.77760119734648436</v>
      </c>
      <c r="V6" s="76">
        <v>3.999044116203212</v>
      </c>
      <c r="W6" s="71">
        <v>-2.5047246524922007</v>
      </c>
      <c r="X6" s="13" t="s">
        <v>171</v>
      </c>
      <c r="Y6" s="11" t="s">
        <v>170</v>
      </c>
      <c r="Z6" s="14">
        <v>45991</v>
      </c>
      <c r="AA6" s="16" t="s">
        <v>183</v>
      </c>
    </row>
    <row r="7" spans="1:27">
      <c r="B7" s="11" t="s">
        <v>158</v>
      </c>
      <c r="C7" s="11" t="s">
        <v>337</v>
      </c>
      <c r="D7" s="2">
        <v>16.95</v>
      </c>
      <c r="E7" s="12" t="s">
        <v>135</v>
      </c>
      <c r="F7" s="15">
        <v>0.15899236154277627</v>
      </c>
      <c r="G7" s="15">
        <f>F7 - Portfolio_Mgmt!$C$10</f>
        <v>4.1592361542776263E-2</v>
      </c>
      <c r="H7" s="15">
        <f>F7 - Portfolio_Mgmt!$C$11</f>
        <v>0.12449236154277626</v>
      </c>
      <c r="I7" s="15">
        <v>2.4706816625409037E-2</v>
      </c>
      <c r="J7" s="2">
        <v>12.276193796410992</v>
      </c>
      <c r="K7" s="2">
        <v>24.511749864290973</v>
      </c>
      <c r="L7" s="71">
        <v>21.269035112228465</v>
      </c>
      <c r="M7" s="2">
        <v>15.285762150856579</v>
      </c>
      <c r="N7" s="2">
        <v>18.861753302935451</v>
      </c>
      <c r="O7" s="4">
        <v>5.6286653781174388E-2</v>
      </c>
      <c r="P7" s="4">
        <v>3.1611330627531659E-2</v>
      </c>
      <c r="Q7" s="4">
        <v>0.11088659131433502</v>
      </c>
      <c r="R7" s="4">
        <v>0.11515144089377544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5.4440857069477886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378</v>
      </c>
      <c r="C8" s="11" t="s">
        <v>379</v>
      </c>
      <c r="D8" s="2">
        <v>0.47499999999999998</v>
      </c>
      <c r="E8" s="12" t="s">
        <v>135</v>
      </c>
      <c r="F8" s="15">
        <v>0.15467039222643886</v>
      </c>
      <c r="G8" s="15">
        <f>F8 - Portfolio_Mgmt!$C$10</f>
        <v>3.7270392226438853E-2</v>
      </c>
      <c r="H8" s="15">
        <f>F8 - Portfolio_Mgmt!$C$11</f>
        <v>0.12017039222643885</v>
      </c>
      <c r="I8" s="15">
        <v>3.9056813426310137E-3</v>
      </c>
      <c r="J8" s="2">
        <v>0.34299071324250568</v>
      </c>
      <c r="K8" s="2">
        <v>0.63707884389194525</v>
      </c>
      <c r="L8" s="71">
        <v>0.5869520232840143</v>
      </c>
      <c r="M8" s="2">
        <v>0.42479588644164878</v>
      </c>
      <c r="N8" s="2">
        <v>0.52177316692975029</v>
      </c>
      <c r="O8" s="4">
        <v>0.11063108154403639</v>
      </c>
      <c r="P8" s="4">
        <v>5.6842105263157895E-2</v>
      </c>
      <c r="Q8" s="4">
        <v>3.931859133292645E-2</v>
      </c>
      <c r="R8" s="4">
        <v>1.9127481481925439E-2</v>
      </c>
      <c r="S8" s="79">
        <v>1.4656521003611329</v>
      </c>
      <c r="T8" s="78">
        <v>1.4025206525126881</v>
      </c>
      <c r="U8" s="15">
        <v>0.16239287772638675</v>
      </c>
      <c r="V8" s="76">
        <v>3.5496550732945478</v>
      </c>
      <c r="W8" s="71">
        <v>0.57933479219493056</v>
      </c>
      <c r="X8" s="13" t="s">
        <v>380</v>
      </c>
      <c r="Y8" s="11" t="s">
        <v>381</v>
      </c>
      <c r="Z8" s="14">
        <v>46081</v>
      </c>
      <c r="AA8" s="16" t="s">
        <v>334</v>
      </c>
    </row>
    <row r="9" spans="1:27">
      <c r="B9" s="11" t="s">
        <v>346</v>
      </c>
      <c r="C9" s="11" t="s">
        <v>347</v>
      </c>
      <c r="D9" s="2">
        <v>102.3</v>
      </c>
      <c r="E9" s="12" t="s">
        <v>135</v>
      </c>
      <c r="F9" s="15">
        <v>0.1408995725963251</v>
      </c>
      <c r="G9" s="15">
        <f>F9 - Portfolio_Mgmt!$C$10</f>
        <v>2.3499572596325097E-2</v>
      </c>
      <c r="H9" s="15">
        <f>F9 - Portfolio_Mgmt!$C$11</f>
        <v>0.1063995725963251</v>
      </c>
      <c r="I9" s="15">
        <v>0</v>
      </c>
      <c r="J9" s="2">
        <v>70.009689604770827</v>
      </c>
      <c r="K9" s="2">
        <v>151.92102644235266</v>
      </c>
      <c r="L9" s="71">
        <v>123.147608809912</v>
      </c>
      <c r="M9" s="2">
        <v>87.752217439626122</v>
      </c>
      <c r="N9" s="2">
        <v>108.89097462003291</v>
      </c>
      <c r="O9" s="4">
        <v>2.3346570329542123E-2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3.4784523152633038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 t="s">
        <v>172</v>
      </c>
      <c r="C10" s="11" t="s">
        <v>339</v>
      </c>
      <c r="D10" s="2">
        <v>20.46</v>
      </c>
      <c r="E10" s="12" t="s">
        <v>135</v>
      </c>
      <c r="F10" s="15">
        <v>0.1233728728282458</v>
      </c>
      <c r="G10" s="15">
        <f>F10 - Portfolio_Mgmt!$C$10</f>
        <v>5.9728728282457955E-3</v>
      </c>
      <c r="H10" s="15">
        <f>F10 - Portfolio_Mgmt!$C$11</f>
        <v>8.8872872828245797E-2</v>
      </c>
      <c r="I10" s="15">
        <v>0</v>
      </c>
      <c r="J10" s="2">
        <v>13.706431681643116</v>
      </c>
      <c r="K10" s="2">
        <v>24.739776569765265</v>
      </c>
      <c r="L10" s="71">
        <v>23.345724846846124</v>
      </c>
      <c r="M10" s="2">
        <v>16.941168623964973</v>
      </c>
      <c r="N10" s="2">
        <v>20.772371915926055</v>
      </c>
      <c r="O10" s="4">
        <v>0.11415588147144065</v>
      </c>
      <c r="P10" s="4">
        <v>6.1583577712609971E-2</v>
      </c>
      <c r="Q10" s="4">
        <v>0.17244225698759846</v>
      </c>
      <c r="R10" s="4">
        <v>0.32385684070512349</v>
      </c>
      <c r="S10" s="79">
        <v>0.37515442207937094</v>
      </c>
      <c r="T10" s="78">
        <v>1.419320754716981</v>
      </c>
      <c r="U10" s="15">
        <v>9.2018392262565404E-2</v>
      </c>
      <c r="V10" s="76">
        <v>0.52904635366009978</v>
      </c>
      <c r="W10" s="71">
        <v>0.44895877263060996</v>
      </c>
      <c r="X10" s="16" t="s">
        <v>340</v>
      </c>
      <c r="Y10" s="11" t="s">
        <v>341</v>
      </c>
      <c r="Z10" s="14">
        <v>46081</v>
      </c>
      <c r="AA10" s="16" t="s">
        <v>183</v>
      </c>
    </row>
    <row r="11" spans="1:27">
      <c r="B11" s="11" t="s">
        <v>382</v>
      </c>
      <c r="C11" s="11" t="s">
        <v>383</v>
      </c>
      <c r="D11" s="2">
        <v>7.55</v>
      </c>
      <c r="E11" s="12" t="s">
        <v>135</v>
      </c>
      <c r="F11" s="15">
        <v>4.258909089785054E-2</v>
      </c>
      <c r="G11" s="15">
        <f>F11 - Portfolio_Mgmt!$C$10</f>
        <v>-7.4810909102149464E-2</v>
      </c>
      <c r="H11" s="15">
        <f>F11 - Portfolio_Mgmt!$C$11</f>
        <v>8.0890908978505371E-3</v>
      </c>
      <c r="I11" s="15">
        <v>0</v>
      </c>
      <c r="J11" s="2">
        <v>4.0476647681399474</v>
      </c>
      <c r="K11" s="2">
        <v>7.7113225084207642</v>
      </c>
      <c r="L11" s="71">
        <v>6.9561608977513227</v>
      </c>
      <c r="M11" s="2">
        <v>5.0222745724316873</v>
      </c>
      <c r="N11" s="2">
        <v>6.1785733958029958</v>
      </c>
      <c r="O11" s="4">
        <v>4.1524617652702114E-2</v>
      </c>
      <c r="P11" s="4">
        <v>3.5761589403973511E-2</v>
      </c>
      <c r="Q11" s="4">
        <v>0.15129103990745271</v>
      </c>
      <c r="R11" s="4">
        <v>7.6740113341060609E-2</v>
      </c>
      <c r="S11" s="79">
        <v>1.1106245684847842</v>
      </c>
      <c r="T11" s="78">
        <v>1.775102743966247</v>
      </c>
      <c r="U11" s="15">
        <v>0.17709797868255178</v>
      </c>
      <c r="V11" s="76">
        <v>1.1002434563583587</v>
      </c>
      <c r="W11" s="71">
        <v>-0.16671611581654458</v>
      </c>
      <c r="X11" s="13" t="s">
        <v>171</v>
      </c>
      <c r="Y11" s="11" t="s">
        <v>349</v>
      </c>
      <c r="Z11" s="14">
        <v>46081</v>
      </c>
      <c r="AA11" s="16" t="s">
        <v>183</v>
      </c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4.1100000000000005E-2</v>
      </c>
      <c r="D4" s="34">
        <v>7.0000000000000007E-2</v>
      </c>
      <c r="E4" s="35">
        <f>D4-C4</f>
        <v>2.8900000000000002E-2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D16" sqref="D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0.67759180911075201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16.95</v>
      </c>
      <c r="E4" s="59" t="str">
        <f>VLOOKUP(B4,Opportunities!B$3:E$30,4,FALSE)</f>
        <v>HKD</v>
      </c>
      <c r="F4" s="57">
        <v>4500</v>
      </c>
      <c r="G4" s="61">
        <f>D4*F4</f>
        <v>76275</v>
      </c>
      <c r="H4" s="58">
        <f>G4/$G$9</f>
        <v>6.7567926694446806E-2</v>
      </c>
      <c r="I4" s="58">
        <f>VLOOKUP(B4,Opportunities!B$3:I$30,8,FALSE)</f>
        <v>2.4706816625409037E-2</v>
      </c>
      <c r="J4" s="81">
        <f>VLOOKUP(B4,Opportunities!B$3:N$30,12,FALSE)</f>
        <v>15.285762150856579</v>
      </c>
      <c r="K4" s="81">
        <f>VLOOKUP(B4,Opportunities!B$3:N$30,9,FALSE)</f>
        <v>12.276193796410992</v>
      </c>
      <c r="L4" s="81">
        <f>VLOOKUP(B4,Opportunities!B$3:N$30,11,FALSE)</f>
        <v>21.269035112228465</v>
      </c>
      <c r="M4" s="81">
        <f>VLOOKUP(B4,Opportunities!B$3:N$30,13,FALSE)</f>
        <v>18.861753302935451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20.46</v>
      </c>
      <c r="E5" s="59" t="str">
        <f>VLOOKUP(B5,Opportunities!B$3:E$30,4,FALSE)</f>
        <v>HKD</v>
      </c>
      <c r="F5" s="57">
        <v>8000</v>
      </c>
      <c r="G5" s="61">
        <f>D5*F5</f>
        <v>163680</v>
      </c>
      <c r="H5" s="58">
        <f>G5/$G$9</f>
        <v>0.1449953227315248</v>
      </c>
      <c r="I5" s="58">
        <f>VLOOKUP(B5,Opportunities!B$3:I$30,8,FALSE)</f>
        <v>0</v>
      </c>
      <c r="J5" s="81">
        <f>VLOOKUP(B5,Opportunities!B$3:N$30,12,FALSE)</f>
        <v>16.941168623964973</v>
      </c>
      <c r="K5" s="81">
        <f>VLOOKUP(B5,Opportunities!B$3:N$30,9,FALSE)</f>
        <v>13.706431681643116</v>
      </c>
      <c r="L5" s="81">
        <f>VLOOKUP(B5,Opportunities!B$3:N$30,11,FALSE)</f>
        <v>23.345724846846124</v>
      </c>
      <c r="M5" s="81">
        <f>VLOOKUP(B5,Opportunities!B$3:N$30,13,FALSE)</f>
        <v>20.772371915926055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</v>
      </c>
      <c r="E6" s="59" t="str">
        <f>VLOOKUP(B6,Opportunities!B$3:E$30,4,FALSE)</f>
        <v>HKD</v>
      </c>
      <c r="F6" s="57">
        <v>40000</v>
      </c>
      <c r="G6" s="61">
        <f>D6*F6</f>
        <v>124000</v>
      </c>
      <c r="H6" s="58">
        <f t="shared" ref="H6" si="0">G6/$G$9</f>
        <v>0.10984494146327635</v>
      </c>
      <c r="I6" s="58">
        <f>VLOOKUP(B6,Opportunities!B$3:I$30,8,FALSE)</f>
        <v>9.939613899803304E-2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4.22</v>
      </c>
      <c r="E7" s="59" t="str">
        <f>VLOOKUP(B7,Opportunities!B$3:E$30,4,FALSE)</f>
        <v>HKD</v>
      </c>
      <c r="F7" s="57">
        <v>12000</v>
      </c>
      <c r="G7" s="61">
        <f>D7*F7</f>
        <v>50640</v>
      </c>
      <c r="H7" s="58">
        <f t="shared" ref="H7" si="1">G7/$G$9</f>
        <v>4.4859256739518669E-2</v>
      </c>
      <c r="I7" s="58">
        <f>VLOOKUP(B7,Opportunities!B$3:I$30,8,FALSE)</f>
        <v>6.8414536319529484E-2</v>
      </c>
      <c r="J7" s="81">
        <f>VLOOKUP(B7,Opportunities!B$3:N$30,12,FALSE)</f>
        <v>4.1657472802642896</v>
      </c>
      <c r="K7" s="81">
        <f>VLOOKUP(B7,Opportunities!B$3:N$30,9,FALSE)</f>
        <v>3.3600524597516164</v>
      </c>
      <c r="L7" s="81">
        <f>VLOOKUP(B7,Opportunities!B$3:N$30,11,FALSE)</f>
        <v>5.7637443265594994</v>
      </c>
      <c r="M7" s="81">
        <f>VLOOKUP(B7,Opportunities!B$3:N$30,13,FALSE)</f>
        <v>5.1213063120807742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1128864</v>
      </c>
      <c r="H9" s="67">
        <f>SUM(H3:H6)</f>
        <v>1</v>
      </c>
      <c r="I9" s="73">
        <f>SUM(I3:I6)</f>
        <v>0.57410295562344205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16.95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2.4706816625409037E-2</v>
      </c>
      <c r="J12" s="81">
        <f>VLOOKUP(B12,Opportunities!B$3:N$30,12,FALSE)</f>
        <v>15.285762150856579</v>
      </c>
      <c r="K12" s="81">
        <f>VLOOKUP(B12,Opportunities!B$3:N$30,9,FALSE)</f>
        <v>12.276193796410992</v>
      </c>
      <c r="L12" s="81">
        <f>VLOOKUP(B12,Opportunities!B$3:N$30,11,FALSE)</f>
        <v>21.269035112228465</v>
      </c>
      <c r="M12" s="81">
        <f>VLOOKUP(B12,Opportunities!B$3:N$30,13,FALSE)</f>
        <v>18.861753302935451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20.46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16.941168623964973</v>
      </c>
      <c r="K13" s="81">
        <f>VLOOKUP(B13,Opportunities!B$3:N$30,9,FALSE)</f>
        <v>13.706431681643116</v>
      </c>
      <c r="L13" s="81">
        <f>VLOOKUP(B13,Opportunities!B$3:N$30,11,FALSE)</f>
        <v>23.345724846846124</v>
      </c>
      <c r="M13" s="81">
        <f>VLOOKUP(B13,Opportunities!B$3:N$30,13,FALSE)</f>
        <v>20.772371915926055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9.939613899803304E-2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4.22</v>
      </c>
      <c r="E15" s="59" t="str">
        <f>VLOOKUP(B15,Opportunities!B$3:E$30,4,FALSE)</f>
        <v>HKD</v>
      </c>
      <c r="F15" s="57">
        <v>8000</v>
      </c>
      <c r="G15" s="61">
        <f>-D15*F15</f>
        <v>-33760</v>
      </c>
      <c r="H15" s="58">
        <f>-G15/$G$9</f>
        <v>2.9906171159679112E-2</v>
      </c>
      <c r="I15" s="58">
        <f>VLOOKUP(B15,Opportunities!B$3:I$30,8,FALSE)</f>
        <v>6.8414536319529484E-2</v>
      </c>
      <c r="J15" s="81">
        <f>VLOOKUP(B15,Opportunities!B$3:N$30,12,FALSE)</f>
        <v>4.1657472802642896</v>
      </c>
      <c r="K15" s="81">
        <f>VLOOKUP(B15,Opportunities!B$3:N$30,9,FALSE)</f>
        <v>3.3600524597516164</v>
      </c>
      <c r="L15" s="81">
        <f>VLOOKUP(B15,Opportunities!B$3:N$30,11,FALSE)</f>
        <v>5.7637443265594994</v>
      </c>
      <c r="M15" s="81">
        <f>VLOOKUP(B15,Opportunities!B$3:N$30,13,FALSE)</f>
        <v>5.1213063120807742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7.21</v>
      </c>
      <c r="E16" s="59" t="str">
        <f>VLOOKUP(B16,Opportunities!B$3:E$30,4,FALSE)</f>
        <v>HKD</v>
      </c>
      <c r="F16" s="57">
        <v>8000</v>
      </c>
      <c r="G16" s="61">
        <f>-D16*F16</f>
        <v>-57680</v>
      </c>
      <c r="H16" s="58">
        <f>-G16/$G$9</f>
        <v>5.1095614706465967E-2</v>
      </c>
      <c r="I16" s="58">
        <f>VLOOKUP(B16,Opportunities!B$3:I$30,8,FALSE)</f>
        <v>6.0660774580110058E-2</v>
      </c>
      <c r="J16" s="81">
        <f>VLOOKUP(B16,Opportunities!B$3:N$30,12,FALSE)</f>
        <v>7.0132009545564769</v>
      </c>
      <c r="K16" s="81">
        <f>VLOOKUP(B16,Opportunities!B$3:N$30,9,FALSE)</f>
        <v>5.64212909900297</v>
      </c>
      <c r="L16" s="81">
        <f>VLOOKUP(B16,Opportunities!B$3:N$30,11,FALSE)</f>
        <v>9.7364579648602074</v>
      </c>
      <c r="M16" s="81">
        <f>VLOOKUP(B16,Opportunities!B$3:N$30,13,FALSE)</f>
        <v>8.6411266468673418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673469</v>
      </c>
      <c r="H18" s="73">
        <f t="shared" ref="H18" si="2">G18/$G$9</f>
        <v>0.59659002324460697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2025-11-04T01:08:06Z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