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F670EFD-5C70-4AFC-A053-C2111B3B4498}" xr6:coauthVersionLast="47" xr6:coauthVersionMax="47" xr10:uidLastSave="{00000000-0000-0000-0000-000000000000}"/>
  <bookViews>
    <workbookView xWindow="1103" yWindow="1103" windowWidth="12690" windowHeight="7642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<sst xmlns="http://schemas.openxmlformats.org/spreadsheetml/2006/main" count="467" uniqueCount="385">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</sst>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367</v>
      </c>
      <c r="C12" s="77">
        <v>7.2499999999999995E-2</v>
      </c>
    </row>
    <row r="13" spans="1:5">
      <c r="C13" s="4"/>
    </row>
    <row r="14" spans="1:5" ht="46.5" customHeight="1">
      <c r="B14" s="143" t="s">
        <v>368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366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362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374</v>
      </c>
    </row>
    <row r="45" spans="1:5">
      <c r="B45" s="43" t="s">
        <v>210</v>
      </c>
      <c r="C45" s="43" t="s">
        <v>363</v>
      </c>
      <c r="D45" s="43" t="s">
        <v>370</v>
      </c>
      <c r="E45" s="43" t="s">
        <v>369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371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7" sqref="B7:N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382</v>
      </c>
      <c r="C3" s="11" t="s">
        <v>383</v>
      </c>
      <c r="D3" s="2">
        <v>10.35</v>
      </c>
      <c r="E3" s="12" t="s">
        <v>135</v>
      </c>
      <c r="F3" s="15">
        <v>0.23484614211405236</v>
      </c>
      <c r="G3" s="15">
        <f>F3 - Portfolio_Mgmt!$C$10</f>
        <v>0.11744614211405235</v>
      </c>
      <c r="H3" s="15">
        <f>F3 - Portfolio_Mgmt!$C$11</f>
        <v>0.20034614211405236</v>
      </c>
      <c r="I3" s="15">
        <v>0.10936188637408271</v>
      </c>
      <c r="J3" s="2">
        <v>9.0394613102739001</v>
      </c>
      <c r="K3" s="2">
        <v>17.224562958216211</v>
      </c>
      <c r="L3" s="71">
        <v>15.535362848536284</v>
      </c>
      <c r="M3" s="2">
        <v>11.216166014521832</v>
      </c>
      <c r="N3" s="2">
        <v>13.798672470944149</v>
      </c>
      <c r="O3" s="4">
        <v>9.691937073038924E-2</v>
      </c>
      <c r="P3" s="4">
        <v>5.8180305135975718E-2</v>
      </c>
      <c r="Q3" s="4">
        <v>0.10095709903945535</v>
      </c>
      <c r="R3" s="4">
        <v>0.12639695118316485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1.740050753720191</v>
      </c>
      <c r="X3" s="13" t="s">
        <v>384</v>
      </c>
      <c r="Y3" s="11" t="s">
        <v>332</v>
      </c>
      <c r="Z3" s="14">
        <v>46173</v>
      </c>
      <c r="AA3" s="16" t="s">
        <v>333</v>
      </c>
    </row>
    <row r="4" spans="1:27">
      <c r="B4" s="11" t="s">
        <v>330</v>
      </c>
      <c r="C4" s="11" t="s">
        <v>331</v>
      </c>
      <c r="D4" s="2">
        <v>4</v>
      </c>
      <c r="E4" s="12" t="s">
        <v>135</v>
      </c>
      <c r="F4" s="15">
        <v>0.22595560637846157</v>
      </c>
      <c r="G4" s="15">
        <f>F4 - Portfolio_Mgmt!$C$10</f>
        <v>0.10855560637846157</v>
      </c>
      <c r="H4" s="15">
        <f>F4 - Portfolio_Mgmt!$C$11</f>
        <v>0.19145560637846157</v>
      </c>
      <c r="I4" s="15">
        <v>0.10142412377948901</v>
      </c>
      <c r="J4" s="2">
        <v>3.4233938193780693</v>
      </c>
      <c r="K4" s="2">
        <v>6.4686304869559725</v>
      </c>
      <c r="L4" s="71">
        <v>5.8751622891415645</v>
      </c>
      <c r="M4" s="2">
        <v>4.2451412155072665</v>
      </c>
      <c r="N4" s="2">
        <v>5.2198255659500621</v>
      </c>
      <c r="O4" s="4">
        <v>0.10959178539271028</v>
      </c>
      <c r="P4" s="4">
        <v>6.0449999999999997E-2</v>
      </c>
      <c r="Q4" s="4">
        <v>0.17911384235321903</v>
      </c>
      <c r="R4" s="4">
        <v>0.23440332981639811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1.2671653831546903</v>
      </c>
      <c r="X4" s="13" t="s">
        <v>170</v>
      </c>
      <c r="Y4" s="11" t="s">
        <v>340</v>
      </c>
      <c r="Z4" s="14">
        <v>46081</v>
      </c>
      <c r="AA4" s="16" t="s">
        <v>333</v>
      </c>
    </row>
    <row r="5" spans="1:27">
      <c r="B5" s="11" t="s">
        <v>341</v>
      </c>
      <c r="C5" s="11" t="s">
        <v>342</v>
      </c>
      <c r="D5" s="2">
        <v>7.28</v>
      </c>
      <c r="E5" s="12" t="s">
        <v>135</v>
      </c>
      <c r="F5" s="15">
        <v>0.19417291433102779</v>
      </c>
      <c r="G5" s="15">
        <f>F5 - Portfolio_Mgmt!$C$10</f>
        <v>7.6772914331027786E-2</v>
      </c>
      <c r="H5" s="15">
        <f>F5 - Portfolio_Mgmt!$C$11</f>
        <v>0.15967291433102779</v>
      </c>
      <c r="I5" s="15">
        <v>6.6947931070321542E-2</v>
      </c>
      <c r="J5" s="2">
        <v>5.7643199151733473</v>
      </c>
      <c r="K5" s="2">
        <v>11.250075380480029</v>
      </c>
      <c r="L5" s="71">
        <v>9.9473090801985773</v>
      </c>
      <c r="M5" s="2">
        <v>7.165081753064106</v>
      </c>
      <c r="N5" s="2">
        <v>8.8282591784064248</v>
      </c>
      <c r="O5" s="4">
        <v>9.6359123266841262E-2</v>
      </c>
      <c r="P5" s="4">
        <v>4.3535730940039076E-2</v>
      </c>
      <c r="Q5" s="4">
        <v>0.17171977119456008</v>
      </c>
      <c r="R5" s="4">
        <v>8.3606044091540044E-2</v>
      </c>
      <c r="S5" s="79">
        <v>1.3282158707615834</v>
      </c>
      <c r="T5" s="78">
        <v>1.5463719418456539</v>
      </c>
      <c r="U5" s="15">
        <v>0.22428295339746124</v>
      </c>
      <c r="V5" s="76">
        <v>1.2715557492373779</v>
      </c>
      <c r="W5" s="71">
        <v>-2.9428240667983738</v>
      </c>
      <c r="X5" s="13" t="s">
        <v>343</v>
      </c>
      <c r="Y5" s="11" t="s">
        <v>332</v>
      </c>
      <c r="Z5" s="14">
        <v>46081</v>
      </c>
      <c r="AA5" s="16" t="s">
        <v>333</v>
      </c>
    </row>
    <row r="6" spans="1:27">
      <c r="B6" s="11" t="s">
        <v>328</v>
      </c>
      <c r="C6" s="11" t="s">
        <v>329</v>
      </c>
      <c r="D6" s="2">
        <v>4.99</v>
      </c>
      <c r="E6" s="12" t="s">
        <v>135</v>
      </c>
      <c r="F6" s="15">
        <v>0.18088012681616028</v>
      </c>
      <c r="G6" s="15">
        <f>F6 - Portfolio_Mgmt!$C$10</f>
        <v>6.3480126816160276E-2</v>
      </c>
      <c r="H6" s="15">
        <f>F6 - Portfolio_Mgmt!$C$11</f>
        <v>0.14638012681616028</v>
      </c>
      <c r="I6" s="15">
        <v>9.7711565661189673E-2</v>
      </c>
      <c r="J6" s="2">
        <v>3.8413432749614111</v>
      </c>
      <c r="K6" s="2">
        <v>7.1444815306185729</v>
      </c>
      <c r="L6" s="71">
        <v>6.5750492730557024</v>
      </c>
      <c r="M6" s="2">
        <v>4.757977519556075</v>
      </c>
      <c r="N6" s="2">
        <v>5.8446623275547616</v>
      </c>
      <c r="O6" s="4">
        <v>8.2969659084317526E-2</v>
      </c>
      <c r="P6" s="4">
        <v>6.0120240480961928E-2</v>
      </c>
      <c r="Q6" s="4">
        <v>0.1219703636183504</v>
      </c>
      <c r="R6" s="4">
        <v>3.7674664923977114E-2</v>
      </c>
      <c r="S6" s="79">
        <v>1.4798367611150316</v>
      </c>
      <c r="T6" s="78">
        <v>2.187716833659914</v>
      </c>
      <c r="U6" s="15">
        <v>0.76701287002940366</v>
      </c>
      <c r="V6" s="76">
        <v>5.0100833509211817</v>
      </c>
      <c r="W6" s="71">
        <v>-2.4800067209187837</v>
      </c>
      <c r="X6" s="13" t="s">
        <v>170</v>
      </c>
      <c r="Y6" s="11" t="s">
        <v>332</v>
      </c>
      <c r="Z6" s="14">
        <v>46173</v>
      </c>
      <c r="AA6" s="16" t="s">
        <v>182</v>
      </c>
    </row>
    <row r="7" spans="1:27">
      <c r="B7" s="11" t="s">
        <v>345</v>
      </c>
      <c r="C7" s="11" t="s">
        <v>346</v>
      </c>
      <c r="D7" s="2">
        <v>101</v>
      </c>
      <c r="E7" s="12" t="s">
        <v>135</v>
      </c>
      <c r="F7" s="15">
        <v>0.15400601067108116</v>
      </c>
      <c r="G7" s="15">
        <f>F7 - Portfolio_Mgmt!$C$10</f>
        <v>3.6606010671081157E-2</v>
      </c>
      <c r="H7" s="15">
        <f>F7 - Portfolio_Mgmt!$C$11</f>
        <v>0.11950601067108116</v>
      </c>
      <c r="I7" s="15">
        <v>2.5644822894086987E-3</v>
      </c>
      <c r="J7" s="2">
        <v>71.529609236040599</v>
      </c>
      <c r="K7" s="2">
        <v>155.21925204220807</v>
      </c>
      <c r="L7" s="71">
        <v>125.82115970309238</v>
      </c>
      <c r="M7" s="2">
        <v>89.657329699470395</v>
      </c>
      <c r="N7" s="2">
        <v>111.25501209723676</v>
      </c>
      <c r="O7" s="4">
        <v>2.4160451776581323E-2</v>
      </c>
      <c r="P7" s="4">
        <v>0</v>
      </c>
      <c r="Q7" s="4">
        <v>0.14667015235144401</v>
      </c>
      <c r="R7" s="4">
        <v>8.0069983114389093E-2</v>
      </c>
      <c r="S7" s="79">
        <v>1.022390799101176</v>
      </c>
      <c r="T7" s="78">
        <v>1.7916578376478161</v>
      </c>
      <c r="U7" s="15">
        <v>0.27660377540313014</v>
      </c>
      <c r="V7" s="76">
        <v>1.7116972700897226</v>
      </c>
      <c r="W7" s="71">
        <v>3.5539699756079117</v>
      </c>
      <c r="X7" s="13" t="s">
        <v>347</v>
      </c>
      <c r="Y7" s="11" t="s">
        <v>348</v>
      </c>
      <c r="Z7" s="14">
        <v>46081</v>
      </c>
      <c r="AA7" s="16" t="s">
        <v>333</v>
      </c>
    </row>
    <row r="8" spans="1:27">
      <c r="B8" s="11" t="s">
        <v>184</v>
      </c>
      <c r="C8" s="11" t="s">
        <v>334</v>
      </c>
      <c r="D8" s="2">
        <v>3.22</v>
      </c>
      <c r="E8" s="12" t="s">
        <v>135</v>
      </c>
      <c r="F8" s="15">
        <v>0.15335939188868516</v>
      </c>
      <c r="G8" s="15">
        <f>F8 - Portfolio_Mgmt!$C$10</f>
        <v>3.595939188868516E-2</v>
      </c>
      <c r="H8" s="15">
        <f>F8 - Portfolio_Mgmt!$C$11</f>
        <v>0.11885939188868516</v>
      </c>
      <c r="I8" s="15">
        <v>2.4956803104711519E-3</v>
      </c>
      <c r="J8" s="2">
        <v>2.3372346420267727</v>
      </c>
      <c r="K8" s="2">
        <v>3.9996891347551768</v>
      </c>
      <c r="L8" s="71">
        <v>3.9475005072198974</v>
      </c>
      <c r="M8" s="2">
        <v>2.87837081868983</v>
      </c>
      <c r="N8" s="2">
        <v>3.5182216001675917</v>
      </c>
      <c r="O8" s="4">
        <v>6.2683894501926629E-2</v>
      </c>
      <c r="P8" s="4">
        <v>8.3850931677018639E-2</v>
      </c>
      <c r="Q8" s="4">
        <v>9.4872184280479305E-2</v>
      </c>
      <c r="R8" s="4">
        <v>0.41717445526566538</v>
      </c>
      <c r="S8" s="79">
        <v>0.18730590235499223</v>
      </c>
      <c r="T8" s="78">
        <v>1.2141426890285656</v>
      </c>
      <c r="U8" s="15">
        <v>2.3107986944995245E-3</v>
      </c>
      <c r="V8" s="76">
        <v>2.4486769298072242E-2</v>
      </c>
      <c r="W8" s="71">
        <v>0.79833937207218564</v>
      </c>
      <c r="X8" s="13" t="s">
        <v>335</v>
      </c>
      <c r="Y8" s="11" t="s">
        <v>340</v>
      </c>
      <c r="Z8" s="14">
        <v>46081</v>
      </c>
      <c r="AA8" s="16" t="s">
        <v>182</v>
      </c>
    </row>
    <row r="9" spans="1:27">
      <c r="B9" s="11" t="s">
        <v>377</v>
      </c>
      <c r="C9" s="11" t="s">
        <v>378</v>
      </c>
      <c r="D9" s="2">
        <v>0.49</v>
      </c>
      <c r="E9" s="12" t="s">
        <v>135</v>
      </c>
      <c r="F9" s="15">
        <v>0.14969730456978969</v>
      </c>
      <c r="G9" s="15">
        <f>F9 - Portfolio_Mgmt!$C$10</f>
        <v>3.2297304569789687E-2</v>
      </c>
      <c r="H9" s="15">
        <f>F9 - Portfolio_Mgmt!$C$11</f>
        <v>0.11519730456978969</v>
      </c>
      <c r="I9" s="15">
        <v>0</v>
      </c>
      <c r="J9" s="2">
        <v>0.34936447640204732</v>
      </c>
      <c r="K9" s="2">
        <v>0.65090990994815057</v>
      </c>
      <c r="L9" s="71">
        <v>0.5981635241012494</v>
      </c>
      <c r="M9" s="2">
        <v>0.43278494986761579</v>
      </c>
      <c r="N9" s="2">
        <v>0.53168672727200972</v>
      </c>
      <c r="O9" s="4">
        <v>0.10957270624930487</v>
      </c>
      <c r="P9" s="4">
        <v>5.5102040816326532E-2</v>
      </c>
      <c r="Q9" s="4">
        <v>3.931859133292645E-2</v>
      </c>
      <c r="R9" s="4">
        <v>1.9127481481925439E-2</v>
      </c>
      <c r="S9" s="79">
        <v>1.4656521003611329</v>
      </c>
      <c r="T9" s="78">
        <v>1.4025206525126881</v>
      </c>
      <c r="U9" s="15">
        <v>0.16239287772638675</v>
      </c>
      <c r="V9" s="76">
        <v>3.5496550732945478</v>
      </c>
      <c r="W9" s="71">
        <v>0.59191222724293091</v>
      </c>
      <c r="X9" s="13" t="s">
        <v>379</v>
      </c>
      <c r="Y9" s="11" t="s">
        <v>340</v>
      </c>
      <c r="Z9" s="14">
        <v>46081</v>
      </c>
      <c r="AA9" s="16" t="s">
        <v>333</v>
      </c>
    </row>
    <row r="10" spans="1:27">
      <c r="B10" s="11" t="s">
        <v>171</v>
      </c>
      <c r="C10" s="11" t="s">
        <v>338</v>
      </c>
      <c r="D10" s="2">
        <v>20.68</v>
      </c>
      <c r="E10" s="12" t="s">
        <v>135</v>
      </c>
      <c r="F10" s="15">
        <v>0.12639964832844097</v>
      </c>
      <c r="G10" s="15">
        <f>F10 - Portfolio_Mgmt!$C$10</f>
        <v>8.9996483284409678E-3</v>
      </c>
      <c r="H10" s="15">
        <f>F10 - Portfolio_Mgmt!$C$11</f>
        <v>9.1899648328440969E-2</v>
      </c>
      <c r="I10" s="15">
        <v>0</v>
      </c>
      <c r="J10" s="2">
        <v>13.953944965104789</v>
      </c>
      <c r="K10" s="2">
        <v>25.276880394877097</v>
      </c>
      <c r="L10" s="71">
        <v>23.781102709240159</v>
      </c>
      <c r="M10" s="2">
        <v>17.251409100563865</v>
      </c>
      <c r="N10" s="2">
        <v>21.157346664702967</v>
      </c>
      <c r="O10" s="4">
        <v>0.11539343119081547</v>
      </c>
      <c r="P10" s="4">
        <v>6.09284332688588E-2</v>
      </c>
      <c r="Q10" s="4">
        <v>0.17244225698759846</v>
      </c>
      <c r="R10" s="4">
        <v>0.32385684070512349</v>
      </c>
      <c r="S10" s="79">
        <v>0.37515442207937094</v>
      </c>
      <c r="T10" s="78">
        <v>1.419320754716981</v>
      </c>
      <c r="U10" s="15">
        <v>9.2018392262565404E-2</v>
      </c>
      <c r="V10" s="76">
        <v>0.52904635366009978</v>
      </c>
      <c r="W10" s="71">
        <v>0.45870572703084123</v>
      </c>
      <c r="X10" s="16" t="s">
        <v>339</v>
      </c>
      <c r="Y10" s="11" t="s">
        <v>340</v>
      </c>
      <c r="Z10" s="14">
        <v>46081</v>
      </c>
      <c r="AA10" s="16" t="s">
        <v>182</v>
      </c>
    </row>
    <row r="11" spans="1:27">
      <c r="B11" s="11" t="s">
        <v>158</v>
      </c>
      <c r="C11" s="11" t="s">
        <v>336</v>
      </c>
      <c r="D11" s="2">
        <v>19.52</v>
      </c>
      <c r="E11" s="12" t="s">
        <v>135</v>
      </c>
      <c r="F11" s="15">
        <v>0.11145155720603839</v>
      </c>
      <c r="G11" s="15">
        <f>F11 - Portfolio_Mgmt!$C$10</f>
        <v>-5.9484427939616169E-3</v>
      </c>
      <c r="H11" s="15">
        <f>F11 - Portfolio_Mgmt!$C$11</f>
        <v>7.6951557206038385E-2</v>
      </c>
      <c r="I11" s="15">
        <v>0</v>
      </c>
      <c r="J11" s="2">
        <v>12.501506802892118</v>
      </c>
      <c r="K11" s="2">
        <v>25.045887874858067</v>
      </c>
      <c r="L11" s="71">
        <v>21.672266011484108</v>
      </c>
      <c r="M11" s="2">
        <v>15.570334652493573</v>
      </c>
      <c r="N11" s="2">
        <v>19.217133887564007</v>
      </c>
      <c r="O11" s="4">
        <v>4.99365779713958E-2</v>
      </c>
      <c r="P11" s="4">
        <v>2.6866120975585727E-2</v>
      </c>
      <c r="Q11" s="4">
        <v>0.11088550811770743</v>
      </c>
      <c r="R11" s="4">
        <v>0.11515031603592779</v>
      </c>
      <c r="S11" s="79">
        <v>0.71131521233544359</v>
      </c>
      <c r="T11" s="78">
        <v>1.3537783359692717</v>
      </c>
      <c r="U11" s="15">
        <v>6.5417684980282262E-2</v>
      </c>
      <c r="V11" s="76">
        <v>0.5742845428370501</v>
      </c>
      <c r="W11" s="71">
        <v>5.5622775284944632</v>
      </c>
      <c r="X11" s="13" t="s">
        <v>337</v>
      </c>
      <c r="Y11" s="11" t="s">
        <v>332</v>
      </c>
      <c r="Z11" s="14">
        <v>46081</v>
      </c>
      <c r="AA11" s="16" t="s">
        <v>182</v>
      </c>
    </row>
    <row r="12" spans="1:27">
      <c r="B12" s="11" t="s">
        <v>380</v>
      </c>
      <c r="C12" s="11" t="s">
        <v>381</v>
      </c>
      <c r="D12" s="2">
        <v>6.42</v>
      </c>
      <c r="E12" s="12" t="s">
        <v>135</v>
      </c>
      <c r="F12" s="15">
        <v>0.10266720101005881</v>
      </c>
      <c r="G12" s="15">
        <f>F12 - Portfolio_Mgmt!$C$10</f>
        <v>-1.473279898994119E-2</v>
      </c>
      <c r="H12" s="15">
        <f>F12 - Portfolio_Mgmt!$C$11</f>
        <v>6.8167201010058812E-2</v>
      </c>
      <c r="I12" s="15">
        <v>0</v>
      </c>
      <c r="J12" s="2">
        <v>4.0476647681399474</v>
      </c>
      <c r="K12" s="2">
        <v>7.7113225084207642</v>
      </c>
      <c r="L12" s="71">
        <v>6.9561608977513227</v>
      </c>
      <c r="M12" s="2">
        <v>5.0222745724316873</v>
      </c>
      <c r="N12" s="2">
        <v>6.1785733958029958</v>
      </c>
      <c r="O12" s="4">
        <v>4.8833467800296099E-2</v>
      </c>
      <c r="P12" s="4">
        <v>4.2056074766355145E-2</v>
      </c>
      <c r="Q12" s="4">
        <v>0.15129103990745271</v>
      </c>
      <c r="R12" s="4">
        <v>7.6740113341060609E-2</v>
      </c>
      <c r="S12" s="79">
        <v>1.1106245684847842</v>
      </c>
      <c r="T12" s="78">
        <v>1.775102743966247</v>
      </c>
      <c r="U12" s="15">
        <v>0.17709797868255178</v>
      </c>
      <c r="V12" s="76">
        <v>1.1002434563583587</v>
      </c>
      <c r="W12" s="71">
        <v>-0.16671611581654458</v>
      </c>
      <c r="X12" s="13" t="s">
        <v>170</v>
      </c>
      <c r="Y12" s="11" t="s">
        <v>348</v>
      </c>
      <c r="Z12" s="14">
        <v>46081</v>
      </c>
      <c r="AA12" s="16" t="s">
        <v>182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365</v>
      </c>
    </row>
    <row r="3" spans="1:4">
      <c r="B3" s="120" t="s">
        <v>372</v>
      </c>
    </row>
    <row r="5" spans="1:4">
      <c r="A5" s="121" t="s">
        <v>349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358</v>
      </c>
    </row>
    <row r="9" spans="1:4">
      <c r="B9" s="127" t="s">
        <v>364</v>
      </c>
      <c r="C9" s="128">
        <f>1-C8</f>
        <v>0.4</v>
      </c>
    </row>
    <row r="10" spans="1:4">
      <c r="B10" s="127" t="s">
        <v>362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359</v>
      </c>
      <c r="C13" s="153"/>
      <c r="D13" s="153"/>
    </row>
    <row r="14" spans="1:4">
      <c r="B14" s="154" t="s">
        <v>360</v>
      </c>
      <c r="C14" s="155"/>
      <c r="D14" s="155"/>
    </row>
    <row r="16" spans="1:4">
      <c r="A16" s="121" t="s">
        <v>206</v>
      </c>
      <c r="B16" s="122" t="s">
        <v>350</v>
      </c>
    </row>
    <row r="17" spans="1:5">
      <c r="B17" s="123" t="s">
        <v>352</v>
      </c>
      <c r="C17" s="123" t="s">
        <v>363</v>
      </c>
      <c r="D17" s="123" t="s">
        <v>370</v>
      </c>
      <c r="E17" s="123" t="s">
        <v>361</v>
      </c>
    </row>
    <row r="18" spans="1:5">
      <c r="B18" s="127" t="s">
        <v>353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354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351</v>
      </c>
    </row>
    <row r="22" spans="1:5">
      <c r="B22" s="123" t="s">
        <v>357</v>
      </c>
      <c r="C22" s="123" t="s">
        <v>373</v>
      </c>
      <c r="D22" s="123" t="s">
        <v>215</v>
      </c>
    </row>
    <row r="23" spans="1:5">
      <c r="B23" s="127" t="s">
        <v>355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356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6.7500000000000004E-2</v>
      </c>
      <c r="E4" s="35">
        <f>D4-C4</f>
        <v>2.5700000000000008E-2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375</v>
      </c>
    </row>
    <row r="35" spans="1:5" ht="223.15" customHeight="1">
      <c r="B35" s="156" t="s">
        <v>376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344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0.60429045284705107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19.52</v>
      </c>
      <c r="E4" s="59" t="str">
        <f>VLOOKUP(B4,Opportunities!B$3:E$30,4,FALSE)</f>
        <v>HKD</v>
      </c>
      <c r="F4" s="57">
        <v>4500</v>
      </c>
      <c r="G4" s="61">
        <f t="shared" ref="G4:G10" si="1">D4*F4</f>
        <v>87840</v>
      </c>
      <c r="H4" s="58">
        <f t="shared" si="0"/>
        <v>7.2822959129109036E-2</v>
      </c>
      <c r="I4" s="58">
        <f>VLOOKUP(B4,Opportunities!B$3:I$30,8,FALSE)</f>
        <v>0</v>
      </c>
      <c r="J4" s="81">
        <f>VLOOKUP(B4,Opportunities!B$3:N$30,12,FALSE)</f>
        <v>15.570334652493573</v>
      </c>
      <c r="K4" s="81">
        <f>VLOOKUP(B4,Opportunities!B$3:N$30,9,FALSE)</f>
        <v>12.501506802892118</v>
      </c>
      <c r="L4" s="81">
        <f>VLOOKUP(B4,Opportunities!B$3:N$30,11,FALSE)</f>
        <v>21.672266011484108</v>
      </c>
      <c r="M4" s="81">
        <f>VLOOKUP(B4,Opportunities!B$3:N$30,13,FALSE)</f>
        <v>19.217133887564007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20.68</v>
      </c>
      <c r="E5" s="59" t="str">
        <f>VLOOKUP(B5,Opportunities!B$3:E$30,4,FALSE)</f>
        <v>HKD</v>
      </c>
      <c r="F5" s="57">
        <v>4000</v>
      </c>
      <c r="G5" s="61">
        <f t="shared" si="1"/>
        <v>82720</v>
      </c>
      <c r="H5" s="58">
        <f t="shared" si="0"/>
        <v>6.8578269343805773E-2</v>
      </c>
      <c r="I5" s="58">
        <f>VLOOKUP(B5,Opportunities!B$3:I$30,8,FALSE)</f>
        <v>0</v>
      </c>
      <c r="J5" s="81">
        <f>VLOOKUP(B5,Opportunities!B$3:N$30,12,FALSE)</f>
        <v>17.251409100563865</v>
      </c>
      <c r="K5" s="81">
        <f>VLOOKUP(B5,Opportunities!B$3:N$30,9,FALSE)</f>
        <v>13.953944965104789</v>
      </c>
      <c r="L5" s="81">
        <f>VLOOKUP(B5,Opportunities!B$3:N$30,11,FALSE)</f>
        <v>23.781102709240159</v>
      </c>
      <c r="M5" s="81">
        <f>VLOOKUP(B5,Opportunities!B$3:N$30,13,FALSE)</f>
        <v>21.157346664702967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3.22</v>
      </c>
      <c r="E6" s="59" t="str">
        <f>VLOOKUP(B6,Opportunities!B$3:E$30,4,FALSE)</f>
        <v>HKD</v>
      </c>
      <c r="F6" s="57">
        <v>40000</v>
      </c>
      <c r="G6" s="61">
        <f t="shared" si="1"/>
        <v>128800.00000000001</v>
      </c>
      <c r="H6" s="58">
        <f t="shared" si="0"/>
        <v>0.10678047741153512</v>
      </c>
      <c r="I6" s="58">
        <f>VLOOKUP(B6,Opportunities!B$3:I$30,8,FALSE)</f>
        <v>2.4956803104711519E-3</v>
      </c>
      <c r="J6" s="81">
        <f>VLOOKUP(B6,Opportunities!B$3:N$30,12,FALSE)</f>
        <v>2.87837081868983</v>
      </c>
      <c r="K6" s="81">
        <f>VLOOKUP(B6,Opportunities!B$3:N$30,9,FALSE)</f>
        <v>2.3372346420267727</v>
      </c>
      <c r="L6" s="81">
        <f>VLOOKUP(B6,Opportunities!B$3:N$30,11,FALSE)</f>
        <v>3.9475005072198974</v>
      </c>
      <c r="M6" s="81">
        <f>VLOOKUP(B6,Opportunities!B$3:N$30,13,FALSE)</f>
        <v>3.5182216001675917</v>
      </c>
    </row>
    <row r="7" spans="1:13">
      <c r="B7" s="63" t="s">
        <v>341</v>
      </c>
      <c r="C7" s="62" t="str">
        <f>VLOOKUP(B7,Opportunities!B$3:E$30,2,FALSE)</f>
        <v>昆仑能源</v>
      </c>
      <c r="D7" s="60">
        <f>VLOOKUP(B7,Opportunities!B$3:E$30,3,FALSE)</f>
        <v>7.28</v>
      </c>
      <c r="E7" s="59" t="str">
        <f>VLOOKUP(B7,Opportunities!B$3:E$30,4,FALSE)</f>
        <v>HKD</v>
      </c>
      <c r="F7" s="57">
        <v>8000</v>
      </c>
      <c r="G7" s="61">
        <f t="shared" si="1"/>
        <v>58240</v>
      </c>
      <c r="H7" s="58">
        <f t="shared" si="0"/>
        <v>4.8283346307824569E-2</v>
      </c>
      <c r="I7" s="58">
        <f>VLOOKUP(B7,Opportunities!B$3:I$30,8,FALSE)</f>
        <v>6.6947931070321542E-2</v>
      </c>
      <c r="J7" s="81">
        <f>VLOOKUP(B7,Opportunities!B$3:N$30,12,FALSE)</f>
        <v>7.165081753064106</v>
      </c>
      <c r="K7" s="81">
        <f>VLOOKUP(B7,Opportunities!B$3:N$30,9,FALSE)</f>
        <v>5.7643199151733473</v>
      </c>
      <c r="L7" s="81">
        <f>VLOOKUP(B7,Opportunities!B$3:N$30,11,FALSE)</f>
        <v>9.9473090801985773</v>
      </c>
      <c r="M7" s="81">
        <f>VLOOKUP(B7,Opportunities!B$3:N$30,13,FALSE)</f>
        <v>8.8282591784064248</v>
      </c>
    </row>
    <row r="8" spans="1:13">
      <c r="B8" s="63" t="s">
        <v>382</v>
      </c>
      <c r="C8" s="62" t="str">
        <f>VLOOKUP(B8,Opportunities!B$3:E$30,2,FALSE)</f>
        <v>新华文轩</v>
      </c>
      <c r="D8" s="60">
        <f>VLOOKUP(B8,Opportunities!B$3:E$30,3,FALSE)</f>
        <v>10.35</v>
      </c>
      <c r="E8" s="59" t="str">
        <f>VLOOKUP(B8,Opportunities!B$3:E$30,4,FALSE)</f>
        <v>HKD</v>
      </c>
      <c r="F8" s="57">
        <v>5000</v>
      </c>
      <c r="G8" s="61">
        <f t="shared" si="1"/>
        <v>51750</v>
      </c>
      <c r="H8" s="58">
        <f t="shared" si="0"/>
        <v>4.2902870388563212E-2</v>
      </c>
      <c r="I8" s="58">
        <f>VLOOKUP(B8,Opportunities!B$3:I$30,8,FALSE)</f>
        <v>0.10936188637408271</v>
      </c>
      <c r="J8" s="81">
        <f>VLOOKUP(B8,Opportunities!B$3:N$30,12,FALSE)</f>
        <v>11.216166014521832</v>
      </c>
      <c r="K8" s="81">
        <f>VLOOKUP(B8,Opportunities!B$3:N$30,9,FALSE)</f>
        <v>9.0394613102739001</v>
      </c>
      <c r="L8" s="81">
        <f>VLOOKUP(B8,Opportunities!B$3:N$30,11,FALSE)</f>
        <v>15.535362848536284</v>
      </c>
      <c r="M8" s="81">
        <f>VLOOKUP(B8,Opportunities!B$3:N$30,13,FALSE)</f>
        <v>13.798672470944149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4.99</v>
      </c>
      <c r="E9" s="59" t="str">
        <f>VLOOKUP(B9,Opportunities!B$3:E$30,4,FALSE)</f>
        <v>HKD</v>
      </c>
      <c r="F9" s="57">
        <v>4000</v>
      </c>
      <c r="G9" s="61">
        <f t="shared" si="1"/>
        <v>19960</v>
      </c>
      <c r="H9" s="58">
        <f t="shared" si="0"/>
        <v>1.6547657834893172E-2</v>
      </c>
      <c r="I9" s="58">
        <f>VLOOKUP(B9,Opportunities!B$3:I$30,8,FALSE)</f>
        <v>9.7711565661189673E-2</v>
      </c>
      <c r="J9" s="81">
        <f>VLOOKUP(B9,Opportunities!B$3:N$30,12,FALSE)</f>
        <v>4.757977519556075</v>
      </c>
      <c r="K9" s="81">
        <f>VLOOKUP(B9,Opportunities!B$3:N$30,9,FALSE)</f>
        <v>3.8413432749614111</v>
      </c>
      <c r="L9" s="81">
        <f>VLOOKUP(B9,Opportunities!B$3:N$30,11,FALSE)</f>
        <v>6.5750492730557024</v>
      </c>
      <c r="M9" s="81">
        <f>VLOOKUP(B9,Opportunities!B$3:N$30,13,FALSE)</f>
        <v>5.8446623275547616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4</v>
      </c>
      <c r="E10" s="59" t="str">
        <f>VLOOKUP(B10,Opportunities!B$3:E$30,4,FALSE)</f>
        <v>HKD</v>
      </c>
      <c r="F10" s="57">
        <v>12000</v>
      </c>
      <c r="G10" s="61">
        <f t="shared" si="1"/>
        <v>48000</v>
      </c>
      <c r="H10" s="58">
        <f t="shared" ref="H10" si="2">G10/$G$12</f>
        <v>3.9793966737218051E-2</v>
      </c>
      <c r="I10" s="58">
        <f>VLOOKUP(B10,Opportunities!B$3:I$30,8,FALSE)</f>
        <v>0.10142412377948901</v>
      </c>
      <c r="J10" s="81">
        <f>VLOOKUP(B10,Opportunities!B$3:N$30,12,FALSE)</f>
        <v>4.2451412155072665</v>
      </c>
      <c r="K10" s="81">
        <f>VLOOKUP(B10,Opportunities!B$3:N$30,9,FALSE)</f>
        <v>3.4233938193780693</v>
      </c>
      <c r="L10" s="81">
        <f>VLOOKUP(B10,Opportunities!B$3:N$30,11,FALSE)</f>
        <v>5.8751622891415645</v>
      </c>
      <c r="M10" s="81">
        <f>VLOOKUP(B10,Opportunities!B$3:N$30,13,FALSE)</f>
        <v>5.2198255659500621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1206213</v>
      </c>
      <c r="H12" s="67">
        <f>SUM(H3:H10)</f>
        <v>1</v>
      </c>
      <c r="I12" s="73">
        <f>SUM(I3:I10)</f>
        <v>0.82794118719555421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19.52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15.570334652493573</v>
      </c>
      <c r="K15" s="81">
        <f>VLOOKUP(B15,Opportunities!B$3:N$30,9,FALSE)</f>
        <v>12.501506802892118</v>
      </c>
      <c r="L15" s="81">
        <f>VLOOKUP(B15,Opportunities!B$3:N$30,11,FALSE)</f>
        <v>21.672266011484108</v>
      </c>
      <c r="M15" s="81">
        <f>VLOOKUP(B15,Opportunities!B$3:N$30,13,FALSE)</f>
        <v>19.217133887564007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20.68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17.251409100563865</v>
      </c>
      <c r="K16" s="81">
        <f>VLOOKUP(B16,Opportunities!B$3:N$30,9,FALSE)</f>
        <v>13.953944965104789</v>
      </c>
      <c r="L16" s="81">
        <f>VLOOKUP(B16,Opportunities!B$3:N$30,11,FALSE)</f>
        <v>23.781102709240159</v>
      </c>
      <c r="M16" s="81">
        <f>VLOOKUP(B16,Opportunities!B$3:N$30,13,FALSE)</f>
        <v>21.157346664702967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3.22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2.4956803104711519E-3</v>
      </c>
      <c r="J17" s="81">
        <f>VLOOKUP(B17,Opportunities!B$3:N$30,12,FALSE)</f>
        <v>2.87837081868983</v>
      </c>
      <c r="K17" s="81">
        <f>VLOOKUP(B17,Opportunities!B$3:N$30,9,FALSE)</f>
        <v>2.3372346420267727</v>
      </c>
      <c r="L17" s="81">
        <f>VLOOKUP(B17,Opportunities!B$3:N$30,11,FALSE)</f>
        <v>3.9475005072198974</v>
      </c>
      <c r="M17" s="81">
        <f>VLOOKUP(B17,Opportunities!B$3:N$30,13,FALSE)</f>
        <v>3.5182216001675917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4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0.10142412377948901</v>
      </c>
      <c r="J18" s="81">
        <f>VLOOKUP(B18,Opportunities!B$3:N$30,12,FALSE)</f>
        <v>4.2451412155072665</v>
      </c>
      <c r="K18" s="81">
        <f>VLOOKUP(B18,Opportunities!B$3:N$30,9,FALSE)</f>
        <v>3.4233938193780693</v>
      </c>
      <c r="L18" s="81">
        <f>VLOOKUP(B18,Opportunities!B$3:N$30,11,FALSE)</f>
        <v>5.8751622891415645</v>
      </c>
      <c r="M18" s="81">
        <f>VLOOKUP(B18,Opportunities!B$3:N$30,13,FALSE)</f>
        <v>5.2198255659500621</v>
      </c>
    </row>
    <row r="19" spans="1:13">
      <c r="B19" s="63" t="s">
        <v>382</v>
      </c>
      <c r="C19" s="62" t="str">
        <f>VLOOKUP(B19,Opportunities!B$3:E$30,2,FALSE)</f>
        <v>新华文轩</v>
      </c>
      <c r="D19" s="60">
        <f>VLOOKUP(B19,Opportunities!B$3:E$30,3,FALSE)</f>
        <v>10.35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0.10936188637408271</v>
      </c>
      <c r="J19" s="81">
        <f>VLOOKUP(B19,Opportunities!B$3:N$30,12,FALSE)</f>
        <v>11.216166014521832</v>
      </c>
      <c r="K19" s="81">
        <f>VLOOKUP(B19,Opportunities!B$3:N$30,9,FALSE)</f>
        <v>9.0394613102739001</v>
      </c>
      <c r="L19" s="81">
        <f>VLOOKUP(B19,Opportunities!B$3:N$30,11,FALSE)</f>
        <v>15.535362848536284</v>
      </c>
      <c r="M19" s="81">
        <f>VLOOKUP(B19,Opportunities!B$3:N$30,13,FALSE)</f>
        <v>13.798672470944149</v>
      </c>
    </row>
    <row r="20" spans="1:13">
      <c r="B20" s="63" t="s">
        <v>341</v>
      </c>
      <c r="C20" s="62" t="str">
        <f>VLOOKUP(B20,Opportunities!B$3:E$30,2,FALSE)</f>
        <v>昆仑能源</v>
      </c>
      <c r="D20" s="60">
        <f>VLOOKUP(B20,Opportunities!B$3:E$30,3,FALSE)</f>
        <v>7.28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6.6947931070321542E-2</v>
      </c>
      <c r="J20" s="81">
        <f>VLOOKUP(B20,Opportunities!B$3:N$30,12,FALSE)</f>
        <v>7.165081753064106</v>
      </c>
      <c r="K20" s="81">
        <f>VLOOKUP(B20,Opportunities!B$3:N$30,9,FALSE)</f>
        <v>5.7643199151733473</v>
      </c>
      <c r="L20" s="81">
        <f>VLOOKUP(B20,Opportunities!B$3:N$30,11,FALSE)</f>
        <v>9.9473090801985773</v>
      </c>
      <c r="M20" s="81">
        <f>VLOOKUP(B20,Opportunities!B$3:N$30,13,FALSE)</f>
        <v>8.8282591784064248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0.60429045284705107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2026-01-08T10:28:05Z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