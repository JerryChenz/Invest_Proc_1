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E9DF7A78-35CC-4B88-AA8F-1DE065C68849}" xr6:coauthVersionLast="47" xr6:coauthVersionMax="47" xr10:uidLastSave="{00000000-0000-0000-0000-000000000000}"/>
  <bookViews>
    <workbookView xWindow="-28920" yWindow="6150" windowWidth="29040" windowHeight="15720" activeTab="1" xr2:uid="{00000000-000D-0000-FFFF-FFFF00000000}"/>
  </bookViews>
  <sheets>
    <sheet name="Portfolio_Mgmt" sheetId="5" r:id="rId1"/>
    <sheet name="Opportunities" sheetId="1" r:id="rId2"/>
    <sheet name="Aux&gt;" sheetId="8" r:id="rId3"/>
    <sheet name="Market_Yield" sheetId="2" r:id="rId4"/>
    <sheet name="Holdings" sheetId="7" r:id="rId5"/>
    <sheet name="Comp_Group" sheetId="6" r:id="rId6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B83" i="5"/>
  <c r="B80" i="5"/>
  <c r="C32" i="5" l="1"/>
  <c r="C34" i="5"/>
  <c r="E34" i="5" s="1"/>
  <c r="C36" i="5"/>
  <c r="E36" i="5" s="1"/>
  <c r="F3" i="7"/>
  <c r="E22" i="7"/>
  <c r="C23" i="7" s="1"/>
  <c r="E23" i="7" s="1"/>
  <c r="E25" i="7" s="1"/>
  <c r="H8" i="7"/>
  <c r="I8" i="7"/>
  <c r="J8" i="7"/>
  <c r="K8" i="7"/>
  <c r="L8" i="7"/>
  <c r="C8" i="7"/>
  <c r="D8" i="7"/>
  <c r="H16" i="7"/>
  <c r="I16" i="7"/>
  <c r="J16" i="7"/>
  <c r="K16" i="7"/>
  <c r="L16" i="7"/>
  <c r="C16" i="7"/>
  <c r="F16" i="7" s="1"/>
  <c r="D16" i="7"/>
  <c r="H15" i="7"/>
  <c r="I15" i="7"/>
  <c r="J15" i="7"/>
  <c r="K15" i="7"/>
  <c r="L15" i="7"/>
  <c r="C15" i="7"/>
  <c r="F15" i="7" s="1"/>
  <c r="D15" i="7"/>
  <c r="C13" i="7"/>
  <c r="D13" i="7"/>
  <c r="H13" i="7"/>
  <c r="I13" i="7"/>
  <c r="J13" i="7"/>
  <c r="K13" i="7"/>
  <c r="L13" i="7"/>
  <c r="I14" i="7"/>
  <c r="J14" i="7"/>
  <c r="K14" i="7"/>
  <c r="L14" i="7"/>
  <c r="H14" i="7"/>
  <c r="C14" i="7"/>
  <c r="F14" i="7" s="1"/>
  <c r="D14" i="7"/>
  <c r="I4" i="7"/>
  <c r="J4" i="7"/>
  <c r="K4" i="7"/>
  <c r="L4" i="7"/>
  <c r="I5" i="7"/>
  <c r="J5" i="7"/>
  <c r="K5" i="7"/>
  <c r="L5" i="7"/>
  <c r="I6" i="7"/>
  <c r="J6" i="7"/>
  <c r="K6" i="7"/>
  <c r="L6" i="7"/>
  <c r="I7" i="7"/>
  <c r="J7" i="7"/>
  <c r="K7" i="7"/>
  <c r="L7" i="7"/>
  <c r="H7" i="7"/>
  <c r="C7" i="7"/>
  <c r="F7" i="7" s="1"/>
  <c r="D7" i="7"/>
  <c r="E37" i="5"/>
  <c r="H6" i="7"/>
  <c r="C6" i="7"/>
  <c r="F6" i="7" s="1"/>
  <c r="D6" i="7"/>
  <c r="D4" i="7"/>
  <c r="D5" i="7"/>
  <c r="H4" i="7"/>
  <c r="H5" i="7"/>
  <c r="C4" i="7"/>
  <c r="C5" i="7"/>
  <c r="E35" i="5" l="1"/>
  <c r="E33" i="5"/>
  <c r="F8" i="7"/>
  <c r="F13" i="7"/>
  <c r="F18" i="7" s="1"/>
  <c r="F5" i="7"/>
  <c r="F4" i="7" l="1"/>
  <c r="F10" i="7" s="1"/>
  <c r="G8" i="7" s="1"/>
  <c r="G16" i="7" l="1"/>
  <c r="E65" i="5"/>
  <c r="E66" i="5" s="1"/>
  <c r="G14" i="7" l="1"/>
  <c r="G15" i="7"/>
  <c r="G7" i="7"/>
  <c r="G13" i="7"/>
  <c r="G6" i="7"/>
  <c r="G5" i="7"/>
  <c r="G18" i="7"/>
  <c r="C16" i="2"/>
  <c r="C10" i="5" s="1"/>
  <c r="C11" i="5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<sst xmlns="http://schemas.openxmlformats.org/spreadsheetml/2006/main" count="373" uniqueCount="291">
  <si>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</si>
  <si>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</si>
  <si>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</si>
  <si>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</si>
  <si>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</si>
  <si>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</si>
  <si>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</si>
  <si>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</si>
  <si>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</si>
  <si>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</si>
  <si>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</si>
  <si>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</si>
  <si>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</si>
  <si>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</si>
  <si>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</si>
  <si>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</si>
  <si>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</si>
  <si>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</si>
  <si>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</si>
  <si>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</si>
  <si>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</si>
  <si>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</si>
  <si>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</si>
  <si>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</si>
  <si>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</si>
  <si>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</si>
  <si>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</si>
  <si>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</si>
  <si>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</si>
  <si>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</si>
  <si>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</si>
  <si>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</si>
  <si>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</si>
  <si>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</si>
  <si>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</si>
  <si>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</si>
  <si>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</si>
  <si>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</si>
  <si>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</si>
  <si>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</si>
  <si>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</si>
  <si>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</si>
  <si>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</si>
  <si>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</si>
  <si>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</si>
  <si>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</si>
  <si>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</si>
  <si>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</si>
  <si>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</si>
  <si>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</si>
  <si>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</si>
  <si>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</si>
  <si>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</si>
  <si>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</si>
  <si>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</si>
  <si>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</si>
  <si>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</si>
  <si>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</si>
  <si>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</si>
  <si>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</si>
  <si>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</si>
  <si>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</si>
  <si>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</si>
  <si>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</si>
  <si>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</si>
  <si>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</si>
  <si>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</si>
  <si>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</si>
  <si>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</si>
  <si>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</si>
  <si>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</si>
  <si>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</si>
  <si>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</si>
  <si>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</si>
  <si>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</si>
  <si>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</si>
  <si>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</si>
  <si>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</si>
  <si>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</si>
  <si>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</si>
  <si>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</si>
  <si>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</si>
  <si>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</si>
  <si>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</si>
  <si>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</si>
  <si>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</si>
  <si>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</si>
  <si>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</si>
  <si>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</si>
  <si>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</si>
  <si>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</si>
  <si>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</si>
  <si>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</si>
  <si>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</si>
  <si>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</si>
  <si>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</si>
  <si>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</si>
  <si>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</si>
  <si>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</si>
  <si>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</si>
  <si>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</si>
  <si>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</si>
  <si>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</si>
  <si>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</si>
  <si>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</si>
  <si>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</si>
  <si>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</si>
  <si>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</si>
  <si>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</si>
  <si>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</si>
  <si>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</si>
  <si>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</si>
  <si>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</si>
  <si>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</si>
  <si>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</si>
  <si>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</si>
  <si>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</si>
  <si>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</si>
  <si>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</si>
  <si>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</si>
  <si>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</si>
  <si>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</si>
  <si>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</si>
  <si>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</si>
  <si>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</si>
  <si>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</si>
  <si>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</si>
  <si>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</si>
  <si>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</si>
  <si>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</si>
  <si>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</si>
  <si>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</si>
  <si>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</si>
  <si>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</si>
  <si>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</si>
  <si>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</si>
  <si>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</si>
  <si>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</si>
  <si>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</si>
  <si>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</si>
  <si>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</si>
  <si>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</si>
  <si>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</si>
  <si>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</si>
  <si>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</si>
  <si>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</si>
  <si>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</si>
  <si>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</si>
  <si>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</si>
  <si>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</si>
  <si>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</si>
  <si>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</si>
  <si>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</si>
  <si>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</si>
  <si>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</si>
  <si>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</si>
  <si>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</si>
  <si>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</si>
  <si>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</si>
  <si>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</si>
  <si>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</si>
  <si>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</si>
  <si>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</si>
  <si>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</si>
  <si>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</si>
  <si>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</si>
  <si>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</si>
  <si>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</si>
  <si>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</si>
  <si>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</si>
  <si>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</si>
  <si>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</si>
  <si>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</si>
  <si>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</si>
  <si>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</si>
  <si>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</si>
  <si>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</si>
  <si>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</si>
  <si>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</si>
  <si>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</si>
  <si>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</si>
  <si>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</si>
  <si>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</si>
  <si>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</si>
  <si>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</si>
  <si>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</si>
  <si>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</si>
  <si>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</si>
  <si>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</si>
  <si>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</si>
  <si>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</si>
  <si>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</si>
  <si>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</si>
  <si>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</si>
  <si>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</si>
  <si>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</si>
  <si>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</si>
  <si>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</si>
  <si>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</si>
  <si>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</si>
  <si>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</si>
  <si>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</si>
  <si>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</si>
  <si>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</si>
  <si>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</si>
  <si>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</si>
  <si>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</si>
  <si>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</si>
  <si>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</si>
  <si>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</si>
  <si>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</si>
  <si>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</si>
  <si>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</si>
  <si>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</si>
  <si>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</si>
  <si>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</si>
  <si>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</si>
  <si>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</si>
  <si>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</si>
  <si>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</si>
  <si>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</si>
  <si>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</si>
  <si>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</si>
  <si>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</si>
  <si>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</si>
  <si>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</si>
  <si>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</si>
  <si>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</si>
  <si>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</si>
  <si>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</si>
  <si>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</si>
  <si>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</si>
  <si>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</si>
  <si>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</si>
  <si>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</si>
  <si>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</si>
  <si>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</si>
  <si>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1913.HK</t>
  </si>
  <si>
    <t>PRADA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</si>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</sst>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zoomScale="105" workbookViewId="0">
      <selection activeCell="C37" sqref="C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2" t="s">
        <v>151</v>
      </c>
      <c r="C4" s="112"/>
      <c r="D4" s="112"/>
      <c r="E4" s="112"/>
    </row>
    <row r="6" spans="1:5">
      <c r="A6" s="20" t="s">
        <v>60</v>
      </c>
      <c r="B6" s="19" t="s">
        <v>145</v>
      </c>
      <c r="C6" s="49"/>
    </row>
    <row r="7" spans="1:5">
      <c r="B7" s="112" t="s">
        <v>257</v>
      </c>
      <c r="C7" s="112"/>
      <c r="D7" s="112"/>
      <c r="E7" s="112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289</v>
      </c>
    </row>
    <row r="20" spans="1:5">
      <c r="B20" s="24" t="s">
        <v>258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13" t="s">
        <v>259</v>
      </c>
      <c r="C24" s="112"/>
      <c r="D24" s="112"/>
      <c r="E24" s="112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246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96" t="s">
        <v>263</v>
      </c>
      <c r="C32" s="97">
        <f>3/5</f>
        <v>0.6</v>
      </c>
      <c r="D32" s="96" t="s">
        <v>284</v>
      </c>
      <c r="E32" s="97">
        <v>-0.5</v>
      </c>
    </row>
    <row r="33" spans="1:5">
      <c r="B33" s="99" t="s">
        <v>266</v>
      </c>
      <c r="C33" s="100">
        <v>0.35</v>
      </c>
      <c r="D33" s="101" t="s">
        <v>269</v>
      </c>
      <c r="E33" s="102">
        <f>(C32*C33+(1-C32)*C34)/(2*C33)</f>
        <v>0.21428571428571425</v>
      </c>
    </row>
    <row r="34" spans="1:5" ht="12" thickBot="1">
      <c r="B34" s="103" t="s">
        <v>265</v>
      </c>
      <c r="C34" s="104">
        <f>E32+C33</f>
        <v>-0.15000000000000002</v>
      </c>
      <c r="D34" s="105" t="s">
        <v>270</v>
      </c>
      <c r="E34" s="106">
        <f>-C33/C34</f>
        <v>2.333333333333333</v>
      </c>
    </row>
    <row r="35" spans="1:5">
      <c r="B35" s="99" t="s">
        <v>264</v>
      </c>
      <c r="C35" s="100">
        <v>0.25</v>
      </c>
      <c r="D35" s="101" t="s">
        <v>269</v>
      </c>
      <c r="E35" s="102">
        <f>(C32*C35+(1-C32)*C36)/(2*C35)</f>
        <v>9.9999999999999978E-2</v>
      </c>
    </row>
    <row r="36" spans="1:5" ht="12" thickBot="1">
      <c r="B36" s="103" t="s">
        <v>267</v>
      </c>
      <c r="C36" s="104">
        <f>E32+C35</f>
        <v>-0.25</v>
      </c>
      <c r="D36" s="105" t="s">
        <v>270</v>
      </c>
      <c r="E36" s="106">
        <f>-C35/C36</f>
        <v>1</v>
      </c>
    </row>
    <row r="37" spans="1:5">
      <c r="B37" s="107" t="s">
        <v>268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272</v>
      </c>
    </row>
    <row r="40" spans="1:5">
      <c r="B40" s="112" t="s">
        <v>271</v>
      </c>
      <c r="C40" s="112"/>
      <c r="D40" s="112"/>
      <c r="E40" s="112"/>
    </row>
    <row r="41" spans="1:5">
      <c r="B41" s="113" t="s">
        <v>287</v>
      </c>
      <c r="C41" s="112"/>
      <c r="D41" s="112"/>
      <c r="E41" s="112"/>
    </row>
    <row r="42" spans="1:5">
      <c r="B42" s="113" t="s">
        <v>285</v>
      </c>
      <c r="C42" s="112"/>
      <c r="D42" s="112"/>
      <c r="E42" s="112"/>
    </row>
    <row r="43" spans="1:5">
      <c r="B43" s="113" t="s">
        <v>286</v>
      </c>
      <c r="C43" s="113"/>
      <c r="D43" s="113"/>
      <c r="E43" s="113"/>
    </row>
    <row r="44" spans="1:5" ht="46.5" customHeight="1">
      <c r="B44" s="112" t="s">
        <v>161</v>
      </c>
      <c r="C44" s="112"/>
      <c r="D44" s="112"/>
      <c r="E44" s="112"/>
    </row>
    <row r="46" spans="1:5">
      <c r="A46" s="21" t="s">
        <v>140</v>
      </c>
      <c r="B46" s="21"/>
      <c r="C46" s="21"/>
      <c r="D46" s="21"/>
      <c r="E46" s="21"/>
    </row>
    <row r="48" spans="1:5">
      <c r="B48" s="112" t="s">
        <v>273</v>
      </c>
      <c r="C48" s="112"/>
      <c r="D48" s="112"/>
      <c r="E48" s="112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255</v>
      </c>
      <c r="C53" s="29">
        <v>0.45</v>
      </c>
      <c r="D53" s="48"/>
      <c r="E53" s="46"/>
    </row>
    <row r="54" spans="2:5">
      <c r="B54" s="26" t="s">
        <v>254</v>
      </c>
      <c r="C54" s="29">
        <v>0.3</v>
      </c>
      <c r="D54" s="48"/>
      <c r="E54" s="46"/>
    </row>
    <row r="55" spans="2:5">
      <c r="B55" s="26" t="s">
        <v>253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250</v>
      </c>
      <c r="C62" s="26" t="s">
        <v>251</v>
      </c>
      <c r="D62" s="26" t="s">
        <v>252</v>
      </c>
      <c r="E62" s="40">
        <v>0</v>
      </c>
    </row>
    <row r="63" spans="2:5">
      <c r="B63" s="26" t="s">
        <v>248</v>
      </c>
      <c r="C63" s="26" t="s">
        <v>174</v>
      </c>
      <c r="D63" s="26" t="s">
        <v>175</v>
      </c>
      <c r="E63" s="40">
        <v>2</v>
      </c>
    </row>
    <row r="64" spans="2:5">
      <c r="B64" s="26" t="s">
        <v>249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275</v>
      </c>
    </row>
    <row r="69" spans="1:5">
      <c r="B69" s="1" t="s">
        <v>288</v>
      </c>
    </row>
    <row r="70" spans="1:5">
      <c r="B70" s="1" t="s">
        <v>274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2" t="s">
        <v>141</v>
      </c>
      <c r="C74" s="112"/>
      <c r="D74" s="112"/>
      <c r="E74" s="112"/>
    </row>
    <row r="76" spans="1:5">
      <c r="A76" s="28" t="s">
        <v>60</v>
      </c>
      <c r="B76" s="20" t="s">
        <v>277</v>
      </c>
    </row>
    <row r="77" spans="1:5">
      <c r="B77" s="24" t="s">
        <v>153</v>
      </c>
    </row>
    <row r="79" spans="1:5">
      <c r="A79" s="28" t="s">
        <v>256</v>
      </c>
      <c r="B79" s="20" t="s">
        <v>276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280</v>
      </c>
      <c r="C81" s="94" t="s">
        <v>290</v>
      </c>
    </row>
    <row r="82" spans="1:5">
      <c r="B82" s="111" t="s">
        <v>279</v>
      </c>
      <c r="C82" s="94" t="s">
        <v>247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278</v>
      </c>
    </row>
    <row r="86" spans="1:5">
      <c r="B86" s="1" t="s">
        <v>281</v>
      </c>
    </row>
    <row r="87" spans="1:5">
      <c r="B87" s="1" t="s">
        <v>283</v>
      </c>
    </row>
    <row r="88" spans="1:5">
      <c r="B88" s="1" t="s">
        <v>282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P17" sqref="P1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16" t="s">
        <v>1</v>
      </c>
      <c r="E1" s="116"/>
      <c r="F1" s="116"/>
      <c r="G1" s="117" t="s">
        <v>85</v>
      </c>
      <c r="H1" s="117"/>
      <c r="I1" s="117"/>
      <c r="J1" s="119" t="s">
        <v>4</v>
      </c>
      <c r="K1" s="119"/>
      <c r="L1" s="119"/>
      <c r="M1" s="118" t="s">
        <v>172</v>
      </c>
      <c r="N1" s="118"/>
      <c r="O1" s="114" t="s">
        <v>8</v>
      </c>
      <c r="P1" s="114"/>
      <c r="Q1" s="121" t="s">
        <v>223</v>
      </c>
      <c r="R1" s="121"/>
      <c r="S1" s="121"/>
      <c r="T1" s="121"/>
      <c r="U1" s="120" t="s">
        <v>219</v>
      </c>
      <c r="V1" s="120"/>
      <c r="W1" s="120"/>
      <c r="X1" s="115" t="s">
        <v>49</v>
      </c>
      <c r="Y1" s="115"/>
      <c r="Z1" s="115"/>
      <c r="AA1" s="11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230</v>
      </c>
      <c r="C3" s="11" t="s">
        <v>231</v>
      </c>
      <c r="D3" s="2">
        <v>2.89</v>
      </c>
      <c r="E3" s="12" t="s">
        <v>136</v>
      </c>
      <c r="F3" s="15">
        <v>0.23964880679790124</v>
      </c>
      <c r="G3" s="15">
        <f>F3 - Portfolio_Mgmt!$C$10</f>
        <v>0.12224880679790123</v>
      </c>
      <c r="H3" s="15">
        <f>F3 - Portfolio_Mgmt!$C$11</f>
        <v>0.20514880679790123</v>
      </c>
      <c r="I3" s="15">
        <v>0</v>
      </c>
      <c r="J3" s="2">
        <v>2.2811221378505544</v>
      </c>
      <c r="K3" s="2">
        <v>4.4858408799140586</v>
      </c>
      <c r="L3" s="74">
        <v>4.3130669791905083</v>
      </c>
      <c r="M3" s="2">
        <v>2.823790530515998</v>
      </c>
      <c r="N3" s="2">
        <v>3.8666759160925035</v>
      </c>
      <c r="O3" s="4">
        <v>7.4207443024177352E-2</v>
      </c>
      <c r="P3" s="4">
        <v>9.3425605536332182E-2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>
      <c r="B4" s="11" t="s">
        <v>210</v>
      </c>
      <c r="C4" s="11" t="s">
        <v>211</v>
      </c>
      <c r="D4" s="2">
        <v>18</v>
      </c>
      <c r="E4" s="12" t="s">
        <v>136</v>
      </c>
      <c r="F4" s="15">
        <v>0.22621007801496273</v>
      </c>
      <c r="G4" s="15">
        <f>F4 - Portfolio_Mgmt!$C$10</f>
        <v>0.10881007801496273</v>
      </c>
      <c r="H4" s="15">
        <f>F4 - Portfolio_Mgmt!$C$11</f>
        <v>0.19171007801496273</v>
      </c>
      <c r="I4" s="15">
        <v>0</v>
      </c>
      <c r="J4" s="2">
        <v>13.715281511893041</v>
      </c>
      <c r="K4" s="2">
        <v>28.487385749823844</v>
      </c>
      <c r="L4" s="74">
        <v>26.20788468925662</v>
      </c>
      <c r="M4" s="2">
        <v>17.045061503909807</v>
      </c>
      <c r="N4" s="2">
        <v>23.458509744690723</v>
      </c>
      <c r="O4" s="4">
        <v>0.11515538429387245</v>
      </c>
      <c r="P4" s="4">
        <v>7.0000000000000007E-2</v>
      </c>
      <c r="Q4" s="4">
        <v>0.16035109536268838</v>
      </c>
      <c r="R4" s="4">
        <v>0.31929962351402291</v>
      </c>
      <c r="S4" s="82">
        <v>0.35631048934895165</v>
      </c>
      <c r="T4" s="81">
        <v>1.4094345614568822</v>
      </c>
      <c r="U4" s="15">
        <v>0.12260820136742831</v>
      </c>
      <c r="V4" s="79">
        <v>0.75207444874659302</v>
      </c>
      <c r="W4" s="74">
        <v>-0.45928832584968704</v>
      </c>
      <c r="X4" s="13" t="s">
        <v>162</v>
      </c>
      <c r="Y4" s="11" t="s">
        <v>137</v>
      </c>
      <c r="Z4" s="14">
        <v>45900</v>
      </c>
      <c r="AA4" s="16" t="s">
        <v>224</v>
      </c>
    </row>
    <row r="5" spans="1:27">
      <c r="B5" s="11" t="s">
        <v>199</v>
      </c>
      <c r="C5" s="11" t="s">
        <v>200</v>
      </c>
      <c r="D5" s="2">
        <v>2.08</v>
      </c>
      <c r="E5" s="12" t="s">
        <v>136</v>
      </c>
      <c r="F5" s="15">
        <v>0.20310107501502905</v>
      </c>
      <c r="G5" s="15">
        <f>F5 - Portfolio_Mgmt!$C$10</f>
        <v>8.5701075015029049E-2</v>
      </c>
      <c r="H5" s="15">
        <f>F5 - Portfolio_Mgmt!$C$11</f>
        <v>0.16860107501502905</v>
      </c>
      <c r="I5" s="15">
        <v>0</v>
      </c>
      <c r="J5" s="2">
        <v>1.4912979919025735</v>
      </c>
      <c r="K5" s="2">
        <v>3.2936272968272946</v>
      </c>
      <c r="L5" s="74">
        <v>2.8852874211949495</v>
      </c>
      <c r="M5" s="2">
        <v>1.8620171759755748</v>
      </c>
      <c r="N5" s="2">
        <v>2.5778758770526919</v>
      </c>
      <c r="O5" s="4">
        <v>6.5043594200810184E-2</v>
      </c>
      <c r="P5" s="4">
        <v>4.3269230769230775E-2</v>
      </c>
      <c r="Q5" s="4">
        <v>4.7832973362251327E-2</v>
      </c>
      <c r="R5" s="4">
        <v>7.8104812973574481E-2</v>
      </c>
      <c r="S5" s="82">
        <v>0.49619793491400876</v>
      </c>
      <c r="T5" s="81">
        <v>1.2342258232843137</v>
      </c>
      <c r="U5" s="15">
        <v>0.10863424600069688</v>
      </c>
      <c r="V5" s="79">
        <v>2.2824569622635926</v>
      </c>
      <c r="W5" s="74">
        <v>1.8512501811200692</v>
      </c>
      <c r="X5" s="13" t="s">
        <v>201</v>
      </c>
      <c r="Y5" s="11" t="s">
        <v>137</v>
      </c>
      <c r="Z5" s="14">
        <v>45900</v>
      </c>
      <c r="AA5" s="16" t="s">
        <v>224</v>
      </c>
    </row>
    <row r="6" spans="1:27">
      <c r="B6" s="11" t="s">
        <v>187</v>
      </c>
      <c r="C6" s="11" t="s">
        <v>188</v>
      </c>
      <c r="D6" s="2">
        <v>3.38</v>
      </c>
      <c r="E6" s="12" t="s">
        <v>136</v>
      </c>
      <c r="F6" s="15">
        <v>0.18931311425306485</v>
      </c>
      <c r="G6" s="15">
        <f>F6 - Portfolio_Mgmt!$C$10</f>
        <v>7.1913114253064847E-2</v>
      </c>
      <c r="H6" s="15">
        <f>F6 - Portfolio_Mgmt!$C$11</f>
        <v>0.15481311425306485</v>
      </c>
      <c r="I6" s="15">
        <v>0</v>
      </c>
      <c r="J6" s="2">
        <v>2.3406091587746096</v>
      </c>
      <c r="K6" s="2">
        <v>5.2246962590200807</v>
      </c>
      <c r="L6" s="74">
        <v>4.5385417708791076</v>
      </c>
      <c r="M6" s="2">
        <v>2.9249004846182811</v>
      </c>
      <c r="N6" s="2">
        <v>4.0536685441183486</v>
      </c>
      <c r="O6" s="4">
        <v>8.4012585030675893E-2</v>
      </c>
      <c r="P6" s="4">
        <v>3.7869822485207101E-2</v>
      </c>
      <c r="Q6" s="4">
        <v>0.10112859174992994</v>
      </c>
      <c r="R6" s="4">
        <v>5.8835781303360896E-2</v>
      </c>
      <c r="S6" s="82">
        <v>1.2277297326073906</v>
      </c>
      <c r="T6" s="81">
        <v>1.4000052396569989</v>
      </c>
      <c r="U6" s="15">
        <v>0.10646655543311496</v>
      </c>
      <c r="V6" s="79">
        <v>0.9804830051022897</v>
      </c>
      <c r="W6" s="74">
        <v>1.6698226477450393</v>
      </c>
      <c r="X6" s="13" t="s">
        <v>189</v>
      </c>
      <c r="Y6" s="11" t="s">
        <v>137</v>
      </c>
      <c r="Z6" s="14">
        <v>45808</v>
      </c>
      <c r="AA6" s="16" t="s">
        <v>224</v>
      </c>
    </row>
    <row r="7" spans="1:27">
      <c r="B7" s="11" t="s">
        <v>163</v>
      </c>
      <c r="C7" s="11" t="s">
        <v>192</v>
      </c>
      <c r="D7" s="2">
        <v>16.84</v>
      </c>
      <c r="E7" s="12" t="s">
        <v>136</v>
      </c>
      <c r="F7" s="15">
        <v>0.17587442131600528</v>
      </c>
      <c r="G7" s="15">
        <f>F7 - Portfolio_Mgmt!$C$10</f>
        <v>5.8474421316005276E-2</v>
      </c>
      <c r="H7" s="15">
        <f>F7 - Portfolio_Mgmt!$C$11</f>
        <v>0.14137442131600528</v>
      </c>
      <c r="I7" s="15">
        <v>0</v>
      </c>
      <c r="J7" s="2">
        <v>11.248018344731374</v>
      </c>
      <c r="K7" s="2">
        <v>25.670271348952614</v>
      </c>
      <c r="L7" s="74">
        <v>21.912601244867734</v>
      </c>
      <c r="M7" s="2">
        <v>14.08073390399036</v>
      </c>
      <c r="N7" s="2">
        <v>19.558218647361212</v>
      </c>
      <c r="O7" s="4">
        <v>6.0916151515976527E-2</v>
      </c>
      <c r="P7" s="4">
        <v>2.8521662821207217E-2</v>
      </c>
      <c r="Q7" s="4">
        <v>0.12359617873815945</v>
      </c>
      <c r="R7" s="4">
        <v>0.12331858342886919</v>
      </c>
      <c r="S7" s="82">
        <v>0.73266920679685343</v>
      </c>
      <c r="T7" s="81">
        <v>1.3679448142367923</v>
      </c>
      <c r="U7" s="15">
        <v>7.4171010848313429E-2</v>
      </c>
      <c r="V7" s="79">
        <v>0.60402076709908736</v>
      </c>
      <c r="W7" s="74">
        <v>4.6196988247434945</v>
      </c>
      <c r="X7" s="13" t="s">
        <v>181</v>
      </c>
      <c r="Y7" s="11" t="s">
        <v>137</v>
      </c>
      <c r="Z7" s="14">
        <v>45900</v>
      </c>
      <c r="AA7" s="16" t="s">
        <v>224</v>
      </c>
    </row>
    <row r="8" spans="1:27">
      <c r="B8" s="11" t="s">
        <v>182</v>
      </c>
      <c r="C8" s="11" t="s">
        <v>183</v>
      </c>
      <c r="D8" s="2">
        <v>51.55</v>
      </c>
      <c r="E8" s="12" t="s">
        <v>136</v>
      </c>
      <c r="F8" s="15">
        <v>0.15514072380436583</v>
      </c>
      <c r="G8" s="15">
        <f>F8 - Portfolio_Mgmt!$C$10</f>
        <v>3.7740723804365828E-2</v>
      </c>
      <c r="H8" s="15">
        <f>F8 - Portfolio_Mgmt!$C$11</f>
        <v>0.12064072380436583</v>
      </c>
      <c r="I8" s="15">
        <v>0</v>
      </c>
      <c r="J8" s="2">
        <v>32.796359018128477</v>
      </c>
      <c r="K8" s="2">
        <v>73.152084074486325</v>
      </c>
      <c r="L8" s="74">
        <v>63.583412957767436</v>
      </c>
      <c r="M8" s="2">
        <v>40.980920639362999</v>
      </c>
      <c r="N8" s="2">
        <v>56.791830324303135</v>
      </c>
      <c r="O8" s="4">
        <v>4.4850369954086339E-2</v>
      </c>
      <c r="P8" s="4">
        <v>3.505125527923314E-2</v>
      </c>
      <c r="Q8" s="4">
        <v>0.13507474816461509</v>
      </c>
      <c r="R8" s="4">
        <v>0.12563459434327212</v>
      </c>
      <c r="S8" s="82">
        <v>0.62432788948992113</v>
      </c>
      <c r="T8" s="81">
        <v>1.7220755031358876</v>
      </c>
      <c r="U8" s="15">
        <v>9.5579625064196368E-3</v>
      </c>
      <c r="V8" s="79">
        <v>7.3592411949940734E-2</v>
      </c>
      <c r="W8" s="74">
        <v>1.3619758607112662</v>
      </c>
      <c r="X8" s="13" t="s">
        <v>181</v>
      </c>
      <c r="Y8" s="11" t="s">
        <v>137</v>
      </c>
      <c r="Z8" s="14">
        <v>45900</v>
      </c>
      <c r="AA8" s="16" t="s">
        <v>225</v>
      </c>
    </row>
    <row r="9" spans="1:27">
      <c r="B9" s="11" t="s">
        <v>179</v>
      </c>
      <c r="C9" s="11" t="s">
        <v>180</v>
      </c>
      <c r="D9" s="2">
        <v>58.4</v>
      </c>
      <c r="E9" s="12" t="s">
        <v>136</v>
      </c>
      <c r="F9" s="15">
        <v>0.14597361507512918</v>
      </c>
      <c r="G9" s="15">
        <f>F9 - Portfolio_Mgmt!$C$10</f>
        <v>2.8573615075129177E-2</v>
      </c>
      <c r="H9" s="15">
        <f>F9 - Portfolio_Mgmt!$C$11</f>
        <v>0.11147361507512918</v>
      </c>
      <c r="I9" s="15">
        <v>0</v>
      </c>
      <c r="J9" s="2">
        <v>37.201125927160788</v>
      </c>
      <c r="K9" s="2">
        <v>70.239623803038228</v>
      </c>
      <c r="L9" s="74">
        <v>69.808634029638228</v>
      </c>
      <c r="M9" s="2">
        <v>45.922259867155574</v>
      </c>
      <c r="N9" s="2">
        <v>62.654660535566777</v>
      </c>
      <c r="O9" s="4">
        <v>9.1067563901105292E-2</v>
      </c>
      <c r="P9" s="4">
        <v>8.7367123287671239E-2</v>
      </c>
      <c r="Q9" s="4">
        <v>0.32755394896836565</v>
      </c>
      <c r="R9" s="4">
        <v>8.9976704126159421E-2</v>
      </c>
      <c r="S9" s="82">
        <v>1.5891874956485419</v>
      </c>
      <c r="T9" s="81">
        <v>2.2907496012759174</v>
      </c>
      <c r="U9" s="15">
        <v>0.24768740031897937</v>
      </c>
      <c r="V9" s="79">
        <v>0.73855199466278643</v>
      </c>
      <c r="W9" s="74">
        <v>-2.6746911262186694</v>
      </c>
      <c r="X9" s="13" t="s">
        <v>184</v>
      </c>
      <c r="Y9" s="11" t="s">
        <v>137</v>
      </c>
      <c r="Z9" s="14">
        <v>45808</v>
      </c>
      <c r="AA9" s="16" t="s">
        <v>224</v>
      </c>
    </row>
    <row r="10" spans="1:27">
      <c r="B10" s="11" t="s">
        <v>185</v>
      </c>
      <c r="C10" s="11" t="s">
        <v>186</v>
      </c>
      <c r="D10" s="2">
        <v>6.85</v>
      </c>
      <c r="E10" s="12" t="s">
        <v>136</v>
      </c>
      <c r="F10" s="15">
        <v>0.14569348850712882</v>
      </c>
      <c r="G10" s="15">
        <f>F10 - Portfolio_Mgmt!$C$10</f>
        <v>2.8293488507128817E-2</v>
      </c>
      <c r="H10" s="15">
        <f>F10 - Portfolio_Mgmt!$C$11</f>
        <v>0.11119348850712882</v>
      </c>
      <c r="I10" s="15">
        <v>0</v>
      </c>
      <c r="J10" s="2">
        <v>4.302376217360723</v>
      </c>
      <c r="K10" s="2">
        <v>8.9258655393443114</v>
      </c>
      <c r="L10" s="74">
        <v>8.2193173729615232</v>
      </c>
      <c r="M10" s="2">
        <v>5.3464424880220154</v>
      </c>
      <c r="N10" s="2">
        <v>7.3573090718265259</v>
      </c>
      <c r="O10" s="4">
        <v>0.11530887723158134</v>
      </c>
      <c r="P10" s="4">
        <v>5.8065045162567899E-2</v>
      </c>
      <c r="Q10" s="4">
        <v>0.12477871842229639</v>
      </c>
      <c r="R10" s="4">
        <v>7.7304831872868032E-2</v>
      </c>
      <c r="S10" s="82">
        <v>1.0025080757150273</v>
      </c>
      <c r="T10" s="81">
        <v>1.6100746083165727</v>
      </c>
      <c r="U10" s="15">
        <v>0.16360901428944893</v>
      </c>
      <c r="V10" s="79">
        <v>1.1309485990394448</v>
      </c>
      <c r="W10" s="74">
        <v>-3.8882114518914572</v>
      </c>
      <c r="X10" s="16" t="s">
        <v>162</v>
      </c>
      <c r="Y10" s="11" t="s">
        <v>137</v>
      </c>
      <c r="Z10" s="14">
        <v>45900</v>
      </c>
      <c r="AA10" s="16" t="s">
        <v>224</v>
      </c>
    </row>
    <row r="11" spans="1:27">
      <c r="B11" s="11" t="s">
        <v>208</v>
      </c>
      <c r="C11" s="11" t="s">
        <v>217</v>
      </c>
      <c r="D11" s="2">
        <v>26.66</v>
      </c>
      <c r="E11" s="12" t="s">
        <v>206</v>
      </c>
      <c r="F11" s="15">
        <v>0.1448558095285486</v>
      </c>
      <c r="G11" s="15">
        <f>F11 - Portfolio_Mgmt!$C$10</f>
        <v>2.7455809528548591E-2</v>
      </c>
      <c r="H11" s="15">
        <f>F11 - Portfolio_Mgmt!$C$11</f>
        <v>0.11035580952854859</v>
      </c>
      <c r="I11" s="15">
        <v>0</v>
      </c>
      <c r="J11" s="2">
        <v>16.586017104127016</v>
      </c>
      <c r="K11" s="2">
        <v>36.134621832566509</v>
      </c>
      <c r="L11" s="74">
        <v>31.999534598013469</v>
      </c>
      <c r="M11" s="2">
        <v>20.68716637827405</v>
      </c>
      <c r="N11" s="2">
        <v>28.601981247202922</v>
      </c>
      <c r="O11" s="4">
        <v>9.5242588423968391E-2</v>
      </c>
      <c r="P11" s="4">
        <v>4.2010502625656407E-2</v>
      </c>
      <c r="Q11" s="4">
        <v>8.3350635997632802E-2</v>
      </c>
      <c r="R11" s="4">
        <v>0.15660042549334799</v>
      </c>
      <c r="S11" s="82">
        <v>0.29736257886212014</v>
      </c>
      <c r="T11" s="81">
        <v>1.7899036999493159</v>
      </c>
      <c r="U11" s="15">
        <v>0.40281804358844397</v>
      </c>
      <c r="V11" s="79">
        <v>3.955391512509995</v>
      </c>
      <c r="W11" s="74">
        <v>-26.938493611476797</v>
      </c>
      <c r="X11" s="13" t="s">
        <v>209</v>
      </c>
      <c r="Y11" s="11" t="s">
        <v>137</v>
      </c>
      <c r="Z11" s="14">
        <v>45900</v>
      </c>
      <c r="AA11" s="16" t="s">
        <v>225</v>
      </c>
    </row>
    <row r="12" spans="1:27">
      <c r="B12" s="11" t="s">
        <v>205</v>
      </c>
      <c r="C12" s="11" t="s">
        <v>216</v>
      </c>
      <c r="D12" s="2">
        <v>24.29</v>
      </c>
      <c r="E12" s="12" t="s">
        <v>206</v>
      </c>
      <c r="F12" s="15">
        <v>0.12559664141737015</v>
      </c>
      <c r="G12" s="15">
        <f>F12 - Portfolio_Mgmt!$C$10</f>
        <v>8.196641417370143E-3</v>
      </c>
      <c r="H12" s="15">
        <f>F12 - Portfolio_Mgmt!$C$11</f>
        <v>9.1096641417370144E-2</v>
      </c>
      <c r="I12" s="15">
        <v>0</v>
      </c>
      <c r="J12" s="2">
        <v>14.210808951982788</v>
      </c>
      <c r="K12" s="2">
        <v>33.230161875234657</v>
      </c>
      <c r="L12" s="74">
        <v>27.829540483416785</v>
      </c>
      <c r="M12" s="2">
        <v>17.824937920120146</v>
      </c>
      <c r="N12" s="2">
        <v>24.820548736528732</v>
      </c>
      <c r="O12" s="4">
        <v>0.18768882450960042</v>
      </c>
      <c r="P12" s="4">
        <v>1.7106628242074928E-2</v>
      </c>
      <c r="Q12" s="4">
        <v>0.18752610102828118</v>
      </c>
      <c r="R12" s="4">
        <v>0.23497655430253014</v>
      </c>
      <c r="S12" s="82">
        <v>0.32112750263435197</v>
      </c>
      <c r="T12" s="81">
        <v>2.4851905363915479</v>
      </c>
      <c r="U12" s="15">
        <v>0.95241105291674188</v>
      </c>
      <c r="V12" s="79">
        <v>4.0148803043206254</v>
      </c>
      <c r="W12" s="74">
        <v>-38.360607814419353</v>
      </c>
      <c r="X12" s="13" t="s">
        <v>207</v>
      </c>
      <c r="Y12" s="11" t="s">
        <v>137</v>
      </c>
      <c r="Z12" s="14">
        <v>45900</v>
      </c>
      <c r="AA12" s="16" t="s">
        <v>225</v>
      </c>
    </row>
    <row r="13" spans="1:27">
      <c r="B13" s="11" t="s">
        <v>193</v>
      </c>
      <c r="C13" s="11" t="s">
        <v>194</v>
      </c>
      <c r="D13" s="2">
        <v>15.44</v>
      </c>
      <c r="E13" s="12" t="s">
        <v>136</v>
      </c>
      <c r="F13" s="15">
        <v>0.11561977966442294</v>
      </c>
      <c r="G13" s="15">
        <f>F13 - Portfolio_Mgmt!$C$10</f>
        <v>-1.7802203355770652E-3</v>
      </c>
      <c r="H13" s="15">
        <f>F13 - Portfolio_Mgmt!$C$11</f>
        <v>8.1119779664422936E-2</v>
      </c>
      <c r="I13" s="15">
        <v>0</v>
      </c>
      <c r="J13" s="2">
        <v>8.9918646611970701</v>
      </c>
      <c r="K13" s="2">
        <v>18.605745241392746</v>
      </c>
      <c r="L13" s="2">
        <v>17.169256813104958</v>
      </c>
      <c r="M13" s="2">
        <v>11.171769385673086</v>
      </c>
      <c r="N13" s="2">
        <v>15.369799195571282</v>
      </c>
      <c r="O13" s="4">
        <v>0.10059630223511137</v>
      </c>
      <c r="P13" s="4">
        <v>5.4601492227979276E-2</v>
      </c>
      <c r="Q13" s="4">
        <v>0.26418106591712082</v>
      </c>
      <c r="R13" s="4">
        <v>0.11373787740120148</v>
      </c>
      <c r="S13" s="82">
        <v>0.70652858717908329</v>
      </c>
      <c r="T13" s="81">
        <v>3.2875080906148866</v>
      </c>
      <c r="U13" s="15">
        <v>1.5035598705501618</v>
      </c>
      <c r="V13" s="79">
        <v>4.1998196571663646</v>
      </c>
      <c r="W13" s="74">
        <v>-12.277499584232929</v>
      </c>
      <c r="X13" s="13" t="s">
        <v>181</v>
      </c>
      <c r="Y13" s="11" t="s">
        <v>195</v>
      </c>
      <c r="Z13" s="14">
        <v>45900</v>
      </c>
      <c r="AA13" s="16" t="s">
        <v>225</v>
      </c>
    </row>
    <row r="14" spans="1:27">
      <c r="B14" s="11" t="s">
        <v>227</v>
      </c>
      <c r="C14" s="11" t="s">
        <v>228</v>
      </c>
      <c r="D14" s="2">
        <v>6.2</v>
      </c>
      <c r="E14" s="12" t="s">
        <v>136</v>
      </c>
      <c r="F14" s="15">
        <v>0.11403451889514371</v>
      </c>
      <c r="G14" s="15">
        <f>F14 - Portfolio_Mgmt!$C$10</f>
        <v>-3.3654811048562938E-3</v>
      </c>
      <c r="H14" s="15">
        <f>F14 - Portfolio_Mgmt!$C$11</f>
        <v>7.9534518895143708E-2</v>
      </c>
      <c r="I14" s="15">
        <v>0</v>
      </c>
      <c r="J14" s="2">
        <v>3.6036658259915511</v>
      </c>
      <c r="K14" s="2">
        <v>7.3642693066239637</v>
      </c>
      <c r="L14" s="2">
        <v>6.8641356814360206</v>
      </c>
      <c r="M14" s="2">
        <v>4.4732258849914697</v>
      </c>
      <c r="N14" s="2">
        <v>6.1469536878205542</v>
      </c>
      <c r="O14" s="4">
        <v>5.9580989410400818E-2</v>
      </c>
      <c r="P14" s="4">
        <v>5.8064516129032254E-2</v>
      </c>
      <c r="Q14" s="4">
        <v>7.0630420943605887E-2</v>
      </c>
      <c r="R14" s="4">
        <v>9.3039179367971361E-2</v>
      </c>
      <c r="S14" s="82">
        <v>0.62627525695225639</v>
      </c>
      <c r="T14" s="81">
        <v>1.2121620122817016</v>
      </c>
      <c r="U14" s="15">
        <v>1.1610019159010268E-2</v>
      </c>
      <c r="V14" s="79">
        <v>0.16381589511191816</v>
      </c>
      <c r="W14" s="74">
        <v>3.7980767021052162</v>
      </c>
      <c r="X14" s="13" t="s">
        <v>229</v>
      </c>
      <c r="Y14" s="11" t="s">
        <v>137</v>
      </c>
      <c r="Z14" s="14">
        <v>45900</v>
      </c>
      <c r="AA14" s="16" t="s">
        <v>224</v>
      </c>
    </row>
    <row r="15" spans="1:27">
      <c r="B15" s="11" t="s">
        <v>138</v>
      </c>
      <c r="C15" s="11" t="s">
        <v>176</v>
      </c>
      <c r="D15" s="2">
        <v>8.73</v>
      </c>
      <c r="E15" s="12" t="s">
        <v>136</v>
      </c>
      <c r="F15" s="15">
        <v>8.8626642550093448E-2</v>
      </c>
      <c r="G15" s="15">
        <f>F15 - Portfolio_Mgmt!$C$10</f>
        <v>-2.8773357449906556E-2</v>
      </c>
      <c r="H15" s="15">
        <f>F15 - Portfolio_Mgmt!$C$11</f>
        <v>5.4126642550093446E-2</v>
      </c>
      <c r="I15" s="15">
        <v>0</v>
      </c>
      <c r="J15" s="2">
        <v>4.7895979519113672</v>
      </c>
      <c r="K15" s="2">
        <v>9.3641570609339322</v>
      </c>
      <c r="L15" s="2">
        <v>9.0460821298724845</v>
      </c>
      <c r="M15" s="2">
        <v>5.9266084151981735</v>
      </c>
      <c r="N15" s="2">
        <v>8.1111667082917602</v>
      </c>
      <c r="O15" s="4">
        <v>3.5383547764291527E-2</v>
      </c>
      <c r="P15" s="4">
        <v>6.6437571592210753E-2</v>
      </c>
      <c r="Q15" s="4">
        <v>2.0056091670558843E-2</v>
      </c>
      <c r="R15" s="4">
        <v>0.38237459335905039</v>
      </c>
      <c r="S15" s="82">
        <v>4.8426484563194767E-2</v>
      </c>
      <c r="T15" s="81">
        <v>1.0831144117242246</v>
      </c>
      <c r="U15" s="15">
        <v>1.8509098960546238E-2</v>
      </c>
      <c r="V15" s="79">
        <v>1.1933697905849452</v>
      </c>
      <c r="W15" s="74">
        <v>11.511512740854835</v>
      </c>
      <c r="X15" s="13" t="s">
        <v>178</v>
      </c>
      <c r="Y15" s="11" t="s">
        <v>177</v>
      </c>
      <c r="Z15" s="14">
        <v>45900</v>
      </c>
      <c r="AA15" s="16" t="s">
        <v>224</v>
      </c>
    </row>
    <row r="16" spans="1:27">
      <c r="B16" s="11" t="s">
        <v>190</v>
      </c>
      <c r="C16" s="11" t="s">
        <v>191</v>
      </c>
      <c r="D16" s="2">
        <v>21.2</v>
      </c>
      <c r="E16" s="12" t="s">
        <v>136</v>
      </c>
      <c r="F16" s="15">
        <v>7.5371389103719322E-2</v>
      </c>
      <c r="G16" s="15">
        <f>F16 - Portfolio_Mgmt!$C$10</f>
        <v>-4.2028610896280683E-2</v>
      </c>
      <c r="H16" s="15">
        <f>F16 - Portfolio_Mgmt!$C$11</f>
        <v>4.0871389103719319E-2</v>
      </c>
      <c r="I16" s="15">
        <v>0</v>
      </c>
      <c r="J16" s="2">
        <v>11.235424773194682</v>
      </c>
      <c r="K16" s="2">
        <v>21.968758226348868</v>
      </c>
      <c r="L16" s="2">
        <v>21.220699139526428</v>
      </c>
      <c r="M16" s="2">
        <v>13.902724211890622</v>
      </c>
      <c r="N16" s="2">
        <v>19.027476031641555</v>
      </c>
      <c r="O16" s="4">
        <v>8.150877449856743E-2</v>
      </c>
      <c r="P16" s="4">
        <v>6.4150943396226429E-2</v>
      </c>
      <c r="Q16" s="4">
        <v>0.10515362778966494</v>
      </c>
      <c r="R16" s="4">
        <v>0.11295218450174714</v>
      </c>
      <c r="S16" s="82">
        <v>0.71055479556740742</v>
      </c>
      <c r="T16" s="81">
        <v>1.3101832741522048</v>
      </c>
      <c r="U16" s="15">
        <v>0.15818859882129041</v>
      </c>
      <c r="V16" s="79">
        <v>1.4550387206421544</v>
      </c>
      <c r="W16" s="74">
        <v>5.8696003638854428</v>
      </c>
      <c r="X16" s="13" t="s">
        <v>189</v>
      </c>
      <c r="Y16" s="11" t="s">
        <v>137</v>
      </c>
      <c r="Z16" s="14">
        <v>45808</v>
      </c>
      <c r="AA16" s="16" t="s">
        <v>224</v>
      </c>
    </row>
    <row r="17" spans="2:27">
      <c r="B17" s="11" t="s">
        <v>202</v>
      </c>
      <c r="C17" s="11" t="s">
        <v>203</v>
      </c>
      <c r="D17" s="2">
        <v>2.69</v>
      </c>
      <c r="E17" s="12" t="s">
        <v>136</v>
      </c>
      <c r="F17" s="15">
        <v>5.9288032965278736E-2</v>
      </c>
      <c r="G17" s="15">
        <f>F17 - Portfolio_Mgmt!$C$10</f>
        <v>-5.8111967034721268E-2</v>
      </c>
      <c r="H17" s="15">
        <f>F17 - Portfolio_Mgmt!$C$11</f>
        <v>2.4788032965278733E-2</v>
      </c>
      <c r="I17" s="15">
        <v>0</v>
      </c>
      <c r="J17" s="2">
        <v>1.344399475401113</v>
      </c>
      <c r="K17" s="2">
        <v>2.8431867356241205</v>
      </c>
      <c r="L17" s="2">
        <v>2.5781795288004727</v>
      </c>
      <c r="M17" s="2">
        <v>1.6730351128686265</v>
      </c>
      <c r="N17" s="2">
        <v>2.3064878252591741</v>
      </c>
      <c r="O17" s="4">
        <v>3.1371480345387628E-2</v>
      </c>
      <c r="P17" s="4">
        <v>4.1388015766705179E-2</v>
      </c>
      <c r="Q17" s="4">
        <v>4.3341722900326542E-2</v>
      </c>
      <c r="R17" s="4">
        <v>8.4125161433553086E-2</v>
      </c>
      <c r="S17" s="82">
        <v>0.42808280043619051</v>
      </c>
      <c r="T17" s="81">
        <v>1.2035176992971439</v>
      </c>
      <c r="U17" s="15">
        <v>1.0763175939415467E-2</v>
      </c>
      <c r="V17" s="79">
        <v>0.29882156160837919</v>
      </c>
      <c r="W17" s="74">
        <v>1.9162200850823776</v>
      </c>
      <c r="X17" s="13" t="s">
        <v>204</v>
      </c>
      <c r="Y17" s="11" t="s">
        <v>198</v>
      </c>
      <c r="Z17" s="14">
        <v>45900</v>
      </c>
      <c r="AA17" s="11" t="s">
        <v>224</v>
      </c>
    </row>
    <row r="18" spans="2:27">
      <c r="B18" s="11" t="s">
        <v>173</v>
      </c>
      <c r="C18" s="11" t="s">
        <v>196</v>
      </c>
      <c r="D18" s="2">
        <v>1.93</v>
      </c>
      <c r="E18" s="12" t="s">
        <v>136</v>
      </c>
      <c r="F18" s="15">
        <v>3.0673220771131549E-2</v>
      </c>
      <c r="G18" s="15">
        <f>F18 - Portfolio_Mgmt!$C$10</f>
        <v>-8.6726779228868456E-2</v>
      </c>
      <c r="H18" s="15">
        <f>F18 - Portfolio_Mgmt!$C$11</f>
        <v>-3.8267792288684543E-3</v>
      </c>
      <c r="I18" s="15">
        <v>0</v>
      </c>
      <c r="J18" s="2">
        <v>0.8588532832629947</v>
      </c>
      <c r="K18" s="2">
        <v>2.1131011468081908</v>
      </c>
      <c r="L18" s="2">
        <v>1.7009631025661165</v>
      </c>
      <c r="M18" s="2">
        <v>1.0819077871657936</v>
      </c>
      <c r="N18" s="2">
        <v>1.514587208466269</v>
      </c>
      <c r="O18" s="4">
        <v>4.96769753602949E-3</v>
      </c>
      <c r="P18" s="4">
        <v>0</v>
      </c>
      <c r="Q18" s="4">
        <v>3.7288355461672987E-3</v>
      </c>
      <c r="R18" s="4">
        <v>2.8327145387125552E-2</v>
      </c>
      <c r="S18" s="82">
        <v>0.11998888979909481</v>
      </c>
      <c r="T18" s="81">
        <v>1.0970574812713703</v>
      </c>
      <c r="U18" s="15">
        <v>1.4790654865358754E-2</v>
      </c>
      <c r="V18" s="79">
        <v>3.4432102574884196</v>
      </c>
      <c r="W18" s="74">
        <v>2.0258239687205015</v>
      </c>
      <c r="X18" s="13" t="s">
        <v>197</v>
      </c>
      <c r="Y18" s="11" t="s">
        <v>198</v>
      </c>
      <c r="Z18" s="14">
        <v>45900</v>
      </c>
      <c r="AA18" s="11" t="s">
        <v>224</v>
      </c>
    </row>
    <row r="19" spans="2:27">
      <c r="B19" s="11" t="s">
        <v>237</v>
      </c>
      <c r="C19" s="11" t="s">
        <v>238</v>
      </c>
      <c r="D19" s="2">
        <v>50.5</v>
      </c>
      <c r="E19" s="12" t="s">
        <v>136</v>
      </c>
      <c r="F19" s="15">
        <v>-9.1795592256709635E-2</v>
      </c>
      <c r="G19" s="15">
        <f>F19 - Portfolio_Mgmt!$C$10</f>
        <v>-0.20919559225670964</v>
      </c>
      <c r="H19" s="15">
        <f>F19 - Portfolio_Mgmt!$C$11</f>
        <v>-0.12629559225670964</v>
      </c>
      <c r="I19" s="15">
        <v>0</v>
      </c>
      <c r="J19" s="2">
        <v>16.263215095202757</v>
      </c>
      <c r="K19" s="2">
        <v>33.685558220029087</v>
      </c>
      <c r="L19" s="2">
        <v>31.059525977948461</v>
      </c>
      <c r="M19" s="2">
        <v>20.207425906416173</v>
      </c>
      <c r="N19" s="2">
        <v>27.803448734546343</v>
      </c>
      <c r="O19" s="4">
        <v>4.9609440228540344E-2</v>
      </c>
      <c r="P19" s="4">
        <v>3.0031854586930692E-2</v>
      </c>
      <c r="Q19" s="4">
        <v>0.21039827332068567</v>
      </c>
      <c r="R19" s="4">
        <v>0.21042753223383909</v>
      </c>
      <c r="S19" s="82">
        <v>0.51682300464832642</v>
      </c>
      <c r="T19" s="81">
        <v>1.9346293526540752</v>
      </c>
      <c r="U19" s="15">
        <v>0.19606600851240996</v>
      </c>
      <c r="V19" s="79">
        <v>0.84886197155458731</v>
      </c>
      <c r="W19" s="74">
        <v>-6.0099460564163278</v>
      </c>
      <c r="X19" s="13" t="s">
        <v>204</v>
      </c>
      <c r="Y19" s="11" t="s">
        <v>137</v>
      </c>
      <c r="Z19" s="14">
        <v>45900</v>
      </c>
      <c r="AA19" s="11" t="s">
        <v>224</v>
      </c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5" sqref="D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4.2999999999999997E-2</v>
      </c>
      <c r="D4" s="34">
        <v>7.4999999999999997E-2</v>
      </c>
      <c r="E4" s="35">
        <f>D4-C4</f>
        <v>3.2000000000000001E-2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5"/>
  <sheetViews>
    <sheetView showGridLines="0" zoomScaleNormal="100" workbookViewId="0">
      <selection activeCell="C19" sqref="C19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f>118725.1+291336.37</f>
        <v>410061.47</v>
      </c>
      <c r="G3" s="61">
        <f>F3/$F$10</f>
        <v>0.4308628973138538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185</v>
      </c>
      <c r="C4" s="63">
        <f>VLOOKUP(B4,Opportunities!B$3:E$30,3,FALSE)</f>
        <v>6.85</v>
      </c>
      <c r="D4" s="62" t="str">
        <f>VLOOKUP(B4,Opportunities!B$3:E$30,4,FALSE)</f>
        <v>HKD</v>
      </c>
      <c r="E4" s="59">
        <v>10000</v>
      </c>
      <c r="F4" s="64">
        <f>E4*C4</f>
        <v>68500</v>
      </c>
      <c r="G4" s="61">
        <f>F4/$F$10</f>
        <v>7.197483944541043E-2</v>
      </c>
      <c r="H4" s="61">
        <f>VLOOKUP(B4,Opportunities!B$3:I$30,8,FALSE)</f>
        <v>0</v>
      </c>
      <c r="I4" s="84">
        <f>VLOOKUP(B4,Opportunities!B$3:N$30,12,FALSE)</f>
        <v>5.3464424880220154</v>
      </c>
      <c r="J4" s="84">
        <f>VLOOKUP(B4,Opportunities!B$3:N$30,9,FALSE)</f>
        <v>4.302376217360723</v>
      </c>
      <c r="K4" s="84">
        <f>VLOOKUP(B4,Opportunities!B$3:N$30,11,FALSE)</f>
        <v>8.2193173729615232</v>
      </c>
      <c r="L4" s="84">
        <f>VLOOKUP(B4,Opportunities!B$3:N$30,13,FALSE)</f>
        <v>7.3573090718265259</v>
      </c>
    </row>
    <row r="5" spans="1:12">
      <c r="B5" s="66" t="s">
        <v>163</v>
      </c>
      <c r="C5" s="63">
        <f>VLOOKUP(B5,Opportunities!B$3:E$30,3,FALSE)</f>
        <v>16.84</v>
      </c>
      <c r="D5" s="62" t="str">
        <f>VLOOKUP(B5,Opportunities!B$3:E$30,4,FALSE)</f>
        <v>HKD</v>
      </c>
      <c r="E5" s="59">
        <v>9000</v>
      </c>
      <c r="F5" s="64">
        <f>C5*E5</f>
        <v>151560</v>
      </c>
      <c r="G5" s="61">
        <f>F5/$F$10</f>
        <v>0.15924827250140738</v>
      </c>
      <c r="H5" s="61">
        <f>VLOOKUP(B5,Opportunities!B$3:I$30,8,FALSE)</f>
        <v>0</v>
      </c>
      <c r="I5" s="84">
        <f>VLOOKUP(B5,Opportunities!B$3:N$30,12,FALSE)</f>
        <v>14.08073390399036</v>
      </c>
      <c r="J5" s="84">
        <f>VLOOKUP(B5,Opportunities!B$3:N$30,9,FALSE)</f>
        <v>11.248018344731374</v>
      </c>
      <c r="K5" s="84">
        <f>VLOOKUP(B5,Opportunities!B$3:N$30,11,FALSE)</f>
        <v>21.912601244867734</v>
      </c>
      <c r="L5" s="84">
        <f>VLOOKUP(B5,Opportunities!B$3:N$30,13,FALSE)</f>
        <v>19.558218647361212</v>
      </c>
    </row>
    <row r="6" spans="1:12">
      <c r="B6" s="66" t="s">
        <v>210</v>
      </c>
      <c r="C6" s="63">
        <f>VLOOKUP(B6,Opportunities!B$3:E$30,3,FALSE)</f>
        <v>18</v>
      </c>
      <c r="D6" s="62" t="str">
        <f>VLOOKUP(B6,Opportunities!B$3:E$30,4,FALSE)</f>
        <v>HKD</v>
      </c>
      <c r="E6" s="59">
        <v>8000</v>
      </c>
      <c r="F6" s="64">
        <f>C6*E6</f>
        <v>144000</v>
      </c>
      <c r="G6" s="61">
        <f>F6/$F$10</f>
        <v>0.15130477197283362</v>
      </c>
      <c r="H6" s="61">
        <f>VLOOKUP(B6,Opportunities!B$3:I$30,8,FALSE)</f>
        <v>0</v>
      </c>
      <c r="I6" s="84">
        <f>VLOOKUP(B6,Opportunities!B$3:N$30,12,FALSE)</f>
        <v>17.045061503909807</v>
      </c>
      <c r="J6" s="84">
        <f>VLOOKUP(B6,Opportunities!B$3:N$30,9,FALSE)</f>
        <v>13.715281511893041</v>
      </c>
      <c r="K6" s="84">
        <f>VLOOKUP(B6,Opportunities!B$3:N$30,11,FALSE)</f>
        <v>26.20788468925662</v>
      </c>
      <c r="L6" s="84">
        <f>VLOOKUP(B6,Opportunities!B$3:N$30,13,FALSE)</f>
        <v>23.458509744690723</v>
      </c>
    </row>
    <row r="7" spans="1:12">
      <c r="B7" s="66" t="s">
        <v>227</v>
      </c>
      <c r="C7" s="63">
        <f>VLOOKUP(B7,Opportunities!B$3:E$30,3,FALSE)</f>
        <v>6.2</v>
      </c>
      <c r="D7" s="62" t="str">
        <f>VLOOKUP(B7,Opportunities!B$3:E$30,4,FALSE)</f>
        <v>HKD</v>
      </c>
      <c r="E7" s="59">
        <v>10000</v>
      </c>
      <c r="F7" s="64">
        <f>C7*E7</f>
        <v>62000</v>
      </c>
      <c r="G7" s="61">
        <f t="shared" ref="G7" si="0">F7/$F$10</f>
        <v>6.5145110154970029E-2</v>
      </c>
      <c r="H7" s="61">
        <f>VLOOKUP(B7,Opportunities!B$3:I$30,8,FALSE)</f>
        <v>0</v>
      </c>
      <c r="I7" s="84">
        <f>VLOOKUP(B7,Opportunities!B$3:N$30,12,FALSE)</f>
        <v>4.4732258849914697</v>
      </c>
      <c r="J7" s="84">
        <f>VLOOKUP(B7,Opportunities!B$3:N$30,9,FALSE)</f>
        <v>3.6036658259915511</v>
      </c>
      <c r="K7" s="84">
        <f>VLOOKUP(B7,Opportunities!B$3:N$30,11,FALSE)</f>
        <v>6.8641356814360206</v>
      </c>
      <c r="L7" s="84">
        <f>VLOOKUP(B7,Opportunities!B$3:N$30,13,FALSE)</f>
        <v>6.1469536878205542</v>
      </c>
    </row>
    <row r="8" spans="1:12">
      <c r="B8" s="66" t="s">
        <v>230</v>
      </c>
      <c r="C8" s="63">
        <f>VLOOKUP(B8,Opportunities!B$3:E$30,3,FALSE)</f>
        <v>2.89</v>
      </c>
      <c r="D8" s="62" t="str">
        <f>VLOOKUP(B8,Opportunities!B$3:E$30,4,FALSE)</f>
        <v>HKD</v>
      </c>
      <c r="E8" s="59">
        <v>40000</v>
      </c>
      <c r="F8" s="64">
        <f>C8*E8</f>
        <v>115600</v>
      </c>
      <c r="G8" s="61">
        <f t="shared" ref="G8" si="1">F8/$F$10</f>
        <v>0.12146410861152476</v>
      </c>
      <c r="H8" s="61">
        <f>VLOOKUP(B8,Opportunities!B$3:I$30,8,FALSE)</f>
        <v>0</v>
      </c>
      <c r="I8" s="84">
        <f>VLOOKUP(B8,Opportunities!B$3:N$30,12,FALSE)</f>
        <v>2.823790530515998</v>
      </c>
      <c r="J8" s="84">
        <f>VLOOKUP(B8,Opportunities!B$3:N$30,9,FALSE)</f>
        <v>2.2811221378505544</v>
      </c>
      <c r="K8" s="84">
        <f>VLOOKUP(B8,Opportunities!B$3:N$30,11,FALSE)</f>
        <v>4.3130669791905083</v>
      </c>
      <c r="L8" s="84">
        <f>VLOOKUP(B8,Opportunities!B$3:N$30,13,FALSE)</f>
        <v>3.8666759160925035</v>
      </c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166</v>
      </c>
      <c r="F10" s="69">
        <f>SUM(F3:F8)</f>
        <v>951721.47</v>
      </c>
      <c r="G10" s="70">
        <f>SUM(G3:G8)</f>
        <v>1</v>
      </c>
      <c r="H10" s="76">
        <f>SUM(H3:H8)</f>
        <v>0.45</v>
      </c>
      <c r="I10" s="85" t="s">
        <v>236</v>
      </c>
      <c r="J10" s="85" t="s">
        <v>236</v>
      </c>
      <c r="K10" s="85" t="s">
        <v>236</v>
      </c>
      <c r="L10" s="85" t="s">
        <v>236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164</v>
      </c>
    </row>
    <row r="13" spans="1:12">
      <c r="B13" s="66" t="s">
        <v>230</v>
      </c>
      <c r="C13" s="63">
        <f>VLOOKUP(B13,Opportunities!B$3:E$30,3,FALSE)</f>
        <v>2.89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-F13/$F$10</f>
        <v>0</v>
      </c>
      <c r="H13" s="61">
        <f>VLOOKUP(B13,Opportunities!B$3:I$30,8,FALSE)</f>
        <v>0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B14" s="66" t="s">
        <v>185</v>
      </c>
      <c r="C14" s="63">
        <f>VLOOKUP(B14,Opportunities!B$3:E$30,3,FALSE)</f>
        <v>6.85</v>
      </c>
      <c r="D14" s="62" t="str">
        <f>VLOOKUP(B14,Opportunities!B$3:E$30,4,FALSE)</f>
        <v>HKD</v>
      </c>
      <c r="E14" s="59">
        <v>0</v>
      </c>
      <c r="F14" s="64">
        <f>-C14*E14</f>
        <v>0</v>
      </c>
      <c r="G14" s="61">
        <f>-F14/$F$10</f>
        <v>0</v>
      </c>
      <c r="H14" s="61">
        <f>VLOOKUP(B14,Opportunities!B$3:I$30,8,FALSE)</f>
        <v>0</v>
      </c>
      <c r="I14" s="84">
        <f>VLOOKUP(B14,Opportunities!B$3:N$30,12,FALSE)</f>
        <v>5.3464424880220154</v>
      </c>
      <c r="J14" s="84">
        <f>VLOOKUP(B14,Opportunities!B$3:N$30,9,FALSE)</f>
        <v>4.302376217360723</v>
      </c>
      <c r="K14" s="84">
        <f>VLOOKUP(B14,Opportunities!B$3:N$30,11,FALSE)</f>
        <v>8.2193173729615232</v>
      </c>
      <c r="L14" s="84">
        <f>VLOOKUP(B14,Opportunities!B$3:N$30,13,FALSE)</f>
        <v>7.3573090718265259</v>
      </c>
    </row>
    <row r="15" spans="1:12">
      <c r="B15" s="66" t="s">
        <v>227</v>
      </c>
      <c r="C15" s="63">
        <f>VLOOKUP(B15,Opportunities!B$3:E$30,3,FALSE)</f>
        <v>6.2</v>
      </c>
      <c r="D15" s="62" t="str">
        <f>VLOOKUP(B15,Opportunities!B$3:E$30,4,FALSE)</f>
        <v>HKD</v>
      </c>
      <c r="E15" s="59">
        <v>0</v>
      </c>
      <c r="F15" s="64">
        <f>-C15*E15</f>
        <v>0</v>
      </c>
      <c r="G15" s="61">
        <f>-F15/$F$10</f>
        <v>0</v>
      </c>
      <c r="H15" s="61">
        <f>VLOOKUP(B15,Opportunities!B$3:I$30,8,FALSE)</f>
        <v>0</v>
      </c>
      <c r="I15" s="84">
        <f>VLOOKUP(B15,Opportunities!B$3:N$30,12,FALSE)</f>
        <v>4.4732258849914697</v>
      </c>
      <c r="J15" s="84">
        <f>VLOOKUP(B15,Opportunities!B$3:N$30,9,FALSE)</f>
        <v>3.6036658259915511</v>
      </c>
      <c r="K15" s="84">
        <f>VLOOKUP(B15,Opportunities!B$3:N$30,11,FALSE)</f>
        <v>6.8641356814360206</v>
      </c>
      <c r="L15" s="84">
        <f>VLOOKUP(B15,Opportunities!B$3:N$30,13,FALSE)</f>
        <v>6.1469536878205542</v>
      </c>
    </row>
    <row r="16" spans="1:12">
      <c r="B16" s="66" t="s">
        <v>210</v>
      </c>
      <c r="C16" s="63">
        <f>VLOOKUP(B16,Opportunities!B$3:E$30,3,FALSE)</f>
        <v>18</v>
      </c>
      <c r="D16" s="62" t="str">
        <f>VLOOKUP(B16,Opportunities!B$3:E$30,4,FALSE)</f>
        <v>HKD</v>
      </c>
      <c r="E16" s="59">
        <v>0</v>
      </c>
      <c r="F16" s="64">
        <f>-C16*E16</f>
        <v>0</v>
      </c>
      <c r="G16" s="61">
        <f>-F16/$F$10</f>
        <v>0</v>
      </c>
      <c r="H16" s="61">
        <f>VLOOKUP(B16,Opportunities!B$3:I$30,8,FALSE)</f>
        <v>0</v>
      </c>
      <c r="I16" s="84">
        <f>VLOOKUP(B16,Opportunities!B$3:N$30,12,FALSE)</f>
        <v>17.045061503909807</v>
      </c>
      <c r="J16" s="84">
        <f>VLOOKUP(B16,Opportunities!B$3:N$30,9,FALSE)</f>
        <v>13.715281511893041</v>
      </c>
      <c r="K16" s="84">
        <f>VLOOKUP(B16,Opportunities!B$3:N$30,11,FALSE)</f>
        <v>26.20788468925662</v>
      </c>
      <c r="L16" s="84">
        <f>VLOOKUP(B16,Opportunities!B$3:N$30,13,FALSE)</f>
        <v>23.458509744690723</v>
      </c>
    </row>
    <row r="17" spans="1:12">
      <c r="G17" s="75"/>
      <c r="H17" s="75"/>
    </row>
    <row r="18" spans="1:12" ht="13.15">
      <c r="B18" s="71" t="s">
        <v>165</v>
      </c>
      <c r="C18" s="72" t="s">
        <v>159</v>
      </c>
      <c r="D18" s="73" t="s">
        <v>136</v>
      </c>
      <c r="E18" s="72" t="s">
        <v>159</v>
      </c>
      <c r="F18" s="69">
        <f>F3+SUM(F13:F16)</f>
        <v>410061.47</v>
      </c>
      <c r="G18" s="76">
        <f t="shared" ref="G18" si="2">F18/$F$10</f>
        <v>0.4308628973138538</v>
      </c>
      <c r="H18" s="76">
        <f>Portfolio_Mgmt!E66</f>
        <v>0.45</v>
      </c>
      <c r="I18" s="85" t="s">
        <v>236</v>
      </c>
      <c r="J18" s="85" t="s">
        <v>236</v>
      </c>
      <c r="K18" s="85" t="s">
        <v>236</v>
      </c>
      <c r="L18" s="85" t="s">
        <v>236</v>
      </c>
    </row>
    <row r="20" spans="1:12" ht="13.15">
      <c r="A20" s="51"/>
      <c r="B20" s="52" t="s">
        <v>239</v>
      </c>
      <c r="C20" s="58"/>
      <c r="D20" s="55"/>
      <c r="E20" s="59"/>
      <c r="F20" s="59"/>
    </row>
    <row r="21" spans="1:12" ht="13.15">
      <c r="C21" s="87" t="s">
        <v>240</v>
      </c>
      <c r="D21" s="87" t="s">
        <v>243</v>
      </c>
      <c r="E21" s="87" t="s">
        <v>244</v>
      </c>
    </row>
    <row r="22" spans="1:12" ht="14.25">
      <c r="B22" s="86" t="s">
        <v>241</v>
      </c>
      <c r="C22" s="91">
        <v>200000</v>
      </c>
      <c r="D22" s="92">
        <v>7.8629699999999998</v>
      </c>
      <c r="E22" s="89">
        <f>C22/D22</f>
        <v>25435.681428264383</v>
      </c>
    </row>
    <row r="23" spans="1:12" ht="14.25">
      <c r="B23" s="86" t="s">
        <v>242</v>
      </c>
      <c r="C23" s="89">
        <f>E22</f>
        <v>25435.681428264383</v>
      </c>
      <c r="D23" s="92">
        <v>7.8387000000000002</v>
      </c>
      <c r="E23" s="88">
        <f>C23*D23</f>
        <v>199382.67601173601</v>
      </c>
    </row>
    <row r="24" spans="1:12" ht="14.25">
      <c r="C24"/>
      <c r="D24"/>
      <c r="E24"/>
    </row>
    <row r="25" spans="1:12" ht="14.25">
      <c r="C25"/>
      <c r="D25" s="90" t="s">
        <v>245</v>
      </c>
      <c r="E25" s="88">
        <f>C22-E23</f>
        <v>617.32398826399003</v>
      </c>
    </row>
    <row r="30" spans="1:12">
      <c r="B30" s="55"/>
      <c r="C30" s="58"/>
      <c r="D30" s="55"/>
      <c r="E30" s="59"/>
      <c r="F30" s="59"/>
    </row>
    <row r="31" spans="1:12">
      <c r="B31" s="55"/>
      <c r="C31" s="58"/>
      <c r="D31" s="55"/>
      <c r="E31" s="59"/>
      <c r="F31" s="59"/>
    </row>
    <row r="32" spans="1:12">
      <c r="B32" s="55"/>
      <c r="C32" s="58"/>
      <c r="D32" s="55"/>
      <c r="E32" s="59"/>
      <c r="F32" s="59"/>
    </row>
    <row r="33" spans="2:6">
      <c r="B33" s="55"/>
      <c r="C33" s="58"/>
      <c r="D33" s="55"/>
      <c r="E33" s="59"/>
      <c r="F33" s="59"/>
    </row>
    <row r="34" spans="2:6">
      <c r="B34" s="55"/>
      <c r="C34" s="58"/>
      <c r="D34" s="55"/>
      <c r="E34" s="59"/>
      <c r="F34" s="59"/>
    </row>
    <row r="35" spans="2:6">
      <c r="B35" s="55"/>
      <c r="C35" s="56"/>
      <c r="D35" s="55"/>
      <c r="E35" s="57"/>
      <c r="F35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2" t="s">
        <v>88</v>
      </c>
      <c r="C3" s="122"/>
      <c r="D3" s="122"/>
    </row>
    <row r="5" spans="1:4">
      <c r="B5" s="123" t="s">
        <v>90</v>
      </c>
      <c r="C5" s="124"/>
      <c r="D5" s="124"/>
    </row>
    <row r="6" spans="1:4">
      <c r="B6" s="123" t="s">
        <v>91</v>
      </c>
      <c r="C6" s="124"/>
      <c r="D6" s="12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2" t="s">
        <v>93</v>
      </c>
      <c r="C11" s="122"/>
      <c r="D11" s="122"/>
    </row>
    <row r="12" spans="1:4">
      <c r="B12" s="122" t="s">
        <v>94</v>
      </c>
      <c r="C12" s="122"/>
      <c r="D12" s="12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2" t="s">
        <v>106</v>
      </c>
      <c r="C28" s="122"/>
      <c r="D28" s="122"/>
    </row>
    <row r="29" spans="1:4">
      <c r="B29" s="122" t="s">
        <v>107</v>
      </c>
      <c r="C29" s="122"/>
      <c r="D29" s="12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</vt:i4>
      </vt:variant>
    </vt:vector>
  </HeadingPairs>
  <TitlesOfParts>
    <vt:vector size="8" baseType="lpstr"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2025-07-07T01:29:58Z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