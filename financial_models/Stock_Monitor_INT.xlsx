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9712293-49A9-448F-BEFF-A75F68EC7657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<sst xmlns="http://schemas.openxmlformats.org/spreadsheetml/2006/main" count="495" uniqueCount="394">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</sst>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6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11" sqref="O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10.220000000000001</v>
      </c>
      <c r="E3" s="12" t="s">
        <v>118</v>
      </c>
      <c r="F3" s="15">
        <v>0.27688421282304937</v>
      </c>
      <c r="G3" s="15">
        <v>0.13981796576577574</v>
      </c>
      <c r="H3" s="2">
        <v>9.7075341889511311</v>
      </c>
      <c r="I3" s="2">
        <v>18.881074526525641</v>
      </c>
      <c r="J3" s="71">
        <v>16.906770477370156</v>
      </c>
      <c r="K3" s="2">
        <v>12.218089145906044</v>
      </c>
      <c r="L3" s="2">
        <v>15.012439335256746</v>
      </c>
      <c r="M3" s="4">
        <v>9.9939871661782059E-2</v>
      </c>
      <c r="N3" s="4">
        <v>5.9992890410958899E-2</v>
      </c>
      <c r="O3" s="4">
        <v>0.10095807260143744</v>
      </c>
      <c r="P3" s="4">
        <v>0.12639817006987511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1.7717247567650212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375</v>
      </c>
      <c r="C4" s="11" t="s">
        <v>376</v>
      </c>
      <c r="D4" s="2">
        <v>36.479999999999997</v>
      </c>
      <c r="E4" s="12" t="s">
        <v>118</v>
      </c>
      <c r="F4" s="15">
        <v>0.24987629123293953</v>
      </c>
      <c r="G4" s="15">
        <v>0.12146397439639096</v>
      </c>
      <c r="H4" s="2">
        <v>32.432459888673442</v>
      </c>
      <c r="I4" s="2">
        <v>70.687534375415567</v>
      </c>
      <c r="J4" s="71">
        <v>57.670470291434079</v>
      </c>
      <c r="K4" s="2">
        <v>41.206258319106226</v>
      </c>
      <c r="L4" s="2">
        <v>51.008614564053516</v>
      </c>
      <c r="M4" s="4">
        <v>6.4143933883932178E-2</v>
      </c>
      <c r="N4" s="4">
        <v>3.8925438596491228E-3</v>
      </c>
      <c r="O4" s="4">
        <v>0.11150835231775919</v>
      </c>
      <c r="P4" s="4">
        <v>0.28146521974317368</v>
      </c>
      <c r="Q4" s="79">
        <v>0.32092624022161098</v>
      </c>
      <c r="R4" s="78">
        <v>1.2344611679711017</v>
      </c>
      <c r="S4" s="15">
        <v>3.8049367850692354E-3</v>
      </c>
      <c r="T4" s="76">
        <v>3.432051788351935E-2</v>
      </c>
      <c r="U4" s="71">
        <v>11.420266061550475</v>
      </c>
      <c r="V4" s="13" t="s">
        <v>359</v>
      </c>
      <c r="W4" s="11" t="s">
        <v>339</v>
      </c>
      <c r="X4" s="14">
        <v>46265</v>
      </c>
      <c r="Y4" s="16" t="s">
        <v>352</v>
      </c>
    </row>
    <row r="5" spans="1:25">
      <c r="B5" s="11" t="s">
        <v>360</v>
      </c>
      <c r="C5" s="11" t="s">
        <v>361</v>
      </c>
      <c r="D5" s="2">
        <v>68.5</v>
      </c>
      <c r="E5" s="12" t="s">
        <v>118</v>
      </c>
      <c r="F5" s="15">
        <v>0.24694203782500182</v>
      </c>
      <c r="G5" s="15">
        <v>7.9480205523640227E-2</v>
      </c>
      <c r="H5" s="2">
        <v>60.996890955404538</v>
      </c>
      <c r="I5" s="2">
        <v>108.55556542902379</v>
      </c>
      <c r="J5" s="71">
        <v>104.66135386065253</v>
      </c>
      <c r="K5" s="2">
        <v>76.260017030685063</v>
      </c>
      <c r="L5" s="2">
        <v>93.199772643089418</v>
      </c>
      <c r="M5" s="4">
        <v>0.1326228690896413</v>
      </c>
      <c r="N5" s="4">
        <v>9.3132846715328468E-2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-19.282621233832952</v>
      </c>
      <c r="V5" s="13" t="s">
        <v>354</v>
      </c>
      <c r="W5" s="11" t="s">
        <v>351</v>
      </c>
      <c r="X5" s="14">
        <v>46081</v>
      </c>
      <c r="Y5" s="16" t="s">
        <v>340</v>
      </c>
    </row>
    <row r="6" spans="1:25">
      <c r="B6" s="11" t="s">
        <v>355</v>
      </c>
      <c r="C6" s="11" t="s">
        <v>356</v>
      </c>
      <c r="D6" s="2">
        <v>6.34</v>
      </c>
      <c r="E6" s="12" t="s">
        <v>118</v>
      </c>
      <c r="F6" s="15">
        <v>0.22964743940995341</v>
      </c>
      <c r="G6" s="15">
        <v>0.10479684973015331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7.4310191459831018E-2</v>
      </c>
      <c r="N6" s="4">
        <v>2.2397476340694004E-2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354</v>
      </c>
      <c r="W6" s="11" t="s">
        <v>339</v>
      </c>
      <c r="X6" s="14">
        <v>46081</v>
      </c>
      <c r="Y6" s="16" t="s">
        <v>352</v>
      </c>
    </row>
    <row r="7" spans="1:25">
      <c r="B7" s="11" t="s">
        <v>309</v>
      </c>
      <c r="C7" s="11" t="s">
        <v>341</v>
      </c>
      <c r="D7" s="2">
        <v>7.18</v>
      </c>
      <c r="E7" s="12" t="s">
        <v>118</v>
      </c>
      <c r="F7" s="15">
        <v>0.2112352065443189</v>
      </c>
      <c r="G7" s="15">
        <v>5.7849405855317892E-2</v>
      </c>
      <c r="H7" s="2">
        <v>5.8531553267288263</v>
      </c>
      <c r="I7" s="2">
        <v>11.571771919909434</v>
      </c>
      <c r="J7" s="71">
        <v>10.223148602110554</v>
      </c>
      <c r="K7" s="2">
        <v>7.3764085520869402</v>
      </c>
      <c r="L7" s="2">
        <v>9.0727573917430053</v>
      </c>
      <c r="M7" s="4">
        <v>9.9479999006785419E-2</v>
      </c>
      <c r="N7" s="4">
        <v>4.4945592844011138E-2</v>
      </c>
      <c r="O7" s="4">
        <v>0.17172007594037353</v>
      </c>
      <c r="P7" s="4">
        <v>8.360619246462335E-2</v>
      </c>
      <c r="Q7" s="79">
        <v>1.3282158707615834</v>
      </c>
      <c r="R7" s="78">
        <v>1.5463719418456539</v>
      </c>
      <c r="S7" s="15">
        <v>0.22428295339746124</v>
      </c>
      <c r="T7" s="76">
        <v>1.2715557492373779</v>
      </c>
      <c r="U7" s="71">
        <v>-2.9963920551187653</v>
      </c>
      <c r="V7" s="13" t="s">
        <v>342</v>
      </c>
      <c r="W7" s="11" t="s">
        <v>339</v>
      </c>
      <c r="X7" s="14">
        <v>46081</v>
      </c>
      <c r="Y7" s="16" t="s">
        <v>340</v>
      </c>
    </row>
    <row r="8" spans="1:25">
      <c r="B8" s="11" t="s">
        <v>307</v>
      </c>
      <c r="C8" s="11" t="s">
        <v>362</v>
      </c>
      <c r="D8" s="2">
        <v>4.37</v>
      </c>
      <c r="E8" s="12" t="s">
        <v>118</v>
      </c>
      <c r="F8" s="15">
        <v>0.20120265203006818</v>
      </c>
      <c r="G8" s="15">
        <v>5.0354730619717264E-2</v>
      </c>
      <c r="H8" s="2">
        <v>3.4947017610502455</v>
      </c>
      <c r="I8" s="2">
        <v>6.4808597690273908</v>
      </c>
      <c r="J8" s="71">
        <v>6.0371156176035647</v>
      </c>
      <c r="K8" s="2">
        <v>4.3824419959649301</v>
      </c>
      <c r="L8" s="2">
        <v>5.3690045329034906</v>
      </c>
      <c r="M8" s="4">
        <v>9.2430933330035159E-2</v>
      </c>
      <c r="N8" s="4">
        <v>6.8649885583524042E-2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354</v>
      </c>
      <c r="W8" s="11" t="s">
        <v>351</v>
      </c>
      <c r="X8" s="14">
        <v>46173</v>
      </c>
      <c r="Y8" s="16" t="s">
        <v>340</v>
      </c>
    </row>
    <row r="9" spans="1:25">
      <c r="B9" s="11" t="s">
        <v>357</v>
      </c>
      <c r="C9" s="11" t="s">
        <v>358</v>
      </c>
      <c r="D9" s="2">
        <v>79.8</v>
      </c>
      <c r="E9" s="12" t="s">
        <v>118</v>
      </c>
      <c r="F9" s="15">
        <v>0.1998906433334835</v>
      </c>
      <c r="G9" s="15">
        <v>7.3976704764234125E-2</v>
      </c>
      <c r="H9" s="2">
        <v>63.478269219256582</v>
      </c>
      <c r="I9" s="2">
        <v>121.18356747470673</v>
      </c>
      <c r="J9" s="71">
        <v>110.19902954356174</v>
      </c>
      <c r="K9" s="2">
        <v>79.779170992307144</v>
      </c>
      <c r="L9" s="2">
        <v>97.911716370031598</v>
      </c>
      <c r="M9" s="4">
        <v>6.8227698694334107E-2</v>
      </c>
      <c r="N9" s="4">
        <v>5.7406015037593995E-2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1.463374176864898</v>
      </c>
      <c r="V9" s="13" t="s">
        <v>359</v>
      </c>
      <c r="W9" s="11" t="s">
        <v>339</v>
      </c>
      <c r="X9" s="14">
        <v>46081</v>
      </c>
      <c r="Y9" s="16" t="s">
        <v>352</v>
      </c>
    </row>
    <row r="10" spans="1:25">
      <c r="B10" s="11" t="s">
        <v>364</v>
      </c>
      <c r="C10" s="11" t="s">
        <v>365</v>
      </c>
      <c r="D10" s="2">
        <v>37.54</v>
      </c>
      <c r="E10" s="12" t="s">
        <v>118</v>
      </c>
      <c r="F10" s="15">
        <v>0.19768609694462866</v>
      </c>
      <c r="G10" s="15">
        <v>7.1315774021508682E-2</v>
      </c>
      <c r="H10" s="2">
        <v>29.58897514146128</v>
      </c>
      <c r="I10" s="2">
        <v>59.294088405790447</v>
      </c>
      <c r="J10" s="71">
        <v>51.804357924797927</v>
      </c>
      <c r="K10" s="2">
        <v>37.329772966313911</v>
      </c>
      <c r="L10" s="2">
        <v>45.954024090114018</v>
      </c>
      <c r="M10" s="4">
        <v>7.6192782411883403E-2</v>
      </c>
      <c r="N10" s="4">
        <v>3.8140703249866813E-2</v>
      </c>
      <c r="O10" s="4">
        <v>0.2658092571428613</v>
      </c>
      <c r="P10" s="4">
        <v>0.20771863979883598</v>
      </c>
      <c r="Q10" s="79">
        <v>0.65265738052043343</v>
      </c>
      <c r="R10" s="78">
        <v>1.9606920057834423</v>
      </c>
      <c r="S10" s="15">
        <v>0.67283405398617657</v>
      </c>
      <c r="T10" s="76">
        <v>2.2041306156151999</v>
      </c>
      <c r="U10" s="71">
        <v>-6.1687477972482672</v>
      </c>
      <c r="V10" s="16" t="s">
        <v>354</v>
      </c>
      <c r="W10" s="11" t="s">
        <v>339</v>
      </c>
      <c r="X10" s="14">
        <v>46081</v>
      </c>
      <c r="Y10" s="16" t="s">
        <v>352</v>
      </c>
    </row>
    <row r="11" spans="1:25">
      <c r="B11" s="11" t="s">
        <v>343</v>
      </c>
      <c r="C11" s="11" t="s">
        <v>363</v>
      </c>
      <c r="D11" s="2">
        <v>112.9</v>
      </c>
      <c r="E11" s="12" t="s">
        <v>118</v>
      </c>
      <c r="F11" s="15">
        <v>0.18725701800349778</v>
      </c>
      <c r="G11" s="15">
        <v>5.7861363833229977E-2</v>
      </c>
      <c r="H11" s="2">
        <v>86.628066101723547</v>
      </c>
      <c r="I11" s="2">
        <v>176.31696122548666</v>
      </c>
      <c r="J11" s="71">
        <v>152.09245880426215</v>
      </c>
      <c r="K11" s="2">
        <v>109.42902848697145</v>
      </c>
      <c r="L11" s="2">
        <v>134.84525139520019</v>
      </c>
      <c r="M11" s="4">
        <v>-1.01762339939025E-2</v>
      </c>
      <c r="N11" s="4">
        <v>3.1089459698848534E-2</v>
      </c>
      <c r="O11" s="4">
        <v>0.15</v>
      </c>
      <c r="P11" s="4">
        <v>3.3662787366748527E-2</v>
      </c>
      <c r="Q11" s="79">
        <v>1.883030950761003</v>
      </c>
      <c r="R11" s="78">
        <v>2.3663758624563029</v>
      </c>
      <c r="S11" s="15">
        <v>0.36286306559603515</v>
      </c>
      <c r="T11" s="76">
        <v>22.317734925377231</v>
      </c>
      <c r="U11" s="71">
        <v>-67.109928506405282</v>
      </c>
      <c r="V11" s="13" t="s">
        <v>354</v>
      </c>
      <c r="W11" s="11" t="s">
        <v>339</v>
      </c>
      <c r="X11" s="14">
        <v>46265</v>
      </c>
      <c r="Y11" s="16" t="s">
        <v>352</v>
      </c>
    </row>
    <row r="12" spans="1:25">
      <c r="B12" s="11" t="s">
        <v>392</v>
      </c>
      <c r="C12" s="11" t="s">
        <v>393</v>
      </c>
      <c r="D12" s="2">
        <v>4.5</v>
      </c>
      <c r="E12" s="12" t="s">
        <v>118</v>
      </c>
      <c r="F12" s="15">
        <v>0.17507743819135022</v>
      </c>
      <c r="G12" s="15">
        <v>4.0081047970369717E-2</v>
      </c>
      <c r="H12" s="2">
        <v>3.4173243414630332</v>
      </c>
      <c r="I12" s="2">
        <v>6.3236298929310664</v>
      </c>
      <c r="J12" s="71">
        <v>5.844355259741115</v>
      </c>
      <c r="K12" s="2">
        <v>4.231239290802141</v>
      </c>
      <c r="L12" s="2">
        <v>5.1959933069705535</v>
      </c>
      <c r="M12" s="4">
        <v>8.4793915239875603E-2</v>
      </c>
      <c r="N12" s="4">
        <v>6.1111111111111116E-2</v>
      </c>
      <c r="O12" s="4">
        <v>0.1295637371655913</v>
      </c>
      <c r="P12" s="4">
        <v>9.3411700585940893E-2</v>
      </c>
      <c r="Q12" s="79">
        <v>0.83739806126750682</v>
      </c>
      <c r="R12" s="78">
        <v>1.6563428477446216</v>
      </c>
      <c r="S12" s="15">
        <v>0.26559156004843115</v>
      </c>
      <c r="T12" s="76">
        <v>1.8420735448323682</v>
      </c>
      <c r="U12" s="71">
        <v>0.81561021015952773</v>
      </c>
      <c r="V12" s="13" t="s">
        <v>354</v>
      </c>
      <c r="W12" s="11" t="s">
        <v>339</v>
      </c>
      <c r="X12" s="14">
        <v>46265</v>
      </c>
      <c r="Y12" s="16" t="s">
        <v>352</v>
      </c>
    </row>
    <row r="13" spans="1:25">
      <c r="B13" s="11" t="s">
        <v>366</v>
      </c>
      <c r="C13" s="11" t="s">
        <v>367</v>
      </c>
      <c r="D13" s="2">
        <v>4.71</v>
      </c>
      <c r="E13" s="12" t="s">
        <v>118</v>
      </c>
      <c r="F13" s="15">
        <v>0.15094880681171671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6.5861569291337727E-2</v>
      </c>
      <c r="N13" s="4">
        <v>3.3800424628450107E-2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354</v>
      </c>
      <c r="W13" s="11" t="s">
        <v>339</v>
      </c>
      <c r="X13" s="14">
        <v>46173</v>
      </c>
      <c r="Y13" s="16" t="s">
        <v>340</v>
      </c>
    </row>
    <row r="14" spans="1:25">
      <c r="B14" s="11" t="s">
        <v>308</v>
      </c>
      <c r="C14" s="11" t="s">
        <v>353</v>
      </c>
      <c r="D14" s="2">
        <v>3.5</v>
      </c>
      <c r="E14" s="12" t="s">
        <v>118</v>
      </c>
      <c r="F14" s="15">
        <v>0.13572195046448565</v>
      </c>
      <c r="G14" s="15">
        <v>0</v>
      </c>
      <c r="H14" s="2">
        <v>2.3958673745457557</v>
      </c>
      <c r="I14" s="2">
        <v>4.298938621877026</v>
      </c>
      <c r="J14" s="2">
        <v>4.1164039967851194</v>
      </c>
      <c r="K14" s="2">
        <v>2.9971589246973531</v>
      </c>
      <c r="L14" s="2">
        <v>3.6646763720150561</v>
      </c>
      <c r="M14" s="4">
        <v>6.9180242807047168E-2</v>
      </c>
      <c r="N14" s="4">
        <v>6.9085714285714278E-2</v>
      </c>
      <c r="O14" s="4">
        <v>0.10655464759808782</v>
      </c>
      <c r="P14" s="4">
        <v>0.15367027669312136</v>
      </c>
      <c r="Q14" s="79">
        <v>0.53211669431065411</v>
      </c>
      <c r="R14" s="78">
        <v>1.3030936828713586</v>
      </c>
      <c r="S14" s="15">
        <v>3.2740324747196639E-2</v>
      </c>
      <c r="T14" s="76">
        <v>0.3030737490948841</v>
      </c>
      <c r="U14" s="71">
        <v>1.0839220500741433</v>
      </c>
      <c r="V14" s="13" t="s">
        <v>354</v>
      </c>
      <c r="W14" s="11" t="s">
        <v>351</v>
      </c>
      <c r="X14" s="14">
        <v>46265</v>
      </c>
      <c r="Y14" s="16" t="s">
        <v>340</v>
      </c>
    </row>
    <row r="15" spans="1:25">
      <c r="B15" s="11" t="s">
        <v>141</v>
      </c>
      <c r="C15" s="11" t="s">
        <v>368</v>
      </c>
      <c r="D15" s="2">
        <v>21.72</v>
      </c>
      <c r="E15" s="12" t="s">
        <v>118</v>
      </c>
      <c r="F15" s="15">
        <v>0.1122345466429588</v>
      </c>
      <c r="G15" s="15">
        <v>0</v>
      </c>
      <c r="H15" s="2">
        <v>13.752707078011102</v>
      </c>
      <c r="I15" s="2">
        <v>28.159642981607451</v>
      </c>
      <c r="J15" s="2">
        <v>24.171792450066203</v>
      </c>
      <c r="K15" s="2">
        <v>17.381035598687642</v>
      </c>
      <c r="L15" s="2">
        <v>21.426331015104591</v>
      </c>
      <c r="M15" s="4">
        <v>5.2316522423972264E-2</v>
      </c>
      <c r="N15" s="4">
        <v>2.3713224922145889E-2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5.6635272161814783</v>
      </c>
      <c r="V15" s="13" t="s">
        <v>369</v>
      </c>
      <c r="W15" s="11" t="s">
        <v>339</v>
      </c>
      <c r="X15" s="14">
        <v>46081</v>
      </c>
      <c r="Y15" s="16" t="s">
        <v>352</v>
      </c>
    </row>
    <row r="16" spans="1:25">
      <c r="B16" s="11" t="s">
        <v>370</v>
      </c>
      <c r="C16" s="11" t="s">
        <v>371</v>
      </c>
      <c r="D16" s="2">
        <v>81.95</v>
      </c>
      <c r="E16" s="12" t="s">
        <v>118</v>
      </c>
      <c r="F16" s="15">
        <v>5.3715129412594882E-2</v>
      </c>
      <c r="G16" s="15">
        <v>0</v>
      </c>
      <c r="H16" s="2">
        <v>43.640382483930402</v>
      </c>
      <c r="I16" s="2">
        <v>95.87792031719512</v>
      </c>
      <c r="J16" s="2">
        <v>77.718910286655728</v>
      </c>
      <c r="K16" s="2">
        <v>55.484907590969399</v>
      </c>
      <c r="L16" s="2">
        <v>68.721495847994703</v>
      </c>
      <c r="M16" s="4">
        <v>1.5187788713741327E-2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3.6186626034453302</v>
      </c>
      <c r="V16" s="13" t="s">
        <v>372</v>
      </c>
      <c r="W16" s="11" t="s">
        <v>339</v>
      </c>
      <c r="X16" s="14">
        <v>46081</v>
      </c>
      <c r="Y16" s="16" t="s">
        <v>340</v>
      </c>
    </row>
    <row r="17" spans="2:25">
      <c r="B17" s="11" t="s">
        <v>152</v>
      </c>
      <c r="C17" s="11" t="s">
        <v>373</v>
      </c>
      <c r="D17" s="2">
        <v>26.96</v>
      </c>
      <c r="E17" s="12" t="s">
        <v>118</v>
      </c>
      <c r="F17" s="15">
        <v>3.4925124633160547E-2</v>
      </c>
      <c r="G17" s="15">
        <v>0</v>
      </c>
      <c r="H17" s="2">
        <v>14.109418867810565</v>
      </c>
      <c r="I17" s="2">
        <v>25.970993252579817</v>
      </c>
      <c r="J17" s="2">
        <v>24.343752532454332</v>
      </c>
      <c r="K17" s="2">
        <v>17.683676650798503</v>
      </c>
      <c r="L17" s="2">
        <v>21.654859269386595</v>
      </c>
      <c r="M17" s="4">
        <v>9.0290294058620324E-2</v>
      </c>
      <c r="N17" s="4">
        <v>4.6735905044510383E-2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0.46705551025618292</v>
      </c>
      <c r="V17" s="13" t="s">
        <v>374</v>
      </c>
      <c r="W17" s="11" t="s">
        <v>351</v>
      </c>
      <c r="X17" s="14">
        <v>46081</v>
      </c>
      <c r="Y17" s="11" t="s">
        <v>352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5" priority="1">
      <formula>H3&gt;D3</formula>
    </cfRule>
  </conditionalFormatting>
  <conditionalFormatting sqref="J3:J1048576">
    <cfRule type="expression" dxfId="4" priority="2">
      <formula>J3&lt;D3</formula>
    </cfRule>
  </conditionalFormatting>
  <conditionalFormatting sqref="K3:K1048576">
    <cfRule type="expression" dxfId="0" priority="9">
      <formula>K3&gt;D3</formula>
    </cfRule>
  </conditionalFormatting>
  <conditionalFormatting sqref="L3:L1048576">
    <cfRule type="expression" dxfId="2" priority="3">
      <formula>L3&lt;D3</formula>
    </cfRule>
  </conditionalFormatting>
  <conditionalFormatting sqref="X3:X1048576">
    <cfRule type="expression" dxfId="1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0.44209475578782659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6.34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63400</v>
      </c>
      <c r="H4" s="58">
        <f t="shared" si="0"/>
        <v>4.8869413066016103E-2</v>
      </c>
      <c r="I4" s="58">
        <f>VLOOKUP(B4,Opportunities!B$3:H$30,6,FALSE)</f>
        <v>0.10479684973015331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112.9</v>
      </c>
      <c r="E5" s="59" t="str">
        <f>VLOOKUP(B5,Opportunities!B$3:E$30,4,FALSE)</f>
        <v>HKD</v>
      </c>
      <c r="F5" s="57">
        <v>2500</v>
      </c>
      <c r="G5" s="61">
        <f t="shared" si="1"/>
        <v>282250</v>
      </c>
      <c r="H5" s="58">
        <f t="shared" si="0"/>
        <v>0.21756138545556852</v>
      </c>
      <c r="I5" s="58">
        <f>VLOOKUP(B5,Opportunities!B$3:H$30,6,FALSE)</f>
        <v>5.7861363833229977E-2</v>
      </c>
      <c r="J5" s="81">
        <f>VLOOKUP(B5,Opportunities!B$3:L$30,10,FALSE)</f>
        <v>109.42902848697145</v>
      </c>
      <c r="K5" s="81">
        <f>VLOOKUP(B5,Opportunities!B$3:L$30,7,FALSE)</f>
        <v>86.628066101723547</v>
      </c>
      <c r="L5" s="81">
        <f>VLOOKUP(B5,Opportunities!B$3:L$30,9,FALSE)</f>
        <v>152.09245880426215</v>
      </c>
      <c r="M5" s="81">
        <f>VLOOKUP(B5,Opportunities!B$3:L$30,11,FALSE)</f>
        <v>134.84525139520019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7.18</v>
      </c>
      <c r="E6" s="59" t="str">
        <f>VLOOKUP(B6,Opportunities!B$3:E$30,4,FALSE)</f>
        <v>HKD</v>
      </c>
      <c r="F6" s="57">
        <v>8000</v>
      </c>
      <c r="G6" s="61">
        <f t="shared" si="1"/>
        <v>57440</v>
      </c>
      <c r="H6" s="58">
        <f t="shared" si="0"/>
        <v>4.4275379913437933E-2</v>
      </c>
      <c r="I6" s="58">
        <f>VLOOKUP(B6,Opportunities!B$3:H$30,6,FALSE)</f>
        <v>5.7849405855317892E-2</v>
      </c>
      <c r="J6" s="81">
        <f>VLOOKUP(B6,Opportunities!B$3:L$30,10,FALSE)</f>
        <v>7.3764085520869402</v>
      </c>
      <c r="K6" s="81">
        <f>VLOOKUP(B6,Opportunities!B$3:L$30,7,FALSE)</f>
        <v>5.8531553267288263</v>
      </c>
      <c r="L6" s="81">
        <f>VLOOKUP(B6,Opportunities!B$3:L$30,9,FALSE)</f>
        <v>10.223148602110554</v>
      </c>
      <c r="M6" s="81">
        <f>VLOOKUP(B6,Opportunities!B$3:L$30,11,FALSE)</f>
        <v>9.0727573917430053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10.220000000000001</v>
      </c>
      <c r="E7" s="59" t="str">
        <f>VLOOKUP(B7,Opportunities!B$3:E$30,4,FALSE)</f>
        <v>HKD</v>
      </c>
      <c r="F7" s="57">
        <v>15000</v>
      </c>
      <c r="G7" s="61">
        <f t="shared" si="1"/>
        <v>153300</v>
      </c>
      <c r="H7" s="58">
        <f t="shared" si="0"/>
        <v>0.11816531582050897</v>
      </c>
      <c r="I7" s="58">
        <f>VLOOKUP(B7,Opportunities!B$3:H$30,6,FALSE)</f>
        <v>0.13981796576577574</v>
      </c>
      <c r="J7" s="81">
        <f>VLOOKUP(B7,Opportunities!B$3:L$30,10,FALSE)</f>
        <v>12.218089145906044</v>
      </c>
      <c r="K7" s="81">
        <f>VLOOKUP(B7,Opportunities!B$3:L$30,7,FALSE)</f>
        <v>9.7075341889511311</v>
      </c>
      <c r="L7" s="81">
        <f>VLOOKUP(B7,Opportunities!B$3:L$30,9,FALSE)</f>
        <v>16.906770477370156</v>
      </c>
      <c r="M7" s="81">
        <f>VLOOKUP(B7,Opportunities!B$3:L$30,11,FALSE)</f>
        <v>15.012439335256746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4.37</v>
      </c>
      <c r="E8" s="59" t="str">
        <f>VLOOKUP(B8,Opportunities!B$3:E$30,4,FALSE)</f>
        <v>HKD</v>
      </c>
      <c r="F8" s="57">
        <v>12000</v>
      </c>
      <c r="G8" s="61">
        <f t="shared" si="1"/>
        <v>52440</v>
      </c>
      <c r="H8" s="58">
        <f t="shared" si="0"/>
        <v>4.0421325255234772E-2</v>
      </c>
      <c r="I8" s="58">
        <f>VLOOKUP(B8,Opportunities!B$3:H$30,6,FALSE)</f>
        <v>5.0354730619717264E-2</v>
      </c>
      <c r="J8" s="81">
        <f>VLOOKUP(B8,Opportunities!B$3:L$30,10,FALSE)</f>
        <v>4.3824419959649301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36.479999999999997</v>
      </c>
      <c r="E9" s="59" t="str">
        <f>VLOOKUP(B9,Opportunities!B$3:E$30,4,FALSE)</f>
        <v>HKD</v>
      </c>
      <c r="F9" s="57">
        <v>2000</v>
      </c>
      <c r="G9" s="61">
        <f t="shared" ref="G9" si="2">D9*F9</f>
        <v>72960</v>
      </c>
      <c r="H9" s="58">
        <f t="shared" si="0"/>
        <v>5.6238365572500552E-2</v>
      </c>
      <c r="I9" s="58">
        <f>VLOOKUP(B9,Opportunities!B$3:H$30,6,FALSE)</f>
        <v>0.12146397439639096</v>
      </c>
      <c r="J9" s="81">
        <f>VLOOKUP(B9,Opportunities!B$3:L$30,10,FALSE)</f>
        <v>41.206258319106226</v>
      </c>
      <c r="K9" s="81">
        <f>VLOOKUP(B9,Opportunities!B$3:L$30,7,FALSE)</f>
        <v>32.432459888673442</v>
      </c>
      <c r="L9" s="81">
        <f>VLOOKUP(B9,Opportunities!B$3:L$30,9,FALSE)</f>
        <v>57.670470291434079</v>
      </c>
      <c r="M9" s="81">
        <f>VLOOKUP(B9,Opportunities!B$3:L$30,11,FALSE)</f>
        <v>51.008614564053516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3.5</v>
      </c>
      <c r="E10" s="59" t="str">
        <f>VLOOKUP(B10,Opportunities!B$3:E$30,4,FALSE)</f>
        <v>HKD</v>
      </c>
      <c r="F10" s="57">
        <v>12000</v>
      </c>
      <c r="G10" s="61">
        <f t="shared" si="1"/>
        <v>42000</v>
      </c>
      <c r="H10" s="58">
        <f t="shared" ref="H10" si="3">G10/$G$12</f>
        <v>3.237405912890657E-2</v>
      </c>
      <c r="I10" s="58">
        <f>VLOOKUP(B10,Opportunities!B$3:H$30,6,FALSE)</f>
        <v>0</v>
      </c>
      <c r="J10" s="81">
        <f>VLOOKUP(B10,Opportunities!B$3:L$30,10,FALSE)</f>
        <v>2.9971589246973531</v>
      </c>
      <c r="K10" s="81">
        <f>VLOOKUP(B10,Opportunities!B$3:L$30,7,FALSE)</f>
        <v>2.3958673745457557</v>
      </c>
      <c r="L10" s="81">
        <f>VLOOKUP(B10,Opportunities!B$3:L$30,9,FALSE)</f>
        <v>4.1164039967851194</v>
      </c>
      <c r="M10" s="81">
        <f>VLOOKUP(B10,Opportunities!B$3:L$30,11,FALSE)</f>
        <v>3.6646763720150561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1297335</v>
      </c>
      <c r="H12" s="67">
        <f>SUM(H3:H10)</f>
        <v>0.99999999999999989</v>
      </c>
      <c r="I12" s="73">
        <f>SUM(I3:I10)</f>
        <v>0.98214429020058525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112.9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5.7861363833229977E-2</v>
      </c>
      <c r="J15" s="81">
        <f>VLOOKUP(B15,Opportunities!B$3:L$30,10,FALSE)</f>
        <v>109.42902848697145</v>
      </c>
      <c r="K15" s="81">
        <f>VLOOKUP(B15,Opportunities!B$3:L$30,7,FALSE)</f>
        <v>86.628066101723547</v>
      </c>
      <c r="L15" s="81">
        <f>VLOOKUP(B15,Opportunities!B$3:L$30,9,FALSE)</f>
        <v>152.09245880426215</v>
      </c>
      <c r="M15" s="81">
        <f>VLOOKUP(B15,Opportunities!B$3:L$30,11,FALSE)</f>
        <v>134.84525139520019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26.96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17.683676650798503</v>
      </c>
      <c r="K16" s="81">
        <f>VLOOKUP(B16,Opportunities!B$3:L$30,7,FALSE)</f>
        <v>14.109418867810565</v>
      </c>
      <c r="L16" s="81">
        <f>VLOOKUP(B16,Opportunities!B$3:L$30,9,FALSE)</f>
        <v>24.343752532454332</v>
      </c>
      <c r="M16" s="81">
        <f>VLOOKUP(B16,Opportunities!B$3:L$30,11,FALSE)</f>
        <v>21.654859269386595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36.479999999999997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0.12146397439639096</v>
      </c>
      <c r="J17" s="81">
        <f>VLOOKUP(B17,Opportunities!B$3:L$30,10,FALSE)</f>
        <v>41.206258319106226</v>
      </c>
      <c r="K17" s="81">
        <f>VLOOKUP(B17,Opportunities!B$3:L$30,7,FALSE)</f>
        <v>32.432459888673442</v>
      </c>
      <c r="L17" s="81">
        <f>VLOOKUP(B17,Opportunities!B$3:L$30,9,FALSE)</f>
        <v>57.670470291434079</v>
      </c>
      <c r="M17" s="81">
        <f>VLOOKUP(B17,Opportunities!B$3:L$30,11,FALSE)</f>
        <v>51.008614564053516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10.220000000000001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0.13981796576577574</v>
      </c>
      <c r="J18" s="81">
        <f>VLOOKUP(B18,Opportunities!B$3:L$30,10,FALSE)</f>
        <v>12.218089145906044</v>
      </c>
      <c r="K18" s="81">
        <f>VLOOKUP(B18,Opportunities!B$3:L$30,7,FALSE)</f>
        <v>9.7075341889511311</v>
      </c>
      <c r="L18" s="81">
        <f>VLOOKUP(B18,Opportunities!B$3:L$30,9,FALSE)</f>
        <v>16.906770477370156</v>
      </c>
      <c r="M18" s="81">
        <f>VLOOKUP(B18,Opportunities!B$3:L$30,11,FALSE)</f>
        <v>15.012439335256746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7.18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5.7849405855317892E-2</v>
      </c>
      <c r="J19" s="81">
        <f>VLOOKUP(B19,Opportunities!B$3:L$30,10,FALSE)</f>
        <v>7.3764085520869402</v>
      </c>
      <c r="K19" s="81">
        <f>VLOOKUP(B19,Opportunities!B$3:L$30,7,FALSE)</f>
        <v>5.8531553267288263</v>
      </c>
      <c r="L19" s="81">
        <f>VLOOKUP(B19,Opportunities!B$3:L$30,9,FALSE)</f>
        <v>10.223148602110554</v>
      </c>
      <c r="M19" s="81">
        <f>VLOOKUP(B19,Opportunities!B$3:L$30,11,FALSE)</f>
        <v>9.0727573917430053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0.44209475578782659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2026-04-02T06:00:11Z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