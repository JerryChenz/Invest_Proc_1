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EBA2785-30B3-4E98-B0ED-580A61157E26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<sst xmlns="http://schemas.openxmlformats.org/spreadsheetml/2006/main" count="495" uniqueCount="394">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</sst>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11" sqref="O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10.63</v>
      </c>
      <c r="E3" s="12" t="s">
        <v>118</v>
      </c>
      <c r="F3" s="15">
        <v>0.26342959745978722</v>
      </c>
      <c r="G3" s="15">
        <v>0.13116003685714131</v>
      </c>
      <c r="H3" s="2">
        <v>9.7945956280996107</v>
      </c>
      <c r="I3" s="2">
        <v>19.050281095134846</v>
      </c>
      <c r="J3" s="71">
        <v>17.058378006412834</v>
      </c>
      <c r="K3" s="2">
        <v>12.327659888851183</v>
      </c>
      <c r="L3" s="2">
        <v>15.147063237730331</v>
      </c>
      <c r="M3" s="4">
        <v>9.6952409956578459E-2</v>
      </c>
      <c r="N3" s="4">
        <v>5.8199249294449668E-2</v>
      </c>
      <c r="O3" s="4">
        <v>0.10095856383129388</v>
      </c>
      <c r="P3" s="4">
        <v>0.12639878508315081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1.7877064983029947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375</v>
      </c>
      <c r="C4" s="11" t="s">
        <v>376</v>
      </c>
      <c r="D4" s="2">
        <v>36.880000000000003</v>
      </c>
      <c r="E4" s="12" t="s">
        <v>118</v>
      </c>
      <c r="F4" s="15">
        <v>0.2490437638604216</v>
      </c>
      <c r="G4" s="15">
        <v>0.1208329144620794</v>
      </c>
      <c r="H4" s="2">
        <v>32.722688768521046</v>
      </c>
      <c r="I4" s="2">
        <v>71.325167224440747</v>
      </c>
      <c r="J4" s="71">
        <v>58.187337261694438</v>
      </c>
      <c r="K4" s="2">
        <v>41.575258810440246</v>
      </c>
      <c r="L4" s="2">
        <v>51.465644535519957</v>
      </c>
      <c r="M4" s="4">
        <v>6.402056072754185E-2</v>
      </c>
      <c r="N4" s="4">
        <v>3.8503253796095438E-3</v>
      </c>
      <c r="O4" s="4">
        <v>0.11150835231775919</v>
      </c>
      <c r="P4" s="4">
        <v>0.28146521974317368</v>
      </c>
      <c r="Q4" s="79">
        <v>0.32092624022161098</v>
      </c>
      <c r="R4" s="78">
        <v>1.2344611679711017</v>
      </c>
      <c r="S4" s="15">
        <v>3.8049367850692354E-3</v>
      </c>
      <c r="T4" s="76">
        <v>3.432051788351935E-2</v>
      </c>
      <c r="U4" s="71">
        <v>11.523281916464557</v>
      </c>
      <c r="V4" s="13" t="s">
        <v>359</v>
      </c>
      <c r="W4" s="11" t="s">
        <v>339</v>
      </c>
      <c r="X4" s="14">
        <v>46265</v>
      </c>
      <c r="Y4" s="16" t="s">
        <v>352</v>
      </c>
    </row>
    <row r="5" spans="1:25">
      <c r="B5" s="11" t="s">
        <v>360</v>
      </c>
      <c r="C5" s="11" t="s">
        <v>361</v>
      </c>
      <c r="D5" s="2">
        <v>68.849999999999994</v>
      </c>
      <c r="E5" s="12" t="s">
        <v>118</v>
      </c>
      <c r="F5" s="15">
        <v>0.2443427605113625</v>
      </c>
      <c r="G5" s="15">
        <v>7.8124302027708939E-2</v>
      </c>
      <c r="H5" s="2">
        <v>60.952942340311978</v>
      </c>
      <c r="I5" s="2">
        <v>108.45901032166543</v>
      </c>
      <c r="J5" s="71">
        <v>104.58308602065686</v>
      </c>
      <c r="K5" s="2">
        <v>76.204140232445269</v>
      </c>
      <c r="L5" s="2">
        <v>93.130565766391655</v>
      </c>
      <c r="M5" s="4">
        <v>0.13183131657068817</v>
      </c>
      <c r="N5" s="4">
        <v>9.2659404502541759E-2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-19.265470242485573</v>
      </c>
      <c r="V5" s="13" t="s">
        <v>354</v>
      </c>
      <c r="W5" s="11" t="s">
        <v>351</v>
      </c>
      <c r="X5" s="14">
        <v>46081</v>
      </c>
      <c r="Y5" s="16" t="s">
        <v>340</v>
      </c>
    </row>
    <row r="6" spans="1:25">
      <c r="B6" s="11" t="s">
        <v>307</v>
      </c>
      <c r="C6" s="11" t="s">
        <v>362</v>
      </c>
      <c r="D6" s="2">
        <v>4.2300000000000004</v>
      </c>
      <c r="E6" s="12" t="s">
        <v>118</v>
      </c>
      <c r="F6" s="15">
        <v>0.21507018739108677</v>
      </c>
      <c r="G6" s="15">
        <v>6.0525644257489845E-2</v>
      </c>
      <c r="H6" s="2">
        <v>3.4947017610502455</v>
      </c>
      <c r="I6" s="2">
        <v>6.4808597690273908</v>
      </c>
      <c r="J6" s="71">
        <v>6.0371156176035647</v>
      </c>
      <c r="K6" s="2">
        <v>4.3824419959649257</v>
      </c>
      <c r="L6" s="2">
        <v>5.3690045329034906</v>
      </c>
      <c r="M6" s="4">
        <v>9.5490113156561141E-2</v>
      </c>
      <c r="N6" s="4">
        <v>7.0921985815602842E-2</v>
      </c>
      <c r="O6" s="4">
        <v>0.18</v>
      </c>
      <c r="P6" s="4">
        <v>5.5599077391744495E-2</v>
      </c>
      <c r="Q6" s="79">
        <v>1.4798367611150316</v>
      </c>
      <c r="R6" s="78">
        <v>2.187716833659914</v>
      </c>
      <c r="S6" s="15">
        <v>0.76701287002940366</v>
      </c>
      <c r="T6" s="76">
        <v>5.0983946232940358</v>
      </c>
      <c r="U6" s="71">
        <v>-2.4800067209187837</v>
      </c>
      <c r="V6" s="13" t="s">
        <v>354</v>
      </c>
      <c r="W6" s="11" t="s">
        <v>351</v>
      </c>
      <c r="X6" s="14">
        <v>46173</v>
      </c>
      <c r="Y6" s="16" t="s">
        <v>340</v>
      </c>
    </row>
    <row r="7" spans="1:25">
      <c r="B7" s="11" t="s">
        <v>355</v>
      </c>
      <c r="C7" s="11" t="s">
        <v>356</v>
      </c>
      <c r="D7" s="2">
        <v>6.57</v>
      </c>
      <c r="E7" s="12" t="s">
        <v>118</v>
      </c>
      <c r="F7" s="15">
        <v>0.2148794017019322</v>
      </c>
      <c r="G7" s="15">
        <v>9.0592219953774131E-2</v>
      </c>
      <c r="H7" s="2">
        <v>5.3814365192952689</v>
      </c>
      <c r="I7" s="2">
        <v>11.25643603289171</v>
      </c>
      <c r="J7" s="71">
        <v>9.4954558038529377</v>
      </c>
      <c r="K7" s="2">
        <v>6.8132615931086278</v>
      </c>
      <c r="L7" s="2">
        <v>8.410757158764735</v>
      </c>
      <c r="M7" s="4">
        <v>7.1708769232165709E-2</v>
      </c>
      <c r="N7" s="4">
        <v>2.1613394216133938E-2</v>
      </c>
      <c r="O7" s="4">
        <v>0.3</v>
      </c>
      <c r="P7" s="4">
        <v>0.15217050538089463</v>
      </c>
      <c r="Q7" s="79">
        <v>1.1106245684847842</v>
      </c>
      <c r="R7" s="78">
        <v>1.775102743966247</v>
      </c>
      <c r="S7" s="15">
        <v>0.17709797868255178</v>
      </c>
      <c r="T7" s="76">
        <v>0.82178780749892033</v>
      </c>
      <c r="U7" s="71">
        <v>-0.17087844774809768</v>
      </c>
      <c r="V7" s="13" t="s">
        <v>354</v>
      </c>
      <c r="W7" s="11" t="s">
        <v>339</v>
      </c>
      <c r="X7" s="14">
        <v>46081</v>
      </c>
      <c r="Y7" s="16" t="s">
        <v>352</v>
      </c>
    </row>
    <row r="8" spans="1:25">
      <c r="B8" s="11" t="s">
        <v>309</v>
      </c>
      <c r="C8" s="11" t="s">
        <v>341</v>
      </c>
      <c r="D8" s="2">
        <v>7.4</v>
      </c>
      <c r="E8" s="12" t="s">
        <v>118</v>
      </c>
      <c r="F8" s="15">
        <v>0.20239052148985018</v>
      </c>
      <c r="G8" s="15">
        <v>5.1281715848845826E-2</v>
      </c>
      <c r="H8" s="2">
        <v>5.9058221293073725</v>
      </c>
      <c r="I8" s="2">
        <v>11.675866070026901</v>
      </c>
      <c r="J8" s="71">
        <v>10.315132186524275</v>
      </c>
      <c r="K8" s="2">
        <v>7.4427801503688089</v>
      </c>
      <c r="L8" s="2">
        <v>9.1543909981309142</v>
      </c>
      <c r="M8" s="4">
        <v>9.7393348848423211E-2</v>
      </c>
      <c r="N8" s="4">
        <v>4.4002748359459457E-2</v>
      </c>
      <c r="O8" s="4">
        <v>0.1717202297058707</v>
      </c>
      <c r="P8" s="4">
        <v>8.3606267329182304E-2</v>
      </c>
      <c r="Q8" s="79">
        <v>1.3282158707615834</v>
      </c>
      <c r="R8" s="78">
        <v>1.5463719418456539</v>
      </c>
      <c r="S8" s="15">
        <v>0.22428295339746124</v>
      </c>
      <c r="T8" s="76">
        <v>1.2715557492373779</v>
      </c>
      <c r="U8" s="71">
        <v>-3.0234208377716549</v>
      </c>
      <c r="V8" s="13" t="s">
        <v>342</v>
      </c>
      <c r="W8" s="11" t="s">
        <v>339</v>
      </c>
      <c r="X8" s="14">
        <v>46081</v>
      </c>
      <c r="Y8" s="16" t="s">
        <v>340</v>
      </c>
    </row>
    <row r="9" spans="1:25">
      <c r="B9" s="11" t="s">
        <v>357</v>
      </c>
      <c r="C9" s="11" t="s">
        <v>358</v>
      </c>
      <c r="D9" s="2">
        <v>81</v>
      </c>
      <c r="E9" s="12" t="s">
        <v>118</v>
      </c>
      <c r="F9" s="15">
        <v>0.19695186480467994</v>
      </c>
      <c r="G9" s="15">
        <v>7.041605382830568E-2</v>
      </c>
      <c r="H9" s="2">
        <v>63.97582471266692</v>
      </c>
      <c r="I9" s="2">
        <v>122.27669689372925</v>
      </c>
      <c r="J9" s="71">
        <v>111.085123307044</v>
      </c>
      <c r="K9" s="2">
        <v>80.411769035722955</v>
      </c>
      <c r="L9" s="2">
        <v>98.695228242026218</v>
      </c>
      <c r="M9" s="4">
        <v>6.7823244325786139E-2</v>
      </c>
      <c r="N9" s="4">
        <v>5.655555555555556E-2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1.4765744596846189</v>
      </c>
      <c r="V9" s="13" t="s">
        <v>359</v>
      </c>
      <c r="W9" s="11" t="s">
        <v>339</v>
      </c>
      <c r="X9" s="14">
        <v>46081</v>
      </c>
      <c r="Y9" s="16" t="s">
        <v>352</v>
      </c>
    </row>
    <row r="10" spans="1:25">
      <c r="B10" s="11" t="s">
        <v>343</v>
      </c>
      <c r="C10" s="11" t="s">
        <v>363</v>
      </c>
      <c r="D10" s="2">
        <v>112.2</v>
      </c>
      <c r="E10" s="12" t="s">
        <v>118</v>
      </c>
      <c r="F10" s="15">
        <v>0.19319694992377784</v>
      </c>
      <c r="G10" s="15">
        <v>6.5705798232770743E-2</v>
      </c>
      <c r="H10" s="2">
        <v>87.351988284138827</v>
      </c>
      <c r="I10" s="2">
        <v>177.90741826025302</v>
      </c>
      <c r="J10" s="71">
        <v>153.38168772360928</v>
      </c>
      <c r="K10" s="2">
        <v>110.34943186357235</v>
      </c>
      <c r="L10" s="2">
        <v>135.98522800451249</v>
      </c>
      <c r="M10" s="4">
        <v>-1.0332088910463976E-2</v>
      </c>
      <c r="N10" s="4">
        <v>3.1283422459893045E-2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-67.715289766909194</v>
      </c>
      <c r="V10" s="16" t="s">
        <v>354</v>
      </c>
      <c r="W10" s="11" t="s">
        <v>339</v>
      </c>
      <c r="X10" s="14">
        <v>46265</v>
      </c>
      <c r="Y10" s="16" t="s">
        <v>352</v>
      </c>
    </row>
    <row r="11" spans="1:25">
      <c r="B11" s="11" t="s">
        <v>364</v>
      </c>
      <c r="C11" s="11" t="s">
        <v>365</v>
      </c>
      <c r="D11" s="2">
        <v>38.92</v>
      </c>
      <c r="E11" s="12" t="s">
        <v>118</v>
      </c>
      <c r="F11" s="15">
        <v>0.1876218672301013</v>
      </c>
      <c r="G11" s="15">
        <v>5.8357775484988009E-2</v>
      </c>
      <c r="H11" s="2">
        <v>29.929510061831095</v>
      </c>
      <c r="I11" s="2">
        <v>60.042243625842929</v>
      </c>
      <c r="J11" s="71">
        <v>52.410814638036875</v>
      </c>
      <c r="K11" s="2">
        <v>37.762733163103547</v>
      </c>
      <c r="L11" s="2">
        <v>46.490272119674913</v>
      </c>
      <c r="M11" s="4">
        <v>7.4418478396274579E-2</v>
      </c>
      <c r="N11" s="4">
        <v>3.6788335046248712E-2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-6.2465832272175028</v>
      </c>
      <c r="V11" s="13" t="s">
        <v>354</v>
      </c>
      <c r="W11" s="11" t="s">
        <v>339</v>
      </c>
      <c r="X11" s="14">
        <v>46081</v>
      </c>
      <c r="Y11" s="16" t="s">
        <v>352</v>
      </c>
    </row>
    <row r="12" spans="1:25">
      <c r="B12" s="11" t="s">
        <v>392</v>
      </c>
      <c r="C12" s="11" t="s">
        <v>393</v>
      </c>
      <c r="D12" s="2">
        <v>4.63</v>
      </c>
      <c r="E12" s="12" t="s">
        <v>118</v>
      </c>
      <c r="F12" s="15">
        <v>0.18450387130746587</v>
      </c>
      <c r="G12" s="15">
        <v>5.4051004978421004E-2</v>
      </c>
      <c r="H12" s="2">
        <v>3.5527313314558078</v>
      </c>
      <c r="I12" s="2">
        <v>6.7081007352084114</v>
      </c>
      <c r="J12" s="71">
        <v>6.156008399483123</v>
      </c>
      <c r="K12" s="2">
        <v>4.4612851476900524</v>
      </c>
      <c r="L12" s="2">
        <v>5.4715667789839957</v>
      </c>
      <c r="M12" s="4">
        <v>8.7423732285332623E-2</v>
      </c>
      <c r="N12" s="4">
        <v>5.9395248380129599E-2</v>
      </c>
      <c r="O12" s="4">
        <v>0.1295637371655913</v>
      </c>
      <c r="P12" s="4">
        <v>9.3411700585940893E-2</v>
      </c>
      <c r="Q12" s="79">
        <v>0.83739806126750682</v>
      </c>
      <c r="R12" s="78">
        <v>1.6563428477446216</v>
      </c>
      <c r="S12" s="15">
        <v>0.26559156004843115</v>
      </c>
      <c r="T12" s="76">
        <v>1.8420735448323682</v>
      </c>
      <c r="U12" s="71">
        <v>0.86519855574258797</v>
      </c>
      <c r="V12" s="13" t="s">
        <v>354</v>
      </c>
      <c r="W12" s="11" t="s">
        <v>339</v>
      </c>
      <c r="X12" s="14">
        <v>46265</v>
      </c>
      <c r="Y12" s="16" t="s">
        <v>352</v>
      </c>
    </row>
    <row r="13" spans="1:25">
      <c r="B13" s="11" t="s">
        <v>366</v>
      </c>
      <c r="C13" s="11" t="s">
        <v>367</v>
      </c>
      <c r="D13" s="2">
        <v>4.66</v>
      </c>
      <c r="E13" s="12" t="s">
        <v>118</v>
      </c>
      <c r="F13" s="15">
        <v>0.15516968304016918</v>
      </c>
      <c r="G13" s="15">
        <v>3.2706357313922237E-3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6.6568238489742637E-2</v>
      </c>
      <c r="N13" s="4">
        <v>3.4163090128755368E-2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354</v>
      </c>
      <c r="W13" s="11" t="s">
        <v>339</v>
      </c>
      <c r="X13" s="14">
        <v>46173</v>
      </c>
      <c r="Y13" s="16" t="s">
        <v>340</v>
      </c>
    </row>
    <row r="14" spans="1:25">
      <c r="B14" s="11" t="s">
        <v>308</v>
      </c>
      <c r="C14" s="11" t="s">
        <v>353</v>
      </c>
      <c r="D14" s="2">
        <v>3.4</v>
      </c>
      <c r="E14" s="12" t="s">
        <v>118</v>
      </c>
      <c r="F14" s="15">
        <v>0.15050344787306308</v>
      </c>
      <c r="G14" s="15">
        <v>0</v>
      </c>
      <c r="H14" s="2">
        <v>2.4135179568129859</v>
      </c>
      <c r="I14" s="2">
        <v>4.3377169511181313</v>
      </c>
      <c r="J14" s="2">
        <v>4.14783781889333</v>
      </c>
      <c r="K14" s="2">
        <v>3.0196000874526225</v>
      </c>
      <c r="L14" s="2">
        <v>3.6924711425223684</v>
      </c>
      <c r="M14" s="4">
        <v>7.1857346254792995E-2</v>
      </c>
      <c r="N14" s="4">
        <v>7.1117647058823522E-2</v>
      </c>
      <c r="O14" s="4">
        <v>0.10655464759808782</v>
      </c>
      <c r="P14" s="4">
        <v>0.15367027669312136</v>
      </c>
      <c r="Q14" s="79">
        <v>0.53211669431065411</v>
      </c>
      <c r="R14" s="78">
        <v>1.3030936828713586</v>
      </c>
      <c r="S14" s="15">
        <v>3.2740324747196639E-2</v>
      </c>
      <c r="T14" s="76">
        <v>0.3030737490948841</v>
      </c>
      <c r="U14" s="71">
        <v>1.0936995067504416</v>
      </c>
      <c r="V14" s="13" t="s">
        <v>354</v>
      </c>
      <c r="W14" s="11" t="s">
        <v>351</v>
      </c>
      <c r="X14" s="14">
        <v>46265</v>
      </c>
      <c r="Y14" s="16" t="s">
        <v>340</v>
      </c>
    </row>
    <row r="15" spans="1:25">
      <c r="B15" s="11" t="s">
        <v>141</v>
      </c>
      <c r="C15" s="11" t="s">
        <v>368</v>
      </c>
      <c r="D15" s="2">
        <v>23</v>
      </c>
      <c r="E15" s="12" t="s">
        <v>118</v>
      </c>
      <c r="F15" s="15">
        <v>9.3747072300755477E-2</v>
      </c>
      <c r="G15" s="15">
        <v>0</v>
      </c>
      <c r="H15" s="2">
        <v>13.860356232145225</v>
      </c>
      <c r="I15" s="2">
        <v>28.41451995261091</v>
      </c>
      <c r="J15" s="2">
        <v>24.366367868661563</v>
      </c>
      <c r="K15" s="2">
        <v>17.518834644536366</v>
      </c>
      <c r="L15" s="2">
        <v>21.597908008114459</v>
      </c>
      <c r="M15" s="4">
        <v>4.9850477119955425E-2</v>
      </c>
      <c r="N15" s="4">
        <v>2.2193338666363267E-2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5.7146147385613979</v>
      </c>
      <c r="V15" s="13" t="s">
        <v>369</v>
      </c>
      <c r="W15" s="11" t="s">
        <v>339</v>
      </c>
      <c r="X15" s="14">
        <v>46081</v>
      </c>
      <c r="Y15" s="16" t="s">
        <v>352</v>
      </c>
    </row>
    <row r="16" spans="1:25">
      <c r="B16" s="11" t="s">
        <v>370</v>
      </c>
      <c r="C16" s="11" t="s">
        <v>371</v>
      </c>
      <c r="D16" s="2">
        <v>85.7</v>
      </c>
      <c r="E16" s="12" t="s">
        <v>118</v>
      </c>
      <c r="F16" s="15">
        <v>4.122818646303722E-2</v>
      </c>
      <c r="G16" s="15">
        <v>0</v>
      </c>
      <c r="H16" s="2">
        <v>44.034038050808597</v>
      </c>
      <c r="I16" s="2">
        <v>96.742781597626504</v>
      </c>
      <c r="J16" s="2">
        <v>78.419969258751451</v>
      </c>
      <c r="K16" s="2">
        <v>55.985406017144967</v>
      </c>
      <c r="L16" s="2">
        <v>69.341394159259991</v>
      </c>
      <c r="M16" s="4">
        <v>1.4654217997278186E-2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3.6513045418844534</v>
      </c>
      <c r="V16" s="13" t="s">
        <v>372</v>
      </c>
      <c r="W16" s="11" t="s">
        <v>339</v>
      </c>
      <c r="X16" s="14">
        <v>46081</v>
      </c>
      <c r="Y16" s="16" t="s">
        <v>340</v>
      </c>
    </row>
    <row r="17" spans="2:25">
      <c r="B17" s="11" t="s">
        <v>152</v>
      </c>
      <c r="C17" s="11" t="s">
        <v>373</v>
      </c>
      <c r="D17" s="2">
        <v>27</v>
      </c>
      <c r="E17" s="12" t="s">
        <v>118</v>
      </c>
      <c r="F17" s="15">
        <v>3.7211310505425678E-2</v>
      </c>
      <c r="G17" s="15">
        <v>0</v>
      </c>
      <c r="H17" s="2">
        <v>14.216050572351207</v>
      </c>
      <c r="I17" s="2">
        <v>26.205263107455604</v>
      </c>
      <c r="J17" s="2">
        <v>24.533652331842177</v>
      </c>
      <c r="K17" s="2">
        <v>17.819249483481251</v>
      </c>
      <c r="L17" s="2">
        <v>21.822774622638885</v>
      </c>
      <c r="M17" s="4">
        <v>9.0969782473236574E-2</v>
      </c>
      <c r="N17" s="4">
        <v>4.6666666666666669E-2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0.47126855769501297</v>
      </c>
      <c r="V17" s="13" t="s">
        <v>374</v>
      </c>
      <c r="W17" s="11" t="s">
        <v>351</v>
      </c>
      <c r="X17" s="14">
        <v>46081</v>
      </c>
      <c r="Y17" s="11" t="s">
        <v>352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4.2900000000000001E-2</v>
      </c>
      <c r="D4" s="34">
        <v>6.7500000000000004E-2</v>
      </c>
      <c r="E4" s="35">
        <f>D4-C4</f>
        <v>2.4600000000000004E-2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0.43993127332277376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6.57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65700</v>
      </c>
      <c r="H4" s="58">
        <f t="shared" si="0"/>
        <v>5.0394449707182938E-2</v>
      </c>
      <c r="I4" s="58">
        <f>VLOOKUP(B4,Opportunities!B$3:H$30,6,FALSE)</f>
        <v>9.0592219953774131E-2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112.2</v>
      </c>
      <c r="E5" s="59" t="str">
        <f>VLOOKUP(B5,Opportunities!B$3:E$30,4,FALSE)</f>
        <v>HKD</v>
      </c>
      <c r="F5" s="57">
        <v>2500</v>
      </c>
      <c r="G5" s="61">
        <f t="shared" si="1"/>
        <v>280500</v>
      </c>
      <c r="H5" s="58">
        <f t="shared" si="0"/>
        <v>0.21515438573614631</v>
      </c>
      <c r="I5" s="58">
        <f>VLOOKUP(B5,Opportunities!B$3:H$30,6,FALSE)</f>
        <v>6.5705798232770743E-2</v>
      </c>
      <c r="J5" s="81">
        <f>VLOOKUP(B5,Opportunities!B$3:L$30,10,FALSE)</f>
        <v>110.34943186357235</v>
      </c>
      <c r="K5" s="81">
        <f>VLOOKUP(B5,Opportunities!B$3:L$30,7,FALSE)</f>
        <v>87.351988284138827</v>
      </c>
      <c r="L5" s="81">
        <f>VLOOKUP(B5,Opportunities!B$3:L$30,9,FALSE)</f>
        <v>153.38168772360928</v>
      </c>
      <c r="M5" s="81">
        <f>VLOOKUP(B5,Opportunities!B$3:L$30,11,FALSE)</f>
        <v>135.98522800451249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7.4</v>
      </c>
      <c r="E6" s="59" t="str">
        <f>VLOOKUP(B6,Opportunities!B$3:E$30,4,FALSE)</f>
        <v>HKD</v>
      </c>
      <c r="F6" s="57">
        <v>8000</v>
      </c>
      <c r="G6" s="61">
        <f t="shared" si="1"/>
        <v>59200</v>
      </c>
      <c r="H6" s="58">
        <f t="shared" si="0"/>
        <v>4.5408697453047639E-2</v>
      </c>
      <c r="I6" s="58">
        <f>VLOOKUP(B6,Opportunities!B$3:H$30,6,FALSE)</f>
        <v>5.1281715848845826E-2</v>
      </c>
      <c r="J6" s="81">
        <f>VLOOKUP(B6,Opportunities!B$3:L$30,10,FALSE)</f>
        <v>7.4427801503688089</v>
      </c>
      <c r="K6" s="81">
        <f>VLOOKUP(B6,Opportunities!B$3:L$30,7,FALSE)</f>
        <v>5.9058221293073725</v>
      </c>
      <c r="L6" s="81">
        <f>VLOOKUP(B6,Opportunities!B$3:L$30,9,FALSE)</f>
        <v>10.315132186524275</v>
      </c>
      <c r="M6" s="81">
        <f>VLOOKUP(B6,Opportunities!B$3:L$30,11,FALSE)</f>
        <v>9.1543909981309142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10.63</v>
      </c>
      <c r="E7" s="59" t="str">
        <f>VLOOKUP(B7,Opportunities!B$3:E$30,4,FALSE)</f>
        <v>HKD</v>
      </c>
      <c r="F7" s="57">
        <v>15000</v>
      </c>
      <c r="G7" s="61">
        <f t="shared" si="1"/>
        <v>159450</v>
      </c>
      <c r="H7" s="58">
        <f t="shared" si="0"/>
        <v>0.1223043379879805</v>
      </c>
      <c r="I7" s="58">
        <f>VLOOKUP(B7,Opportunities!B$3:H$30,6,FALSE)</f>
        <v>0.13116003685714131</v>
      </c>
      <c r="J7" s="81">
        <f>VLOOKUP(B7,Opportunities!B$3:L$30,10,FALSE)</f>
        <v>12.327659888851183</v>
      </c>
      <c r="K7" s="81">
        <f>VLOOKUP(B7,Opportunities!B$3:L$30,7,FALSE)</f>
        <v>9.7945956280996107</v>
      </c>
      <c r="L7" s="81">
        <f>VLOOKUP(B7,Opportunities!B$3:L$30,9,FALSE)</f>
        <v>17.058378006412834</v>
      </c>
      <c r="M7" s="81">
        <f>VLOOKUP(B7,Opportunities!B$3:L$30,11,FALSE)</f>
        <v>15.147063237730331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4.2300000000000004</v>
      </c>
      <c r="E8" s="59" t="str">
        <f>VLOOKUP(B8,Opportunities!B$3:E$30,4,FALSE)</f>
        <v>HKD</v>
      </c>
      <c r="F8" s="57">
        <v>12000</v>
      </c>
      <c r="G8" s="61">
        <f t="shared" si="1"/>
        <v>50760.000000000007</v>
      </c>
      <c r="H8" s="58">
        <f t="shared" si="0"/>
        <v>3.8934889910755041E-2</v>
      </c>
      <c r="I8" s="58">
        <f>VLOOKUP(B8,Opportunities!B$3:H$30,6,FALSE)</f>
        <v>6.0525644257489845E-2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36.880000000000003</v>
      </c>
      <c r="E9" s="59" t="str">
        <f>VLOOKUP(B9,Opportunities!B$3:E$30,4,FALSE)</f>
        <v>HKD</v>
      </c>
      <c r="F9" s="57">
        <v>2000</v>
      </c>
      <c r="G9" s="61">
        <f t="shared" ref="G9" si="2">D9*F9</f>
        <v>73760</v>
      </c>
      <c r="H9" s="58">
        <f t="shared" si="0"/>
        <v>5.6576782502310706E-2</v>
      </c>
      <c r="I9" s="58">
        <f>VLOOKUP(B9,Opportunities!B$3:H$30,6,FALSE)</f>
        <v>0.1208329144620794</v>
      </c>
      <c r="J9" s="81">
        <f>VLOOKUP(B9,Opportunities!B$3:L$30,10,FALSE)</f>
        <v>41.575258810440246</v>
      </c>
      <c r="K9" s="81">
        <f>VLOOKUP(B9,Opportunities!B$3:L$30,7,FALSE)</f>
        <v>32.722688768521046</v>
      </c>
      <c r="L9" s="81">
        <f>VLOOKUP(B9,Opportunities!B$3:L$30,9,FALSE)</f>
        <v>58.187337261694438</v>
      </c>
      <c r="M9" s="81">
        <f>VLOOKUP(B9,Opportunities!B$3:L$30,11,FALSE)</f>
        <v>51.465644535519957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3.4</v>
      </c>
      <c r="E10" s="59" t="str">
        <f>VLOOKUP(B10,Opportunities!B$3:E$30,4,FALSE)</f>
        <v>HKD</v>
      </c>
      <c r="F10" s="57">
        <v>12000</v>
      </c>
      <c r="G10" s="61">
        <f t="shared" si="1"/>
        <v>40800</v>
      </c>
      <c r="H10" s="58">
        <f t="shared" ref="H10" si="3">G10/$G$12</f>
        <v>3.1295183379803103E-2</v>
      </c>
      <c r="I10" s="58">
        <f>VLOOKUP(B10,Opportunities!B$3:H$30,6,FALSE)</f>
        <v>0</v>
      </c>
      <c r="J10" s="81">
        <f>VLOOKUP(B10,Opportunities!B$3:L$30,10,FALSE)</f>
        <v>3.0196000874526225</v>
      </c>
      <c r="K10" s="81">
        <f>VLOOKUP(B10,Opportunities!B$3:L$30,7,FALSE)</f>
        <v>2.4135179568129859</v>
      </c>
      <c r="L10" s="81">
        <f>VLOOKUP(B10,Opportunities!B$3:L$30,9,FALSE)</f>
        <v>4.14783781889333</v>
      </c>
      <c r="M10" s="81">
        <f>VLOOKUP(B10,Opportunities!B$3:L$30,11,FALSE)</f>
        <v>3.6924711425223684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1303715</v>
      </c>
      <c r="H12" s="67">
        <f>SUM(H3:H10)</f>
        <v>0.99999999999999989</v>
      </c>
      <c r="I12" s="73">
        <f>SUM(I3:I10)</f>
        <v>0.9700983296121013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112.2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6.5705798232770743E-2</v>
      </c>
      <c r="J15" s="81">
        <f>VLOOKUP(B15,Opportunities!B$3:L$30,10,FALSE)</f>
        <v>110.34943186357235</v>
      </c>
      <c r="K15" s="81">
        <f>VLOOKUP(B15,Opportunities!B$3:L$30,7,FALSE)</f>
        <v>87.351988284138827</v>
      </c>
      <c r="L15" s="81">
        <f>VLOOKUP(B15,Opportunities!B$3:L$30,9,FALSE)</f>
        <v>153.38168772360928</v>
      </c>
      <c r="M15" s="81">
        <f>VLOOKUP(B15,Opportunities!B$3:L$30,11,FALSE)</f>
        <v>135.98522800451249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27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17.819249483481251</v>
      </c>
      <c r="K16" s="81">
        <f>VLOOKUP(B16,Opportunities!B$3:L$30,7,FALSE)</f>
        <v>14.216050572351207</v>
      </c>
      <c r="L16" s="81">
        <f>VLOOKUP(B16,Opportunities!B$3:L$30,9,FALSE)</f>
        <v>24.533652331842177</v>
      </c>
      <c r="M16" s="81">
        <f>VLOOKUP(B16,Opportunities!B$3:L$30,11,FALSE)</f>
        <v>21.822774622638885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36.880000000000003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0.1208329144620794</v>
      </c>
      <c r="J17" s="81">
        <f>VLOOKUP(B17,Opportunities!B$3:L$30,10,FALSE)</f>
        <v>41.575258810440246</v>
      </c>
      <c r="K17" s="81">
        <f>VLOOKUP(B17,Opportunities!B$3:L$30,7,FALSE)</f>
        <v>32.722688768521046</v>
      </c>
      <c r="L17" s="81">
        <f>VLOOKUP(B17,Opportunities!B$3:L$30,9,FALSE)</f>
        <v>58.187337261694438</v>
      </c>
      <c r="M17" s="81">
        <f>VLOOKUP(B17,Opportunities!B$3:L$30,11,FALSE)</f>
        <v>51.465644535519957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10.63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0.13116003685714131</v>
      </c>
      <c r="J18" s="81">
        <f>VLOOKUP(B18,Opportunities!B$3:L$30,10,FALSE)</f>
        <v>12.327659888851183</v>
      </c>
      <c r="K18" s="81">
        <f>VLOOKUP(B18,Opportunities!B$3:L$30,7,FALSE)</f>
        <v>9.7945956280996107</v>
      </c>
      <c r="L18" s="81">
        <f>VLOOKUP(B18,Opportunities!B$3:L$30,9,FALSE)</f>
        <v>17.058378006412834</v>
      </c>
      <c r="M18" s="81">
        <f>VLOOKUP(B18,Opportunities!B$3:L$30,11,FALSE)</f>
        <v>15.147063237730331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7.4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5.1281715848845826E-2</v>
      </c>
      <c r="J19" s="81">
        <f>VLOOKUP(B19,Opportunities!B$3:L$30,10,FALSE)</f>
        <v>7.4427801503688089</v>
      </c>
      <c r="K19" s="81">
        <f>VLOOKUP(B19,Opportunities!B$3:L$30,7,FALSE)</f>
        <v>5.9058221293073725</v>
      </c>
      <c r="L19" s="81">
        <f>VLOOKUP(B19,Opportunities!B$3:L$30,9,FALSE)</f>
        <v>10.315132186524275</v>
      </c>
      <c r="M19" s="81">
        <f>VLOOKUP(B19,Opportunities!B$3:L$30,11,FALSE)</f>
        <v>9.1543909981309142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0.43993127332277376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2026-04-13T01:28:47Z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