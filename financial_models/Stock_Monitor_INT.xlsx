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ED4C33B-497E-4266-967E-E00D7DF4C727}" xr6:coauthVersionLast="47" xr6:coauthVersionMax="47" xr10:uidLastSave="{00000000-0000-0000-0000-000000000000}"/>
  <bookViews>
    <workbookView xWindow="1470" yWindow="1470" windowWidth="12690" windowHeight="7643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<sst xmlns="http://schemas.openxmlformats.org/spreadsheetml/2006/main" count="443" uniqueCount="376">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</sst>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3.85</v>
      </c>
      <c r="E3" s="12" t="s">
        <v>135</v>
      </c>
      <c r="F3" s="15">
        <v>0.2378091647390099</v>
      </c>
      <c r="G3" s="15">
        <f>F3 - Portfolio_Mgmt!$C$10</f>
        <v>0.12040916473900989</v>
      </c>
      <c r="H3" s="15">
        <f>F3 - Portfolio_Mgmt!$C$11</f>
        <v>0.2033091647390099</v>
      </c>
      <c r="I3" s="15">
        <v>0.11187213165494383</v>
      </c>
      <c r="J3" s="2">
        <v>3.3871964121579978</v>
      </c>
      <c r="K3" s="2">
        <v>6.3900821132884182</v>
      </c>
      <c r="L3" s="71">
        <v>5.811490757823039</v>
      </c>
      <c r="M3" s="2">
        <v>4.1997703137498341</v>
      </c>
      <c r="N3" s="2">
        <v>5.1635252027694323</v>
      </c>
      <c r="O3" s="4">
        <v>8.1122082691842776E-2</v>
      </c>
      <c r="P3" s="4">
        <v>6.2805194805194794E-2</v>
      </c>
      <c r="Q3" s="4">
        <v>0.13051754934484086</v>
      </c>
      <c r="R3" s="4">
        <v>0.21350770384328224</v>
      </c>
      <c r="S3" s="79">
        <v>0.48960240415119827</v>
      </c>
      <c r="T3" s="78">
        <v>1.2485669045200241</v>
      </c>
      <c r="U3" s="15">
        <v>3.1120102042901991E-2</v>
      </c>
      <c r="V3" s="76">
        <v>0.2356683101838101</v>
      </c>
      <c r="W3" s="71">
        <v>1.2418190928051032</v>
      </c>
      <c r="X3" s="13" t="s">
        <v>171</v>
      </c>
      <c r="Y3" s="11" t="s">
        <v>333</v>
      </c>
      <c r="Z3" s="14">
        <v>46081</v>
      </c>
      <c r="AA3" s="16" t="s">
        <v>334</v>
      </c>
    </row>
    <row r="4" spans="1:27">
      <c r="B4" s="11" t="s">
        <v>185</v>
      </c>
      <c r="C4" s="11" t="s">
        <v>335</v>
      </c>
      <c r="D4" s="2">
        <v>2.75</v>
      </c>
      <c r="E4" s="12" t="s">
        <v>135</v>
      </c>
      <c r="F4" s="15">
        <v>0.21161685845549613</v>
      </c>
      <c r="G4" s="15">
        <f>F4 - Portfolio_Mgmt!$C$10</f>
        <v>9.4216858455496127E-2</v>
      </c>
      <c r="H4" s="15">
        <f>F4 - Portfolio_Mgmt!$C$11</f>
        <v>0.17711685845549613</v>
      </c>
      <c r="I4" s="15">
        <v>0.17436055633392492</v>
      </c>
      <c r="J4" s="2">
        <v>2.2903031954036961</v>
      </c>
      <c r="K4" s="2">
        <v>3.8978478955831006</v>
      </c>
      <c r="L4" s="71">
        <v>3.864947713995857</v>
      </c>
      <c r="M4" s="2">
        <v>2.8195455541861039</v>
      </c>
      <c r="N4" s="2">
        <v>3.4452258335534998</v>
      </c>
      <c r="O4" s="4">
        <v>5.849434636468287E-2</v>
      </c>
      <c r="P4" s="4">
        <v>9.818181818181819E-2</v>
      </c>
      <c r="Q4" s="4">
        <v>7.6203822690338374E-2</v>
      </c>
      <c r="R4" s="4">
        <v>0.40688947062135006</v>
      </c>
      <c r="S4" s="79">
        <v>0.1542519195864642</v>
      </c>
      <c r="T4" s="78">
        <v>1.2141426890285656</v>
      </c>
      <c r="U4" s="15">
        <v>2.3107986944995245E-3</v>
      </c>
      <c r="V4" s="76">
        <v>3.0499352531108609E-2</v>
      </c>
      <c r="W4" s="71">
        <v>0.79833937207218564</v>
      </c>
      <c r="X4" s="13" t="s">
        <v>336</v>
      </c>
      <c r="Y4" s="11" t="s">
        <v>333</v>
      </c>
      <c r="Z4" s="14">
        <v>46081</v>
      </c>
      <c r="AA4" s="16" t="s">
        <v>183</v>
      </c>
    </row>
    <row r="5" spans="1:27">
      <c r="B5" s="11" t="s">
        <v>342</v>
      </c>
      <c r="C5" s="11" t="s">
        <v>343</v>
      </c>
      <c r="D5" s="2">
        <v>6.85</v>
      </c>
      <c r="E5" s="12" t="s">
        <v>135</v>
      </c>
      <c r="F5" s="15">
        <v>0.1969574771068805</v>
      </c>
      <c r="G5" s="15">
        <f>F5 - Portfolio_Mgmt!$C$10</f>
        <v>7.9557477106880492E-2</v>
      </c>
      <c r="H5" s="15">
        <f>F5 - Portfolio_Mgmt!$C$11</f>
        <v>0.16245747710688049</v>
      </c>
      <c r="I5" s="15">
        <v>7.0422957025571165E-2</v>
      </c>
      <c r="J5" s="2">
        <v>5.4621860432981366</v>
      </c>
      <c r="K5" s="2">
        <v>10.619617817506695</v>
      </c>
      <c r="L5" s="71">
        <v>9.4196971375605791</v>
      </c>
      <c r="M5" s="2">
        <v>6.7875801048385824</v>
      </c>
      <c r="N5" s="2">
        <v>8.3610773533909928</v>
      </c>
      <c r="O5" s="4">
        <v>0.10035912280080937</v>
      </c>
      <c r="P5" s="4">
        <v>4.534314931340145E-2</v>
      </c>
      <c r="Q5" s="4">
        <v>0.17171943632334713</v>
      </c>
      <c r="R5" s="4">
        <v>8.3605881051156281E-2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-2.8839606585673754</v>
      </c>
      <c r="X5" s="13" t="s">
        <v>344</v>
      </c>
      <c r="Y5" s="11" t="s">
        <v>170</v>
      </c>
      <c r="Z5" s="14">
        <v>46081</v>
      </c>
      <c r="AA5" s="16" t="s">
        <v>334</v>
      </c>
    </row>
    <row r="6" spans="1:27">
      <c r="B6" s="11" t="s">
        <v>172</v>
      </c>
      <c r="C6" s="11" t="s">
        <v>339</v>
      </c>
      <c r="D6" s="2">
        <v>18.52</v>
      </c>
      <c r="E6" s="12" t="s">
        <v>135</v>
      </c>
      <c r="F6" s="15">
        <v>0.16396088766438474</v>
      </c>
      <c r="G6" s="15">
        <f>F6 - Portfolio_Mgmt!$C$10</f>
        <v>4.6560887664384737E-2</v>
      </c>
      <c r="H6" s="15">
        <f>F6 - Portfolio_Mgmt!$C$11</f>
        <v>0.12946088766438474</v>
      </c>
      <c r="I6" s="15">
        <v>4.3014845114041203E-2</v>
      </c>
      <c r="J6" s="2">
        <v>13.720950907377047</v>
      </c>
      <c r="K6" s="2">
        <v>24.771283289607897</v>
      </c>
      <c r="L6" s="71">
        <v>23.371264282044294</v>
      </c>
      <c r="M6" s="2">
        <v>16.9593674513109</v>
      </c>
      <c r="N6" s="2">
        <v>20.794954684823068</v>
      </c>
      <c r="O6" s="4">
        <v>0.12627450415043609</v>
      </c>
      <c r="P6" s="4">
        <v>6.8034557235421164E-2</v>
      </c>
      <c r="Q6" s="4">
        <v>0.17244225698759846</v>
      </c>
      <c r="R6" s="4">
        <v>0.32385684070512349</v>
      </c>
      <c r="S6" s="79">
        <v>0.37515442207937094</v>
      </c>
      <c r="T6" s="78">
        <v>1.419320754716981</v>
      </c>
      <c r="U6" s="15">
        <v>9.2018392262565404E-2</v>
      </c>
      <c r="V6" s="76">
        <v>0.52904635366009978</v>
      </c>
      <c r="W6" s="71">
        <v>0.44953053277687788</v>
      </c>
      <c r="X6" s="13" t="s">
        <v>340</v>
      </c>
      <c r="Y6" s="11" t="s">
        <v>341</v>
      </c>
      <c r="Z6" s="14">
        <v>46081</v>
      </c>
      <c r="AA6" s="16" t="s">
        <v>183</v>
      </c>
    </row>
    <row r="7" spans="1:27">
      <c r="B7" s="11" t="s">
        <v>158</v>
      </c>
      <c r="C7" s="11" t="s">
        <v>337</v>
      </c>
      <c r="D7" s="2">
        <v>17.28</v>
      </c>
      <c r="E7" s="12" t="s">
        <v>135</v>
      </c>
      <c r="F7" s="15">
        <v>0.15490105769033463</v>
      </c>
      <c r="G7" s="15">
        <f>F7 - Portfolio_Mgmt!$C$10</f>
        <v>3.7501057690334627E-2</v>
      </c>
      <c r="H7" s="15">
        <f>F7 - Portfolio_Mgmt!$C$11</f>
        <v>0.12040105769033463</v>
      </c>
      <c r="I7" s="15">
        <v>8.7372099713674649E-3</v>
      </c>
      <c r="J7" s="2">
        <v>12.385317355602849</v>
      </c>
      <c r="K7" s="2">
        <v>24.751254081019567</v>
      </c>
      <c r="L7" s="71">
        <v>21.461397560903798</v>
      </c>
      <c r="M7" s="2">
        <v>15.422670053694841</v>
      </c>
      <c r="N7" s="2">
        <v>19.031776245476706</v>
      </c>
      <c r="O7" s="4">
        <v>5.5282016236927779E-2</v>
      </c>
      <c r="P7" s="4">
        <v>3.0968203245907742E-2</v>
      </c>
      <c r="Q7" s="4">
        <v>0.11088652647669296</v>
      </c>
      <c r="R7" s="4">
        <v>0.11515137356238921</v>
      </c>
      <c r="S7" s="79">
        <v>0.71131521233544359</v>
      </c>
      <c r="T7" s="78">
        <v>1.3537783359692717</v>
      </c>
      <c r="U7" s="15">
        <v>6.5417684980282262E-2</v>
      </c>
      <c r="V7" s="76">
        <v>0.5742845428370501</v>
      </c>
      <c r="W7" s="71">
        <v>5.4510188852925641</v>
      </c>
      <c r="X7" s="13" t="s">
        <v>338</v>
      </c>
      <c r="Y7" s="11" t="s">
        <v>333</v>
      </c>
      <c r="Z7" s="14">
        <v>46081</v>
      </c>
      <c r="AA7" s="16" t="s">
        <v>183</v>
      </c>
    </row>
    <row r="8" spans="1:27">
      <c r="B8" s="11" t="s">
        <v>329</v>
      </c>
      <c r="C8" s="11" t="s">
        <v>330</v>
      </c>
      <c r="D8" s="2">
        <v>6.48</v>
      </c>
      <c r="E8" s="12" t="s">
        <v>135</v>
      </c>
      <c r="F8" s="15">
        <v>0.12260045445698151</v>
      </c>
      <c r="G8" s="15">
        <f>F8 - Portfolio_Mgmt!$C$10</f>
        <v>5.2004544569815014E-3</v>
      </c>
      <c r="H8" s="15">
        <f>F8 - Portfolio_Mgmt!$C$11</f>
        <v>8.8100454456981503E-2</v>
      </c>
      <c r="I8" s="15">
        <v>0</v>
      </c>
      <c r="J8" s="2">
        <v>4.333028820025568</v>
      </c>
      <c r="K8" s="2">
        <v>7.8143613713918958</v>
      </c>
      <c r="L8" s="71">
        <v>7.3792932677079612</v>
      </c>
      <c r="M8" s="2">
        <v>5.3553121183397749</v>
      </c>
      <c r="N8" s="2">
        <v>6.5660659780940076</v>
      </c>
      <c r="O8" s="4">
        <v>6.1252134371271964E-2</v>
      </c>
      <c r="P8" s="4">
        <v>6.1728395061728392E-2</v>
      </c>
      <c r="Q8" s="4">
        <v>0.1167471410506614</v>
      </c>
      <c r="R8" s="4">
        <v>3.9086921133773919E-2</v>
      </c>
      <c r="S8" s="79">
        <v>1.3708738209065539</v>
      </c>
      <c r="T8" s="78">
        <v>2.1787997096988563</v>
      </c>
      <c r="U8" s="15">
        <v>0.77760119734648436</v>
      </c>
      <c r="V8" s="76">
        <v>5.3475400925918697</v>
      </c>
      <c r="W8" s="71">
        <v>-2.5047246524922007</v>
      </c>
      <c r="X8" s="13" t="s">
        <v>171</v>
      </c>
      <c r="Y8" s="11" t="s">
        <v>170</v>
      </c>
      <c r="Z8" s="14">
        <v>45991</v>
      </c>
      <c r="AA8" s="16" t="s">
        <v>183</v>
      </c>
    </row>
    <row r="9" spans="1:27">
      <c r="B9" s="11" t="s">
        <v>346</v>
      </c>
      <c r="C9" s="11" t="s">
        <v>347</v>
      </c>
      <c r="D9" s="2">
        <v>102.7</v>
      </c>
      <c r="E9" s="12" t="s">
        <v>135</v>
      </c>
      <c r="F9" s="15">
        <v>0.1168871897599232</v>
      </c>
      <c r="G9" s="15">
        <f>F9 - Portfolio_Mgmt!$C$10</f>
        <v>-5.1281024007680809E-4</v>
      </c>
      <c r="H9" s="15">
        <f>F9 - Portfolio_Mgmt!$C$11</f>
        <v>8.2387189759923193E-2</v>
      </c>
      <c r="I9" s="15">
        <v>0</v>
      </c>
      <c r="J9" s="2">
        <v>65.938435582471087</v>
      </c>
      <c r="K9" s="2">
        <v>143.08640521396222</v>
      </c>
      <c r="L9" s="71">
        <v>115.9862401403131</v>
      </c>
      <c r="M9" s="2">
        <v>82.649187127198431</v>
      </c>
      <c r="N9" s="2">
        <v>102.55866803623486</v>
      </c>
      <c r="O9" s="4">
        <v>2.3285255823049682E-2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3.4828822106697523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7" sqref="C17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7.2499999999999995E-2</v>
      </c>
      <c r="E4" s="35">
        <f>D4-C4</f>
        <v>3.0699999999999998E-2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>
        <f>G3/$G$9</f>
        <v>0.698885251544477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17.28</v>
      </c>
      <c r="E4" s="59" t="str">
        <f>VLOOKUP(B4,Opportunities!B$3:E$30,4,FALSE)</f>
        <v>HKD</v>
      </c>
      <c r="F4" s="57">
        <v>4500</v>
      </c>
      <c r="G4" s="61">
        <f>D4*F4</f>
        <v>77760</v>
      </c>
      <c r="H4" s="58">
        <f>G4/$G$9</f>
        <v>6.9703152059720969E-2</v>
      </c>
      <c r="I4" s="58">
        <f>VLOOKUP(B4,Opportunities!B$3:I$30,8,FALSE)</f>
        <v>8.7372099713674649E-3</v>
      </c>
      <c r="J4" s="81">
        <f>VLOOKUP(B4,Opportunities!B$3:N$30,12,FALSE)</f>
        <v>15.422670053694841</v>
      </c>
      <c r="K4" s="81">
        <f>VLOOKUP(B4,Opportunities!B$3:N$30,9,FALSE)</f>
        <v>12.385317355602849</v>
      </c>
      <c r="L4" s="81">
        <f>VLOOKUP(B4,Opportunities!B$3:N$30,11,FALSE)</f>
        <v>21.461397560903798</v>
      </c>
      <c r="M4" s="81">
        <f>VLOOKUP(B4,Opportunities!B$3:N$30,13,FALSE)</f>
        <v>19.031776245476706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18.52</v>
      </c>
      <c r="E5" s="59" t="str">
        <f>VLOOKUP(B5,Opportunities!B$3:E$30,4,FALSE)</f>
        <v>HKD</v>
      </c>
      <c r="F5" s="57">
        <v>8000</v>
      </c>
      <c r="G5" s="61">
        <f>D5*F5</f>
        <v>148160</v>
      </c>
      <c r="H5" s="58">
        <f>G5/$G$9</f>
        <v>0.13280888643477701</v>
      </c>
      <c r="I5" s="58">
        <f>VLOOKUP(B5,Opportunities!B$3:I$30,8,FALSE)</f>
        <v>4.3014845114041203E-2</v>
      </c>
      <c r="J5" s="81">
        <f>VLOOKUP(B5,Opportunities!B$3:N$30,12,FALSE)</f>
        <v>16.9593674513109</v>
      </c>
      <c r="K5" s="81">
        <f>VLOOKUP(B5,Opportunities!B$3:N$30,9,FALSE)</f>
        <v>13.720950907377047</v>
      </c>
      <c r="L5" s="81">
        <f>VLOOKUP(B5,Opportunities!B$3:N$30,11,FALSE)</f>
        <v>23.371264282044294</v>
      </c>
      <c r="M5" s="81">
        <f>VLOOKUP(B5,Opportunities!B$3:N$30,13,FALSE)</f>
        <v>20.794954684823068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2.75</v>
      </c>
      <c r="E6" s="59" t="str">
        <f>VLOOKUP(B6,Opportunities!B$3:E$30,4,FALSE)</f>
        <v>HKD</v>
      </c>
      <c r="F6" s="57">
        <v>40000</v>
      </c>
      <c r="G6" s="61">
        <f>D6*F6</f>
        <v>110000</v>
      </c>
      <c r="H6" s="58">
        <f t="shared" ref="H6" si="0">G6/$G$9</f>
        <v>9.8602709961025034E-2</v>
      </c>
      <c r="I6" s="58">
        <f>VLOOKUP(B6,Opportunities!B$3:I$30,8,FALSE)</f>
        <v>0.17436055633392492</v>
      </c>
      <c r="J6" s="81">
        <f>VLOOKUP(B6,Opportunities!B$3:N$30,12,FALSE)</f>
        <v>2.8195455541861039</v>
      </c>
      <c r="K6" s="81">
        <f>VLOOKUP(B6,Opportunities!B$3:N$30,9,FALSE)</f>
        <v>2.2903031954036961</v>
      </c>
      <c r="L6" s="81">
        <f>VLOOKUP(B6,Opportunities!B$3:N$30,11,FALSE)</f>
        <v>3.864947713995857</v>
      </c>
      <c r="M6" s="81">
        <f>VLOOKUP(B6,Opportunities!B$3:N$30,13,FALSE)</f>
        <v>3.4452258335534998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3.85</v>
      </c>
      <c r="E7" s="59" t="str">
        <f>VLOOKUP(B7,Opportunities!B$3:E$30,4,FALSE)</f>
        <v>HKD</v>
      </c>
      <c r="F7" s="57">
        <v>9000</v>
      </c>
      <c r="G7" s="61">
        <f>D7*F7</f>
        <v>34650</v>
      </c>
      <c r="H7" s="58">
        <f t="shared" ref="H7" si="1">G7/$G$9</f>
        <v>3.1059853637722887E-2</v>
      </c>
      <c r="I7" s="58">
        <f>VLOOKUP(B7,Opportunities!B$3:I$30,8,FALSE)</f>
        <v>0.11187213165494383</v>
      </c>
      <c r="J7" s="81">
        <f>VLOOKUP(B7,Opportunities!B$3:N$30,12,FALSE)</f>
        <v>4.1997703137498341</v>
      </c>
      <c r="K7" s="81">
        <f>VLOOKUP(B7,Opportunities!B$3:N$30,9,FALSE)</f>
        <v>3.3871964121579978</v>
      </c>
      <c r="L7" s="81">
        <f>VLOOKUP(B7,Opportunities!B$3:N$30,11,FALSE)</f>
        <v>5.811490757823039</v>
      </c>
      <c r="M7" s="81">
        <f>VLOOKUP(B7,Opportunities!B$3:N$30,13,FALSE)</f>
        <v>5.1635252027694323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1115588</v>
      </c>
      <c r="H9" s="67">
        <f>SUM(H3:H6)</f>
        <v>1</v>
      </c>
      <c r="I9" s="73">
        <f>SUM(I3:I6)</f>
        <v>0.67611261141933354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17.28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8.7372099713674649E-3</v>
      </c>
      <c r="J12" s="81">
        <f>VLOOKUP(B12,Opportunities!B$3:N$30,12,FALSE)</f>
        <v>15.422670053694841</v>
      </c>
      <c r="K12" s="81">
        <f>VLOOKUP(B12,Opportunities!B$3:N$30,9,FALSE)</f>
        <v>12.385317355602849</v>
      </c>
      <c r="L12" s="81">
        <f>VLOOKUP(B12,Opportunities!B$3:N$30,11,FALSE)</f>
        <v>21.461397560903798</v>
      </c>
      <c r="M12" s="81">
        <f>VLOOKUP(B12,Opportunities!B$3:N$30,13,FALSE)</f>
        <v>19.031776245476706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18.52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4.3014845114041203E-2</v>
      </c>
      <c r="J13" s="81">
        <f>VLOOKUP(B13,Opportunities!B$3:N$30,12,FALSE)</f>
        <v>16.9593674513109</v>
      </c>
      <c r="K13" s="81">
        <f>VLOOKUP(B13,Opportunities!B$3:N$30,9,FALSE)</f>
        <v>13.720950907377047</v>
      </c>
      <c r="L13" s="81">
        <f>VLOOKUP(B13,Opportunities!B$3:N$30,11,FALSE)</f>
        <v>23.371264282044294</v>
      </c>
      <c r="M13" s="81">
        <f>VLOOKUP(B13,Opportunities!B$3:N$30,13,FALSE)</f>
        <v>20.794954684823068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2.75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0.17436055633392492</v>
      </c>
      <c r="J14" s="81">
        <f>VLOOKUP(B14,Opportunities!B$3:N$30,12,FALSE)</f>
        <v>2.8195455541861039</v>
      </c>
      <c r="K14" s="81">
        <f>VLOOKUP(B14,Opportunities!B$3:N$30,9,FALSE)</f>
        <v>2.2903031954036961</v>
      </c>
      <c r="L14" s="81">
        <f>VLOOKUP(B14,Opportunities!B$3:N$30,11,FALSE)</f>
        <v>3.864947713995857</v>
      </c>
      <c r="M14" s="81">
        <f>VLOOKUP(B14,Opportunities!B$3:N$30,13,FALSE)</f>
        <v>3.4452258335534998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3.85</v>
      </c>
      <c r="E15" s="59" t="str">
        <f>VLOOKUP(B15,Opportunities!B$3:E$30,4,FALSE)</f>
        <v>HKD</v>
      </c>
      <c r="F15" s="57">
        <v>3000</v>
      </c>
      <c r="G15" s="61">
        <f>-D15*F15</f>
        <v>-11550</v>
      </c>
      <c r="H15" s="58">
        <f>-G15/$G$9</f>
        <v>1.0353284545907629E-2</v>
      </c>
      <c r="I15" s="58">
        <f>VLOOKUP(B15,Opportunities!B$3:I$30,8,FALSE)</f>
        <v>0.11187213165494383</v>
      </c>
      <c r="J15" s="81">
        <f>VLOOKUP(B15,Opportunities!B$3:N$30,12,FALSE)</f>
        <v>4.1997703137498341</v>
      </c>
      <c r="K15" s="81">
        <f>VLOOKUP(B15,Opportunities!B$3:N$30,9,FALSE)</f>
        <v>3.3871964121579978</v>
      </c>
      <c r="L15" s="81">
        <f>VLOOKUP(B15,Opportunities!B$3:N$30,11,FALSE)</f>
        <v>5.811490757823039</v>
      </c>
      <c r="M15" s="81">
        <f>VLOOKUP(B15,Opportunities!B$3:N$30,13,FALSE)</f>
        <v>5.1635252027694323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6.85</v>
      </c>
      <c r="E16" s="59" t="str">
        <f>VLOOKUP(B16,Opportunities!B$3:E$30,4,FALSE)</f>
        <v>HKD</v>
      </c>
      <c r="F16" s="57">
        <v>8000</v>
      </c>
      <c r="G16" s="61">
        <f>-D16*F16</f>
        <v>-54800</v>
      </c>
      <c r="H16" s="58">
        <f>-G16/$G$9</f>
        <v>4.9122077326037926E-2</v>
      </c>
      <c r="I16" s="58">
        <f>VLOOKUP(B16,Opportunities!B$3:I$30,8,FALSE)</f>
        <v>7.0422957025571165E-2</v>
      </c>
      <c r="J16" s="81">
        <f>VLOOKUP(B16,Opportunities!B$3:N$30,12,FALSE)</f>
        <v>6.7875801048385824</v>
      </c>
      <c r="K16" s="81">
        <f>VLOOKUP(B16,Opportunities!B$3:N$30,9,FALSE)</f>
        <v>5.4621860432981366</v>
      </c>
      <c r="L16" s="81">
        <f>VLOOKUP(B16,Opportunities!B$3:N$30,11,FALSE)</f>
        <v>9.4196971375605791</v>
      </c>
      <c r="M16" s="81">
        <f>VLOOKUP(B16,Opportunities!B$3:N$30,13,FALSE)</f>
        <v>8.3610773533909928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713318</v>
      </c>
      <c r="H18" s="73">
        <f t="shared" ref="H18" si="2">G18/$G$9</f>
        <v>0.63940988967253143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6" t="s">
        <v>87</v>
      </c>
      <c r="C3" s="156"/>
      <c r="D3" s="156"/>
    </row>
    <row r="5" spans="1:4">
      <c r="B5" s="157" t="s">
        <v>89</v>
      </c>
      <c r="C5" s="158"/>
      <c r="D5" s="158"/>
    </row>
    <row r="6" spans="1:4">
      <c r="B6" s="157" t="s">
        <v>90</v>
      </c>
      <c r="C6" s="158"/>
      <c r="D6" s="158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6" t="s">
        <v>92</v>
      </c>
      <c r="C11" s="156"/>
      <c r="D11" s="156"/>
    </row>
    <row r="12" spans="1:4">
      <c r="B12" s="156" t="s">
        <v>93</v>
      </c>
      <c r="C12" s="156"/>
      <c r="D12" s="156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6" t="s">
        <v>105</v>
      </c>
      <c r="C28" s="156"/>
      <c r="D28" s="156"/>
    </row>
    <row r="29" spans="1:4">
      <c r="B29" s="156" t="s">
        <v>106</v>
      </c>
      <c r="C29" s="156"/>
      <c r="D29" s="156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2025-10-08T06:46:04Z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