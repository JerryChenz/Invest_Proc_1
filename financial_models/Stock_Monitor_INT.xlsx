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6A75E1C-53B2-4357-907C-823BBD15B34D}" xr6:coauthVersionLast="47" xr6:coauthVersionMax="47" xr10:uidLastSave="{00000000-0000-0000-0000-000000000000}"/>
  <bookViews>
    <workbookView xWindow="-98" yWindow="-98" windowWidth="17115" windowHeight="10755" firstSheet="2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G3" i="1"/>
  <c r="G4" i="1"/>
  <c r="G5" i="1"/>
  <c r="G6" i="1"/>
  <c r="G7" i="1"/>
  <c r="G8" i="1"/>
  <c r="G9" i="1"/>
  <c r="G10" i="1"/>
  <c r="G11" i="1"/>
  <c r="G12" i="1"/>
  <c r="G13" i="1"/>
  <c r="G14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<sst xmlns="http://schemas.openxmlformats.org/spreadsheetml/2006/main" count="479" uniqueCount="386">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</sst>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55" zoomScaleNormal="100" workbookViewId="0">
      <selection activeCell="E69" sqref="E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11.08</v>
      </c>
      <c r="E3" s="12" t="s">
        <v>134</v>
      </c>
      <c r="F3" s="15">
        <v>0.23974326571287063</v>
      </c>
      <c r="G3" s="15">
        <f>F3 - Portfolio_Mgmt!$C$10</f>
        <v>0.12234326571287063</v>
      </c>
      <c r="H3" s="15">
        <f>F3 - Portfolio_Mgmt!$C$11</f>
        <v>0.20524326571287063</v>
      </c>
      <c r="I3" s="15">
        <v>0.11347631756130139</v>
      </c>
      <c r="J3" s="2">
        <v>9.7837736763214416</v>
      </c>
      <c r="K3" s="2">
        <v>18.805946339156595</v>
      </c>
      <c r="L3" s="71">
        <v>16.839456855289644</v>
      </c>
      <c r="M3" s="2">
        <v>12.147496594776479</v>
      </c>
      <c r="N3" s="2">
        <v>14.952666449134519</v>
      </c>
      <c r="O3" s="4">
        <v>9.1813426697276546E-2</v>
      </c>
      <c r="P3" s="4">
        <v>5.5114793361567417E-2</v>
      </c>
      <c r="Q3" s="4">
        <v>0.10095785451246694</v>
      </c>
      <c r="R3" s="4">
        <v>0.12639789702537185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1.7646294193934753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329</v>
      </c>
      <c r="C4" s="11" t="s">
        <v>368</v>
      </c>
      <c r="D4" s="2">
        <v>3.98</v>
      </c>
      <c r="E4" s="12" t="s">
        <v>134</v>
      </c>
      <c r="F4" s="15">
        <v>0.23400441947841216</v>
      </c>
      <c r="G4" s="15">
        <f>F4 - Portfolio_Mgmt!$C$10</f>
        <v>0.11660441947841216</v>
      </c>
      <c r="H4" s="15">
        <f>F4 - Portfolio_Mgmt!$C$11</f>
        <v>0.19950441947841216</v>
      </c>
      <c r="I4" s="15">
        <v>0.10863688079525627</v>
      </c>
      <c r="J4" s="2">
        <v>3.4703083622925872</v>
      </c>
      <c r="K4" s="2">
        <v>6.5704350450804769</v>
      </c>
      <c r="L4" s="71">
        <v>5.9576853486058816</v>
      </c>
      <c r="M4" s="2">
        <v>4.303945292402287</v>
      </c>
      <c r="N4" s="2">
        <v>5.2927950410420799</v>
      </c>
      <c r="O4" s="4">
        <v>0.11169828907158892</v>
      </c>
      <c r="P4" s="4">
        <v>6.0753768844221102E-2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1.2850644210067361</v>
      </c>
      <c r="X4" s="13" t="s">
        <v>169</v>
      </c>
      <c r="Y4" s="11" t="s">
        <v>361</v>
      </c>
      <c r="Z4" s="14">
        <v>46081</v>
      </c>
      <c r="AA4" s="16" t="s">
        <v>367</v>
      </c>
    </row>
    <row r="5" spans="1:27">
      <c r="B5" s="11" t="s">
        <v>380</v>
      </c>
      <c r="C5" s="11" t="s">
        <v>381</v>
      </c>
      <c r="D5" s="2">
        <v>110.2</v>
      </c>
      <c r="E5" s="12" t="s">
        <v>134</v>
      </c>
      <c r="F5" s="15">
        <v>0.22528850426598107</v>
      </c>
      <c r="G5" s="15">
        <f>F5 - Portfolio_Mgmt!$C$10</f>
        <v>0.10788850426598107</v>
      </c>
      <c r="H5" s="15">
        <f>F5 - Portfolio_Mgmt!$C$11</f>
        <v>0.19078850426598107</v>
      </c>
      <c r="I5" s="15">
        <v>0.20160518814452058</v>
      </c>
      <c r="J5" s="2">
        <v>93.814298285530484</v>
      </c>
      <c r="K5" s="2">
        <v>189.63959677984315</v>
      </c>
      <c r="L5" s="71">
        <v>162.89182443511163</v>
      </c>
      <c r="M5" s="2">
        <v>116.92417112847011</v>
      </c>
      <c r="N5" s="2">
        <v>144.39438889113373</v>
      </c>
      <c r="O5" s="4">
        <v>7.8141313947041005E-2</v>
      </c>
      <c r="P5" s="4">
        <v>3.1851179673321232E-2</v>
      </c>
      <c r="Q5" s="4">
        <v>0.15</v>
      </c>
      <c r="R5" s="4">
        <v>3.9404773307997187E-2</v>
      </c>
      <c r="S5" s="79">
        <v>1.6240671367246462</v>
      </c>
      <c r="T5" s="78">
        <v>2.3438965902371725</v>
      </c>
      <c r="U5" s="15">
        <v>0.36820511135930623</v>
      </c>
      <c r="V5" s="76">
        <v>2.8852377432054559</v>
      </c>
      <c r="W5" s="71">
        <v>-65.259063827019318</v>
      </c>
      <c r="X5" s="13" t="s">
        <v>169</v>
      </c>
      <c r="Y5" s="11" t="s">
        <v>364</v>
      </c>
      <c r="Z5" s="14">
        <v>46173</v>
      </c>
      <c r="AA5" s="16" t="s">
        <v>181</v>
      </c>
    </row>
    <row r="6" spans="1:27">
      <c r="B6" s="11" t="s">
        <v>382</v>
      </c>
      <c r="C6" s="11" t="s">
        <v>383</v>
      </c>
      <c r="D6" s="2">
        <v>78.5</v>
      </c>
      <c r="E6" s="12" t="s">
        <v>134</v>
      </c>
      <c r="F6" s="15">
        <v>0.20530762147104514</v>
      </c>
      <c r="G6" s="15">
        <f>F6 - Portfolio_Mgmt!$C$10</f>
        <v>8.7907621471045139E-2</v>
      </c>
      <c r="H6" s="15">
        <f>F6 - Portfolio_Mgmt!$C$11</f>
        <v>0.17080762147104514</v>
      </c>
      <c r="I6" s="15">
        <v>0.16053511920000482</v>
      </c>
      <c r="J6" s="2">
        <v>64.003866214632282</v>
      </c>
      <c r="K6" s="2">
        <v>120.69825603350384</v>
      </c>
      <c r="L6" s="71">
        <v>109.80563473237734</v>
      </c>
      <c r="M6" s="2">
        <v>79.355846289517714</v>
      </c>
      <c r="N6" s="2">
        <v>97.563864350700428</v>
      </c>
      <c r="O6" s="4">
        <v>6.9079823478540248E-2</v>
      </c>
      <c r="P6" s="4">
        <v>5.8356687898089177E-2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1.4575137104205371</v>
      </c>
      <c r="X6" s="13" t="s">
        <v>377</v>
      </c>
      <c r="Y6" s="11" t="s">
        <v>364</v>
      </c>
      <c r="Z6" s="14">
        <v>46081</v>
      </c>
      <c r="AA6" s="16" t="s">
        <v>181</v>
      </c>
    </row>
    <row r="7" spans="1:27">
      <c r="B7" s="11" t="s">
        <v>384</v>
      </c>
      <c r="C7" s="11" t="s">
        <v>385</v>
      </c>
      <c r="D7" s="2">
        <v>81</v>
      </c>
      <c r="E7" s="12" t="s">
        <v>134</v>
      </c>
      <c r="F7" s="15">
        <v>0.17340891157166777</v>
      </c>
      <c r="G7" s="15">
        <f>F7 - Portfolio_Mgmt!$C$10</f>
        <v>5.6008911571667763E-2</v>
      </c>
      <c r="H7" s="15">
        <f>F7 - Portfolio_Mgmt!$C$11</f>
        <v>0.13890891157166776</v>
      </c>
      <c r="I7" s="15">
        <v>7.4894863763584923E-2</v>
      </c>
      <c r="J7" s="2">
        <v>61.543966476030704</v>
      </c>
      <c r="K7" s="2">
        <v>108.2184324335405</v>
      </c>
      <c r="L7" s="71">
        <v>104.38807291187982</v>
      </c>
      <c r="M7" s="2">
        <v>75.931545420866001</v>
      </c>
      <c r="N7" s="2">
        <v>92.958129064748562</v>
      </c>
      <c r="O7" s="4">
        <v>0.11180806117652611</v>
      </c>
      <c r="P7" s="4">
        <v>7.8760493827160494E-2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-19.22273662237485</v>
      </c>
      <c r="X7" s="13" t="s">
        <v>169</v>
      </c>
      <c r="Y7" s="11" t="s">
        <v>361</v>
      </c>
      <c r="Z7" s="14">
        <v>46081</v>
      </c>
      <c r="AA7" s="16" t="s">
        <v>181</v>
      </c>
    </row>
    <row r="8" spans="1:27">
      <c r="B8" s="11" t="s">
        <v>183</v>
      </c>
      <c r="C8" s="11" t="s">
        <v>371</v>
      </c>
      <c r="D8" s="2">
        <v>3.36</v>
      </c>
      <c r="E8" s="12" t="s">
        <v>134</v>
      </c>
      <c r="F8" s="15">
        <v>0.17082869369402165</v>
      </c>
      <c r="G8" s="15">
        <f>F8 - Portfolio_Mgmt!$C$10</f>
        <v>5.3428693694021645E-2</v>
      </c>
      <c r="H8" s="15">
        <f>F8 - Portfolio_Mgmt!$C$11</f>
        <v>0.13632869369402165</v>
      </c>
      <c r="I8" s="15">
        <v>6.6543794811664683E-2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7.22692940742648E-2</v>
      </c>
      <c r="P8" s="4">
        <v>8.0357142857142863E-2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372</v>
      </c>
      <c r="Y8" s="11" t="s">
        <v>361</v>
      </c>
      <c r="Z8" s="14">
        <v>46081</v>
      </c>
      <c r="AA8" s="16" t="s">
        <v>181</v>
      </c>
    </row>
    <row r="9" spans="1:27">
      <c r="B9" s="11" t="s">
        <v>362</v>
      </c>
      <c r="C9" s="11" t="s">
        <v>363</v>
      </c>
      <c r="D9" s="2">
        <v>7.23</v>
      </c>
      <c r="E9" s="12" t="s">
        <v>134</v>
      </c>
      <c r="F9" s="15">
        <v>0.16624584104942389</v>
      </c>
      <c r="G9" s="15">
        <f>F9 - Portfolio_Mgmt!$C$10</f>
        <v>4.8845841049423883E-2</v>
      </c>
      <c r="H9" s="15">
        <f>F9 - Portfolio_Mgmt!$C$11</f>
        <v>0.13174584104942388</v>
      </c>
      <c r="I9" s="15">
        <v>5.106202270262851E-2</v>
      </c>
      <c r="J9" s="2">
        <v>5.3141281403824898</v>
      </c>
      <c r="K9" s="2">
        <v>10.967807599967429</v>
      </c>
      <c r="L9" s="71">
        <v>9.2614927891107719</v>
      </c>
      <c r="M9" s="2">
        <v>6.6339642861251669</v>
      </c>
      <c r="N9" s="2">
        <v>8.2038797297466814</v>
      </c>
      <c r="O9" s="4">
        <v>6.3493793969298162E-2</v>
      </c>
      <c r="P9" s="4">
        <v>1.9640387275242043E-2</v>
      </c>
      <c r="Q9" s="4">
        <v>0.3</v>
      </c>
      <c r="R9" s="4">
        <v>0.15217050538089463</v>
      </c>
      <c r="S9" s="79">
        <v>1.1106245684847842</v>
      </c>
      <c r="T9" s="78">
        <v>1.775102743966247</v>
      </c>
      <c r="U9" s="15">
        <v>0.17709797868255178</v>
      </c>
      <c r="V9" s="76">
        <v>0.82178780749892033</v>
      </c>
      <c r="W9" s="71">
        <v>-0.16650139591844174</v>
      </c>
      <c r="X9" s="13" t="s">
        <v>169</v>
      </c>
      <c r="Y9" s="11" t="s">
        <v>364</v>
      </c>
      <c r="Z9" s="14">
        <v>46081</v>
      </c>
      <c r="AA9" s="16" t="s">
        <v>181</v>
      </c>
    </row>
    <row r="10" spans="1:27">
      <c r="B10" s="11" t="s">
        <v>327</v>
      </c>
      <c r="C10" s="11" t="s">
        <v>328</v>
      </c>
      <c r="D10" s="2">
        <v>4.7699999999999996</v>
      </c>
      <c r="E10" s="12" t="s">
        <v>134</v>
      </c>
      <c r="F10" s="15">
        <v>0.1659005077146376</v>
      </c>
      <c r="G10" s="15">
        <f>F10 - Portfolio_Mgmt!$C$10</f>
        <v>4.8500507714637597E-2</v>
      </c>
      <c r="H10" s="15">
        <f>F10 - Portfolio_Mgmt!$C$11</f>
        <v>0.1314005077146376</v>
      </c>
      <c r="I10" s="15">
        <v>4.9860246952646653E-2</v>
      </c>
      <c r="J10" s="2">
        <v>3.5453162653105039</v>
      </c>
      <c r="K10" s="2">
        <v>6.5021029196761031</v>
      </c>
      <c r="L10" s="71">
        <v>6.0543353749158966</v>
      </c>
      <c r="M10" s="2">
        <v>4.3869285024051887</v>
      </c>
      <c r="N10" s="2">
        <v>5.3842307819113344</v>
      </c>
      <c r="O10" s="4">
        <v>8.4679911667139132E-2</v>
      </c>
      <c r="P10" s="4">
        <v>6.2893081761006303E-2</v>
      </c>
      <c r="Q10" s="4">
        <v>0.18</v>
      </c>
      <c r="R10" s="4">
        <v>5.5599077391744495E-2</v>
      </c>
      <c r="S10" s="79">
        <v>1.4798367611150316</v>
      </c>
      <c r="T10" s="78">
        <v>2.187716833659914</v>
      </c>
      <c r="U10" s="15">
        <v>0.76701287002940366</v>
      </c>
      <c r="V10" s="76">
        <v>5.0983946232940358</v>
      </c>
      <c r="W10" s="71">
        <v>-2.4800067209187837</v>
      </c>
      <c r="X10" s="16" t="s">
        <v>169</v>
      </c>
      <c r="Y10" s="11" t="s">
        <v>361</v>
      </c>
      <c r="Z10" s="14">
        <v>46173</v>
      </c>
      <c r="AA10" s="16" t="s">
        <v>181</v>
      </c>
    </row>
    <row r="11" spans="1:27">
      <c r="B11" s="11" t="s">
        <v>330</v>
      </c>
      <c r="C11" s="11" t="s">
        <v>369</v>
      </c>
      <c r="D11" s="2">
        <v>8.16</v>
      </c>
      <c r="E11" s="12" t="s">
        <v>134</v>
      </c>
      <c r="F11" s="15">
        <v>0.15733963024416794</v>
      </c>
      <c r="G11" s="15">
        <f>F11 - Portfolio_Mgmt!$C$10</f>
        <v>3.993963024416794E-2</v>
      </c>
      <c r="H11" s="15">
        <f>F11 - Portfolio_Mgmt!$C$11</f>
        <v>0.12283963024416794</v>
      </c>
      <c r="I11" s="15">
        <v>9.1784999211714409E-3</v>
      </c>
      <c r="J11" s="2">
        <v>5.8994615397821244</v>
      </c>
      <c r="K11" s="2">
        <v>11.525556085250605</v>
      </c>
      <c r="L11" s="71">
        <v>10.182309750391417</v>
      </c>
      <c r="M11" s="2">
        <v>7.3336235149324782</v>
      </c>
      <c r="N11" s="2">
        <v>9.0365137253594359</v>
      </c>
      <c r="O11" s="4">
        <v>8.718202407307328E-2</v>
      </c>
      <c r="P11" s="4">
        <v>3.9389336053696794E-2</v>
      </c>
      <c r="Q11" s="4">
        <v>0.17172000767384102</v>
      </c>
      <c r="R11" s="4">
        <v>8.3606159227363072E-2</v>
      </c>
      <c r="S11" s="79">
        <v>1.3282158707615834</v>
      </c>
      <c r="T11" s="78">
        <v>1.5463719418456539</v>
      </c>
      <c r="U11" s="15">
        <v>0.22428295339746124</v>
      </c>
      <c r="V11" s="76">
        <v>1.2715557492373779</v>
      </c>
      <c r="W11" s="71">
        <v>-2.9843922157264964</v>
      </c>
      <c r="X11" s="13" t="s">
        <v>370</v>
      </c>
      <c r="Y11" s="11" t="s">
        <v>364</v>
      </c>
      <c r="Z11" s="14">
        <v>46081</v>
      </c>
      <c r="AA11" s="16" t="s">
        <v>367</v>
      </c>
    </row>
    <row r="12" spans="1:27">
      <c r="B12" s="11" t="s">
        <v>378</v>
      </c>
      <c r="C12" s="11" t="s">
        <v>379</v>
      </c>
      <c r="D12" s="2">
        <v>5.09</v>
      </c>
      <c r="E12" s="12" t="s">
        <v>134</v>
      </c>
      <c r="F12" s="15">
        <v>0.12074345393324551</v>
      </c>
      <c r="G12" s="15">
        <f>F12 - Portfolio_Mgmt!$C$10</f>
        <v>3.3434539332455049E-3</v>
      </c>
      <c r="H12" s="15">
        <f>F12 - Portfolio_Mgmt!$C$11</f>
        <v>8.6243453933245506E-2</v>
      </c>
      <c r="I12" s="15">
        <v>0</v>
      </c>
      <c r="J12" s="2">
        <v>3.3455729956390798</v>
      </c>
      <c r="K12" s="2">
        <v>6.6277455556474951</v>
      </c>
      <c r="L12" s="71">
        <v>5.7883592149489207</v>
      </c>
      <c r="M12" s="2">
        <v>4.1632581103676909</v>
      </c>
      <c r="N12" s="2">
        <v>5.1345919269174427</v>
      </c>
      <c r="O12" s="4">
        <v>6.0944595552495227E-2</v>
      </c>
      <c r="P12" s="4">
        <v>3.1277013752455798E-2</v>
      </c>
      <c r="Q12" s="4">
        <v>0.27382509866113364</v>
      </c>
      <c r="R12" s="4">
        <v>0.20764453215246689</v>
      </c>
      <c r="S12" s="79">
        <v>0.86056930273853416</v>
      </c>
      <c r="T12" s="78">
        <v>1.532381509863507</v>
      </c>
      <c r="U12" s="15">
        <v>0.27351475277205878</v>
      </c>
      <c r="V12" s="76">
        <v>0.94608729427783522</v>
      </c>
      <c r="W12" s="71">
        <v>0.59749676752244707</v>
      </c>
      <c r="X12" s="13" t="s">
        <v>169</v>
      </c>
      <c r="Y12" s="11" t="s">
        <v>364</v>
      </c>
      <c r="Z12" s="14">
        <v>46173</v>
      </c>
      <c r="AA12" s="16" t="s">
        <v>367</v>
      </c>
    </row>
    <row r="13" spans="1:27">
      <c r="B13" s="11" t="s">
        <v>157</v>
      </c>
      <c r="C13" s="11" t="s">
        <v>373</v>
      </c>
      <c r="D13" s="2">
        <v>22</v>
      </c>
      <c r="E13" s="12" t="s">
        <v>134</v>
      </c>
      <c r="F13" s="15">
        <v>0.10605475649102321</v>
      </c>
      <c r="G13" s="15">
        <f>F13 - Portfolio_Mgmt!$C$10</f>
        <v>-1.1345243508976796E-2</v>
      </c>
      <c r="H13" s="15">
        <f>F13 - Portfolio_Mgmt!$C$11</f>
        <v>7.1554756491023205E-2</v>
      </c>
      <c r="I13" s="15">
        <v>0</v>
      </c>
      <c r="J13" s="2">
        <v>13.870905010852598</v>
      </c>
      <c r="K13" s="2">
        <v>28.046486471523096</v>
      </c>
      <c r="L13" s="2">
        <v>24.085477569599252</v>
      </c>
      <c r="M13" s="2">
        <v>17.288163733840221</v>
      </c>
      <c r="N13" s="2">
        <v>21.350221295082086</v>
      </c>
      <c r="O13" s="4">
        <v>5.1443906911172094E-2</v>
      </c>
      <c r="P13" s="4">
        <v>2.3505554410869198E-2</v>
      </c>
      <c r="Q13" s="4">
        <v>0.2</v>
      </c>
      <c r="R13" s="4">
        <v>0.13430424833028851</v>
      </c>
      <c r="S13" s="79">
        <v>1.1000000000000001</v>
      </c>
      <c r="T13" s="78">
        <v>1.3537783359692717</v>
      </c>
      <c r="U13" s="15">
        <v>6.5417684980282262E-2</v>
      </c>
      <c r="V13" s="76">
        <v>0.50358953318926281</v>
      </c>
      <c r="W13" s="71">
        <v>5.6408461331530324</v>
      </c>
      <c r="X13" s="13" t="s">
        <v>374</v>
      </c>
      <c r="Y13" s="11" t="s">
        <v>364</v>
      </c>
      <c r="Z13" s="14">
        <v>46081</v>
      </c>
      <c r="AA13" s="16" t="s">
        <v>181</v>
      </c>
    </row>
    <row r="14" spans="1:27">
      <c r="B14" s="11" t="s">
        <v>170</v>
      </c>
      <c r="C14" s="11" t="s">
        <v>375</v>
      </c>
      <c r="D14" s="2">
        <v>24.82</v>
      </c>
      <c r="E14" s="12" t="s">
        <v>134</v>
      </c>
      <c r="F14" s="15">
        <v>6.3964306606605764E-2</v>
      </c>
      <c r="G14" s="15">
        <f>F14 - Portfolio_Mgmt!$C$10</f>
        <v>-5.343569339339424E-2</v>
      </c>
      <c r="H14" s="15">
        <f>F14 - Portfolio_Mgmt!$C$11</f>
        <v>2.9464306606605761E-2</v>
      </c>
      <c r="I14" s="15">
        <v>0</v>
      </c>
      <c r="J14" s="2">
        <v>14.225882840878791</v>
      </c>
      <c r="K14" s="2">
        <v>25.866985585306679</v>
      </c>
      <c r="L14" s="2">
        <v>24.259443626554173</v>
      </c>
      <c r="M14" s="2">
        <v>17.592264084205503</v>
      </c>
      <c r="N14" s="2">
        <v>21.580310692915347</v>
      </c>
      <c r="O14" s="4">
        <v>9.768242662417187E-2</v>
      </c>
      <c r="P14" s="4">
        <v>5.0765511684125707E-2</v>
      </c>
      <c r="Q14" s="4">
        <v>0.17275816461101692</v>
      </c>
      <c r="R14" s="4">
        <v>0.32389125963769955</v>
      </c>
      <c r="S14" s="79">
        <v>0.37580175109499292</v>
      </c>
      <c r="T14" s="78">
        <v>1.419320754716981</v>
      </c>
      <c r="U14" s="15">
        <v>9.2018392262565404E-2</v>
      </c>
      <c r="V14" s="76">
        <v>0.52808720739977155</v>
      </c>
      <c r="W14" s="71">
        <v>0.4651850637300769</v>
      </c>
      <c r="X14" s="13" t="s">
        <v>376</v>
      </c>
      <c r="Y14" s="11" t="s">
        <v>361</v>
      </c>
      <c r="Z14" s="14">
        <v>46081</v>
      </c>
      <c r="AA14" s="16" t="s">
        <v>181</v>
      </c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4.2199999999999994E-2</v>
      </c>
      <c r="D4" s="34">
        <v>6.7500000000000004E-2</v>
      </c>
      <c r="E4" s="35">
        <f>D4-C4</f>
        <v>2.530000000000001E-2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C9" sqref="C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805319</v>
      </c>
      <c r="H3" s="58">
        <f t="shared" ref="H3:H9" si="0">G3/$G$12</f>
        <v>0.60504853872918007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17.288163733840221</v>
      </c>
      <c r="K4" s="81">
        <f>VLOOKUP(B4,Opportunities!B$3:N$30,9,FALSE)</f>
        <v>13.870905010852598</v>
      </c>
      <c r="L4" s="81">
        <f>VLOOKUP(B4,Opportunities!B$3:N$30,11,FALSE)</f>
        <v>24.085477569599252</v>
      </c>
      <c r="M4" s="81">
        <f>VLOOKUP(B4,Opportunities!B$3:N$30,13,FALSE)</f>
        <v>21.350221295082086</v>
      </c>
    </row>
    <row r="5" spans="1:13">
      <c r="B5" s="63" t="s">
        <v>380</v>
      </c>
      <c r="C5" s="62" t="str">
        <f>VLOOKUP(B5,Opportunities!B$3:E$30,2,FALSE)</f>
        <v>京东集团</v>
      </c>
      <c r="D5" s="60">
        <f>VLOOKUP(B5,Opportunities!B$3:E$30,3,FALSE)</f>
        <v>110.2</v>
      </c>
      <c r="E5" s="59" t="str">
        <f>VLOOKUP(B5,Opportunities!B$3:E$30,4,FALSE)</f>
        <v>HKD</v>
      </c>
      <c r="F5" s="57">
        <v>1000</v>
      </c>
      <c r="G5" s="61">
        <f t="shared" si="1"/>
        <v>110200</v>
      </c>
      <c r="H5" s="58">
        <f t="shared" si="0"/>
        <v>8.2794953264427693E-2</v>
      </c>
      <c r="I5" s="58">
        <f>VLOOKUP(B5,Opportunities!B$3:I$30,8,FALSE)</f>
        <v>0.20160518814452058</v>
      </c>
      <c r="J5" s="81">
        <f>VLOOKUP(B5,Opportunities!B$3:N$30,12,FALSE)</f>
        <v>116.92417112847011</v>
      </c>
      <c r="K5" s="81">
        <f>VLOOKUP(B5,Opportunities!B$3:N$30,9,FALSE)</f>
        <v>93.814298285530484</v>
      </c>
      <c r="L5" s="81">
        <f>VLOOKUP(B5,Opportunities!B$3:N$30,11,FALSE)</f>
        <v>162.89182443511163</v>
      </c>
      <c r="M5" s="81">
        <f>VLOOKUP(B5,Opportunities!B$3:N$30,13,FALSE)</f>
        <v>144.39438889113373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3.36</v>
      </c>
      <c r="E6" s="59" t="str">
        <f>VLOOKUP(B6,Opportunities!B$3:E$30,4,FALSE)</f>
        <v>HKD</v>
      </c>
      <c r="F6" s="57">
        <v>40000</v>
      </c>
      <c r="G6" s="61">
        <f t="shared" si="1"/>
        <v>134400</v>
      </c>
      <c r="H6" s="58">
        <f t="shared" si="0"/>
        <v>0.10097678510652525</v>
      </c>
      <c r="I6" s="58">
        <f>VLOOKUP(B6,Opportunities!B$3:I$30,8,FALSE)</f>
        <v>6.6543794811664683E-2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8.16</v>
      </c>
      <c r="E7" s="59" t="str">
        <f>VLOOKUP(B7,Opportunities!B$3:E$30,4,FALSE)</f>
        <v>HKD</v>
      </c>
      <c r="F7" s="57">
        <v>8000</v>
      </c>
      <c r="G7" s="61">
        <f t="shared" si="1"/>
        <v>65280</v>
      </c>
      <c r="H7" s="58">
        <f t="shared" si="0"/>
        <v>4.9045867051740834E-2</v>
      </c>
      <c r="I7" s="58">
        <f>VLOOKUP(B7,Opportunities!B$3:I$30,8,FALSE)</f>
        <v>9.1784999211714409E-3</v>
      </c>
      <c r="J7" s="81">
        <f>VLOOKUP(B7,Opportunities!B$3:N$30,12,FALSE)</f>
        <v>7.3336235149324782</v>
      </c>
      <c r="K7" s="81">
        <f>VLOOKUP(B7,Opportunities!B$3:N$30,9,FALSE)</f>
        <v>5.8994615397821244</v>
      </c>
      <c r="L7" s="81">
        <f>VLOOKUP(B7,Opportunities!B$3:N$30,11,FALSE)</f>
        <v>10.182309750391417</v>
      </c>
      <c r="M7" s="81">
        <f>VLOOKUP(B7,Opportunities!B$3:N$30,13,FALSE)</f>
        <v>9.0365137253594359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11.08</v>
      </c>
      <c r="E8" s="59" t="str">
        <f>VLOOKUP(B8,Opportunities!B$3:E$30,4,FALSE)</f>
        <v>HKD</v>
      </c>
      <c r="F8" s="57">
        <v>10000</v>
      </c>
      <c r="G8" s="61">
        <f t="shared" si="1"/>
        <v>110800</v>
      </c>
      <c r="H8" s="58">
        <f t="shared" si="0"/>
        <v>8.3245742483653254E-2</v>
      </c>
      <c r="I8" s="58">
        <f>VLOOKUP(B8,Opportunities!B$3:I$30,8,FALSE)</f>
        <v>0.11347631756130139</v>
      </c>
      <c r="J8" s="81">
        <f>VLOOKUP(B8,Opportunities!B$3:N$30,12,FALSE)</f>
        <v>12.147496594776479</v>
      </c>
      <c r="K8" s="81">
        <f>VLOOKUP(B8,Opportunities!B$3:N$30,9,FALSE)</f>
        <v>9.7837736763214416</v>
      </c>
      <c r="L8" s="81">
        <f>VLOOKUP(B8,Opportunities!B$3:N$30,11,FALSE)</f>
        <v>16.839456855289644</v>
      </c>
      <c r="M8" s="81">
        <f>VLOOKUP(B8,Opportunities!B$3:N$30,13,FALSE)</f>
        <v>14.952666449134519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4.7699999999999996</v>
      </c>
      <c r="E9" s="59" t="str">
        <f>VLOOKUP(B9,Opportunities!B$3:E$30,4,FALSE)</f>
        <v>HKD</v>
      </c>
      <c r="F9" s="57">
        <v>12000</v>
      </c>
      <c r="G9" s="61">
        <f t="shared" si="1"/>
        <v>57239.999999999993</v>
      </c>
      <c r="H9" s="58">
        <f t="shared" si="0"/>
        <v>4.3005291514118339E-2</v>
      </c>
      <c r="I9" s="58">
        <f>VLOOKUP(B9,Opportunities!B$3:I$30,8,FALSE)</f>
        <v>4.9860246952646653E-2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3.98</v>
      </c>
      <c r="E10" s="59" t="str">
        <f>VLOOKUP(B10,Opportunities!B$3:E$30,4,FALSE)</f>
        <v>HKD</v>
      </c>
      <c r="F10" s="57">
        <v>12000</v>
      </c>
      <c r="G10" s="61">
        <f t="shared" si="1"/>
        <v>47760</v>
      </c>
      <c r="H10" s="58">
        <f t="shared" ref="H10" si="2">G10/$G$12</f>
        <v>3.5882821850354511E-2</v>
      </c>
      <c r="I10" s="58">
        <f>VLOOKUP(B10,Opportunities!B$3:I$30,8,FALSE)</f>
        <v>0.10863688079525627</v>
      </c>
      <c r="J10" s="81">
        <f>VLOOKUP(B10,Opportunities!B$3:N$30,12,FALSE)</f>
        <v>4.303945292402287</v>
      </c>
      <c r="K10" s="81">
        <f>VLOOKUP(B10,Opportunities!B$3:N$30,9,FALSE)</f>
        <v>3.4703083622925872</v>
      </c>
      <c r="L10" s="81">
        <f>VLOOKUP(B10,Opportunities!B$3:N$30,11,FALSE)</f>
        <v>5.9576853486058816</v>
      </c>
      <c r="M10" s="81">
        <f>VLOOKUP(B10,Opportunities!B$3:N$30,13,FALSE)</f>
        <v>5.2927950410420799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1330999</v>
      </c>
      <c r="H12" s="67">
        <f>SUM(H3:H10)</f>
        <v>0.99999999999999989</v>
      </c>
      <c r="I12" s="73">
        <f>SUM(I3:I10)</f>
        <v>0.99930092818656113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22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17.288163733840221</v>
      </c>
      <c r="K15" s="81">
        <f>VLOOKUP(B15,Opportunities!B$3:N$30,9,FALSE)</f>
        <v>13.870905010852598</v>
      </c>
      <c r="L15" s="81">
        <f>VLOOKUP(B15,Opportunities!B$3:N$30,11,FALSE)</f>
        <v>24.085477569599252</v>
      </c>
      <c r="M15" s="81">
        <f>VLOOKUP(B15,Opportunities!B$3:N$30,13,FALSE)</f>
        <v>21.350221295082086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24.82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17.592264084205503</v>
      </c>
      <c r="K16" s="81">
        <f>VLOOKUP(B16,Opportunities!B$3:N$30,9,FALSE)</f>
        <v>14.225882840878791</v>
      </c>
      <c r="L16" s="81">
        <f>VLOOKUP(B16,Opportunities!B$3:N$30,11,FALSE)</f>
        <v>24.259443626554173</v>
      </c>
      <c r="M16" s="81">
        <f>VLOOKUP(B16,Opportunities!B$3:N$30,13,FALSE)</f>
        <v>21.580310692915347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3.36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6.6543794811664683E-2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3.98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0.10863688079525627</v>
      </c>
      <c r="J18" s="81">
        <f>VLOOKUP(B18,Opportunities!B$3:N$30,12,FALSE)</f>
        <v>4.303945292402287</v>
      </c>
      <c r="K18" s="81">
        <f>VLOOKUP(B18,Opportunities!B$3:N$30,9,FALSE)</f>
        <v>3.4703083622925872</v>
      </c>
      <c r="L18" s="81">
        <f>VLOOKUP(B18,Opportunities!B$3:N$30,11,FALSE)</f>
        <v>5.9576853486058816</v>
      </c>
      <c r="M18" s="81">
        <f>VLOOKUP(B18,Opportunities!B$3:N$30,13,FALSE)</f>
        <v>5.2927950410420799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11.08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0.11347631756130139</v>
      </c>
      <c r="J19" s="81">
        <f>VLOOKUP(B19,Opportunities!B$3:N$30,12,FALSE)</f>
        <v>12.147496594776479</v>
      </c>
      <c r="K19" s="81">
        <f>VLOOKUP(B19,Opportunities!B$3:N$30,9,FALSE)</f>
        <v>9.7837736763214416</v>
      </c>
      <c r="L19" s="81">
        <f>VLOOKUP(B19,Opportunities!B$3:N$30,11,FALSE)</f>
        <v>16.839456855289644</v>
      </c>
      <c r="M19" s="81">
        <f>VLOOKUP(B19,Opportunities!B$3:N$30,13,FALSE)</f>
        <v>14.952666449134519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8.16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9.1784999211714409E-3</v>
      </c>
      <c r="J20" s="81">
        <f>VLOOKUP(B20,Opportunities!B$3:N$30,12,FALSE)</f>
        <v>7.3336235149324782</v>
      </c>
      <c r="K20" s="81">
        <f>VLOOKUP(B20,Opportunities!B$3:N$30,9,FALSE)</f>
        <v>5.8994615397821244</v>
      </c>
      <c r="L20" s="81">
        <f>VLOOKUP(B20,Opportunities!B$3:N$30,11,FALSE)</f>
        <v>10.182309750391417</v>
      </c>
      <c r="M20" s="81">
        <f>VLOOKUP(B20,Opportunities!B$3:N$30,13,FALSE)</f>
        <v>9.0365137253594359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805319</v>
      </c>
      <c r="H23" s="73">
        <f t="shared" ref="H23" si="5">G23/$G$12</f>
        <v>0.60504853872918007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2026-02-11T06:57:20Z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