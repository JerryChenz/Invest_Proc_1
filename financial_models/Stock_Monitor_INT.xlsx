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91DAFC3-EF3A-42C3-8538-EB5805A503C8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<sst xmlns="http://schemas.openxmlformats.org/spreadsheetml/2006/main" count="501" uniqueCount="396">
  <si>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</si>
  <si>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</si>
  <si>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</si>
  <si>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</si>
  <si>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</si>
  <si>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</si>
  <si>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</si>
  <si>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</si>
  <si>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</si>
  <si>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</si>
  <si>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</si>
  <si>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</si>
  <si>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</si>
  <si>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</si>
  <si>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</si>
  <si>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</si>
  <si>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</si>
  <si>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</si>
  <si>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</si>
  <si>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</si>
  <si>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</si>
  <si>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</si>
  <si>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</si>
  <si>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</si>
  <si>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</si>
  <si>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</si>
  <si>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</si>
  <si>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</si>
  <si>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</si>
  <si>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</si>
  <si>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</si>
  <si>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</si>
  <si>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</si>
  <si>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</si>
  <si>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</si>
  <si>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</si>
  <si>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</si>
  <si>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</si>
  <si>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</si>
  <si>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</si>
  <si>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</si>
  <si>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</si>
  <si>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</si>
  <si>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</si>
  <si>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</si>
  <si>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</si>
  <si>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</si>
  <si>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</si>
  <si>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</si>
  <si>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</si>
  <si>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</si>
  <si>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</si>
  <si>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</si>
  <si>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</si>
  <si>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</si>
  <si>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</si>
  <si>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</si>
  <si>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</si>
  <si>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</si>
  <si>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</si>
  <si>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</si>
  <si>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</si>
  <si>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</si>
  <si>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</si>
  <si>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</si>
  <si>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</si>
  <si>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</si>
  <si>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</si>
  <si>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</si>
  <si>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</si>
  <si>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</si>
  <si>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</si>
  <si>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</si>
  <si>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</si>
  <si>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</si>
  <si>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</si>
  <si>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</si>
  <si>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</si>
  <si>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</si>
  <si>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</si>
  <si>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</si>
  <si>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</si>
  <si>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</si>
  <si>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</si>
  <si>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</si>
  <si>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</si>
  <si>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</si>
  <si>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</si>
  <si>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</si>
  <si>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</si>
  <si>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</si>
  <si>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</si>
  <si>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</si>
  <si>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</si>
  <si>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</si>
  <si>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</si>
  <si>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</si>
  <si>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</si>
  <si>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</si>
  <si>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</si>
  <si>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</si>
  <si>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</si>
  <si>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</si>
  <si>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</si>
  <si>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</si>
  <si>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</si>
  <si>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</si>
  <si>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</si>
  <si>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</si>
  <si>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</si>
  <si>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</si>
  <si>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</si>
  <si>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</si>
  <si>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</si>
  <si>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</si>
  <si>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</si>
  <si>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</si>
  <si>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</si>
  <si>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</si>
  <si>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</si>
  <si>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</si>
  <si>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</si>
  <si>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</si>
  <si>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</si>
  <si>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</si>
  <si>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</si>
  <si>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</si>
  <si>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</si>
  <si>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</si>
  <si>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</si>
  <si>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</si>
  <si>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</si>
  <si>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</si>
  <si>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</si>
  <si>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</si>
  <si>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</si>
  <si>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</si>
  <si>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</si>
  <si>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</si>
  <si>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</si>
  <si>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</si>
  <si>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</si>
  <si>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</si>
  <si>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</si>
  <si>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</si>
  <si>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</si>
  <si>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</si>
  <si>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</si>
  <si>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</si>
  <si>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</si>
  <si>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</si>
  <si>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</si>
  <si>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</si>
  <si>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</si>
  <si>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</si>
  <si>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</si>
  <si>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</si>
  <si>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</si>
  <si>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</si>
  <si>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</si>
  <si>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</si>
  <si>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</si>
  <si>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</si>
  <si>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</si>
  <si>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</si>
  <si>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</si>
  <si>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</si>
  <si>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</si>
  <si>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</si>
  <si>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</si>
  <si>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</si>
  <si>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</si>
  <si>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</si>
  <si>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</si>
  <si>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</si>
  <si>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</si>
  <si>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</si>
  <si>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</si>
  <si>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</si>
  <si>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</si>
  <si>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</si>
  <si>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</si>
  <si>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</si>
  <si>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</si>
  <si>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</si>
  <si>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</si>
  <si>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</si>
  <si>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</si>
  <si>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</si>
  <si>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</si>
  <si>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</si>
  <si>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</si>
  <si>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</si>
  <si>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</si>
  <si>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</si>
  <si>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</si>
  <si>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</si>
  <si>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</si>
  <si>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</si>
  <si>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</si>
  <si>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</si>
  <si>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</si>
  <si>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</si>
  <si>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</si>
  <si>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</si>
  <si>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</si>
  <si>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</si>
  <si>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</si>
  <si>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</si>
  <si>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</si>
  <si>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</si>
  <si>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</si>
  <si>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</si>
  <si>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</si>
  <si>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</si>
  <si>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</si>
  <si>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</si>
  <si>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</si>
  <si>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</si>
  <si>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</si>
  <si>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</si>
  <si>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</si>
  <si>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</si>
  <si>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</si>
  <si>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</si>
  <si>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</si>
  <si>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</si>
  <si>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</si>
  <si>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</si>
  <si>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</si>
  <si>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</si>
  <si>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</si>
  <si>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</si>
  <si>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</si>
  <si>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</si>
  <si>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</si>
  <si>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</si>
  <si>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</si>
  <si>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</si>
  <si>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</si>
  <si>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</si>
  <si>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</si>
  <si>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</si>
  <si>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</si>
  <si>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</si>
  <si>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</si>
  <si>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</si>
  <si>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</si>
  <si>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</si>
  <si>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</si>
  <si>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</si>
  <si>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</si>
  <si>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</si>
  <si>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</si>
  <si>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</si>
  <si>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</si>
  <si>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</si>
  <si>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</si>
  <si>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</si>
  <si>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</si>
  <si>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</si>
  <si>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</si>
  <si>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</si>
  <si>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</si>
  <si>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</si>
  <si>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</si>
  <si>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</si>
  <si>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</si>
  <si>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</si>
  <si>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</si>
  <si>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</si>
  <si>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</si>
  <si>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</si>
  <si>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</si>
  <si>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</si>
  <si>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</si>
  <si>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</si>
  <si>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</si>
  <si>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</si>
  <si>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</si>
  <si>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</si>
  <si>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</si>
  <si>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</si>
  <si>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</si>
  <si>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</si>
  <si>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</si>
  <si>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</si>
  <si>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</si>
  <si>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</si>
  <si>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</si>
  <si>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</si>
  <si>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</si>
  <si>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</si>
  <si>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</si>
  <si>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</si>
  <si>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</si>
  <si>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</si>
  <si>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</si>
  <si>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</si>
  <si>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</si>
  <si>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</si>
  <si>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</si>
  <si>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</si>
  <si>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</si>
  <si>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</si>
  <si>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</si>
  <si>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</si>
  <si>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</si>
  <si>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</si>
  <si>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</si>
  <si>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</si>
  <si>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</si>
  <si>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</si>
  <si>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</si>
  <si>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</si>
  <si>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</si>
  <si>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</si>
  <si>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</si>
  <si>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</si>
  <si>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</si>
  <si>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</si>
  <si>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</si>
  <si>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</si>
  <si>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</si>
  <si>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</si>
  <si>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</si>
  <si>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</si>
  <si>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</si>
  <si>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</si>
  <si>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</si>
  <si>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</si>
  <si>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</si>
  <si>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</si>
  <si>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</si>
  <si>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</si>
  <si>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</si>
  <si>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</si>
  <si>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</si>
  <si>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</si>
  <si>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</si>
  <si>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</si>
  <si>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</si>
  <si>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</si>
  <si>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</si>
  <si>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</si>
  <si>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</si>
  <si>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</si>
  <si>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</si>
  <si>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</si>
  <si>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</si>
  <si>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</si>
  <si>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</si>
  <si>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</si>
  <si>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</si>
  <si>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</si>
  <si>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</si>
  <si>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</si>
  <si>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</si>
  <si>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</si>
  <si>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</si>
  <si>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</si>
  <si>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</si>
  <si>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</si>
  <si>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</si>
  <si>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</si>
  <si>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</si>
  <si>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</si>
  <si>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</si>
  <si>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</si>
  <si>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</si>
  <si>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</si>
  <si>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</si>
  <si>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</si>
  <si>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</si>
  <si>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</si>
  <si>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</si>
  <si>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</si>
  <si>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</si>
  <si>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</si>
  <si>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</si>
  <si>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</si>
  <si>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</si>
  <si>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</si>
  <si>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</si>
  <si>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</si>
  <si>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</si>
  <si>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</si>
  <si>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</si>
  <si>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</si>
  <si>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</si>
  <si>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</si>
  <si>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</si>
  <si>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</si>
  <si>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</si>
  <si>
    <t>3998.HK</t>
  </si>
  <si>
    <t>波司登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</si>
</sst>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B9" sqref="B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338</v>
      </c>
      <c r="C3" s="11" t="s">
        <v>349</v>
      </c>
      <c r="D3" s="2">
        <v>10.48</v>
      </c>
      <c r="E3" s="12" t="s">
        <v>118</v>
      </c>
      <c r="F3" s="15">
        <v>0.26922123358665806</v>
      </c>
      <c r="G3" s="15">
        <v>0.13499654710090403</v>
      </c>
      <c r="H3" s="2">
        <v>9.7840130703862318</v>
      </c>
      <c r="I3" s="2">
        <v>19.029713692838556</v>
      </c>
      <c r="J3" s="71">
        <v>17.039949712739158</v>
      </c>
      <c r="K3" s="2">
        <v>12.314341269466757</v>
      </c>
      <c r="L3" s="2">
        <v>15.13069934529558</v>
      </c>
      <c r="M3" s="4">
        <v>9.8233159539191484E-2</v>
      </c>
      <c r="N3" s="4">
        <v>5.8968103053435111E-2</v>
      </c>
      <c r="O3" s="4">
        <v>0.10095850411823282</v>
      </c>
      <c r="P3" s="4">
        <v>0.12639871032318903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1.7857637851400598</v>
      </c>
      <c r="V3" s="13" t="s">
        <v>350</v>
      </c>
      <c r="W3" s="11" t="s">
        <v>351</v>
      </c>
      <c r="X3" s="14">
        <v>46173</v>
      </c>
      <c r="Y3" s="16" t="s">
        <v>352</v>
      </c>
    </row>
    <row r="4" spans="1:25">
      <c r="B4" s="11" t="s">
        <v>360</v>
      </c>
      <c r="C4" s="11" t="s">
        <v>361</v>
      </c>
      <c r="D4" s="2">
        <v>65.7</v>
      </c>
      <c r="E4" s="12" t="s">
        <v>118</v>
      </c>
      <c r="F4" s="15">
        <v>0.26540771962485027</v>
      </c>
      <c r="G4" s="15">
        <v>8.8326556775111184E-2</v>
      </c>
      <c r="H4" s="2">
        <v>60.951738527680021</v>
      </c>
      <c r="I4" s="2">
        <v>108.45636554531302</v>
      </c>
      <c r="J4" s="71">
        <v>104.58094215755072</v>
      </c>
      <c r="K4" s="2">
        <v>76.202609690574661</v>
      </c>
      <c r="L4" s="2">
        <v>93.12867009545387</v>
      </c>
      <c r="M4" s="4">
        <v>0.13814862729155813</v>
      </c>
      <c r="N4" s="4">
        <v>9.7101978691019789E-2</v>
      </c>
      <c r="O4" s="4">
        <v>0.08</v>
      </c>
      <c r="P4" s="4">
        <v>0.16758448420991445</v>
      </c>
      <c r="Q4" s="79">
        <v>0.26833431587768736</v>
      </c>
      <c r="R4" s="78">
        <v>1.7790164507082717</v>
      </c>
      <c r="S4" s="15">
        <v>0.29042568125650897</v>
      </c>
      <c r="T4" s="76">
        <v>2.3236948196964886</v>
      </c>
      <c r="U4" s="71">
        <v>-19.265000453392304</v>
      </c>
      <c r="V4" s="13" t="s">
        <v>354</v>
      </c>
      <c r="W4" s="11" t="s">
        <v>351</v>
      </c>
      <c r="X4" s="14">
        <v>46081</v>
      </c>
      <c r="Y4" s="16" t="s">
        <v>340</v>
      </c>
    </row>
    <row r="5" spans="1:25">
      <c r="B5" s="11" t="s">
        <v>375</v>
      </c>
      <c r="C5" s="11" t="s">
        <v>376</v>
      </c>
      <c r="D5" s="2">
        <v>36.840000000000003</v>
      </c>
      <c r="E5" s="12" t="s">
        <v>118</v>
      </c>
      <c r="F5" s="15">
        <v>0.24904630147475521</v>
      </c>
      <c r="G5" s="15">
        <v>0.12083484458549414</v>
      </c>
      <c r="H5" s="2">
        <v>32.687409042353273</v>
      </c>
      <c r="I5" s="2">
        <v>71.247657666050159</v>
      </c>
      <c r="J5" s="71">
        <v>58.124507796943981</v>
      </c>
      <c r="K5" s="2">
        <v>41.530403741927174</v>
      </c>
      <c r="L5" s="2">
        <v>51.410088753985512</v>
      </c>
      <c r="M5" s="4">
        <v>6.4020425606441583E-2</v>
      </c>
      <c r="N5" s="4">
        <v>3.8545059717698146E-3</v>
      </c>
      <c r="O5" s="4">
        <v>0.11150835231775919</v>
      </c>
      <c r="P5" s="4">
        <v>0.28146521974317368</v>
      </c>
      <c r="Q5" s="79">
        <v>0.32092624022161098</v>
      </c>
      <c r="R5" s="78">
        <v>1.2344611679711017</v>
      </c>
      <c r="S5" s="15">
        <v>3.8049367850692354E-3</v>
      </c>
      <c r="T5" s="76">
        <v>3.432051788351935E-2</v>
      </c>
      <c r="U5" s="71">
        <v>11.51075948536047</v>
      </c>
      <c r="V5" s="13" t="s">
        <v>359</v>
      </c>
      <c r="W5" s="11" t="s">
        <v>339</v>
      </c>
      <c r="X5" s="14">
        <v>46265</v>
      </c>
      <c r="Y5" s="16" t="s">
        <v>352</v>
      </c>
    </row>
    <row r="6" spans="1:25">
      <c r="B6" s="11" t="s">
        <v>307</v>
      </c>
      <c r="C6" s="11" t="s">
        <v>362</v>
      </c>
      <c r="D6" s="2">
        <v>4</v>
      </c>
      <c r="E6" s="12" t="s">
        <v>118</v>
      </c>
      <c r="F6" s="15">
        <v>0.23928974305549647</v>
      </c>
      <c r="G6" s="15">
        <v>7.5401697924071073E-2</v>
      </c>
      <c r="H6" s="2">
        <v>3.4947017610502455</v>
      </c>
      <c r="I6" s="2">
        <v>6.4808597690273908</v>
      </c>
      <c r="J6" s="71">
        <v>6.0371156176035647</v>
      </c>
      <c r="K6" s="2">
        <v>4.3824419959649257</v>
      </c>
      <c r="L6" s="2">
        <v>5.3690045329034906</v>
      </c>
      <c r="M6" s="4">
        <v>0.10098079466306341</v>
      </c>
      <c r="N6" s="4">
        <v>7.5000000000000011E-2</v>
      </c>
      <c r="O6" s="4">
        <v>0.18</v>
      </c>
      <c r="P6" s="4">
        <v>5.5599077391744495E-2</v>
      </c>
      <c r="Q6" s="79">
        <v>1.4798367611150316</v>
      </c>
      <c r="R6" s="78">
        <v>2.187716833659914</v>
      </c>
      <c r="S6" s="15">
        <v>0.76701287002940366</v>
      </c>
      <c r="T6" s="76">
        <v>5.0983946232940358</v>
      </c>
      <c r="U6" s="71">
        <v>-2.4800067209187837</v>
      </c>
      <c r="V6" s="13" t="s">
        <v>354</v>
      </c>
      <c r="W6" s="11" t="s">
        <v>351</v>
      </c>
      <c r="X6" s="14">
        <v>46173</v>
      </c>
      <c r="Y6" s="16" t="s">
        <v>340</v>
      </c>
    </row>
    <row r="7" spans="1:25">
      <c r="B7" s="11" t="s">
        <v>355</v>
      </c>
      <c r="C7" s="11" t="s">
        <v>356</v>
      </c>
      <c r="D7" s="2">
        <v>6.28</v>
      </c>
      <c r="E7" s="12" t="s">
        <v>118</v>
      </c>
      <c r="F7" s="15">
        <v>0.23361923889200864</v>
      </c>
      <c r="G7" s="15">
        <v>0.10830332258795919</v>
      </c>
      <c r="H7" s="2">
        <v>5.3814365192952689</v>
      </c>
      <c r="I7" s="2">
        <v>11.25643603289171</v>
      </c>
      <c r="J7" s="71">
        <v>9.4954558038529377</v>
      </c>
      <c r="K7" s="2">
        <v>6.8132615931086278</v>
      </c>
      <c r="L7" s="2">
        <v>8.410757158764735</v>
      </c>
      <c r="M7" s="4">
        <v>7.5020161441931327E-2</v>
      </c>
      <c r="N7" s="4">
        <v>2.2611464968152865E-2</v>
      </c>
      <c r="O7" s="4">
        <v>0.3</v>
      </c>
      <c r="P7" s="4">
        <v>0.15217050538089463</v>
      </c>
      <c r="Q7" s="79">
        <v>1.1106245684847842</v>
      </c>
      <c r="R7" s="78">
        <v>1.775102743966247</v>
      </c>
      <c r="S7" s="15">
        <v>0.17709797868255178</v>
      </c>
      <c r="T7" s="76">
        <v>0.82178780749892033</v>
      </c>
      <c r="U7" s="71">
        <v>-0.17087844774809768</v>
      </c>
      <c r="V7" s="13" t="s">
        <v>354</v>
      </c>
      <c r="W7" s="11" t="s">
        <v>339</v>
      </c>
      <c r="X7" s="14">
        <v>46081</v>
      </c>
      <c r="Y7" s="16" t="s">
        <v>352</v>
      </c>
    </row>
    <row r="8" spans="1:25">
      <c r="B8" s="11" t="s">
        <v>392</v>
      </c>
      <c r="C8" s="11" t="s">
        <v>393</v>
      </c>
      <c r="D8" s="2">
        <v>4.3499999999999996</v>
      </c>
      <c r="E8" s="12" t="s">
        <v>118</v>
      </c>
      <c r="F8" s="15">
        <v>0.21026957042132716</v>
      </c>
      <c r="G8" s="15">
        <v>8.5739708950924559E-2</v>
      </c>
      <c r="H8" s="2">
        <v>3.5494132886631533</v>
      </c>
      <c r="I8" s="2">
        <v>6.7008109951929491</v>
      </c>
      <c r="J8" s="71">
        <v>6.1500993158442583</v>
      </c>
      <c r="K8" s="2">
        <v>4.4570665481440672</v>
      </c>
      <c r="L8" s="2">
        <v>5.4663417820655376</v>
      </c>
      <c r="M8" s="4">
        <v>9.2949887826616825E-2</v>
      </c>
      <c r="N8" s="4">
        <v>6.3218390804597707E-2</v>
      </c>
      <c r="O8" s="4">
        <v>0.1295637371655913</v>
      </c>
      <c r="P8" s="4">
        <v>9.3411700585940893E-2</v>
      </c>
      <c r="Q8" s="79">
        <v>0.83739806126750682</v>
      </c>
      <c r="R8" s="78">
        <v>1.6563428477446216</v>
      </c>
      <c r="S8" s="15">
        <v>0.26559156004843115</v>
      </c>
      <c r="T8" s="76">
        <v>1.8420735448323682</v>
      </c>
      <c r="U8" s="71">
        <v>0.86425833841698729</v>
      </c>
      <c r="V8" s="13" t="s">
        <v>354</v>
      </c>
      <c r="W8" s="11" t="s">
        <v>339</v>
      </c>
      <c r="X8" s="14">
        <v>46265</v>
      </c>
      <c r="Y8" s="16" t="s">
        <v>352</v>
      </c>
    </row>
    <row r="9" spans="1:25">
      <c r="B9" s="11" t="s">
        <v>364</v>
      </c>
      <c r="C9" s="11" t="s">
        <v>365</v>
      </c>
      <c r="D9" s="2">
        <v>37.520000000000003</v>
      </c>
      <c r="E9" s="12" t="s">
        <v>118</v>
      </c>
      <c r="F9" s="15">
        <v>0.20291062332927542</v>
      </c>
      <c r="G9" s="15">
        <v>7.7526157139777133E-2</v>
      </c>
      <c r="H9" s="2">
        <v>29.947395067077647</v>
      </c>
      <c r="I9" s="2">
        <v>60.081536982369599</v>
      </c>
      <c r="J9" s="71">
        <v>52.442665942702803</v>
      </c>
      <c r="K9" s="2">
        <v>37.785472374056482</v>
      </c>
      <c r="L9" s="2">
        <v>46.518436041341836</v>
      </c>
      <c r="M9" s="4">
        <v>7.7245806089133798E-2</v>
      </c>
      <c r="N9" s="4">
        <v>3.816103411513859E-2</v>
      </c>
      <c r="O9" s="4">
        <v>0.2658092571428613</v>
      </c>
      <c r="P9" s="4">
        <v>0.20771863979883598</v>
      </c>
      <c r="Q9" s="79">
        <v>0.65265738052043343</v>
      </c>
      <c r="R9" s="78">
        <v>1.9606920057834423</v>
      </c>
      <c r="S9" s="15">
        <v>0.67283405398617657</v>
      </c>
      <c r="T9" s="76">
        <v>2.2041306156151999</v>
      </c>
      <c r="U9" s="71">
        <v>-6.2506711694228292</v>
      </c>
      <c r="V9" s="13" t="s">
        <v>354</v>
      </c>
      <c r="W9" s="11" t="s">
        <v>339</v>
      </c>
      <c r="X9" s="14">
        <v>46081</v>
      </c>
      <c r="Y9" s="16" t="s">
        <v>352</v>
      </c>
    </row>
    <row r="10" spans="1:25">
      <c r="B10" s="11" t="s">
        <v>309</v>
      </c>
      <c r="C10" s="11" t="s">
        <v>341</v>
      </c>
      <c r="D10" s="2">
        <v>7.6</v>
      </c>
      <c r="E10" s="12" t="s">
        <v>118</v>
      </c>
      <c r="F10" s="15">
        <v>0.19092744452218846</v>
      </c>
      <c r="G10" s="15">
        <v>4.184487295278868E-2</v>
      </c>
      <c r="H10" s="2">
        <v>5.8994201681696623</v>
      </c>
      <c r="I10" s="2">
        <v>11.66321283846835</v>
      </c>
      <c r="J10" s="71">
        <v>10.303951042481701</v>
      </c>
      <c r="K10" s="2">
        <v>7.4347122917145549</v>
      </c>
      <c r="L10" s="2">
        <v>9.1444679538808344</v>
      </c>
      <c r="M10" s="4">
        <v>9.4727290960030353E-2</v>
      </c>
      <c r="N10" s="4">
        <v>4.2798221573684209E-2</v>
      </c>
      <c r="O10" s="4">
        <v>0.17172021101439991</v>
      </c>
      <c r="P10" s="4">
        <v>8.3606258228774585E-2</v>
      </c>
      <c r="Q10" s="79">
        <v>1.3282158707615834</v>
      </c>
      <c r="R10" s="78">
        <v>1.5463719418456539</v>
      </c>
      <c r="S10" s="15">
        <v>0.22428295339746124</v>
      </c>
      <c r="T10" s="76">
        <v>1.2715557492373779</v>
      </c>
      <c r="U10" s="71">
        <v>-3.0201352651878968</v>
      </c>
      <c r="V10" s="16" t="s">
        <v>342</v>
      </c>
      <c r="W10" s="11" t="s">
        <v>339</v>
      </c>
      <c r="X10" s="14">
        <v>46081</v>
      </c>
      <c r="Y10" s="16" t="s">
        <v>340</v>
      </c>
    </row>
    <row r="11" spans="1:25">
      <c r="B11" s="11" t="s">
        <v>357</v>
      </c>
      <c r="C11" s="11" t="s">
        <v>358</v>
      </c>
      <c r="D11" s="2">
        <v>83.9</v>
      </c>
      <c r="E11" s="12" t="s">
        <v>118</v>
      </c>
      <c r="F11" s="15">
        <v>0.18196216135431162</v>
      </c>
      <c r="G11" s="15">
        <v>5.0429095310306982E-2</v>
      </c>
      <c r="H11" s="2">
        <v>63.91534271800807</v>
      </c>
      <c r="I11" s="2">
        <v>122.14381795146376</v>
      </c>
      <c r="J11" s="71">
        <v>110.97741126491009</v>
      </c>
      <c r="K11" s="2">
        <v>80.334871499689683</v>
      </c>
      <c r="L11" s="2">
        <v>98.599985879144612</v>
      </c>
      <c r="M11" s="4">
        <v>6.5407780296220852E-2</v>
      </c>
      <c r="N11" s="4">
        <v>5.4600715137067941E-2</v>
      </c>
      <c r="O11" s="4">
        <v>9.6671315574961933E-2</v>
      </c>
      <c r="P11" s="4">
        <v>0.13321568275625476</v>
      </c>
      <c r="Q11" s="79">
        <v>0.48913824057450628</v>
      </c>
      <c r="R11" s="78">
        <v>1.4835789300471205</v>
      </c>
      <c r="S11" s="15">
        <v>6.4100114768294941E-2</v>
      </c>
      <c r="T11" s="76">
        <v>0.67756727799881356</v>
      </c>
      <c r="U11" s="71">
        <v>1.474969855885502</v>
      </c>
      <c r="V11" s="13" t="s">
        <v>359</v>
      </c>
      <c r="W11" s="11" t="s">
        <v>339</v>
      </c>
      <c r="X11" s="14">
        <v>46081</v>
      </c>
      <c r="Y11" s="16" t="s">
        <v>352</v>
      </c>
    </row>
    <row r="12" spans="1:25">
      <c r="B12" s="11" t="s">
        <v>366</v>
      </c>
      <c r="C12" s="11" t="s">
        <v>367</v>
      </c>
      <c r="D12" s="2">
        <v>4.46</v>
      </c>
      <c r="E12" s="12" t="s">
        <v>118</v>
      </c>
      <c r="F12" s="15">
        <v>0.17268960085927029</v>
      </c>
      <c r="G12" s="15">
        <v>2.4197412196666022E-2</v>
      </c>
      <c r="H12" s="2">
        <v>3.3058505032532972</v>
      </c>
      <c r="I12" s="2">
        <v>6.6277455556474951</v>
      </c>
      <c r="J12" s="71">
        <v>5.7883592149489207</v>
      </c>
      <c r="K12" s="2">
        <v>4.170852752110819</v>
      </c>
      <c r="L12" s="2">
        <v>5.1345919269174427</v>
      </c>
      <c r="M12" s="4">
        <v>6.9553361291973259E-2</v>
      </c>
      <c r="N12" s="4">
        <v>3.5695067264573992E-2</v>
      </c>
      <c r="O12" s="4">
        <v>0.27382509866113364</v>
      </c>
      <c r="P12" s="4">
        <v>0.20764453215246689</v>
      </c>
      <c r="Q12" s="79">
        <v>0.86056930273853416</v>
      </c>
      <c r="R12" s="78">
        <v>1.532381509863507</v>
      </c>
      <c r="S12" s="15">
        <v>0.27351475277205878</v>
      </c>
      <c r="T12" s="76">
        <v>0.94608729427783522</v>
      </c>
      <c r="U12" s="71">
        <v>0.59749676752244707</v>
      </c>
      <c r="V12" s="13" t="s">
        <v>354</v>
      </c>
      <c r="W12" s="11" t="s">
        <v>339</v>
      </c>
      <c r="X12" s="14">
        <v>46173</v>
      </c>
      <c r="Y12" s="16" t="s">
        <v>340</v>
      </c>
    </row>
    <row r="13" spans="1:25">
      <c r="B13" s="11" t="s">
        <v>343</v>
      </c>
      <c r="C13" s="11" t="s">
        <v>363</v>
      </c>
      <c r="D13" s="2">
        <v>118.5</v>
      </c>
      <c r="E13" s="12" t="s">
        <v>118</v>
      </c>
      <c r="F13" s="15">
        <v>0.1707248933773802</v>
      </c>
      <c r="G13" s="15">
        <v>3.3101236887460125E-2</v>
      </c>
      <c r="H13" s="2">
        <v>87.263989541988153</v>
      </c>
      <c r="I13" s="2">
        <v>177.714085023748</v>
      </c>
      <c r="J13" s="2">
        <v>153.2249712615328</v>
      </c>
      <c r="K13" s="2">
        <v>110.23754920355786</v>
      </c>
      <c r="L13" s="2">
        <v>135.84665439793233</v>
      </c>
      <c r="M13" s="4">
        <v>-9.7721569568832503E-3</v>
      </c>
      <c r="N13" s="4">
        <v>2.9620253164556961E-2</v>
      </c>
      <c r="O13" s="4">
        <v>0.15</v>
      </c>
      <c r="P13" s="4">
        <v>3.3662787366748527E-2</v>
      </c>
      <c r="Q13" s="79">
        <v>1.883030950761003</v>
      </c>
      <c r="R13" s="78">
        <v>2.3663758624563029</v>
      </c>
      <c r="S13" s="15">
        <v>0.36286306559603515</v>
      </c>
      <c r="T13" s="76">
        <v>22.317734925377231</v>
      </c>
      <c r="U13" s="71">
        <v>-67.641703087615355</v>
      </c>
      <c r="V13" s="13" t="s">
        <v>354</v>
      </c>
      <c r="W13" s="11" t="s">
        <v>339</v>
      </c>
      <c r="X13" s="14">
        <v>46265</v>
      </c>
      <c r="Y13" s="16" t="s">
        <v>352</v>
      </c>
    </row>
    <row r="14" spans="1:25">
      <c r="B14" s="11" t="s">
        <v>141</v>
      </c>
      <c r="C14" s="11" t="s">
        <v>368</v>
      </c>
      <c r="D14" s="2">
        <v>20.079999999999998</v>
      </c>
      <c r="E14" s="12" t="s">
        <v>118</v>
      </c>
      <c r="F14" s="15">
        <v>0.14509069958203463</v>
      </c>
      <c r="G14" s="15">
        <v>0</v>
      </c>
      <c r="H14" s="2">
        <v>13.847262593788848</v>
      </c>
      <c r="I14" s="2">
        <v>28.38353754400914</v>
      </c>
      <c r="J14" s="2">
        <v>24.342704118551588</v>
      </c>
      <c r="K14" s="2">
        <v>17.502074759227369</v>
      </c>
      <c r="L14" s="2">
        <v>21.57704078632182</v>
      </c>
      <c r="M14" s="4">
        <v>5.7037623234775708E-2</v>
      </c>
      <c r="N14" s="4">
        <v>2.5448311697382969E-2</v>
      </c>
      <c r="O14" s="4">
        <v>0.2</v>
      </c>
      <c r="P14" s="4">
        <v>0.13430424833028851</v>
      </c>
      <c r="Q14" s="79">
        <v>1.1000000000000001</v>
      </c>
      <c r="R14" s="78">
        <v>1.3537783359692717</v>
      </c>
      <c r="S14" s="15">
        <v>6.5417684980282262E-2</v>
      </c>
      <c r="T14" s="76">
        <v>0.50358953318926281</v>
      </c>
      <c r="U14" s="71">
        <v>5.7084046267313839</v>
      </c>
      <c r="V14" s="13" t="s">
        <v>369</v>
      </c>
      <c r="W14" s="11" t="s">
        <v>339</v>
      </c>
      <c r="X14" s="14">
        <v>46081</v>
      </c>
      <c r="Y14" s="16" t="s">
        <v>352</v>
      </c>
    </row>
    <row r="15" spans="1:25">
      <c r="B15" s="11" t="s">
        <v>308</v>
      </c>
      <c r="C15" s="11" t="s">
        <v>353</v>
      </c>
      <c r="D15" s="2">
        <v>3.48</v>
      </c>
      <c r="E15" s="12" t="s">
        <v>118</v>
      </c>
      <c r="F15" s="15">
        <v>0.14069822260763276</v>
      </c>
      <c r="G15" s="15">
        <v>0</v>
      </c>
      <c r="H15" s="2">
        <v>2.4113723822257271</v>
      </c>
      <c r="I15" s="2">
        <v>4.3330031237499229</v>
      </c>
      <c r="J15" s="2">
        <v>4.144016777248658</v>
      </c>
      <c r="K15" s="2">
        <v>3.0168721780960199</v>
      </c>
      <c r="L15" s="2">
        <v>3.6890924577653275</v>
      </c>
      <c r="M15" s="4">
        <v>7.0129160480076821E-2</v>
      </c>
      <c r="N15" s="4">
        <v>6.9482758620689658E-2</v>
      </c>
      <c r="O15" s="4">
        <v>0.10655464759808782</v>
      </c>
      <c r="P15" s="4">
        <v>0.15367027669312136</v>
      </c>
      <c r="Q15" s="79">
        <v>0.53211669431065411</v>
      </c>
      <c r="R15" s="78">
        <v>1.3030936828713586</v>
      </c>
      <c r="S15" s="15">
        <v>3.2740324747196639E-2</v>
      </c>
      <c r="T15" s="76">
        <v>0.3030737490948841</v>
      </c>
      <c r="U15" s="71">
        <v>1.0925109758422213</v>
      </c>
      <c r="V15" s="13" t="s">
        <v>354</v>
      </c>
      <c r="W15" s="11" t="s">
        <v>351</v>
      </c>
      <c r="X15" s="14">
        <v>46265</v>
      </c>
      <c r="Y15" s="16" t="s">
        <v>340</v>
      </c>
    </row>
    <row r="16" spans="1:25">
      <c r="B16" s="11" t="s">
        <v>394</v>
      </c>
      <c r="C16" s="11" t="s">
        <v>395</v>
      </c>
      <c r="D16" s="2">
        <v>4.32</v>
      </c>
      <c r="E16" s="12" t="s">
        <v>118</v>
      </c>
      <c r="F16" s="15">
        <v>0.13888640390130119</v>
      </c>
      <c r="G16" s="15">
        <v>0</v>
      </c>
      <c r="H16" s="2">
        <v>2.970225604821576</v>
      </c>
      <c r="I16" s="2">
        <v>5.4881856537930034</v>
      </c>
      <c r="J16" s="2">
        <v>5.1279561951610866</v>
      </c>
      <c r="K16" s="2">
        <v>3.7237185496487291</v>
      </c>
      <c r="L16" s="2">
        <v>4.5609909188949231</v>
      </c>
      <c r="M16" s="4">
        <v>6.7537394348620633E-2</v>
      </c>
      <c r="N16" s="4">
        <v>6.0185185185185182E-2</v>
      </c>
      <c r="O16" s="4">
        <v>0.28568079100302196</v>
      </c>
      <c r="P16" s="4">
        <v>0.17813313161397862</v>
      </c>
      <c r="Q16" s="79">
        <v>0.91428215624568043</v>
      </c>
      <c r="R16" s="78">
        <v>1.7541070452059788</v>
      </c>
      <c r="S16" s="15">
        <v>0.1200952845385091</v>
      </c>
      <c r="T16" s="76">
        <v>0.41215180500545473</v>
      </c>
      <c r="U16" s="71">
        <v>0.26857934054514021</v>
      </c>
      <c r="V16" s="13" t="s">
        <v>354</v>
      </c>
      <c r="W16" s="11" t="s">
        <v>339</v>
      </c>
      <c r="X16" s="14">
        <v>46173</v>
      </c>
      <c r="Y16" s="16" t="s">
        <v>352</v>
      </c>
    </row>
    <row r="17" spans="2:25">
      <c r="B17" s="11" t="s">
        <v>370</v>
      </c>
      <c r="C17" s="11" t="s">
        <v>371</v>
      </c>
      <c r="D17" s="2">
        <v>82.45</v>
      </c>
      <c r="E17" s="12" t="s">
        <v>118</v>
      </c>
      <c r="F17" s="15">
        <v>5.4351048549673646E-2</v>
      </c>
      <c r="G17" s="15">
        <v>0</v>
      </c>
      <c r="H17" s="2">
        <v>43.986185953487428</v>
      </c>
      <c r="I17" s="2">
        <v>96.637650539811901</v>
      </c>
      <c r="J17" s="2">
        <v>78.334749729337346</v>
      </c>
      <c r="K17" s="2">
        <v>55.92456628461337</v>
      </c>
      <c r="L17" s="2">
        <v>69.266040380942727</v>
      </c>
      <c r="M17" s="4">
        <v>1.5215302892312862E-2</v>
      </c>
      <c r="N17" s="4">
        <v>0</v>
      </c>
      <c r="O17" s="4">
        <v>0.15</v>
      </c>
      <c r="P17" s="4">
        <v>8.1887809309554582E-2</v>
      </c>
      <c r="Q17" s="79">
        <v>1.022390799101176</v>
      </c>
      <c r="R17" s="78">
        <v>1.7916578376478161</v>
      </c>
      <c r="S17" s="15">
        <v>0.27660377540313014</v>
      </c>
      <c r="T17" s="76">
        <v>3.1316510969641755</v>
      </c>
      <c r="U17" s="71">
        <v>3.6473366436852039</v>
      </c>
      <c r="V17" s="13" t="s">
        <v>372</v>
      </c>
      <c r="W17" s="11" t="s">
        <v>339</v>
      </c>
      <c r="X17" s="14">
        <v>46081</v>
      </c>
      <c r="Y17" s="11" t="s">
        <v>340</v>
      </c>
    </row>
    <row r="18" spans="2:25">
      <c r="B18" s="11" t="s">
        <v>152</v>
      </c>
      <c r="C18" s="11" t="s">
        <v>373</v>
      </c>
      <c r="D18" s="2">
        <v>27.9</v>
      </c>
      <c r="E18" s="12" t="s">
        <v>118</v>
      </c>
      <c r="F18" s="15">
        <v>2.5081149013076166E-2</v>
      </c>
      <c r="G18" s="15">
        <v>0</v>
      </c>
      <c r="H18" s="2">
        <v>14.203088604751802</v>
      </c>
      <c r="I18" s="2">
        <v>26.176785664639709</v>
      </c>
      <c r="J18" s="2">
        <v>24.510568437071825</v>
      </c>
      <c r="K18" s="2">
        <v>17.802769481851684</v>
      </c>
      <c r="L18" s="2">
        <v>21.802363119534107</v>
      </c>
      <c r="M18" s="4">
        <v>8.7939604813521935E-2</v>
      </c>
      <c r="N18" s="4">
        <v>4.5161290322580649E-2</v>
      </c>
      <c r="O18" s="4">
        <v>0.17275816461101692</v>
      </c>
      <c r="P18" s="4">
        <v>0.32389125963769955</v>
      </c>
      <c r="Q18" s="79">
        <v>0.37580175109499292</v>
      </c>
      <c r="R18" s="78">
        <v>1.419320754716981</v>
      </c>
      <c r="S18" s="15">
        <v>9.2018392262565404E-2</v>
      </c>
      <c r="T18" s="76">
        <v>0.52808720739977155</v>
      </c>
      <c r="U18" s="71">
        <v>0.47075642685520197</v>
      </c>
      <c r="V18" s="13" t="s">
        <v>374</v>
      </c>
      <c r="W18" s="11" t="s">
        <v>351</v>
      </c>
      <c r="X18" s="14">
        <v>46081</v>
      </c>
      <c r="Y18" s="11" t="s">
        <v>352</v>
      </c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4.2999999999999997E-2</v>
      </c>
      <c r="D4" s="34">
        <v>6.7500000000000004E-2</v>
      </c>
      <c r="E4" s="35">
        <f>D4-C4</f>
        <v>2.4500000000000008E-2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0.4364761973615619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6.28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62800</v>
      </c>
      <c r="H4" s="58">
        <f t="shared" si="0"/>
        <v>4.7791725486764053E-2</v>
      </c>
      <c r="I4" s="58">
        <f>VLOOKUP(B4,Opportunities!B$3:H$30,6,FALSE)</f>
        <v>0.10830332258795919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118.5</v>
      </c>
      <c r="E5" s="59" t="str">
        <f>VLOOKUP(B5,Opportunities!B$3:E$30,4,FALSE)</f>
        <v>HKD</v>
      </c>
      <c r="F5" s="57">
        <v>2500</v>
      </c>
      <c r="G5" s="61">
        <f t="shared" si="1"/>
        <v>296250</v>
      </c>
      <c r="H5" s="58">
        <f t="shared" si="0"/>
        <v>0.22545061585117596</v>
      </c>
      <c r="I5" s="58">
        <f>VLOOKUP(B5,Opportunities!B$3:H$30,6,FALSE)</f>
        <v>3.3101236887460125E-2</v>
      </c>
      <c r="J5" s="81">
        <f>VLOOKUP(B5,Opportunities!B$3:L$30,10,FALSE)</f>
        <v>110.23754920355786</v>
      </c>
      <c r="K5" s="81">
        <f>VLOOKUP(B5,Opportunities!B$3:L$30,7,FALSE)</f>
        <v>87.263989541988153</v>
      </c>
      <c r="L5" s="81">
        <f>VLOOKUP(B5,Opportunities!B$3:L$30,9,FALSE)</f>
        <v>153.2249712615328</v>
      </c>
      <c r="M5" s="81">
        <f>VLOOKUP(B5,Opportunities!B$3:L$30,11,FALSE)</f>
        <v>135.84665439793233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7.6</v>
      </c>
      <c r="E6" s="59" t="str">
        <f>VLOOKUP(B6,Opportunities!B$3:E$30,4,FALSE)</f>
        <v>HKD</v>
      </c>
      <c r="F6" s="57">
        <v>8000</v>
      </c>
      <c r="G6" s="61">
        <f t="shared" si="1"/>
        <v>60800</v>
      </c>
      <c r="H6" s="58">
        <f t="shared" si="0"/>
        <v>4.6269696012663286E-2</v>
      </c>
      <c r="I6" s="58">
        <f>VLOOKUP(B6,Opportunities!B$3:H$30,6,FALSE)</f>
        <v>4.184487295278868E-2</v>
      </c>
      <c r="J6" s="81">
        <f>VLOOKUP(B6,Opportunities!B$3:L$30,10,FALSE)</f>
        <v>7.4347122917145549</v>
      </c>
      <c r="K6" s="81">
        <f>VLOOKUP(B6,Opportunities!B$3:L$30,7,FALSE)</f>
        <v>5.8994201681696623</v>
      </c>
      <c r="L6" s="81">
        <f>VLOOKUP(B6,Opportunities!B$3:L$30,9,FALSE)</f>
        <v>10.303951042481701</v>
      </c>
      <c r="M6" s="81">
        <f>VLOOKUP(B6,Opportunities!B$3:L$30,11,FALSE)</f>
        <v>9.1444679538808344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10.48</v>
      </c>
      <c r="E7" s="59" t="str">
        <f>VLOOKUP(B7,Opportunities!B$3:E$30,4,FALSE)</f>
        <v>HKD</v>
      </c>
      <c r="F7" s="57">
        <v>15000</v>
      </c>
      <c r="G7" s="61">
        <f t="shared" si="1"/>
        <v>157200</v>
      </c>
      <c r="H7" s="58">
        <f t="shared" si="0"/>
        <v>0.1196315166643202</v>
      </c>
      <c r="I7" s="58">
        <f>VLOOKUP(B7,Opportunities!B$3:H$30,6,FALSE)</f>
        <v>0.13499654710090403</v>
      </c>
      <c r="J7" s="81">
        <f>VLOOKUP(B7,Opportunities!B$3:L$30,10,FALSE)</f>
        <v>12.314341269466757</v>
      </c>
      <c r="K7" s="81">
        <f>VLOOKUP(B7,Opportunities!B$3:L$30,7,FALSE)</f>
        <v>9.7840130703862318</v>
      </c>
      <c r="L7" s="81">
        <f>VLOOKUP(B7,Opportunities!B$3:L$30,9,FALSE)</f>
        <v>17.039949712739158</v>
      </c>
      <c r="M7" s="81">
        <f>VLOOKUP(B7,Opportunities!B$3:L$30,11,FALSE)</f>
        <v>15.13069934529558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4</v>
      </c>
      <c r="E8" s="59" t="str">
        <f>VLOOKUP(B8,Opportunities!B$3:E$30,4,FALSE)</f>
        <v>HKD</v>
      </c>
      <c r="F8" s="57">
        <v>12000</v>
      </c>
      <c r="G8" s="61">
        <f t="shared" si="1"/>
        <v>48000</v>
      </c>
      <c r="H8" s="58">
        <f t="shared" si="0"/>
        <v>3.6528707378418381E-2</v>
      </c>
      <c r="I8" s="58">
        <f>VLOOKUP(B8,Opportunities!B$3:H$30,6,FALSE)</f>
        <v>7.5401697924071073E-2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377</v>
      </c>
      <c r="C9" s="62" t="str">
        <f>VLOOKUP(B9,Opportunities!B$3:E$30,2,FALSE)</f>
        <v>腾讯音乐</v>
      </c>
      <c r="D9" s="60">
        <f>VLOOKUP(B9,Opportunities!B$3:E$30,3,FALSE)</f>
        <v>36.840000000000003</v>
      </c>
      <c r="E9" s="59" t="str">
        <f>VLOOKUP(B9,Opportunities!B$3:E$30,4,FALSE)</f>
        <v>HKD</v>
      </c>
      <c r="F9" s="57">
        <v>2000</v>
      </c>
      <c r="G9" s="61">
        <f t="shared" ref="G9" si="2">D9*F9</f>
        <v>73680</v>
      </c>
      <c r="H9" s="58">
        <f t="shared" si="0"/>
        <v>5.6071565825872215E-2</v>
      </c>
      <c r="I9" s="58">
        <f>VLOOKUP(B9,Opportunities!B$3:H$30,6,FALSE)</f>
        <v>0.12083484458549414</v>
      </c>
      <c r="J9" s="81">
        <f>VLOOKUP(B9,Opportunities!B$3:L$30,10,FALSE)</f>
        <v>41.530403741927174</v>
      </c>
      <c r="K9" s="81">
        <f>VLOOKUP(B9,Opportunities!B$3:L$30,7,FALSE)</f>
        <v>32.687409042353273</v>
      </c>
      <c r="L9" s="81">
        <f>VLOOKUP(B9,Opportunities!B$3:L$30,9,FALSE)</f>
        <v>58.124507796943981</v>
      </c>
      <c r="M9" s="81">
        <f>VLOOKUP(B9,Opportunities!B$3:L$30,11,FALSE)</f>
        <v>51.410088753985512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3.48</v>
      </c>
      <c r="E10" s="59" t="str">
        <f>VLOOKUP(B10,Opportunities!B$3:E$30,4,FALSE)</f>
        <v>HKD</v>
      </c>
      <c r="F10" s="57">
        <v>12000</v>
      </c>
      <c r="G10" s="61">
        <f t="shared" si="1"/>
        <v>41760</v>
      </c>
      <c r="H10" s="58">
        <f t="shared" ref="H10" si="3">G10/$G$12</f>
        <v>3.1779975419223991E-2</v>
      </c>
      <c r="I10" s="58">
        <f>VLOOKUP(B10,Opportunities!B$3:H$30,6,FALSE)</f>
        <v>0</v>
      </c>
      <c r="J10" s="81">
        <f>VLOOKUP(B10,Opportunities!B$3:L$30,10,FALSE)</f>
        <v>3.0168721780960199</v>
      </c>
      <c r="K10" s="81">
        <f>VLOOKUP(B10,Opportunities!B$3:L$30,7,FALSE)</f>
        <v>2.4113723822257271</v>
      </c>
      <c r="L10" s="81">
        <f>VLOOKUP(B10,Opportunities!B$3:L$30,9,FALSE)</f>
        <v>4.144016777248658</v>
      </c>
      <c r="M10" s="81">
        <f>VLOOKUP(B10,Opportunities!B$3:L$30,11,FALSE)</f>
        <v>3.6890924577653275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1314035</v>
      </c>
      <c r="H12" s="67">
        <f>SUM(H3:H10)</f>
        <v>1</v>
      </c>
      <c r="I12" s="73">
        <f>SUM(I3:I10)</f>
        <v>0.96448252203867724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118.5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3.3101236887460125E-2</v>
      </c>
      <c r="J15" s="81">
        <f>VLOOKUP(B15,Opportunities!B$3:L$30,10,FALSE)</f>
        <v>110.23754920355786</v>
      </c>
      <c r="K15" s="81">
        <f>VLOOKUP(B15,Opportunities!B$3:L$30,7,FALSE)</f>
        <v>87.263989541988153</v>
      </c>
      <c r="L15" s="81">
        <f>VLOOKUP(B15,Opportunities!B$3:L$30,9,FALSE)</f>
        <v>153.2249712615328</v>
      </c>
      <c r="M15" s="81">
        <f>VLOOKUP(B15,Opportunities!B$3:L$30,11,FALSE)</f>
        <v>135.84665439793233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27.9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17.802769481851684</v>
      </c>
      <c r="K16" s="81">
        <f>VLOOKUP(B16,Opportunities!B$3:L$30,7,FALSE)</f>
        <v>14.203088604751802</v>
      </c>
      <c r="L16" s="81">
        <f>VLOOKUP(B16,Opportunities!B$3:L$30,9,FALSE)</f>
        <v>24.510568437071825</v>
      </c>
      <c r="M16" s="81">
        <f>VLOOKUP(B16,Opportunities!B$3:L$30,11,FALSE)</f>
        <v>21.802363119534107</v>
      </c>
    </row>
    <row r="17" spans="1:13">
      <c r="B17" s="63" t="s">
        <v>377</v>
      </c>
      <c r="C17" s="62" t="str">
        <f>VLOOKUP(B17,Opportunities!B$3:E$30,2,FALSE)</f>
        <v>腾讯音乐</v>
      </c>
      <c r="D17" s="60">
        <f>VLOOKUP(B17,Opportunities!B$3:E$30,3,FALSE)</f>
        <v>36.840000000000003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0.12083484458549414</v>
      </c>
      <c r="J17" s="81">
        <f>VLOOKUP(B17,Opportunities!B$3:L$30,10,FALSE)</f>
        <v>41.530403741927174</v>
      </c>
      <c r="K17" s="81">
        <f>VLOOKUP(B17,Opportunities!B$3:L$30,7,FALSE)</f>
        <v>32.687409042353273</v>
      </c>
      <c r="L17" s="81">
        <f>VLOOKUP(B17,Opportunities!B$3:L$30,9,FALSE)</f>
        <v>58.124507796943981</v>
      </c>
      <c r="M17" s="81">
        <f>VLOOKUP(B17,Opportunities!B$3:L$30,11,FALSE)</f>
        <v>51.410088753985512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10.48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0.13499654710090403</v>
      </c>
      <c r="J18" s="81">
        <f>VLOOKUP(B18,Opportunities!B$3:L$30,10,FALSE)</f>
        <v>12.314341269466757</v>
      </c>
      <c r="K18" s="81">
        <f>VLOOKUP(B18,Opportunities!B$3:L$30,7,FALSE)</f>
        <v>9.7840130703862318</v>
      </c>
      <c r="L18" s="81">
        <f>VLOOKUP(B18,Opportunities!B$3:L$30,9,FALSE)</f>
        <v>17.039949712739158</v>
      </c>
      <c r="M18" s="81">
        <f>VLOOKUP(B18,Opportunities!B$3:L$30,11,FALSE)</f>
        <v>15.13069934529558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7.6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4.184487295278868E-2</v>
      </c>
      <c r="J19" s="81">
        <f>VLOOKUP(B19,Opportunities!B$3:L$30,10,FALSE)</f>
        <v>7.4347122917145549</v>
      </c>
      <c r="K19" s="81">
        <f>VLOOKUP(B19,Opportunities!B$3:L$30,7,FALSE)</f>
        <v>5.8994201681696623</v>
      </c>
      <c r="L19" s="81">
        <f>VLOOKUP(B19,Opportunities!B$3:L$30,9,FALSE)</f>
        <v>10.303951042481701</v>
      </c>
      <c r="M19" s="81">
        <f>VLOOKUP(B19,Opportunities!B$3:L$30,11,FALSE)</f>
        <v>9.1444679538808344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0.4364761973615619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391</v>
      </c>
    </row>
    <row r="15" spans="1:4" ht="12.4">
      <c r="B15" s="30" t="s">
        <v>90</v>
      </c>
      <c r="C15" s="30" t="s">
        <v>91</v>
      </c>
    </row>
    <row r="16" spans="1:4">
      <c r="B16" s="26" t="s">
        <v>378</v>
      </c>
      <c r="C16" s="26" t="s">
        <v>379</v>
      </c>
    </row>
    <row r="17" spans="1:4">
      <c r="B17" s="26" t="s">
        <v>381</v>
      </c>
      <c r="C17" s="26" t="s">
        <v>380</v>
      </c>
    </row>
    <row r="18" spans="1:4">
      <c r="B18" s="26" t="s">
        <v>382</v>
      </c>
      <c r="C18" s="26" t="s">
        <v>383</v>
      </c>
    </row>
    <row r="19" spans="1:4">
      <c r="B19" s="26" t="s">
        <v>384</v>
      </c>
      <c r="C19" s="26" t="s">
        <v>385</v>
      </c>
    </row>
    <row r="20" spans="1:4">
      <c r="B20" s="26" t="s">
        <v>87</v>
      </c>
      <c r="C20" s="26" t="s">
        <v>88</v>
      </c>
    </row>
    <row r="21" spans="1:4">
      <c r="B21" s="26" t="s">
        <v>386</v>
      </c>
      <c r="C21" s="26" t="s">
        <v>89</v>
      </c>
    </row>
    <row r="22" spans="1:4">
      <c r="B22" s="26" t="s">
        <v>388</v>
      </c>
      <c r="C22" s="26" t="s">
        <v>105</v>
      </c>
    </row>
    <row r="23" spans="1:4">
      <c r="B23" s="26" t="s">
        <v>389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390</v>
      </c>
      <c r="C25" s="26" t="s">
        <v>110</v>
      </c>
    </row>
    <row r="26" spans="1:4">
      <c r="B26" s="26" t="s">
        <v>109</v>
      </c>
      <c r="C26" s="26" t="s">
        <v>387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2026-04-24T09:38:35Z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