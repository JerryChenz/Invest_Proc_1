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jerry\PycharmProjects\Invest_Proc\financial_models\"/>
    </mc:Choice>
  </mc:AlternateContent>
  <xr:revisionPtr revIDLastSave="0" documentId="13_ncr:1_{ECA0F2B5-B7D2-4E1A-9B3D-B34CA37BFBF3}" xr6:coauthVersionLast="47" xr6:coauthVersionMax="47" xr10:uidLastSave="{00000000-0000-0000-0000-000000000000}"/>
  <bookViews>
    <workbookView xWindow="-28920" yWindow="6150" windowWidth="29040" windowHeight="15720" activeTab="2" xr2:uid="{00000000-000D-0000-FFFF-FFFF00000000}"/>
  </bookViews>
  <sheets>
    <sheet name="Assumptions" sheetId="13" r:id="rId1"/>
    <sheet name="銀海山莊" sheetId="14" r:id="rId2"/>
    <sheet name="早禾坑" sheetId="19" r:id="rId3"/>
    <sheet name="Quarry bay" sheetId="17" r:id="rId4"/>
    <sheet name="翠荷苑" sheetId="18" r:id="rId5"/>
    <sheet name="Logic_Summary" sheetId="15" r:id="rId6"/>
  </sheets>
  <definedNames>
    <definedName name="AuraStyleDefaultsReset" hidden="1">#N/A</definedName>
    <definedName name="Cap_Rate">Assumptions!$C$5</definedName>
    <definedName name="HKDCNY">Assumptions!$C$23</definedName>
    <definedName name="HKDUSD">Assumptions!$C$22</definedName>
    <definedName name="Holding_Period">Assumptions!$C$6</definedName>
    <definedName name="Other_Annual_Expense_Percent">Assumptions!#REF!</definedName>
    <definedName name="WW3f877d8e32714ec8a8180854ed7f8276_634328481945590045" hidden="1">#REF!</definedName>
    <definedName name="WW3f877d8e32714ec8a8180854ed7f8276_634328482352282765" hidden="1">#REF!</definedName>
  </definedNames>
  <calcPr calcId="191029"/>
</workbook>
</file>

<file path=xl/calcChain.xml><?xml version="1.0" encoding="utf-8"?>
<calcChain xmlns="http://schemas.openxmlformats.org/spreadsheetml/2006/main">
  <c r="C20" i="19" l="1"/>
  <c r="D36" i="18"/>
  <c r="D34" i="18"/>
  <c r="D36" i="17"/>
  <c r="D34" i="17"/>
  <c r="D36" i="14"/>
  <c r="D34" i="14"/>
  <c r="E50" i="19"/>
  <c r="C50" i="19"/>
  <c r="E49" i="19"/>
  <c r="D49" i="19"/>
  <c r="C49" i="19"/>
  <c r="C39" i="19"/>
  <c r="D33" i="19"/>
  <c r="D32" i="19"/>
  <c r="C31" i="19"/>
  <c r="C19" i="19"/>
  <c r="C17" i="19"/>
  <c r="D16" i="19"/>
  <c r="C28" i="19" s="1"/>
  <c r="C29" i="19" s="1"/>
  <c r="E15" i="19"/>
  <c r="C15" i="19"/>
  <c r="C10" i="19"/>
  <c r="C44" i="19" s="1"/>
  <c r="C7" i="19"/>
  <c r="C21" i="18"/>
  <c r="C20" i="18"/>
  <c r="C21" i="17"/>
  <c r="C20" i="17"/>
  <c r="C21" i="14"/>
  <c r="C20" i="14"/>
  <c r="C17" i="14"/>
  <c r="C31" i="18"/>
  <c r="D33" i="18"/>
  <c r="D32" i="18"/>
  <c r="C31" i="17"/>
  <c r="D32" i="17"/>
  <c r="D33" i="17"/>
  <c r="D33" i="14"/>
  <c r="D32" i="14"/>
  <c r="D18" i="18"/>
  <c r="E18" i="18" s="1"/>
  <c r="E50" i="18"/>
  <c r="C50" i="18"/>
  <c r="E49" i="18"/>
  <c r="D49" i="18"/>
  <c r="C49" i="18"/>
  <c r="C39" i="18"/>
  <c r="C19" i="18"/>
  <c r="C17" i="18"/>
  <c r="D16" i="18"/>
  <c r="C45" i="18" s="1"/>
  <c r="C53" i="18" s="1"/>
  <c r="E15" i="18"/>
  <c r="C15" i="18"/>
  <c r="C10" i="18"/>
  <c r="C44" i="18" s="1"/>
  <c r="C7" i="18"/>
  <c r="D35" i="18" s="1"/>
  <c r="E50" i="17"/>
  <c r="C50" i="17"/>
  <c r="E49" i="17"/>
  <c r="D49" i="17"/>
  <c r="C49" i="17"/>
  <c r="C39" i="17"/>
  <c r="C19" i="17"/>
  <c r="C17" i="17"/>
  <c r="D16" i="17"/>
  <c r="D50" i="17" s="1"/>
  <c r="E15" i="17"/>
  <c r="C15" i="17"/>
  <c r="C10" i="17"/>
  <c r="C7" i="17"/>
  <c r="D35" i="17" s="1"/>
  <c r="E15" i="14"/>
  <c r="E50" i="14"/>
  <c r="C50" i="14"/>
  <c r="C10" i="14"/>
  <c r="C39" i="14"/>
  <c r="C19" i="14"/>
  <c r="D49" i="14"/>
  <c r="E49" i="14"/>
  <c r="C49" i="14"/>
  <c r="C31" i="14"/>
  <c r="D16" i="14"/>
  <c r="C45" i="14" s="1"/>
  <c r="C7" i="14"/>
  <c r="E23" i="19" l="1"/>
  <c r="E51" i="19" s="1"/>
  <c r="D50" i="19"/>
  <c r="C45" i="19"/>
  <c r="C53" i="19" s="1"/>
  <c r="C33" i="19"/>
  <c r="D37" i="19"/>
  <c r="C32" i="19"/>
  <c r="C36" i="19"/>
  <c r="C35" i="19"/>
  <c r="C34" i="19"/>
  <c r="D31" i="19"/>
  <c r="C23" i="19"/>
  <c r="C51" i="19" s="1"/>
  <c r="D23" i="19"/>
  <c r="D51" i="19" s="1"/>
  <c r="D23" i="14"/>
  <c r="D51" i="14" s="1"/>
  <c r="E23" i="14"/>
  <c r="E51" i="14" s="1"/>
  <c r="C23" i="14"/>
  <c r="C51" i="14" s="1"/>
  <c r="E23" i="18"/>
  <c r="E51" i="18" s="1"/>
  <c r="D23" i="18"/>
  <c r="D51" i="18" s="1"/>
  <c r="C23" i="18"/>
  <c r="C51" i="18" s="1"/>
  <c r="C23" i="17"/>
  <c r="C51" i="17" s="1"/>
  <c r="E23" i="17"/>
  <c r="E51" i="17" s="1"/>
  <c r="D23" i="17"/>
  <c r="D51" i="17" s="1"/>
  <c r="D35" i="14"/>
  <c r="D50" i="14"/>
  <c r="D50" i="18"/>
  <c r="C28" i="18"/>
  <c r="C29" i="18" s="1"/>
  <c r="C35" i="18" s="1"/>
  <c r="C44" i="17"/>
  <c r="C28" i="17"/>
  <c r="C29" i="17" s="1"/>
  <c r="C45" i="17"/>
  <c r="C53" i="17" s="1"/>
  <c r="C44" i="14"/>
  <c r="C53" i="14"/>
  <c r="C28" i="14"/>
  <c r="C29" i="14" s="1"/>
  <c r="C38" i="19" l="1"/>
  <c r="C52" i="19" s="1"/>
  <c r="C32" i="18"/>
  <c r="C33" i="18"/>
  <c r="C36" i="18"/>
  <c r="C34" i="18"/>
  <c r="D31" i="18"/>
  <c r="C34" i="17"/>
  <c r="C36" i="17"/>
  <c r="C35" i="17"/>
  <c r="C32" i="17"/>
  <c r="C33" i="17"/>
  <c r="D31" i="17"/>
  <c r="D37" i="14"/>
  <c r="D31" i="14"/>
  <c r="C35" i="14"/>
  <c r="C33" i="14"/>
  <c r="C34" i="14"/>
  <c r="C36" i="14"/>
  <c r="C32" i="14"/>
  <c r="D37" i="17"/>
  <c r="C15" i="14"/>
  <c r="C38" i="17" l="1"/>
  <c r="D38" i="17" s="1"/>
  <c r="D38" i="19"/>
  <c r="E54" i="19"/>
  <c r="D54" i="19"/>
  <c r="C54" i="19"/>
  <c r="C38" i="18"/>
  <c r="C38" i="14"/>
  <c r="D38" i="14" s="1"/>
  <c r="D37" i="18"/>
  <c r="C52" i="14" l="1"/>
  <c r="C54" i="14" s="1"/>
  <c r="C52" i="18"/>
  <c r="D38" i="18"/>
  <c r="C52" i="17"/>
  <c r="E54" i="14" l="1"/>
  <c r="D54" i="14"/>
  <c r="E54" i="18"/>
  <c r="D54" i="18"/>
  <c r="C54" i="18"/>
  <c r="E54" i="17"/>
  <c r="D54" i="17"/>
  <c r="C54" i="17"/>
</calcChain>
</file>

<file path=xl/sharedStrings.xml><?xml version="1.0" encoding="utf-8"?>
<sst xmlns="http://schemas.openxmlformats.org/spreadsheetml/2006/main" count="295" uniqueCount="117">
  <si>
    <t>Value</t>
  </si>
  <si>
    <t>Remarks</t>
  </si>
  <si>
    <t>Forex</t>
  </si>
  <si>
    <t>HKDUSD</t>
  </si>
  <si>
    <t>HKDCNY</t>
  </si>
  <si>
    <t>Type</t>
  </si>
  <si>
    <t>Apt.</t>
  </si>
  <si>
    <t>Monthly Management Fee</t>
  </si>
  <si>
    <t>「住宅物業累進差餉制度」的差餉徵收率，具體如下：</t>
  </si>
  <si>
    <t>應課差餉租值為55萬元或以下：</t>
  </si>
  <si>
    <t>應課差餉租值為55萬元至80萬元：</t>
  </si>
  <si>
    <t>應課差餉租值為超過80萬元：</t>
  </si>
  <si>
    <t>Typical: 0.5–1.5% of property value per year, or 5–10% of gross rent (higher for older buildings, lower for new ones).</t>
  </si>
  <si>
    <t>Maintenance / Repairs / Sinking Fund</t>
  </si>
  <si>
    <t>Landlord reality: Many budget 8–10% of gross rent to cover repairs, painting, appliances, minor fixes (tenant damage often recoverable, but not always).</t>
  </si>
  <si>
    <t>Simple model: Use 8% of gross annual rent as a conservative default.</t>
  </si>
  <si>
    <t>Vacancy Allowance</t>
  </si>
  <si>
    <t>Current HK residential vacancy is low in 2025–2026 (strong rental demand from talent schemes and rate cuts), often &lt;5% effective vacancy for good locations/units.</t>
  </si>
  <si>
    <t>But to be prudent (especially for screening many properties), assume 5–10% vacancy to cover turnover time, bad tenants, or market dips.</t>
  </si>
  <si>
    <t>Simple model: 5% of gross annual rent (very conservative and easy).</t>
  </si>
  <si>
    <t>Government Rates</t>
  </si>
  <si>
    <t>Simple model: ≈ 5% of gross annual rent (this is a common quick proxy landlords use).</t>
  </si>
  <si>
    <t>OP/CC year</t>
  </si>
  <si>
    <t>Building Age</t>
  </si>
  <si>
    <t xml:space="preserve">Occupation Permit (OP) </t>
  </si>
  <si>
    <t>Certificate of Compliance (CC)</t>
  </si>
  <si>
    <t>Government Rent</t>
  </si>
  <si>
    <t>Government Rent (地租或地稅)</t>
  </si>
  <si>
    <t>Rateable Value (RV)</t>
  </si>
  <si>
    <t>as at the valuation reference date, usually October of the prior year</t>
  </si>
  <si>
    <t>For residential, it's often close to (but not exactly) your expected gross annual rent — typically 80–100% depending on location/condition.</t>
  </si>
  <si>
    <t>3% of the rateable value</t>
  </si>
  <si>
    <t>Age</t>
  </si>
  <si>
    <t>Hurdle Cap Rate</t>
  </si>
  <si>
    <t>Holding Period</t>
  </si>
  <si>
    <t>Scenario</t>
  </si>
  <si>
    <t>Comparable</t>
  </si>
  <si>
    <t>Address:</t>
  </si>
  <si>
    <t>Exp. Appreciation %</t>
  </si>
  <si>
    <t>Sale price after appreciation</t>
  </si>
  <si>
    <t>Reference market value</t>
  </si>
  <si>
    <t>Other Monthly Fees</t>
  </si>
  <si>
    <t>price CAGR</t>
  </si>
  <si>
    <t>Asking Price</t>
  </si>
  <si>
    <t>Annual NOI</t>
  </si>
  <si>
    <t>Exit</t>
  </si>
  <si>
    <t>Exp. Annual Rental Growth</t>
  </si>
  <si>
    <t>Price (HKD)</t>
  </si>
  <si>
    <t>Assumptions</t>
  </si>
  <si>
    <t>Investor Preference</t>
  </si>
  <si>
    <t>Legal Fee</t>
  </si>
  <si>
    <t>Agency Commissions</t>
  </si>
  <si>
    <t>1% of the transaction value for both buyers and sellers;</t>
  </si>
  <si>
    <t>15k-30k normally; 30k-80k for luxury homes or company owned properties.</t>
  </si>
  <si>
    <t>Property inspection</t>
  </si>
  <si>
    <t>Transfer Fee</t>
  </si>
  <si>
    <t>Stamp Duty %</t>
  </si>
  <si>
    <t>Estimate only</t>
  </si>
  <si>
    <t>Transfer Fee %</t>
  </si>
  <si>
    <t>Agency Commissions %</t>
  </si>
  <si>
    <t>Total Consideration</t>
  </si>
  <si>
    <t>Reference Gross Rental Yield</t>
  </si>
  <si>
    <t>Implied Monthly Rent (HKD)</t>
  </si>
  <si>
    <t>Monthly NOI (HKD)</t>
  </si>
  <si>
    <t>Exp. Annual Rental Growth rate</t>
  </si>
  <si>
    <t>Price</t>
  </si>
  <si>
    <t>Holding Period IRR</t>
  </si>
  <si>
    <t>Decision rule (standard real-estate practice):</t>
  </si>
  <si>
    <t>1. IRR &gt; Hurdle rate → Attractive</t>
  </si>
  <si>
    <t>2. IRR = Hurdle rate → Breakeven</t>
  </si>
  <si>
    <t>3. IRR &lt; Hurdle rate → Not attractive</t>
  </si>
  <si>
    <t>How to Analyze a Property Investment Using IRR</t>
  </si>
  <si>
    <t>Saleable Area (Sqft)</t>
  </si>
  <si>
    <t>Management Fee ($/Sqft)</t>
  </si>
  <si>
    <t>Comparable Price/sqft</t>
  </si>
  <si>
    <r>
      <rPr>
        <b/>
        <sz val="11"/>
        <color theme="1"/>
        <rFont val="Calibri"/>
        <family val="2"/>
        <scheme val="minor"/>
      </rPr>
      <t>Step 4: Estimate Exit Value (Sale Price at End)</t>
    </r>
    <r>
      <rPr>
        <sz val="11"/>
        <color theme="1"/>
        <rFont val="Calibri"/>
        <family val="2"/>
        <scheme val="minor"/>
      </rPr>
      <t xml:space="preserve">
Apply expected growth to the current market value (not your purchase price).
Exit value = Market value × (1 + total growth %).
This assumes the property’s value grows over time, regardless of what you paid.</t>
    </r>
  </si>
  <si>
    <t>Historical HK residential rent CAGR (past 15–20 years): ~2.5–3.5% nominal.</t>
  </si>
  <si>
    <t>Step 1: Gather Basic Property Info</t>
  </si>
  <si>
    <t>Step 3: Calculate Net Operating Income (NOI)</t>
  </si>
  <si>
    <t>Step 2: Calculate Market Value with Sales Comparison Approach</t>
  </si>
  <si>
    <r>
      <rPr>
        <b/>
        <sz val="11"/>
        <color theme="1"/>
        <rFont val="Calibri"/>
        <family val="2"/>
        <scheme val="minor"/>
      </rPr>
      <t>Step 1: Gather Basic Property Info</t>
    </r>
    <r>
      <rPr>
        <sz val="11"/>
        <color theme="1"/>
        <rFont val="Calibri"/>
        <family val="2"/>
        <scheme val="minor"/>
      </rPr>
      <t xml:space="preserve">
List the key details. The historical and latest Gross rental yield can be found in Rating and Valuation Department's Property Market Statistics.
Expected gross rental yield (annual rent as % of market value).
Monthly costs (management fees, other ongoing expenses).
How long you plan to hold the property 
Expected total price growth by the end (e.g., percentage increase over the hold period).</t>
    </r>
  </si>
  <si>
    <r>
      <rPr>
        <b/>
        <sz val="11"/>
        <color theme="1"/>
        <rFont val="Calibri"/>
        <family val="2"/>
        <scheme val="minor"/>
      </rPr>
      <t>Step 3: Calculate Net Operating Income (NOI)</t>
    </r>
    <r>
      <rPr>
        <sz val="11"/>
        <color theme="1"/>
        <rFont val="Calibri"/>
        <family val="2"/>
        <scheme val="minor"/>
      </rPr>
      <t xml:space="preserve">
This is the money left after expenses but before taxes or debt. 
Estimate annual gross rent = Market value × gross Rental yield.
Subtract annual expenses (management + other fees).
Result = Annual NOI (your net cash flow each year from rent).</t>
    </r>
  </si>
  <si>
    <r>
      <rPr>
        <b/>
        <sz val="11"/>
        <color theme="1"/>
        <rFont val="Calibri"/>
        <family val="2"/>
        <scheme val="minor"/>
      </rPr>
      <t xml:space="preserve">Step 2: Calculate Market Value and Total Consideration to buy
</t>
    </r>
    <r>
      <rPr>
        <sz val="11"/>
        <color theme="1"/>
        <rFont val="Calibri"/>
        <family val="2"/>
        <scheme val="minor"/>
      </rPr>
      <t xml:space="preserve">
Current Market value =  Comparable price/sqft * Saleable Area
For the Total consideration, start with the purchase price.
Add buyer costs: agent commission, stamp duty/taxes, transfer fees, legal/inspection fees.
Total consideration = Full acquisition cost (your initial cash outflow).</t>
    </r>
  </si>
  <si>
    <t>Step 4: Estimate Exit Value</t>
  </si>
  <si>
    <t>Step 5: Calculate the IRR</t>
  </si>
  <si>
    <r>
      <rPr>
        <b/>
        <sz val="11"/>
        <color theme="1"/>
        <rFont val="Calibri"/>
        <family val="2"/>
        <scheme val="minor"/>
      </rPr>
      <t>Step 5: Calculate the IRR</t>
    </r>
    <r>
      <rPr>
        <sz val="11"/>
        <color theme="1"/>
        <rFont val="Calibri"/>
        <family val="2"/>
        <scheme val="minor"/>
      </rPr>
      <t xml:space="preserve">
Imagine the money going in and out over the holding years. IRR is the annual return that makes the total value of all cash flows equal zero today.
Year 0: Pay the full acquisition cost (negative amount).
Each year 1 to (hold period - 1): Receive annual NOI (positive).
Final year: Receive annual NOI + exit sale price (big positive).
No debt or major repairs assumed — keep it simple.</t>
    </r>
  </si>
  <si>
    <r>
      <rPr>
        <b/>
        <sz val="11"/>
        <color theme="1"/>
        <rFont val="Calibri"/>
        <family val="2"/>
        <scheme val="minor"/>
      </rPr>
      <t>Step 8: Compare IRR to Your Target Return (Hurdle Rate)</t>
    </r>
    <r>
      <rPr>
        <sz val="11"/>
        <color theme="1"/>
        <rFont val="Calibri"/>
        <family val="2"/>
        <scheme val="minor"/>
      </rPr>
      <t xml:space="preserve">
Decide your minimum required annual return (based on risk and other options).
If IRR &gt; hurdle → Good deal (expected to beat your target).
If IRR = hurdle → Neutral.
If IRR &lt; hurdle → Not worth it.</t>
    </r>
  </si>
  <si>
    <t>如何使用 IRR 分析物業投資</t>
  </si>
  <si>
    <r>
      <rPr>
        <b/>
        <sz val="11"/>
        <color theme="1"/>
        <rFont val="Calibri"/>
        <family val="2"/>
        <scheme val="minor"/>
      </rPr>
      <t>步驟 1：收集基本物業資料</t>
    </r>
    <r>
      <rPr>
        <sz val="11"/>
        <color theme="1"/>
        <rFont val="Calibri"/>
        <family val="2"/>
        <scheme val="minor"/>
      </rPr>
      <t xml:space="preserve">
列出以下關鍵信息：
歷史及最新「毛租金回報率」（Gross Rental Yield），可於差餉物業估價署的《物業市場統計》查閱。
預期毛租金回報率（年租金佔市值百分比）。
每月開支（管理費 + 其他持續性費用）。
計劃持有物業的年期。
預期持有期結束時的總價格增長（例如百分比升幅）。</t>
    </r>
  </si>
  <si>
    <r>
      <rPr>
        <b/>
        <sz val="11"/>
        <color theme="1"/>
        <rFont val="Calibri"/>
        <family val="2"/>
        <scheme val="minor"/>
      </rPr>
      <t>步驟 2：計算市值及總購入成本（Total Consideration）</t>
    </r>
    <r>
      <rPr>
        <sz val="11"/>
        <color theme="1"/>
        <rFont val="Calibri"/>
        <family val="2"/>
        <scheme val="minor"/>
      </rPr>
      <t xml:space="preserve">
當前市值 = 可比單位呎價 × 實用面積
總購入成本從購入價開始計算：
購入價 + 買家成本 = 總購入成本（即你最初的現金流出）</t>
    </r>
  </si>
  <si>
    <r>
      <rPr>
        <b/>
        <sz val="11"/>
        <color theme="1"/>
        <rFont val="Calibri"/>
        <family val="2"/>
        <scheme val="minor"/>
      </rPr>
      <t>步驟 3：計算淨營運收入（Net Operating Income，NOI）</t>
    </r>
    <r>
      <rPr>
        <sz val="11"/>
        <color theme="1"/>
        <rFont val="Calibri"/>
        <family val="2"/>
        <scheme val="minor"/>
      </rPr>
      <t xml:space="preserve">
這是扣除開支後、但未計稅項或按揭的淨收入。
估計年總租金 = 市值 × 毛租金回報率
減去年開支（管理費 + 其他費用）
結果 = 年 NOI（即每年從租金得到的淨現金流）</t>
    </r>
  </si>
  <si>
    <r>
      <rPr>
        <b/>
        <sz val="11"/>
        <color theme="1"/>
        <rFont val="Calibri"/>
        <family val="2"/>
        <scheme val="minor"/>
      </rPr>
      <t>步驟 4：估計退出價值（最終售價）</t>
    </r>
    <r>
      <rPr>
        <sz val="11"/>
        <color theme="1"/>
        <rFont val="Calibri"/>
        <family val="2"/>
        <scheme val="minor"/>
      </rPr>
      <t xml:space="preserve">
將預期增長率應用於當前市值（而不是你付出的購入價）。
退出價值 = 市值 × (1 + 總增長百分比)
這假設物業價值會隨時間增長，與你實際付出的價格無關。</t>
    </r>
  </si>
  <si>
    <r>
      <rPr>
        <b/>
        <sz val="11"/>
        <color theme="1"/>
        <rFont val="Calibri"/>
        <family val="2"/>
        <scheme val="minor"/>
      </rPr>
      <t>步驟 5：計算 IRR</t>
    </r>
    <r>
      <rPr>
        <sz val="11"/>
        <color theme="1"/>
        <rFont val="Calibri"/>
        <family val="2"/>
        <scheme val="minor"/>
      </rPr>
      <t xml:space="preserve">
想像整個持有期間的現金流入流出：
第 0 年：支付總購入成本（負數）
第 1 年至（持有年期 - 1）年：每年收到 NOI（正數）
最後一年：收到當年 NOI + 退出售價（大額正數）
IRR 就是令所有現金流的現值總和等於零的年化回報率。
（無按揭、無大額維修假設 — 保持簡單）</t>
    </r>
  </si>
  <si>
    <r>
      <rPr>
        <b/>
        <sz val="11"/>
        <color theme="1"/>
        <rFont val="Calibri"/>
        <family val="2"/>
        <scheme val="minor"/>
      </rPr>
      <t>步驟 6：將 IRR 與你的目標回報率（Hurdle Rate）比較</t>
    </r>
    <r>
      <rPr>
        <sz val="11"/>
        <color theme="1"/>
        <rFont val="Calibri"/>
        <family val="2"/>
        <scheme val="minor"/>
      </rPr>
      <t xml:space="preserve">
決定你對此風險水平的最低可接受年回報率（根據風險及其他投資選擇）。
IRR &gt; 目標回報率 → 好投資（預期能超越你的要求）
IRR = 目標回報率 → 中性
IRR &lt; 目標回報率 → 不值得投資</t>
    </r>
  </si>
  <si>
    <r>
      <rPr>
        <b/>
        <sz val="11"/>
        <color theme="1"/>
        <rFont val="Calibri"/>
        <family val="2"/>
        <scheme val="minor"/>
      </rPr>
      <t xml:space="preserve">Core logic: </t>
    </r>
    <r>
      <rPr>
        <sz val="11"/>
        <color theme="1"/>
        <rFont val="Calibri"/>
        <family val="2"/>
        <scheme val="minor"/>
      </rPr>
      <t xml:space="preserve">The return comes from two main parts: </t>
    </r>
    <r>
      <rPr>
        <b/>
        <sz val="11"/>
        <color theme="1"/>
        <rFont val="Calibri"/>
        <family val="2"/>
        <scheme val="minor"/>
      </rPr>
      <t>stable rental income + capital appreciation</t>
    </r>
    <r>
      <rPr>
        <sz val="11"/>
        <color theme="1"/>
        <rFont val="Calibri"/>
        <family val="2"/>
        <scheme val="minor"/>
      </rPr>
      <t xml:space="preserve"> during the holding period.
The lower the purchase price, the higher the rental growth, or the greater the price appreciation, the higher the IRR will be.</t>
    </r>
  </si>
  <si>
    <r>
      <rPr>
        <b/>
        <sz val="11"/>
        <color theme="1"/>
        <rFont val="Calibri"/>
        <family val="2"/>
        <scheme val="minor"/>
      </rPr>
      <t>核心邏輯：</t>
    </r>
    <r>
      <rPr>
        <sz val="11"/>
        <color theme="1"/>
        <rFont val="Calibri"/>
        <family val="2"/>
        <scheme val="minor"/>
      </rPr>
      <t>回報來自兩部分——</t>
    </r>
    <r>
      <rPr>
        <b/>
        <sz val="11"/>
        <color theme="1"/>
        <rFont val="Calibri"/>
        <family val="2"/>
        <scheme val="minor"/>
      </rPr>
      <t>穩定租金收入+持有期資本增值</t>
    </r>
    <r>
      <rPr>
        <sz val="11"/>
        <color theme="1"/>
        <rFont val="Calibri"/>
        <family val="2"/>
        <scheme val="minor"/>
      </rPr>
      <t>。
購入價越低、租金增長或價格升幅越大，IRR 越高。</t>
    </r>
  </si>
  <si>
    <t>IRR Netural Price</t>
  </si>
  <si>
    <t>typical unlevered hurdle rates range from 4.0%–5.0%</t>
  </si>
  <si>
    <t>銀海山莊</t>
  </si>
  <si>
    <t>差餉</t>
  </si>
  <si>
    <t>Quarry bay</t>
  </si>
  <si>
    <t>翠荷苑</t>
  </si>
  <si>
    <t>Other Costs</t>
  </si>
  <si>
    <t>Maintenance/Repairs/Sinking Fund</t>
  </si>
  <si>
    <t>Old Building Premium Cost</t>
  </si>
  <si>
    <t>Legal</t>
  </si>
  <si>
    <t>Inspection Fees</t>
  </si>
  <si>
    <t>Default Transaction Cost</t>
  </si>
  <si>
    <t>Default NOI tax rate</t>
  </si>
  <si>
    <t>早禾坑</t>
  </si>
  <si>
    <t>House</t>
  </si>
  <si>
    <t>香港40年樓齡的舊樓進行強制驗樓及大維修，一般每戶費用約在 HK$30,000 至 HK$150,000 或更高。</t>
  </si>
  <si>
    <t>一般2%，但村屋招租更麻煩</t>
  </si>
  <si>
    <t>景觀好，升值潛力更高</t>
  </si>
  <si>
    <t>有游泳池，但早禾坑比較遠</t>
  </si>
  <si>
    <t>村務驗樓更貴</t>
  </si>
  <si>
    <t>一般8%，但村屋不交管理費，維護費看物業情況可能較低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</si>
</sst>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0"/>
    <numFmt numFmtId="166" formatCode="#,##0&quot;yrs&quot;"/>
  </numFmts>
  <fonts count="10" x14ac:knownFonts="1">
    <font>
      <sz val="11"/>
      <color theme="1"/>
      <name val="Calibri"/>
      <family val="2"/>
      <scheme val="minor"/>
    </font>
    <font>
      <sz val="10"/>
      <color rgb="FF000000"/>
      <name val="Calibri"/>
      <family val="2"/>
      <scheme val="minor"/>
    </font>
    <font>
      <sz val="12"/>
      <name val="Calibri"/>
      <family val="2"/>
    </font>
    <font>
      <b/>
      <sz val="11"/>
      <color theme="1"/>
      <name val="Calibri"/>
      <family val="2"/>
      <scheme val="minor"/>
    </font>
    <font>
      <sz val="11"/>
      <color rgb="FFFF0000"/>
      <name val="Calibri"/>
      <family val="2"/>
      <scheme val="minor"/>
    </font>
    <font>
      <sz val="11"/>
      <color rgb="FF0000FF"/>
      <name val="Calibri"/>
      <family val="2"/>
      <scheme val="minor"/>
    </font>
    <font>
      <sz val="11"/>
      <name val="Calibri"/>
      <family val="2"/>
      <scheme val="minor"/>
    </font>
    <font>
      <b/>
      <sz val="11"/>
      <color theme="0"/>
      <name val="Calibri"/>
      <family val="2"/>
      <scheme val="minor"/>
    </font>
    <font>
      <b/>
      <sz val="11"/>
      <name val="Calibri"/>
      <family val="2"/>
      <scheme val="minor"/>
    </font>
    <font>
      <b/>
      <u/>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s>
  <borders count="3">
    <border>
      <left/>
      <right/>
      <top/>
      <bottom/>
      <diagonal/>
    </border>
    <border>
      <left/>
      <right/>
      <top/>
      <bottom style="thin">
        <color indexed="64"/>
      </bottom>
      <diagonal/>
    </border>
    <border>
      <left/>
      <right/>
      <top/>
      <bottom style="double">
        <color indexed="64"/>
      </bottom>
      <diagonal/>
    </border>
  </borders>
  <cellStyleXfs count="3">
    <xf numFmtId="0" fontId="0" fillId="0" borderId="0"/>
    <xf numFmtId="0" fontId="1" fillId="0" borderId="0"/>
    <xf numFmtId="0" fontId="2" fillId="0" borderId="0">
      <alignment vertical="center"/>
    </xf>
  </cellStyleXfs>
  <cellXfs count="60">
    <xf numFmtId="0" fontId="0" fillId="0" borderId="0" xfId="0"/>
    <xf numFmtId="0" fontId="3" fillId="0" borderId="0" xfId="0" applyFont="1"/>
    <xf numFmtId="9" fontId="5" fillId="0" borderId="0" xfId="0" applyNumberFormat="1" applyFont="1"/>
    <xf numFmtId="10" fontId="4" fillId="0" borderId="0" xfId="0" applyNumberFormat="1" applyFont="1"/>
    <xf numFmtId="0" fontId="5" fillId="0" borderId="0" xfId="0" applyFont="1"/>
    <xf numFmtId="0" fontId="3" fillId="0" borderId="0" xfId="0" applyFont="1" applyAlignment="1">
      <alignment horizontal="center" vertical="top" wrapText="1"/>
    </xf>
    <xf numFmtId="0" fontId="5" fillId="0" borderId="0" xfId="0" applyFont="1" applyAlignment="1">
      <alignment horizontal="center"/>
    </xf>
    <xf numFmtId="0" fontId="3" fillId="0" borderId="0" xfId="0" applyFont="1" applyAlignment="1">
      <alignment horizontal="center" vertical="center" wrapText="1"/>
    </xf>
    <xf numFmtId="0" fontId="0" fillId="3" borderId="0" xfId="0" applyFill="1"/>
    <xf numFmtId="0" fontId="7" fillId="3" borderId="0" xfId="0" applyFont="1" applyFill="1"/>
    <xf numFmtId="10" fontId="4" fillId="0" borderId="0" xfId="0" applyNumberFormat="1" applyFont="1" applyAlignment="1">
      <alignment horizontal="center"/>
    </xf>
    <xf numFmtId="166" fontId="4" fillId="0" borderId="0" xfId="0" applyNumberFormat="1" applyFont="1" applyAlignment="1">
      <alignment horizontal="center"/>
    </xf>
    <xf numFmtId="0" fontId="3" fillId="0" borderId="0" xfId="0" applyFont="1" applyAlignment="1">
      <alignment horizontal="center"/>
    </xf>
    <xf numFmtId="0" fontId="9" fillId="0" borderId="0" xfId="0" applyFont="1" applyAlignment="1">
      <alignment horizontal="left"/>
    </xf>
    <xf numFmtId="164" fontId="4" fillId="0" borderId="0" xfId="0" applyNumberFormat="1" applyFont="1" applyAlignment="1">
      <alignment horizontal="center"/>
    </xf>
    <xf numFmtId="4" fontId="5" fillId="0" borderId="0" xfId="0" applyNumberFormat="1" applyFont="1" applyAlignment="1">
      <alignment horizontal="center" vertical="center"/>
    </xf>
    <xf numFmtId="1" fontId="5" fillId="0" borderId="0" xfId="0" applyNumberFormat="1" applyFont="1" applyAlignment="1">
      <alignment horizontal="center" vertical="center"/>
    </xf>
    <xf numFmtId="1" fontId="0" fillId="0" borderId="0" xfId="0" applyNumberFormat="1" applyAlignment="1">
      <alignment horizontal="center" vertical="center"/>
    </xf>
    <xf numFmtId="3" fontId="5" fillId="0" borderId="0" xfId="0" applyNumberFormat="1" applyFont="1" applyAlignment="1">
      <alignment horizontal="center" vertical="center"/>
    </xf>
    <xf numFmtId="165" fontId="5" fillId="0" borderId="0" xfId="0" applyNumberFormat="1" applyFont="1" applyAlignment="1">
      <alignment horizontal="center" vertical="center"/>
    </xf>
    <xf numFmtId="164" fontId="6" fillId="0" borderId="0" xfId="0" applyNumberFormat="1" applyFont="1" applyAlignment="1">
      <alignment horizontal="center"/>
    </xf>
    <xf numFmtId="0" fontId="3" fillId="2" borderId="0" xfId="0" applyFont="1" applyFill="1" applyAlignment="1">
      <alignment horizontal="left" vertical="center" wrapText="1" indent="1"/>
    </xf>
    <xf numFmtId="164" fontId="8" fillId="0" borderId="0" xfId="0" applyNumberFormat="1" applyFont="1" applyAlignment="1">
      <alignment horizontal="center"/>
    </xf>
    <xf numFmtId="164" fontId="0" fillId="0" borderId="0" xfId="0" applyNumberFormat="1" applyAlignment="1">
      <alignment horizont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xf>
    <xf numFmtId="164" fontId="4" fillId="0" borderId="1" xfId="0" applyNumberFormat="1" applyFont="1" applyBorder="1" applyAlignment="1">
      <alignment horizontal="center"/>
    </xf>
    <xf numFmtId="0" fontId="9" fillId="0" borderId="0" xfId="0" applyFont="1" applyAlignment="1">
      <alignment horizontal="left" vertical="top"/>
    </xf>
    <xf numFmtId="0" fontId="9" fillId="0" borderId="0" xfId="0" applyFont="1"/>
    <xf numFmtId="164" fontId="0" fillId="0" borderId="1" xfId="0" applyNumberFormat="1" applyBorder="1" applyAlignment="1">
      <alignment horizontal="center"/>
    </xf>
    <xf numFmtId="0" fontId="0" fillId="2" borderId="0" xfId="0" applyFill="1" applyAlignment="1">
      <alignment horizontal="left" vertical="center" wrapText="1"/>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164" fontId="6" fillId="0" borderId="2" xfId="0" applyNumberFormat="1" applyFont="1" applyBorder="1" applyAlignment="1">
      <alignment horizontal="center" vertical="center"/>
    </xf>
    <xf numFmtId="4" fontId="5" fillId="0" borderId="0" xfId="0" applyNumberFormat="1" applyFont="1" applyAlignment="1">
      <alignment horizontal="center"/>
    </xf>
    <xf numFmtId="0" fontId="6" fillId="0" borderId="0" xfId="0" applyFont="1" applyAlignment="1">
      <alignment horizontal="center"/>
    </xf>
    <xf numFmtId="0" fontId="3" fillId="0" borderId="0" xfId="0" applyFont="1" applyAlignment="1">
      <alignment horizontal="left" vertical="center"/>
    </xf>
    <xf numFmtId="0" fontId="3" fillId="0" borderId="0" xfId="0" applyFont="1" applyAlignment="1">
      <alignment vertical="top"/>
    </xf>
    <xf numFmtId="0" fontId="0" fillId="0" borderId="0" xfId="0" applyAlignment="1">
      <alignment vertical="top"/>
    </xf>
    <xf numFmtId="0" fontId="0" fillId="0" borderId="0" xfId="0" applyAlignment="1">
      <alignment vertical="top" wrapText="1"/>
    </xf>
    <xf numFmtId="164" fontId="5" fillId="0" borderId="0" xfId="0" applyNumberFormat="1" applyFont="1" applyAlignment="1">
      <alignment horizontal="center"/>
    </xf>
    <xf numFmtId="10" fontId="6" fillId="0" borderId="1" xfId="0" applyNumberFormat="1" applyFont="1" applyBorder="1" applyAlignment="1">
      <alignment horizontal="center" vertical="center"/>
    </xf>
    <xf numFmtId="164" fontId="3" fillId="0" borderId="0" xfId="0" applyNumberFormat="1" applyFont="1" applyAlignment="1">
      <alignment horizontal="center" vertical="center"/>
    </xf>
    <xf numFmtId="10" fontId="8" fillId="0" borderId="0" xfId="0" applyNumberFormat="1" applyFont="1" applyAlignment="1">
      <alignment horizontal="center"/>
    </xf>
    <xf numFmtId="164" fontId="8" fillId="0" borderId="0" xfId="0" applyNumberFormat="1" applyFont="1" applyAlignment="1">
      <alignment horizontal="center" vertical="center"/>
    </xf>
    <xf numFmtId="10" fontId="8" fillId="0" borderId="0" xfId="0" applyNumberFormat="1" applyFont="1" applyAlignment="1">
      <alignment horizontal="center" vertical="center"/>
    </xf>
    <xf numFmtId="166" fontId="6" fillId="0" borderId="0" xfId="0" applyNumberFormat="1" applyFont="1" applyAlignment="1">
      <alignment horizontal="center" vertical="center"/>
    </xf>
    <xf numFmtId="10" fontId="4" fillId="0" borderId="0" xfId="0" applyNumberFormat="1" applyFont="1" applyAlignment="1">
      <alignment horizontal="center" vertical="center"/>
    </xf>
    <xf numFmtId="9" fontId="4" fillId="0" borderId="0" xfId="0" applyNumberFormat="1" applyFont="1" applyAlignment="1">
      <alignment horizontal="center" vertical="center"/>
    </xf>
    <xf numFmtId="164" fontId="4" fillId="0" borderId="2" xfId="0" applyNumberFormat="1" applyFont="1" applyBorder="1" applyAlignment="1">
      <alignment horizontal="center"/>
    </xf>
    <xf numFmtId="10" fontId="0" fillId="0" borderId="0" xfId="0" applyNumberFormat="1"/>
    <xf numFmtId="164" fontId="4" fillId="0" borderId="2" xfId="0" applyNumberFormat="1" applyFont="1" applyBorder="1" applyAlignment="1">
      <alignment horizontal="center" vertical="center"/>
    </xf>
    <xf numFmtId="10" fontId="0" fillId="0" borderId="2" xfId="0" applyNumberFormat="1" applyBorder="1"/>
    <xf numFmtId="10" fontId="5" fillId="0" borderId="0" xfId="0" applyNumberFormat="1" applyFont="1" applyAlignment="1">
      <alignment horizontal="center"/>
    </xf>
    <xf numFmtId="10" fontId="5" fillId="0" borderId="0" xfId="0" applyNumberFormat="1" applyFont="1"/>
    <xf numFmtId="164" fontId="0" fillId="0" borderId="0" xfId="0" applyNumberFormat="1" applyAlignment="1">
      <alignment horizontal="center"/>
    </xf>
    <xf numFmtId="164" fontId="0" fillId="0" borderId="2" xfId="0" applyNumberFormat="1" applyBorder="1" applyAlignment="1">
      <alignment horizontal="center"/>
    </xf>
    <xf numFmtId="10" fontId="5" fillId="0" borderId="0" xfId="0" applyNumberFormat="1" applyFont="1" applyAlignment="1">
      <alignment horizontal="center"/>
    </xf>
    <xf numFmtId="10" fontId="6" fillId="0" borderId="0" xfId="0" applyNumberFormat="1" applyFont="1" applyAlignment="1">
      <alignment horizontal="center"/>
    </xf>
    <xf numFmtId="164" fontId="5" fillId="0" borderId="0" xfId="0" applyNumberFormat="1" applyFont="1" applyAlignment="1">
      <alignment horizontal="center"/>
    </xf>
  </cellXfs>
  <cellStyles count="3">
    <cellStyle name="Normal 2" xfId="1" xr:uid="{00000000-0005-0000-0000-000001000000}"/>
    <cellStyle name="常规" xfId="0" builtinId="0"/>
    <cellStyle name="常规 2" xfId="2" xr:uid="{32ADA8AA-F280-4250-ABBF-7E6B9CB799DC}"/>
  </cellStyles>
  <dxfs count="0"/>
  <tableStyles count="0" defaultTableStyle="TableStyleMedium2" defaultPivotStyle="PivotStyleLight16"/>
  <colors>
    <mruColors>
      <color rgb="FF0000FF"/>
      <color rgb="FFFF0000"/>
      <color rgb="FF00FF00"/>
      <color rgb="FFB6D7A8"/>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ED91-59EB-437C-A4C2-C114238F9C2A}">
  <sheetPr>
    <pageSetUpPr fitToPage="1"/>
  </sheetPr>
  <dimension ref="B2:D51"/>
  <sheetViews>
    <sheetView showGridLines="0" workbookViewId="0">
      <selection activeCell="D23" sqref="D23"/>
    </sheetView>
  </sheetViews>
  <sheetFormatPr defaultColWidth="8.796875" defaultRowHeight="14.25" x14ac:dyDescent="0.45"/>
  <cols>
    <col min="1" max="1" width="2.59765625" customWidth="1"/>
    <col min="2" max="2" width="37.86328125" customWidth="1"/>
    <col min="3" max="3" width="11.1328125" bestFit="1" customWidth="1"/>
    <col min="4" max="4" width="71.19921875" customWidth="1"/>
  </cols>
  <sheetData>
    <row r="2" spans="2:4" x14ac:dyDescent="0.45">
      <c r="B2" s="9" t="s">
        <v>48</v>
      </c>
      <c r="C2" s="8"/>
      <c r="D2" s="8"/>
    </row>
    <row r="4" spans="2:4" x14ac:dyDescent="0.45">
      <c r="B4" s="13" t="s">
        <v>49</v>
      </c>
      <c r="C4" s="12" t="s">
        <v>0</v>
      </c>
      <c r="D4" s="12" t="s">
        <v>1</v>
      </c>
    </row>
    <row r="5" spans="2:4" x14ac:dyDescent="0.45">
      <c r="B5" t="s">
        <v>33</v>
      </c>
      <c r="C5" s="10">
        <v>0.04</v>
      </c>
      <c r="D5" s="4" t="s">
        <v>97</v>
      </c>
    </row>
    <row r="6" spans="2:4" x14ac:dyDescent="0.45">
      <c r="B6" t="s">
        <v>34</v>
      </c>
      <c r="C6" s="11">
        <v>15</v>
      </c>
      <c r="D6" s="4"/>
    </row>
    <row r="7" spans="2:4" x14ac:dyDescent="0.45">
      <c r="C7" s="3"/>
    </row>
    <row r="8" spans="2:4" x14ac:dyDescent="0.45">
      <c r="B8" s="13" t="s">
        <v>107</v>
      </c>
      <c r="C8" s="12" t="s">
        <v>0</v>
      </c>
      <c r="D8" s="12" t="s">
        <v>1</v>
      </c>
    </row>
    <row r="9" spans="2:4" x14ac:dyDescent="0.45">
      <c r="B9" t="s">
        <v>51</v>
      </c>
      <c r="C9" s="10">
        <v>0.01</v>
      </c>
      <c r="D9" s="4" t="s">
        <v>52</v>
      </c>
    </row>
    <row r="10" spans="2:4" x14ac:dyDescent="0.45">
      <c r="B10" t="s">
        <v>55</v>
      </c>
      <c r="C10" s="10">
        <v>1E-3</v>
      </c>
      <c r="D10" s="4"/>
    </row>
    <row r="11" spans="2:4" x14ac:dyDescent="0.45">
      <c r="B11" t="s">
        <v>50</v>
      </c>
      <c r="C11" s="14">
        <v>20000</v>
      </c>
      <c r="D11" s="4" t="s">
        <v>53</v>
      </c>
    </row>
    <row r="12" spans="2:4" x14ac:dyDescent="0.45">
      <c r="B12" t="s">
        <v>54</v>
      </c>
      <c r="C12" s="14">
        <v>5000</v>
      </c>
      <c r="D12" s="4" t="s">
        <v>57</v>
      </c>
    </row>
    <row r="13" spans="2:4" x14ac:dyDescent="0.45">
      <c r="C13" s="3"/>
    </row>
    <row r="14" spans="2:4" x14ac:dyDescent="0.45">
      <c r="B14" s="13" t="s">
        <v>108</v>
      </c>
      <c r="C14" s="12" t="s">
        <v>0</v>
      </c>
      <c r="D14" s="12" t="s">
        <v>1</v>
      </c>
    </row>
    <row r="15" spans="2:4" x14ac:dyDescent="0.45">
      <c r="B15" t="s">
        <v>20</v>
      </c>
      <c r="C15" s="10">
        <v>0.05</v>
      </c>
      <c r="D15" s="4" t="s">
        <v>99</v>
      </c>
    </row>
    <row r="16" spans="2:4" x14ac:dyDescent="0.45">
      <c r="B16" t="s">
        <v>26</v>
      </c>
      <c r="C16" s="10">
        <v>0.03</v>
      </c>
      <c r="D16" s="4"/>
    </row>
    <row r="17" spans="2:4" x14ac:dyDescent="0.45">
      <c r="B17" t="s">
        <v>103</v>
      </c>
      <c r="C17" s="10">
        <v>0.08</v>
      </c>
    </row>
    <row r="18" spans="2:4" x14ac:dyDescent="0.45">
      <c r="B18" t="s">
        <v>16</v>
      </c>
      <c r="C18" s="10">
        <v>0.02</v>
      </c>
    </row>
    <row r="19" spans="2:4" x14ac:dyDescent="0.45">
      <c r="B19" t="s">
        <v>64</v>
      </c>
      <c r="C19" s="10">
        <v>0.02</v>
      </c>
      <c r="D19" s="4" t="s">
        <v>76</v>
      </c>
    </row>
    <row r="21" spans="2:4" x14ac:dyDescent="0.45">
      <c r="B21" s="13" t="s">
        <v>2</v>
      </c>
      <c r="C21" s="12" t="s">
        <v>0</v>
      </c>
      <c r="D21" s="12" t="s">
        <v>1</v>
      </c>
    </row>
    <row r="22" spans="2:4" x14ac:dyDescent="0.45">
      <c r="B22" t="s">
        <v>3</v>
      </c>
      <c r="C22" s="34">
        <v>7.8</v>
      </c>
    </row>
    <row r="23" spans="2:4" x14ac:dyDescent="0.45">
      <c r="B23" t="s">
        <v>4</v>
      </c>
      <c r="C23" s="34">
        <v>0.89</v>
      </c>
    </row>
    <row r="25" spans="2:4" x14ac:dyDescent="0.45">
      <c r="B25" s="1" t="s">
        <v>28</v>
      </c>
    </row>
    <row r="26" spans="2:4" x14ac:dyDescent="0.45">
      <c r="B26" t="s">
        <v>29</v>
      </c>
    </row>
    <row r="27" spans="2:4" x14ac:dyDescent="0.45">
      <c r="B27" t="s">
        <v>30</v>
      </c>
    </row>
    <row r="29" spans="2:4" x14ac:dyDescent="0.45">
      <c r="B29" s="1" t="s">
        <v>20</v>
      </c>
    </row>
    <row r="30" spans="2:4" x14ac:dyDescent="0.45">
      <c r="B30" t="s">
        <v>8</v>
      </c>
    </row>
    <row r="31" spans="2:4" x14ac:dyDescent="0.45">
      <c r="B31" t="s">
        <v>9</v>
      </c>
      <c r="C31" s="2">
        <v>0.05</v>
      </c>
    </row>
    <row r="32" spans="2:4" x14ac:dyDescent="0.45">
      <c r="B32" t="s">
        <v>10</v>
      </c>
      <c r="C32" s="2">
        <v>0.08</v>
      </c>
    </row>
    <row r="33" spans="2:3" x14ac:dyDescent="0.45">
      <c r="B33" t="s">
        <v>11</v>
      </c>
      <c r="C33" s="2">
        <v>0.12</v>
      </c>
    </row>
    <row r="34" spans="2:3" x14ac:dyDescent="0.45">
      <c r="B34" t="s">
        <v>21</v>
      </c>
      <c r="C34" s="2"/>
    </row>
    <row r="36" spans="2:3" x14ac:dyDescent="0.45">
      <c r="B36" s="1" t="s">
        <v>27</v>
      </c>
    </row>
    <row r="37" spans="2:3" x14ac:dyDescent="0.45">
      <c r="B37" t="s">
        <v>31</v>
      </c>
    </row>
    <row r="39" spans="2:3" x14ac:dyDescent="0.45">
      <c r="B39" s="1" t="s">
        <v>13</v>
      </c>
    </row>
    <row r="40" spans="2:3" x14ac:dyDescent="0.45">
      <c r="B40" t="s">
        <v>12</v>
      </c>
    </row>
    <row r="41" spans="2:3" x14ac:dyDescent="0.45">
      <c r="B41" t="s">
        <v>14</v>
      </c>
    </row>
    <row r="42" spans="2:3" x14ac:dyDescent="0.45">
      <c r="B42" t="s">
        <v>15</v>
      </c>
    </row>
    <row r="44" spans="2:3" x14ac:dyDescent="0.45">
      <c r="B44" s="1" t="s">
        <v>16</v>
      </c>
    </row>
    <row r="45" spans="2:3" x14ac:dyDescent="0.45">
      <c r="B45" t="s">
        <v>17</v>
      </c>
    </row>
    <row r="46" spans="2:3" x14ac:dyDescent="0.45">
      <c r="B46" t="s">
        <v>18</v>
      </c>
    </row>
    <row r="47" spans="2:3" x14ac:dyDescent="0.45">
      <c r="B47" t="s">
        <v>19</v>
      </c>
    </row>
    <row r="49" spans="2:2" x14ac:dyDescent="0.45">
      <c r="B49" s="1" t="s">
        <v>23</v>
      </c>
    </row>
    <row r="50" spans="2:2" x14ac:dyDescent="0.45">
      <c r="B50" t="s">
        <v>24</v>
      </c>
    </row>
    <row r="51" spans="2:2" x14ac:dyDescent="0.45">
      <c r="B51" t="s">
        <v>25</v>
      </c>
    </row>
  </sheetData>
  <pageMargins left="0.25" right="0.25" top="0.75" bottom="0.75" header="0.3" footer="0.3"/>
  <pageSetup paperSize="9" scale="7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E8AA2-48F2-4368-B9E3-BA821DC1A767}">
  <sheetPr>
    <pageSetUpPr fitToPage="1"/>
  </sheetPr>
  <dimension ref="B2:G59"/>
  <sheetViews>
    <sheetView showGridLines="0" topLeftCell="A19" zoomScale="94" zoomScaleNormal="100" workbookViewId="0">
      <selection activeCell="C33" sqref="C33"/>
    </sheetView>
  </sheetViews>
  <sheetFormatPr defaultColWidth="8.796875" defaultRowHeight="14.25" x14ac:dyDescent="0.45"/>
  <cols>
    <col min="1" max="1" width="2.6640625" customWidth="1"/>
    <col min="2" max="2" width="29.86328125" customWidth="1"/>
    <col min="3" max="5" width="16.59765625" customWidth="1"/>
    <col min="6" max="6" width="2.59765625" customWidth="1"/>
    <col min="7" max="7" width="90.59765625" customWidth="1"/>
    <col min="8" max="9" width="16.59765625" customWidth="1"/>
  </cols>
  <sheetData>
    <row r="2" spans="2:7" x14ac:dyDescent="0.45">
      <c r="B2" s="28" t="s">
        <v>77</v>
      </c>
      <c r="G2" s="13" t="s">
        <v>1</v>
      </c>
    </row>
    <row r="3" spans="2:7" x14ac:dyDescent="0.45">
      <c r="G3" s="4"/>
    </row>
    <row r="4" spans="2:7" x14ac:dyDescent="0.45">
      <c r="B4" s="30" t="s">
        <v>37</v>
      </c>
      <c r="C4" s="15" t="s">
        <v>98</v>
      </c>
      <c r="G4" s="4"/>
    </row>
    <row r="5" spans="2:7" x14ac:dyDescent="0.45">
      <c r="B5" s="30" t="s">
        <v>5</v>
      </c>
      <c r="C5" s="15" t="s">
        <v>6</v>
      </c>
      <c r="G5" s="4"/>
    </row>
    <row r="6" spans="2:7" x14ac:dyDescent="0.45">
      <c r="B6" s="30" t="s">
        <v>22</v>
      </c>
      <c r="C6" s="16">
        <v>1997</v>
      </c>
      <c r="G6" s="4"/>
    </row>
    <row r="7" spans="2:7" x14ac:dyDescent="0.45">
      <c r="B7" s="30" t="s">
        <v>32</v>
      </c>
      <c r="C7" s="17">
        <f ca="1">YEAR(TODAY())-C6</f>
        <v>29</v>
      </c>
      <c r="G7" s="4"/>
    </row>
    <row r="8" spans="2:7" x14ac:dyDescent="0.45">
      <c r="B8" s="30" t="s">
        <v>72</v>
      </c>
      <c r="C8" s="18">
        <v>690</v>
      </c>
      <c r="G8" s="4"/>
    </row>
    <row r="9" spans="2:7" x14ac:dyDescent="0.45">
      <c r="B9" s="30" t="s">
        <v>73</v>
      </c>
      <c r="C9" s="19">
        <v>2.5</v>
      </c>
      <c r="G9" s="4"/>
    </row>
    <row r="10" spans="2:7" x14ac:dyDescent="0.45">
      <c r="B10" s="30" t="s">
        <v>34</v>
      </c>
      <c r="C10" s="46">
        <f>Holding_Period</f>
        <v>15</v>
      </c>
      <c r="G10" s="4"/>
    </row>
    <row r="11" spans="2:7" x14ac:dyDescent="0.45">
      <c r="G11" s="4"/>
    </row>
    <row r="12" spans="2:7" x14ac:dyDescent="0.45">
      <c r="B12" s="27" t="s">
        <v>79</v>
      </c>
      <c r="G12" s="13" t="s">
        <v>1</v>
      </c>
    </row>
    <row r="13" spans="2:7" x14ac:dyDescent="0.45">
      <c r="G13" s="4"/>
    </row>
    <row r="14" spans="2:7" x14ac:dyDescent="0.45">
      <c r="B14" s="30" t="s">
        <v>35</v>
      </c>
      <c r="C14" s="6" t="s">
        <v>43</v>
      </c>
      <c r="D14" s="6" t="s">
        <v>36</v>
      </c>
      <c r="E14" s="6" t="s">
        <v>96</v>
      </c>
      <c r="G14" s="4"/>
    </row>
    <row r="15" spans="2:7" x14ac:dyDescent="0.45">
      <c r="B15" s="31" t="s">
        <v>74</v>
      </c>
      <c r="C15" s="25">
        <f>C16/C8</f>
        <v>18115.942028985508</v>
      </c>
      <c r="D15" s="26">
        <v>14000</v>
      </c>
      <c r="E15" s="25">
        <f>E16/C8</f>
        <v>13623.188405797102</v>
      </c>
      <c r="G15" s="4"/>
    </row>
    <row r="16" spans="2:7" x14ac:dyDescent="0.45">
      <c r="B16" s="30" t="s">
        <v>47</v>
      </c>
      <c r="C16" s="14">
        <v>12500000</v>
      </c>
      <c r="D16" s="20">
        <f>D15*C$8</f>
        <v>9660000</v>
      </c>
      <c r="E16" s="40">
        <v>9400000</v>
      </c>
      <c r="G16" s="4"/>
    </row>
    <row r="17" spans="2:7" x14ac:dyDescent="0.45">
      <c r="B17" s="30" t="s">
        <v>59</v>
      </c>
      <c r="C17" s="57">
        <f>Assumptions!C9</f>
        <v>0.01</v>
      </c>
      <c r="D17" s="57"/>
      <c r="E17" s="57"/>
      <c r="G17" s="4"/>
    </row>
    <row r="18" spans="2:7" x14ac:dyDescent="0.45">
      <c r="B18" s="30" t="s">
        <v>56</v>
      </c>
      <c r="C18" s="53">
        <v>3.7499999999999999E-2</v>
      </c>
      <c r="D18" s="53">
        <v>3.4500000000000003E-2</v>
      </c>
      <c r="E18" s="53">
        <v>0.03</v>
      </c>
      <c r="G18" s="4"/>
    </row>
    <row r="19" spans="2:7" x14ac:dyDescent="0.45">
      <c r="B19" s="30" t="s">
        <v>58</v>
      </c>
      <c r="C19" s="58">
        <f>Assumptions!C10</f>
        <v>1E-3</v>
      </c>
      <c r="D19" s="58"/>
      <c r="E19" s="58"/>
      <c r="G19" s="4"/>
    </row>
    <row r="20" spans="2:7" x14ac:dyDescent="0.45">
      <c r="B20" s="30" t="s">
        <v>105</v>
      </c>
      <c r="C20" s="59">
        <f>Assumptions!C11</f>
        <v>20000</v>
      </c>
      <c r="D20" s="59"/>
      <c r="E20" s="59"/>
      <c r="G20" s="4"/>
    </row>
    <row r="21" spans="2:7" x14ac:dyDescent="0.45">
      <c r="B21" s="30" t="s">
        <v>106</v>
      </c>
      <c r="C21" s="59">
        <f>Assumptions!C12</f>
        <v>5000</v>
      </c>
      <c r="D21" s="59"/>
      <c r="E21" s="59"/>
      <c r="G21" s="4"/>
    </row>
    <row r="22" spans="2:7" ht="14.65" thickBot="1" x14ac:dyDescent="0.5">
      <c r="B22" s="32" t="s">
        <v>102</v>
      </c>
      <c r="C22" s="49">
        <v>150000</v>
      </c>
      <c r="D22" s="49">
        <v>150000</v>
      </c>
      <c r="E22" s="49">
        <v>150000</v>
      </c>
      <c r="G22" s="4" t="s">
        <v>111</v>
      </c>
    </row>
    <row r="23" spans="2:7" ht="14.65" thickTop="1" x14ac:dyDescent="0.45">
      <c r="B23" s="21" t="s">
        <v>60</v>
      </c>
      <c r="C23" s="22">
        <f>C16+C16*($C$17+C18+$C$19)+$C$20+$C$21+C22</f>
        <v>13281250</v>
      </c>
      <c r="D23" s="22">
        <f t="shared" ref="D23:E23" si="0">D16+D16*($C$17+D18+$C$19)+$C$20+$C$21+D22</f>
        <v>10274530</v>
      </c>
      <c r="E23" s="22">
        <f t="shared" si="0"/>
        <v>9960400</v>
      </c>
      <c r="G23" s="4"/>
    </row>
    <row r="24" spans="2:7" x14ac:dyDescent="0.45">
      <c r="G24" s="4"/>
    </row>
    <row r="25" spans="2:7" x14ac:dyDescent="0.45">
      <c r="B25" s="27" t="s">
        <v>78</v>
      </c>
      <c r="G25" s="13" t="s">
        <v>1</v>
      </c>
    </row>
    <row r="26" spans="2:7" ht="14.25" customHeight="1" x14ac:dyDescent="0.45">
      <c r="C26" s="5"/>
      <c r="G26" s="4"/>
    </row>
    <row r="27" spans="2:7" x14ac:dyDescent="0.45">
      <c r="B27" s="30" t="s">
        <v>61</v>
      </c>
      <c r="C27" s="47">
        <v>2.8000000000000001E-2</v>
      </c>
      <c r="G27" s="4"/>
    </row>
    <row r="28" spans="2:7" x14ac:dyDescent="0.45">
      <c r="B28" s="31" t="s">
        <v>40</v>
      </c>
      <c r="C28" s="29">
        <f>D16</f>
        <v>9660000</v>
      </c>
      <c r="G28" s="4"/>
    </row>
    <row r="29" spans="2:7" x14ac:dyDescent="0.45">
      <c r="B29" s="21" t="s">
        <v>62</v>
      </c>
      <c r="C29" s="44">
        <f>C28*C$27/12</f>
        <v>22540</v>
      </c>
      <c r="G29" s="4"/>
    </row>
    <row r="30" spans="2:7" x14ac:dyDescent="0.45">
      <c r="B30" s="7"/>
      <c r="C30" s="24"/>
      <c r="G30" s="4"/>
    </row>
    <row r="31" spans="2:7" x14ac:dyDescent="0.45">
      <c r="B31" s="30" t="s">
        <v>7</v>
      </c>
      <c r="C31" s="24">
        <f>C$9*C$8</f>
        <v>1725</v>
      </c>
      <c r="D31" s="50">
        <f>C31/C29</f>
        <v>7.6530612244897961E-2</v>
      </c>
      <c r="G31" s="4"/>
    </row>
    <row r="32" spans="2:7" x14ac:dyDescent="0.45">
      <c r="B32" s="30" t="s">
        <v>20</v>
      </c>
      <c r="C32" s="24">
        <f>$C$29*D32</f>
        <v>1127</v>
      </c>
      <c r="D32" s="54">
        <f>Assumptions!C15</f>
        <v>0.05</v>
      </c>
      <c r="G32" s="4"/>
    </row>
    <row r="33" spans="2:7" x14ac:dyDescent="0.45">
      <c r="B33" s="30" t="s">
        <v>26</v>
      </c>
      <c r="C33" s="24">
        <f t="shared" ref="C33:C36" si="1">$C$29*D33</f>
        <v>676.19999999999993</v>
      </c>
      <c r="D33" s="50">
        <f>Assumptions!C16</f>
        <v>0.03</v>
      </c>
      <c r="G33" s="4"/>
    </row>
    <row r="34" spans="2:7" x14ac:dyDescent="0.45">
      <c r="B34" s="30" t="s">
        <v>103</v>
      </c>
      <c r="C34" s="24">
        <f t="shared" si="1"/>
        <v>1803.2</v>
      </c>
      <c r="D34" s="3">
        <f>Assumptions!C17</f>
        <v>0.08</v>
      </c>
      <c r="G34" s="4"/>
    </row>
    <row r="35" spans="2:7" x14ac:dyDescent="0.45">
      <c r="B35" s="30" t="s">
        <v>104</v>
      </c>
      <c r="C35" s="24">
        <f t="shared" ca="1" si="1"/>
        <v>0</v>
      </c>
      <c r="D35" s="3">
        <f ca="1">IF(C$7&gt;=30,4%,0)</f>
        <v>0</v>
      </c>
      <c r="G35" s="4"/>
    </row>
    <row r="36" spans="2:7" x14ac:dyDescent="0.45">
      <c r="B36" s="30" t="s">
        <v>16</v>
      </c>
      <c r="C36" s="24">
        <f t="shared" si="1"/>
        <v>450.8</v>
      </c>
      <c r="D36" s="3">
        <f>Assumptions!C18</f>
        <v>0.02</v>
      </c>
      <c r="G36" s="4"/>
    </row>
    <row r="37" spans="2:7" ht="14.65" thickBot="1" x14ac:dyDescent="0.5">
      <c r="B37" s="32" t="s">
        <v>41</v>
      </c>
      <c r="C37" s="51">
        <v>0</v>
      </c>
      <c r="D37" s="52">
        <f>C37/C29</f>
        <v>0</v>
      </c>
      <c r="G37" s="4"/>
    </row>
    <row r="38" spans="2:7" ht="14.65" thickTop="1" x14ac:dyDescent="0.45">
      <c r="B38" s="21" t="s">
        <v>63</v>
      </c>
      <c r="C38" s="44">
        <f ca="1">C29-SUM(C31:C37)</f>
        <v>16757.8</v>
      </c>
      <c r="D38" s="50">
        <f ca="1">C38/C29</f>
        <v>0.74346938775510196</v>
      </c>
      <c r="G38" s="4"/>
    </row>
    <row r="39" spans="2:7" x14ac:dyDescent="0.45">
      <c r="B39" s="21" t="s">
        <v>46</v>
      </c>
      <c r="C39" s="45">
        <f>Assumptions!C19</f>
        <v>0.02</v>
      </c>
      <c r="G39" s="4"/>
    </row>
    <row r="40" spans="2:7" x14ac:dyDescent="0.45">
      <c r="G40" s="4"/>
    </row>
    <row r="41" spans="2:7" x14ac:dyDescent="0.45">
      <c r="B41" s="27" t="s">
        <v>83</v>
      </c>
      <c r="G41" s="13" t="s">
        <v>1</v>
      </c>
    </row>
    <row r="42" spans="2:7" x14ac:dyDescent="0.45">
      <c r="G42" s="4"/>
    </row>
    <row r="43" spans="2:7" x14ac:dyDescent="0.45">
      <c r="B43" s="30" t="s">
        <v>38</v>
      </c>
      <c r="C43" s="48">
        <v>0.4</v>
      </c>
      <c r="G43" s="4" t="s">
        <v>113</v>
      </c>
    </row>
    <row r="44" spans="2:7" x14ac:dyDescent="0.45">
      <c r="B44" s="31" t="s">
        <v>42</v>
      </c>
      <c r="C44" s="41">
        <f>(1+C43)^(1/C10)-1</f>
        <v>2.268495988716035E-2</v>
      </c>
      <c r="G44" s="4"/>
    </row>
    <row r="45" spans="2:7" x14ac:dyDescent="0.45">
      <c r="B45" s="21" t="s">
        <v>39</v>
      </c>
      <c r="C45" s="42">
        <f>D16*(1+C$43)</f>
        <v>13524000</v>
      </c>
      <c r="G45" s="4"/>
    </row>
    <row r="46" spans="2:7" x14ac:dyDescent="0.45">
      <c r="G46" s="4"/>
    </row>
    <row r="47" spans="2:7" x14ac:dyDescent="0.45">
      <c r="B47" s="27" t="s">
        <v>84</v>
      </c>
      <c r="G47" s="13" t="s">
        <v>1</v>
      </c>
    </row>
    <row r="48" spans="2:7" x14ac:dyDescent="0.45">
      <c r="G48" s="4"/>
    </row>
    <row r="49" spans="2:7" x14ac:dyDescent="0.45">
      <c r="B49" s="30" t="s">
        <v>35</v>
      </c>
      <c r="C49" s="35" t="str">
        <f>C14</f>
        <v>Asking Price</v>
      </c>
      <c r="D49" s="35" t="str">
        <f>D14</f>
        <v>Comparable</v>
      </c>
      <c r="E49" s="35" t="str">
        <f>E14</f>
        <v>IRR Netural Price</v>
      </c>
      <c r="G49" s="4"/>
    </row>
    <row r="50" spans="2:7" x14ac:dyDescent="0.45">
      <c r="B50" s="30" t="s">
        <v>65</v>
      </c>
      <c r="C50" s="20">
        <f>C16</f>
        <v>12500000</v>
      </c>
      <c r="D50" s="20">
        <f t="shared" ref="D50:E50" si="2">D16</f>
        <v>9660000</v>
      </c>
      <c r="E50" s="20">
        <f t="shared" si="2"/>
        <v>9400000</v>
      </c>
      <c r="G50" s="4"/>
    </row>
    <row r="51" spans="2:7" x14ac:dyDescent="0.45">
      <c r="B51" s="30" t="s">
        <v>60</v>
      </c>
      <c r="C51" s="23">
        <f>C23</f>
        <v>13281250</v>
      </c>
      <c r="D51" s="23">
        <f>D23</f>
        <v>10274530</v>
      </c>
      <c r="E51" s="23">
        <f>E23</f>
        <v>9960400</v>
      </c>
      <c r="G51" s="4"/>
    </row>
    <row r="52" spans="2:7" x14ac:dyDescent="0.45">
      <c r="B52" s="30" t="s">
        <v>44</v>
      </c>
      <c r="C52" s="55">
        <f ca="1">C$38*12</f>
        <v>201093.59999999998</v>
      </c>
      <c r="D52" s="55"/>
      <c r="E52" s="55"/>
      <c r="G52" s="4"/>
    </row>
    <row r="53" spans="2:7" ht="14.65" thickBot="1" x14ac:dyDescent="0.5">
      <c r="B53" s="32" t="s">
        <v>45</v>
      </c>
      <c r="C53" s="56">
        <f>C$45</f>
        <v>13524000</v>
      </c>
      <c r="D53" s="56"/>
      <c r="E53" s="56"/>
      <c r="G53" s="4"/>
    </row>
    <row r="54" spans="2:7" ht="14.65" thickTop="1" x14ac:dyDescent="0.45">
      <c r="B54" s="21" t="s">
        <v>66</v>
      </c>
      <c r="C54" s="43">
        <f ca="1">RATE(15, $C52*(1+$C$39), -C51, $C53 / (1+$C$39)^15) + $C$39</f>
        <v>1.9116404699180176E-2</v>
      </c>
      <c r="D54" s="43">
        <f t="shared" ref="D54:E54" ca="1" si="3">RATE(15, $C52*(1+$C$39), -D51, $C53 / (1+$C$39)^15) + $C$39</f>
        <v>3.867937769139583E-2</v>
      </c>
      <c r="E54" s="43">
        <f t="shared" ca="1" si="3"/>
        <v>4.1100689030016416E-2</v>
      </c>
      <c r="G54" s="4"/>
    </row>
    <row r="55" spans="2:7" x14ac:dyDescent="0.45">
      <c r="G55" s="4"/>
    </row>
    <row r="56" spans="2:7" x14ac:dyDescent="0.45">
      <c r="B56" s="36" t="s">
        <v>67</v>
      </c>
      <c r="G56" s="4"/>
    </row>
    <row r="57" spans="2:7" x14ac:dyDescent="0.45">
      <c r="B57" t="s">
        <v>68</v>
      </c>
      <c r="G57" s="4"/>
    </row>
    <row r="58" spans="2:7" x14ac:dyDescent="0.45">
      <c r="B58" t="s">
        <v>69</v>
      </c>
      <c r="G58" s="4"/>
    </row>
    <row r="59" spans="2:7" x14ac:dyDescent="0.45">
      <c r="B59" t="s">
        <v>70</v>
      </c>
      <c r="G59" s="4"/>
    </row>
  </sheetData>
  <dataConsolidate/>
  <mergeCells count="6">
    <mergeCell ref="C52:E52"/>
    <mergeCell ref="C53:E53"/>
    <mergeCell ref="C17:E17"/>
    <mergeCell ref="C19:E19"/>
    <mergeCell ref="C20:E20"/>
    <mergeCell ref="C21:E21"/>
  </mergeCells>
  <pageMargins left="0.25" right="0.25" top="0.75" bottom="0.75" header="0.3" footer="0.3"/>
  <pageSetup paperSize="9" scale="97" fitToWidth="0"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DFB0-53ED-4BEE-BAF6-63FFB679C689}">
  <sheetPr>
    <pageSetUpPr fitToPage="1"/>
  </sheetPr>
  <dimension ref="B2:G59"/>
  <sheetViews>
    <sheetView showGridLines="0" tabSelected="1" topLeftCell="A19" zoomScale="94" zoomScaleNormal="100" workbookViewId="0">
      <selection activeCell="C53" sqref="C53:E53"/>
    </sheetView>
  </sheetViews>
  <sheetFormatPr defaultColWidth="8.796875" defaultRowHeight="14.25" x14ac:dyDescent="0.45"/>
  <cols>
    <col min="1" max="1" width="2.6640625" customWidth="1"/>
    <col min="2" max="2" width="29.86328125" customWidth="1"/>
    <col min="3" max="5" width="16.59765625" customWidth="1"/>
    <col min="6" max="6" width="2.59765625" customWidth="1"/>
    <col min="7" max="7" width="90.59765625" customWidth="1"/>
    <col min="8" max="9" width="16.59765625" customWidth="1"/>
  </cols>
  <sheetData>
    <row r="2" spans="2:7" x14ac:dyDescent="0.45">
      <c r="B2" s="28" t="s">
        <v>77</v>
      </c>
      <c r="G2" s="13" t="s">
        <v>1</v>
      </c>
    </row>
    <row r="3" spans="2:7" x14ac:dyDescent="0.45">
      <c r="G3" s="4"/>
    </row>
    <row r="4" spans="2:7" x14ac:dyDescent="0.45">
      <c r="B4" s="30" t="s">
        <v>37</v>
      </c>
      <c r="C4" s="15" t="s">
        <v>109</v>
      </c>
      <c r="G4" s="4"/>
    </row>
    <row r="5" spans="2:7" x14ac:dyDescent="0.45">
      <c r="B5" s="30" t="s">
        <v>5</v>
      </c>
      <c r="C5" s="15" t="s">
        <v>110</v>
      </c>
      <c r="G5" s="4"/>
    </row>
    <row r="6" spans="2:7" x14ac:dyDescent="0.45">
      <c r="B6" s="30" t="s">
        <v>22</v>
      </c>
      <c r="C6" s="16">
        <v>1995</v>
      </c>
      <c r="G6" s="4"/>
    </row>
    <row r="7" spans="2:7" x14ac:dyDescent="0.45">
      <c r="B7" s="30" t="s">
        <v>32</v>
      </c>
      <c r="C7" s="17">
        <f ca="1">YEAR(TODAY())-C6</f>
        <v>31</v>
      </c>
      <c r="G7" s="4"/>
    </row>
    <row r="8" spans="2:7" x14ac:dyDescent="0.45">
      <c r="B8" s="30" t="s">
        <v>72</v>
      </c>
      <c r="C8" s="18">
        <v>2000</v>
      </c>
      <c r="G8" s="4"/>
    </row>
    <row r="9" spans="2:7" x14ac:dyDescent="0.45">
      <c r="B9" s="30" t="s">
        <v>73</v>
      </c>
      <c r="C9" s="19">
        <v>0</v>
      </c>
      <c r="G9" s="4"/>
    </row>
    <row r="10" spans="2:7" x14ac:dyDescent="0.45">
      <c r="B10" s="30" t="s">
        <v>34</v>
      </c>
      <c r="C10" s="46">
        <f>Holding_Period</f>
        <v>15</v>
      </c>
      <c r="G10" s="4"/>
    </row>
    <row r="11" spans="2:7" x14ac:dyDescent="0.45">
      <c r="G11" s="4"/>
    </row>
    <row r="12" spans="2:7" x14ac:dyDescent="0.45">
      <c r="B12" s="27" t="s">
        <v>79</v>
      </c>
      <c r="G12" s="13" t="s">
        <v>1</v>
      </c>
    </row>
    <row r="13" spans="2:7" x14ac:dyDescent="0.45">
      <c r="G13" s="4"/>
    </row>
    <row r="14" spans="2:7" x14ac:dyDescent="0.45">
      <c r="B14" s="30" t="s">
        <v>35</v>
      </c>
      <c r="C14" s="6" t="s">
        <v>43</v>
      </c>
      <c r="D14" s="6" t="s">
        <v>36</v>
      </c>
      <c r="E14" s="6" t="s">
        <v>96</v>
      </c>
      <c r="G14" s="4"/>
    </row>
    <row r="15" spans="2:7" x14ac:dyDescent="0.45">
      <c r="B15" s="31" t="s">
        <v>74</v>
      </c>
      <c r="C15" s="25">
        <f>C16/C8</f>
        <v>11000</v>
      </c>
      <c r="D15" s="26">
        <v>10000</v>
      </c>
      <c r="E15" s="25">
        <f>E16/C8</f>
        <v>8583.3582151174596</v>
      </c>
      <c r="G15" s="4"/>
    </row>
    <row r="16" spans="2:7" x14ac:dyDescent="0.45">
      <c r="B16" s="30" t="s">
        <v>47</v>
      </c>
      <c r="C16" s="14">
        <v>22000000</v>
      </c>
      <c r="D16" s="20">
        <f>D15*C$8</f>
        <v>20000000</v>
      </c>
      <c r="E16" s="40">
        <v>17166716.43023492</v>
      </c>
      <c r="G16" s="4"/>
    </row>
    <row r="17" spans="2:7" x14ac:dyDescent="0.45">
      <c r="B17" s="30" t="s">
        <v>59</v>
      </c>
      <c r="C17" s="57">
        <f>Assumptions!C9</f>
        <v>0.01</v>
      </c>
      <c r="D17" s="57"/>
      <c r="E17" s="57"/>
      <c r="G17" s="4"/>
    </row>
    <row r="18" spans="2:7" x14ac:dyDescent="0.45">
      <c r="B18" s="30" t="s">
        <v>56</v>
      </c>
      <c r="C18" s="53">
        <v>3.7499999999999999E-2</v>
      </c>
      <c r="D18" s="53">
        <v>3.4500000000000003E-2</v>
      </c>
      <c r="E18" s="53">
        <v>0.03</v>
      </c>
      <c r="G18" s="4"/>
    </row>
    <row r="19" spans="2:7" x14ac:dyDescent="0.45">
      <c r="B19" s="30" t="s">
        <v>58</v>
      </c>
      <c r="C19" s="58">
        <f>Assumptions!C10</f>
        <v>1E-3</v>
      </c>
      <c r="D19" s="58"/>
      <c r="E19" s="58"/>
      <c r="G19" s="4"/>
    </row>
    <row r="20" spans="2:7" x14ac:dyDescent="0.45">
      <c r="B20" s="30" t="s">
        <v>105</v>
      </c>
      <c r="C20" s="59">
        <f>Assumptions!C11</f>
        <v>20000</v>
      </c>
      <c r="D20" s="59"/>
      <c r="E20" s="59"/>
      <c r="G20" s="4"/>
    </row>
    <row r="21" spans="2:7" x14ac:dyDescent="0.45">
      <c r="B21" s="30" t="s">
        <v>106</v>
      </c>
      <c r="C21" s="59">
        <v>10000</v>
      </c>
      <c r="D21" s="59"/>
      <c r="E21" s="59"/>
      <c r="G21" s="4" t="s">
        <v>115</v>
      </c>
    </row>
    <row r="22" spans="2:7" ht="14.65" thickBot="1" x14ac:dyDescent="0.5">
      <c r="B22" s="32" t="s">
        <v>102</v>
      </c>
      <c r="C22" s="49">
        <v>150000</v>
      </c>
      <c r="D22" s="49">
        <v>150000</v>
      </c>
      <c r="E22" s="49">
        <v>150000</v>
      </c>
      <c r="G22" s="4" t="s">
        <v>111</v>
      </c>
    </row>
    <row r="23" spans="2:7" ht="14.65" thickTop="1" x14ac:dyDescent="0.45">
      <c r="B23" s="21" t="s">
        <v>60</v>
      </c>
      <c r="C23" s="22">
        <f>C16+C16*($C$17+C18+$C$19)+$C$20+$C$21+C22</f>
        <v>23247000</v>
      </c>
      <c r="D23" s="22">
        <f t="shared" ref="D23:E23" si="0">D16+D16*($C$17+D18+$C$19)+$C$20+$C$21+D22</f>
        <v>21090000</v>
      </c>
      <c r="E23" s="22">
        <f t="shared" si="0"/>
        <v>18050551.803874552</v>
      </c>
      <c r="G23" s="4"/>
    </row>
    <row r="24" spans="2:7" x14ac:dyDescent="0.45">
      <c r="G24" s="4"/>
    </row>
    <row r="25" spans="2:7" x14ac:dyDescent="0.45">
      <c r="B25" s="27" t="s">
        <v>78</v>
      </c>
      <c r="G25" s="13" t="s">
        <v>1</v>
      </c>
    </row>
    <row r="26" spans="2:7" ht="14.25" customHeight="1" x14ac:dyDescent="0.45">
      <c r="C26" s="5"/>
      <c r="G26" s="4"/>
    </row>
    <row r="27" spans="2:7" x14ac:dyDescent="0.45">
      <c r="B27" s="30" t="s">
        <v>61</v>
      </c>
      <c r="C27" s="47">
        <v>3.3000000000000015E-2</v>
      </c>
      <c r="G27" s="4"/>
    </row>
    <row r="28" spans="2:7" x14ac:dyDescent="0.45">
      <c r="B28" s="31" t="s">
        <v>40</v>
      </c>
      <c r="C28" s="29">
        <f>D16</f>
        <v>20000000</v>
      </c>
      <c r="G28" s="4"/>
    </row>
    <row r="29" spans="2:7" x14ac:dyDescent="0.45">
      <c r="B29" s="21" t="s">
        <v>62</v>
      </c>
      <c r="C29" s="44">
        <f>C28*C$27/12</f>
        <v>55000.000000000029</v>
      </c>
      <c r="G29" s="4"/>
    </row>
    <row r="30" spans="2:7" x14ac:dyDescent="0.45">
      <c r="B30" s="7"/>
      <c r="C30" s="24"/>
      <c r="G30" s="4"/>
    </row>
    <row r="31" spans="2:7" x14ac:dyDescent="0.45">
      <c r="B31" s="30" t="s">
        <v>7</v>
      </c>
      <c r="C31" s="24">
        <f>C$9*C$8</f>
        <v>0</v>
      </c>
      <c r="D31" s="50">
        <f>C31/C29</f>
        <v>0</v>
      </c>
      <c r="G31" s="4"/>
    </row>
    <row r="32" spans="2:7" x14ac:dyDescent="0.45">
      <c r="B32" s="30" t="s">
        <v>20</v>
      </c>
      <c r="C32" s="24">
        <f>$C$29*D32</f>
        <v>2750.0000000000018</v>
      </c>
      <c r="D32" s="54">
        <f>Assumptions!C15</f>
        <v>0.05</v>
      </c>
      <c r="G32" s="4"/>
    </row>
    <row r="33" spans="2:7" x14ac:dyDescent="0.45">
      <c r="B33" s="30" t="s">
        <v>26</v>
      </c>
      <c r="C33" s="24">
        <f t="shared" ref="C33:C36" si="1">$C$29*D33</f>
        <v>1650.0000000000009</v>
      </c>
      <c r="D33" s="50">
        <f>Assumptions!C16</f>
        <v>0.03</v>
      </c>
      <c r="G33" s="4"/>
    </row>
    <row r="34" spans="2:7" x14ac:dyDescent="0.45">
      <c r="B34" s="30" t="s">
        <v>103</v>
      </c>
      <c r="C34" s="24">
        <f t="shared" si="1"/>
        <v>1100.0000000000007</v>
      </c>
      <c r="D34" s="3">
        <v>0.02</v>
      </c>
      <c r="G34" s="4" t="s">
        <v>116</v>
      </c>
    </row>
    <row r="35" spans="2:7" x14ac:dyDescent="0.45">
      <c r="B35" s="30" t="s">
        <v>104</v>
      </c>
      <c r="C35" s="24">
        <f t="shared" si="1"/>
        <v>550.00000000000034</v>
      </c>
      <c r="D35" s="3">
        <v>0.01</v>
      </c>
      <c r="G35" s="4"/>
    </row>
    <row r="36" spans="2:7" x14ac:dyDescent="0.45">
      <c r="B36" s="30" t="s">
        <v>16</v>
      </c>
      <c r="C36" s="24">
        <f t="shared" si="1"/>
        <v>5500.0000000000036</v>
      </c>
      <c r="D36" s="3">
        <v>0.1</v>
      </c>
      <c r="G36" s="4" t="s">
        <v>112</v>
      </c>
    </row>
    <row r="37" spans="2:7" ht="14.65" thickBot="1" x14ac:dyDescent="0.5">
      <c r="B37" s="32" t="s">
        <v>41</v>
      </c>
      <c r="C37" s="51">
        <v>0</v>
      </c>
      <c r="D37" s="52">
        <f>C37/C29</f>
        <v>0</v>
      </c>
      <c r="G37" s="4"/>
    </row>
    <row r="38" spans="2:7" ht="14.65" thickTop="1" x14ac:dyDescent="0.45">
      <c r="B38" s="21" t="s">
        <v>63</v>
      </c>
      <c r="C38" s="44">
        <f>C29-SUM(C31:C37)</f>
        <v>43450.000000000022</v>
      </c>
      <c r="D38" s="50">
        <f>C38/C29</f>
        <v>0.78999999999999992</v>
      </c>
      <c r="G38" s="4"/>
    </row>
    <row r="39" spans="2:7" x14ac:dyDescent="0.45">
      <c r="B39" s="21" t="s">
        <v>46</v>
      </c>
      <c r="C39" s="45">
        <f>Assumptions!C19</f>
        <v>0.02</v>
      </c>
      <c r="G39" s="4"/>
    </row>
    <row r="40" spans="2:7" x14ac:dyDescent="0.45">
      <c r="G40" s="4"/>
    </row>
    <row r="41" spans="2:7" x14ac:dyDescent="0.45">
      <c r="B41" s="27" t="s">
        <v>83</v>
      </c>
      <c r="G41" s="13" t="s">
        <v>1</v>
      </c>
    </row>
    <row r="42" spans="2:7" x14ac:dyDescent="0.45">
      <c r="G42" s="4"/>
    </row>
    <row r="43" spans="2:7" x14ac:dyDescent="0.45">
      <c r="B43" s="30" t="s">
        <v>38</v>
      </c>
      <c r="C43" s="48">
        <v>0.3</v>
      </c>
      <c r="G43" s="4" t="s">
        <v>114</v>
      </c>
    </row>
    <row r="44" spans="2:7" x14ac:dyDescent="0.45">
      <c r="B44" s="31" t="s">
        <v>42</v>
      </c>
      <c r="C44" s="41">
        <f>(1+C43)^(1/C10)-1</f>
        <v>1.7644813405053306E-2</v>
      </c>
      <c r="G44" s="4"/>
    </row>
    <row r="45" spans="2:7" x14ac:dyDescent="0.45">
      <c r="B45" s="21" t="s">
        <v>39</v>
      </c>
      <c r="C45" s="42">
        <f>D16*(1+C$43)</f>
        <v>26000000</v>
      </c>
      <c r="G45" s="4"/>
    </row>
    <row r="46" spans="2:7" x14ac:dyDescent="0.45">
      <c r="G46" s="4"/>
    </row>
    <row r="47" spans="2:7" x14ac:dyDescent="0.45">
      <c r="B47" s="27" t="s">
        <v>84</v>
      </c>
      <c r="G47" s="13" t="s">
        <v>1</v>
      </c>
    </row>
    <row r="48" spans="2:7" x14ac:dyDescent="0.45">
      <c r="G48" s="4"/>
    </row>
    <row r="49" spans="2:7" x14ac:dyDescent="0.45">
      <c r="B49" s="30" t="s">
        <v>35</v>
      </c>
      <c r="C49" s="35" t="str">
        <f>C14</f>
        <v>Asking Price</v>
      </c>
      <c r="D49" s="35" t="str">
        <f>D14</f>
        <v>Comparable</v>
      </c>
      <c r="E49" s="35" t="str">
        <f>E14</f>
        <v>IRR Netural Price</v>
      </c>
      <c r="G49" s="4"/>
    </row>
    <row r="50" spans="2:7" x14ac:dyDescent="0.45">
      <c r="B50" s="30" t="s">
        <v>65</v>
      </c>
      <c r="C50" s="20">
        <f>C16</f>
        <v>22000000</v>
      </c>
      <c r="D50" s="20">
        <f t="shared" ref="D50:E50" si="2">D16</f>
        <v>20000000</v>
      </c>
      <c r="E50" s="20">
        <f t="shared" si="2"/>
        <v>17166716.43023492</v>
      </c>
      <c r="G50" s="4"/>
    </row>
    <row r="51" spans="2:7" x14ac:dyDescent="0.45">
      <c r="B51" s="30" t="s">
        <v>60</v>
      </c>
      <c r="C51" s="23">
        <f>C23</f>
        <v>23247000</v>
      </c>
      <c r="D51" s="23">
        <f>D23</f>
        <v>21090000</v>
      </c>
      <c r="E51" s="23">
        <f>E23</f>
        <v>18050551.803874552</v>
      </c>
      <c r="G51" s="4"/>
    </row>
    <row r="52" spans="2:7" x14ac:dyDescent="0.45">
      <c r="B52" s="30" t="s">
        <v>44</v>
      </c>
      <c r="C52" s="55">
        <f>C$38*12</f>
        <v>521400.00000000023</v>
      </c>
      <c r="D52" s="55"/>
      <c r="E52" s="55"/>
      <c r="G52" s="4"/>
    </row>
    <row r="53" spans="2:7" ht="14.65" thickBot="1" x14ac:dyDescent="0.5">
      <c r="B53" s="32" t="s">
        <v>45</v>
      </c>
      <c r="C53" s="56">
        <f>C$45</f>
        <v>26000000</v>
      </c>
      <c r="D53" s="56"/>
      <c r="E53" s="56"/>
      <c r="G53" s="4"/>
    </row>
    <row r="54" spans="2:7" ht="14.65" thickTop="1" x14ac:dyDescent="0.45">
      <c r="B54" s="21" t="s">
        <v>66</v>
      </c>
      <c r="C54" s="43">
        <f>RATE(15, $C52*(1+$C$39), -C51, $C53 / (1+$C$39)^15) + $C$39</f>
        <v>3.2569232155100998E-2</v>
      </c>
      <c r="D54" s="43">
        <f t="shared" ref="D54:E54" si="3">RATE(15, $C52*(1+$C$39), -D51, $C53 / (1+$C$39)^15) + $C$39</f>
        <v>4.0372636869005607E-2</v>
      </c>
      <c r="E54" s="43">
        <f t="shared" si="3"/>
        <v>5.3153227719921953E-2</v>
      </c>
      <c r="G54" s="4"/>
    </row>
    <row r="55" spans="2:7" x14ac:dyDescent="0.45">
      <c r="G55" s="4"/>
    </row>
    <row r="56" spans="2:7" x14ac:dyDescent="0.45">
      <c r="B56" s="36" t="s">
        <v>67</v>
      </c>
      <c r="G56" s="4"/>
    </row>
    <row r="57" spans="2:7" x14ac:dyDescent="0.45">
      <c r="B57" t="s">
        <v>68</v>
      </c>
      <c r="G57" s="4"/>
    </row>
    <row r="58" spans="2:7" x14ac:dyDescent="0.45">
      <c r="B58" t="s">
        <v>69</v>
      </c>
      <c r="G58" s="4"/>
    </row>
    <row r="59" spans="2:7" x14ac:dyDescent="0.45">
      <c r="B59" t="s">
        <v>70</v>
      </c>
      <c r="G59" s="4"/>
    </row>
  </sheetData>
  <dataConsolidate/>
  <mergeCells count="6">
    <mergeCell ref="C17:E17"/>
    <mergeCell ref="C19:E19"/>
    <mergeCell ref="C20:E20"/>
    <mergeCell ref="C21:E21"/>
    <mergeCell ref="C52:E52"/>
    <mergeCell ref="C53:E53"/>
  </mergeCells>
  <pageMargins left="0.25" right="0.25" top="0.75" bottom="0.75" header="0.3" footer="0.3"/>
  <pageSetup paperSize="9" scale="97" fitToWidth="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574DC-9638-4865-B3ED-3B836FA95BE0}">
  <sheetPr>
    <pageSetUpPr fitToPage="1"/>
  </sheetPr>
  <dimension ref="B2:E59"/>
  <sheetViews>
    <sheetView showGridLines="0" topLeftCell="A4" zoomScale="94" zoomScaleNormal="100" workbookViewId="0">
      <selection activeCell="D37" sqref="D37"/>
    </sheetView>
  </sheetViews>
  <sheetFormatPr defaultColWidth="8.796875" defaultRowHeight="14.25" x14ac:dyDescent="0.45"/>
  <cols>
    <col min="1" max="1" width="2.6640625" customWidth="1"/>
    <col min="2" max="2" width="29.86328125" customWidth="1"/>
    <col min="3" max="9" width="16.59765625" customWidth="1"/>
  </cols>
  <sheetData>
    <row r="2" spans="2:5" x14ac:dyDescent="0.45">
      <c r="B2" s="28" t="s">
        <v>77</v>
      </c>
    </row>
    <row r="4" spans="2:5" x14ac:dyDescent="0.45">
      <c r="B4" s="30" t="s">
        <v>37</v>
      </c>
      <c r="C4" s="15" t="s">
        <v>100</v>
      </c>
    </row>
    <row r="5" spans="2:5" x14ac:dyDescent="0.45">
      <c r="B5" s="30" t="s">
        <v>5</v>
      </c>
      <c r="C5" s="15" t="s">
        <v>6</v>
      </c>
    </row>
    <row r="6" spans="2:5" x14ac:dyDescent="0.45">
      <c r="B6" s="30" t="s">
        <v>22</v>
      </c>
      <c r="C6" s="16">
        <v>2002</v>
      </c>
    </row>
    <row r="7" spans="2:5" x14ac:dyDescent="0.45">
      <c r="B7" s="30" t="s">
        <v>32</v>
      </c>
      <c r="C7" s="17">
        <f ca="1">YEAR(TODAY())-C6</f>
        <v>24</v>
      </c>
    </row>
    <row r="8" spans="2:5" x14ac:dyDescent="0.45">
      <c r="B8" s="30" t="s">
        <v>72</v>
      </c>
      <c r="C8" s="18">
        <v>485</v>
      </c>
    </row>
    <row r="9" spans="2:5" x14ac:dyDescent="0.45">
      <c r="B9" s="30" t="s">
        <v>73</v>
      </c>
      <c r="C9" s="19">
        <v>2.2000000000000002</v>
      </c>
    </row>
    <row r="10" spans="2:5" x14ac:dyDescent="0.45">
      <c r="B10" s="30" t="s">
        <v>34</v>
      </c>
      <c r="C10" s="46">
        <f>Holding_Period</f>
        <v>15</v>
      </c>
    </row>
    <row r="12" spans="2:5" x14ac:dyDescent="0.45">
      <c r="B12" s="27" t="s">
        <v>79</v>
      </c>
    </row>
    <row r="14" spans="2:5" x14ac:dyDescent="0.45">
      <c r="B14" s="30" t="s">
        <v>35</v>
      </c>
      <c r="C14" s="6" t="s">
        <v>43</v>
      </c>
      <c r="D14" s="6" t="s">
        <v>36</v>
      </c>
      <c r="E14" s="6" t="s">
        <v>96</v>
      </c>
    </row>
    <row r="15" spans="2:5" x14ac:dyDescent="0.45">
      <c r="B15" s="31" t="s">
        <v>74</v>
      </c>
      <c r="C15" s="25">
        <f>C16/C8</f>
        <v>16082.474226804125</v>
      </c>
      <c r="D15" s="26">
        <v>15500</v>
      </c>
      <c r="E15" s="25">
        <f>E16/C8</f>
        <v>14538.53385789773</v>
      </c>
    </row>
    <row r="16" spans="2:5" x14ac:dyDescent="0.45">
      <c r="B16" s="30" t="s">
        <v>47</v>
      </c>
      <c r="C16" s="14">
        <v>7800000</v>
      </c>
      <c r="D16" s="20">
        <f>D15*C$8</f>
        <v>7517500</v>
      </c>
      <c r="E16" s="40">
        <v>7051188.9210803993</v>
      </c>
    </row>
    <row r="17" spans="2:5" x14ac:dyDescent="0.45">
      <c r="B17" s="30" t="s">
        <v>59</v>
      </c>
      <c r="C17" s="57">
        <f>Assumptions!C9</f>
        <v>0.01</v>
      </c>
      <c r="D17" s="57"/>
      <c r="E17" s="57"/>
    </row>
    <row r="18" spans="2:5" x14ac:dyDescent="0.45">
      <c r="B18" s="30" t="s">
        <v>56</v>
      </c>
      <c r="C18" s="10">
        <v>0.03</v>
      </c>
      <c r="D18" s="10">
        <v>0.03</v>
      </c>
      <c r="E18" s="10">
        <v>0.03</v>
      </c>
    </row>
    <row r="19" spans="2:5" x14ac:dyDescent="0.45">
      <c r="B19" s="30" t="s">
        <v>58</v>
      </c>
      <c r="C19" s="58">
        <f>Assumptions!C10</f>
        <v>1E-3</v>
      </c>
      <c r="D19" s="58"/>
      <c r="E19" s="58"/>
    </row>
    <row r="20" spans="2:5" x14ac:dyDescent="0.45">
      <c r="B20" s="30" t="s">
        <v>105</v>
      </c>
      <c r="C20" s="59">
        <f>Assumptions!C11</f>
        <v>20000</v>
      </c>
      <c r="D20" s="59"/>
      <c r="E20" s="59"/>
    </row>
    <row r="21" spans="2:5" x14ac:dyDescent="0.45">
      <c r="B21" s="30" t="s">
        <v>106</v>
      </c>
      <c r="C21" s="59">
        <f>Assumptions!C12</f>
        <v>5000</v>
      </c>
      <c r="D21" s="59"/>
      <c r="E21" s="59"/>
    </row>
    <row r="22" spans="2:5" ht="14.65" thickBot="1" x14ac:dyDescent="0.5">
      <c r="B22" s="32" t="s">
        <v>102</v>
      </c>
      <c r="C22" s="49">
        <v>0</v>
      </c>
      <c r="D22" s="49">
        <v>0</v>
      </c>
      <c r="E22" s="49">
        <v>0</v>
      </c>
    </row>
    <row r="23" spans="2:5" ht="14.65" thickTop="1" x14ac:dyDescent="0.45">
      <c r="B23" s="21" t="s">
        <v>60</v>
      </c>
      <c r="C23" s="22">
        <f>C16+C16*($C$17+C18+$C$19)+$C$20+C22</f>
        <v>8139800</v>
      </c>
      <c r="D23" s="22">
        <f t="shared" ref="D23:E23" si="0">D16+D16*($C$17+D18+$C$19)+$C$20+D22</f>
        <v>7845717.5</v>
      </c>
      <c r="E23" s="22">
        <f t="shared" si="0"/>
        <v>7360287.6668446958</v>
      </c>
    </row>
    <row r="25" spans="2:5" x14ac:dyDescent="0.45">
      <c r="B25" s="27" t="s">
        <v>78</v>
      </c>
    </row>
    <row r="26" spans="2:5" ht="14.25" customHeight="1" x14ac:dyDescent="0.45">
      <c r="C26" s="5"/>
    </row>
    <row r="27" spans="2:5" x14ac:dyDescent="0.45">
      <c r="B27" s="30" t="s">
        <v>61</v>
      </c>
      <c r="C27" s="47">
        <v>3.1E-2</v>
      </c>
    </row>
    <row r="28" spans="2:5" x14ac:dyDescent="0.45">
      <c r="B28" s="31" t="s">
        <v>40</v>
      </c>
      <c r="C28" s="29">
        <f>D16</f>
        <v>7517500</v>
      </c>
    </row>
    <row r="29" spans="2:5" x14ac:dyDescent="0.45">
      <c r="B29" s="21" t="s">
        <v>62</v>
      </c>
      <c r="C29" s="44">
        <f>C28*C$27/12</f>
        <v>19420.208333333332</v>
      </c>
    </row>
    <row r="30" spans="2:5" x14ac:dyDescent="0.45">
      <c r="B30" s="7"/>
      <c r="C30" s="24"/>
    </row>
    <row r="31" spans="2:5" x14ac:dyDescent="0.45">
      <c r="B31" s="30" t="s">
        <v>7</v>
      </c>
      <c r="C31" s="24">
        <f>C$9*C$8</f>
        <v>1067</v>
      </c>
      <c r="D31" s="50">
        <f>C31/C29</f>
        <v>5.4942767950052034E-2</v>
      </c>
    </row>
    <row r="32" spans="2:5" x14ac:dyDescent="0.45">
      <c r="B32" s="30" t="s">
        <v>20</v>
      </c>
      <c r="C32" s="24">
        <f>$C$29*D32</f>
        <v>971.01041666666663</v>
      </c>
      <c r="D32" s="54">
        <f>Assumptions!C15</f>
        <v>0.05</v>
      </c>
    </row>
    <row r="33" spans="2:4" x14ac:dyDescent="0.45">
      <c r="B33" s="30" t="s">
        <v>26</v>
      </c>
      <c r="C33" s="24">
        <f t="shared" ref="C33:C36" si="1">$C$29*D33</f>
        <v>582.60624999999993</v>
      </c>
      <c r="D33" s="50">
        <f>Assumptions!C16</f>
        <v>0.03</v>
      </c>
    </row>
    <row r="34" spans="2:4" x14ac:dyDescent="0.45">
      <c r="B34" s="30" t="s">
        <v>103</v>
      </c>
      <c r="C34" s="24">
        <f t="shared" si="1"/>
        <v>1553.6166666666666</v>
      </c>
      <c r="D34" s="3">
        <f>Assumptions!C17</f>
        <v>0.08</v>
      </c>
    </row>
    <row r="35" spans="2:4" x14ac:dyDescent="0.45">
      <c r="B35" s="30" t="s">
        <v>104</v>
      </c>
      <c r="C35" s="24">
        <f t="shared" ca="1" si="1"/>
        <v>0</v>
      </c>
      <c r="D35" s="3">
        <f ca="1">IF(C$7&gt;=30,4%,0)</f>
        <v>0</v>
      </c>
    </row>
    <row r="36" spans="2:4" x14ac:dyDescent="0.45">
      <c r="B36" s="30" t="s">
        <v>16</v>
      </c>
      <c r="C36" s="24">
        <f t="shared" si="1"/>
        <v>388.40416666666664</v>
      </c>
      <c r="D36" s="3">
        <f>Assumptions!C18</f>
        <v>0.02</v>
      </c>
    </row>
    <row r="37" spans="2:4" ht="14.65" thickBot="1" x14ac:dyDescent="0.5">
      <c r="B37" s="32" t="s">
        <v>41</v>
      </c>
      <c r="C37" s="33">
        <v>0</v>
      </c>
      <c r="D37" s="52">
        <f>C37/C29</f>
        <v>0</v>
      </c>
    </row>
    <row r="38" spans="2:4" ht="14.65" thickTop="1" x14ac:dyDescent="0.45">
      <c r="B38" s="21" t="s">
        <v>63</v>
      </c>
      <c r="C38" s="44">
        <f ca="1">C29-SUM(C31:C37)</f>
        <v>14857.570833333333</v>
      </c>
      <c r="D38" s="50">
        <f ca="1">C38/C29</f>
        <v>0.76505723204994802</v>
      </c>
    </row>
    <row r="39" spans="2:4" x14ac:dyDescent="0.45">
      <c r="B39" s="21" t="s">
        <v>46</v>
      </c>
      <c r="C39" s="45">
        <f>Assumptions!C19</f>
        <v>0.02</v>
      </c>
    </row>
    <row r="41" spans="2:4" x14ac:dyDescent="0.45">
      <c r="B41" s="27" t="s">
        <v>83</v>
      </c>
    </row>
    <row r="43" spans="2:4" x14ac:dyDescent="0.45">
      <c r="B43" s="30" t="s">
        <v>38</v>
      </c>
      <c r="C43" s="48">
        <v>0.3</v>
      </c>
    </row>
    <row r="44" spans="2:4" x14ac:dyDescent="0.45">
      <c r="B44" s="31" t="s">
        <v>42</v>
      </c>
      <c r="C44" s="41">
        <f>(1+C43)^(1/C10)-1</f>
        <v>1.7644813405053306E-2</v>
      </c>
    </row>
    <row r="45" spans="2:4" x14ac:dyDescent="0.45">
      <c r="B45" s="21" t="s">
        <v>39</v>
      </c>
      <c r="C45" s="42">
        <f>D16*(1+C$43)</f>
        <v>9772750</v>
      </c>
    </row>
    <row r="47" spans="2:4" x14ac:dyDescent="0.45">
      <c r="B47" s="27" t="s">
        <v>84</v>
      </c>
    </row>
    <row r="49" spans="2:5" x14ac:dyDescent="0.45">
      <c r="B49" s="30" t="s">
        <v>35</v>
      </c>
      <c r="C49" s="35" t="str">
        <f>C14</f>
        <v>Asking Price</v>
      </c>
      <c r="D49" s="35" t="str">
        <f>D14</f>
        <v>Comparable</v>
      </c>
      <c r="E49" s="35" t="str">
        <f>E14</f>
        <v>IRR Netural Price</v>
      </c>
    </row>
    <row r="50" spans="2:5" x14ac:dyDescent="0.45">
      <c r="B50" s="30" t="s">
        <v>65</v>
      </c>
      <c r="C50" s="20">
        <f>C16</f>
        <v>7800000</v>
      </c>
      <c r="D50" s="20">
        <f>D16</f>
        <v>7517500</v>
      </c>
      <c r="E50" s="20">
        <f>E16</f>
        <v>7051188.9210803993</v>
      </c>
    </row>
    <row r="51" spans="2:5" x14ac:dyDescent="0.45">
      <c r="B51" s="30" t="s">
        <v>60</v>
      </c>
      <c r="C51" s="23">
        <f>C23</f>
        <v>8139800</v>
      </c>
      <c r="D51" s="23">
        <f>D23</f>
        <v>7845717.5</v>
      </c>
      <c r="E51" s="23">
        <f>E23</f>
        <v>7360287.6668446958</v>
      </c>
    </row>
    <row r="52" spans="2:5" x14ac:dyDescent="0.45">
      <c r="B52" s="30" t="s">
        <v>44</v>
      </c>
      <c r="C52" s="55">
        <f ca="1">C$38*12</f>
        <v>178290.85</v>
      </c>
      <c r="D52" s="55"/>
      <c r="E52" s="55"/>
    </row>
    <row r="53" spans="2:5" ht="14.65" thickBot="1" x14ac:dyDescent="0.5">
      <c r="B53" s="32" t="s">
        <v>45</v>
      </c>
      <c r="C53" s="56">
        <f>C$45</f>
        <v>9772750</v>
      </c>
      <c r="D53" s="56"/>
      <c r="E53" s="56"/>
    </row>
    <row r="54" spans="2:5" ht="14.65" thickTop="1" x14ac:dyDescent="0.45">
      <c r="B54" s="21" t="s">
        <v>66</v>
      </c>
      <c r="C54" s="43">
        <f ca="1">RATE(15, $C52*(1+$C$39), -C51, $C53 / (1+$C$39)^15) + $C$39</f>
        <v>3.5914364953040269E-2</v>
      </c>
      <c r="D54" s="43">
        <f t="shared" ref="D54:E54" ca="1" si="2">RATE(15, $C52*(1+$C$39), -D51, $C53 / (1+$C$39)^15) + $C$39</f>
        <v>3.8835369911174707E-2</v>
      </c>
      <c r="E54" s="43">
        <f t="shared" ca="1" si="2"/>
        <v>4.3952064966571072E-2</v>
      </c>
    </row>
    <row r="56" spans="2:5" x14ac:dyDescent="0.45">
      <c r="B56" s="36" t="s">
        <v>67</v>
      </c>
    </row>
    <row r="57" spans="2:5" x14ac:dyDescent="0.45">
      <c r="B57" t="s">
        <v>68</v>
      </c>
    </row>
    <row r="58" spans="2:5" x14ac:dyDescent="0.45">
      <c r="B58" t="s">
        <v>69</v>
      </c>
    </row>
    <row r="59" spans="2:5" x14ac:dyDescent="0.45">
      <c r="B59" t="s">
        <v>70</v>
      </c>
    </row>
  </sheetData>
  <dataConsolidate/>
  <mergeCells count="6">
    <mergeCell ref="C17:E17"/>
    <mergeCell ref="C19:E19"/>
    <mergeCell ref="C20:E20"/>
    <mergeCell ref="C52:E52"/>
    <mergeCell ref="C53:E53"/>
    <mergeCell ref="C21:E21"/>
  </mergeCells>
  <pageMargins left="0.25" right="0.25" top="0.75" bottom="0.75" header="0.3" footer="0.3"/>
  <pageSetup paperSize="9" scale="97" fitToWidth="0"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9B748-33FA-4405-BB75-AAF1632A9069}">
  <sheetPr>
    <pageSetUpPr fitToPage="1"/>
  </sheetPr>
  <dimension ref="B2:E59"/>
  <sheetViews>
    <sheetView showGridLines="0" topLeftCell="A25" zoomScale="94" zoomScaleNormal="100" workbookViewId="0">
      <selection activeCell="D37" sqref="D37"/>
    </sheetView>
  </sheetViews>
  <sheetFormatPr defaultColWidth="8.796875" defaultRowHeight="14.25" x14ac:dyDescent="0.45"/>
  <cols>
    <col min="1" max="1" width="2.6640625" customWidth="1"/>
    <col min="2" max="2" width="29.86328125" customWidth="1"/>
    <col min="3" max="9" width="16.59765625" customWidth="1"/>
  </cols>
  <sheetData>
    <row r="2" spans="2:5" x14ac:dyDescent="0.45">
      <c r="B2" s="28" t="s">
        <v>77</v>
      </c>
    </row>
    <row r="4" spans="2:5" x14ac:dyDescent="0.45">
      <c r="B4" s="30" t="s">
        <v>37</v>
      </c>
      <c r="C4" s="15" t="s">
        <v>101</v>
      </c>
    </row>
    <row r="5" spans="2:5" x14ac:dyDescent="0.45">
      <c r="B5" s="30" t="s">
        <v>5</v>
      </c>
      <c r="C5" s="15" t="s">
        <v>6</v>
      </c>
    </row>
    <row r="6" spans="2:5" x14ac:dyDescent="0.45">
      <c r="B6" s="30" t="s">
        <v>22</v>
      </c>
      <c r="C6" s="16">
        <v>1995</v>
      </c>
    </row>
    <row r="7" spans="2:5" x14ac:dyDescent="0.45">
      <c r="B7" s="30" t="s">
        <v>32</v>
      </c>
      <c r="C7" s="17">
        <f ca="1">YEAR(TODAY())-C6</f>
        <v>31</v>
      </c>
    </row>
    <row r="8" spans="2:5" x14ac:dyDescent="0.45">
      <c r="B8" s="30" t="s">
        <v>72</v>
      </c>
      <c r="C8" s="18">
        <v>315</v>
      </c>
    </row>
    <row r="9" spans="2:5" x14ac:dyDescent="0.45">
      <c r="B9" s="30" t="s">
        <v>73</v>
      </c>
      <c r="C9" s="19">
        <v>2</v>
      </c>
    </row>
    <row r="10" spans="2:5" x14ac:dyDescent="0.45">
      <c r="B10" s="30" t="s">
        <v>34</v>
      </c>
      <c r="C10" s="46">
        <f>Holding_Period</f>
        <v>15</v>
      </c>
    </row>
    <row r="12" spans="2:5" x14ac:dyDescent="0.45">
      <c r="B12" s="27" t="s">
        <v>79</v>
      </c>
    </row>
    <row r="14" spans="2:5" x14ac:dyDescent="0.45">
      <c r="B14" s="30" t="s">
        <v>35</v>
      </c>
      <c r="C14" s="6" t="s">
        <v>43</v>
      </c>
      <c r="D14" s="6" t="s">
        <v>36</v>
      </c>
      <c r="E14" s="6" t="s">
        <v>96</v>
      </c>
    </row>
    <row r="15" spans="2:5" x14ac:dyDescent="0.45">
      <c r="B15" s="31" t="s">
        <v>74</v>
      </c>
      <c r="C15" s="25">
        <f>C16/C8</f>
        <v>13587.301587301587</v>
      </c>
      <c r="D15" s="26">
        <v>13587</v>
      </c>
      <c r="E15" s="25">
        <f>E16/C8</f>
        <v>12262.119150039165</v>
      </c>
    </row>
    <row r="16" spans="2:5" x14ac:dyDescent="0.45">
      <c r="B16" s="30" t="s">
        <v>47</v>
      </c>
      <c r="C16" s="14">
        <v>4280000</v>
      </c>
      <c r="D16" s="20">
        <f>D15*C$8</f>
        <v>4279905</v>
      </c>
      <c r="E16" s="40">
        <v>3862567.5322623369</v>
      </c>
    </row>
    <row r="17" spans="2:5" x14ac:dyDescent="0.45">
      <c r="B17" s="30" t="s">
        <v>59</v>
      </c>
      <c r="C17" s="57">
        <f>Assumptions!C9</f>
        <v>0.01</v>
      </c>
      <c r="D17" s="57"/>
      <c r="E17" s="57"/>
    </row>
    <row r="18" spans="2:5" x14ac:dyDescent="0.45">
      <c r="B18" s="30" t="s">
        <v>56</v>
      </c>
      <c r="C18" s="10">
        <v>5.5E-2</v>
      </c>
      <c r="D18" s="10">
        <f>C18</f>
        <v>5.5E-2</v>
      </c>
      <c r="E18" s="10">
        <f>D18</f>
        <v>5.5E-2</v>
      </c>
    </row>
    <row r="19" spans="2:5" x14ac:dyDescent="0.45">
      <c r="B19" s="30" t="s">
        <v>58</v>
      </c>
      <c r="C19" s="58">
        <f>Assumptions!C10</f>
        <v>1E-3</v>
      </c>
      <c r="D19" s="58"/>
      <c r="E19" s="58"/>
    </row>
    <row r="20" spans="2:5" x14ac:dyDescent="0.45">
      <c r="B20" s="30" t="s">
        <v>105</v>
      </c>
      <c r="C20" s="59">
        <f>Assumptions!C11</f>
        <v>20000</v>
      </c>
      <c r="D20" s="59"/>
      <c r="E20" s="59"/>
    </row>
    <row r="21" spans="2:5" x14ac:dyDescent="0.45">
      <c r="B21" s="30" t="s">
        <v>106</v>
      </c>
      <c r="C21" s="59">
        <f>Assumptions!C12</f>
        <v>5000</v>
      </c>
      <c r="D21" s="59"/>
      <c r="E21" s="59"/>
    </row>
    <row r="22" spans="2:5" ht="14.65" thickBot="1" x14ac:dyDescent="0.5">
      <c r="B22" s="32" t="s">
        <v>102</v>
      </c>
      <c r="C22" s="49">
        <v>135000</v>
      </c>
      <c r="D22" s="49">
        <v>135000</v>
      </c>
      <c r="E22" s="49">
        <v>135000</v>
      </c>
    </row>
    <row r="23" spans="2:5" ht="14.65" thickTop="1" x14ac:dyDescent="0.45">
      <c r="B23" s="21" t="s">
        <v>60</v>
      </c>
      <c r="C23" s="22">
        <f>C16+C16*($C$17+C18+$C$19)+$C$20+C22</f>
        <v>4717480</v>
      </c>
      <c r="D23" s="22">
        <f t="shared" ref="D23:E23" si="0">D16+D16*($C$17+D18+$C$19)+$C$20+D22</f>
        <v>4717378.7300000004</v>
      </c>
      <c r="E23" s="22">
        <f t="shared" si="0"/>
        <v>4272496.989391651</v>
      </c>
    </row>
    <row r="25" spans="2:5" x14ac:dyDescent="0.45">
      <c r="B25" s="27" t="s">
        <v>78</v>
      </c>
    </row>
    <row r="26" spans="2:5" ht="14.25" customHeight="1" x14ac:dyDescent="0.45">
      <c r="C26" s="5"/>
    </row>
    <row r="27" spans="2:5" x14ac:dyDescent="0.45">
      <c r="B27" s="30" t="s">
        <v>61</v>
      </c>
      <c r="C27" s="47">
        <v>4.2057008274716381E-2</v>
      </c>
    </row>
    <row r="28" spans="2:5" x14ac:dyDescent="0.45">
      <c r="B28" s="31" t="s">
        <v>40</v>
      </c>
      <c r="C28" s="29">
        <f>D16</f>
        <v>4279905</v>
      </c>
    </row>
    <row r="29" spans="2:5" x14ac:dyDescent="0.45">
      <c r="B29" s="21" t="s">
        <v>62</v>
      </c>
      <c r="C29" s="44">
        <f>C28*C$27/12</f>
        <v>15000.000000000002</v>
      </c>
    </row>
    <row r="30" spans="2:5" x14ac:dyDescent="0.45">
      <c r="B30" s="7"/>
      <c r="C30" s="24"/>
    </row>
    <row r="31" spans="2:5" x14ac:dyDescent="0.45">
      <c r="B31" s="30" t="s">
        <v>7</v>
      </c>
      <c r="C31" s="24">
        <f>C$9*C$8</f>
        <v>630</v>
      </c>
      <c r="D31" s="50">
        <f>C31/C29</f>
        <v>4.1999999999999996E-2</v>
      </c>
    </row>
    <row r="32" spans="2:5" x14ac:dyDescent="0.45">
      <c r="B32" s="30" t="s">
        <v>20</v>
      </c>
      <c r="C32" s="24">
        <f>$C$29*D32</f>
        <v>750.00000000000011</v>
      </c>
      <c r="D32" s="54">
        <f>Assumptions!C15</f>
        <v>0.05</v>
      </c>
    </row>
    <row r="33" spans="2:4" x14ac:dyDescent="0.45">
      <c r="B33" s="30" t="s">
        <v>26</v>
      </c>
      <c r="C33" s="24">
        <f t="shared" ref="C33:C36" si="1">$C$29*D33</f>
        <v>450.00000000000006</v>
      </c>
      <c r="D33" s="50">
        <f>Assumptions!C16</f>
        <v>0.03</v>
      </c>
    </row>
    <row r="34" spans="2:4" x14ac:dyDescent="0.45">
      <c r="B34" s="30" t="s">
        <v>103</v>
      </c>
      <c r="C34" s="24">
        <f t="shared" si="1"/>
        <v>1200.0000000000002</v>
      </c>
      <c r="D34" s="3">
        <f>Assumptions!C17</f>
        <v>0.08</v>
      </c>
    </row>
    <row r="35" spans="2:4" x14ac:dyDescent="0.45">
      <c r="B35" s="30" t="s">
        <v>104</v>
      </c>
      <c r="C35" s="24">
        <f t="shared" ca="1" si="1"/>
        <v>600.00000000000011</v>
      </c>
      <c r="D35" s="3">
        <f ca="1">IF(C$7&gt;=30,4%,0)</f>
        <v>0.04</v>
      </c>
    </row>
    <row r="36" spans="2:4" x14ac:dyDescent="0.45">
      <c r="B36" s="30" t="s">
        <v>16</v>
      </c>
      <c r="C36" s="24">
        <f t="shared" si="1"/>
        <v>300.00000000000006</v>
      </c>
      <c r="D36" s="3">
        <f>Assumptions!C18</f>
        <v>0.02</v>
      </c>
    </row>
    <row r="37" spans="2:4" ht="14.65" thickBot="1" x14ac:dyDescent="0.5">
      <c r="B37" s="32" t="s">
        <v>41</v>
      </c>
      <c r="C37" s="33">
        <v>0</v>
      </c>
      <c r="D37" s="52">
        <f>C37/C29</f>
        <v>0</v>
      </c>
    </row>
    <row r="38" spans="2:4" ht="14.65" thickTop="1" x14ac:dyDescent="0.45">
      <c r="B38" s="21" t="s">
        <v>63</v>
      </c>
      <c r="C38" s="44">
        <f ca="1">C29-SUM(C31:C37)</f>
        <v>11070.000000000002</v>
      </c>
      <c r="D38" s="50">
        <f ca="1">C38/C29</f>
        <v>0.73799999999999999</v>
      </c>
    </row>
    <row r="39" spans="2:4" x14ac:dyDescent="0.45">
      <c r="B39" s="21" t="s">
        <v>46</v>
      </c>
      <c r="C39" s="45">
        <f>Assumptions!C19</f>
        <v>0.02</v>
      </c>
    </row>
    <row r="41" spans="2:4" x14ac:dyDescent="0.45">
      <c r="B41" s="27" t="s">
        <v>83</v>
      </c>
    </row>
    <row r="43" spans="2:4" x14ac:dyDescent="0.45">
      <c r="B43" s="30" t="s">
        <v>38</v>
      </c>
      <c r="C43" s="48">
        <v>0</v>
      </c>
    </row>
    <row r="44" spans="2:4" x14ac:dyDescent="0.45">
      <c r="B44" s="31" t="s">
        <v>42</v>
      </c>
      <c r="C44" s="41">
        <f>(1+C43)^(1/C10)-1</f>
        <v>0</v>
      </c>
    </row>
    <row r="45" spans="2:4" x14ac:dyDescent="0.45">
      <c r="B45" s="21" t="s">
        <v>39</v>
      </c>
      <c r="C45" s="42">
        <f>D16*(1+C$43)</f>
        <v>4279905</v>
      </c>
    </row>
    <row r="47" spans="2:4" x14ac:dyDescent="0.45">
      <c r="B47" s="27" t="s">
        <v>84</v>
      </c>
    </row>
    <row r="49" spans="2:5" x14ac:dyDescent="0.45">
      <c r="B49" s="30" t="s">
        <v>35</v>
      </c>
      <c r="C49" s="35" t="str">
        <f>C14</f>
        <v>Asking Price</v>
      </c>
      <c r="D49" s="35" t="str">
        <f>D14</f>
        <v>Comparable</v>
      </c>
      <c r="E49" s="35" t="str">
        <f>E14</f>
        <v>IRR Netural Price</v>
      </c>
    </row>
    <row r="50" spans="2:5" x14ac:dyDescent="0.45">
      <c r="B50" s="30" t="s">
        <v>65</v>
      </c>
      <c r="C50" s="20">
        <f>C16</f>
        <v>4280000</v>
      </c>
      <c r="D50" s="20">
        <f>D16</f>
        <v>4279905</v>
      </c>
      <c r="E50" s="20">
        <f>E16</f>
        <v>3862567.5322623369</v>
      </c>
    </row>
    <row r="51" spans="2:5" x14ac:dyDescent="0.45">
      <c r="B51" s="30" t="s">
        <v>60</v>
      </c>
      <c r="C51" s="23">
        <f>C23</f>
        <v>4717480</v>
      </c>
      <c r="D51" s="23">
        <f>D23</f>
        <v>4717378.7300000004</v>
      </c>
      <c r="E51" s="23">
        <f>E23</f>
        <v>4272496.989391651</v>
      </c>
    </row>
    <row r="52" spans="2:5" x14ac:dyDescent="0.45">
      <c r="B52" s="30" t="s">
        <v>44</v>
      </c>
      <c r="C52" s="55">
        <f ca="1">C$38*12</f>
        <v>132840.00000000003</v>
      </c>
      <c r="D52" s="55"/>
      <c r="E52" s="55"/>
    </row>
    <row r="53" spans="2:5" ht="14.65" thickBot="1" x14ac:dyDescent="0.5">
      <c r="B53" s="32" t="s">
        <v>45</v>
      </c>
      <c r="C53" s="56">
        <f>C$45</f>
        <v>4279905</v>
      </c>
      <c r="D53" s="56"/>
      <c r="E53" s="56"/>
    </row>
    <row r="54" spans="2:5" ht="14.65" thickTop="1" x14ac:dyDescent="0.45">
      <c r="B54" s="21" t="s">
        <v>66</v>
      </c>
      <c r="C54" s="43">
        <f ca="1">RATE(15, $C52*(1+$C$39), -C51, $C53 / (1+$C$39)^15) + $C$39</f>
        <v>2.8217902591055416E-2</v>
      </c>
      <c r="D54" s="43">
        <f t="shared" ref="D54:E54" ca="1" si="2">RATE(15, $C52*(1+$C$39), -D51, $C53 / (1+$C$39)^15) + $C$39</f>
        <v>2.8219689572629422E-2</v>
      </c>
      <c r="E54" s="43">
        <f t="shared" ca="1" si="2"/>
        <v>3.6556441291968569E-2</v>
      </c>
    </row>
    <row r="56" spans="2:5" x14ac:dyDescent="0.45">
      <c r="B56" s="36" t="s">
        <v>67</v>
      </c>
    </row>
    <row r="57" spans="2:5" x14ac:dyDescent="0.45">
      <c r="B57" t="s">
        <v>68</v>
      </c>
    </row>
    <row r="58" spans="2:5" x14ac:dyDescent="0.45">
      <c r="B58" t="s">
        <v>69</v>
      </c>
    </row>
    <row r="59" spans="2:5" x14ac:dyDescent="0.45">
      <c r="B59" t="s">
        <v>70</v>
      </c>
    </row>
  </sheetData>
  <dataConsolidate/>
  <mergeCells count="6">
    <mergeCell ref="C17:E17"/>
    <mergeCell ref="C19:E19"/>
    <mergeCell ref="C20:E20"/>
    <mergeCell ref="C52:E52"/>
    <mergeCell ref="C53:E53"/>
    <mergeCell ref="C21:E21"/>
  </mergeCells>
  <pageMargins left="0.25" right="0.25" top="0.75" bottom="0.75" header="0.3" footer="0.3"/>
  <pageSetup paperSize="9" scale="94" fitToWidth="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1B36-25FE-4F70-8854-2FC395D8FBE5}">
  <sheetPr>
    <pageSetUpPr fitToPage="1"/>
  </sheetPr>
  <dimension ref="B2:D17"/>
  <sheetViews>
    <sheetView workbookViewId="0">
      <selection activeCell="D4" sqref="D4"/>
    </sheetView>
  </sheetViews>
  <sheetFormatPr defaultRowHeight="14.25" x14ac:dyDescent="0.45"/>
  <cols>
    <col min="1" max="1" width="2.59765625" customWidth="1"/>
    <col min="2" max="2" width="93.06640625" customWidth="1"/>
    <col min="3" max="3" width="2.59765625" customWidth="1"/>
    <col min="4" max="4" width="93.06640625" customWidth="1"/>
  </cols>
  <sheetData>
    <row r="2" spans="2:4" x14ac:dyDescent="0.45">
      <c r="B2" s="37" t="s">
        <v>71</v>
      </c>
      <c r="C2" s="38"/>
      <c r="D2" s="37" t="s">
        <v>87</v>
      </c>
    </row>
    <row r="3" spans="2:4" x14ac:dyDescent="0.45">
      <c r="B3" s="38"/>
      <c r="C3" s="38"/>
      <c r="D3" s="38"/>
    </row>
    <row r="4" spans="2:4" ht="57" x14ac:dyDescent="0.45">
      <c r="B4" s="39" t="s">
        <v>94</v>
      </c>
      <c r="C4" s="38"/>
      <c r="D4" s="39" t="s">
        <v>95</v>
      </c>
    </row>
    <row r="5" spans="2:4" x14ac:dyDescent="0.45">
      <c r="B5" s="38"/>
      <c r="C5" s="38"/>
      <c r="D5" s="38"/>
    </row>
    <row r="6" spans="2:4" ht="128.25" x14ac:dyDescent="0.45">
      <c r="B6" s="39" t="s">
        <v>80</v>
      </c>
      <c r="C6" s="38"/>
      <c r="D6" s="39" t="s">
        <v>88</v>
      </c>
    </row>
    <row r="7" spans="2:4" x14ac:dyDescent="0.45">
      <c r="B7" s="38"/>
      <c r="C7" s="38"/>
      <c r="D7" s="38"/>
    </row>
    <row r="8" spans="2:4" ht="85.5" x14ac:dyDescent="0.45">
      <c r="B8" s="39" t="s">
        <v>82</v>
      </c>
      <c r="C8" s="38"/>
      <c r="D8" s="39" t="s">
        <v>89</v>
      </c>
    </row>
    <row r="9" spans="2:4" x14ac:dyDescent="0.45">
      <c r="B9" s="38"/>
      <c r="C9" s="38"/>
      <c r="D9" s="38"/>
    </row>
    <row r="10" spans="2:4" ht="85.5" x14ac:dyDescent="0.45">
      <c r="B10" s="39" t="s">
        <v>81</v>
      </c>
      <c r="C10" s="38"/>
      <c r="D10" s="39" t="s">
        <v>90</v>
      </c>
    </row>
    <row r="11" spans="2:4" x14ac:dyDescent="0.45">
      <c r="B11" s="38"/>
      <c r="C11" s="38"/>
      <c r="D11" s="38"/>
    </row>
    <row r="12" spans="2:4" x14ac:dyDescent="0.45">
      <c r="B12" s="38"/>
      <c r="C12" s="38"/>
      <c r="D12" s="38"/>
    </row>
    <row r="13" spans="2:4" ht="71.25" x14ac:dyDescent="0.45">
      <c r="B13" s="39" t="s">
        <v>75</v>
      </c>
      <c r="C13" s="38"/>
      <c r="D13" s="39" t="s">
        <v>91</v>
      </c>
    </row>
    <row r="14" spans="2:4" x14ac:dyDescent="0.45">
      <c r="B14" s="38"/>
      <c r="C14" s="38"/>
      <c r="D14" s="38"/>
    </row>
    <row r="15" spans="2:4" ht="128.25" x14ac:dyDescent="0.45">
      <c r="B15" s="39" t="s">
        <v>85</v>
      </c>
      <c r="C15" s="38"/>
      <c r="D15" s="39" t="s">
        <v>92</v>
      </c>
    </row>
    <row r="16" spans="2:4" x14ac:dyDescent="0.45">
      <c r="B16" s="38"/>
      <c r="C16" s="38"/>
      <c r="D16" s="38"/>
    </row>
    <row r="17" spans="2:4" ht="85.5" x14ac:dyDescent="0.45">
      <c r="B17" s="39" t="s">
        <v>86</v>
      </c>
      <c r="C17" s="38"/>
      <c r="D17" s="39" t="s">
        <v>93</v>
      </c>
    </row>
  </sheetData>
  <pageMargins left="0.25" right="0.25" top="0.75" bottom="0.75" header="0.3" footer="0.3"/>
  <pageSetup paperSize="9" scale="51"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Assumptions</vt:lpstr>
      <vt:lpstr>銀海山莊</vt:lpstr>
      <vt:lpstr>早禾坑</vt:lpstr>
      <vt:lpstr>Quarry bay</vt:lpstr>
      <vt:lpstr>翠荷苑</vt:lpstr>
      <vt:lpstr>Logic_Summary</vt:lpstr>
      <vt:lpstr>Cap_Rate</vt:lpstr>
      <vt:lpstr>HKDCNY</vt:lpstr>
      <vt:lpstr>HKDUSD</vt:lpstr>
      <vt:lpstr>Holding_Period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2026-01-27T09:08:29Z</cp:lastPrinted>
  <dcterms:created xsi:type="dcterms:W3CDTF">2022-12-06T06:37:33Z</dcterms:created>
  <dcterms:modified xsi:type="dcterms:W3CDTF">2026-01-28T03:21:51Z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f64dec8e</vt:lpwstr>
  </property>
</Properties>
</file>