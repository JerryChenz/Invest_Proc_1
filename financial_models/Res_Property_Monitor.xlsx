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5E43CB5-3DFF-4999-99D5-198D56981D66}" xr6:coauthVersionLast="47" xr6:coauthVersionMax="47" xr10:uidLastSave="{00000000-0000-0000-0000-000000000000}"/>
  <bookViews>
    <workbookView xWindow="-98" yWindow="-98" windowWidth="17115" windowHeight="10755" xr2:uid="{00000000-000D-0000-FFFF-FFFF00000000}"/>
  </bookViews>
  <sheets>
    <sheet name="Assumptions" sheetId="13" r:id="rId1"/>
    <sheet name="銀海山莊" sheetId="14" r:id="rId2"/>
    <sheet name="早禾坑" sheetId="19" r:id="rId3"/>
    <sheet name="Quarry bay" sheetId="17" r:id="rId4"/>
    <sheet name="翠荷苑" sheetId="18" r:id="rId5"/>
    <sheet name="Logic_Summary" sheetId="15" r:id="rId6"/>
  </sheets>
  <definedNames>
    <definedName name="AuraStyleDefaultsReset" hidden="1">#N/A</definedName>
    <definedName name="Cap_Rate">Assumptions!$C$5</definedName>
    <definedName name="HKDCNY">Assumptions!$C$23</definedName>
    <definedName name="HKDUSD">Assumptions!$C$22</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5" i="13" l="1"/>
  <c r="C20" i="19"/>
  <c r="D36" i="18"/>
  <c r="D34" i="18"/>
  <c r="D36" i="17"/>
  <c r="D34" i="17"/>
  <c r="D36" i="14"/>
  <c r="D34" i="14"/>
  <c r="E50" i="19"/>
  <c r="C50" i="19"/>
  <c r="E49" i="19"/>
  <c r="D49" i="19"/>
  <c r="C49" i="19"/>
  <c r="C39" i="19"/>
  <c r="D33" i="19"/>
  <c r="D32" i="19"/>
  <c r="C31" i="19"/>
  <c r="C19" i="19"/>
  <c r="C17" i="19"/>
  <c r="D16" i="19"/>
  <c r="C28" i="19" s="1"/>
  <c r="C29" i="19" s="1"/>
  <c r="E15" i="19"/>
  <c r="C15" i="19"/>
  <c r="C10" i="19"/>
  <c r="C44" i="19" s="1"/>
  <c r="C7" i="19"/>
  <c r="C21" i="18"/>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D35" i="14" s="1"/>
  <c r="E23" i="19" l="1"/>
  <c r="E51" i="19" s="1"/>
  <c r="D50" i="19"/>
  <c r="C45" i="19"/>
  <c r="C53" i="19" s="1"/>
  <c r="C33" i="19"/>
  <c r="D37" i="19"/>
  <c r="C32" i="19"/>
  <c r="C36" i="19"/>
  <c r="C35" i="19"/>
  <c r="C34" i="19"/>
  <c r="D31" i="19"/>
  <c r="C23" i="19"/>
  <c r="C51" i="19" s="1"/>
  <c r="D23" i="19"/>
  <c r="D51" i="19" s="1"/>
  <c r="D23" i="14"/>
  <c r="D51" i="14" s="1"/>
  <c r="E23" i="14"/>
  <c r="E51" i="14" s="1"/>
  <c r="C23" i="14"/>
  <c r="C51" i="14" s="1"/>
  <c r="E23" i="18"/>
  <c r="E51" i="18" s="1"/>
  <c r="D23" i="18"/>
  <c r="D51" i="18" s="1"/>
  <c r="C23" i="18"/>
  <c r="C51" i="18" s="1"/>
  <c r="C23" i="17"/>
  <c r="C51" i="17" s="1"/>
  <c r="E23" i="17"/>
  <c r="E51" i="17" s="1"/>
  <c r="D23" i="17"/>
  <c r="D51" i="17" s="1"/>
  <c r="D50" i="14"/>
  <c r="D50" i="18"/>
  <c r="C28" i="18"/>
  <c r="C29" i="18" s="1"/>
  <c r="C35" i="18" s="1"/>
  <c r="C44" i="17"/>
  <c r="C28" i="17"/>
  <c r="C29" i="17" s="1"/>
  <c r="C45" i="17"/>
  <c r="C53" i="17" s="1"/>
  <c r="C44" i="14"/>
  <c r="C53" i="14"/>
  <c r="C28" i="14"/>
  <c r="C29" i="14" s="1"/>
  <c r="C38" i="19" l="1"/>
  <c r="C52" i="19" s="1"/>
  <c r="C32" i="18"/>
  <c r="C33" i="18"/>
  <c r="C36" i="18"/>
  <c r="C34" i="18"/>
  <c r="D31" i="18"/>
  <c r="C34" i="17"/>
  <c r="C36" i="17"/>
  <c r="C35" i="17"/>
  <c r="C32" i="17"/>
  <c r="C33" i="17"/>
  <c r="D31" i="17"/>
  <c r="D37" i="14"/>
  <c r="D31" i="14"/>
  <c r="C35" i="14"/>
  <c r="C33" i="14"/>
  <c r="C34" i="14"/>
  <c r="C36" i="14"/>
  <c r="C32" i="14"/>
  <c r="D37" i="17"/>
  <c r="C15" i="14"/>
  <c r="C38" i="17" l="1"/>
  <c r="D38" i="17" s="1"/>
  <c r="D38" i="19"/>
  <c r="E54" i="19"/>
  <c r="D54" i="19"/>
  <c r="C54" i="19"/>
  <c r="C38" i="18"/>
  <c r="C38" i="14"/>
  <c r="D38" i="14" s="1"/>
  <c r="D37" i="18"/>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<sst xmlns="http://schemas.openxmlformats.org/spreadsheetml/2006/main" count="295" uniqueCount="166">
  <si>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</si>
  <si>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</si>
  <si>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</si>
  <si>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</si>
  <si>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</si>
  <si>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</si>
  <si>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</si>
  <si>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</si>
  <si>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</si>
  <si>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</si>
  <si>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</si>
  <si>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</si>
  <si>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</si>
  <si>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</si>
  <si>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</si>
  <si>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</si>
  <si>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</si>
  <si>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</si>
  <si>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</si>
  <si>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</si>
  <si>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</si>
  <si>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</si>
  <si>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</si>
  <si>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</si>
  <si>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</si>
  <si>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</si>
  <si>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</si>
  <si>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</si>
  <si>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</si>
  <si>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</si>
  <si>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</si>
  <si>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</si>
  <si>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</si>
  <si>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</si>
  <si>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</si>
  <si>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</si>
  <si>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</si>
  <si>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</si>
  <si>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</si>
  <si>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</si>
  <si>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</si>
  <si>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</si>
  <si>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</si>
  <si>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</si>
  <si>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</si>
  <si>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</si>
  <si>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</si>
  <si>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</si>
  <si>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</si>
  <si>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</si>
  <si>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</si>
  <si>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</si>
  <si>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</si>
  <si>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</si>
  <si>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</si>
  <si>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</si>
  <si>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</si>
  <si>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</si>
  <si>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</si>
  <si>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</si>
  <si>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</si>
  <si>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</si>
  <si>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</si>
  <si>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</si>
  <si>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</si>
  <si>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</si>
  <si>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</si>
  <si>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</si>
  <si>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</si>
  <si>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</si>
  <si>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</si>
  <si>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</si>
  <si>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</si>
  <si>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</si>
  <si>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</si>
  <si>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</si>
  <si>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</si>
  <si>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</si>
  <si>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</si>
  <si>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</si>
  <si>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</si>
  <si>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</si>
  <si>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</si>
  <si>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</si>
  <si>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</si>
  <si>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</si>
  <si>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</si>
  <si>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</si>
  <si>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</si>
  <si>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</si>
  <si>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</si>
  <si>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</si>
  <si>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</si>
  <si>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</si>
  <si>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</si>
  <si>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</si>
  <si>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銀海山莊</t>
  </si>
  <si>
    <t>差餉</t>
  </si>
  <si>
    <t>Quarry bay</t>
  </si>
  <si>
    <t>翠荷苑</t>
  </si>
  <si>
    <t>Other Costs</t>
  </si>
  <si>
    <t>Maintenance/Repairs/Sinking Fund</t>
  </si>
  <si>
    <t>Old Building Premium Cost</t>
  </si>
  <si>
    <t>Legal</t>
  </si>
  <si>
    <t>Inspection Fees</t>
  </si>
  <si>
    <t>Default Transaction Cost</t>
  </si>
  <si>
    <t>Default NOI tax rate</t>
  </si>
  <si>
    <t>早禾坑</t>
  </si>
  <si>
    <t>香港40年樓齡的舊樓進行強制驗樓及大維修，一般每戶費用約在 HK$30,000 至 HK$150,000 或更高。</t>
  </si>
  <si>
    <t>一般2%，但村屋招租更麻煩</t>
  </si>
  <si>
    <t>景觀好，升值潛力更高</t>
  </si>
  <si>
    <t>有游泳池，但早禾坑比較遠</t>
  </si>
  <si>
    <t>村務驗樓更貴</t>
  </si>
  <si>
    <t>一般8%，但村屋不交管理費，維護費看物業情況可能較低</t>
  </si>
  <si>
    <t>潘石屹 suggested to use at least the Mortgage rate.</t>
  </si>
  <si>
    <t>第一步：收集物業基本資料</t>
  </si>
  <si>
    <t>類型</t>
  </si>
  <si>
    <t>地址</t>
  </si>
  <si>
    <t>竣工(OP/CC)年份</t>
  </si>
  <si>
    <t>樓齡</t>
  </si>
  <si>
    <t>可售面積 (Sqft)</t>
  </si>
  <si>
    <t>管理費 ($/Sqft)</t>
  </si>
  <si>
    <t>持有期</t>
  </si>
  <si>
    <t>第二步：用市場比較法估算市值</t>
  </si>
  <si>
    <t>可比單價/尺</t>
  </si>
  <si>
    <t>情景</t>
  </si>
  <si>
    <t>物業價格 (HKD)</t>
  </si>
  <si>
    <t>代理佣金率</t>
  </si>
  <si>
    <t>印花稅率</t>
  </si>
  <si>
    <t>轉讓費率</t>
  </si>
  <si>
    <t>法律費用</t>
  </si>
  <si>
    <t>驗樓費</t>
  </si>
  <si>
    <t>其他成本</t>
  </si>
  <si>
    <t>總購置成本</t>
  </si>
  <si>
    <t>第三步：計算淨租金收入（NOI）</t>
  </si>
  <si>
    <t>參考市場毛租金收益率</t>
  </si>
  <si>
    <t>參考市值</t>
  </si>
  <si>
    <t>推算月租金</t>
  </si>
  <si>
    <t>每月管理費</t>
  </si>
  <si>
    <t>政府差餉</t>
  </si>
  <si>
    <t>地租</t>
  </si>
  <si>
    <t>維修/保養/儲備基金</t>
  </si>
  <si>
    <t>舊樓溢價成本</t>
  </si>
  <si>
    <t>空置準備</t>
  </si>
  <si>
    <t>其他月度費用</t>
  </si>
  <si>
    <t>預計年租金增長率</t>
  </si>
  <si>
    <t>第四步：估算退出價值</t>
  </si>
  <si>
    <t>預計升值幅度</t>
  </si>
  <si>
    <t>預計年均複合增長率</t>
  </si>
  <si>
    <t>升值後出售價格</t>
  </si>
  <si>
    <t>第五步：計算IRR</t>
  </si>
  <si>
    <t>物業價格</t>
  </si>
  <si>
    <t>退出價值</t>
  </si>
  <si>
    <t>持有期IRR</t>
  </si>
  <si>
    <t>決策規則:</t>
  </si>
  <si>
    <t>1. IRR &gt; 貸款利率 → 有吸引力</t>
  </si>
  <si>
    <t>2. IRR = 貸款利率 → 盈虧平衡</t>
  </si>
  <si>
    <t>3. IRR &lt; 貸款利率 → 無吸引力</t>
  </si>
  <si>
    <t>備註</t>
  </si>
  <si>
    <t>每月淨租金 (HKD)</t>
  </si>
  <si>
    <t>年度淨租金</t>
  </si>
  <si>
    <t>Decision rule:</t>
  </si>
  <si>
    <t>要價</t>
  </si>
  <si>
    <t>可比售價</t>
  </si>
  <si>
    <t>IRR中性售價</t>
  </si>
  <si>
    <t>Village House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</si>
</sst>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7"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u/>
      <sz val="11"/>
      <color theme="1"/>
      <name val="Microsoft YaHei"/>
      <family val="2"/>
    </font>
    <font>
      <sz val="11"/>
      <color theme="1"/>
      <name val="Microsoft YaHei"/>
      <family val="2"/>
    </font>
    <font>
      <sz val="11"/>
      <color rgb="FF0000FF"/>
      <name val="Microsoft YaHei"/>
      <family val="2"/>
    </font>
    <font>
      <sz val="11"/>
      <name val="Microsoft YaHei"/>
      <family val="2"/>
    </font>
    <font>
      <sz val="11"/>
      <color rgb="FFFF0000"/>
      <name val="Microsoft YaHei"/>
      <family val="2"/>
    </font>
    <font>
      <b/>
      <sz val="11"/>
      <color theme="1"/>
      <name val="Microsoft YaHei"/>
      <family val="2"/>
    </font>
    <font>
      <b/>
      <sz val="11"/>
      <name val="Microsoft YaHei"/>
      <family val="2"/>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108">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0" fontId="5" fillId="0" borderId="0" xfId="0" applyNumberFormat="1" applyFont="1" applyAlignment="1">
      <alignment horizontal="center"/>
    </xf>
    <xf numFmtId="10" fontId="5" fillId="0" borderId="0" xfId="0" applyNumberFormat="1" applyFont="1"/>
    <xf numFmtId="0" fontId="10" fillId="0" borderId="0" xfId="0" applyFont="1"/>
    <xf numFmtId="0" fontId="11" fillId="0" borderId="0" xfId="0" applyFont="1"/>
    <xf numFmtId="0" fontId="10" fillId="0" borderId="0" xfId="0" applyFont="1" applyAlignment="1">
      <alignment horizontal="left"/>
    </xf>
    <xf numFmtId="0" fontId="12" fillId="0" borderId="0" xfId="0" applyFont="1"/>
    <xf numFmtId="0" fontId="11" fillId="2" borderId="0" xfId="0" applyFont="1" applyFill="1" applyAlignment="1">
      <alignment horizontal="left" vertical="center" wrapText="1"/>
    </xf>
    <xf numFmtId="4" fontId="12" fillId="0" borderId="0" xfId="0" applyNumberFormat="1" applyFont="1" applyAlignment="1">
      <alignment horizontal="center" vertical="center"/>
    </xf>
    <xf numFmtId="1" fontId="12" fillId="0" borderId="0" xfId="0" applyNumberFormat="1" applyFont="1" applyAlignment="1">
      <alignment horizontal="center" vertical="center"/>
    </xf>
    <xf numFmtId="1" fontId="11" fillId="0" borderId="0" xfId="0" applyNumberFormat="1" applyFont="1" applyAlignment="1">
      <alignment horizontal="center" vertical="center"/>
    </xf>
    <xf numFmtId="3" fontId="12" fillId="0" borderId="0" xfId="0" applyNumberFormat="1" applyFont="1" applyAlignment="1">
      <alignment horizontal="center" vertical="center"/>
    </xf>
    <xf numFmtId="165" fontId="12" fillId="0" borderId="0" xfId="0" applyNumberFormat="1" applyFont="1" applyAlignment="1">
      <alignment horizontal="center" vertical="center"/>
    </xf>
    <xf numFmtId="166" fontId="13" fillId="0" borderId="0" xfId="0" applyNumberFormat="1" applyFont="1" applyAlignment="1">
      <alignment horizontal="center" vertical="center"/>
    </xf>
    <xf numFmtId="0" fontId="10" fillId="0" borderId="0" xfId="0" applyFont="1" applyAlignment="1">
      <alignment horizontal="left" vertical="top"/>
    </xf>
    <xf numFmtId="0" fontId="12" fillId="0" borderId="0" xfId="0" applyFont="1" applyAlignment="1">
      <alignment horizontal="center"/>
    </xf>
    <xf numFmtId="0" fontId="11" fillId="2" borderId="1" xfId="0" applyFont="1" applyFill="1" applyBorder="1" applyAlignment="1">
      <alignment horizontal="left" vertical="center" wrapText="1"/>
    </xf>
    <xf numFmtId="164" fontId="13" fillId="0" borderId="1" xfId="0" applyNumberFormat="1" applyFont="1" applyBorder="1" applyAlignment="1">
      <alignment horizontal="center"/>
    </xf>
    <xf numFmtId="164" fontId="14" fillId="0" borderId="1" xfId="0" applyNumberFormat="1" applyFont="1" applyBorder="1" applyAlignment="1">
      <alignment horizontal="center"/>
    </xf>
    <xf numFmtId="164" fontId="14" fillId="0" borderId="0" xfId="0" applyNumberFormat="1" applyFont="1" applyAlignment="1">
      <alignment horizontal="center"/>
    </xf>
    <xf numFmtId="164" fontId="13" fillId="0" borderId="0" xfId="0" applyNumberFormat="1" applyFont="1" applyAlignment="1">
      <alignment horizontal="center"/>
    </xf>
    <xf numFmtId="164" fontId="12" fillId="0" borderId="0" xfId="0" applyNumberFormat="1" applyFont="1" applyAlignment="1">
      <alignment horizontal="center"/>
    </xf>
    <xf numFmtId="10" fontId="12" fillId="0" borderId="0" xfId="0" applyNumberFormat="1" applyFont="1" applyAlignment="1">
      <alignment horizontal="center"/>
    </xf>
    <xf numFmtId="0" fontId="11" fillId="2" borderId="2" xfId="0" applyFont="1" applyFill="1" applyBorder="1" applyAlignment="1">
      <alignment horizontal="left" vertical="center" wrapText="1"/>
    </xf>
    <xf numFmtId="164" fontId="14" fillId="0" borderId="2" xfId="0" applyNumberFormat="1" applyFont="1" applyBorder="1" applyAlignment="1">
      <alignment horizontal="center"/>
    </xf>
    <xf numFmtId="0" fontId="15" fillId="2" borderId="0" xfId="0" applyFont="1" applyFill="1" applyAlignment="1">
      <alignment horizontal="left" vertical="center" wrapText="1" indent="1"/>
    </xf>
    <xf numFmtId="164" fontId="16" fillId="0" borderId="0" xfId="0" applyNumberFormat="1" applyFont="1" applyAlignment="1">
      <alignment horizontal="center"/>
    </xf>
    <xf numFmtId="0" fontId="15" fillId="0" borderId="0" xfId="0" applyFont="1" applyAlignment="1">
      <alignment horizontal="center" vertical="top" wrapText="1"/>
    </xf>
    <xf numFmtId="10" fontId="14" fillId="0" borderId="0" xfId="0" applyNumberFormat="1" applyFont="1" applyAlignment="1">
      <alignment horizontal="center" vertical="center"/>
    </xf>
    <xf numFmtId="164" fontId="11" fillId="0" borderId="1" xfId="0" applyNumberFormat="1" applyFont="1" applyBorder="1" applyAlignment="1">
      <alignment horizontal="center"/>
    </xf>
    <xf numFmtId="164" fontId="16" fillId="0" borderId="0" xfId="0" applyNumberFormat="1" applyFont="1" applyAlignment="1">
      <alignment horizontal="center" vertical="center"/>
    </xf>
    <xf numFmtId="0" fontId="15" fillId="0" borderId="0" xfId="0" applyFont="1" applyAlignment="1">
      <alignment horizontal="center" vertical="center" wrapText="1"/>
    </xf>
    <xf numFmtId="164" fontId="13" fillId="0" borderId="0" xfId="0" applyNumberFormat="1" applyFont="1" applyAlignment="1">
      <alignment horizontal="center" vertical="center"/>
    </xf>
    <xf numFmtId="10" fontId="11" fillId="0" borderId="0" xfId="0" applyNumberFormat="1" applyFont="1"/>
    <xf numFmtId="10" fontId="12" fillId="0" borderId="0" xfId="0" applyNumberFormat="1" applyFont="1"/>
    <xf numFmtId="10" fontId="14" fillId="0" borderId="0" xfId="0" applyNumberFormat="1" applyFont="1"/>
    <xf numFmtId="164" fontId="14" fillId="0" borderId="2" xfId="0" applyNumberFormat="1" applyFont="1" applyBorder="1" applyAlignment="1">
      <alignment horizontal="center" vertical="center"/>
    </xf>
    <xf numFmtId="10" fontId="11" fillId="0" borderId="2" xfId="0" applyNumberFormat="1" applyFont="1" applyBorder="1"/>
    <xf numFmtId="10" fontId="16" fillId="0" borderId="0" xfId="0" applyNumberFormat="1" applyFont="1" applyAlignment="1">
      <alignment horizontal="center" vertical="center"/>
    </xf>
    <xf numFmtId="9" fontId="14" fillId="0" borderId="0" xfId="0" applyNumberFormat="1" applyFont="1" applyAlignment="1">
      <alignment horizontal="center" vertical="center"/>
    </xf>
    <xf numFmtId="10" fontId="13" fillId="0" borderId="1" xfId="0" applyNumberFormat="1" applyFont="1" applyBorder="1" applyAlignment="1">
      <alignment horizontal="center" vertical="center"/>
    </xf>
    <xf numFmtId="164" fontId="15" fillId="0" borderId="0" xfId="0" applyNumberFormat="1" applyFont="1" applyAlignment="1">
      <alignment horizontal="center" vertical="center"/>
    </xf>
    <xf numFmtId="0" fontId="13" fillId="0" borderId="0" xfId="0" applyFont="1" applyAlignment="1">
      <alignment horizontal="center"/>
    </xf>
    <xf numFmtId="164" fontId="11" fillId="0" borderId="0" xfId="0" applyNumberFormat="1" applyFont="1" applyAlignment="1">
      <alignment horizontal="center"/>
    </xf>
    <xf numFmtId="10" fontId="16" fillId="0" borderId="0" xfId="0" applyNumberFormat="1" applyFont="1" applyAlignment="1">
      <alignment horizontal="center"/>
    </xf>
    <xf numFmtId="0" fontId="15" fillId="0" borderId="0" xfId="0" applyFont="1" applyAlignment="1">
      <alignment horizontal="left" vertical="center"/>
    </xf>
    <xf numFmtId="164" fontId="0" fillId="0" borderId="0" xfId="0" applyNumberFormat="1" applyAlignment="1">
      <alignment horizontal="center"/>
    </xf>
    <xf numFmtId="164" fontId="0" fillId="0" borderId="2" xfId="0" applyNumberFormat="1" applyBorder="1" applyAlignment="1">
      <alignment horizontal="center"/>
    </xf>
    <xf numFmtId="10" fontId="5" fillId="0" borderId="0" xfId="0" applyNumberFormat="1" applyFont="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xf numFmtId="164" fontId="11" fillId="0" borderId="2" xfId="0" applyNumberFormat="1" applyFont="1" applyBorder="1" applyAlignment="1">
      <alignment horizontal="center"/>
    </xf>
    <xf numFmtId="10" fontId="12" fillId="0" borderId="0" xfId="0" applyNumberFormat="1" applyFont="1" applyAlignment="1">
      <alignment horizontal="center"/>
    </xf>
    <xf numFmtId="10" fontId="13" fillId="0" borderId="0" xfId="0" applyNumberFormat="1" applyFont="1" applyAlignment="1">
      <alignment horizontal="center"/>
    </xf>
    <xf numFmtId="164" fontId="12" fillId="0" borderId="0" xfId="0" applyNumberFormat="1" applyFont="1" applyAlignment="1">
      <alignment horizontal="center"/>
    </xf>
    <xf numFmtId="164" fontId="11" fillId="0" borderId="0" xfId="0" applyNumberFormat="1" applyFont="1" applyAlignment="1">
      <alignment horizont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1"/>
  <sheetViews>
    <sheetView showGridLines="0" tabSelected="1" workbookViewId="0">
      <selection activeCell="D13" sqref="D13"/>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f>2.75%+1.5%</f>
        <v>4.2499999999999996E-2</v>
      </c>
      <c r="D5" s="4" t="s">
        <v>114</v>
      </c>
    </row>
    <row r="6" spans="2:4" x14ac:dyDescent="0.45">
      <c r="B6" t="s">
        <v>34</v>
      </c>
      <c r="C6" s="11">
        <v>15</v>
      </c>
      <c r="D6" s="4"/>
    </row>
    <row r="7" spans="2:4" x14ac:dyDescent="0.45">
      <c r="C7" s="3"/>
    </row>
    <row r="8" spans="2:4" x14ac:dyDescent="0.45">
      <c r="B8" s="13" t="s">
        <v>105</v>
      </c>
      <c r="C8" s="12" t="s">
        <v>0</v>
      </c>
      <c r="D8" s="12" t="s">
        <v>1</v>
      </c>
    </row>
    <row r="9" spans="2:4" x14ac:dyDescent="0.45">
      <c r="B9" t="s">
        <v>51</v>
      </c>
      <c r="C9" s="53">
        <v>0.01</v>
      </c>
      <c r="D9" s="4" t="s">
        <v>52</v>
      </c>
    </row>
    <row r="10" spans="2:4" x14ac:dyDescent="0.45">
      <c r="B10" t="s">
        <v>55</v>
      </c>
      <c r="C10" s="53">
        <v>1E-3</v>
      </c>
      <c r="D10" s="4"/>
    </row>
    <row r="11" spans="2:4" x14ac:dyDescent="0.45">
      <c r="B11" t="s">
        <v>50</v>
      </c>
      <c r="C11" s="40">
        <v>20000</v>
      </c>
      <c r="D11" s="4" t="s">
        <v>53</v>
      </c>
    </row>
    <row r="12" spans="2:4" x14ac:dyDescent="0.45">
      <c r="B12" t="s">
        <v>54</v>
      </c>
      <c r="C12" s="40">
        <v>5000</v>
      </c>
      <c r="D12" s="4" t="s">
        <v>57</v>
      </c>
    </row>
    <row r="13" spans="2:4" x14ac:dyDescent="0.45">
      <c r="C13" s="3"/>
    </row>
    <row r="14" spans="2:4" x14ac:dyDescent="0.45">
      <c r="B14" s="13" t="s">
        <v>106</v>
      </c>
      <c r="C14" s="12" t="s">
        <v>0</v>
      </c>
      <c r="D14" s="12" t="s">
        <v>1</v>
      </c>
    </row>
    <row r="15" spans="2:4" x14ac:dyDescent="0.45">
      <c r="B15" t="s">
        <v>20</v>
      </c>
      <c r="C15" s="53">
        <v>0.05</v>
      </c>
      <c r="D15" s="4" t="s">
        <v>97</v>
      </c>
    </row>
    <row r="16" spans="2:4" x14ac:dyDescent="0.45">
      <c r="B16" t="s">
        <v>26</v>
      </c>
      <c r="C16" s="53">
        <v>0.03</v>
      </c>
      <c r="D16" s="4"/>
    </row>
    <row r="17" spans="2:4" x14ac:dyDescent="0.45">
      <c r="B17" t="s">
        <v>101</v>
      </c>
      <c r="C17" s="10">
        <v>0.05</v>
      </c>
    </row>
    <row r="18" spans="2:4" x14ac:dyDescent="0.45">
      <c r="B18" t="s">
        <v>16</v>
      </c>
      <c r="C18" s="10">
        <v>0.02</v>
      </c>
    </row>
    <row r="19" spans="2:4" x14ac:dyDescent="0.45">
      <c r="B19" t="s">
        <v>64</v>
      </c>
      <c r="C19" s="10">
        <v>0.02</v>
      </c>
      <c r="D19" s="4" t="s">
        <v>75</v>
      </c>
    </row>
    <row r="21" spans="2:4" x14ac:dyDescent="0.45">
      <c r="B21" s="13" t="s">
        <v>2</v>
      </c>
      <c r="C21" s="12" t="s">
        <v>0</v>
      </c>
      <c r="D21" s="12" t="s">
        <v>1</v>
      </c>
    </row>
    <row r="22" spans="2:4" x14ac:dyDescent="0.45">
      <c r="B22" t="s">
        <v>3</v>
      </c>
      <c r="C22" s="34">
        <v>7.8</v>
      </c>
    </row>
    <row r="23" spans="2:4" x14ac:dyDescent="0.45">
      <c r="B23" t="s">
        <v>4</v>
      </c>
      <c r="C23" s="34">
        <v>0.89</v>
      </c>
    </row>
    <row r="25" spans="2:4" x14ac:dyDescent="0.45">
      <c r="B25" s="1" t="s">
        <v>28</v>
      </c>
    </row>
    <row r="26" spans="2:4" x14ac:dyDescent="0.45">
      <c r="B26" t="s">
        <v>29</v>
      </c>
    </row>
    <row r="27" spans="2:4" x14ac:dyDescent="0.45">
      <c r="B27" t="s">
        <v>30</v>
      </c>
    </row>
    <row r="29" spans="2:4" x14ac:dyDescent="0.45">
      <c r="B29" s="1" t="s">
        <v>20</v>
      </c>
    </row>
    <row r="30" spans="2:4" x14ac:dyDescent="0.45">
      <c r="B30" t="s">
        <v>8</v>
      </c>
    </row>
    <row r="31" spans="2:4" x14ac:dyDescent="0.45">
      <c r="B31" t="s">
        <v>9</v>
      </c>
      <c r="C31" s="2">
        <v>0.05</v>
      </c>
    </row>
    <row r="32" spans="2:4" x14ac:dyDescent="0.45">
      <c r="B32" t="s">
        <v>10</v>
      </c>
      <c r="C32" s="2">
        <v>0.08</v>
      </c>
    </row>
    <row r="33" spans="2:3" x14ac:dyDescent="0.45">
      <c r="B33" t="s">
        <v>11</v>
      </c>
      <c r="C33" s="2">
        <v>0.12</v>
      </c>
    </row>
    <row r="34" spans="2:3" x14ac:dyDescent="0.45">
      <c r="B34" t="s">
        <v>21</v>
      </c>
      <c r="C34" s="2"/>
    </row>
    <row r="36" spans="2:3" x14ac:dyDescent="0.45">
      <c r="B36" s="1" t="s">
        <v>27</v>
      </c>
    </row>
    <row r="37" spans="2:3" x14ac:dyDescent="0.45">
      <c r="B37" t="s">
        <v>31</v>
      </c>
    </row>
    <row r="39" spans="2:3" x14ac:dyDescent="0.45">
      <c r="B39" s="1" t="s">
        <v>13</v>
      </c>
    </row>
    <row r="40" spans="2:3" x14ac:dyDescent="0.45">
      <c r="B40" t="s">
        <v>12</v>
      </c>
    </row>
    <row r="41" spans="2:3" x14ac:dyDescent="0.45">
      <c r="B41" t="s">
        <v>14</v>
      </c>
    </row>
    <row r="42" spans="2:3" x14ac:dyDescent="0.45">
      <c r="B42" t="s">
        <v>15</v>
      </c>
    </row>
    <row r="44" spans="2:3" x14ac:dyDescent="0.45">
      <c r="B44" s="1" t="s">
        <v>16</v>
      </c>
    </row>
    <row r="45" spans="2:3" x14ac:dyDescent="0.45">
      <c r="B45" t="s">
        <v>17</v>
      </c>
    </row>
    <row r="46" spans="2:3" x14ac:dyDescent="0.45">
      <c r="B46" t="s">
        <v>18</v>
      </c>
    </row>
    <row r="47" spans="2:3" x14ac:dyDescent="0.45">
      <c r="B47" t="s">
        <v>19</v>
      </c>
    </row>
    <row r="49" spans="2:2" x14ac:dyDescent="0.45">
      <c r="B49" s="1" t="s">
        <v>23</v>
      </c>
    </row>
    <row r="50" spans="2:2" x14ac:dyDescent="0.45">
      <c r="B50" t="s">
        <v>24</v>
      </c>
    </row>
    <row r="51" spans="2:2" x14ac:dyDescent="0.45">
      <c r="B51"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G59"/>
  <sheetViews>
    <sheetView showGridLines="0" zoomScale="94" zoomScaleNormal="100" workbookViewId="0">
      <selection activeCell="C58" sqref="C58"/>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76</v>
      </c>
      <c r="G2" s="13" t="s">
        <v>1</v>
      </c>
    </row>
    <row r="3" spans="2:7" x14ac:dyDescent="0.45">
      <c r="G3" s="4"/>
    </row>
    <row r="4" spans="2:7" x14ac:dyDescent="0.45">
      <c r="B4" s="30" t="s">
        <v>37</v>
      </c>
      <c r="C4" s="15" t="s">
        <v>96</v>
      </c>
      <c r="G4" s="4"/>
    </row>
    <row r="5" spans="2:7" x14ac:dyDescent="0.45">
      <c r="B5" s="30" t="s">
        <v>5</v>
      </c>
      <c r="C5" s="15" t="s">
        <v>6</v>
      </c>
      <c r="G5" s="4"/>
    </row>
    <row r="6" spans="2:7" x14ac:dyDescent="0.45">
      <c r="B6" s="30" t="s">
        <v>22</v>
      </c>
      <c r="C6" s="16">
        <v>1997</v>
      </c>
      <c r="G6" s="4"/>
    </row>
    <row r="7" spans="2:7" x14ac:dyDescent="0.45">
      <c r="B7" s="30" t="s">
        <v>32</v>
      </c>
      <c r="C7" s="17">
        <f ca="1">YEAR(TODAY())-C6</f>
        <v>29</v>
      </c>
      <c r="G7" s="4"/>
    </row>
    <row r="8" spans="2:7" x14ac:dyDescent="0.45">
      <c r="B8" s="30" t="s">
        <v>71</v>
      </c>
      <c r="C8" s="18">
        <v>690</v>
      </c>
      <c r="G8" s="4"/>
    </row>
    <row r="9" spans="2:7" x14ac:dyDescent="0.45">
      <c r="B9" s="30" t="s">
        <v>72</v>
      </c>
      <c r="C9" s="19">
        <v>2.5</v>
      </c>
      <c r="G9" s="4"/>
    </row>
    <row r="10" spans="2:7" x14ac:dyDescent="0.45">
      <c r="B10" s="30" t="s">
        <v>34</v>
      </c>
      <c r="C10" s="46">
        <f>Holding_Period</f>
        <v>15</v>
      </c>
      <c r="G10" s="4"/>
    </row>
    <row r="11" spans="2:7" x14ac:dyDescent="0.45">
      <c r="G11" s="4"/>
    </row>
    <row r="12" spans="2:7" x14ac:dyDescent="0.45">
      <c r="B12" s="27" t="s">
        <v>78</v>
      </c>
      <c r="G12" s="13" t="s">
        <v>1</v>
      </c>
    </row>
    <row r="13" spans="2:7" x14ac:dyDescent="0.45">
      <c r="G13" s="4"/>
    </row>
    <row r="14" spans="2:7" x14ac:dyDescent="0.45">
      <c r="B14" s="30" t="s">
        <v>35</v>
      </c>
      <c r="C14" s="6" t="s">
        <v>43</v>
      </c>
      <c r="D14" s="6" t="s">
        <v>36</v>
      </c>
      <c r="E14" s="6" t="s">
        <v>95</v>
      </c>
      <c r="G14" s="4"/>
    </row>
    <row r="15" spans="2:7" x14ac:dyDescent="0.45">
      <c r="B15" s="31" t="s">
        <v>73</v>
      </c>
      <c r="C15" s="25">
        <f>C16/C8</f>
        <v>18115.942028985508</v>
      </c>
      <c r="D15" s="26">
        <v>14000</v>
      </c>
      <c r="E15" s="25">
        <f>E16/C8</f>
        <v>13333.333333333334</v>
      </c>
      <c r="G15" s="4"/>
    </row>
    <row r="16" spans="2:7" x14ac:dyDescent="0.45">
      <c r="B16" s="30" t="s">
        <v>47</v>
      </c>
      <c r="C16" s="14">
        <v>12500000</v>
      </c>
      <c r="D16" s="20">
        <f>D15*C$8</f>
        <v>9660000</v>
      </c>
      <c r="E16" s="40">
        <v>9200000</v>
      </c>
      <c r="G16" s="4"/>
    </row>
    <row r="17" spans="2:7" x14ac:dyDescent="0.45">
      <c r="B17" s="30" t="s">
        <v>59</v>
      </c>
      <c r="C17" s="100">
        <f>Assumptions!C9</f>
        <v>0.01</v>
      </c>
      <c r="D17" s="100"/>
      <c r="E17" s="100"/>
      <c r="G17" s="4"/>
    </row>
    <row r="18" spans="2:7" x14ac:dyDescent="0.45">
      <c r="B18" s="30" t="s">
        <v>56</v>
      </c>
      <c r="C18" s="53">
        <v>3.7499999999999999E-2</v>
      </c>
      <c r="D18" s="53">
        <v>3.4500000000000003E-2</v>
      </c>
      <c r="E18" s="53">
        <v>0.03</v>
      </c>
      <c r="G18" s="4"/>
    </row>
    <row r="19" spans="2:7" x14ac:dyDescent="0.45">
      <c r="B19" s="30" t="s">
        <v>58</v>
      </c>
      <c r="C19" s="101">
        <f>Assumptions!C10</f>
        <v>1E-3</v>
      </c>
      <c r="D19" s="101"/>
      <c r="E19" s="101"/>
      <c r="G19" s="4"/>
    </row>
    <row r="20" spans="2:7" x14ac:dyDescent="0.45">
      <c r="B20" s="30" t="s">
        <v>103</v>
      </c>
      <c r="C20" s="102">
        <f>Assumptions!C11</f>
        <v>20000</v>
      </c>
      <c r="D20" s="102"/>
      <c r="E20" s="102"/>
      <c r="G20" s="4"/>
    </row>
    <row r="21" spans="2:7" x14ac:dyDescent="0.45">
      <c r="B21" s="30" t="s">
        <v>104</v>
      </c>
      <c r="C21" s="102">
        <f>Assumptions!C12</f>
        <v>5000</v>
      </c>
      <c r="D21" s="102"/>
      <c r="E21" s="102"/>
      <c r="G21" s="4"/>
    </row>
    <row r="22" spans="2:7" ht="14.65" thickBot="1" x14ac:dyDescent="0.5">
      <c r="B22" s="32" t="s">
        <v>100</v>
      </c>
      <c r="C22" s="49">
        <v>150000</v>
      </c>
      <c r="D22" s="49">
        <v>150000</v>
      </c>
      <c r="E22" s="49">
        <v>150000</v>
      </c>
      <c r="G22" s="4" t="s">
        <v>108</v>
      </c>
    </row>
    <row r="23" spans="2:7" ht="14.65" thickTop="1" x14ac:dyDescent="0.45">
      <c r="B23" s="21" t="s">
        <v>60</v>
      </c>
      <c r="C23" s="22">
        <f>C16+C16*($C$17+C18+$C$19)+$C$20+$C$21+C22</f>
        <v>13281250</v>
      </c>
      <c r="D23" s="22">
        <f t="shared" ref="D23:E23" si="0">D16+D16*($C$17+D18+$C$19)+$C$20+$C$21+D22</f>
        <v>10274530</v>
      </c>
      <c r="E23" s="22">
        <f t="shared" si="0"/>
        <v>9752200</v>
      </c>
      <c r="G23" s="4"/>
    </row>
    <row r="24" spans="2:7" x14ac:dyDescent="0.45">
      <c r="G24" s="4"/>
    </row>
    <row r="25" spans="2:7" x14ac:dyDescent="0.45">
      <c r="B25" s="27" t="s">
        <v>77</v>
      </c>
      <c r="G25" s="13" t="s">
        <v>1</v>
      </c>
    </row>
    <row r="26" spans="2:7" ht="14.25" customHeight="1" x14ac:dyDescent="0.45">
      <c r="C26" s="5"/>
      <c r="G26" s="4"/>
    </row>
    <row r="27" spans="2:7" x14ac:dyDescent="0.45">
      <c r="B27" s="30" t="s">
        <v>61</v>
      </c>
      <c r="C27" s="47">
        <v>2.8000000000000001E-2</v>
      </c>
      <c r="G27" s="4"/>
    </row>
    <row r="28" spans="2:7" x14ac:dyDescent="0.45">
      <c r="B28" s="31" t="s">
        <v>40</v>
      </c>
      <c r="C28" s="29">
        <f>D16</f>
        <v>9660000</v>
      </c>
      <c r="G28" s="4"/>
    </row>
    <row r="29" spans="2:7" x14ac:dyDescent="0.45">
      <c r="B29" s="21" t="s">
        <v>62</v>
      </c>
      <c r="C29" s="44">
        <f>C28*C$27/12</f>
        <v>22540</v>
      </c>
      <c r="G29" s="4"/>
    </row>
    <row r="30" spans="2:7" x14ac:dyDescent="0.45">
      <c r="B30" s="7"/>
      <c r="C30" s="24"/>
      <c r="G30" s="4"/>
    </row>
    <row r="31" spans="2:7" x14ac:dyDescent="0.45">
      <c r="B31" s="30" t="s">
        <v>7</v>
      </c>
      <c r="C31" s="24">
        <f>C$9*C$8</f>
        <v>1725</v>
      </c>
      <c r="D31" s="50">
        <f>C31/C29</f>
        <v>7.6530612244897961E-2</v>
      </c>
      <c r="G31" s="4"/>
    </row>
    <row r="32" spans="2:7" x14ac:dyDescent="0.45">
      <c r="B32" s="30" t="s">
        <v>20</v>
      </c>
      <c r="C32" s="24">
        <f>$C$29*D32</f>
        <v>1127</v>
      </c>
      <c r="D32" s="54">
        <f>Assumptions!C15</f>
        <v>0.05</v>
      </c>
      <c r="G32" s="4"/>
    </row>
    <row r="33" spans="2:7" x14ac:dyDescent="0.45">
      <c r="B33" s="30" t="s">
        <v>26</v>
      </c>
      <c r="C33" s="24">
        <f t="shared" ref="C33:C36" si="1">$C$29*D33</f>
        <v>676.19999999999993</v>
      </c>
      <c r="D33" s="50">
        <f>Assumptions!C16</f>
        <v>0.03</v>
      </c>
      <c r="G33" s="4"/>
    </row>
    <row r="34" spans="2:7" x14ac:dyDescent="0.45">
      <c r="B34" s="30" t="s">
        <v>101</v>
      </c>
      <c r="C34" s="24">
        <f t="shared" si="1"/>
        <v>1127</v>
      </c>
      <c r="D34" s="3">
        <f>Assumptions!C17</f>
        <v>0.05</v>
      </c>
      <c r="G34" s="4"/>
    </row>
    <row r="35" spans="2:7" x14ac:dyDescent="0.45">
      <c r="B35" s="30" t="s">
        <v>102</v>
      </c>
      <c r="C35" s="24">
        <f t="shared" ca="1" si="1"/>
        <v>0</v>
      </c>
      <c r="D35" s="3">
        <f ca="1">IF(C$7&gt;=30,2%,0)</f>
        <v>0</v>
      </c>
      <c r="G35" s="4"/>
    </row>
    <row r="36" spans="2:7" x14ac:dyDescent="0.45">
      <c r="B36" s="30" t="s">
        <v>16</v>
      </c>
      <c r="C36" s="24">
        <f t="shared" si="1"/>
        <v>450.8</v>
      </c>
      <c r="D36" s="3">
        <f>Assumptions!C18</f>
        <v>0.02</v>
      </c>
      <c r="G36" s="4"/>
    </row>
    <row r="37" spans="2:7" ht="14.65" thickBot="1" x14ac:dyDescent="0.5">
      <c r="B37" s="32" t="s">
        <v>41</v>
      </c>
      <c r="C37" s="51">
        <v>0</v>
      </c>
      <c r="D37" s="52">
        <f>C37/C29</f>
        <v>0</v>
      </c>
      <c r="G37" s="4"/>
    </row>
    <row r="38" spans="2:7" ht="14.65" thickTop="1" x14ac:dyDescent="0.45">
      <c r="B38" s="21" t="s">
        <v>63</v>
      </c>
      <c r="C38" s="44">
        <f ca="1">C29-SUM(C31:C37)</f>
        <v>17434</v>
      </c>
      <c r="D38" s="50">
        <f ca="1">C38/C29</f>
        <v>0.77346938775510199</v>
      </c>
      <c r="G38" s="4"/>
    </row>
    <row r="39" spans="2:7" x14ac:dyDescent="0.45">
      <c r="B39" s="21" t="s">
        <v>46</v>
      </c>
      <c r="C39" s="45">
        <f>Assumptions!C19</f>
        <v>0.02</v>
      </c>
      <c r="G39" s="4"/>
    </row>
    <row r="40" spans="2:7" x14ac:dyDescent="0.45">
      <c r="G40" s="4"/>
    </row>
    <row r="41" spans="2:7" x14ac:dyDescent="0.45">
      <c r="B41" s="27" t="s">
        <v>82</v>
      </c>
      <c r="G41" s="13" t="s">
        <v>1</v>
      </c>
    </row>
    <row r="42" spans="2:7" x14ac:dyDescent="0.45">
      <c r="G42" s="4"/>
    </row>
    <row r="43" spans="2:7" x14ac:dyDescent="0.45">
      <c r="B43" s="30" t="s">
        <v>38</v>
      </c>
      <c r="C43" s="48">
        <v>0.4</v>
      </c>
      <c r="G43" s="4" t="s">
        <v>110</v>
      </c>
    </row>
    <row r="44" spans="2:7" x14ac:dyDescent="0.45">
      <c r="B44" s="31" t="s">
        <v>42</v>
      </c>
      <c r="C44" s="41">
        <f>(1+C43)^(1/C10)-1</f>
        <v>2.268495988716035E-2</v>
      </c>
      <c r="G44" s="4"/>
    </row>
    <row r="45" spans="2:7" x14ac:dyDescent="0.45">
      <c r="B45" s="21" t="s">
        <v>39</v>
      </c>
      <c r="C45" s="42">
        <f>D16*(1+C$43)</f>
        <v>13524000</v>
      </c>
      <c r="G45" s="4"/>
    </row>
    <row r="46" spans="2:7" x14ac:dyDescent="0.45">
      <c r="G46" s="4"/>
    </row>
    <row r="47" spans="2:7" x14ac:dyDescent="0.45">
      <c r="B47" s="27" t="s">
        <v>83</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12500000</v>
      </c>
      <c r="D50" s="20">
        <f t="shared" ref="D50:E50" si="2">D16</f>
        <v>9660000</v>
      </c>
      <c r="E50" s="20">
        <f t="shared" si="2"/>
        <v>9200000</v>
      </c>
      <c r="G50" s="4"/>
    </row>
    <row r="51" spans="2:7" x14ac:dyDescent="0.45">
      <c r="B51" s="30" t="s">
        <v>60</v>
      </c>
      <c r="C51" s="23">
        <f>C23</f>
        <v>13281250</v>
      </c>
      <c r="D51" s="23">
        <f>D23</f>
        <v>10274530</v>
      </c>
      <c r="E51" s="23">
        <f>E23</f>
        <v>9752200</v>
      </c>
      <c r="G51" s="4"/>
    </row>
    <row r="52" spans="2:7" x14ac:dyDescent="0.45">
      <c r="B52" s="30" t="s">
        <v>44</v>
      </c>
      <c r="C52" s="98">
        <f ca="1">C$38*12</f>
        <v>209208</v>
      </c>
      <c r="D52" s="98"/>
      <c r="E52" s="98"/>
      <c r="G52" s="4"/>
    </row>
    <row r="53" spans="2:7" ht="14.65" thickBot="1" x14ac:dyDescent="0.5">
      <c r="B53" s="32" t="s">
        <v>45</v>
      </c>
      <c r="C53" s="99">
        <f>C$45</f>
        <v>13524000</v>
      </c>
      <c r="D53" s="99"/>
      <c r="E53" s="99"/>
      <c r="G53" s="4"/>
    </row>
    <row r="54" spans="2:7" ht="14.65" thickTop="1" x14ac:dyDescent="0.45">
      <c r="B54" s="21" t="s">
        <v>66</v>
      </c>
      <c r="C54" s="43">
        <f ca="1">RATE(15, $C52*(1+$C$39), -C51, $C53 / (1+$C$39)^15) + $C$39</f>
        <v>1.9819704376533902E-2</v>
      </c>
      <c r="D54" s="43">
        <f t="shared" ref="D54:E54" ca="1" si="3">RATE(15, $C52*(1+$C$39), -D51, $C53 / (1+$C$39)^15) + $C$39</f>
        <v>3.9492442229939861E-2</v>
      </c>
      <c r="E54" s="43">
        <f t="shared" ca="1" si="3"/>
        <v>4.3593380984128127E-2</v>
      </c>
      <c r="G54" s="4"/>
    </row>
    <row r="55" spans="2:7" x14ac:dyDescent="0.45">
      <c r="G55" s="4"/>
    </row>
    <row r="56" spans="2:7" x14ac:dyDescent="0.45">
      <c r="B56" s="36" t="s">
        <v>161</v>
      </c>
      <c r="G56" s="4"/>
    </row>
    <row r="57" spans="2:7" x14ac:dyDescent="0.45">
      <c r="B57" t="s">
        <v>67</v>
      </c>
      <c r="G57" s="4"/>
    </row>
    <row r="58" spans="2:7" x14ac:dyDescent="0.45">
      <c r="B58" t="s">
        <v>68</v>
      </c>
      <c r="G58" s="4"/>
    </row>
    <row r="59" spans="2:7" x14ac:dyDescent="0.45">
      <c r="B59" t="s">
        <v>69</v>
      </c>
      <c r="G59" s="4"/>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6DFB0-53ED-4BEE-BAF6-63FFB679C689}">
  <sheetPr>
    <pageSetUpPr fitToPage="1"/>
  </sheetPr>
  <dimension ref="B2:G59"/>
  <sheetViews>
    <sheetView showGridLines="0" topLeftCell="A49" zoomScale="94" zoomScaleNormal="100" workbookViewId="0">
      <selection activeCell="B56" sqref="B56:B58"/>
    </sheetView>
  </sheetViews>
  <sheetFormatPr defaultColWidth="8.796875" defaultRowHeight="15" x14ac:dyDescent="0.5"/>
  <cols>
    <col min="1" max="1" width="2.6640625" style="56" customWidth="1"/>
    <col min="2" max="2" width="29.86328125" style="56" customWidth="1"/>
    <col min="3" max="5" width="16.59765625" style="56" customWidth="1"/>
    <col min="6" max="6" width="2.59765625" style="56" customWidth="1"/>
    <col min="7" max="7" width="90.59765625" style="56" customWidth="1"/>
    <col min="8" max="9" width="16.59765625" style="56" customWidth="1"/>
    <col min="10" max="16384" width="8.796875" style="56"/>
  </cols>
  <sheetData>
    <row r="2" spans="2:7" ht="15.75" x14ac:dyDescent="0.55000000000000004">
      <c r="B2" s="55" t="s">
        <v>115</v>
      </c>
      <c r="G2" s="57" t="s">
        <v>158</v>
      </c>
    </row>
    <row r="3" spans="2:7" x14ac:dyDescent="0.5">
      <c r="G3" s="58"/>
    </row>
    <row r="4" spans="2:7" x14ac:dyDescent="0.5">
      <c r="B4" s="59" t="s">
        <v>117</v>
      </c>
      <c r="C4" s="60" t="s">
        <v>107</v>
      </c>
      <c r="G4" s="58"/>
    </row>
    <row r="5" spans="2:7" x14ac:dyDescent="0.5">
      <c r="B5" s="59" t="s">
        <v>116</v>
      </c>
      <c r="C5" s="60" t="s">
        <v>165</v>
      </c>
      <c r="G5" s="58"/>
    </row>
    <row r="6" spans="2:7" x14ac:dyDescent="0.5">
      <c r="B6" s="59" t="s">
        <v>118</v>
      </c>
      <c r="C6" s="61">
        <v>1995</v>
      </c>
      <c r="G6" s="58"/>
    </row>
    <row r="7" spans="2:7" x14ac:dyDescent="0.5">
      <c r="B7" s="59" t="s">
        <v>119</v>
      </c>
      <c r="C7" s="62">
        <f ca="1">YEAR(TODAY())-C6</f>
        <v>31</v>
      </c>
      <c r="G7" s="58"/>
    </row>
    <row r="8" spans="2:7" x14ac:dyDescent="0.5">
      <c r="B8" s="59" t="s">
        <v>120</v>
      </c>
      <c r="C8" s="63">
        <v>2000</v>
      </c>
      <c r="G8" s="58"/>
    </row>
    <row r="9" spans="2:7" x14ac:dyDescent="0.5">
      <c r="B9" s="59" t="s">
        <v>121</v>
      </c>
      <c r="C9" s="64">
        <v>0</v>
      </c>
      <c r="G9" s="58"/>
    </row>
    <row r="10" spans="2:7" x14ac:dyDescent="0.5">
      <c r="B10" s="59" t="s">
        <v>122</v>
      </c>
      <c r="C10" s="65">
        <f>Holding_Period</f>
        <v>15</v>
      </c>
      <c r="G10" s="58"/>
    </row>
    <row r="11" spans="2:7" x14ac:dyDescent="0.5">
      <c r="G11" s="58"/>
    </row>
    <row r="12" spans="2:7" ht="15.75" x14ac:dyDescent="0.55000000000000004">
      <c r="B12" s="66" t="s">
        <v>123</v>
      </c>
      <c r="G12" s="57" t="s">
        <v>158</v>
      </c>
    </row>
    <row r="13" spans="2:7" x14ac:dyDescent="0.5">
      <c r="G13" s="58"/>
    </row>
    <row r="14" spans="2:7" x14ac:dyDescent="0.5">
      <c r="B14" s="59" t="s">
        <v>125</v>
      </c>
      <c r="C14" s="67" t="s">
        <v>162</v>
      </c>
      <c r="D14" s="67" t="s">
        <v>163</v>
      </c>
      <c r="E14" s="67" t="s">
        <v>164</v>
      </c>
      <c r="G14" s="58"/>
    </row>
    <row r="15" spans="2:7" x14ac:dyDescent="0.5">
      <c r="B15" s="68" t="s">
        <v>124</v>
      </c>
      <c r="C15" s="69">
        <f>C16/C8</f>
        <v>11000</v>
      </c>
      <c r="D15" s="70">
        <v>10000</v>
      </c>
      <c r="E15" s="69">
        <f>E16/C8</f>
        <v>9750</v>
      </c>
      <c r="G15" s="58"/>
    </row>
    <row r="16" spans="2:7" x14ac:dyDescent="0.5">
      <c r="B16" s="59" t="s">
        <v>126</v>
      </c>
      <c r="C16" s="71">
        <v>22000000</v>
      </c>
      <c r="D16" s="72">
        <f>D15*C$8</f>
        <v>20000000</v>
      </c>
      <c r="E16" s="73">
        <v>19500000</v>
      </c>
      <c r="G16" s="58"/>
    </row>
    <row r="17" spans="2:7" x14ac:dyDescent="0.5">
      <c r="B17" s="59" t="s">
        <v>127</v>
      </c>
      <c r="C17" s="104">
        <f>Assumptions!C9</f>
        <v>0.01</v>
      </c>
      <c r="D17" s="104"/>
      <c r="E17" s="104"/>
      <c r="G17" s="58"/>
    </row>
    <row r="18" spans="2:7" x14ac:dyDescent="0.5">
      <c r="B18" s="59" t="s">
        <v>128</v>
      </c>
      <c r="C18" s="74">
        <v>3.7499999999999999E-2</v>
      </c>
      <c r="D18" s="74">
        <v>3.4500000000000003E-2</v>
      </c>
      <c r="E18" s="74">
        <v>0.03</v>
      </c>
      <c r="G18" s="58"/>
    </row>
    <row r="19" spans="2:7" x14ac:dyDescent="0.5">
      <c r="B19" s="59" t="s">
        <v>129</v>
      </c>
      <c r="C19" s="105">
        <f>Assumptions!C10</f>
        <v>1E-3</v>
      </c>
      <c r="D19" s="105"/>
      <c r="E19" s="105"/>
      <c r="G19" s="58"/>
    </row>
    <row r="20" spans="2:7" x14ac:dyDescent="0.5">
      <c r="B20" s="59" t="s">
        <v>130</v>
      </c>
      <c r="C20" s="106">
        <f>Assumptions!C11</f>
        <v>20000</v>
      </c>
      <c r="D20" s="106"/>
      <c r="E20" s="106"/>
      <c r="G20" s="58"/>
    </row>
    <row r="21" spans="2:7" x14ac:dyDescent="0.5">
      <c r="B21" s="59" t="s">
        <v>131</v>
      </c>
      <c r="C21" s="106">
        <v>10000</v>
      </c>
      <c r="D21" s="106"/>
      <c r="E21" s="106"/>
      <c r="G21" s="58" t="s">
        <v>112</v>
      </c>
    </row>
    <row r="22" spans="2:7" ht="15.4" thickBot="1" x14ac:dyDescent="0.55000000000000004">
      <c r="B22" s="75" t="s">
        <v>132</v>
      </c>
      <c r="C22" s="76">
        <v>150000</v>
      </c>
      <c r="D22" s="76">
        <v>150000</v>
      </c>
      <c r="E22" s="76">
        <v>150000</v>
      </c>
      <c r="G22" s="58" t="s">
        <v>108</v>
      </c>
    </row>
    <row r="23" spans="2:7" ht="16.149999999999999" thickTop="1" x14ac:dyDescent="0.55000000000000004">
      <c r="B23" s="77" t="s">
        <v>133</v>
      </c>
      <c r="C23" s="78">
        <f>C16+C16*($C$17+C18+$C$19)+$C$20+$C$21+C22</f>
        <v>23247000</v>
      </c>
      <c r="D23" s="78">
        <f t="shared" ref="D23:E23" si="0">D16+D16*($C$17+D18+$C$19)+$C$20+$C$21+D22</f>
        <v>21090000</v>
      </c>
      <c r="E23" s="78">
        <f t="shared" si="0"/>
        <v>20479500</v>
      </c>
      <c r="G23" s="58"/>
    </row>
    <row r="24" spans="2:7" x14ac:dyDescent="0.5">
      <c r="G24" s="58"/>
    </row>
    <row r="25" spans="2:7" ht="15.75" x14ac:dyDescent="0.55000000000000004">
      <c r="B25" s="66" t="s">
        <v>134</v>
      </c>
      <c r="G25" s="57" t="s">
        <v>158</v>
      </c>
    </row>
    <row r="26" spans="2:7" ht="14.25" customHeight="1" x14ac:dyDescent="0.5">
      <c r="C26" s="79"/>
      <c r="G26" s="58"/>
    </row>
    <row r="27" spans="2:7" x14ac:dyDescent="0.5">
      <c r="B27" s="59" t="s">
        <v>135</v>
      </c>
      <c r="C27" s="80">
        <v>3.3000000000000015E-2</v>
      </c>
      <c r="G27" s="58"/>
    </row>
    <row r="28" spans="2:7" x14ac:dyDescent="0.5">
      <c r="B28" s="68" t="s">
        <v>136</v>
      </c>
      <c r="C28" s="81">
        <f>D16</f>
        <v>20000000</v>
      </c>
      <c r="G28" s="58"/>
    </row>
    <row r="29" spans="2:7" ht="15.75" x14ac:dyDescent="0.5">
      <c r="B29" s="77" t="s">
        <v>137</v>
      </c>
      <c r="C29" s="82">
        <f>C28*C$27/12</f>
        <v>55000.000000000029</v>
      </c>
      <c r="G29" s="58"/>
    </row>
    <row r="30" spans="2:7" ht="15.75" x14ac:dyDescent="0.5">
      <c r="B30" s="83"/>
      <c r="C30" s="84"/>
      <c r="G30" s="58"/>
    </row>
    <row r="31" spans="2:7" x14ac:dyDescent="0.5">
      <c r="B31" s="59" t="s">
        <v>138</v>
      </c>
      <c r="C31" s="84">
        <f>C$9*C$8</f>
        <v>0</v>
      </c>
      <c r="D31" s="85">
        <f>C31/C29</f>
        <v>0</v>
      </c>
      <c r="G31" s="58"/>
    </row>
    <row r="32" spans="2:7" x14ac:dyDescent="0.5">
      <c r="B32" s="59" t="s">
        <v>139</v>
      </c>
      <c r="C32" s="84">
        <f>$C$29*D32</f>
        <v>2750.0000000000018</v>
      </c>
      <c r="D32" s="86">
        <f>Assumptions!C15</f>
        <v>0.05</v>
      </c>
      <c r="G32" s="58"/>
    </row>
    <row r="33" spans="2:7" x14ac:dyDescent="0.5">
      <c r="B33" s="59" t="s">
        <v>140</v>
      </c>
      <c r="C33" s="84">
        <f t="shared" ref="C33:C36" si="1">$C$29*D33</f>
        <v>1650.0000000000009</v>
      </c>
      <c r="D33" s="85">
        <f>Assumptions!C16</f>
        <v>0.03</v>
      </c>
      <c r="G33" s="58"/>
    </row>
    <row r="34" spans="2:7" x14ac:dyDescent="0.5">
      <c r="B34" s="59" t="s">
        <v>141</v>
      </c>
      <c r="C34" s="84">
        <f t="shared" si="1"/>
        <v>1100.0000000000007</v>
      </c>
      <c r="D34" s="87">
        <v>0.02</v>
      </c>
      <c r="G34" s="58" t="s">
        <v>113</v>
      </c>
    </row>
    <row r="35" spans="2:7" x14ac:dyDescent="0.5">
      <c r="B35" s="59" t="s">
        <v>142</v>
      </c>
      <c r="C35" s="84">
        <f t="shared" si="1"/>
        <v>550.00000000000034</v>
      </c>
      <c r="D35" s="87">
        <v>0.01</v>
      </c>
      <c r="G35" s="58"/>
    </row>
    <row r="36" spans="2:7" x14ac:dyDescent="0.5">
      <c r="B36" s="59" t="s">
        <v>143</v>
      </c>
      <c r="C36" s="84">
        <f t="shared" si="1"/>
        <v>5500.0000000000036</v>
      </c>
      <c r="D36" s="87">
        <v>0.1</v>
      </c>
      <c r="G36" s="58" t="s">
        <v>109</v>
      </c>
    </row>
    <row r="37" spans="2:7" ht="15.4" thickBot="1" x14ac:dyDescent="0.55000000000000004">
      <c r="B37" s="75" t="s">
        <v>144</v>
      </c>
      <c r="C37" s="88">
        <v>0</v>
      </c>
      <c r="D37" s="89">
        <f>C37/C29</f>
        <v>0</v>
      </c>
      <c r="G37" s="58"/>
    </row>
    <row r="38" spans="2:7" ht="16.149999999999999" thickTop="1" x14ac:dyDescent="0.5">
      <c r="B38" s="77" t="s">
        <v>159</v>
      </c>
      <c r="C38" s="82">
        <f>C29-SUM(C31:C37)</f>
        <v>43450.000000000022</v>
      </c>
      <c r="D38" s="85">
        <f>C38/C29</f>
        <v>0.78999999999999992</v>
      </c>
      <c r="G38" s="58"/>
    </row>
    <row r="39" spans="2:7" ht="15.75" x14ac:dyDescent="0.5">
      <c r="B39" s="77" t="s">
        <v>145</v>
      </c>
      <c r="C39" s="90">
        <f>Assumptions!C19</f>
        <v>0.02</v>
      </c>
      <c r="G39" s="58"/>
    </row>
    <row r="40" spans="2:7" x14ac:dyDescent="0.5">
      <c r="G40" s="58"/>
    </row>
    <row r="41" spans="2:7" ht="15.75" x14ac:dyDescent="0.55000000000000004">
      <c r="B41" s="66" t="s">
        <v>146</v>
      </c>
      <c r="G41" s="57" t="s">
        <v>158</v>
      </c>
    </row>
    <row r="42" spans="2:7" x14ac:dyDescent="0.5">
      <c r="G42" s="58"/>
    </row>
    <row r="43" spans="2:7" x14ac:dyDescent="0.5">
      <c r="B43" s="59" t="s">
        <v>147</v>
      </c>
      <c r="C43" s="91">
        <v>0.3</v>
      </c>
      <c r="G43" s="58" t="s">
        <v>111</v>
      </c>
    </row>
    <row r="44" spans="2:7" x14ac:dyDescent="0.5">
      <c r="B44" s="68" t="s">
        <v>148</v>
      </c>
      <c r="C44" s="92">
        <f>(1+C43)^(1/C10)-1</f>
        <v>1.7644813405053306E-2</v>
      </c>
      <c r="G44" s="58"/>
    </row>
    <row r="45" spans="2:7" ht="15.75" x14ac:dyDescent="0.5">
      <c r="B45" s="77" t="s">
        <v>149</v>
      </c>
      <c r="C45" s="93">
        <f>D16*(1+C$43)</f>
        <v>26000000</v>
      </c>
      <c r="G45" s="58"/>
    </row>
    <row r="46" spans="2:7" x14ac:dyDescent="0.5">
      <c r="G46" s="58"/>
    </row>
    <row r="47" spans="2:7" ht="15.75" x14ac:dyDescent="0.55000000000000004">
      <c r="B47" s="66" t="s">
        <v>150</v>
      </c>
      <c r="G47" s="57" t="s">
        <v>158</v>
      </c>
    </row>
    <row r="48" spans="2:7" x14ac:dyDescent="0.5">
      <c r="G48" s="58"/>
    </row>
    <row r="49" spans="2:7" x14ac:dyDescent="0.5">
      <c r="B49" s="59" t="s">
        <v>125</v>
      </c>
      <c r="C49" s="94" t="str">
        <f>C14</f>
        <v>要價</v>
      </c>
      <c r="D49" s="94" t="str">
        <f>D14</f>
        <v>可比售價</v>
      </c>
      <c r="E49" s="94" t="str">
        <f>E14</f>
        <v>IRR中性售價</v>
      </c>
      <c r="G49" s="58"/>
    </row>
    <row r="50" spans="2:7" x14ac:dyDescent="0.5">
      <c r="B50" s="59" t="s">
        <v>151</v>
      </c>
      <c r="C50" s="72">
        <f>C16</f>
        <v>22000000</v>
      </c>
      <c r="D50" s="72">
        <f t="shared" ref="D50:E50" si="2">D16</f>
        <v>20000000</v>
      </c>
      <c r="E50" s="72">
        <f t="shared" si="2"/>
        <v>19500000</v>
      </c>
      <c r="G50" s="58"/>
    </row>
    <row r="51" spans="2:7" x14ac:dyDescent="0.5">
      <c r="B51" s="59" t="s">
        <v>133</v>
      </c>
      <c r="C51" s="95">
        <f>C23</f>
        <v>23247000</v>
      </c>
      <c r="D51" s="95">
        <f>D23</f>
        <v>21090000</v>
      </c>
      <c r="E51" s="95">
        <f>E23</f>
        <v>20479500</v>
      </c>
      <c r="G51" s="58"/>
    </row>
    <row r="52" spans="2:7" x14ac:dyDescent="0.5">
      <c r="B52" s="59" t="s">
        <v>160</v>
      </c>
      <c r="C52" s="107">
        <f>C$38*12</f>
        <v>521400.00000000023</v>
      </c>
      <c r="D52" s="107"/>
      <c r="E52" s="107"/>
      <c r="G52" s="58"/>
    </row>
    <row r="53" spans="2:7" ht="15.4" thickBot="1" x14ac:dyDescent="0.55000000000000004">
      <c r="B53" s="75" t="s">
        <v>152</v>
      </c>
      <c r="C53" s="103">
        <f>C$45</f>
        <v>26000000</v>
      </c>
      <c r="D53" s="103"/>
      <c r="E53" s="103"/>
      <c r="G53" s="58"/>
    </row>
    <row r="54" spans="2:7" ht="16.149999999999999" thickTop="1" x14ac:dyDescent="0.55000000000000004">
      <c r="B54" s="77" t="s">
        <v>153</v>
      </c>
      <c r="C54" s="96">
        <f>RATE(15, $C52*(1+$C$39), -C51, $C53 / (1+$C$39)^15) + $C$39</f>
        <v>3.2569232155100998E-2</v>
      </c>
      <c r="D54" s="96">
        <f t="shared" ref="D54:E54" si="3">RATE(15, $C52*(1+$C$39), -D51, $C53 / (1+$C$39)^15) + $C$39</f>
        <v>4.0372636869005607E-2</v>
      </c>
      <c r="E54" s="96">
        <f t="shared" si="3"/>
        <v>4.2755034579381089E-2</v>
      </c>
      <c r="G54" s="58"/>
    </row>
    <row r="55" spans="2:7" x14ac:dyDescent="0.5">
      <c r="G55" s="58"/>
    </row>
    <row r="56" spans="2:7" ht="15.75" x14ac:dyDescent="0.5">
      <c r="B56" s="97" t="s">
        <v>154</v>
      </c>
      <c r="G56" s="58"/>
    </row>
    <row r="57" spans="2:7" x14ac:dyDescent="0.5">
      <c r="B57" s="56" t="s">
        <v>155</v>
      </c>
      <c r="G57" s="58"/>
    </row>
    <row r="58" spans="2:7" x14ac:dyDescent="0.5">
      <c r="B58" s="56" t="s">
        <v>156</v>
      </c>
      <c r="G58" s="58"/>
    </row>
    <row r="59" spans="2:7" x14ac:dyDescent="0.5">
      <c r="B59" s="56" t="s">
        <v>157</v>
      </c>
      <c r="G59" s="58"/>
    </row>
  </sheetData>
  <dataConsolidate/>
  <mergeCells count="6">
    <mergeCell ref="C53:E53"/>
    <mergeCell ref="C17:E17"/>
    <mergeCell ref="C19:E19"/>
    <mergeCell ref="C20:E20"/>
    <mergeCell ref="C21:E21"/>
    <mergeCell ref="C52:E52"/>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topLeftCell="A40" zoomScale="94" zoomScaleNormal="100" workbookViewId="0">
      <selection activeCell="B57" sqref="B5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76</v>
      </c>
    </row>
    <row r="4" spans="2:5" x14ac:dyDescent="0.45">
      <c r="B4" s="30" t="s">
        <v>37</v>
      </c>
      <c r="C4" s="15" t="s">
        <v>98</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71</v>
      </c>
      <c r="C8" s="18">
        <v>485</v>
      </c>
    </row>
    <row r="9" spans="2:5" x14ac:dyDescent="0.45">
      <c r="B9" s="30" t="s">
        <v>72</v>
      </c>
      <c r="C9" s="19">
        <v>2.2000000000000002</v>
      </c>
    </row>
    <row r="10" spans="2:5" x14ac:dyDescent="0.45">
      <c r="B10" s="30" t="s">
        <v>34</v>
      </c>
      <c r="C10" s="46">
        <f>Holding_Period</f>
        <v>15</v>
      </c>
    </row>
    <row r="12" spans="2:5" x14ac:dyDescent="0.45">
      <c r="B12" s="27" t="s">
        <v>78</v>
      </c>
    </row>
    <row r="14" spans="2:5" x14ac:dyDescent="0.45">
      <c r="B14" s="30" t="s">
        <v>35</v>
      </c>
      <c r="C14" s="6" t="s">
        <v>43</v>
      </c>
      <c r="D14" s="6" t="s">
        <v>36</v>
      </c>
      <c r="E14" s="6" t="s">
        <v>95</v>
      </c>
    </row>
    <row r="15" spans="2:5" x14ac:dyDescent="0.45">
      <c r="B15" s="31" t="s">
        <v>73</v>
      </c>
      <c r="C15" s="25">
        <f>C16/C8</f>
        <v>16082.474226804125</v>
      </c>
      <c r="D15" s="26">
        <v>15500</v>
      </c>
      <c r="E15" s="25">
        <f>E16/C8</f>
        <v>14969.072164948453</v>
      </c>
    </row>
    <row r="16" spans="2:5" x14ac:dyDescent="0.45">
      <c r="B16" s="30" t="s">
        <v>47</v>
      </c>
      <c r="C16" s="14">
        <v>7800000</v>
      </c>
      <c r="D16" s="20">
        <f>D15*C$8</f>
        <v>7517500</v>
      </c>
      <c r="E16" s="40">
        <v>7260000</v>
      </c>
    </row>
    <row r="17" spans="2:5" x14ac:dyDescent="0.45">
      <c r="B17" s="30" t="s">
        <v>59</v>
      </c>
      <c r="C17" s="100">
        <f>Assumptions!C9</f>
        <v>0.01</v>
      </c>
      <c r="D17" s="100"/>
      <c r="E17" s="100"/>
    </row>
    <row r="18" spans="2:5" x14ac:dyDescent="0.45">
      <c r="B18" s="30" t="s">
        <v>56</v>
      </c>
      <c r="C18" s="10">
        <v>0.03</v>
      </c>
      <c r="D18" s="10">
        <v>0.03</v>
      </c>
      <c r="E18" s="10">
        <v>0.03</v>
      </c>
    </row>
    <row r="19" spans="2:5" x14ac:dyDescent="0.45">
      <c r="B19" s="30" t="s">
        <v>58</v>
      </c>
      <c r="C19" s="101">
        <f>Assumptions!C10</f>
        <v>1E-3</v>
      </c>
      <c r="D19" s="101"/>
      <c r="E19" s="101"/>
    </row>
    <row r="20" spans="2:5" x14ac:dyDescent="0.45">
      <c r="B20" s="30" t="s">
        <v>103</v>
      </c>
      <c r="C20" s="102">
        <f>Assumptions!C11</f>
        <v>20000</v>
      </c>
      <c r="D20" s="102"/>
      <c r="E20" s="102"/>
    </row>
    <row r="21" spans="2:5" x14ac:dyDescent="0.45">
      <c r="B21" s="30" t="s">
        <v>104</v>
      </c>
      <c r="C21" s="102">
        <f>Assumptions!C12</f>
        <v>5000</v>
      </c>
      <c r="D21" s="102"/>
      <c r="E21" s="102"/>
    </row>
    <row r="22" spans="2:5" ht="14.65" thickBot="1" x14ac:dyDescent="0.5">
      <c r="B22" s="32" t="s">
        <v>100</v>
      </c>
      <c r="C22" s="49">
        <v>0</v>
      </c>
      <c r="D22" s="49">
        <v>0</v>
      </c>
      <c r="E22" s="49">
        <v>0</v>
      </c>
    </row>
    <row r="23" spans="2:5" ht="14.65" thickTop="1" x14ac:dyDescent="0.45">
      <c r="B23" s="21" t="s">
        <v>60</v>
      </c>
      <c r="C23" s="22">
        <f>C16+C16*($C$17+C18+$C$19)+$C$20+C22</f>
        <v>8139800</v>
      </c>
      <c r="D23" s="22">
        <f t="shared" ref="D23:E23" si="0">D16+D16*($C$17+D18+$C$19)+$C$20+D22</f>
        <v>7845717.5</v>
      </c>
      <c r="E23" s="22">
        <f t="shared" si="0"/>
        <v>7577660</v>
      </c>
    </row>
    <row r="25" spans="2:5" x14ac:dyDescent="0.45">
      <c r="B25" s="27" t="s">
        <v>77</v>
      </c>
    </row>
    <row r="26" spans="2:5" ht="14.25" customHeight="1" x14ac:dyDescent="0.45">
      <c r="C26" s="5"/>
    </row>
    <row r="27" spans="2:5" x14ac:dyDescent="0.45">
      <c r="B27" s="30" t="s">
        <v>61</v>
      </c>
      <c r="C27" s="47">
        <v>3.1E-2</v>
      </c>
    </row>
    <row r="28" spans="2:5" x14ac:dyDescent="0.45">
      <c r="B28" s="31" t="s">
        <v>40</v>
      </c>
      <c r="C28" s="29">
        <f>D16</f>
        <v>7517500</v>
      </c>
    </row>
    <row r="29" spans="2:5" x14ac:dyDescent="0.45">
      <c r="B29" s="21" t="s">
        <v>62</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971.01041666666663</v>
      </c>
      <c r="D32" s="54">
        <f>Assumptions!C15</f>
        <v>0.05</v>
      </c>
    </row>
    <row r="33" spans="2:4" x14ac:dyDescent="0.45">
      <c r="B33" s="30" t="s">
        <v>26</v>
      </c>
      <c r="C33" s="24">
        <f t="shared" ref="C33:C36" si="1">$C$29*D33</f>
        <v>582.60624999999993</v>
      </c>
      <c r="D33" s="50">
        <f>Assumptions!C16</f>
        <v>0.03</v>
      </c>
    </row>
    <row r="34" spans="2:4" x14ac:dyDescent="0.45">
      <c r="B34" s="30" t="s">
        <v>101</v>
      </c>
      <c r="C34" s="24">
        <f t="shared" si="1"/>
        <v>971.01041666666663</v>
      </c>
      <c r="D34" s="3">
        <f>Assumptions!C17</f>
        <v>0.05</v>
      </c>
    </row>
    <row r="35" spans="2:4" x14ac:dyDescent="0.45">
      <c r="B35" s="30" t="s">
        <v>102</v>
      </c>
      <c r="C35" s="24">
        <f t="shared" ca="1" si="1"/>
        <v>0</v>
      </c>
      <c r="D35" s="3">
        <f ca="1">IF(C$7&gt;=30,2%,0)</f>
        <v>0</v>
      </c>
    </row>
    <row r="36" spans="2:4" x14ac:dyDescent="0.45">
      <c r="B36" s="30" t="s">
        <v>16</v>
      </c>
      <c r="C36" s="24">
        <f t="shared" si="1"/>
        <v>388.40416666666664</v>
      </c>
      <c r="D36" s="3">
        <f>Assumptions!C18</f>
        <v>0.02</v>
      </c>
    </row>
    <row r="37" spans="2:4" ht="14.65" thickBot="1" x14ac:dyDescent="0.5">
      <c r="B37" s="32" t="s">
        <v>41</v>
      </c>
      <c r="C37" s="33">
        <v>0</v>
      </c>
      <c r="D37" s="52">
        <f>C37/C29</f>
        <v>0</v>
      </c>
    </row>
    <row r="38" spans="2:4" ht="14.65" thickTop="1" x14ac:dyDescent="0.45">
      <c r="B38" s="21" t="s">
        <v>63</v>
      </c>
      <c r="C38" s="44">
        <f ca="1">C29-SUM(C31:C37)</f>
        <v>15440.177083333332</v>
      </c>
      <c r="D38" s="50">
        <f ca="1">C38/C29</f>
        <v>0.79505723204994794</v>
      </c>
    </row>
    <row r="39" spans="2:4" x14ac:dyDescent="0.45">
      <c r="B39" s="21" t="s">
        <v>46</v>
      </c>
      <c r="C39" s="45">
        <f>Assumptions!C19</f>
        <v>0.02</v>
      </c>
    </row>
    <row r="41" spans="2:4" x14ac:dyDescent="0.45">
      <c r="B41" s="27" t="s">
        <v>82</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83</v>
      </c>
    </row>
    <row r="49" spans="2:5" x14ac:dyDescent="0.45">
      <c r="B49" s="30" t="s">
        <v>35</v>
      </c>
      <c r="C49" s="35" t="str">
        <f>C14</f>
        <v>Asking Price</v>
      </c>
      <c r="D49" s="35" t="str">
        <f>D14</f>
        <v>Comparable</v>
      </c>
      <c r="E49" s="35" t="str">
        <f>E14</f>
        <v>IRR Netural Price</v>
      </c>
    </row>
    <row r="50" spans="2:5" x14ac:dyDescent="0.45">
      <c r="B50" s="30" t="s">
        <v>65</v>
      </c>
      <c r="C50" s="20">
        <f>C16</f>
        <v>7800000</v>
      </c>
      <c r="D50" s="20">
        <f>D16</f>
        <v>7517500</v>
      </c>
      <c r="E50" s="20">
        <f>E16</f>
        <v>7260000</v>
      </c>
    </row>
    <row r="51" spans="2:5" x14ac:dyDescent="0.45">
      <c r="B51" s="30" t="s">
        <v>60</v>
      </c>
      <c r="C51" s="23">
        <f>C23</f>
        <v>8139800</v>
      </c>
      <c r="D51" s="23">
        <f>D23</f>
        <v>7845717.5</v>
      </c>
      <c r="E51" s="23">
        <f>E23</f>
        <v>7577660</v>
      </c>
    </row>
    <row r="52" spans="2:5" x14ac:dyDescent="0.45">
      <c r="B52" s="30" t="s">
        <v>44</v>
      </c>
      <c r="C52" s="98">
        <f ca="1">C$38*12</f>
        <v>185282.125</v>
      </c>
      <c r="D52" s="98"/>
      <c r="E52" s="98"/>
    </row>
    <row r="53" spans="2:5" ht="14.65" thickBot="1" x14ac:dyDescent="0.5">
      <c r="B53" s="32" t="s">
        <v>45</v>
      </c>
      <c r="C53" s="99">
        <f>C$45</f>
        <v>9772750</v>
      </c>
      <c r="D53" s="99"/>
      <c r="E53" s="99"/>
    </row>
    <row r="54" spans="2:5" ht="14.65" thickTop="1" x14ac:dyDescent="0.45">
      <c r="B54" s="21" t="s">
        <v>66</v>
      </c>
      <c r="C54" s="43">
        <f ca="1">RATE(15, $C52*(1+$C$39), -C51, $C53 / (1+$C$39)^15) + $C$39</f>
        <v>3.6832714190914793E-2</v>
      </c>
      <c r="D54" s="43">
        <f t="shared" ref="D54:E54" ca="1" si="2">RATE(15, $C52*(1+$C$39), -D51, $C53 / (1+$C$39)^15) + $C$39</f>
        <v>3.9773599542230753E-2</v>
      </c>
      <c r="E54" s="43">
        <f t="shared" ca="1" si="2"/>
        <v>4.2570446092166862E-2</v>
      </c>
    </row>
    <row r="56" spans="2:5" x14ac:dyDescent="0.45">
      <c r="B56" s="36" t="s">
        <v>161</v>
      </c>
    </row>
    <row r="57" spans="2:5" x14ac:dyDescent="0.45">
      <c r="B57" t="s">
        <v>67</v>
      </c>
    </row>
    <row r="58" spans="2:5" x14ac:dyDescent="0.45">
      <c r="B58" t="s">
        <v>68</v>
      </c>
    </row>
    <row r="59" spans="2:5" x14ac:dyDescent="0.45">
      <c r="B59" t="s">
        <v>69</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E59"/>
  <sheetViews>
    <sheetView showGridLines="0" zoomScale="94" zoomScaleNormal="100" workbookViewId="0">
      <selection activeCell="B57" sqref="B5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76</v>
      </c>
    </row>
    <row r="4" spans="2:5" x14ac:dyDescent="0.45">
      <c r="B4" s="30" t="s">
        <v>37</v>
      </c>
      <c r="C4" s="15" t="s">
        <v>99</v>
      </c>
    </row>
    <row r="5" spans="2:5" x14ac:dyDescent="0.45">
      <c r="B5" s="30" t="s">
        <v>5</v>
      </c>
      <c r="C5" s="15" t="s">
        <v>6</v>
      </c>
    </row>
    <row r="6" spans="2:5" x14ac:dyDescent="0.45">
      <c r="B6" s="30" t="s">
        <v>22</v>
      </c>
      <c r="C6" s="16">
        <v>1995</v>
      </c>
    </row>
    <row r="7" spans="2:5" x14ac:dyDescent="0.45">
      <c r="B7" s="30" t="s">
        <v>32</v>
      </c>
      <c r="C7" s="17">
        <f ca="1">YEAR(TODAY())-C6</f>
        <v>31</v>
      </c>
    </row>
    <row r="8" spans="2:5" x14ac:dyDescent="0.45">
      <c r="B8" s="30" t="s">
        <v>71</v>
      </c>
      <c r="C8" s="18">
        <v>315</v>
      </c>
    </row>
    <row r="9" spans="2:5" x14ac:dyDescent="0.45">
      <c r="B9" s="30" t="s">
        <v>72</v>
      </c>
      <c r="C9" s="19">
        <v>2</v>
      </c>
    </row>
    <row r="10" spans="2:5" x14ac:dyDescent="0.45">
      <c r="B10" s="30" t="s">
        <v>34</v>
      </c>
      <c r="C10" s="46">
        <f>Holding_Period</f>
        <v>15</v>
      </c>
    </row>
    <row r="12" spans="2:5" x14ac:dyDescent="0.45">
      <c r="B12" s="27" t="s">
        <v>78</v>
      </c>
    </row>
    <row r="14" spans="2:5" x14ac:dyDescent="0.45">
      <c r="B14" s="30" t="s">
        <v>35</v>
      </c>
      <c r="C14" s="6" t="s">
        <v>43</v>
      </c>
      <c r="D14" s="6" t="s">
        <v>36</v>
      </c>
      <c r="E14" s="6" t="s">
        <v>95</v>
      </c>
    </row>
    <row r="15" spans="2:5" x14ac:dyDescent="0.45">
      <c r="B15" s="31" t="s">
        <v>73</v>
      </c>
      <c r="C15" s="25">
        <f>C16/C8</f>
        <v>13587.301587301587</v>
      </c>
      <c r="D15" s="26">
        <v>13587</v>
      </c>
      <c r="E15" s="25">
        <f>E16/C8</f>
        <v>11619.047619047618</v>
      </c>
    </row>
    <row r="16" spans="2:5" x14ac:dyDescent="0.45">
      <c r="B16" s="30" t="s">
        <v>47</v>
      </c>
      <c r="C16" s="14">
        <v>4280000</v>
      </c>
      <c r="D16" s="20">
        <f>D15*C$8</f>
        <v>4279905</v>
      </c>
      <c r="E16" s="40">
        <v>3660000</v>
      </c>
    </row>
    <row r="17" spans="2:5" x14ac:dyDescent="0.45">
      <c r="B17" s="30" t="s">
        <v>59</v>
      </c>
      <c r="C17" s="100">
        <f>Assumptions!C9</f>
        <v>0.01</v>
      </c>
      <c r="D17" s="100"/>
      <c r="E17" s="100"/>
    </row>
    <row r="18" spans="2:5" x14ac:dyDescent="0.45">
      <c r="B18" s="30" t="s">
        <v>56</v>
      </c>
      <c r="C18" s="10">
        <v>5.5E-2</v>
      </c>
      <c r="D18" s="10">
        <f>C18</f>
        <v>5.5E-2</v>
      </c>
      <c r="E18" s="10">
        <f>D18</f>
        <v>5.5E-2</v>
      </c>
    </row>
    <row r="19" spans="2:5" x14ac:dyDescent="0.45">
      <c r="B19" s="30" t="s">
        <v>58</v>
      </c>
      <c r="C19" s="101">
        <f>Assumptions!C10</f>
        <v>1E-3</v>
      </c>
      <c r="D19" s="101"/>
      <c r="E19" s="101"/>
    </row>
    <row r="20" spans="2:5" x14ac:dyDescent="0.45">
      <c r="B20" s="30" t="s">
        <v>103</v>
      </c>
      <c r="C20" s="102">
        <f>Assumptions!C11</f>
        <v>20000</v>
      </c>
      <c r="D20" s="102"/>
      <c r="E20" s="102"/>
    </row>
    <row r="21" spans="2:5" x14ac:dyDescent="0.45">
      <c r="B21" s="30" t="s">
        <v>104</v>
      </c>
      <c r="C21" s="102">
        <f>Assumptions!C12</f>
        <v>5000</v>
      </c>
      <c r="D21" s="102"/>
      <c r="E21" s="102"/>
    </row>
    <row r="22" spans="2:5" ht="14.65" thickBot="1" x14ac:dyDescent="0.5">
      <c r="B22" s="32" t="s">
        <v>100</v>
      </c>
      <c r="C22" s="49">
        <v>135000</v>
      </c>
      <c r="D22" s="49">
        <v>135000</v>
      </c>
      <c r="E22" s="49">
        <v>135000</v>
      </c>
    </row>
    <row r="23" spans="2:5" ht="14.65" thickTop="1" x14ac:dyDescent="0.45">
      <c r="B23" s="21" t="s">
        <v>60</v>
      </c>
      <c r="C23" s="22">
        <f>C16+C16*($C$17+C18+$C$19)+$C$20+C22</f>
        <v>4717480</v>
      </c>
      <c r="D23" s="22">
        <f t="shared" ref="D23:E23" si="0">D16+D16*($C$17+D18+$C$19)+$C$20+D22</f>
        <v>4717378.7300000004</v>
      </c>
      <c r="E23" s="22">
        <f t="shared" si="0"/>
        <v>4056560</v>
      </c>
    </row>
    <row r="25" spans="2:5" x14ac:dyDescent="0.45">
      <c r="B25" s="27" t="s">
        <v>77</v>
      </c>
    </row>
    <row r="26" spans="2:5" ht="14.25" customHeight="1" x14ac:dyDescent="0.45">
      <c r="C26" s="5"/>
    </row>
    <row r="27" spans="2:5" x14ac:dyDescent="0.45">
      <c r="B27" s="30" t="s">
        <v>61</v>
      </c>
      <c r="C27" s="47">
        <v>4.2057008274716381E-2</v>
      </c>
    </row>
    <row r="28" spans="2:5" x14ac:dyDescent="0.45">
      <c r="B28" s="31" t="s">
        <v>40</v>
      </c>
      <c r="C28" s="29">
        <f>D16</f>
        <v>4279905</v>
      </c>
    </row>
    <row r="29" spans="2:5" x14ac:dyDescent="0.45">
      <c r="B29" s="21" t="s">
        <v>62</v>
      </c>
      <c r="C29" s="44">
        <f>C28*C$27/12</f>
        <v>15000.000000000002</v>
      </c>
    </row>
    <row r="30" spans="2:5" x14ac:dyDescent="0.45">
      <c r="B30" s="7"/>
      <c r="C30" s="24"/>
    </row>
    <row r="31" spans="2:5" x14ac:dyDescent="0.45">
      <c r="B31" s="30" t="s">
        <v>7</v>
      </c>
      <c r="C31" s="24">
        <f>C$9*C$8</f>
        <v>630</v>
      </c>
      <c r="D31" s="50">
        <f>C31/C29</f>
        <v>4.1999999999999996E-2</v>
      </c>
    </row>
    <row r="32" spans="2:5" x14ac:dyDescent="0.45">
      <c r="B32" s="30" t="s">
        <v>20</v>
      </c>
      <c r="C32" s="24">
        <f>$C$29*D32</f>
        <v>750.00000000000011</v>
      </c>
      <c r="D32" s="54">
        <f>Assumptions!C15</f>
        <v>0.05</v>
      </c>
    </row>
    <row r="33" spans="2:4" x14ac:dyDescent="0.45">
      <c r="B33" s="30" t="s">
        <v>26</v>
      </c>
      <c r="C33" s="24">
        <f t="shared" ref="C33:C36" si="1">$C$29*D33</f>
        <v>450.00000000000006</v>
      </c>
      <c r="D33" s="50">
        <f>Assumptions!C16</f>
        <v>0.03</v>
      </c>
    </row>
    <row r="34" spans="2:4" x14ac:dyDescent="0.45">
      <c r="B34" s="30" t="s">
        <v>101</v>
      </c>
      <c r="C34" s="24">
        <f t="shared" si="1"/>
        <v>750.00000000000011</v>
      </c>
      <c r="D34" s="3">
        <f>Assumptions!C17</f>
        <v>0.05</v>
      </c>
    </row>
    <row r="35" spans="2:4" x14ac:dyDescent="0.45">
      <c r="B35" s="30" t="s">
        <v>102</v>
      </c>
      <c r="C35" s="24">
        <f t="shared" ca="1" si="1"/>
        <v>300.00000000000006</v>
      </c>
      <c r="D35" s="3">
        <f ca="1">IF(C$7&gt;=30,2%,0)</f>
        <v>0.02</v>
      </c>
    </row>
    <row r="36" spans="2:4" x14ac:dyDescent="0.45">
      <c r="B36" s="30" t="s">
        <v>16</v>
      </c>
      <c r="C36" s="24">
        <f t="shared" si="1"/>
        <v>300.00000000000006</v>
      </c>
      <c r="D36" s="3">
        <f>Assumptions!C18</f>
        <v>0.02</v>
      </c>
    </row>
    <row r="37" spans="2:4" ht="14.65" thickBot="1" x14ac:dyDescent="0.5">
      <c r="B37" s="32" t="s">
        <v>41</v>
      </c>
      <c r="C37" s="33">
        <v>0</v>
      </c>
      <c r="D37" s="52">
        <f>C37/C29</f>
        <v>0</v>
      </c>
    </row>
    <row r="38" spans="2:4" ht="14.65" thickTop="1" x14ac:dyDescent="0.45">
      <c r="B38" s="21" t="s">
        <v>63</v>
      </c>
      <c r="C38" s="44">
        <f ca="1">C29-SUM(C31:C37)</f>
        <v>11820.000000000002</v>
      </c>
      <c r="D38" s="50">
        <f ca="1">C38/C29</f>
        <v>0.78800000000000003</v>
      </c>
    </row>
    <row r="39" spans="2:4" x14ac:dyDescent="0.45">
      <c r="B39" s="21" t="s">
        <v>46</v>
      </c>
      <c r="C39" s="45">
        <f>Assumptions!C19</f>
        <v>0.02</v>
      </c>
    </row>
    <row r="41" spans="2:4" x14ac:dyDescent="0.45">
      <c r="B41" s="27" t="s">
        <v>82</v>
      </c>
    </row>
    <row r="43" spans="2:4" x14ac:dyDescent="0.45">
      <c r="B43" s="30" t="s">
        <v>38</v>
      </c>
      <c r="C43" s="48">
        <v>0</v>
      </c>
    </row>
    <row r="44" spans="2:4" x14ac:dyDescent="0.45">
      <c r="B44" s="31" t="s">
        <v>42</v>
      </c>
      <c r="C44" s="41">
        <f>(1+C43)^(1/C10)-1</f>
        <v>0</v>
      </c>
    </row>
    <row r="45" spans="2:4" x14ac:dyDescent="0.45">
      <c r="B45" s="21" t="s">
        <v>39</v>
      </c>
      <c r="C45" s="42">
        <f>D16*(1+C$43)</f>
        <v>4279905</v>
      </c>
    </row>
    <row r="47" spans="2:4" x14ac:dyDescent="0.45">
      <c r="B47" s="27" t="s">
        <v>83</v>
      </c>
    </row>
    <row r="49" spans="2:5" x14ac:dyDescent="0.45">
      <c r="B49" s="30" t="s">
        <v>35</v>
      </c>
      <c r="C49" s="35" t="str">
        <f>C14</f>
        <v>Asking Price</v>
      </c>
      <c r="D49" s="35" t="str">
        <f>D14</f>
        <v>Comparable</v>
      </c>
      <c r="E49" s="35" t="str">
        <f>E14</f>
        <v>IRR Netural Price</v>
      </c>
    </row>
    <row r="50" spans="2:5" x14ac:dyDescent="0.45">
      <c r="B50" s="30" t="s">
        <v>65</v>
      </c>
      <c r="C50" s="20">
        <f>C16</f>
        <v>4280000</v>
      </c>
      <c r="D50" s="20">
        <f>D16</f>
        <v>4279905</v>
      </c>
      <c r="E50" s="20">
        <f>E16</f>
        <v>3660000</v>
      </c>
    </row>
    <row r="51" spans="2:5" x14ac:dyDescent="0.45">
      <c r="B51" s="30" t="s">
        <v>60</v>
      </c>
      <c r="C51" s="23">
        <f>C23</f>
        <v>4717480</v>
      </c>
      <c r="D51" s="23">
        <f>D23</f>
        <v>4717378.7300000004</v>
      </c>
      <c r="E51" s="23">
        <f>E23</f>
        <v>4056560</v>
      </c>
    </row>
    <row r="52" spans="2:5" x14ac:dyDescent="0.45">
      <c r="B52" s="30" t="s">
        <v>44</v>
      </c>
      <c r="C52" s="98">
        <f ca="1">C$38*12</f>
        <v>141840.00000000003</v>
      </c>
      <c r="D52" s="98"/>
      <c r="E52" s="98"/>
    </row>
    <row r="53" spans="2:5" ht="14.65" thickBot="1" x14ac:dyDescent="0.5">
      <c r="B53" s="32" t="s">
        <v>45</v>
      </c>
      <c r="C53" s="99">
        <f>C$45</f>
        <v>4279905</v>
      </c>
      <c r="D53" s="99"/>
      <c r="E53" s="99"/>
    </row>
    <row r="54" spans="2:5" ht="14.65" thickTop="1" x14ac:dyDescent="0.45">
      <c r="B54" s="21" t="s">
        <v>66</v>
      </c>
      <c r="C54" s="43">
        <f ca="1">RATE(15, $C52*(1+$C$39), -C51, $C53 / (1+$C$39)^15) + $C$39</f>
        <v>3.0492697271019137E-2</v>
      </c>
      <c r="D54" s="43">
        <f t="shared" ref="D54:E54" ca="1" si="2">RATE(15, $C52*(1+$C$39), -D51, $C53 / (1+$C$39)^15) + $C$39</f>
        <v>3.0494512194345638E-2</v>
      </c>
      <c r="E54" s="43">
        <f t="shared" ca="1" si="2"/>
        <v>4.3481297128932075E-2</v>
      </c>
    </row>
    <row r="56" spans="2:5" x14ac:dyDescent="0.45">
      <c r="B56" s="36" t="s">
        <v>161</v>
      </c>
    </row>
    <row r="57" spans="2:5" x14ac:dyDescent="0.45">
      <c r="B57" t="s">
        <v>67</v>
      </c>
    </row>
    <row r="58" spans="2:5" x14ac:dyDescent="0.45">
      <c r="B58" t="s">
        <v>68</v>
      </c>
    </row>
    <row r="59" spans="2:5" x14ac:dyDescent="0.45">
      <c r="B59" t="s">
        <v>69</v>
      </c>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70</v>
      </c>
      <c r="C2" s="38"/>
      <c r="D2" s="37" t="s">
        <v>86</v>
      </c>
    </row>
    <row r="3" spans="2:4" x14ac:dyDescent="0.45">
      <c r="B3" s="38"/>
      <c r="C3" s="38"/>
      <c r="D3" s="38"/>
    </row>
    <row r="4" spans="2:4" ht="57" x14ac:dyDescent="0.45">
      <c r="B4" s="39" t="s">
        <v>93</v>
      </c>
      <c r="C4" s="38"/>
      <c r="D4" s="39" t="s">
        <v>94</v>
      </c>
    </row>
    <row r="5" spans="2:4" x14ac:dyDescent="0.45">
      <c r="B5" s="38"/>
      <c r="C5" s="38"/>
      <c r="D5" s="38"/>
    </row>
    <row r="6" spans="2:4" ht="128.25" x14ac:dyDescent="0.45">
      <c r="B6" s="39" t="s">
        <v>79</v>
      </c>
      <c r="C6" s="38"/>
      <c r="D6" s="39" t="s">
        <v>87</v>
      </c>
    </row>
    <row r="7" spans="2:4" x14ac:dyDescent="0.45">
      <c r="B7" s="38"/>
      <c r="C7" s="38"/>
      <c r="D7" s="38"/>
    </row>
    <row r="8" spans="2:4" ht="85.5" x14ac:dyDescent="0.45">
      <c r="B8" s="39" t="s">
        <v>81</v>
      </c>
      <c r="C8" s="38"/>
      <c r="D8" s="39" t="s">
        <v>88</v>
      </c>
    </row>
    <row r="9" spans="2:4" x14ac:dyDescent="0.45">
      <c r="B9" s="38"/>
      <c r="C9" s="38"/>
      <c r="D9" s="38"/>
    </row>
    <row r="10" spans="2:4" ht="85.5" x14ac:dyDescent="0.45">
      <c r="B10" s="39" t="s">
        <v>80</v>
      </c>
      <c r="C10" s="38"/>
      <c r="D10" s="39" t="s">
        <v>89</v>
      </c>
    </row>
    <row r="11" spans="2:4" x14ac:dyDescent="0.45">
      <c r="B11" s="38"/>
      <c r="C11" s="38"/>
      <c r="D11" s="38"/>
    </row>
    <row r="12" spans="2:4" x14ac:dyDescent="0.45">
      <c r="B12" s="38"/>
      <c r="C12" s="38"/>
      <c r="D12" s="38"/>
    </row>
    <row r="13" spans="2:4" ht="71.25" x14ac:dyDescent="0.45">
      <c r="B13" s="39" t="s">
        <v>74</v>
      </c>
      <c r="C13" s="38"/>
      <c r="D13" s="39" t="s">
        <v>90</v>
      </c>
    </row>
    <row r="14" spans="2:4" x14ac:dyDescent="0.45">
      <c r="B14" s="38"/>
      <c r="C14" s="38"/>
      <c r="D14" s="38"/>
    </row>
    <row r="15" spans="2:4" ht="128.25" x14ac:dyDescent="0.45">
      <c r="B15" s="39" t="s">
        <v>84</v>
      </c>
      <c r="C15" s="38"/>
      <c r="D15" s="39" t="s">
        <v>91</v>
      </c>
    </row>
    <row r="16" spans="2:4" x14ac:dyDescent="0.45">
      <c r="B16" s="38"/>
      <c r="C16" s="38"/>
      <c r="D16" s="38"/>
    </row>
    <row r="17" spans="2:4" ht="85.5" x14ac:dyDescent="0.45">
      <c r="B17" s="39" t="s">
        <v>85</v>
      </c>
      <c r="C17" s="38"/>
      <c r="D17" s="39" t="s">
        <v>92</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4</vt:i4>
      </vt:variant>
    </vt:vector>
  </HeadingPairs>
  <TitlesOfParts>
    <vt:vector size="10" baseType="lpstr">
      <vt:lpstr>Assumptions</vt:lpstr>
      <vt:lpstr>銀海山莊</vt:lpstr>
      <vt:lpstr>早禾坑</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2026-01-28T04:09:32Z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