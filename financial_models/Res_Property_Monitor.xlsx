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EB076F1C-585D-4606-BF52-BDEB9E366D62}" xr6:coauthVersionLast="47" xr6:coauthVersionMax="47" xr10:uidLastSave="{00000000-0000-0000-0000-000000000000}"/>
  <bookViews>
    <workbookView xWindow="-28920" yWindow="6150" windowWidth="29040" windowHeight="15720" activeTab="1" xr2:uid="{00000000-000D-0000-FFFF-FFFF00000000}"/>
  </bookViews>
  <sheets>
    <sheet name="Assumptions" sheetId="13" r:id="rId1"/>
    <sheet name="銀海山莊" sheetId="14" r:id="rId2"/>
    <sheet name="Quarry bay" sheetId="17" r:id="rId3"/>
    <sheet name="翠荷苑" sheetId="18" r:id="rId4"/>
    <sheet name="Logic_Summary" sheetId="15" r:id="rId5"/>
  </sheets>
  <definedNames>
    <definedName name="AuraStyleDefaultsReset" hidden="1">#N/A</definedName>
    <definedName name="Cap_Rate">Assumptions!$C$5</definedName>
    <definedName name="HKDCNY">Assumptions!$C$21</definedName>
    <definedName name="HKDUSD">Assumptions!$C$20</definedName>
    <definedName name="Holding_Period">Assumptions!$C$6</definedName>
    <definedName name="Other_Annual_Expense_Percent">Assumptions!#REF!</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21" i="18" l="1"/>
  <c r="C20" i="18"/>
  <c r="C21" i="17"/>
  <c r="C20" i="17"/>
  <c r="C21" i="14"/>
  <c r="C20" i="14"/>
  <c r="C17" i="14"/>
  <c r="C31" i="18"/>
  <c r="D33" i="18"/>
  <c r="D32" i="18"/>
  <c r="C31" i="17"/>
  <c r="D32" i="17"/>
  <c r="D33" i="17"/>
  <c r="D33" i="14"/>
  <c r="D32" i="14"/>
  <c r="D18" i="18"/>
  <c r="E18" i="18" s="1"/>
  <c r="E50" i="18"/>
  <c r="C50" i="18"/>
  <c r="E49" i="18"/>
  <c r="D49" i="18"/>
  <c r="C49" i="18"/>
  <c r="C39" i="18"/>
  <c r="C19" i="18"/>
  <c r="C17" i="18"/>
  <c r="D16" i="18"/>
  <c r="C45" i="18" s="1"/>
  <c r="C53" i="18" s="1"/>
  <c r="E15" i="18"/>
  <c r="C15" i="18"/>
  <c r="C10" i="18"/>
  <c r="C44" i="18" s="1"/>
  <c r="C7" i="18"/>
  <c r="D35" i="18" s="1"/>
  <c r="E50" i="17"/>
  <c r="C50" i="17"/>
  <c r="E49" i="17"/>
  <c r="D49" i="17"/>
  <c r="C49" i="17"/>
  <c r="C39" i="17"/>
  <c r="C19" i="17"/>
  <c r="C17" i="17"/>
  <c r="D16" i="17"/>
  <c r="D50" i="17" s="1"/>
  <c r="E15" i="17"/>
  <c r="C15" i="17"/>
  <c r="C10" i="17"/>
  <c r="C7" i="17"/>
  <c r="D35" i="17" s="1"/>
  <c r="E15" i="14"/>
  <c r="E50" i="14"/>
  <c r="C50" i="14"/>
  <c r="C10" i="14"/>
  <c r="C39" i="14"/>
  <c r="C19" i="14"/>
  <c r="D49" i="14"/>
  <c r="E49" i="14"/>
  <c r="C49" i="14"/>
  <c r="C31" i="14"/>
  <c r="D16" i="14"/>
  <c r="C45" i="14" s="1"/>
  <c r="C7" i="14"/>
  <c r="D23" i="14" l="1"/>
  <c r="D51" i="14" s="1"/>
  <c r="E23" i="14"/>
  <c r="C23" i="14"/>
  <c r="E23" i="18"/>
  <c r="E51" i="18" s="1"/>
  <c r="D23" i="18"/>
  <c r="D51" i="18" s="1"/>
  <c r="C23" i="18"/>
  <c r="C51" i="18" s="1"/>
  <c r="C23" i="17"/>
  <c r="C51" i="17" s="1"/>
  <c r="E23" i="17"/>
  <c r="E51" i="17" s="1"/>
  <c r="D23" i="17"/>
  <c r="D51" i="17" s="1"/>
  <c r="D35" i="14"/>
  <c r="C51" i="14"/>
  <c r="D50" i="14"/>
  <c r="D50" i="18"/>
  <c r="C28" i="18"/>
  <c r="C29" i="18" s="1"/>
  <c r="C35" i="18" s="1"/>
  <c r="C44" i="17"/>
  <c r="C28" i="17"/>
  <c r="C29" i="17" s="1"/>
  <c r="C45" i="17"/>
  <c r="C53" i="17" s="1"/>
  <c r="C44" i="14"/>
  <c r="C53" i="14"/>
  <c r="E51" i="14"/>
  <c r="C28" i="14"/>
  <c r="C29" i="14" s="1"/>
  <c r="C32" i="18" l="1"/>
  <c r="C33" i="18"/>
  <c r="C36" i="18"/>
  <c r="C34" i="18"/>
  <c r="D31" i="18"/>
  <c r="C34" i="17"/>
  <c r="C36" i="17"/>
  <c r="C35" i="17"/>
  <c r="C38" i="17" s="1"/>
  <c r="C32" i="17"/>
  <c r="C33" i="17"/>
  <c r="D31" i="17"/>
  <c r="D37" i="14"/>
  <c r="D31" i="14"/>
  <c r="C35" i="14"/>
  <c r="C33" i="14"/>
  <c r="C34" i="14"/>
  <c r="C36" i="14"/>
  <c r="C32" i="14"/>
  <c r="D37" i="17"/>
  <c r="C15" i="14"/>
  <c r="C38" i="18" l="1"/>
  <c r="C38" i="14"/>
  <c r="D38" i="14" s="1"/>
  <c r="D37" i="18"/>
  <c r="D38" i="17"/>
  <c r="C52" i="14" l="1"/>
  <c r="C54" i="14" s="1"/>
  <c r="C52" i="18"/>
  <c r="D38" i="18"/>
  <c r="C52" i="17"/>
  <c r="E54" i="14" l="1"/>
  <c r="D54" i="14"/>
  <c r="E54" i="18"/>
  <c r="D54" i="18"/>
  <c r="C54" i="18"/>
  <c r="E54" i="17"/>
  <c r="D54" i="17"/>
  <c r="C54" i="17"/>
</calcChain>
</file>

<file path=xl/sharedStrings.xml><?xml version="1.0" encoding="utf-8"?>
<sst xmlns="http://schemas.openxmlformats.org/spreadsheetml/2006/main" count="224" uniqueCount="109">
  <si>
    <t>Value</t>
  </si>
  <si>
    <t>Remarks</t>
  </si>
  <si>
    <t>Forex</t>
  </si>
  <si>
    <t>HKDUSD</t>
  </si>
  <si>
    <t>HKDCNY</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</si>
  <si>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</si>
  <si>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</si>
  <si>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</si>
  <si>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</si>
  <si>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</si>
  <si>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</si>
  <si>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</si>
  <si>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</si>
  <si>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</si>
  <si>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</si>
  <si>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</si>
  <si>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</si>
  <si>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</si>
  <si>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</si>
  <si>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</si>
  <si>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</si>
  <si>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</si>
  <si>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</si>
  <si>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</si>
  <si>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</si>
  <si>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</si>
  <si>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</si>
  <si>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</si>
  <si>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</si>
  <si>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</si>
  <si>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</si>
  <si>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</si>
  <si>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</si>
  <si>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Hurdle Cap Rate</t>
  </si>
  <si>
    <t>Holding Period</t>
  </si>
  <si>
    <t>Scenario</t>
  </si>
  <si>
    <t>Comparable</t>
  </si>
  <si>
    <t>Address:</t>
  </si>
  <si>
    <t>Exp. Appreciation %</t>
  </si>
  <si>
    <t>Sale price after appreciation</t>
  </si>
  <si>
    <t>Reference market value</t>
  </si>
  <si>
    <t>Other Monthly Fees</t>
  </si>
  <si>
    <t>price CAGR</t>
  </si>
  <si>
    <t>Asking Price</t>
  </si>
  <si>
    <t>Annual NOI</t>
  </si>
  <si>
    <t>Exit</t>
  </si>
  <si>
    <t>Exp. Annual Rental Growth</t>
  </si>
  <si>
    <t>Price (HKD)</t>
  </si>
  <si>
    <t>Assumptions</t>
  </si>
  <si>
    <t>Investor Preference</t>
  </si>
  <si>
    <t>Legal Fee</t>
  </si>
  <si>
    <t>Agency Commissions</t>
  </si>
  <si>
    <t>1% of the transaction value for both buyers and sellers;</t>
  </si>
  <si>
    <t>15k-30k normally; 30k-80k for luxury homes or company owned properties.</t>
  </si>
  <si>
    <t>Property inspection</t>
  </si>
  <si>
    <t>Transfer Fee</t>
  </si>
  <si>
    <t>NOI Breakdown</t>
  </si>
  <si>
    <t>Stamp Duty %</t>
  </si>
  <si>
    <t>Estimate only</t>
  </si>
  <si>
    <t>Transfer Fee %</t>
  </si>
  <si>
    <t>Agency Commissions %</t>
  </si>
  <si>
    <t>Total Consideration</t>
  </si>
  <si>
    <t>Reference Gross Rental Yield</t>
  </si>
  <si>
    <t>Implied Monthly Rent (HKD)</t>
  </si>
  <si>
    <t>Monthly NOI (HKD)</t>
  </si>
  <si>
    <t>Exp. Annual Rental Growth rate</t>
  </si>
  <si>
    <t>Price</t>
  </si>
  <si>
    <t>Holding Period IRR</t>
  </si>
  <si>
    <t>Decision rule (standard real-estate practice):</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</si>
  <si>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</si>
  <si>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</si>
  <si>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</si>
  <si>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</si>
  <si>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</si>
  <si>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</si>
  <si>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</si>
  <si>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</si>
  <si>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</si>
  <si>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</si>
  <si>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</si>
  <si>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</si>
  <si>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</si>
  <si>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</si>
  <si>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</si>
  <si>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</si>
  <si>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</si>
  <si>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</si>
  <si>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</si>
  <si>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</si>
  <si>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</si>
  <si>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</si>
  <si>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</si>
  <si>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</si>
  <si>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</si>
  <si>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</si>
  <si>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</si>
  <si>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</si>
  <si>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</si>
  <si>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typical unlevered hurdle rates range from 4.0%–5.0%</t>
  </si>
  <si>
    <t>銀海山莊</t>
  </si>
  <si>
    <t>差餉</t>
  </si>
  <si>
    <t>Quarry bay</t>
  </si>
  <si>
    <t>翠荷苑</t>
  </si>
  <si>
    <t>Other Costs</t>
  </si>
  <si>
    <t>Maintenance/Repairs/Sinking Fund</t>
  </si>
  <si>
    <t>Old Building Premium Cost</t>
  </si>
  <si>
    <t>Legal</t>
  </si>
  <si>
    <t>Inspection Fees</t>
  </si>
  <si>
    <t>Default Transaction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</si>
</sst>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0"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59">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4"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64" fontId="0" fillId="0" borderId="0" xfId="0" applyNumberFormat="1" applyAlignment="1">
      <alignment horizontal="center"/>
    </xf>
    <xf numFmtId="164" fontId="6"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xf numFmtId="166" fontId="6" fillId="0" borderId="0" xfId="0" applyNumberFormat="1" applyFont="1" applyAlignment="1">
      <alignment horizontal="center" vertical="center"/>
    </xf>
    <xf numFmtId="10" fontId="4" fillId="0" borderId="0" xfId="0" applyNumberFormat="1" applyFont="1" applyAlignment="1">
      <alignment horizontal="center" vertical="center"/>
    </xf>
    <xf numFmtId="9" fontId="4" fillId="0" borderId="0" xfId="0" applyNumberFormat="1" applyFont="1" applyAlignment="1">
      <alignment horizontal="center" vertical="center"/>
    </xf>
    <xf numFmtId="164" fontId="4" fillId="0" borderId="2" xfId="0" applyNumberFormat="1" applyFont="1" applyBorder="1" applyAlignment="1">
      <alignment horizontal="center"/>
    </xf>
    <xf numFmtId="10" fontId="0" fillId="0" borderId="0" xfId="0" applyNumberFormat="1"/>
    <xf numFmtId="164" fontId="4" fillId="0" borderId="2" xfId="0" applyNumberFormat="1" applyFont="1" applyBorder="1" applyAlignment="1">
      <alignment horizontal="center" vertical="center"/>
    </xf>
    <xf numFmtId="10" fontId="0" fillId="0" borderId="2" xfId="0" applyNumberFormat="1" applyBorder="1"/>
    <xf numFmtId="164" fontId="0" fillId="0" borderId="0" xfId="0" applyNumberFormat="1" applyAlignment="1">
      <alignment horizontal="center"/>
    </xf>
    <xf numFmtId="164" fontId="0" fillId="0" borderId="2" xfId="0" applyNumberFormat="1" applyBorder="1" applyAlignment="1">
      <alignment horizontal="center"/>
    </xf>
    <xf numFmtId="10" fontId="6" fillId="0" borderId="0" xfId="0" applyNumberFormat="1" applyFont="1" applyAlignment="1">
      <alignment horizontal="center"/>
    </xf>
    <xf numFmtId="164" fontId="5" fillId="0" borderId="0" xfId="0" applyNumberFormat="1" applyFont="1" applyAlignment="1">
      <alignment horizontal="center"/>
    </xf>
    <xf numFmtId="10" fontId="5" fillId="0" borderId="0" xfId="0" applyNumberFormat="1" applyFont="1" applyAlignment="1">
      <alignment horizontal="center"/>
    </xf>
    <xf numFmtId="10" fontId="5" fillId="0" borderId="0" xfId="0" applyNumberFormat="1" applyFont="1" applyAlignment="1">
      <alignment horizont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49"/>
  <sheetViews>
    <sheetView showGridLines="0" workbookViewId="0">
      <selection activeCell="C27" sqref="C27"/>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48</v>
      </c>
      <c r="C2" s="8"/>
      <c r="D2" s="8"/>
    </row>
    <row r="4" spans="2:4" x14ac:dyDescent="0.45">
      <c r="B4" s="13" t="s">
        <v>49</v>
      </c>
      <c r="C4" s="12" t="s">
        <v>0</v>
      </c>
      <c r="D4" s="12" t="s">
        <v>1</v>
      </c>
    </row>
    <row r="5" spans="2:4" x14ac:dyDescent="0.45">
      <c r="B5" t="s">
        <v>33</v>
      </c>
      <c r="C5" s="10">
        <v>0.04</v>
      </c>
      <c r="D5" s="4" t="s">
        <v>98</v>
      </c>
    </row>
    <row r="6" spans="2:4" x14ac:dyDescent="0.45">
      <c r="B6" t="s">
        <v>34</v>
      </c>
      <c r="C6" s="11">
        <v>15</v>
      </c>
      <c r="D6" s="4"/>
    </row>
    <row r="7" spans="2:4" x14ac:dyDescent="0.45">
      <c r="B7" t="s">
        <v>65</v>
      </c>
      <c r="C7" s="10">
        <v>0.02</v>
      </c>
      <c r="D7" s="4" t="s">
        <v>77</v>
      </c>
    </row>
    <row r="8" spans="2:4" x14ac:dyDescent="0.45">
      <c r="C8" s="3"/>
    </row>
    <row r="9" spans="2:4" x14ac:dyDescent="0.45">
      <c r="B9" s="13" t="s">
        <v>108</v>
      </c>
      <c r="C9" s="12" t="s">
        <v>0</v>
      </c>
      <c r="D9" s="12" t="s">
        <v>1</v>
      </c>
    </row>
    <row r="10" spans="2:4" x14ac:dyDescent="0.45">
      <c r="B10" t="s">
        <v>51</v>
      </c>
      <c r="C10" s="10">
        <v>0.01</v>
      </c>
      <c r="D10" s="4" t="s">
        <v>52</v>
      </c>
    </row>
    <row r="11" spans="2:4" x14ac:dyDescent="0.45">
      <c r="B11" t="s">
        <v>55</v>
      </c>
      <c r="C11" s="10">
        <v>1E-3</v>
      </c>
      <c r="D11" s="4"/>
    </row>
    <row r="12" spans="2:4" x14ac:dyDescent="0.45">
      <c r="B12" t="s">
        <v>50</v>
      </c>
      <c r="C12" s="14">
        <v>20000</v>
      </c>
      <c r="D12" s="4" t="s">
        <v>53</v>
      </c>
    </row>
    <row r="13" spans="2:4" x14ac:dyDescent="0.45">
      <c r="B13" t="s">
        <v>54</v>
      </c>
      <c r="C13" s="14">
        <v>5000</v>
      </c>
      <c r="D13" s="4" t="s">
        <v>58</v>
      </c>
    </row>
    <row r="14" spans="2:4" x14ac:dyDescent="0.45">
      <c r="C14" s="3"/>
    </row>
    <row r="15" spans="2:4" x14ac:dyDescent="0.45">
      <c r="B15" s="13" t="s">
        <v>56</v>
      </c>
      <c r="C15" s="12" t="s">
        <v>0</v>
      </c>
      <c r="D15" s="12" t="s">
        <v>1</v>
      </c>
    </row>
    <row r="16" spans="2:4" x14ac:dyDescent="0.45">
      <c r="B16" t="s">
        <v>20</v>
      </c>
      <c r="C16" s="10">
        <v>5.5E-2</v>
      </c>
      <c r="D16" s="4" t="s">
        <v>100</v>
      </c>
    </row>
    <row r="17" spans="2:4" x14ac:dyDescent="0.45">
      <c r="B17" t="s">
        <v>26</v>
      </c>
      <c r="C17" s="10">
        <v>0.03</v>
      </c>
      <c r="D17" s="4"/>
    </row>
    <row r="19" spans="2:4" x14ac:dyDescent="0.45">
      <c r="B19" s="13" t="s">
        <v>2</v>
      </c>
      <c r="C19" s="12" t="s">
        <v>0</v>
      </c>
      <c r="D19" s="12" t="s">
        <v>1</v>
      </c>
    </row>
    <row r="20" spans="2:4" x14ac:dyDescent="0.45">
      <c r="B20" t="s">
        <v>3</v>
      </c>
      <c r="C20" s="34">
        <v>7.8</v>
      </c>
    </row>
    <row r="21" spans="2:4" x14ac:dyDescent="0.45">
      <c r="B21" t="s">
        <v>4</v>
      </c>
      <c r="C21" s="34">
        <v>0.89</v>
      </c>
    </row>
    <row r="23" spans="2:4" x14ac:dyDescent="0.45">
      <c r="B23" s="1" t="s">
        <v>28</v>
      </c>
    </row>
    <row r="24" spans="2:4" x14ac:dyDescent="0.45">
      <c r="B24" t="s">
        <v>29</v>
      </c>
    </row>
    <row r="25" spans="2:4" x14ac:dyDescent="0.45">
      <c r="B25" t="s">
        <v>30</v>
      </c>
    </row>
    <row r="27" spans="2:4" x14ac:dyDescent="0.45">
      <c r="B27" s="1" t="s">
        <v>20</v>
      </c>
    </row>
    <row r="28" spans="2:4" x14ac:dyDescent="0.45">
      <c r="B28" t="s">
        <v>8</v>
      </c>
    </row>
    <row r="29" spans="2:4" x14ac:dyDescent="0.45">
      <c r="B29" t="s">
        <v>9</v>
      </c>
      <c r="C29" s="2">
        <v>0.05</v>
      </c>
    </row>
    <row r="30" spans="2:4" x14ac:dyDescent="0.45">
      <c r="B30" t="s">
        <v>10</v>
      </c>
      <c r="C30" s="2">
        <v>0.08</v>
      </c>
    </row>
    <row r="31" spans="2:4" x14ac:dyDescent="0.45">
      <c r="B31" t="s">
        <v>11</v>
      </c>
      <c r="C31" s="2">
        <v>0.12</v>
      </c>
    </row>
    <row r="32" spans="2:4" x14ac:dyDescent="0.45">
      <c r="B32" t="s">
        <v>21</v>
      </c>
      <c r="C32" s="2"/>
    </row>
    <row r="34" spans="2:2" x14ac:dyDescent="0.45">
      <c r="B34" s="1" t="s">
        <v>27</v>
      </c>
    </row>
    <row r="35" spans="2:2" x14ac:dyDescent="0.45">
      <c r="B35" t="s">
        <v>31</v>
      </c>
    </row>
    <row r="37" spans="2:2" x14ac:dyDescent="0.45">
      <c r="B37" s="1" t="s">
        <v>13</v>
      </c>
    </row>
    <row r="38" spans="2:2" x14ac:dyDescent="0.45">
      <c r="B38" t="s">
        <v>12</v>
      </c>
    </row>
    <row r="39" spans="2:2" x14ac:dyDescent="0.45">
      <c r="B39" t="s">
        <v>14</v>
      </c>
    </row>
    <row r="40" spans="2:2" x14ac:dyDescent="0.45">
      <c r="B40" t="s">
        <v>15</v>
      </c>
    </row>
    <row r="42" spans="2:2" x14ac:dyDescent="0.45">
      <c r="B42" s="1" t="s">
        <v>16</v>
      </c>
    </row>
    <row r="43" spans="2:2" x14ac:dyDescent="0.45">
      <c r="B43" t="s">
        <v>17</v>
      </c>
    </row>
    <row r="44" spans="2:2" x14ac:dyDescent="0.45">
      <c r="B44" t="s">
        <v>18</v>
      </c>
    </row>
    <row r="45" spans="2:2" x14ac:dyDescent="0.45">
      <c r="B45" t="s">
        <v>19</v>
      </c>
    </row>
    <row r="47" spans="2:2" x14ac:dyDescent="0.45">
      <c r="B47" s="1" t="s">
        <v>23</v>
      </c>
    </row>
    <row r="48" spans="2:2" x14ac:dyDescent="0.45">
      <c r="B48" t="s">
        <v>24</v>
      </c>
    </row>
    <row r="49" spans="2:2" x14ac:dyDescent="0.45">
      <c r="B49" t="s">
        <v>25</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E59"/>
  <sheetViews>
    <sheetView showGridLines="0" tabSelected="1" zoomScale="94" zoomScaleNormal="100" workbookViewId="0">
      <selection activeCell="D57" sqref="D57"/>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78</v>
      </c>
    </row>
    <row r="4" spans="2:5" x14ac:dyDescent="0.45">
      <c r="B4" s="30" t="s">
        <v>37</v>
      </c>
      <c r="C4" s="15" t="s">
        <v>99</v>
      </c>
    </row>
    <row r="5" spans="2:5" x14ac:dyDescent="0.45">
      <c r="B5" s="30" t="s">
        <v>5</v>
      </c>
      <c r="C5" s="15" t="s">
        <v>6</v>
      </c>
    </row>
    <row r="6" spans="2:5" x14ac:dyDescent="0.45">
      <c r="B6" s="30" t="s">
        <v>22</v>
      </c>
      <c r="C6" s="16">
        <v>1997</v>
      </c>
    </row>
    <row r="7" spans="2:5" x14ac:dyDescent="0.45">
      <c r="B7" s="30" t="s">
        <v>32</v>
      </c>
      <c r="C7" s="17">
        <f ca="1">YEAR(TODAY())-C6</f>
        <v>29</v>
      </c>
    </row>
    <row r="8" spans="2:5" x14ac:dyDescent="0.45">
      <c r="B8" s="30" t="s">
        <v>73</v>
      </c>
      <c r="C8" s="18">
        <v>690</v>
      </c>
    </row>
    <row r="9" spans="2:5" x14ac:dyDescent="0.45">
      <c r="B9" s="30" t="s">
        <v>74</v>
      </c>
      <c r="C9" s="19">
        <v>2.5</v>
      </c>
    </row>
    <row r="10" spans="2:5" x14ac:dyDescent="0.45">
      <c r="B10" s="30" t="s">
        <v>34</v>
      </c>
      <c r="C10" s="46">
        <f>Holding_Period</f>
        <v>15</v>
      </c>
    </row>
    <row r="12" spans="2:5" x14ac:dyDescent="0.45">
      <c r="B12" s="27" t="s">
        <v>80</v>
      </c>
    </row>
    <row r="14" spans="2:5" x14ac:dyDescent="0.45">
      <c r="B14" s="30" t="s">
        <v>35</v>
      </c>
      <c r="C14" s="6" t="s">
        <v>43</v>
      </c>
      <c r="D14" s="6" t="s">
        <v>36</v>
      </c>
      <c r="E14" s="6" t="s">
        <v>97</v>
      </c>
    </row>
    <row r="15" spans="2:5" x14ac:dyDescent="0.45">
      <c r="B15" s="31" t="s">
        <v>75</v>
      </c>
      <c r="C15" s="25">
        <f>C16/C8</f>
        <v>18115.942028985508</v>
      </c>
      <c r="D15" s="26">
        <v>14000</v>
      </c>
      <c r="E15" s="25">
        <f>E16/C8</f>
        <v>12318.840579710144</v>
      </c>
    </row>
    <row r="16" spans="2:5" x14ac:dyDescent="0.45">
      <c r="B16" s="30" t="s">
        <v>47</v>
      </c>
      <c r="C16" s="14">
        <v>12500000</v>
      </c>
      <c r="D16" s="20">
        <f>D15*C$8</f>
        <v>9660000</v>
      </c>
      <c r="E16" s="40">
        <v>8500000</v>
      </c>
    </row>
    <row r="17" spans="2:5" x14ac:dyDescent="0.45">
      <c r="B17" s="30" t="s">
        <v>60</v>
      </c>
      <c r="C17" s="58">
        <f>Assumptions!C10</f>
        <v>0.01</v>
      </c>
      <c r="D17" s="58"/>
      <c r="E17" s="58"/>
    </row>
    <row r="18" spans="2:5" x14ac:dyDescent="0.45">
      <c r="B18" s="30" t="s">
        <v>57</v>
      </c>
      <c r="C18" s="57">
        <v>3.7499999999999999E-2</v>
      </c>
      <c r="D18" s="57">
        <v>3.4500000000000003E-2</v>
      </c>
      <c r="E18" s="57">
        <v>0.03</v>
      </c>
    </row>
    <row r="19" spans="2:5" x14ac:dyDescent="0.45">
      <c r="B19" s="30" t="s">
        <v>59</v>
      </c>
      <c r="C19" s="55">
        <f>Assumptions!C11</f>
        <v>1E-3</v>
      </c>
      <c r="D19" s="55"/>
      <c r="E19" s="55"/>
    </row>
    <row r="20" spans="2:5" x14ac:dyDescent="0.45">
      <c r="B20" s="30" t="s">
        <v>106</v>
      </c>
      <c r="C20" s="56">
        <f>Assumptions!C12</f>
        <v>20000</v>
      </c>
      <c r="D20" s="56"/>
      <c r="E20" s="56"/>
    </row>
    <row r="21" spans="2:5" x14ac:dyDescent="0.45">
      <c r="B21" s="30" t="s">
        <v>107</v>
      </c>
      <c r="C21" s="56">
        <f>Assumptions!C13</f>
        <v>5000</v>
      </c>
      <c r="D21" s="56"/>
      <c r="E21" s="56"/>
    </row>
    <row r="22" spans="2:5" ht="14.65" thickBot="1" x14ac:dyDescent="0.5">
      <c r="B22" s="32" t="s">
        <v>103</v>
      </c>
      <c r="C22" s="49">
        <v>150000</v>
      </c>
      <c r="D22" s="49">
        <v>150000</v>
      </c>
      <c r="E22" s="49">
        <v>150000</v>
      </c>
    </row>
    <row r="23" spans="2:5" ht="14.65" thickTop="1" x14ac:dyDescent="0.45">
      <c r="B23" s="21" t="s">
        <v>61</v>
      </c>
      <c r="C23" s="22">
        <f>C16+C16*($C$17+C18+$C$19)+$C$20+$C$21+C22</f>
        <v>13281250</v>
      </c>
      <c r="D23" s="22">
        <f t="shared" ref="D23:E23" si="0">D16+D16*($C$17+D18+$C$19)+$C$20+$C$21+D22</f>
        <v>10274530</v>
      </c>
      <c r="E23" s="22">
        <f t="shared" si="0"/>
        <v>9023500</v>
      </c>
    </row>
    <row r="25" spans="2:5" x14ac:dyDescent="0.45">
      <c r="B25" s="27" t="s">
        <v>79</v>
      </c>
    </row>
    <row r="26" spans="2:5" ht="14.25" customHeight="1" x14ac:dyDescent="0.45">
      <c r="C26" s="5"/>
    </row>
    <row r="27" spans="2:5" x14ac:dyDescent="0.45">
      <c r="B27" s="30" t="s">
        <v>62</v>
      </c>
      <c r="C27" s="47">
        <v>2.8000000000000001E-2</v>
      </c>
    </row>
    <row r="28" spans="2:5" x14ac:dyDescent="0.45">
      <c r="B28" s="31" t="s">
        <v>40</v>
      </c>
      <c r="C28" s="29">
        <f>D16</f>
        <v>9660000</v>
      </c>
    </row>
    <row r="29" spans="2:5" x14ac:dyDescent="0.45">
      <c r="B29" s="21" t="s">
        <v>63</v>
      </c>
      <c r="C29" s="44">
        <f>C28*C$27/12</f>
        <v>22540</v>
      </c>
    </row>
    <row r="30" spans="2:5" x14ac:dyDescent="0.45">
      <c r="B30" s="7"/>
      <c r="C30" s="24"/>
    </row>
    <row r="31" spans="2:5" x14ac:dyDescent="0.45">
      <c r="B31" s="30" t="s">
        <v>7</v>
      </c>
      <c r="C31" s="24">
        <f>C$9*C$8</f>
        <v>1725</v>
      </c>
      <c r="D31" s="50">
        <f>C31/C29</f>
        <v>7.6530612244897961E-2</v>
      </c>
    </row>
    <row r="32" spans="2:5" x14ac:dyDescent="0.45">
      <c r="B32" s="30" t="s">
        <v>20</v>
      </c>
      <c r="C32" s="24">
        <f>$C$29*D32</f>
        <v>1239.7</v>
      </c>
      <c r="D32" s="50">
        <f>Assumptions!C16</f>
        <v>5.5E-2</v>
      </c>
    </row>
    <row r="33" spans="2:4" x14ac:dyDescent="0.45">
      <c r="B33" s="30" t="s">
        <v>26</v>
      </c>
      <c r="C33" s="24">
        <f t="shared" ref="C33:C36" si="1">$C$29*D33</f>
        <v>676.19999999999993</v>
      </c>
      <c r="D33" s="50">
        <f>Assumptions!C17</f>
        <v>0.03</v>
      </c>
    </row>
    <row r="34" spans="2:4" x14ac:dyDescent="0.45">
      <c r="B34" s="30" t="s">
        <v>104</v>
      </c>
      <c r="C34" s="24">
        <f t="shared" si="1"/>
        <v>1803.2</v>
      </c>
      <c r="D34" s="3">
        <v>0.08</v>
      </c>
    </row>
    <row r="35" spans="2:4" x14ac:dyDescent="0.45">
      <c r="B35" s="30" t="s">
        <v>105</v>
      </c>
      <c r="C35" s="24">
        <f t="shared" ca="1" si="1"/>
        <v>0</v>
      </c>
      <c r="D35" s="3">
        <f ca="1">IF(C$7&gt;=30,4%,0)</f>
        <v>0</v>
      </c>
    </row>
    <row r="36" spans="2:4" x14ac:dyDescent="0.45">
      <c r="B36" s="30" t="s">
        <v>16</v>
      </c>
      <c r="C36" s="24">
        <f t="shared" si="1"/>
        <v>450.8</v>
      </c>
      <c r="D36" s="3">
        <v>0.02</v>
      </c>
    </row>
    <row r="37" spans="2:4" ht="14.65" thickBot="1" x14ac:dyDescent="0.5">
      <c r="B37" s="32" t="s">
        <v>41</v>
      </c>
      <c r="C37" s="51">
        <v>0</v>
      </c>
      <c r="D37" s="52">
        <f>C37/C29</f>
        <v>0</v>
      </c>
    </row>
    <row r="38" spans="2:4" ht="14.65" thickTop="1" x14ac:dyDescent="0.45">
      <c r="B38" s="21" t="s">
        <v>64</v>
      </c>
      <c r="C38" s="44">
        <f ca="1">C29-SUM(C31:C37)</f>
        <v>16645.099999999999</v>
      </c>
      <c r="D38" s="50">
        <f ca="1">C38/C29</f>
        <v>0.73846938775510196</v>
      </c>
    </row>
    <row r="39" spans="2:4" x14ac:dyDescent="0.45">
      <c r="B39" s="21" t="s">
        <v>46</v>
      </c>
      <c r="C39" s="45">
        <f>Assumptions!C7</f>
        <v>0.02</v>
      </c>
    </row>
    <row r="41" spans="2:4" x14ac:dyDescent="0.45">
      <c r="B41" s="27" t="s">
        <v>84</v>
      </c>
    </row>
    <row r="43" spans="2:4" x14ac:dyDescent="0.45">
      <c r="B43" s="30" t="s">
        <v>38</v>
      </c>
      <c r="C43" s="48">
        <v>0.4</v>
      </c>
    </row>
    <row r="44" spans="2:4" x14ac:dyDescent="0.45">
      <c r="B44" s="31" t="s">
        <v>42</v>
      </c>
      <c r="C44" s="41">
        <f>(1+C43)^(1/C10)-1</f>
        <v>2.268495988716035E-2</v>
      </c>
    </row>
    <row r="45" spans="2:4" x14ac:dyDescent="0.45">
      <c r="B45" s="21" t="s">
        <v>39</v>
      </c>
      <c r="C45" s="42">
        <f>D16*(1+C$43)</f>
        <v>13524000</v>
      </c>
    </row>
    <row r="47" spans="2:4" x14ac:dyDescent="0.45">
      <c r="B47" s="27" t="s">
        <v>85</v>
      </c>
    </row>
    <row r="49" spans="2:5" x14ac:dyDescent="0.45">
      <c r="B49" s="30" t="s">
        <v>35</v>
      </c>
      <c r="C49" s="35" t="str">
        <f>C14</f>
        <v>Asking Price</v>
      </c>
      <c r="D49" s="35" t="str">
        <f>D14</f>
        <v>Comparable</v>
      </c>
      <c r="E49" s="35" t="str">
        <f>E14</f>
        <v>IRR Netural Price</v>
      </c>
    </row>
    <row r="50" spans="2:5" x14ac:dyDescent="0.45">
      <c r="B50" s="30" t="s">
        <v>66</v>
      </c>
      <c r="C50" s="20">
        <f>C16</f>
        <v>12500000</v>
      </c>
      <c r="D50" s="20">
        <f t="shared" ref="D50:E50" si="2">D16</f>
        <v>9660000</v>
      </c>
      <c r="E50" s="20">
        <f t="shared" si="2"/>
        <v>8500000</v>
      </c>
    </row>
    <row r="51" spans="2:5" x14ac:dyDescent="0.45">
      <c r="B51" s="30" t="s">
        <v>61</v>
      </c>
      <c r="C51" s="23">
        <f>C23</f>
        <v>13281250</v>
      </c>
      <c r="D51" s="23">
        <f>D23</f>
        <v>10274530</v>
      </c>
      <c r="E51" s="23">
        <f>E23</f>
        <v>9023500</v>
      </c>
    </row>
    <row r="52" spans="2:5" x14ac:dyDescent="0.45">
      <c r="B52" s="30" t="s">
        <v>44</v>
      </c>
      <c r="C52" s="53">
        <f ca="1">C$38*12</f>
        <v>199741.19999999998</v>
      </c>
      <c r="D52" s="53"/>
      <c r="E52" s="53"/>
    </row>
    <row r="53" spans="2:5" ht="14.65" thickBot="1" x14ac:dyDescent="0.5">
      <c r="B53" s="32" t="s">
        <v>45</v>
      </c>
      <c r="C53" s="54">
        <f>C$45</f>
        <v>13524000</v>
      </c>
      <c r="D53" s="54"/>
      <c r="E53" s="54"/>
    </row>
    <row r="54" spans="2:5" ht="14.65" thickTop="1" x14ac:dyDescent="0.45">
      <c r="B54" s="21" t="s">
        <v>67</v>
      </c>
      <c r="C54" s="43">
        <f ca="1">RATE(15, $C52*(1+$C$39), -C51, $C53 / (1+$C$39)^15) + $C$39</f>
        <v>1.8999155164258121E-2</v>
      </c>
      <c r="D54" s="43">
        <f t="shared" ref="D54:E54" ca="1" si="3">RATE(15, $C52*(1+$C$39), -D51, $C53 / (1+$C$39)^15) + $C$39</f>
        <v>3.8543863508982534E-2</v>
      </c>
      <c r="E54" s="43">
        <f t="shared" ca="1" si="3"/>
        <v>4.8742541751567378E-2</v>
      </c>
    </row>
    <row r="56" spans="2:5" x14ac:dyDescent="0.45">
      <c r="B56" s="36" t="s">
        <v>68</v>
      </c>
    </row>
    <row r="57" spans="2:5" x14ac:dyDescent="0.45">
      <c r="B57" t="s">
        <v>69</v>
      </c>
    </row>
    <row r="58" spans="2:5" x14ac:dyDescent="0.45">
      <c r="B58" t="s">
        <v>70</v>
      </c>
    </row>
    <row r="59" spans="2:5" x14ac:dyDescent="0.45">
      <c r="B59" t="s">
        <v>71</v>
      </c>
    </row>
  </sheetData>
  <dataConsolidate/>
  <mergeCells count="6">
    <mergeCell ref="C52:E52"/>
    <mergeCell ref="C53:E53"/>
    <mergeCell ref="C17:E17"/>
    <mergeCell ref="C19:E19"/>
    <mergeCell ref="C20:E20"/>
    <mergeCell ref="C21:E21"/>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74DC-9638-4865-B3ED-3B836FA95BE0}">
  <sheetPr>
    <pageSetUpPr fitToPage="1"/>
  </sheetPr>
  <dimension ref="B2:E59"/>
  <sheetViews>
    <sheetView showGridLines="0" zoomScale="94" zoomScaleNormal="100" workbookViewId="0">
      <selection activeCell="D41" sqref="D41"/>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78</v>
      </c>
    </row>
    <row r="4" spans="2:5" x14ac:dyDescent="0.45">
      <c r="B4" s="30" t="s">
        <v>37</v>
      </c>
      <c r="C4" s="15" t="s">
        <v>101</v>
      </c>
    </row>
    <row r="5" spans="2:5" x14ac:dyDescent="0.45">
      <c r="B5" s="30" t="s">
        <v>5</v>
      </c>
      <c r="C5" s="15" t="s">
        <v>6</v>
      </c>
    </row>
    <row r="6" spans="2:5" x14ac:dyDescent="0.45">
      <c r="B6" s="30" t="s">
        <v>22</v>
      </c>
      <c r="C6" s="16">
        <v>2002</v>
      </c>
    </row>
    <row r="7" spans="2:5" x14ac:dyDescent="0.45">
      <c r="B7" s="30" t="s">
        <v>32</v>
      </c>
      <c r="C7" s="17">
        <f ca="1">YEAR(TODAY())-C6</f>
        <v>24</v>
      </c>
    </row>
    <row r="8" spans="2:5" x14ac:dyDescent="0.45">
      <c r="B8" s="30" t="s">
        <v>73</v>
      </c>
      <c r="C8" s="18">
        <v>485</v>
      </c>
    </row>
    <row r="9" spans="2:5" x14ac:dyDescent="0.45">
      <c r="B9" s="30" t="s">
        <v>74</v>
      </c>
      <c r="C9" s="19">
        <v>2.2000000000000002</v>
      </c>
    </row>
    <row r="10" spans="2:5" x14ac:dyDescent="0.45">
      <c r="B10" s="30" t="s">
        <v>34</v>
      </c>
      <c r="C10" s="46">
        <f>Holding_Period</f>
        <v>15</v>
      </c>
    </row>
    <row r="12" spans="2:5" x14ac:dyDescent="0.45">
      <c r="B12" s="27" t="s">
        <v>80</v>
      </c>
    </row>
    <row r="14" spans="2:5" x14ac:dyDescent="0.45">
      <c r="B14" s="30" t="s">
        <v>35</v>
      </c>
      <c r="C14" s="6" t="s">
        <v>43</v>
      </c>
      <c r="D14" s="6" t="s">
        <v>36</v>
      </c>
      <c r="E14" s="6" t="s">
        <v>97</v>
      </c>
    </row>
    <row r="15" spans="2:5" x14ac:dyDescent="0.45">
      <c r="B15" s="31" t="s">
        <v>75</v>
      </c>
      <c r="C15" s="25">
        <f>C16/C8</f>
        <v>16082.474226804125</v>
      </c>
      <c r="D15" s="26">
        <v>15500</v>
      </c>
      <c r="E15" s="25">
        <f>E16/C8</f>
        <v>14538.53385789773</v>
      </c>
    </row>
    <row r="16" spans="2:5" x14ac:dyDescent="0.45">
      <c r="B16" s="30" t="s">
        <v>47</v>
      </c>
      <c r="C16" s="14">
        <v>7800000</v>
      </c>
      <c r="D16" s="20">
        <f>D15*C$8</f>
        <v>7517500</v>
      </c>
      <c r="E16" s="40">
        <v>7051188.9210803993</v>
      </c>
    </row>
    <row r="17" spans="2:5" x14ac:dyDescent="0.45">
      <c r="B17" s="30" t="s">
        <v>60</v>
      </c>
      <c r="C17" s="58">
        <f>Assumptions!C10</f>
        <v>0.01</v>
      </c>
      <c r="D17" s="58"/>
      <c r="E17" s="58"/>
    </row>
    <row r="18" spans="2:5" x14ac:dyDescent="0.45">
      <c r="B18" s="30" t="s">
        <v>57</v>
      </c>
      <c r="C18" s="10">
        <v>0.03</v>
      </c>
      <c r="D18" s="10">
        <v>0.03</v>
      </c>
      <c r="E18" s="10">
        <v>0.03</v>
      </c>
    </row>
    <row r="19" spans="2:5" x14ac:dyDescent="0.45">
      <c r="B19" s="30" t="s">
        <v>59</v>
      </c>
      <c r="C19" s="55">
        <f>Assumptions!C11</f>
        <v>1E-3</v>
      </c>
      <c r="D19" s="55"/>
      <c r="E19" s="55"/>
    </row>
    <row r="20" spans="2:5" x14ac:dyDescent="0.45">
      <c r="B20" s="30" t="s">
        <v>106</v>
      </c>
      <c r="C20" s="56">
        <f>Assumptions!C12</f>
        <v>20000</v>
      </c>
      <c r="D20" s="56"/>
      <c r="E20" s="56"/>
    </row>
    <row r="21" spans="2:5" x14ac:dyDescent="0.45">
      <c r="B21" s="30" t="s">
        <v>107</v>
      </c>
      <c r="C21" s="56">
        <f>Assumptions!C13</f>
        <v>5000</v>
      </c>
      <c r="D21" s="56"/>
      <c r="E21" s="56"/>
    </row>
    <row r="22" spans="2:5" ht="14.65" thickBot="1" x14ac:dyDescent="0.5">
      <c r="B22" s="32" t="s">
        <v>103</v>
      </c>
      <c r="C22" s="49">
        <v>0</v>
      </c>
      <c r="D22" s="49">
        <v>0</v>
      </c>
      <c r="E22" s="49">
        <v>0</v>
      </c>
    </row>
    <row r="23" spans="2:5" ht="14.65" thickTop="1" x14ac:dyDescent="0.45">
      <c r="B23" s="21" t="s">
        <v>61</v>
      </c>
      <c r="C23" s="22">
        <f>C16+C16*($C$17+C18+$C$19)+$C$20+C22</f>
        <v>8139800</v>
      </c>
      <c r="D23" s="22">
        <f t="shared" ref="D23:E23" si="0">D16+D16*($C$17+D18+$C$19)+$C$20+D22</f>
        <v>7845717.5</v>
      </c>
      <c r="E23" s="22">
        <f t="shared" si="0"/>
        <v>7360287.6668446958</v>
      </c>
    </row>
    <row r="25" spans="2:5" x14ac:dyDescent="0.45">
      <c r="B25" s="27" t="s">
        <v>79</v>
      </c>
    </row>
    <row r="26" spans="2:5" ht="14.25" customHeight="1" x14ac:dyDescent="0.45">
      <c r="C26" s="5"/>
    </row>
    <row r="27" spans="2:5" x14ac:dyDescent="0.45">
      <c r="B27" s="30" t="s">
        <v>62</v>
      </c>
      <c r="C27" s="47">
        <v>3.1E-2</v>
      </c>
    </row>
    <row r="28" spans="2:5" x14ac:dyDescent="0.45">
      <c r="B28" s="31" t="s">
        <v>40</v>
      </c>
      <c r="C28" s="29">
        <f>D16</f>
        <v>7517500</v>
      </c>
    </row>
    <row r="29" spans="2:5" x14ac:dyDescent="0.45">
      <c r="B29" s="21" t="s">
        <v>63</v>
      </c>
      <c r="C29" s="44">
        <f>C28*C$27/12</f>
        <v>19420.208333333332</v>
      </c>
    </row>
    <row r="30" spans="2:5" x14ac:dyDescent="0.45">
      <c r="B30" s="7"/>
      <c r="C30" s="24"/>
    </row>
    <row r="31" spans="2:5" x14ac:dyDescent="0.45">
      <c r="B31" s="30" t="s">
        <v>7</v>
      </c>
      <c r="C31" s="24">
        <f>C$9*C$8</f>
        <v>1067</v>
      </c>
      <c r="D31" s="50">
        <f>C31/C29</f>
        <v>5.4942767950052034E-2</v>
      </c>
    </row>
    <row r="32" spans="2:5" x14ac:dyDescent="0.45">
      <c r="B32" s="30" t="s">
        <v>20</v>
      </c>
      <c r="C32" s="24">
        <f>$C$29*D32</f>
        <v>1068.1114583333333</v>
      </c>
      <c r="D32" s="50">
        <f>Assumptions!C16</f>
        <v>5.5E-2</v>
      </c>
    </row>
    <row r="33" spans="2:4" x14ac:dyDescent="0.45">
      <c r="B33" s="30" t="s">
        <v>26</v>
      </c>
      <c r="C33" s="24">
        <f t="shared" ref="C33:C36" si="1">$C$29*D33</f>
        <v>582.60624999999993</v>
      </c>
      <c r="D33" s="50">
        <f>Assumptions!C17</f>
        <v>0.03</v>
      </c>
    </row>
    <row r="34" spans="2:4" x14ac:dyDescent="0.45">
      <c r="B34" s="30" t="s">
        <v>104</v>
      </c>
      <c r="C34" s="24">
        <f t="shared" si="1"/>
        <v>1553.6166666666666</v>
      </c>
      <c r="D34" s="3">
        <v>0.08</v>
      </c>
    </row>
    <row r="35" spans="2:4" x14ac:dyDescent="0.45">
      <c r="B35" s="30" t="s">
        <v>105</v>
      </c>
      <c r="C35" s="24">
        <f t="shared" ca="1" si="1"/>
        <v>0</v>
      </c>
      <c r="D35" s="3">
        <f ca="1">IF(C$7&gt;=30,4%,0)</f>
        <v>0</v>
      </c>
    </row>
    <row r="36" spans="2:4" x14ac:dyDescent="0.45">
      <c r="B36" s="30" t="s">
        <v>16</v>
      </c>
      <c r="C36" s="24">
        <f t="shared" si="1"/>
        <v>388.40416666666664</v>
      </c>
      <c r="D36" s="3">
        <v>0.02</v>
      </c>
    </row>
    <row r="37" spans="2:4" ht="14.65" thickBot="1" x14ac:dyDescent="0.5">
      <c r="B37" s="32" t="s">
        <v>41</v>
      </c>
      <c r="C37" s="33">
        <v>0</v>
      </c>
      <c r="D37" s="52">
        <f>C37/C29</f>
        <v>0</v>
      </c>
    </row>
    <row r="38" spans="2:4" ht="14.65" thickTop="1" x14ac:dyDescent="0.45">
      <c r="B38" s="21" t="s">
        <v>64</v>
      </c>
      <c r="C38" s="44">
        <f ca="1">C29-SUM(C31:C37)</f>
        <v>14760.469791666666</v>
      </c>
      <c r="D38" s="50">
        <f ca="1">C38/C29</f>
        <v>0.76005723204994802</v>
      </c>
    </row>
    <row r="39" spans="2:4" x14ac:dyDescent="0.45">
      <c r="B39" s="21" t="s">
        <v>46</v>
      </c>
      <c r="C39" s="45">
        <f>Assumptions!C7</f>
        <v>0.02</v>
      </c>
    </row>
    <row r="41" spans="2:4" x14ac:dyDescent="0.45">
      <c r="B41" s="27" t="s">
        <v>84</v>
      </c>
    </row>
    <row r="43" spans="2:4" x14ac:dyDescent="0.45">
      <c r="B43" s="30" t="s">
        <v>38</v>
      </c>
      <c r="C43" s="48">
        <v>0.3</v>
      </c>
    </row>
    <row r="44" spans="2:4" x14ac:dyDescent="0.45">
      <c r="B44" s="31" t="s">
        <v>42</v>
      </c>
      <c r="C44" s="41">
        <f>(1+C43)^(1/C10)-1</f>
        <v>1.7644813405053306E-2</v>
      </c>
    </row>
    <row r="45" spans="2:4" x14ac:dyDescent="0.45">
      <c r="B45" s="21" t="s">
        <v>39</v>
      </c>
      <c r="C45" s="42">
        <f>D16*(1+C$43)</f>
        <v>9772750</v>
      </c>
    </row>
    <row r="47" spans="2:4" x14ac:dyDescent="0.45">
      <c r="B47" s="27" t="s">
        <v>85</v>
      </c>
    </row>
    <row r="49" spans="2:5" x14ac:dyDescent="0.45">
      <c r="B49" s="30" t="s">
        <v>35</v>
      </c>
      <c r="C49" s="35" t="str">
        <f>C14</f>
        <v>Asking Price</v>
      </c>
      <c r="D49" s="35" t="str">
        <f>D14</f>
        <v>Comparable</v>
      </c>
      <c r="E49" s="35" t="str">
        <f>E14</f>
        <v>IRR Netural Price</v>
      </c>
    </row>
    <row r="50" spans="2:5" x14ac:dyDescent="0.45">
      <c r="B50" s="30" t="s">
        <v>66</v>
      </c>
      <c r="C50" s="20">
        <f>C16</f>
        <v>7800000</v>
      </c>
      <c r="D50" s="20">
        <f>D16</f>
        <v>7517500</v>
      </c>
      <c r="E50" s="20">
        <f>E16</f>
        <v>7051188.9210803993</v>
      </c>
    </row>
    <row r="51" spans="2:5" x14ac:dyDescent="0.45">
      <c r="B51" s="30" t="s">
        <v>61</v>
      </c>
      <c r="C51" s="23">
        <f>C23</f>
        <v>8139800</v>
      </c>
      <c r="D51" s="23">
        <f>D23</f>
        <v>7845717.5</v>
      </c>
      <c r="E51" s="23">
        <f>E23</f>
        <v>7360287.6668446958</v>
      </c>
    </row>
    <row r="52" spans="2:5" x14ac:dyDescent="0.45">
      <c r="B52" s="30" t="s">
        <v>44</v>
      </c>
      <c r="C52" s="53">
        <f ca="1">C$38*12</f>
        <v>177125.63750000001</v>
      </c>
      <c r="D52" s="53"/>
      <c r="E52" s="53"/>
    </row>
    <row r="53" spans="2:5" ht="14.65" thickBot="1" x14ac:dyDescent="0.5">
      <c r="B53" s="32" t="s">
        <v>45</v>
      </c>
      <c r="C53" s="54">
        <f>C$45</f>
        <v>9772750</v>
      </c>
      <c r="D53" s="54"/>
      <c r="E53" s="54"/>
    </row>
    <row r="54" spans="2:5" ht="14.65" thickTop="1" x14ac:dyDescent="0.45">
      <c r="B54" s="21" t="s">
        <v>67</v>
      </c>
      <c r="C54" s="43">
        <f ca="1">RATE(15, $C52*(1+$C$39), -C51, $C53 / (1+$C$39)^15) + $C$39</f>
        <v>3.5761284334018234E-2</v>
      </c>
      <c r="D54" s="43">
        <f t="shared" ref="D54:E54" ca="1" si="2">RATE(15, $C52*(1+$C$39), -D51, $C53 / (1+$C$39)^15) + $C$39</f>
        <v>3.8678982511552037E-2</v>
      </c>
      <c r="E54" s="43">
        <f t="shared" ca="1" si="2"/>
        <v>4.37896958784229E-2</v>
      </c>
    </row>
    <row r="56" spans="2:5" x14ac:dyDescent="0.45">
      <c r="B56" s="36" t="s">
        <v>68</v>
      </c>
    </row>
    <row r="57" spans="2:5" x14ac:dyDescent="0.45">
      <c r="B57" t="s">
        <v>69</v>
      </c>
    </row>
    <row r="58" spans="2:5" x14ac:dyDescent="0.45">
      <c r="B58" t="s">
        <v>70</v>
      </c>
    </row>
    <row r="59" spans="2:5" x14ac:dyDescent="0.45">
      <c r="B59" t="s">
        <v>71</v>
      </c>
    </row>
  </sheetData>
  <dataConsolidate/>
  <mergeCells count="6">
    <mergeCell ref="C17:E17"/>
    <mergeCell ref="C19:E19"/>
    <mergeCell ref="C20:E20"/>
    <mergeCell ref="C52:E52"/>
    <mergeCell ref="C53:E53"/>
    <mergeCell ref="C21:E21"/>
  </mergeCells>
  <pageMargins left="0.25" right="0.25" top="0.75" bottom="0.75" header="0.3" footer="0.3"/>
  <pageSetup paperSize="9" scale="97" fitToWidth="0"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9B748-33FA-4405-BB75-AAF1632A9069}">
  <sheetPr>
    <pageSetUpPr fitToPage="1"/>
  </sheetPr>
  <dimension ref="B2:E59"/>
  <sheetViews>
    <sheetView showGridLines="0" zoomScale="94" zoomScaleNormal="100" workbookViewId="0">
      <selection activeCell="E31" sqref="E31"/>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78</v>
      </c>
    </row>
    <row r="4" spans="2:5" x14ac:dyDescent="0.45">
      <c r="B4" s="30" t="s">
        <v>37</v>
      </c>
      <c r="C4" s="15" t="s">
        <v>102</v>
      </c>
    </row>
    <row r="5" spans="2:5" x14ac:dyDescent="0.45">
      <c r="B5" s="30" t="s">
        <v>5</v>
      </c>
      <c r="C5" s="15" t="s">
        <v>6</v>
      </c>
    </row>
    <row r="6" spans="2:5" x14ac:dyDescent="0.45">
      <c r="B6" s="30" t="s">
        <v>22</v>
      </c>
      <c r="C6" s="16">
        <v>1995</v>
      </c>
    </row>
    <row r="7" spans="2:5" x14ac:dyDescent="0.45">
      <c r="B7" s="30" t="s">
        <v>32</v>
      </c>
      <c r="C7" s="17">
        <f ca="1">YEAR(TODAY())-C6</f>
        <v>31</v>
      </c>
    </row>
    <row r="8" spans="2:5" x14ac:dyDescent="0.45">
      <c r="B8" s="30" t="s">
        <v>73</v>
      </c>
      <c r="C8" s="18">
        <v>315</v>
      </c>
    </row>
    <row r="9" spans="2:5" x14ac:dyDescent="0.45">
      <c r="B9" s="30" t="s">
        <v>74</v>
      </c>
      <c r="C9" s="19">
        <v>2</v>
      </c>
    </row>
    <row r="10" spans="2:5" x14ac:dyDescent="0.45">
      <c r="B10" s="30" t="s">
        <v>34</v>
      </c>
      <c r="C10" s="46">
        <f>Holding_Period</f>
        <v>15</v>
      </c>
    </row>
    <row r="12" spans="2:5" x14ac:dyDescent="0.45">
      <c r="B12" s="27" t="s">
        <v>80</v>
      </c>
    </row>
    <row r="14" spans="2:5" x14ac:dyDescent="0.45">
      <c r="B14" s="30" t="s">
        <v>35</v>
      </c>
      <c r="C14" s="6" t="s">
        <v>43</v>
      </c>
      <c r="D14" s="6" t="s">
        <v>36</v>
      </c>
      <c r="E14" s="6" t="s">
        <v>97</v>
      </c>
    </row>
    <row r="15" spans="2:5" x14ac:dyDescent="0.45">
      <c r="B15" s="31" t="s">
        <v>75</v>
      </c>
      <c r="C15" s="25">
        <f>C16/C8</f>
        <v>13587.301587301587</v>
      </c>
      <c r="D15" s="26">
        <v>13587</v>
      </c>
      <c r="E15" s="25">
        <f>E16/C8</f>
        <v>12262.119150039165</v>
      </c>
    </row>
    <row r="16" spans="2:5" x14ac:dyDescent="0.45">
      <c r="B16" s="30" t="s">
        <v>47</v>
      </c>
      <c r="C16" s="14">
        <v>4280000</v>
      </c>
      <c r="D16" s="20">
        <f>D15*C$8</f>
        <v>4279905</v>
      </c>
      <c r="E16" s="40">
        <v>3862567.5322623369</v>
      </c>
    </row>
    <row r="17" spans="2:5" x14ac:dyDescent="0.45">
      <c r="B17" s="30" t="s">
        <v>60</v>
      </c>
      <c r="C17" s="58">
        <f>Assumptions!C10</f>
        <v>0.01</v>
      </c>
      <c r="D17" s="58"/>
      <c r="E17" s="58"/>
    </row>
    <row r="18" spans="2:5" x14ac:dyDescent="0.45">
      <c r="B18" s="30" t="s">
        <v>57</v>
      </c>
      <c r="C18" s="10">
        <v>5.5E-2</v>
      </c>
      <c r="D18" s="10">
        <f>C18</f>
        <v>5.5E-2</v>
      </c>
      <c r="E18" s="10">
        <f>D18</f>
        <v>5.5E-2</v>
      </c>
    </row>
    <row r="19" spans="2:5" x14ac:dyDescent="0.45">
      <c r="B19" s="30" t="s">
        <v>59</v>
      </c>
      <c r="C19" s="55">
        <f>Assumptions!C11</f>
        <v>1E-3</v>
      </c>
      <c r="D19" s="55"/>
      <c r="E19" s="55"/>
    </row>
    <row r="20" spans="2:5" x14ac:dyDescent="0.45">
      <c r="B20" s="30" t="s">
        <v>106</v>
      </c>
      <c r="C20" s="56">
        <f>Assumptions!C12</f>
        <v>20000</v>
      </c>
      <c r="D20" s="56"/>
      <c r="E20" s="56"/>
    </row>
    <row r="21" spans="2:5" x14ac:dyDescent="0.45">
      <c r="B21" s="30" t="s">
        <v>107</v>
      </c>
      <c r="C21" s="56">
        <f>Assumptions!C13</f>
        <v>5000</v>
      </c>
      <c r="D21" s="56"/>
      <c r="E21" s="56"/>
    </row>
    <row r="22" spans="2:5" ht="14.65" thickBot="1" x14ac:dyDescent="0.5">
      <c r="B22" s="32" t="s">
        <v>103</v>
      </c>
      <c r="C22" s="49">
        <v>135000</v>
      </c>
      <c r="D22" s="49">
        <v>135000</v>
      </c>
      <c r="E22" s="49">
        <v>135000</v>
      </c>
    </row>
    <row r="23" spans="2:5" ht="14.65" thickTop="1" x14ac:dyDescent="0.45">
      <c r="B23" s="21" t="s">
        <v>61</v>
      </c>
      <c r="C23" s="22">
        <f>C16+C16*($C$17+C18+$C$19)+$C$20+C22</f>
        <v>4717480</v>
      </c>
      <c r="D23" s="22">
        <f t="shared" ref="D23:E23" si="0">D16+D16*($C$17+D18+$C$19)+$C$20+D22</f>
        <v>4717378.7300000004</v>
      </c>
      <c r="E23" s="22">
        <f t="shared" si="0"/>
        <v>4272496.989391651</v>
      </c>
    </row>
    <row r="25" spans="2:5" x14ac:dyDescent="0.45">
      <c r="B25" s="27" t="s">
        <v>79</v>
      </c>
    </row>
    <row r="26" spans="2:5" ht="14.25" customHeight="1" x14ac:dyDescent="0.45">
      <c r="C26" s="5"/>
    </row>
    <row r="27" spans="2:5" x14ac:dyDescent="0.45">
      <c r="B27" s="30" t="s">
        <v>62</v>
      </c>
      <c r="C27" s="47">
        <v>4.2057008274716381E-2</v>
      </c>
    </row>
    <row r="28" spans="2:5" x14ac:dyDescent="0.45">
      <c r="B28" s="31" t="s">
        <v>40</v>
      </c>
      <c r="C28" s="29">
        <f>D16</f>
        <v>4279905</v>
      </c>
    </row>
    <row r="29" spans="2:5" x14ac:dyDescent="0.45">
      <c r="B29" s="21" t="s">
        <v>63</v>
      </c>
      <c r="C29" s="44">
        <f>C28*C$27/12</f>
        <v>15000.000000000002</v>
      </c>
    </row>
    <row r="30" spans="2:5" x14ac:dyDescent="0.45">
      <c r="B30" s="7"/>
      <c r="C30" s="24"/>
    </row>
    <row r="31" spans="2:5" x14ac:dyDescent="0.45">
      <c r="B31" s="30" t="s">
        <v>7</v>
      </c>
      <c r="C31" s="24">
        <f>C$9*C$8</f>
        <v>630</v>
      </c>
      <c r="D31" s="50">
        <f>C31/C29</f>
        <v>4.1999999999999996E-2</v>
      </c>
    </row>
    <row r="32" spans="2:5" x14ac:dyDescent="0.45">
      <c r="B32" s="30" t="s">
        <v>20</v>
      </c>
      <c r="C32" s="24">
        <f>$C$29*D32</f>
        <v>825.00000000000011</v>
      </c>
      <c r="D32" s="50">
        <f>Assumptions!C16</f>
        <v>5.5E-2</v>
      </c>
    </row>
    <row r="33" spans="2:4" x14ac:dyDescent="0.45">
      <c r="B33" s="30" t="s">
        <v>26</v>
      </c>
      <c r="C33" s="24">
        <f t="shared" ref="C33:C36" si="1">$C$29*D33</f>
        <v>450.00000000000006</v>
      </c>
      <c r="D33" s="50">
        <f>Assumptions!C17</f>
        <v>0.03</v>
      </c>
    </row>
    <row r="34" spans="2:4" x14ac:dyDescent="0.45">
      <c r="B34" s="30" t="s">
        <v>104</v>
      </c>
      <c r="C34" s="24">
        <f t="shared" si="1"/>
        <v>1200.0000000000002</v>
      </c>
      <c r="D34" s="3">
        <v>0.08</v>
      </c>
    </row>
    <row r="35" spans="2:4" x14ac:dyDescent="0.45">
      <c r="B35" s="30" t="s">
        <v>105</v>
      </c>
      <c r="C35" s="24">
        <f t="shared" ca="1" si="1"/>
        <v>600.00000000000011</v>
      </c>
      <c r="D35" s="3">
        <f ca="1">IF(C$7&gt;=30,4%,0)</f>
        <v>0.04</v>
      </c>
    </row>
    <row r="36" spans="2:4" x14ac:dyDescent="0.45">
      <c r="B36" s="30" t="s">
        <v>16</v>
      </c>
      <c r="C36" s="24">
        <f t="shared" si="1"/>
        <v>300.00000000000006</v>
      </c>
      <c r="D36" s="3">
        <v>0.02</v>
      </c>
    </row>
    <row r="37" spans="2:4" ht="14.65" thickBot="1" x14ac:dyDescent="0.5">
      <c r="B37" s="32" t="s">
        <v>41</v>
      </c>
      <c r="C37" s="33">
        <v>0</v>
      </c>
      <c r="D37" s="52">
        <f>C37/C29</f>
        <v>0</v>
      </c>
    </row>
    <row r="38" spans="2:4" ht="14.65" thickTop="1" x14ac:dyDescent="0.45">
      <c r="B38" s="21" t="s">
        <v>64</v>
      </c>
      <c r="C38" s="44">
        <f ca="1">C29-SUM(C31:C37)</f>
        <v>10995.000000000002</v>
      </c>
      <c r="D38" s="50">
        <f ca="1">C38/C29</f>
        <v>0.73299999999999998</v>
      </c>
    </row>
    <row r="39" spans="2:4" x14ac:dyDescent="0.45">
      <c r="B39" s="21" t="s">
        <v>46</v>
      </c>
      <c r="C39" s="45">
        <f>Assumptions!C7</f>
        <v>0.02</v>
      </c>
    </row>
    <row r="41" spans="2:4" x14ac:dyDescent="0.45">
      <c r="B41" s="27" t="s">
        <v>84</v>
      </c>
    </row>
    <row r="43" spans="2:4" x14ac:dyDescent="0.45">
      <c r="B43" s="30" t="s">
        <v>38</v>
      </c>
      <c r="C43" s="48">
        <v>0</v>
      </c>
    </row>
    <row r="44" spans="2:4" x14ac:dyDescent="0.45">
      <c r="B44" s="31" t="s">
        <v>42</v>
      </c>
      <c r="C44" s="41">
        <f>(1+C43)^(1/C10)-1</f>
        <v>0</v>
      </c>
    </row>
    <row r="45" spans="2:4" x14ac:dyDescent="0.45">
      <c r="B45" s="21" t="s">
        <v>39</v>
      </c>
      <c r="C45" s="42">
        <f>D16*(1+C$43)</f>
        <v>4279905</v>
      </c>
    </row>
    <row r="47" spans="2:4" x14ac:dyDescent="0.45">
      <c r="B47" s="27" t="s">
        <v>85</v>
      </c>
    </row>
    <row r="49" spans="2:5" x14ac:dyDescent="0.45">
      <c r="B49" s="30" t="s">
        <v>35</v>
      </c>
      <c r="C49" s="35" t="str">
        <f>C14</f>
        <v>Asking Price</v>
      </c>
      <c r="D49" s="35" t="str">
        <f>D14</f>
        <v>Comparable</v>
      </c>
      <c r="E49" s="35" t="str">
        <f>E14</f>
        <v>IRR Netural Price</v>
      </c>
    </row>
    <row r="50" spans="2:5" x14ac:dyDescent="0.45">
      <c r="B50" s="30" t="s">
        <v>66</v>
      </c>
      <c r="C50" s="20">
        <f>C16</f>
        <v>4280000</v>
      </c>
      <c r="D50" s="20">
        <f>D16</f>
        <v>4279905</v>
      </c>
      <c r="E50" s="20">
        <f>E16</f>
        <v>3862567.5322623369</v>
      </c>
    </row>
    <row r="51" spans="2:5" x14ac:dyDescent="0.45">
      <c r="B51" s="30" t="s">
        <v>61</v>
      </c>
      <c r="C51" s="23">
        <f>C23</f>
        <v>4717480</v>
      </c>
      <c r="D51" s="23">
        <f>D23</f>
        <v>4717378.7300000004</v>
      </c>
      <c r="E51" s="23">
        <f>E23</f>
        <v>4272496.989391651</v>
      </c>
    </row>
    <row r="52" spans="2:5" x14ac:dyDescent="0.45">
      <c r="B52" s="30" t="s">
        <v>44</v>
      </c>
      <c r="C52" s="53">
        <f ca="1">C$38*12</f>
        <v>131940.00000000003</v>
      </c>
      <c r="D52" s="53"/>
      <c r="E52" s="53"/>
    </row>
    <row r="53" spans="2:5" ht="14.65" thickBot="1" x14ac:dyDescent="0.5">
      <c r="B53" s="32" t="s">
        <v>45</v>
      </c>
      <c r="C53" s="54">
        <f>C$45</f>
        <v>4279905</v>
      </c>
      <c r="D53" s="54"/>
      <c r="E53" s="54"/>
    </row>
    <row r="54" spans="2:5" ht="14.65" thickTop="1" x14ac:dyDescent="0.45">
      <c r="B54" s="21" t="s">
        <v>67</v>
      </c>
      <c r="C54" s="43">
        <f ca="1">RATE(15, $C52*(1+$C$39), -C51, $C53 / (1+$C$39)^15) + $C$39</f>
        <v>2.7990156949300824E-2</v>
      </c>
      <c r="D54" s="43">
        <f t="shared" ref="D54:E54" ca="1" si="2">RATE(15, $C52*(1+$C$39), -D51, $C53 / (1+$C$39)^15) + $C$39</f>
        <v>2.7991941145339455E-2</v>
      </c>
      <c r="E54" s="43">
        <f t="shared" ca="1" si="2"/>
        <v>3.6315289989234535E-2</v>
      </c>
    </row>
    <row r="56" spans="2:5" x14ac:dyDescent="0.45">
      <c r="B56" s="36" t="s">
        <v>68</v>
      </c>
    </row>
    <row r="57" spans="2:5" x14ac:dyDescent="0.45">
      <c r="B57" t="s">
        <v>69</v>
      </c>
    </row>
    <row r="58" spans="2:5" x14ac:dyDescent="0.45">
      <c r="B58" t="s">
        <v>70</v>
      </c>
    </row>
    <row r="59" spans="2:5" x14ac:dyDescent="0.45">
      <c r="B59" t="s">
        <v>71</v>
      </c>
    </row>
  </sheetData>
  <dataConsolidate/>
  <mergeCells count="6">
    <mergeCell ref="C17:E17"/>
    <mergeCell ref="C19:E19"/>
    <mergeCell ref="C20:E20"/>
    <mergeCell ref="C52:E52"/>
    <mergeCell ref="C53:E53"/>
    <mergeCell ref="C21:E21"/>
  </mergeCells>
  <pageMargins left="0.25" right="0.25" top="0.75" bottom="0.75" header="0.3" footer="0.3"/>
  <pageSetup paperSize="9" scale="94" fitToWidth="0"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37" t="s">
        <v>72</v>
      </c>
      <c r="C2" s="38"/>
      <c r="D2" s="37" t="s">
        <v>88</v>
      </c>
    </row>
    <row r="3" spans="2:4" x14ac:dyDescent="0.45">
      <c r="B3" s="38"/>
      <c r="C3" s="38"/>
      <c r="D3" s="38"/>
    </row>
    <row r="4" spans="2:4" ht="57" x14ac:dyDescent="0.45">
      <c r="B4" s="39" t="s">
        <v>95</v>
      </c>
      <c r="C4" s="38"/>
      <c r="D4" s="39" t="s">
        <v>96</v>
      </c>
    </row>
    <row r="5" spans="2:4" x14ac:dyDescent="0.45">
      <c r="B5" s="38"/>
      <c r="C5" s="38"/>
      <c r="D5" s="38"/>
    </row>
    <row r="6" spans="2:4" ht="128.25" x14ac:dyDescent="0.45">
      <c r="B6" s="39" t="s">
        <v>81</v>
      </c>
      <c r="C6" s="38"/>
      <c r="D6" s="39" t="s">
        <v>89</v>
      </c>
    </row>
    <row r="7" spans="2:4" x14ac:dyDescent="0.45">
      <c r="B7" s="38"/>
      <c r="C7" s="38"/>
      <c r="D7" s="38"/>
    </row>
    <row r="8" spans="2:4" ht="85.5" x14ac:dyDescent="0.45">
      <c r="B8" s="39" t="s">
        <v>83</v>
      </c>
      <c r="C8" s="38"/>
      <c r="D8" s="39" t="s">
        <v>90</v>
      </c>
    </row>
    <row r="9" spans="2:4" x14ac:dyDescent="0.45">
      <c r="B9" s="38"/>
      <c r="C9" s="38"/>
      <c r="D9" s="38"/>
    </row>
    <row r="10" spans="2:4" ht="85.5" x14ac:dyDescent="0.45">
      <c r="B10" s="39" t="s">
        <v>82</v>
      </c>
      <c r="C10" s="38"/>
      <c r="D10" s="39" t="s">
        <v>91</v>
      </c>
    </row>
    <row r="11" spans="2:4" x14ac:dyDescent="0.45">
      <c r="B11" s="38"/>
      <c r="C11" s="38"/>
      <c r="D11" s="38"/>
    </row>
    <row r="12" spans="2:4" x14ac:dyDescent="0.45">
      <c r="B12" s="38"/>
      <c r="C12" s="38"/>
      <c r="D12" s="38"/>
    </row>
    <row r="13" spans="2:4" ht="71.25" x14ac:dyDescent="0.45">
      <c r="B13" s="39" t="s">
        <v>76</v>
      </c>
      <c r="C13" s="38"/>
      <c r="D13" s="39" t="s">
        <v>92</v>
      </c>
    </row>
    <row r="14" spans="2:4" x14ac:dyDescent="0.45">
      <c r="B14" s="38"/>
      <c r="C14" s="38"/>
      <c r="D14" s="38"/>
    </row>
    <row r="15" spans="2:4" ht="128.25" x14ac:dyDescent="0.45">
      <c r="B15" s="39" t="s">
        <v>86</v>
      </c>
      <c r="C15" s="38"/>
      <c r="D15" s="39" t="s">
        <v>93</v>
      </c>
    </row>
    <row r="16" spans="2:4" x14ac:dyDescent="0.45">
      <c r="B16" s="38"/>
      <c r="C16" s="38"/>
      <c r="D16" s="38"/>
    </row>
    <row r="17" spans="2:4" ht="85.5" x14ac:dyDescent="0.45">
      <c r="B17" s="39" t="s">
        <v>87</v>
      </c>
      <c r="C17" s="38"/>
      <c r="D17" s="39" t="s">
        <v>94</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4</vt:i4>
      </vt:variant>
    </vt:vector>
  </HeadingPairs>
  <TitlesOfParts>
    <vt:vector size="9" baseType="lpstr">
      <vt:lpstr>Assumptions</vt:lpstr>
      <vt:lpstr>銀海山莊</vt:lpstr>
      <vt:lpstr>Quarry bay</vt:lpstr>
      <vt:lpstr>翠荷苑</vt:lpstr>
      <vt:lpstr>Logic_Summary</vt:lpstr>
      <vt:lpstr>Cap_Rate</vt:lpstr>
      <vt:lpstr>HKDCNY</vt:lpstr>
      <vt:lpstr>HKDUSD</vt:lpstr>
      <vt:lpstr>Holding_Period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2026-01-27T09:08:29Z</cp:lastPrinted>
  <dcterms:created xsi:type="dcterms:W3CDTF">2022-12-06T06:37:33Z</dcterms:created>
  <dcterms:modified xsi:type="dcterms:W3CDTF">2026-01-28T02:43:14Z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