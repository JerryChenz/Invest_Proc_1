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636D8D4-EF0E-4C9A-87B7-C89B182EF50A}" xr6:coauthVersionLast="47" xr6:coauthVersionMax="47" xr10:uidLastSave="{00000000-0000-0000-0000-000000000000}"/>
  <bookViews>
    <workbookView xWindow="-28920" yWindow="6150" windowWidth="29040" windowHeight="15720" activeTab="1" xr2:uid="{00000000-000D-0000-FFFF-FFFF00000000}"/>
  </bookViews>
  <sheets>
    <sheet name="Assumptions" sheetId="13" r:id="rId1"/>
    <sheet name="Model" sheetId="14" r:id="rId2"/>
    <sheet name="Logic_Summary" sheetId="15" r:id="rId3"/>
  </sheets>
  <definedNames>
    <definedName name="AuraStyleDefaultsReset" hidden="1">#N/A</definedName>
    <definedName name="Cap_Rate">Assumptions!$C$5</definedName>
    <definedName name="HKDCNY">Assumptions!$C$29</definedName>
    <definedName name="HKDUSD">Assumptions!$C$28</definedName>
    <definedName name="Holding_Period">Assumptions!$C$6</definedName>
    <definedName name="Other_Annual_Expense_Percent">Assumptions!$C$25</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5" i="14" l="1"/>
  <c r="D43" i="14"/>
  <c r="E43" i="14"/>
  <c r="C43" i="14"/>
  <c r="C10" i="14"/>
  <c r="C36" i="14"/>
  <c r="C32" i="14"/>
  <c r="C12" i="13"/>
  <c r="C20" i="14"/>
  <c r="C19" i="14"/>
  <c r="C17" i="14"/>
  <c r="D42" i="14"/>
  <c r="E42" i="14"/>
  <c r="C42" i="14"/>
  <c r="C29" i="14"/>
  <c r="D16" i="14"/>
  <c r="C25" i="14"/>
  <c r="C25" i="13"/>
  <c r="C7" i="14"/>
  <c r="C37" i="14" l="1"/>
  <c r="C38" i="14"/>
  <c r="C46" i="14" s="1"/>
  <c r="E21" i="14"/>
  <c r="E44" i="14" s="1"/>
  <c r="C21" i="14"/>
  <c r="C44" i="14" s="1"/>
  <c r="D21" i="14"/>
  <c r="D44" i="14" s="1"/>
  <c r="C26" i="14"/>
  <c r="C27" i="14" s="1"/>
  <c r="C30" i="14" s="1"/>
  <c r="C31" i="14" s="1"/>
  <c r="C45" i="14" l="1"/>
  <c r="C15" i="14"/>
  <c r="C47" i="14" l="1"/>
  <c r="E47" i="14"/>
  <c r="D47" i="14"/>
</calcChain>
</file>

<file path=xl/sharedStrings.xml><?xml version="1.0" encoding="utf-8"?>
<sst xmlns="http://schemas.openxmlformats.org/spreadsheetml/2006/main" count="123" uniqueCount="109">
  <si>
    <t>Value</t>
  </si>
  <si>
    <t>Remarks</t>
  </si>
  <si>
    <t>Forex</t>
  </si>
  <si>
    <t>HKDUSD</t>
  </si>
  <si>
    <t>HKDCNY</t>
  </si>
  <si>
    <t>Scaling Factor</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</si>
  <si>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</si>
  <si>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</si>
  <si>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</si>
  <si>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</si>
  <si>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</si>
  <si>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</si>
  <si>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</si>
  <si>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</si>
  <si>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</si>
  <si>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</si>
  <si>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</si>
  <si>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</si>
  <si>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</si>
  <si>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</si>
  <si>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</si>
  <si>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</si>
  <si>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</si>
  <si>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</si>
  <si>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</si>
  <si>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</si>
  <si>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</si>
  <si>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</si>
  <si>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</si>
  <si>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</si>
  <si>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</si>
  <si>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</si>
  <si>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</si>
  <si>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</si>
  <si>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If house is built over 30 yrs, then increase to 12%</t>
  </si>
  <si>
    <t>Hurdle Cap Rate</t>
  </si>
  <si>
    <t>Other Annual Expense %</t>
  </si>
  <si>
    <t>Gross Rental Yield Reference</t>
  </si>
  <si>
    <t>Holding Period</t>
  </si>
  <si>
    <t>Scenario</t>
  </si>
  <si>
    <t>Comparable</t>
  </si>
  <si>
    <t>Address:</t>
  </si>
  <si>
    <t>Exp. Appreciation %</t>
  </si>
  <si>
    <t>Sale price after appreciation</t>
  </si>
  <si>
    <t>Test Property</t>
  </si>
  <si>
    <t>Reference market value</t>
  </si>
  <si>
    <t>Other Monthly Fees</t>
  </si>
  <si>
    <t>price CAGR</t>
  </si>
  <si>
    <t>Asking Price</t>
  </si>
  <si>
    <t>Annual NOI</t>
  </si>
  <si>
    <t>Exit</t>
  </si>
  <si>
    <t>Exp. Annual Rental Growth</t>
  </si>
  <si>
    <t>Price (HKD)</t>
  </si>
  <si>
    <t>Market Specific Parameters</t>
  </si>
  <si>
    <t>Assumptions</t>
  </si>
  <si>
    <t>Investor Preference</t>
  </si>
  <si>
    <t>Transaction Cost Breakdown</t>
  </si>
  <si>
    <t>Legal Fee</t>
  </si>
  <si>
    <t>Agency Commissions</t>
  </si>
  <si>
    <t>1% of the transaction value for both buyers and sellers;</t>
  </si>
  <si>
    <t>15k-30k normally; 30k-80k for luxury homes or company owned properties.</t>
  </si>
  <si>
    <t>Property inspection</t>
  </si>
  <si>
    <t>Transfer Fee</t>
  </si>
  <si>
    <t>NOI Breakdown</t>
  </si>
  <si>
    <t>Stamp Duty %</t>
  </si>
  <si>
    <t>Estimate only</t>
  </si>
  <si>
    <t>Transfer Fee %</t>
  </si>
  <si>
    <t>Agency Commissions %</t>
  </si>
  <si>
    <t>Legal + Inspection Fees</t>
  </si>
  <si>
    <t>Total Consideration</t>
  </si>
  <si>
    <t>Reference Gross Rental Yield</t>
  </si>
  <si>
    <t>Implied Monthly Rent (HKD)</t>
  </si>
  <si>
    <t>Monthly NOI (HKD)</t>
  </si>
  <si>
    <t>Expected Appreciation after holding period</t>
  </si>
  <si>
    <t>Expected Price CAGR</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</si>
  <si>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</si>
  <si>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</si>
  <si>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</si>
  <si>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</si>
  <si>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</si>
  <si>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</si>
  <si>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</si>
  <si>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</si>
  <si>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</si>
  <si>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</si>
  <si>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</si>
  <si>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</si>
  <si>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</si>
  <si>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</si>
  <si>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</si>
  <si>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</si>
  <si>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</si>
  <si>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</si>
  <si>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</si>
  <si>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</si>
  <si>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</si>
  <si>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</si>
  <si>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</si>
  <si>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</si>
  <si>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</si>
  <si>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</si>
  <si>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</si>
  <si>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</si>
  <si>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</si>
  <si>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</si>
  <si>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</si>
  <si>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</si>
  <si>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</si>
  <si>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typical unlevered hurdle rates range from 4.0%–5.0%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</si>
</sst>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1"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sz val="11"/>
      <color rgb="FFFF0000"/>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57">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164" fontId="0" fillId="0" borderId="0" xfId="0" applyNumberFormat="1" applyAlignment="1">
      <alignment horizontal="center" vertical="center"/>
    </xf>
    <xf numFmtId="0" fontId="3" fillId="2" borderId="0" xfId="0" applyFont="1" applyFill="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0" fontId="3" fillId="0" borderId="0" xfId="0" applyFont="1" applyAlignment="1">
      <alignment horizontal="left" indent="1"/>
    </xf>
    <xf numFmtId="10" fontId="10" fillId="0" borderId="0" xfId="0" applyNumberFormat="1" applyFont="1" applyAlignment="1">
      <alignment horizontal="center"/>
    </xf>
    <xf numFmtId="164" fontId="4" fillId="0" borderId="0" xfId="0" applyNumberFormat="1" applyFont="1" applyAlignment="1">
      <alignment horizontal="center"/>
    </xf>
    <xf numFmtId="0" fontId="3" fillId="2" borderId="0" xfId="0" applyFont="1" applyFill="1" applyAlignment="1">
      <alignment horizontal="left" vertical="center" wrapText="1"/>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6" fontId="4" fillId="0" borderId="0" xfId="0" applyNumberFormat="1" applyFont="1" applyAlignment="1">
      <alignment horizontal="center" vertical="center"/>
    </xf>
    <xf numFmtId="164" fontId="6" fillId="0" borderId="0" xfId="0" applyNumberFormat="1" applyFont="1" applyAlignment="1">
      <alignment horizontal="center"/>
    </xf>
    <xf numFmtId="10"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0" fontId="6" fillId="0" borderId="0" xfId="0" applyNumberFormat="1" applyFont="1" applyAlignment="1">
      <alignment horizontal="center" vertical="center"/>
    </xf>
    <xf numFmtId="164" fontId="0" fillId="0" borderId="0" xfId="0" applyNumberFormat="1" applyAlignment="1">
      <alignment horizontal="center"/>
    </xf>
    <xf numFmtId="164" fontId="6" fillId="0" borderId="0" xfId="0" applyNumberFormat="1" applyFont="1" applyAlignment="1">
      <alignment horizontal="center" vertical="center"/>
    </xf>
    <xf numFmtId="9" fontId="4"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3" fillId="2" borderId="2" xfId="0" applyFont="1" applyFill="1" applyBorder="1" applyAlignment="1">
      <alignment horizontal="left" vertical="center" wrapText="1"/>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9" fontId="4" fillId="0" borderId="0" xfId="0" applyNumberFormat="1" applyFont="1" applyAlignment="1">
      <alignment horizontal="center"/>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3" fontId="6"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0" fillId="0" borderId="0" xfId="0" applyNumberFormat="1" applyAlignment="1">
      <alignment horizontal="center"/>
    </xf>
    <xf numFmtId="164" fontId="0" fillId="0" borderId="2" xfId="0" applyNumberFormat="1" applyBorder="1" applyAlignment="1">
      <alignment horizontal="center"/>
    </xf>
    <xf numFmtId="10" fontId="6" fillId="0" borderId="0" xfId="0" applyNumberFormat="1" applyFont="1" applyAlignment="1">
      <alignment horizontal="center"/>
    </xf>
    <xf numFmtId="164" fontId="6" fillId="0" borderId="2" xfId="0" applyNumberFormat="1" applyFont="1" applyBorder="1" applyAlignment="1">
      <alignment horizontal="center"/>
    </xf>
    <xf numFmtId="164" fontId="5"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8"/>
  <sheetViews>
    <sheetView showGridLines="0" workbookViewId="0">
      <selection activeCell="B36" sqref="B36"/>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11" t="s">
        <v>54</v>
      </c>
      <c r="C2" s="10"/>
      <c r="D2" s="10"/>
    </row>
    <row r="4" spans="2:4" x14ac:dyDescent="0.45">
      <c r="B4" s="15" t="s">
        <v>55</v>
      </c>
      <c r="C4" s="14" t="s">
        <v>0</v>
      </c>
      <c r="D4" s="14" t="s">
        <v>1</v>
      </c>
    </row>
    <row r="5" spans="2:4" x14ac:dyDescent="0.45">
      <c r="B5" t="s">
        <v>35</v>
      </c>
      <c r="C5" s="12">
        <v>0.05</v>
      </c>
      <c r="D5" s="4" t="s">
        <v>108</v>
      </c>
    </row>
    <row r="6" spans="2:4" x14ac:dyDescent="0.45">
      <c r="B6" t="s">
        <v>38</v>
      </c>
      <c r="C6" s="13">
        <v>15</v>
      </c>
      <c r="D6" s="4"/>
    </row>
    <row r="8" spans="2:4" x14ac:dyDescent="0.45">
      <c r="B8" s="15" t="s">
        <v>53</v>
      </c>
      <c r="C8" s="14" t="s">
        <v>0</v>
      </c>
      <c r="D8" s="14" t="s">
        <v>1</v>
      </c>
    </row>
    <row r="9" spans="2:4" x14ac:dyDescent="0.45">
      <c r="B9" t="s">
        <v>37</v>
      </c>
      <c r="C9" s="12">
        <v>2.3E-2</v>
      </c>
    </row>
    <row r="10" spans="2:4" x14ac:dyDescent="0.45">
      <c r="B10" t="s">
        <v>75</v>
      </c>
      <c r="C10" s="12">
        <v>0.01</v>
      </c>
      <c r="D10" s="4" t="s">
        <v>87</v>
      </c>
    </row>
    <row r="11" spans="2:4" x14ac:dyDescent="0.45">
      <c r="B11" t="s">
        <v>73</v>
      </c>
      <c r="C11" s="42">
        <v>0.3</v>
      </c>
    </row>
    <row r="12" spans="2:4" x14ac:dyDescent="0.45">
      <c r="B12" t="s">
        <v>74</v>
      </c>
      <c r="C12" s="27">
        <f>(1+C11)^(1/Holding_Period)-1</f>
        <v>1.7644813405053306E-2</v>
      </c>
    </row>
    <row r="13" spans="2:4" x14ac:dyDescent="0.45">
      <c r="C13" s="3"/>
    </row>
    <row r="14" spans="2:4" x14ac:dyDescent="0.45">
      <c r="B14" s="15" t="s">
        <v>56</v>
      </c>
      <c r="C14" s="14" t="s">
        <v>0</v>
      </c>
      <c r="D14" s="14" t="s">
        <v>1</v>
      </c>
    </row>
    <row r="15" spans="2:4" x14ac:dyDescent="0.45">
      <c r="B15" t="s">
        <v>58</v>
      </c>
      <c r="C15" s="12">
        <v>0.01</v>
      </c>
      <c r="D15" s="4" t="s">
        <v>59</v>
      </c>
    </row>
    <row r="16" spans="2:4" x14ac:dyDescent="0.45">
      <c r="B16" t="s">
        <v>57</v>
      </c>
      <c r="C16" s="18">
        <v>20000</v>
      </c>
      <c r="D16" s="4" t="s">
        <v>60</v>
      </c>
    </row>
    <row r="17" spans="2:4" x14ac:dyDescent="0.45">
      <c r="B17" t="s">
        <v>61</v>
      </c>
      <c r="C17" s="18">
        <v>5000</v>
      </c>
      <c r="D17" s="4" t="s">
        <v>65</v>
      </c>
    </row>
    <row r="18" spans="2:4" x14ac:dyDescent="0.45">
      <c r="B18" t="s">
        <v>62</v>
      </c>
      <c r="C18" s="12">
        <v>1E-3</v>
      </c>
      <c r="D18" s="4"/>
    </row>
    <row r="19" spans="2:4" x14ac:dyDescent="0.45">
      <c r="C19" s="3"/>
    </row>
    <row r="20" spans="2:4" x14ac:dyDescent="0.45">
      <c r="B20" s="15" t="s">
        <v>63</v>
      </c>
      <c r="C20" s="14" t="s">
        <v>0</v>
      </c>
      <c r="D20" s="14" t="s">
        <v>1</v>
      </c>
    </row>
    <row r="21" spans="2:4" x14ac:dyDescent="0.45">
      <c r="B21" t="s">
        <v>21</v>
      </c>
      <c r="C21" s="12">
        <v>5.5E-2</v>
      </c>
      <c r="D21" s="4"/>
    </row>
    <row r="22" spans="2:4" x14ac:dyDescent="0.45">
      <c r="B22" t="s">
        <v>27</v>
      </c>
      <c r="C22" s="12">
        <v>0.03</v>
      </c>
      <c r="D22" s="4"/>
    </row>
    <row r="23" spans="2:4" x14ac:dyDescent="0.45">
      <c r="B23" t="s">
        <v>14</v>
      </c>
      <c r="C23" s="12">
        <v>0.08</v>
      </c>
      <c r="D23" s="4" t="s">
        <v>34</v>
      </c>
    </row>
    <row r="24" spans="2:4" x14ac:dyDescent="0.45">
      <c r="B24" t="s">
        <v>17</v>
      </c>
      <c r="C24" s="12">
        <v>0.02</v>
      </c>
      <c r="D24" s="4"/>
    </row>
    <row r="25" spans="2:4" x14ac:dyDescent="0.45">
      <c r="B25" s="16" t="s">
        <v>36</v>
      </c>
      <c r="C25" s="17">
        <f>SUM(C21:C24)</f>
        <v>0.18499999999999997</v>
      </c>
      <c r="D25" s="4"/>
    </row>
    <row r="27" spans="2:4" x14ac:dyDescent="0.45">
      <c r="B27" s="15" t="s">
        <v>2</v>
      </c>
      <c r="C27" s="14" t="s">
        <v>0</v>
      </c>
      <c r="D27" s="14" t="s">
        <v>1</v>
      </c>
    </row>
    <row r="28" spans="2:4" x14ac:dyDescent="0.45">
      <c r="B28" t="s">
        <v>3</v>
      </c>
      <c r="C28" s="45">
        <v>7.8</v>
      </c>
    </row>
    <row r="29" spans="2:4" x14ac:dyDescent="0.45">
      <c r="B29" t="s">
        <v>4</v>
      </c>
      <c r="C29" s="45">
        <v>0.89</v>
      </c>
    </row>
    <row r="30" spans="2:4" x14ac:dyDescent="0.45">
      <c r="B30" t="s">
        <v>5</v>
      </c>
      <c r="C30" s="46">
        <v>1000</v>
      </c>
    </row>
    <row r="32" spans="2:4" x14ac:dyDescent="0.45">
      <c r="B32" s="1" t="s">
        <v>29</v>
      </c>
    </row>
    <row r="33" spans="2:3" x14ac:dyDescent="0.45">
      <c r="B33" t="s">
        <v>30</v>
      </c>
    </row>
    <row r="34" spans="2:3" x14ac:dyDescent="0.45">
      <c r="B34" t="s">
        <v>31</v>
      </c>
    </row>
    <row r="36" spans="2:3" x14ac:dyDescent="0.45">
      <c r="B36" s="1" t="s">
        <v>21</v>
      </c>
    </row>
    <row r="37" spans="2:3" x14ac:dyDescent="0.45">
      <c r="B37" t="s">
        <v>9</v>
      </c>
    </row>
    <row r="38" spans="2:3" x14ac:dyDescent="0.45">
      <c r="B38" t="s">
        <v>10</v>
      </c>
      <c r="C38" s="2">
        <v>0.05</v>
      </c>
    </row>
    <row r="39" spans="2:3" x14ac:dyDescent="0.45">
      <c r="B39" t="s">
        <v>11</v>
      </c>
      <c r="C39" s="2">
        <v>0.08</v>
      </c>
    </row>
    <row r="40" spans="2:3" x14ac:dyDescent="0.45">
      <c r="B40" t="s">
        <v>12</v>
      </c>
      <c r="C40" s="2">
        <v>0.12</v>
      </c>
    </row>
    <row r="41" spans="2:3" x14ac:dyDescent="0.45">
      <c r="B41" t="s">
        <v>22</v>
      </c>
      <c r="C41" s="2"/>
    </row>
    <row r="43" spans="2:3" x14ac:dyDescent="0.45">
      <c r="B43" s="1" t="s">
        <v>28</v>
      </c>
    </row>
    <row r="44" spans="2:3" x14ac:dyDescent="0.45">
      <c r="B44" t="s">
        <v>32</v>
      </c>
    </row>
    <row r="46" spans="2:3" x14ac:dyDescent="0.45">
      <c r="B46" s="1" t="s">
        <v>14</v>
      </c>
    </row>
    <row r="47" spans="2:3" x14ac:dyDescent="0.45">
      <c r="B47" t="s">
        <v>13</v>
      </c>
    </row>
    <row r="48" spans="2:3" x14ac:dyDescent="0.45">
      <c r="B48" t="s">
        <v>15</v>
      </c>
    </row>
    <row r="49" spans="2:2" x14ac:dyDescent="0.45">
      <c r="B49" t="s">
        <v>16</v>
      </c>
    </row>
    <row r="51" spans="2:2" x14ac:dyDescent="0.45">
      <c r="B51" s="1" t="s">
        <v>17</v>
      </c>
    </row>
    <row r="52" spans="2:2" x14ac:dyDescent="0.45">
      <c r="B52" t="s">
        <v>18</v>
      </c>
    </row>
    <row r="53" spans="2:2" x14ac:dyDescent="0.45">
      <c r="B53" t="s">
        <v>19</v>
      </c>
    </row>
    <row r="54" spans="2:2" x14ac:dyDescent="0.45">
      <c r="B54" t="s">
        <v>20</v>
      </c>
    </row>
    <row r="56" spans="2:2" x14ac:dyDescent="0.45">
      <c r="B56" s="1" t="s">
        <v>24</v>
      </c>
    </row>
    <row r="57" spans="2:2" x14ac:dyDescent="0.45">
      <c r="B57" t="s">
        <v>25</v>
      </c>
    </row>
    <row r="58" spans="2:2" x14ac:dyDescent="0.45">
      <c r="B58" t="s">
        <v>26</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2"/>
  <sheetViews>
    <sheetView showGridLines="0" tabSelected="1" zoomScale="94" zoomScaleNormal="100" workbookViewId="0">
      <selection activeCell="C37" sqref="C37"/>
    </sheetView>
  </sheetViews>
  <sheetFormatPr defaultColWidth="8.796875" defaultRowHeight="14.25" x14ac:dyDescent="0.45"/>
  <cols>
    <col min="1" max="1" width="2.6640625" customWidth="1"/>
    <col min="2" max="2" width="28.53125" customWidth="1"/>
    <col min="3" max="9" width="16.59765625" customWidth="1"/>
  </cols>
  <sheetData>
    <row r="2" spans="2:5" x14ac:dyDescent="0.45">
      <c r="B2" s="38" t="s">
        <v>88</v>
      </c>
    </row>
    <row r="4" spans="2:5" x14ac:dyDescent="0.45">
      <c r="B4" s="40" t="s">
        <v>41</v>
      </c>
      <c r="C4" s="20" t="s">
        <v>44</v>
      </c>
    </row>
    <row r="5" spans="2:5" x14ac:dyDescent="0.45">
      <c r="B5" s="40" t="s">
        <v>6</v>
      </c>
      <c r="C5" s="20" t="s">
        <v>7</v>
      </c>
    </row>
    <row r="6" spans="2:5" x14ac:dyDescent="0.45">
      <c r="B6" s="40" t="s">
        <v>23</v>
      </c>
      <c r="C6" s="21">
        <v>2000</v>
      </c>
    </row>
    <row r="7" spans="2:5" x14ac:dyDescent="0.45">
      <c r="B7" s="40" t="s">
        <v>33</v>
      </c>
      <c r="C7" s="22">
        <f ca="1">YEAR(TODAY())-C6</f>
        <v>26</v>
      </c>
    </row>
    <row r="8" spans="2:5" x14ac:dyDescent="0.45">
      <c r="B8" s="40" t="s">
        <v>83</v>
      </c>
      <c r="C8" s="23">
        <v>1000</v>
      </c>
    </row>
    <row r="9" spans="2:5" x14ac:dyDescent="0.45">
      <c r="B9" s="40" t="s">
        <v>84</v>
      </c>
      <c r="C9" s="24">
        <v>2</v>
      </c>
    </row>
    <row r="10" spans="2:5" x14ac:dyDescent="0.45">
      <c r="B10" s="40" t="s">
        <v>38</v>
      </c>
      <c r="C10" s="25">
        <f>Holding_Period</f>
        <v>15</v>
      </c>
    </row>
    <row r="12" spans="2:5" x14ac:dyDescent="0.45">
      <c r="B12" s="37" t="s">
        <v>90</v>
      </c>
    </row>
    <row r="14" spans="2:5" x14ac:dyDescent="0.45">
      <c r="B14" s="40" t="s">
        <v>39</v>
      </c>
      <c r="C14" s="6" t="s">
        <v>48</v>
      </c>
      <c r="D14" s="6" t="s">
        <v>40</v>
      </c>
      <c r="E14" s="6" t="s">
        <v>107</v>
      </c>
    </row>
    <row r="15" spans="2:5" x14ac:dyDescent="0.45">
      <c r="B15" s="41" t="s">
        <v>85</v>
      </c>
      <c r="C15" s="34">
        <f>C16/C8</f>
        <v>15000</v>
      </c>
      <c r="D15" s="35">
        <v>14000</v>
      </c>
      <c r="E15" s="34">
        <f>E16/C8</f>
        <v>12300</v>
      </c>
    </row>
    <row r="16" spans="2:5" x14ac:dyDescent="0.45">
      <c r="B16" s="40" t="s">
        <v>52</v>
      </c>
      <c r="C16" s="18">
        <v>15000000</v>
      </c>
      <c r="D16" s="26">
        <f>D15*C$8</f>
        <v>14000000</v>
      </c>
      <c r="E16" s="56">
        <v>12300000</v>
      </c>
    </row>
    <row r="17" spans="2:5" x14ac:dyDescent="0.45">
      <c r="B17" s="40" t="s">
        <v>67</v>
      </c>
      <c r="C17" s="54">
        <f>Assumptions!C15</f>
        <v>0.01</v>
      </c>
      <c r="D17" s="54"/>
      <c r="E17" s="54"/>
    </row>
    <row r="18" spans="2:5" x14ac:dyDescent="0.45">
      <c r="B18" s="40" t="s">
        <v>64</v>
      </c>
      <c r="C18" s="12">
        <v>3.7499999999999999E-2</v>
      </c>
      <c r="D18" s="12">
        <v>3.7499999999999999E-2</v>
      </c>
      <c r="E18" s="12">
        <v>3.7499999999999999E-2</v>
      </c>
    </row>
    <row r="19" spans="2:5" x14ac:dyDescent="0.45">
      <c r="B19" s="40" t="s">
        <v>66</v>
      </c>
      <c r="C19" s="54">
        <f>Assumptions!C18</f>
        <v>1E-3</v>
      </c>
      <c r="D19" s="54"/>
      <c r="E19" s="54"/>
    </row>
    <row r="20" spans="2:5" ht="14.65" thickBot="1" x14ac:dyDescent="0.5">
      <c r="B20" s="43" t="s">
        <v>68</v>
      </c>
      <c r="C20" s="55">
        <f>Assumptions!C16+Assumptions!C17</f>
        <v>25000</v>
      </c>
      <c r="D20" s="55"/>
      <c r="E20" s="55"/>
    </row>
    <row r="21" spans="2:5" ht="14.65" thickTop="1" x14ac:dyDescent="0.45">
      <c r="B21" s="28" t="s">
        <v>69</v>
      </c>
      <c r="C21" s="29">
        <f>C16+C16*($C$17+C18+$C$19)+$C$20</f>
        <v>15752500</v>
      </c>
      <c r="D21" s="29">
        <f t="shared" ref="D21:E21" si="0">D16+D16*($C$17+D18+$C$19)+$C$20</f>
        <v>14704000</v>
      </c>
      <c r="E21" s="29">
        <f t="shared" si="0"/>
        <v>12921550</v>
      </c>
    </row>
    <row r="23" spans="2:5" x14ac:dyDescent="0.45">
      <c r="B23" s="37" t="s">
        <v>89</v>
      </c>
    </row>
    <row r="24" spans="2:5" ht="14.25" customHeight="1" x14ac:dyDescent="0.45">
      <c r="C24" s="5"/>
    </row>
    <row r="25" spans="2:5" x14ac:dyDescent="0.45">
      <c r="B25" s="40" t="s">
        <v>70</v>
      </c>
      <c r="C25" s="30">
        <f>Assumptions!$C$9</f>
        <v>2.3E-2</v>
      </c>
    </row>
    <row r="26" spans="2:5" x14ac:dyDescent="0.45">
      <c r="B26" s="41" t="s">
        <v>45</v>
      </c>
      <c r="C26" s="39">
        <f>D16</f>
        <v>14000000</v>
      </c>
    </row>
    <row r="27" spans="2:5" x14ac:dyDescent="0.45">
      <c r="B27" s="28" t="s">
        <v>71</v>
      </c>
      <c r="C27" s="32">
        <f>C26*C$25/12</f>
        <v>26833.333333333332</v>
      </c>
    </row>
    <row r="28" spans="2:5" x14ac:dyDescent="0.45">
      <c r="B28" s="7"/>
      <c r="C28" s="32"/>
    </row>
    <row r="29" spans="2:5" x14ac:dyDescent="0.45">
      <c r="B29" s="40" t="s">
        <v>8</v>
      </c>
      <c r="C29" s="32">
        <f>C$9*C$8</f>
        <v>2000</v>
      </c>
    </row>
    <row r="30" spans="2:5" ht="14.65" thickBot="1" x14ac:dyDescent="0.5">
      <c r="B30" s="43" t="s">
        <v>46</v>
      </c>
      <c r="C30" s="44">
        <f ca="1">(C27*(Other_Annual_Expense_Percent-IF(C$7&gt;=30,4%,0)))</f>
        <v>4964.1666666666661</v>
      </c>
    </row>
    <row r="31" spans="2:5" ht="14.65" thickTop="1" x14ac:dyDescent="0.45">
      <c r="B31" s="28" t="s">
        <v>72</v>
      </c>
      <c r="C31" s="32">
        <f ca="1">C27-C29-C30</f>
        <v>19869.166666666664</v>
      </c>
    </row>
    <row r="32" spans="2:5" x14ac:dyDescent="0.45">
      <c r="B32" s="28" t="s">
        <v>51</v>
      </c>
      <c r="C32" s="30">
        <f>Assumptions!C10</f>
        <v>0.01</v>
      </c>
    </row>
    <row r="34" spans="2:5" x14ac:dyDescent="0.45">
      <c r="B34" s="37" t="s">
        <v>94</v>
      </c>
    </row>
    <row r="36" spans="2:5" x14ac:dyDescent="0.45">
      <c r="B36" s="19" t="s">
        <v>42</v>
      </c>
      <c r="C36" s="33">
        <f>Assumptions!C11</f>
        <v>0.3</v>
      </c>
    </row>
    <row r="37" spans="2:5" x14ac:dyDescent="0.45">
      <c r="B37" s="19" t="s">
        <v>47</v>
      </c>
      <c r="C37" s="30">
        <f>(1+C36)^(1/C10)-1</f>
        <v>1.7644813405053306E-2</v>
      </c>
    </row>
    <row r="38" spans="2:5" x14ac:dyDescent="0.45">
      <c r="B38" s="19" t="s">
        <v>43</v>
      </c>
      <c r="C38" s="8">
        <f>D16*(1+C$36)</f>
        <v>18200000</v>
      </c>
    </row>
    <row r="40" spans="2:5" x14ac:dyDescent="0.45">
      <c r="B40" s="37" t="s">
        <v>95</v>
      </c>
    </row>
    <row r="42" spans="2:5" x14ac:dyDescent="0.45">
      <c r="B42" s="9" t="s">
        <v>39</v>
      </c>
      <c r="C42" s="47" t="str">
        <f>C14</f>
        <v>Asking Price</v>
      </c>
      <c r="D42" s="47" t="str">
        <f>D14</f>
        <v>Comparable</v>
      </c>
      <c r="E42" s="47" t="str">
        <f>E14</f>
        <v>IRR Netural Price</v>
      </c>
    </row>
    <row r="43" spans="2:5" x14ac:dyDescent="0.45">
      <c r="B43" s="19" t="s">
        <v>76</v>
      </c>
      <c r="C43" s="26">
        <f>C16</f>
        <v>15000000</v>
      </c>
      <c r="D43" s="26">
        <f t="shared" ref="D43:E43" si="1">D16</f>
        <v>14000000</v>
      </c>
      <c r="E43" s="26">
        <f t="shared" si="1"/>
        <v>12300000</v>
      </c>
    </row>
    <row r="44" spans="2:5" x14ac:dyDescent="0.45">
      <c r="B44" s="19" t="s">
        <v>69</v>
      </c>
      <c r="C44" s="31">
        <f>C21</f>
        <v>15752500</v>
      </c>
      <c r="D44" s="31">
        <f>D21</f>
        <v>14704000</v>
      </c>
      <c r="E44" s="31">
        <f>E21</f>
        <v>12921550</v>
      </c>
    </row>
    <row r="45" spans="2:5" x14ac:dyDescent="0.45">
      <c r="B45" s="19" t="s">
        <v>49</v>
      </c>
      <c r="C45" s="52">
        <f ca="1">C$31*12</f>
        <v>238429.99999999997</v>
      </c>
      <c r="D45" s="52"/>
      <c r="E45" s="52"/>
    </row>
    <row r="46" spans="2:5" ht="14.65" thickBot="1" x14ac:dyDescent="0.5">
      <c r="B46" s="36" t="s">
        <v>50</v>
      </c>
      <c r="C46" s="53">
        <f>C$38</f>
        <v>18200000</v>
      </c>
      <c r="D46" s="53"/>
      <c r="E46" s="53"/>
    </row>
    <row r="47" spans="2:5" ht="14.65" thickTop="1" x14ac:dyDescent="0.45">
      <c r="B47" s="28" t="s">
        <v>77</v>
      </c>
      <c r="C47" s="27">
        <f ca="1">RATE(15, $C45*(1+$C$32), -C44, $C46 / (1+$C$32)^15) + $C$32</f>
        <v>2.4998387525081909E-2</v>
      </c>
      <c r="D47" s="27">
        <f t="shared" ref="D47:E47" ca="1" si="2">RATE(15, $C45*(1+$C$32), -D44, $C46 / (1+$C$32)^15) + $C$32</f>
        <v>3.0196760572581638E-2</v>
      </c>
      <c r="E47" s="27">
        <f t="shared" ca="1" si="2"/>
        <v>4.009247428661733E-2</v>
      </c>
    </row>
    <row r="49" spans="2:2" x14ac:dyDescent="0.45">
      <c r="B49" s="48" t="s">
        <v>78</v>
      </c>
    </row>
    <row r="50" spans="2:2" x14ac:dyDescent="0.45">
      <c r="B50" t="s">
        <v>79</v>
      </c>
    </row>
    <row r="51" spans="2:2" x14ac:dyDescent="0.45">
      <c r="B51" t="s">
        <v>80</v>
      </c>
    </row>
    <row r="52" spans="2:2" x14ac:dyDescent="0.45">
      <c r="B52" t="s">
        <v>81</v>
      </c>
    </row>
  </sheetData>
  <dataConsolidate/>
  <mergeCells count="5">
    <mergeCell ref="C45:E45"/>
    <mergeCell ref="C46:E46"/>
    <mergeCell ref="C17:E17"/>
    <mergeCell ref="C19:E19"/>
    <mergeCell ref="C20:E20"/>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49" t="s">
        <v>82</v>
      </c>
      <c r="C2" s="50"/>
      <c r="D2" s="49" t="s">
        <v>98</v>
      </c>
    </row>
    <row r="3" spans="2:4" x14ac:dyDescent="0.45">
      <c r="B3" s="50"/>
      <c r="C3" s="50"/>
      <c r="D3" s="50"/>
    </row>
    <row r="4" spans="2:4" ht="57" x14ac:dyDescent="0.45">
      <c r="B4" s="51" t="s">
        <v>105</v>
      </c>
      <c r="C4" s="50"/>
      <c r="D4" s="51" t="s">
        <v>106</v>
      </c>
    </row>
    <row r="5" spans="2:4" x14ac:dyDescent="0.45">
      <c r="B5" s="50"/>
      <c r="C5" s="50"/>
      <c r="D5" s="50"/>
    </row>
    <row r="6" spans="2:4" ht="128.25" x14ac:dyDescent="0.45">
      <c r="B6" s="51" t="s">
        <v>91</v>
      </c>
      <c r="C6" s="50"/>
      <c r="D6" s="51" t="s">
        <v>99</v>
      </c>
    </row>
    <row r="7" spans="2:4" x14ac:dyDescent="0.45">
      <c r="B7" s="50"/>
      <c r="C7" s="50"/>
      <c r="D7" s="50"/>
    </row>
    <row r="8" spans="2:4" ht="85.5" x14ac:dyDescent="0.45">
      <c r="B8" s="51" t="s">
        <v>93</v>
      </c>
      <c r="C8" s="50"/>
      <c r="D8" s="51" t="s">
        <v>100</v>
      </c>
    </row>
    <row r="9" spans="2:4" x14ac:dyDescent="0.45">
      <c r="B9" s="50"/>
      <c r="C9" s="50"/>
      <c r="D9" s="50"/>
    </row>
    <row r="10" spans="2:4" ht="85.5" x14ac:dyDescent="0.45">
      <c r="B10" s="51" t="s">
        <v>92</v>
      </c>
      <c r="C10" s="50"/>
      <c r="D10" s="51" t="s">
        <v>101</v>
      </c>
    </row>
    <row r="11" spans="2:4" x14ac:dyDescent="0.45">
      <c r="B11" s="50"/>
      <c r="C11" s="50"/>
      <c r="D11" s="50"/>
    </row>
    <row r="12" spans="2:4" x14ac:dyDescent="0.45">
      <c r="B12" s="50"/>
      <c r="C12" s="50"/>
      <c r="D12" s="50"/>
    </row>
    <row r="13" spans="2:4" ht="71.25" x14ac:dyDescent="0.45">
      <c r="B13" s="51" t="s">
        <v>86</v>
      </c>
      <c r="C13" s="50"/>
      <c r="D13" s="51" t="s">
        <v>102</v>
      </c>
    </row>
    <row r="14" spans="2:4" x14ac:dyDescent="0.45">
      <c r="B14" s="50"/>
      <c r="C14" s="50"/>
      <c r="D14" s="50"/>
    </row>
    <row r="15" spans="2:4" ht="128.25" x14ac:dyDescent="0.45">
      <c r="B15" s="51" t="s">
        <v>96</v>
      </c>
      <c r="C15" s="50"/>
      <c r="D15" s="51" t="s">
        <v>103</v>
      </c>
    </row>
    <row r="16" spans="2:4" x14ac:dyDescent="0.45">
      <c r="B16" s="50"/>
      <c r="C16" s="50"/>
      <c r="D16" s="50"/>
    </row>
    <row r="17" spans="2:4" ht="85.5" x14ac:dyDescent="0.45">
      <c r="B17" s="51" t="s">
        <v>97</v>
      </c>
      <c r="C17" s="50"/>
      <c r="D17" s="51" t="s">
        <v>104</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5</vt:i4>
      </vt:variant>
    </vt:vector>
  </HeadingPairs>
  <TitlesOfParts>
    <vt:vector size="8" baseType="lpstr">
      <vt:lpstr>Assumptions</vt:lpstr>
      <vt:lpstr>Model</vt:lpstr>
      <vt:lpstr>Logic_Summary</vt:lpstr>
      <vt:lpstr>Cap_Rate</vt:lpstr>
      <vt:lpstr>HKDCNY</vt:lpstr>
      <vt:lpstr>HKDUSD</vt:lpstr>
      <vt:lpstr>Holding_Period</vt:lpstr>
      <vt:lpstr>Other_Annual_Expense_Percent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2026-01-27T08:14:33Z</cp:lastPrinted>
  <dcterms:created xsi:type="dcterms:W3CDTF">2022-12-06T06:37:33Z</dcterms:created>
  <dcterms:modified xsi:type="dcterms:W3CDTF">2026-01-27T08:28:02Z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