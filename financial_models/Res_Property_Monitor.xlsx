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9A20BDA1-F1CC-4022-9F7A-1DBDC960EE95}" xr6:coauthVersionLast="47" xr6:coauthVersionMax="47" xr10:uidLastSave="{00000000-0000-0000-0000-000000000000}"/>
  <bookViews>
    <workbookView xWindow="-28920" yWindow="6150" windowWidth="29040" windowHeight="15720" activeTab="1" xr2:uid="{00000000-000D-0000-FFFF-FFFF00000000}"/>
  </bookViews>
  <sheets>
    <sheet name="Assumptions" sheetId="13" r:id="rId1"/>
    <sheet name="銀海山莊" sheetId="14" r:id="rId2"/>
    <sheet name="Quarry bay" sheetId="17" r:id="rId3"/>
    <sheet name="翠荷苑" sheetId="18" r:id="rId4"/>
    <sheet name="Logic_Summary" sheetId="15" r:id="rId5"/>
  </sheets>
  <definedNames>
    <definedName name="AuraStyleDefaultsReset" hidden="1">#N/A</definedName>
    <definedName name="Cap_Rate">Assumptions!$C$5</definedName>
    <definedName name="HKDCNY">Assumptions!$C$29</definedName>
    <definedName name="HKDUSD">Assumptions!$C$28</definedName>
    <definedName name="Holding_Period">Assumptions!$C$6</definedName>
    <definedName name="Other_Annual_Expense_Percent">Assumptions!$C$25</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D36" i="14" l="1"/>
  <c r="D30" i="14"/>
  <c r="D35" i="14"/>
  <c r="D33" i="14"/>
  <c r="D32" i="14"/>
  <c r="D31" i="14"/>
  <c r="D22" i="17"/>
  <c r="E22" i="17"/>
  <c r="C22" i="17"/>
  <c r="D22" i="18"/>
  <c r="E22" i="18"/>
  <c r="C22" i="18"/>
  <c r="D18" i="18"/>
  <c r="E18" i="18" s="1"/>
  <c r="E44" i="18"/>
  <c r="C44" i="18"/>
  <c r="E43" i="18"/>
  <c r="D43" i="18"/>
  <c r="C43" i="18"/>
  <c r="C33" i="18"/>
  <c r="C30" i="18"/>
  <c r="C20" i="18"/>
  <c r="C19" i="18"/>
  <c r="C17" i="18"/>
  <c r="D16" i="18"/>
  <c r="C39" i="18" s="1"/>
  <c r="C47" i="18" s="1"/>
  <c r="E15" i="18"/>
  <c r="C15" i="18"/>
  <c r="C10" i="18"/>
  <c r="C38" i="18" s="1"/>
  <c r="C7" i="18"/>
  <c r="E44" i="17"/>
  <c r="C44" i="17"/>
  <c r="E43" i="17"/>
  <c r="D43" i="17"/>
  <c r="C43" i="17"/>
  <c r="C37" i="17"/>
  <c r="C33" i="17"/>
  <c r="C30" i="17"/>
  <c r="C20" i="17"/>
  <c r="C19" i="17"/>
  <c r="C17" i="17"/>
  <c r="D16" i="17"/>
  <c r="D44" i="17" s="1"/>
  <c r="E15" i="17"/>
  <c r="C15" i="17"/>
  <c r="C10" i="17"/>
  <c r="C7" i="17"/>
  <c r="E15" i="14"/>
  <c r="E49" i="14"/>
  <c r="C49" i="14"/>
  <c r="C10" i="14"/>
  <c r="C38" i="14"/>
  <c r="C12" i="13"/>
  <c r="C20" i="14"/>
  <c r="C19" i="14"/>
  <c r="C17" i="14"/>
  <c r="E22" i="14" s="1"/>
  <c r="D48" i="14"/>
  <c r="E48" i="14"/>
  <c r="C48" i="14"/>
  <c r="C30" i="14"/>
  <c r="D16" i="14"/>
  <c r="C44" i="14" s="1"/>
  <c r="C25" i="13"/>
  <c r="C7" i="14"/>
  <c r="D34" i="14" l="1"/>
  <c r="C34" i="14" s="1"/>
  <c r="C37" i="14"/>
  <c r="D37" i="14" s="1"/>
  <c r="C22" i="14"/>
  <c r="C50" i="14" s="1"/>
  <c r="D22" i="14"/>
  <c r="E45" i="17"/>
  <c r="D49" i="14"/>
  <c r="E45" i="18"/>
  <c r="D44" i="18"/>
  <c r="C45" i="18"/>
  <c r="D45" i="18"/>
  <c r="C27" i="18"/>
  <c r="C28" i="18" s="1"/>
  <c r="C38" i="17"/>
  <c r="C27" i="17"/>
  <c r="C28" i="17" s="1"/>
  <c r="C39" i="17"/>
  <c r="C47" i="17" s="1"/>
  <c r="C45" i="17"/>
  <c r="D45" i="17"/>
  <c r="C43" i="14"/>
  <c r="C52" i="14"/>
  <c r="E50" i="14"/>
  <c r="D50" i="14"/>
  <c r="C27" i="14"/>
  <c r="C28" i="14" s="1"/>
  <c r="C51" i="14" l="1"/>
  <c r="C32" i="14"/>
  <c r="C33" i="14"/>
  <c r="C35" i="14"/>
  <c r="C31" i="14"/>
  <c r="C31" i="18"/>
  <c r="C32" i="18" s="1"/>
  <c r="C46" i="18" s="1"/>
  <c r="C31" i="17"/>
  <c r="C32" i="17" s="1"/>
  <c r="C46" i="17" s="1"/>
  <c r="C15" i="14"/>
  <c r="E48" i="18" l="1"/>
  <c r="C48" i="18"/>
  <c r="D48" i="18"/>
  <c r="E48" i="17"/>
  <c r="D48" i="17"/>
  <c r="C48" i="17"/>
  <c r="C53" i="14"/>
  <c r="E53" i="14"/>
  <c r="D53" i="14"/>
</calcChain>
</file>

<file path=xl/sharedStrings.xml><?xml version="1.0" encoding="utf-8"?>
<sst xmlns="http://schemas.openxmlformats.org/spreadsheetml/2006/main" count="222" uniqueCount="115">
  <si>
    <t>Value</t>
  </si>
  <si>
    <t>Remarks</t>
  </si>
  <si>
    <t>Forex</t>
  </si>
  <si>
    <t>HKDUSD</t>
  </si>
  <si>
    <t>HKDCNY</t>
  </si>
  <si>
    <t>Scaling Factor</t>
  </si>
  <si>
    <t>Type</t>
  </si>
  <si>
    <t>Apt.</t>
  </si>
  <si>
    <t>Monthly Management Fee</t>
  </si>
  <si>
    <t>「住宅物業累進差餉制度」的差餉徵收率，具體如下：</t>
  </si>
  <si>
    <t>應課差餉租值為55萬元或以下：</t>
  </si>
  <si>
    <t>應課差餉租值為55萬元至80萬元：</t>
  </si>
  <si>
    <t>應課差餉租值為超過80萬元：</t>
  </si>
  <si>
    <t>Typical: 0.5–1.5% of property value per year, or 5–10% of gross rent (higher for older buildings, lower for new ones).</t>
  </si>
  <si>
    <t>Maintenance / Repairs / Sinking Fund</t>
  </si>
  <si>
    <t>Landlord reality: Many budget 8–10% of gross rent to cover repairs, painting, appliances, minor fixes (tenant damage often recoverable, but not always).</t>
  </si>
  <si>
    <t>Simple model: Use 8% of gross annual rent as a conservative default.</t>
  </si>
  <si>
    <t>Vacancy Allowance</t>
  </si>
  <si>
    <t>Current HK residential vacancy is low in 2025–2026 (strong rental demand from talent schemes and rate cuts), often &lt;5% effective vacancy for good locations/units.</t>
  </si>
  <si>
    <t>But to be prudent (especially for screening many properties), assume 5–10% vacancy to cover turnover time, bad tenants, or market dips.</t>
  </si>
  <si>
    <t>Simple model: 5% of gross annual rent (very conservative and easy).</t>
  </si>
  <si>
    <t>Government Rates</t>
  </si>
  <si>
    <t>Simple model: ≈ 5% of gross annual rent (this is a common quick proxy landlords use).</t>
  </si>
  <si>
    <t>OP/CC year</t>
  </si>
  <si>
    <t>Building Age</t>
  </si>
  <si>
    <t xml:space="preserve">Occupation Permit (OP) </t>
  </si>
  <si>
    <t>Certificate of Compliance (CC)</t>
  </si>
  <si>
    <t>Government Rent</t>
  </si>
  <si>
    <t>Government Rent (地租或地稅)</t>
  </si>
  <si>
    <t>Rateable Value (RV)</t>
  </si>
  <si>
    <t>as at the valuation reference date, usually October of the prior year</t>
  </si>
  <si>
    <t>For residential, it's often close to (but not exactly) your expected gross annual rent — typically 80–100% depending on location/condition.</t>
  </si>
  <si>
    <t>3% of the rateable value</t>
  </si>
  <si>
    <t>Age</t>
  </si>
  <si>
    <t>If house is built over 30 yrs, then increase to 12%</t>
  </si>
  <si>
    <t>Hurdle Cap Rate</t>
  </si>
  <si>
    <t>Other Annual Expense %</t>
  </si>
  <si>
    <t>Gross Rental Yield Reference</t>
  </si>
  <si>
    <t>Holding Period</t>
  </si>
  <si>
    <t>Scenario</t>
  </si>
  <si>
    <t>Comparable</t>
  </si>
  <si>
    <t>Address:</t>
  </si>
  <si>
    <t>Exp. Appreciation %</t>
  </si>
  <si>
    <t>Sale price after appreciation</t>
  </si>
  <si>
    <t>Reference market value</t>
  </si>
  <si>
    <t>Other Monthly Fees</t>
  </si>
  <si>
    <t>price CAGR</t>
  </si>
  <si>
    <t>Asking Price</t>
  </si>
  <si>
    <t>Annual NOI</t>
  </si>
  <si>
    <t>Exit</t>
  </si>
  <si>
    <t>Exp. Annual Rental Growth</t>
  </si>
  <si>
    <t>Price (HKD)</t>
  </si>
  <si>
    <t>Market Specific Parameters</t>
  </si>
  <si>
    <t>Assumptions</t>
  </si>
  <si>
    <t>Investor Preference</t>
  </si>
  <si>
    <t>Transaction Cost Breakdown</t>
  </si>
  <si>
    <t>Legal Fee</t>
  </si>
  <si>
    <t>Agency Commissions</t>
  </si>
  <si>
    <t>1% of the transaction value for both buyers and sellers;</t>
  </si>
  <si>
    <t>15k-30k normally; 30k-80k for luxury homes or company owned properties.</t>
  </si>
  <si>
    <t>Property inspection</t>
  </si>
  <si>
    <t>Transfer Fee</t>
  </si>
  <si>
    <t>NOI Breakdown</t>
  </si>
  <si>
    <t>Stamp Duty %</t>
  </si>
  <si>
    <t>Estimate only</t>
  </si>
  <si>
    <t>Transfer Fee %</t>
  </si>
  <si>
    <t>Agency Commissions %</t>
  </si>
  <si>
    <t>Legal + Inspection Fees</t>
  </si>
  <si>
    <t>Total Consideration</t>
  </si>
  <si>
    <t>Reference Gross Rental Yield</t>
  </si>
  <si>
    <t>Implied Monthly Rent (HKD)</t>
  </si>
  <si>
    <t>Monthly NOI (HKD)</t>
  </si>
  <si>
    <t>Expected Appreciation after holding period</t>
  </si>
  <si>
    <t>Expected Price CAGR</t>
  </si>
  <si>
    <t>Exp. Annual Rental Growth rate</t>
  </si>
  <si>
    <t>Price</t>
  </si>
  <si>
    <t>Holding Period IRR</t>
  </si>
  <si>
    <t>Decision rule (standard real-estate practice):</t>
  </si>
  <si>
    <t>1. IRR &gt; Hurdle rate → Attractive</t>
  </si>
  <si>
    <t>2. IRR = Hurdle rate → Breakeven</t>
  </si>
  <si>
    <t>3. IRR &lt; Hurdle rate → Not attractive</t>
  </si>
  <si>
    <t>How to Analyze a Property Investment Using IRR</t>
  </si>
  <si>
    <t>Saleable Area (Sqft)</t>
  </si>
  <si>
    <t>Management Fee ($/Sqft)</t>
  </si>
  <si>
    <t>Comparable Price/sqft</t>
  </si>
  <si>
    <r>
      <rPr>
        <b/>
        <sz val="11"/>
        <color theme="1"/>
        <rFont val="Calibri"/>
        <family val="2"/>
        <scheme val="minor"/>
      </rPr>
      <t>Step 4: Estimate Exit Value (Sale Price at End)</t>
    </r>
    <r>
      <rPr>
        <sz val="11"/>
        <color theme="1"/>
        <rFont val="Calibri"/>
        <family val="2"/>
        <scheme val="minor"/>
      </rPr>
      <t xml:space="preserve">
Apply expected growth to the current market value (not your purchase price).
Exit value = Market value × (1 + total growth %).
This assumes the property’s value grows over time, regardless of what you paid.</t>
    </r>
  </si>
  <si>
    <t>Historical HK residential rent CAGR (past 15–20 years): ~2.5–3.5% nominal.</t>
  </si>
  <si>
    <t>Step 1: Gather Basic Property Info</t>
  </si>
  <si>
    <t>Step 3: Calculate Net Operating Income (NOI)</t>
  </si>
  <si>
    <t>Step 2: Calculate Market Value with Sales Comparison Approach</t>
  </si>
  <si>
    <r>
      <rPr>
        <b/>
        <sz val="11"/>
        <color theme="1"/>
        <rFont val="Calibri"/>
        <family val="2"/>
        <scheme val="minor"/>
      </rPr>
      <t>Step 1: Gather Basic Property Info</t>
    </r>
    <r>
      <rPr>
        <sz val="11"/>
        <color theme="1"/>
        <rFont val="Calibri"/>
        <family val="2"/>
        <scheme val="minor"/>
      </rPr>
      <t xml:space="preserve">
List the key details. The historical and latest Gross rental yield can be found in Rating and Valuation Department's Property Market Statistics.
Expected gross rental yield (annual rent as % of market value).
Monthly costs (management fees, other ongoing expenses).
How long you plan to hold the property 
Expected total price growth by the end (e.g., percentage increase over the hold period).</t>
    </r>
  </si>
  <si>
    <r>
      <rPr>
        <b/>
        <sz val="11"/>
        <color theme="1"/>
        <rFont val="Calibri"/>
        <family val="2"/>
        <scheme val="minor"/>
      </rPr>
      <t>Step 3: Calculate Net Operating Income (NOI)</t>
    </r>
    <r>
      <rPr>
        <sz val="11"/>
        <color theme="1"/>
        <rFont val="Calibri"/>
        <family val="2"/>
        <scheme val="minor"/>
      </rPr>
      <t xml:space="preserve">
This is the money left after expenses but before taxes or debt. 
Estimate annual gross rent = Market value × gross Rental yield.
Subtract annual expenses (management + other fees).
Result = Annual NOI (your net cash flow each year from rent).</t>
    </r>
  </si>
  <si>
    <r>
      <rPr>
        <b/>
        <sz val="11"/>
        <color theme="1"/>
        <rFont val="Calibri"/>
        <family val="2"/>
        <scheme val="minor"/>
      </rPr>
      <t xml:space="preserve">Step 2: Calculate Market Value and Total Consideration to buy
</t>
    </r>
    <r>
      <rPr>
        <sz val="11"/>
        <color theme="1"/>
        <rFont val="Calibri"/>
        <family val="2"/>
        <scheme val="minor"/>
      </rPr>
      <t xml:space="preserve">
Current Market value =  Comparable price/sqft * Saleable Area
For the Total consideration, start with the purchase price.
Add buyer costs: agent commission, stamp duty/taxes, transfer fees, legal/inspection fees.
Total consideration = Full acquisition cost (your initial cash outflow).</t>
    </r>
  </si>
  <si>
    <t>Step 4: Estimate Exit Value</t>
  </si>
  <si>
    <t>Step 5: Calculate the IRR</t>
  </si>
  <si>
    <r>
      <rPr>
        <b/>
        <sz val="11"/>
        <color theme="1"/>
        <rFont val="Calibri"/>
        <family val="2"/>
        <scheme val="minor"/>
      </rPr>
      <t>Step 5: Calculate the IRR</t>
    </r>
    <r>
      <rPr>
        <sz val="11"/>
        <color theme="1"/>
        <rFont val="Calibri"/>
        <family val="2"/>
        <scheme val="minor"/>
      </rPr>
      <t xml:space="preserve">
Imagine the money going in and out over the holding years. IRR is the annual return that makes the total value of all cash flows equal zero today.
Year 0: Pay the full acquisition cost (negative amount).
Each year 1 to (hold period - 1): Receive annual NOI (positive).
Final year: Receive annual NOI + exit sale price (big positive).
No debt or major repairs assumed — keep it simple.</t>
    </r>
  </si>
  <si>
    <r>
      <rPr>
        <b/>
        <sz val="11"/>
        <color theme="1"/>
        <rFont val="Calibri"/>
        <family val="2"/>
        <scheme val="minor"/>
      </rPr>
      <t>Step 8: Compare IRR to Your Target Return (Hurdle Rate)</t>
    </r>
    <r>
      <rPr>
        <sz val="11"/>
        <color theme="1"/>
        <rFont val="Calibri"/>
        <family val="2"/>
        <scheme val="minor"/>
      </rPr>
      <t xml:space="preserve">
Decide your minimum required annual return (based on risk and other options).
If IRR &gt; hurdle → Good deal (expected to beat your target).
If IRR = hurdle → Neutral.
If IRR &lt; hurdle → Not worth it.</t>
    </r>
  </si>
  <si>
    <t>如何使用 IRR 分析物業投資</t>
  </si>
  <si>
    <r>
      <rPr>
        <b/>
        <sz val="11"/>
        <color theme="1"/>
        <rFont val="Calibri"/>
        <family val="2"/>
        <scheme val="minor"/>
      </rPr>
      <t>步驟 1：收集基本物業資料</t>
    </r>
    <r>
      <rPr>
        <sz val="11"/>
        <color theme="1"/>
        <rFont val="Calibri"/>
        <family val="2"/>
        <scheme val="minor"/>
      </rPr>
      <t xml:space="preserve">
列出以下關鍵信息：
歷史及最新「毛租金回報率」（Gross Rental Yield），可於差餉物業估價署的《物業市場統計》查閱。
預期毛租金回報率（年租金佔市值百分比）。
每月開支（管理費 + 其他持續性費用）。
計劃持有物業的年期。
預期持有期結束時的總價格增長（例如百分比升幅）。</t>
    </r>
  </si>
  <si>
    <r>
      <rPr>
        <b/>
        <sz val="11"/>
        <color theme="1"/>
        <rFont val="Calibri"/>
        <family val="2"/>
        <scheme val="minor"/>
      </rPr>
      <t>步驟 2：計算市值及總購入成本（Total Consideration）</t>
    </r>
    <r>
      <rPr>
        <sz val="11"/>
        <color theme="1"/>
        <rFont val="Calibri"/>
        <family val="2"/>
        <scheme val="minor"/>
      </rPr>
      <t xml:space="preserve">
當前市值 = 可比單位呎價 × 實用面積
總購入成本從購入價開始計算：
購入價 + 買家成本 = 總購入成本（即你最初的現金流出）</t>
    </r>
  </si>
  <si>
    <r>
      <rPr>
        <b/>
        <sz val="11"/>
        <color theme="1"/>
        <rFont val="Calibri"/>
        <family val="2"/>
        <scheme val="minor"/>
      </rPr>
      <t>步驟 3：計算淨營運收入（Net Operating Income，NOI）</t>
    </r>
    <r>
      <rPr>
        <sz val="11"/>
        <color theme="1"/>
        <rFont val="Calibri"/>
        <family val="2"/>
        <scheme val="minor"/>
      </rPr>
      <t xml:space="preserve">
這是扣除開支後、但未計稅項或按揭的淨收入。
估計年總租金 = 市值 × 毛租金回報率
減去年開支（管理費 + 其他費用）
結果 = 年 NOI（即每年從租金得到的淨現金流）</t>
    </r>
  </si>
  <si>
    <r>
      <rPr>
        <b/>
        <sz val="11"/>
        <color theme="1"/>
        <rFont val="Calibri"/>
        <family val="2"/>
        <scheme val="minor"/>
      </rPr>
      <t>步驟 4：估計退出價值（最終售價）</t>
    </r>
    <r>
      <rPr>
        <sz val="11"/>
        <color theme="1"/>
        <rFont val="Calibri"/>
        <family val="2"/>
        <scheme val="minor"/>
      </rPr>
      <t xml:space="preserve">
將預期增長率應用於當前市值（而不是你付出的購入價）。
退出價值 = 市值 × (1 + 總增長百分比)
這假設物業價值會隨時間增長，與你實際付出的價格無關。</t>
    </r>
  </si>
  <si>
    <r>
      <rPr>
        <b/>
        <sz val="11"/>
        <color theme="1"/>
        <rFont val="Calibri"/>
        <family val="2"/>
        <scheme val="minor"/>
      </rPr>
      <t>步驟 5：計算 IRR</t>
    </r>
    <r>
      <rPr>
        <sz val="11"/>
        <color theme="1"/>
        <rFont val="Calibri"/>
        <family val="2"/>
        <scheme val="minor"/>
      </rPr>
      <t xml:space="preserve">
想像整個持有期間的現金流入流出：
第 0 年：支付總購入成本（負數）
第 1 年至（持有年期 - 1）年：每年收到 NOI（正數）
最後一年：收到當年 NOI + 退出售價（大額正數）
IRR 就是令所有現金流的現值總和等於零的年化回報率。
（無按揭、無大額維修假設 — 保持簡單）</t>
    </r>
  </si>
  <si>
    <r>
      <rPr>
        <b/>
        <sz val="11"/>
        <color theme="1"/>
        <rFont val="Calibri"/>
        <family val="2"/>
        <scheme val="minor"/>
      </rPr>
      <t>步驟 6：將 IRR 與你的目標回報率（Hurdle Rate）比較</t>
    </r>
    <r>
      <rPr>
        <sz val="11"/>
        <color theme="1"/>
        <rFont val="Calibri"/>
        <family val="2"/>
        <scheme val="minor"/>
      </rPr>
      <t xml:space="preserve">
決定你對此風險水平的最低可接受年回報率（根據風險及其他投資選擇）。
IRR &gt; 目標回報率 → 好投資（預期能超越你的要求）
IRR = 目標回報率 → 中性
IRR &lt; 目標回報率 → 不值得投資</t>
    </r>
  </si>
  <si>
    <r>
      <rPr>
        <b/>
        <sz val="11"/>
        <color theme="1"/>
        <rFont val="Calibri"/>
        <family val="2"/>
        <scheme val="minor"/>
      </rPr>
      <t xml:space="preserve">Core logic: </t>
    </r>
    <r>
      <rPr>
        <sz val="11"/>
        <color theme="1"/>
        <rFont val="Calibri"/>
        <family val="2"/>
        <scheme val="minor"/>
      </rPr>
      <t xml:space="preserve">The return comes from two main parts: </t>
    </r>
    <r>
      <rPr>
        <b/>
        <sz val="11"/>
        <color theme="1"/>
        <rFont val="Calibri"/>
        <family val="2"/>
        <scheme val="minor"/>
      </rPr>
      <t>stable rental income + capital appreciation</t>
    </r>
    <r>
      <rPr>
        <sz val="11"/>
        <color theme="1"/>
        <rFont val="Calibri"/>
        <family val="2"/>
        <scheme val="minor"/>
      </rPr>
      <t xml:space="preserve"> during the holding period.
The lower the purchase price, the higher the rental growth, or the greater the price appreciation, the higher the IRR will be.</t>
    </r>
  </si>
  <si>
    <r>
      <rPr>
        <b/>
        <sz val="11"/>
        <color theme="1"/>
        <rFont val="Calibri"/>
        <family val="2"/>
        <scheme val="minor"/>
      </rPr>
      <t>核心邏輯：</t>
    </r>
    <r>
      <rPr>
        <sz val="11"/>
        <color theme="1"/>
        <rFont val="Calibri"/>
        <family val="2"/>
        <scheme val="minor"/>
      </rPr>
      <t>回報來自兩部分——</t>
    </r>
    <r>
      <rPr>
        <b/>
        <sz val="11"/>
        <color theme="1"/>
        <rFont val="Calibri"/>
        <family val="2"/>
        <scheme val="minor"/>
      </rPr>
      <t>穩定租金收入+持有期資本增值</t>
    </r>
    <r>
      <rPr>
        <sz val="11"/>
        <color theme="1"/>
        <rFont val="Calibri"/>
        <family val="2"/>
        <scheme val="minor"/>
      </rPr>
      <t>。
購入價越低、租金增長或價格升幅越大，IRR 越高。</t>
    </r>
  </si>
  <si>
    <t>IRR Netural Price</t>
  </si>
  <si>
    <t>typical unlevered hurdle rates range from 4.0%–5.0%</t>
  </si>
  <si>
    <t>銀海山莊</t>
  </si>
  <si>
    <t>差餉</t>
  </si>
  <si>
    <t>Quarry bay</t>
  </si>
  <si>
    <t>翠荷苑</t>
  </si>
  <si>
    <t>Other Costs</t>
  </si>
  <si>
    <t>Maintenance/Repairs/Sinking Fund</t>
  </si>
  <si>
    <t>Old Building Premium 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</si>
</sst>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
    <numFmt numFmtId="165" formatCode="&quot;$&quot;#,##0.00"/>
    <numFmt numFmtId="166" formatCode="#,##0&quot;yrs&quot;"/>
  </numFmts>
  <fonts count="11" x14ac:knownFonts="1">
    <font>
      <sz val="11"/>
      <color theme="1"/>
      <name val="Calibri"/>
      <family val="2"/>
      <scheme val="minor"/>
    </font>
    <font>
      <sz val="10"/>
      <color rgb="FF000000"/>
      <name val="Calibri"/>
      <family val="2"/>
      <scheme val="minor"/>
    </font>
    <font>
      <sz val="12"/>
      <name val="Calibri"/>
      <family val="2"/>
    </font>
    <font>
      <b/>
      <sz val="11"/>
      <color theme="1"/>
      <name val="Calibri"/>
      <family val="2"/>
      <scheme val="minor"/>
    </font>
    <font>
      <sz val="11"/>
      <color rgb="FFFF0000"/>
      <name val="Calibri"/>
      <family val="2"/>
      <scheme val="minor"/>
    </font>
    <font>
      <sz val="11"/>
      <color rgb="FF0000FF"/>
      <name val="Calibri"/>
      <family val="2"/>
      <scheme val="minor"/>
    </font>
    <font>
      <sz val="11"/>
      <name val="Calibri"/>
      <family val="2"/>
      <scheme val="minor"/>
    </font>
    <font>
      <b/>
      <sz val="11"/>
      <color theme="0"/>
      <name val="Calibri"/>
      <family val="2"/>
      <scheme val="minor"/>
    </font>
    <font>
      <b/>
      <sz val="11"/>
      <name val="Calibri"/>
      <family val="2"/>
      <scheme val="minor"/>
    </font>
    <font>
      <b/>
      <u/>
      <sz val="11"/>
      <color theme="1"/>
      <name val="Calibri"/>
      <family val="2"/>
      <scheme val="minor"/>
    </font>
    <font>
      <b/>
      <sz val="11"/>
      <color rgb="FFFF0000"/>
      <name val="Calibri"/>
      <family val="2"/>
      <scheme val="minor"/>
    </font>
  </fonts>
  <fills count="4">
    <fill>
      <patternFill patternType="none"/>
    </fill>
    <fill>
      <patternFill patternType="gray125"/>
    </fill>
    <fill>
      <patternFill patternType="solid">
        <fgColor theme="0" tint="-4.9989318521683403E-2"/>
        <bgColor indexed="64"/>
      </patternFill>
    </fill>
    <fill>
      <patternFill patternType="solid">
        <fgColor rgb="FF002060"/>
        <bgColor indexed="64"/>
      </patternFill>
    </fill>
  </fills>
  <borders count="3">
    <border>
      <left/>
      <right/>
      <top/>
      <bottom/>
      <diagonal/>
    </border>
    <border>
      <left/>
      <right/>
      <top/>
      <bottom style="thin">
        <color indexed="64"/>
      </bottom>
      <diagonal/>
    </border>
    <border>
      <left/>
      <right/>
      <top/>
      <bottom style="double">
        <color indexed="64"/>
      </bottom>
      <diagonal/>
    </border>
  </borders>
  <cellStyleXfs count="3">
    <xf numFmtId="0" fontId="0" fillId="0" borderId="0"/>
    <xf numFmtId="0" fontId="1" fillId="0" borderId="0"/>
    <xf numFmtId="0" fontId="2" fillId="0" borderId="0">
      <alignment vertical="center"/>
    </xf>
  </cellStyleXfs>
  <cellXfs count="62">
    <xf numFmtId="0" fontId="0" fillId="0" borderId="0" xfId="0"/>
    <xf numFmtId="0" fontId="3" fillId="0" borderId="0" xfId="0" applyFont="1"/>
    <xf numFmtId="9" fontId="5" fillId="0" borderId="0" xfId="0" applyNumberFormat="1" applyFont="1"/>
    <xf numFmtId="10" fontId="4" fillId="0" borderId="0" xfId="0" applyNumberFormat="1" applyFont="1"/>
    <xf numFmtId="0" fontId="5" fillId="0" borderId="0" xfId="0" applyFont="1"/>
    <xf numFmtId="0" fontId="3" fillId="0" borderId="0" xfId="0" applyFont="1" applyAlignment="1">
      <alignment horizontal="center" vertical="top" wrapText="1"/>
    </xf>
    <xf numFmtId="0" fontId="5" fillId="0" borderId="0" xfId="0" applyFont="1" applyAlignment="1">
      <alignment horizontal="center"/>
    </xf>
    <xf numFmtId="0" fontId="3" fillId="0" borderId="0" xfId="0" applyFont="1" applyAlignment="1">
      <alignment horizontal="center" vertical="center" wrapText="1"/>
    </xf>
    <xf numFmtId="0" fontId="0" fillId="3" borderId="0" xfId="0" applyFill="1"/>
    <xf numFmtId="0" fontId="7" fillId="3" borderId="0" xfId="0" applyFont="1" applyFill="1"/>
    <xf numFmtId="10" fontId="4" fillId="0" borderId="0" xfId="0" applyNumberFormat="1" applyFont="1" applyAlignment="1">
      <alignment horizontal="center"/>
    </xf>
    <xf numFmtId="166" fontId="4" fillId="0" borderId="0" xfId="0" applyNumberFormat="1" applyFont="1" applyAlignment="1">
      <alignment horizontal="center"/>
    </xf>
    <xf numFmtId="0" fontId="3" fillId="0" borderId="0" xfId="0" applyFont="1" applyAlignment="1">
      <alignment horizontal="center"/>
    </xf>
    <xf numFmtId="0" fontId="9" fillId="0" borderId="0" xfId="0" applyFont="1" applyAlignment="1">
      <alignment horizontal="left"/>
    </xf>
    <xf numFmtId="0" fontId="3" fillId="0" borderId="0" xfId="0" applyFont="1" applyAlignment="1">
      <alignment horizontal="left" indent="1"/>
    </xf>
    <xf numFmtId="10" fontId="10" fillId="0" borderId="0" xfId="0" applyNumberFormat="1" applyFont="1" applyAlignment="1">
      <alignment horizontal="center"/>
    </xf>
    <xf numFmtId="164" fontId="4" fillId="0" borderId="0" xfId="0" applyNumberFormat="1" applyFont="1" applyAlignment="1">
      <alignment horizontal="center"/>
    </xf>
    <xf numFmtId="4" fontId="5" fillId="0" borderId="0" xfId="0" applyNumberFormat="1" applyFont="1" applyAlignment="1">
      <alignment horizontal="center" vertical="center"/>
    </xf>
    <xf numFmtId="1" fontId="5" fillId="0" borderId="0" xfId="0" applyNumberFormat="1" applyFont="1" applyAlignment="1">
      <alignment horizontal="center" vertical="center"/>
    </xf>
    <xf numFmtId="1" fontId="0" fillId="0" borderId="0" xfId="0" applyNumberFormat="1" applyAlignment="1">
      <alignment horizontal="center" vertical="center"/>
    </xf>
    <xf numFmtId="3" fontId="5" fillId="0" borderId="0" xfId="0" applyNumberFormat="1" applyFont="1" applyAlignment="1">
      <alignment horizontal="center" vertical="center"/>
    </xf>
    <xf numFmtId="165" fontId="5" fillId="0" borderId="0" xfId="0" applyNumberFormat="1" applyFont="1" applyAlignment="1">
      <alignment horizontal="center" vertical="center"/>
    </xf>
    <xf numFmtId="164" fontId="6" fillId="0" borderId="0" xfId="0" applyNumberFormat="1" applyFont="1" applyAlignment="1">
      <alignment horizontal="center"/>
    </xf>
    <xf numFmtId="10" fontId="6" fillId="0" borderId="0" xfId="0" applyNumberFormat="1" applyFont="1" applyAlignment="1">
      <alignment horizontal="center"/>
    </xf>
    <xf numFmtId="0" fontId="3" fillId="2" borderId="0" xfId="0" applyFont="1" applyFill="1" applyAlignment="1">
      <alignment horizontal="left" vertical="center" wrapText="1" indent="1"/>
    </xf>
    <xf numFmtId="164" fontId="8" fillId="0" borderId="0" xfId="0" applyNumberFormat="1" applyFont="1" applyAlignment="1">
      <alignment horizontal="center"/>
    </xf>
    <xf numFmtId="164" fontId="0" fillId="0" borderId="0" xfId="0" applyNumberFormat="1" applyAlignment="1">
      <alignment horizontal="center"/>
    </xf>
    <xf numFmtId="164" fontId="6" fillId="0" borderId="0" xfId="0" applyNumberFormat="1" applyFont="1" applyAlignment="1">
      <alignment horizontal="center" vertical="center"/>
    </xf>
    <xf numFmtId="164" fontId="6" fillId="0" borderId="1" xfId="0" applyNumberFormat="1" applyFont="1" applyBorder="1" applyAlignment="1">
      <alignment horizontal="center"/>
    </xf>
    <xf numFmtId="164" fontId="4" fillId="0" borderId="1" xfId="0" applyNumberFormat="1" applyFont="1" applyBorder="1" applyAlignment="1">
      <alignment horizontal="center"/>
    </xf>
    <xf numFmtId="0" fontId="9" fillId="0" borderId="0" xfId="0" applyFont="1" applyAlignment="1">
      <alignment horizontal="left" vertical="top"/>
    </xf>
    <xf numFmtId="0" fontId="9" fillId="0" borderId="0" xfId="0" applyFont="1"/>
    <xf numFmtId="164" fontId="0" fillId="0" borderId="1" xfId="0" applyNumberFormat="1" applyBorder="1" applyAlignment="1">
      <alignment horizontal="center"/>
    </xf>
    <xf numFmtId="0" fontId="0" fillId="2" borderId="0" xfId="0" applyFill="1" applyAlignment="1">
      <alignment horizontal="left" vertical="center" wrapText="1"/>
    </xf>
    <xf numFmtId="0" fontId="0" fillId="2" borderId="1" xfId="0" applyFill="1" applyBorder="1" applyAlignment="1">
      <alignment horizontal="left" vertical="center" wrapText="1"/>
    </xf>
    <xf numFmtId="9" fontId="4" fillId="0" borderId="0" xfId="0" applyNumberFormat="1" applyFont="1" applyAlignment="1">
      <alignment horizontal="center"/>
    </xf>
    <xf numFmtId="0" fontId="0" fillId="2" borderId="2" xfId="0" applyFill="1" applyBorder="1" applyAlignment="1">
      <alignment horizontal="left" vertical="center" wrapText="1"/>
    </xf>
    <xf numFmtId="164" fontId="6" fillId="0" borderId="2" xfId="0" applyNumberFormat="1" applyFont="1" applyBorder="1" applyAlignment="1">
      <alignment horizontal="center" vertical="center"/>
    </xf>
    <xf numFmtId="4" fontId="5" fillId="0" borderId="0" xfId="0" applyNumberFormat="1" applyFont="1" applyAlignment="1">
      <alignment horizontal="center"/>
    </xf>
    <xf numFmtId="3" fontId="6" fillId="0" borderId="0" xfId="0" applyNumberFormat="1" applyFont="1" applyAlignment="1">
      <alignment horizontal="center"/>
    </xf>
    <xf numFmtId="0" fontId="6" fillId="0" borderId="0" xfId="0" applyFont="1" applyAlignment="1">
      <alignment horizontal="center"/>
    </xf>
    <xf numFmtId="0" fontId="3" fillId="0" borderId="0" xfId="0" applyFont="1" applyAlignment="1">
      <alignment horizontal="left" vertical="center"/>
    </xf>
    <xf numFmtId="0" fontId="3" fillId="0" borderId="0" xfId="0" applyFont="1" applyAlignment="1">
      <alignment vertical="top"/>
    </xf>
    <xf numFmtId="0" fontId="0" fillId="0" borderId="0" xfId="0" applyAlignment="1">
      <alignment vertical="top"/>
    </xf>
    <xf numFmtId="0" fontId="0" fillId="0" borderId="0" xfId="0" applyAlignment="1">
      <alignment vertical="top" wrapText="1"/>
    </xf>
    <xf numFmtId="164" fontId="5" fillId="0" borderId="0" xfId="0" applyNumberFormat="1" applyFont="1" applyAlignment="1">
      <alignment horizontal="center"/>
    </xf>
    <xf numFmtId="10" fontId="6" fillId="0" borderId="1" xfId="0" applyNumberFormat="1" applyFont="1" applyBorder="1" applyAlignment="1">
      <alignment horizontal="center" vertical="center"/>
    </xf>
    <xf numFmtId="164" fontId="3" fillId="0" borderId="0" xfId="0" applyNumberFormat="1" applyFont="1" applyAlignment="1">
      <alignment horizontal="center" vertical="center"/>
    </xf>
    <xf numFmtId="10" fontId="8" fillId="0" borderId="0" xfId="0" applyNumberFormat="1" applyFont="1" applyAlignment="1">
      <alignment horizontal="center"/>
    </xf>
    <xf numFmtId="164" fontId="8" fillId="0" borderId="0" xfId="0" applyNumberFormat="1" applyFont="1" applyAlignment="1">
      <alignment horizontal="center" vertical="center"/>
    </xf>
    <xf numFmtId="10" fontId="8" fillId="0" borderId="0" xfId="0" applyNumberFormat="1" applyFont="1" applyAlignment="1">
      <alignment horizontal="center" vertical="center"/>
    </xf>
    <xf numFmtId="166" fontId="6" fillId="0" borderId="0" xfId="0" applyNumberFormat="1" applyFont="1" applyAlignment="1">
      <alignment horizontal="center" vertical="center"/>
    </xf>
    <xf numFmtId="10" fontId="4" fillId="0" borderId="0" xfId="0" applyNumberFormat="1" applyFont="1" applyAlignment="1">
      <alignment horizontal="center" vertical="center"/>
    </xf>
    <xf numFmtId="9" fontId="4" fillId="0" borderId="0" xfId="0" applyNumberFormat="1" applyFont="1" applyAlignment="1">
      <alignment horizontal="center" vertical="center"/>
    </xf>
    <xf numFmtId="164" fontId="4" fillId="0" borderId="2" xfId="0" applyNumberFormat="1" applyFont="1" applyBorder="1" applyAlignment="1">
      <alignment horizontal="center"/>
    </xf>
    <xf numFmtId="10" fontId="0" fillId="0" borderId="0" xfId="0" applyNumberFormat="1"/>
    <xf numFmtId="164" fontId="4" fillId="0" borderId="2" xfId="0" applyNumberFormat="1" applyFont="1" applyBorder="1" applyAlignment="1">
      <alignment horizontal="center" vertical="center"/>
    </xf>
    <xf numFmtId="10" fontId="0" fillId="0" borderId="2" xfId="0" applyNumberFormat="1" applyBorder="1"/>
    <xf numFmtId="164" fontId="0" fillId="0" borderId="0" xfId="0" applyNumberFormat="1" applyAlignment="1">
      <alignment horizontal="center"/>
    </xf>
    <xf numFmtId="164" fontId="0" fillId="0" borderId="2" xfId="0" applyNumberFormat="1" applyBorder="1" applyAlignment="1">
      <alignment horizontal="center"/>
    </xf>
    <xf numFmtId="10" fontId="6" fillId="0" borderId="0" xfId="0" applyNumberFormat="1" applyFont="1" applyAlignment="1">
      <alignment horizontal="center"/>
    </xf>
    <xf numFmtId="164" fontId="6" fillId="0" borderId="0" xfId="0" applyNumberFormat="1" applyFont="1" applyAlignment="1">
      <alignment horizontal="center"/>
    </xf>
  </cellXfs>
  <cellStyles count="3">
    <cellStyle name="Normal 2" xfId="1" xr:uid="{00000000-0005-0000-0000-000001000000}"/>
    <cellStyle name="常规" xfId="0" builtinId="0"/>
    <cellStyle name="常规 2" xfId="2" xr:uid="{32ADA8AA-F280-4250-ABBF-7E6B9CB799DC}"/>
  </cellStyles>
  <dxfs count="0"/>
  <tableStyles count="0" defaultTableStyle="TableStyleMedium2" defaultPivotStyle="PivotStyleLight16"/>
  <colors>
    <mruColors>
      <color rgb="FF0000FF"/>
      <color rgb="FFFF0000"/>
      <color rgb="FF00FF00"/>
      <color rgb="FFB6D7A8"/>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2ED91-59EB-437C-A4C2-C114238F9C2A}">
  <sheetPr>
    <pageSetUpPr fitToPage="1"/>
  </sheetPr>
  <dimension ref="B2:D58"/>
  <sheetViews>
    <sheetView showGridLines="0" workbookViewId="0">
      <selection activeCell="B39" sqref="B39"/>
    </sheetView>
  </sheetViews>
  <sheetFormatPr defaultColWidth="8.796875" defaultRowHeight="14.25" x14ac:dyDescent="0.45"/>
  <cols>
    <col min="1" max="1" width="2.59765625" customWidth="1"/>
    <col min="2" max="2" width="37.86328125" customWidth="1"/>
    <col min="3" max="3" width="11.1328125" bestFit="1" customWidth="1"/>
    <col min="4" max="4" width="71.19921875" customWidth="1"/>
  </cols>
  <sheetData>
    <row r="2" spans="2:4" x14ac:dyDescent="0.45">
      <c r="B2" s="9" t="s">
        <v>53</v>
      </c>
      <c r="C2" s="8"/>
      <c r="D2" s="8"/>
    </row>
    <row r="4" spans="2:4" x14ac:dyDescent="0.45">
      <c r="B4" s="13" t="s">
        <v>54</v>
      </c>
      <c r="C4" s="12" t="s">
        <v>0</v>
      </c>
      <c r="D4" s="12" t="s">
        <v>1</v>
      </c>
    </row>
    <row r="5" spans="2:4" x14ac:dyDescent="0.45">
      <c r="B5" t="s">
        <v>35</v>
      </c>
      <c r="C5" s="10">
        <v>0.04</v>
      </c>
      <c r="D5" s="4" t="s">
        <v>107</v>
      </c>
    </row>
    <row r="6" spans="2:4" x14ac:dyDescent="0.45">
      <c r="B6" t="s">
        <v>38</v>
      </c>
      <c r="C6" s="11">
        <v>15</v>
      </c>
      <c r="D6" s="4"/>
    </row>
    <row r="8" spans="2:4" x14ac:dyDescent="0.45">
      <c r="B8" s="13" t="s">
        <v>52</v>
      </c>
      <c r="C8" s="12" t="s">
        <v>0</v>
      </c>
      <c r="D8" s="12" t="s">
        <v>1</v>
      </c>
    </row>
    <row r="9" spans="2:4" x14ac:dyDescent="0.45">
      <c r="B9" t="s">
        <v>37</v>
      </c>
      <c r="C9" s="10">
        <v>2.3E-2</v>
      </c>
    </row>
    <row r="10" spans="2:4" x14ac:dyDescent="0.45">
      <c r="B10" t="s">
        <v>74</v>
      </c>
      <c r="C10" s="10">
        <v>0.02</v>
      </c>
      <c r="D10" s="4" t="s">
        <v>86</v>
      </c>
    </row>
    <row r="11" spans="2:4" x14ac:dyDescent="0.45">
      <c r="B11" t="s">
        <v>72</v>
      </c>
      <c r="C11" s="35">
        <v>0.3</v>
      </c>
    </row>
    <row r="12" spans="2:4" x14ac:dyDescent="0.45">
      <c r="B12" t="s">
        <v>73</v>
      </c>
      <c r="C12" s="23">
        <f>(1+C11)^(1/Holding_Period)-1</f>
        <v>1.7644813405053306E-2</v>
      </c>
    </row>
    <row r="13" spans="2:4" x14ac:dyDescent="0.45">
      <c r="C13" s="3"/>
    </row>
    <row r="14" spans="2:4" x14ac:dyDescent="0.45">
      <c r="B14" s="13" t="s">
        <v>55</v>
      </c>
      <c r="C14" s="12" t="s">
        <v>0</v>
      </c>
      <c r="D14" s="12" t="s">
        <v>1</v>
      </c>
    </row>
    <row r="15" spans="2:4" x14ac:dyDescent="0.45">
      <c r="B15" t="s">
        <v>57</v>
      </c>
      <c r="C15" s="10">
        <v>0.01</v>
      </c>
      <c r="D15" s="4" t="s">
        <v>58</v>
      </c>
    </row>
    <row r="16" spans="2:4" x14ac:dyDescent="0.45">
      <c r="B16" t="s">
        <v>56</v>
      </c>
      <c r="C16" s="16">
        <v>20000</v>
      </c>
      <c r="D16" s="4" t="s">
        <v>59</v>
      </c>
    </row>
    <row r="17" spans="2:4" x14ac:dyDescent="0.45">
      <c r="B17" t="s">
        <v>60</v>
      </c>
      <c r="C17" s="16">
        <v>5000</v>
      </c>
      <c r="D17" s="4" t="s">
        <v>64</v>
      </c>
    </row>
    <row r="18" spans="2:4" x14ac:dyDescent="0.45">
      <c r="B18" t="s">
        <v>61</v>
      </c>
      <c r="C18" s="10">
        <v>1E-3</v>
      </c>
      <c r="D18" s="4"/>
    </row>
    <row r="19" spans="2:4" x14ac:dyDescent="0.45">
      <c r="C19" s="3"/>
    </row>
    <row r="20" spans="2:4" x14ac:dyDescent="0.45">
      <c r="B20" s="13" t="s">
        <v>62</v>
      </c>
      <c r="C20" s="12" t="s">
        <v>0</v>
      </c>
      <c r="D20" s="12" t="s">
        <v>1</v>
      </c>
    </row>
    <row r="21" spans="2:4" x14ac:dyDescent="0.45">
      <c r="B21" t="s">
        <v>21</v>
      </c>
      <c r="C21" s="10">
        <v>5.5E-2</v>
      </c>
      <c r="D21" s="4" t="s">
        <v>109</v>
      </c>
    </row>
    <row r="22" spans="2:4" x14ac:dyDescent="0.45">
      <c r="B22" t="s">
        <v>27</v>
      </c>
      <c r="C22" s="10">
        <v>0.03</v>
      </c>
      <c r="D22" s="4"/>
    </row>
    <row r="23" spans="2:4" x14ac:dyDescent="0.45">
      <c r="B23" t="s">
        <v>14</v>
      </c>
      <c r="C23" s="10">
        <v>0.08</v>
      </c>
      <c r="D23" s="4" t="s">
        <v>34</v>
      </c>
    </row>
    <row r="24" spans="2:4" x14ac:dyDescent="0.45">
      <c r="B24" t="s">
        <v>17</v>
      </c>
      <c r="C24" s="10">
        <v>0.02</v>
      </c>
      <c r="D24" s="4"/>
    </row>
    <row r="25" spans="2:4" x14ac:dyDescent="0.45">
      <c r="B25" s="14" t="s">
        <v>36</v>
      </c>
      <c r="C25" s="15">
        <f>SUM(C21:C24)</f>
        <v>0.18499999999999997</v>
      </c>
      <c r="D25" s="4"/>
    </row>
    <row r="27" spans="2:4" x14ac:dyDescent="0.45">
      <c r="B27" s="13" t="s">
        <v>2</v>
      </c>
      <c r="C27" s="12" t="s">
        <v>0</v>
      </c>
      <c r="D27" s="12" t="s">
        <v>1</v>
      </c>
    </row>
    <row r="28" spans="2:4" x14ac:dyDescent="0.45">
      <c r="B28" t="s">
        <v>3</v>
      </c>
      <c r="C28" s="38">
        <v>7.8</v>
      </c>
    </row>
    <row r="29" spans="2:4" x14ac:dyDescent="0.45">
      <c r="B29" t="s">
        <v>4</v>
      </c>
      <c r="C29" s="38">
        <v>0.89</v>
      </c>
    </row>
    <row r="30" spans="2:4" x14ac:dyDescent="0.45">
      <c r="B30" t="s">
        <v>5</v>
      </c>
      <c r="C30" s="39">
        <v>1000</v>
      </c>
    </row>
    <row r="32" spans="2:4" x14ac:dyDescent="0.45">
      <c r="B32" s="1" t="s">
        <v>29</v>
      </c>
    </row>
    <row r="33" spans="2:3" x14ac:dyDescent="0.45">
      <c r="B33" t="s">
        <v>30</v>
      </c>
    </row>
    <row r="34" spans="2:3" x14ac:dyDescent="0.45">
      <c r="B34" t="s">
        <v>31</v>
      </c>
    </row>
    <row r="36" spans="2:3" x14ac:dyDescent="0.45">
      <c r="B36" s="1" t="s">
        <v>21</v>
      </c>
    </row>
    <row r="37" spans="2:3" x14ac:dyDescent="0.45">
      <c r="B37" t="s">
        <v>9</v>
      </c>
    </row>
    <row r="38" spans="2:3" x14ac:dyDescent="0.45">
      <c r="B38" t="s">
        <v>10</v>
      </c>
      <c r="C38" s="2">
        <v>0.05</v>
      </c>
    </row>
    <row r="39" spans="2:3" x14ac:dyDescent="0.45">
      <c r="B39" t="s">
        <v>11</v>
      </c>
      <c r="C39" s="2">
        <v>0.08</v>
      </c>
    </row>
    <row r="40" spans="2:3" x14ac:dyDescent="0.45">
      <c r="B40" t="s">
        <v>12</v>
      </c>
      <c r="C40" s="2">
        <v>0.12</v>
      </c>
    </row>
    <row r="41" spans="2:3" x14ac:dyDescent="0.45">
      <c r="B41" t="s">
        <v>22</v>
      </c>
      <c r="C41" s="2"/>
    </row>
    <row r="43" spans="2:3" x14ac:dyDescent="0.45">
      <c r="B43" s="1" t="s">
        <v>28</v>
      </c>
    </row>
    <row r="44" spans="2:3" x14ac:dyDescent="0.45">
      <c r="B44" t="s">
        <v>32</v>
      </c>
    </row>
    <row r="46" spans="2:3" x14ac:dyDescent="0.45">
      <c r="B46" s="1" t="s">
        <v>14</v>
      </c>
    </row>
    <row r="47" spans="2:3" x14ac:dyDescent="0.45">
      <c r="B47" t="s">
        <v>13</v>
      </c>
    </row>
    <row r="48" spans="2:3" x14ac:dyDescent="0.45">
      <c r="B48" t="s">
        <v>15</v>
      </c>
    </row>
    <row r="49" spans="2:2" x14ac:dyDescent="0.45">
      <c r="B49" t="s">
        <v>16</v>
      </c>
    </row>
    <row r="51" spans="2:2" x14ac:dyDescent="0.45">
      <c r="B51" s="1" t="s">
        <v>17</v>
      </c>
    </row>
    <row r="52" spans="2:2" x14ac:dyDescent="0.45">
      <c r="B52" t="s">
        <v>18</v>
      </c>
    </row>
    <row r="53" spans="2:2" x14ac:dyDescent="0.45">
      <c r="B53" t="s">
        <v>19</v>
      </c>
    </row>
    <row r="54" spans="2:2" x14ac:dyDescent="0.45">
      <c r="B54" t="s">
        <v>20</v>
      </c>
    </row>
    <row r="56" spans="2:2" x14ac:dyDescent="0.45">
      <c r="B56" s="1" t="s">
        <v>24</v>
      </c>
    </row>
    <row r="57" spans="2:2" x14ac:dyDescent="0.45">
      <c r="B57" t="s">
        <v>25</v>
      </c>
    </row>
    <row r="58" spans="2:2" x14ac:dyDescent="0.45">
      <c r="B58" t="s">
        <v>26</v>
      </c>
    </row>
  </sheetData>
  <pageMargins left="0.25" right="0.25" top="0.75" bottom="0.75" header="0.3" footer="0.3"/>
  <pageSetup paperSize="9" scale="70"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E8AA2-48F2-4368-B9E3-BA821DC1A767}">
  <sheetPr>
    <pageSetUpPr fitToPage="1"/>
  </sheetPr>
  <dimension ref="B2:E58"/>
  <sheetViews>
    <sheetView showGridLines="0" tabSelected="1" topLeftCell="A7" zoomScale="94" zoomScaleNormal="100" workbookViewId="0">
      <selection activeCell="C38" sqref="C38"/>
    </sheetView>
  </sheetViews>
  <sheetFormatPr defaultColWidth="8.796875" defaultRowHeight="14.25" x14ac:dyDescent="0.45"/>
  <cols>
    <col min="1" max="1" width="2.6640625" customWidth="1"/>
    <col min="2" max="2" width="29.86328125" customWidth="1"/>
    <col min="3" max="9" width="16.59765625" customWidth="1"/>
  </cols>
  <sheetData>
    <row r="2" spans="2:5" x14ac:dyDescent="0.45">
      <c r="B2" s="31" t="s">
        <v>87</v>
      </c>
    </row>
    <row r="4" spans="2:5" x14ac:dyDescent="0.45">
      <c r="B4" s="33" t="s">
        <v>41</v>
      </c>
      <c r="C4" s="17" t="s">
        <v>108</v>
      </c>
    </row>
    <row r="5" spans="2:5" x14ac:dyDescent="0.45">
      <c r="B5" s="33" t="s">
        <v>6</v>
      </c>
      <c r="C5" s="17" t="s">
        <v>7</v>
      </c>
    </row>
    <row r="6" spans="2:5" x14ac:dyDescent="0.45">
      <c r="B6" s="33" t="s">
        <v>23</v>
      </c>
      <c r="C6" s="18">
        <v>1997</v>
      </c>
    </row>
    <row r="7" spans="2:5" x14ac:dyDescent="0.45">
      <c r="B7" s="33" t="s">
        <v>33</v>
      </c>
      <c r="C7" s="19">
        <f ca="1">YEAR(TODAY())-C6</f>
        <v>29</v>
      </c>
    </row>
    <row r="8" spans="2:5" x14ac:dyDescent="0.45">
      <c r="B8" s="33" t="s">
        <v>82</v>
      </c>
      <c r="C8" s="20">
        <v>690</v>
      </c>
    </row>
    <row r="9" spans="2:5" x14ac:dyDescent="0.45">
      <c r="B9" s="33" t="s">
        <v>83</v>
      </c>
      <c r="C9" s="21">
        <v>2.5</v>
      </c>
    </row>
    <row r="10" spans="2:5" x14ac:dyDescent="0.45">
      <c r="B10" s="33" t="s">
        <v>38</v>
      </c>
      <c r="C10" s="51">
        <f>Holding_Period</f>
        <v>15</v>
      </c>
    </row>
    <row r="12" spans="2:5" x14ac:dyDescent="0.45">
      <c r="B12" s="30" t="s">
        <v>89</v>
      </c>
    </row>
    <row r="14" spans="2:5" x14ac:dyDescent="0.45">
      <c r="B14" s="33" t="s">
        <v>39</v>
      </c>
      <c r="C14" s="6" t="s">
        <v>47</v>
      </c>
      <c r="D14" s="6" t="s">
        <v>40</v>
      </c>
      <c r="E14" s="6" t="s">
        <v>106</v>
      </c>
    </row>
    <row r="15" spans="2:5" x14ac:dyDescent="0.45">
      <c r="B15" s="34" t="s">
        <v>84</v>
      </c>
      <c r="C15" s="28">
        <f>C16/C8</f>
        <v>18115.942028985508</v>
      </c>
      <c r="D15" s="29">
        <v>14000</v>
      </c>
      <c r="E15" s="28">
        <f>E16/C8</f>
        <v>12318.840579710144</v>
      </c>
    </row>
    <row r="16" spans="2:5" x14ac:dyDescent="0.45">
      <c r="B16" s="33" t="s">
        <v>51</v>
      </c>
      <c r="C16" s="16">
        <v>12500000</v>
      </c>
      <c r="D16" s="22">
        <f>D15*C$8</f>
        <v>9660000</v>
      </c>
      <c r="E16" s="45">
        <v>8500000</v>
      </c>
    </row>
    <row r="17" spans="2:5" x14ac:dyDescent="0.45">
      <c r="B17" s="33" t="s">
        <v>66</v>
      </c>
      <c r="C17" s="60">
        <f>Assumptions!C15</f>
        <v>0.01</v>
      </c>
      <c r="D17" s="60"/>
      <c r="E17" s="60"/>
    </row>
    <row r="18" spans="2:5" x14ac:dyDescent="0.45">
      <c r="B18" s="33" t="s">
        <v>63</v>
      </c>
      <c r="C18" s="10">
        <v>3.7499999999999999E-2</v>
      </c>
      <c r="D18" s="10">
        <v>3.4500000000000003E-2</v>
      </c>
      <c r="E18" s="10">
        <v>0.03</v>
      </c>
    </row>
    <row r="19" spans="2:5" x14ac:dyDescent="0.45">
      <c r="B19" s="33" t="s">
        <v>65</v>
      </c>
      <c r="C19" s="60">
        <f>Assumptions!C18</f>
        <v>1E-3</v>
      </c>
      <c r="D19" s="60"/>
      <c r="E19" s="60"/>
    </row>
    <row r="20" spans="2:5" x14ac:dyDescent="0.45">
      <c r="B20" s="33" t="s">
        <v>67</v>
      </c>
      <c r="C20" s="61">
        <f>Assumptions!C16+Assumptions!C17</f>
        <v>25000</v>
      </c>
      <c r="D20" s="61"/>
      <c r="E20" s="61"/>
    </row>
    <row r="21" spans="2:5" ht="14.65" thickBot="1" x14ac:dyDescent="0.5">
      <c r="B21" s="36" t="s">
        <v>112</v>
      </c>
      <c r="C21" s="54">
        <v>150000</v>
      </c>
      <c r="D21" s="54">
        <v>150000</v>
      </c>
      <c r="E21" s="54">
        <v>150000</v>
      </c>
    </row>
    <row r="22" spans="2:5" ht="14.65" thickTop="1" x14ac:dyDescent="0.45">
      <c r="B22" s="24" t="s">
        <v>68</v>
      </c>
      <c r="C22" s="25">
        <f>C16+C16*($C$17+C18+$C$19)+$C$20+C21</f>
        <v>13281250</v>
      </c>
      <c r="D22" s="25">
        <f t="shared" ref="D22:E22" si="0">D16+D16*($C$17+D18+$C$19)+$C$20+D21</f>
        <v>10274530</v>
      </c>
      <c r="E22" s="25">
        <f t="shared" si="0"/>
        <v>9023500</v>
      </c>
    </row>
    <row r="24" spans="2:5" x14ac:dyDescent="0.45">
      <c r="B24" s="30" t="s">
        <v>88</v>
      </c>
    </row>
    <row r="25" spans="2:5" ht="14.25" customHeight="1" x14ac:dyDescent="0.45">
      <c r="C25" s="5"/>
    </row>
    <row r="26" spans="2:5" x14ac:dyDescent="0.45">
      <c r="B26" s="33" t="s">
        <v>69</v>
      </c>
      <c r="C26" s="52">
        <v>2.8000000000000001E-2</v>
      </c>
    </row>
    <row r="27" spans="2:5" x14ac:dyDescent="0.45">
      <c r="B27" s="34" t="s">
        <v>44</v>
      </c>
      <c r="C27" s="32">
        <f>D16</f>
        <v>9660000</v>
      </c>
    </row>
    <row r="28" spans="2:5" x14ac:dyDescent="0.45">
      <c r="B28" s="24" t="s">
        <v>70</v>
      </c>
      <c r="C28" s="49">
        <f>C27*C$26/12</f>
        <v>22540</v>
      </c>
    </row>
    <row r="29" spans="2:5" x14ac:dyDescent="0.45">
      <c r="B29" s="7"/>
      <c r="C29" s="27"/>
    </row>
    <row r="30" spans="2:5" x14ac:dyDescent="0.45">
      <c r="B30" s="33" t="s">
        <v>8</v>
      </c>
      <c r="C30" s="27">
        <f>C$9*C$8</f>
        <v>1725</v>
      </c>
      <c r="D30" s="55">
        <f>C30/C28</f>
        <v>7.6530612244897961E-2</v>
      </c>
    </row>
    <row r="31" spans="2:5" x14ac:dyDescent="0.45">
      <c r="B31" s="33" t="s">
        <v>21</v>
      </c>
      <c r="C31" s="27">
        <f>$C$28*D31</f>
        <v>1239.7</v>
      </c>
      <c r="D31" s="55">
        <f>Assumptions!C21</f>
        <v>5.5E-2</v>
      </c>
    </row>
    <row r="32" spans="2:5" x14ac:dyDescent="0.45">
      <c r="B32" s="33" t="s">
        <v>27</v>
      </c>
      <c r="C32" s="27">
        <f t="shared" ref="C32:C35" si="1">$C$28*D32</f>
        <v>676.19999999999993</v>
      </c>
      <c r="D32" s="55">
        <f>Assumptions!C22</f>
        <v>0.03</v>
      </c>
    </row>
    <row r="33" spans="2:5" x14ac:dyDescent="0.45">
      <c r="B33" s="33" t="s">
        <v>113</v>
      </c>
      <c r="C33" s="27">
        <f t="shared" si="1"/>
        <v>1803.2</v>
      </c>
      <c r="D33" s="3">
        <f>Assumptions!C23</f>
        <v>0.08</v>
      </c>
    </row>
    <row r="34" spans="2:5" x14ac:dyDescent="0.45">
      <c r="B34" s="33" t="s">
        <v>114</v>
      </c>
      <c r="C34" s="27">
        <f t="shared" ca="1" si="1"/>
        <v>0</v>
      </c>
      <c r="D34" s="3">
        <f ca="1">IF(C$7&gt;=30,4%,0)</f>
        <v>0</v>
      </c>
    </row>
    <row r="35" spans="2:5" x14ac:dyDescent="0.45">
      <c r="B35" s="33" t="s">
        <v>17</v>
      </c>
      <c r="C35" s="27">
        <f t="shared" si="1"/>
        <v>450.8</v>
      </c>
      <c r="D35" s="3">
        <f>Assumptions!C24</f>
        <v>0.02</v>
      </c>
    </row>
    <row r="36" spans="2:5" ht="14.65" thickBot="1" x14ac:dyDescent="0.5">
      <c r="B36" s="36" t="s">
        <v>45</v>
      </c>
      <c r="C36" s="56">
        <v>0</v>
      </c>
      <c r="D36" s="57">
        <f>C36/C28</f>
        <v>0</v>
      </c>
    </row>
    <row r="37" spans="2:5" ht="14.65" thickTop="1" x14ac:dyDescent="0.45">
      <c r="B37" s="24" t="s">
        <v>71</v>
      </c>
      <c r="C37" s="49">
        <f ca="1">C28-SUM(C30:C36)</f>
        <v>16645.099999999999</v>
      </c>
      <c r="D37" s="55">
        <f ca="1">C37/C28</f>
        <v>0.73846938775510196</v>
      </c>
    </row>
    <row r="38" spans="2:5" x14ac:dyDescent="0.45">
      <c r="B38" s="24" t="s">
        <v>50</v>
      </c>
      <c r="C38" s="50">
        <f>Assumptions!C10</f>
        <v>0.02</v>
      </c>
    </row>
    <row r="40" spans="2:5" x14ac:dyDescent="0.45">
      <c r="B40" s="30" t="s">
        <v>93</v>
      </c>
    </row>
    <row r="42" spans="2:5" x14ac:dyDescent="0.45">
      <c r="B42" s="33" t="s">
        <v>42</v>
      </c>
      <c r="C42" s="53">
        <v>0.4</v>
      </c>
    </row>
    <row r="43" spans="2:5" x14ac:dyDescent="0.45">
      <c r="B43" s="34" t="s">
        <v>46</v>
      </c>
      <c r="C43" s="46">
        <f>(1+C42)^(1/C10)-1</f>
        <v>2.268495988716035E-2</v>
      </c>
    </row>
    <row r="44" spans="2:5" x14ac:dyDescent="0.45">
      <c r="B44" s="24" t="s">
        <v>43</v>
      </c>
      <c r="C44" s="47">
        <f>D16*(1+C$42)</f>
        <v>13524000</v>
      </c>
    </row>
    <row r="46" spans="2:5" x14ac:dyDescent="0.45">
      <c r="B46" s="30" t="s">
        <v>94</v>
      </c>
    </row>
    <row r="48" spans="2:5" x14ac:dyDescent="0.45">
      <c r="B48" s="33" t="s">
        <v>39</v>
      </c>
      <c r="C48" s="40" t="str">
        <f>C14</f>
        <v>Asking Price</v>
      </c>
      <c r="D48" s="40" t="str">
        <f>D14</f>
        <v>Comparable</v>
      </c>
      <c r="E48" s="40" t="str">
        <f>E14</f>
        <v>IRR Netural Price</v>
      </c>
    </row>
    <row r="49" spans="2:5" x14ac:dyDescent="0.45">
      <c r="B49" s="33" t="s">
        <v>75</v>
      </c>
      <c r="C49" s="22">
        <f>C16</f>
        <v>12500000</v>
      </c>
      <c r="D49" s="22">
        <f t="shared" ref="D49:E49" si="2">D16</f>
        <v>9660000</v>
      </c>
      <c r="E49" s="22">
        <f t="shared" si="2"/>
        <v>8500000</v>
      </c>
    </row>
    <row r="50" spans="2:5" x14ac:dyDescent="0.45">
      <c r="B50" s="33" t="s">
        <v>68</v>
      </c>
      <c r="C50" s="26">
        <f>C22</f>
        <v>13281250</v>
      </c>
      <c r="D50" s="26">
        <f>D22</f>
        <v>10274530</v>
      </c>
      <c r="E50" s="26">
        <f>E22</f>
        <v>9023500</v>
      </c>
    </row>
    <row r="51" spans="2:5" x14ac:dyDescent="0.45">
      <c r="B51" s="33" t="s">
        <v>48</v>
      </c>
      <c r="C51" s="58">
        <f ca="1">C$37*12</f>
        <v>199741.19999999998</v>
      </c>
      <c r="D51" s="58"/>
      <c r="E51" s="58"/>
    </row>
    <row r="52" spans="2:5" ht="14.65" thickBot="1" x14ac:dyDescent="0.5">
      <c r="B52" s="36" t="s">
        <v>49</v>
      </c>
      <c r="C52" s="59">
        <f>C$44</f>
        <v>13524000</v>
      </c>
      <c r="D52" s="59"/>
      <c r="E52" s="59"/>
    </row>
    <row r="53" spans="2:5" ht="14.65" thickTop="1" x14ac:dyDescent="0.45">
      <c r="B53" s="24" t="s">
        <v>76</v>
      </c>
      <c r="C53" s="48">
        <f ca="1">RATE(15, $C51*(1+$C$38), -C50, $C52 / (1+$C$38)^15) + $C$38</f>
        <v>1.8999155164258121E-2</v>
      </c>
      <c r="D53" s="48">
        <f t="shared" ref="D53:E53" ca="1" si="3">RATE(15, $C51*(1+$C$38), -D50, $C52 / (1+$C$38)^15) + $C$38</f>
        <v>3.8543863508982534E-2</v>
      </c>
      <c r="E53" s="48">
        <f t="shared" ca="1" si="3"/>
        <v>4.8742541751567378E-2</v>
      </c>
    </row>
    <row r="55" spans="2:5" x14ac:dyDescent="0.45">
      <c r="B55" s="41" t="s">
        <v>77</v>
      </c>
    </row>
    <row r="56" spans="2:5" x14ac:dyDescent="0.45">
      <c r="B56" t="s">
        <v>78</v>
      </c>
    </row>
    <row r="57" spans="2:5" x14ac:dyDescent="0.45">
      <c r="B57" t="s">
        <v>79</v>
      </c>
    </row>
    <row r="58" spans="2:5" x14ac:dyDescent="0.45">
      <c r="B58" t="s">
        <v>80</v>
      </c>
    </row>
  </sheetData>
  <dataConsolidate/>
  <mergeCells count="5">
    <mergeCell ref="C51:E51"/>
    <mergeCell ref="C52:E52"/>
    <mergeCell ref="C17:E17"/>
    <mergeCell ref="C19:E19"/>
    <mergeCell ref="C20:E20"/>
  </mergeCells>
  <pageMargins left="0.25" right="0.25" top="0.75" bottom="0.75" header="0.3" footer="0.3"/>
  <pageSetup paperSize="9" scale="97" fitToWidth="0"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574DC-9638-4865-B3ED-3B836FA95BE0}">
  <sheetPr>
    <pageSetUpPr fitToPage="1"/>
  </sheetPr>
  <dimension ref="B2:E53"/>
  <sheetViews>
    <sheetView showGridLines="0" topLeftCell="A13" zoomScale="94" zoomScaleNormal="100" workbookViewId="0">
      <selection activeCell="D18" sqref="D18"/>
    </sheetView>
  </sheetViews>
  <sheetFormatPr defaultColWidth="8.796875" defaultRowHeight="14.25" x14ac:dyDescent="0.45"/>
  <cols>
    <col min="1" max="1" width="2.6640625" customWidth="1"/>
    <col min="2" max="2" width="28.53125" customWidth="1"/>
    <col min="3" max="9" width="16.59765625" customWidth="1"/>
  </cols>
  <sheetData>
    <row r="2" spans="2:5" x14ac:dyDescent="0.45">
      <c r="B2" s="31" t="s">
        <v>87</v>
      </c>
    </row>
    <row r="4" spans="2:5" x14ac:dyDescent="0.45">
      <c r="B4" s="33" t="s">
        <v>41</v>
      </c>
      <c r="C4" s="17" t="s">
        <v>110</v>
      </c>
    </row>
    <row r="5" spans="2:5" x14ac:dyDescent="0.45">
      <c r="B5" s="33" t="s">
        <v>6</v>
      </c>
      <c r="C5" s="17" t="s">
        <v>7</v>
      </c>
    </row>
    <row r="6" spans="2:5" x14ac:dyDescent="0.45">
      <c r="B6" s="33" t="s">
        <v>23</v>
      </c>
      <c r="C6" s="18">
        <v>2002</v>
      </c>
    </row>
    <row r="7" spans="2:5" x14ac:dyDescent="0.45">
      <c r="B7" s="33" t="s">
        <v>33</v>
      </c>
      <c r="C7" s="19">
        <f ca="1">YEAR(TODAY())-C6</f>
        <v>24</v>
      </c>
    </row>
    <row r="8" spans="2:5" x14ac:dyDescent="0.45">
      <c r="B8" s="33" t="s">
        <v>82</v>
      </c>
      <c r="C8" s="20">
        <v>485</v>
      </c>
    </row>
    <row r="9" spans="2:5" x14ac:dyDescent="0.45">
      <c r="B9" s="33" t="s">
        <v>83</v>
      </c>
      <c r="C9" s="21">
        <v>2.2000000000000002</v>
      </c>
    </row>
    <row r="10" spans="2:5" x14ac:dyDescent="0.45">
      <c r="B10" s="33" t="s">
        <v>38</v>
      </c>
      <c r="C10" s="51">
        <f>Holding_Period</f>
        <v>15</v>
      </c>
    </row>
    <row r="12" spans="2:5" x14ac:dyDescent="0.45">
      <c r="B12" s="30" t="s">
        <v>89</v>
      </c>
    </row>
    <row r="14" spans="2:5" x14ac:dyDescent="0.45">
      <c r="B14" s="33" t="s">
        <v>39</v>
      </c>
      <c r="C14" s="6" t="s">
        <v>47</v>
      </c>
      <c r="D14" s="6" t="s">
        <v>40</v>
      </c>
      <c r="E14" s="6" t="s">
        <v>106</v>
      </c>
    </row>
    <row r="15" spans="2:5" x14ac:dyDescent="0.45">
      <c r="B15" s="34" t="s">
        <v>84</v>
      </c>
      <c r="C15" s="28">
        <f>C16/C8</f>
        <v>16082.474226804125</v>
      </c>
      <c r="D15" s="29">
        <v>15500</v>
      </c>
      <c r="E15" s="28">
        <f>E16/C8</f>
        <v>14538.53385789773</v>
      </c>
    </row>
    <row r="16" spans="2:5" x14ac:dyDescent="0.45">
      <c r="B16" s="33" t="s">
        <v>51</v>
      </c>
      <c r="C16" s="16">
        <v>7800000</v>
      </c>
      <c r="D16" s="22">
        <f>D15*C$8</f>
        <v>7517500</v>
      </c>
      <c r="E16" s="45">
        <v>7051188.9210803993</v>
      </c>
    </row>
    <row r="17" spans="2:5" x14ac:dyDescent="0.45">
      <c r="B17" s="33" t="s">
        <v>66</v>
      </c>
      <c r="C17" s="60">
        <f>Assumptions!C15</f>
        <v>0.01</v>
      </c>
      <c r="D17" s="60"/>
      <c r="E17" s="60"/>
    </row>
    <row r="18" spans="2:5" x14ac:dyDescent="0.45">
      <c r="B18" s="33" t="s">
        <v>63</v>
      </c>
      <c r="C18" s="10">
        <v>0.03</v>
      </c>
      <c r="D18" s="10">
        <v>0.03</v>
      </c>
      <c r="E18" s="10">
        <v>0.03</v>
      </c>
    </row>
    <row r="19" spans="2:5" x14ac:dyDescent="0.45">
      <c r="B19" s="33" t="s">
        <v>65</v>
      </c>
      <c r="C19" s="60">
        <f>Assumptions!C18</f>
        <v>1E-3</v>
      </c>
      <c r="D19" s="60"/>
      <c r="E19" s="60"/>
    </row>
    <row r="20" spans="2:5" x14ac:dyDescent="0.45">
      <c r="B20" s="33" t="s">
        <v>67</v>
      </c>
      <c r="C20" s="61">
        <f>Assumptions!C16+Assumptions!C17</f>
        <v>25000</v>
      </c>
      <c r="D20" s="61"/>
      <c r="E20" s="61"/>
    </row>
    <row r="21" spans="2:5" ht="14.65" thickBot="1" x14ac:dyDescent="0.5">
      <c r="B21" s="36" t="s">
        <v>112</v>
      </c>
      <c r="C21" s="54">
        <v>0</v>
      </c>
      <c r="D21" s="54">
        <v>0</v>
      </c>
      <c r="E21" s="54">
        <v>0</v>
      </c>
    </row>
    <row r="22" spans="2:5" ht="14.65" thickTop="1" x14ac:dyDescent="0.45">
      <c r="B22" s="24" t="s">
        <v>68</v>
      </c>
      <c r="C22" s="25">
        <f>C16+C16*($C$17+C18+$C$19)+$C$20+C21</f>
        <v>8144800</v>
      </c>
      <c r="D22" s="25">
        <f t="shared" ref="D22:E22" si="0">D16+D16*($C$17+D18+$C$19)+$C$20+D21</f>
        <v>7850717.5</v>
      </c>
      <c r="E22" s="25">
        <f t="shared" si="0"/>
        <v>7365287.6668446958</v>
      </c>
    </row>
    <row r="24" spans="2:5" x14ac:dyDescent="0.45">
      <c r="B24" s="30" t="s">
        <v>88</v>
      </c>
    </row>
    <row r="25" spans="2:5" ht="14.25" customHeight="1" x14ac:dyDescent="0.45">
      <c r="C25" s="5"/>
    </row>
    <row r="26" spans="2:5" x14ac:dyDescent="0.45">
      <c r="B26" s="33" t="s">
        <v>69</v>
      </c>
      <c r="C26" s="52">
        <v>3.1E-2</v>
      </c>
    </row>
    <row r="27" spans="2:5" x14ac:dyDescent="0.45">
      <c r="B27" s="34" t="s">
        <v>44</v>
      </c>
      <c r="C27" s="32">
        <f>D16</f>
        <v>7517500</v>
      </c>
    </row>
    <row r="28" spans="2:5" x14ac:dyDescent="0.45">
      <c r="B28" s="24" t="s">
        <v>70</v>
      </c>
      <c r="C28" s="49">
        <f>C27*C$26/12</f>
        <v>19420.208333333332</v>
      </c>
    </row>
    <row r="29" spans="2:5" x14ac:dyDescent="0.45">
      <c r="B29" s="7"/>
      <c r="C29" s="27"/>
    </row>
    <row r="30" spans="2:5" x14ac:dyDescent="0.45">
      <c r="B30" s="33" t="s">
        <v>8</v>
      </c>
      <c r="C30" s="27">
        <f>C$9*C$8</f>
        <v>1067</v>
      </c>
    </row>
    <row r="31" spans="2:5" ht="14.65" thickBot="1" x14ac:dyDescent="0.5">
      <c r="B31" s="36" t="s">
        <v>45</v>
      </c>
      <c r="C31" s="37">
        <f ca="1">(C28*(Other_Annual_Expense_Percent-IF(C$7&gt;=30,4%,0)))</f>
        <v>3592.7385416666657</v>
      </c>
    </row>
    <row r="32" spans="2:5" ht="14.65" thickTop="1" x14ac:dyDescent="0.45">
      <c r="B32" s="24" t="s">
        <v>71</v>
      </c>
      <c r="C32" s="49">
        <f ca="1">C28-C30-C31</f>
        <v>14760.469791666666</v>
      </c>
    </row>
    <row r="33" spans="2:5" x14ac:dyDescent="0.45">
      <c r="B33" s="24" t="s">
        <v>50</v>
      </c>
      <c r="C33" s="50">
        <f>Assumptions!C10</f>
        <v>0.02</v>
      </c>
    </row>
    <row r="35" spans="2:5" x14ac:dyDescent="0.45">
      <c r="B35" s="30" t="s">
        <v>93</v>
      </c>
    </row>
    <row r="37" spans="2:5" x14ac:dyDescent="0.45">
      <c r="B37" s="33" t="s">
        <v>42</v>
      </c>
      <c r="C37" s="53">
        <f>Assumptions!C11</f>
        <v>0.3</v>
      </c>
    </row>
    <row r="38" spans="2:5" x14ac:dyDescent="0.45">
      <c r="B38" s="34" t="s">
        <v>46</v>
      </c>
      <c r="C38" s="46">
        <f>(1+C37)^(1/C10)-1</f>
        <v>1.7644813405053306E-2</v>
      </c>
    </row>
    <row r="39" spans="2:5" x14ac:dyDescent="0.45">
      <c r="B39" s="24" t="s">
        <v>43</v>
      </c>
      <c r="C39" s="47">
        <f>D16*(1+C$37)</f>
        <v>9772750</v>
      </c>
    </row>
    <row r="41" spans="2:5" x14ac:dyDescent="0.45">
      <c r="B41" s="30" t="s">
        <v>94</v>
      </c>
    </row>
    <row r="43" spans="2:5" x14ac:dyDescent="0.45">
      <c r="B43" s="33" t="s">
        <v>39</v>
      </c>
      <c r="C43" s="40" t="str">
        <f>C14</f>
        <v>Asking Price</v>
      </c>
      <c r="D43" s="40" t="str">
        <f>D14</f>
        <v>Comparable</v>
      </c>
      <c r="E43" s="40" t="str">
        <f>E14</f>
        <v>IRR Netural Price</v>
      </c>
    </row>
    <row r="44" spans="2:5" x14ac:dyDescent="0.45">
      <c r="B44" s="33" t="s">
        <v>75</v>
      </c>
      <c r="C44" s="22">
        <f>C16</f>
        <v>7800000</v>
      </c>
      <c r="D44" s="22">
        <f t="shared" ref="D44:E44" si="1">D16</f>
        <v>7517500</v>
      </c>
      <c r="E44" s="22">
        <f t="shared" si="1"/>
        <v>7051188.9210803993</v>
      </c>
    </row>
    <row r="45" spans="2:5" x14ac:dyDescent="0.45">
      <c r="B45" s="33" t="s">
        <v>68</v>
      </c>
      <c r="C45" s="26">
        <f>C22</f>
        <v>8144800</v>
      </c>
      <c r="D45" s="26">
        <f>D22</f>
        <v>7850717.5</v>
      </c>
      <c r="E45" s="26">
        <f>E22</f>
        <v>7365287.6668446958</v>
      </c>
    </row>
    <row r="46" spans="2:5" x14ac:dyDescent="0.45">
      <c r="B46" s="33" t="s">
        <v>48</v>
      </c>
      <c r="C46" s="58">
        <f ca="1">C$32*12</f>
        <v>177125.63750000001</v>
      </c>
      <c r="D46" s="58"/>
      <c r="E46" s="58"/>
    </row>
    <row r="47" spans="2:5" ht="14.65" thickBot="1" x14ac:dyDescent="0.5">
      <c r="B47" s="36" t="s">
        <v>49</v>
      </c>
      <c r="C47" s="59">
        <f>C$39</f>
        <v>9772750</v>
      </c>
      <c r="D47" s="59"/>
      <c r="E47" s="59"/>
    </row>
    <row r="48" spans="2:5" ht="14.65" thickTop="1" x14ac:dyDescent="0.45">
      <c r="B48" s="24" t="s">
        <v>76</v>
      </c>
      <c r="C48" s="48">
        <f ca="1">RATE(15, $C46*(1+$C$33), -C45, $C47 / (1+$C$33)^15) + $C$33</f>
        <v>3.5712756815729746E-2</v>
      </c>
      <c r="D48" s="48">
        <f t="shared" ref="D48:E48" ca="1" si="2">RATE(15, $C46*(1+$C$33), -D45, $C47 / (1+$C$33)^15) + $C$33</f>
        <v>3.8628303343988556E-2</v>
      </c>
      <c r="E48" s="48">
        <f t="shared" ca="1" si="2"/>
        <v>4.3735038261089168E-2</v>
      </c>
    </row>
    <row r="50" spans="2:2" x14ac:dyDescent="0.45">
      <c r="B50" s="41" t="s">
        <v>77</v>
      </c>
    </row>
    <row r="51" spans="2:2" x14ac:dyDescent="0.45">
      <c r="B51" t="s">
        <v>78</v>
      </c>
    </row>
    <row r="52" spans="2:2" x14ac:dyDescent="0.45">
      <c r="B52" t="s">
        <v>79</v>
      </c>
    </row>
    <row r="53" spans="2:2" x14ac:dyDescent="0.45">
      <c r="B53" t="s">
        <v>80</v>
      </c>
    </row>
  </sheetData>
  <dataConsolidate/>
  <mergeCells count="5">
    <mergeCell ref="C17:E17"/>
    <mergeCell ref="C19:E19"/>
    <mergeCell ref="C20:E20"/>
    <mergeCell ref="C46:E46"/>
    <mergeCell ref="C47:E47"/>
  </mergeCells>
  <pageMargins left="0.25" right="0.25" top="0.75" bottom="0.75" header="0.3" footer="0.3"/>
  <pageSetup paperSize="9" scale="97" fitToWidth="0"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9B748-33FA-4405-BB75-AAF1632A9069}">
  <sheetPr>
    <pageSetUpPr fitToPage="1"/>
  </sheetPr>
  <dimension ref="B2:E53"/>
  <sheetViews>
    <sheetView showGridLines="0" zoomScale="94" zoomScaleNormal="100" workbookViewId="0">
      <selection activeCell="C21" sqref="C21"/>
    </sheetView>
  </sheetViews>
  <sheetFormatPr defaultColWidth="8.796875" defaultRowHeight="14.25" x14ac:dyDescent="0.45"/>
  <cols>
    <col min="1" max="1" width="2.6640625" customWidth="1"/>
    <col min="2" max="2" width="28.53125" customWidth="1"/>
    <col min="3" max="9" width="16.59765625" customWidth="1"/>
  </cols>
  <sheetData>
    <row r="2" spans="2:5" x14ac:dyDescent="0.45">
      <c r="B2" s="31" t="s">
        <v>87</v>
      </c>
    </row>
    <row r="4" spans="2:5" x14ac:dyDescent="0.45">
      <c r="B4" s="33" t="s">
        <v>41</v>
      </c>
      <c r="C4" s="17" t="s">
        <v>111</v>
      </c>
    </row>
    <row r="5" spans="2:5" x14ac:dyDescent="0.45">
      <c r="B5" s="33" t="s">
        <v>6</v>
      </c>
      <c r="C5" s="17" t="s">
        <v>7</v>
      </c>
    </row>
    <row r="6" spans="2:5" x14ac:dyDescent="0.45">
      <c r="B6" s="33" t="s">
        <v>23</v>
      </c>
      <c r="C6" s="18">
        <v>1995</v>
      </c>
    </row>
    <row r="7" spans="2:5" x14ac:dyDescent="0.45">
      <c r="B7" s="33" t="s">
        <v>33</v>
      </c>
      <c r="C7" s="19">
        <f ca="1">YEAR(TODAY())-C6</f>
        <v>31</v>
      </c>
    </row>
    <row r="8" spans="2:5" x14ac:dyDescent="0.45">
      <c r="B8" s="33" t="s">
        <v>82</v>
      </c>
      <c r="C8" s="20">
        <v>315</v>
      </c>
    </row>
    <row r="9" spans="2:5" x14ac:dyDescent="0.45">
      <c r="B9" s="33" t="s">
        <v>83</v>
      </c>
      <c r="C9" s="21">
        <v>2</v>
      </c>
    </row>
    <row r="10" spans="2:5" x14ac:dyDescent="0.45">
      <c r="B10" s="33" t="s">
        <v>38</v>
      </c>
      <c r="C10" s="51">
        <f>Holding_Period</f>
        <v>15</v>
      </c>
    </row>
    <row r="12" spans="2:5" x14ac:dyDescent="0.45">
      <c r="B12" s="30" t="s">
        <v>89</v>
      </c>
    </row>
    <row r="14" spans="2:5" x14ac:dyDescent="0.45">
      <c r="B14" s="33" t="s">
        <v>39</v>
      </c>
      <c r="C14" s="6" t="s">
        <v>47</v>
      </c>
      <c r="D14" s="6" t="s">
        <v>40</v>
      </c>
      <c r="E14" s="6" t="s">
        <v>106</v>
      </c>
    </row>
    <row r="15" spans="2:5" x14ac:dyDescent="0.45">
      <c r="B15" s="34" t="s">
        <v>84</v>
      </c>
      <c r="C15" s="28">
        <f>C16/C8</f>
        <v>13587.301587301587</v>
      </c>
      <c r="D15" s="29">
        <v>13587</v>
      </c>
      <c r="E15" s="28">
        <f>E16/C8</f>
        <v>12262.119150039165</v>
      </c>
    </row>
    <row r="16" spans="2:5" x14ac:dyDescent="0.45">
      <c r="B16" s="33" t="s">
        <v>51</v>
      </c>
      <c r="C16" s="16">
        <v>4280000</v>
      </c>
      <c r="D16" s="22">
        <f>D15*C$8</f>
        <v>4279905</v>
      </c>
      <c r="E16" s="45">
        <v>3862567.5322623369</v>
      </c>
    </row>
    <row r="17" spans="2:5" x14ac:dyDescent="0.45">
      <c r="B17" s="33" t="s">
        <v>66</v>
      </c>
      <c r="C17" s="60">
        <f>Assumptions!C15</f>
        <v>0.01</v>
      </c>
      <c r="D17" s="60"/>
      <c r="E17" s="60"/>
    </row>
    <row r="18" spans="2:5" x14ac:dyDescent="0.45">
      <c r="B18" s="33" t="s">
        <v>63</v>
      </c>
      <c r="C18" s="10">
        <v>5.5E-2</v>
      </c>
      <c r="D18" s="10">
        <f>C18</f>
        <v>5.5E-2</v>
      </c>
      <c r="E18" s="10">
        <f>D18</f>
        <v>5.5E-2</v>
      </c>
    </row>
    <row r="19" spans="2:5" x14ac:dyDescent="0.45">
      <c r="B19" s="33" t="s">
        <v>65</v>
      </c>
      <c r="C19" s="60">
        <f>Assumptions!C18</f>
        <v>1E-3</v>
      </c>
      <c r="D19" s="60"/>
      <c r="E19" s="60"/>
    </row>
    <row r="20" spans="2:5" x14ac:dyDescent="0.45">
      <c r="B20" s="33" t="s">
        <v>67</v>
      </c>
      <c r="C20" s="61">
        <f>Assumptions!C16+Assumptions!C17</f>
        <v>25000</v>
      </c>
      <c r="D20" s="61"/>
      <c r="E20" s="61"/>
    </row>
    <row r="21" spans="2:5" ht="14.65" thickBot="1" x14ac:dyDescent="0.5">
      <c r="B21" s="36" t="s">
        <v>112</v>
      </c>
      <c r="C21" s="54">
        <v>135000</v>
      </c>
      <c r="D21" s="54">
        <v>135000</v>
      </c>
      <c r="E21" s="54">
        <v>135000</v>
      </c>
    </row>
    <row r="22" spans="2:5" ht="14.65" thickTop="1" x14ac:dyDescent="0.45">
      <c r="B22" s="24" t="s">
        <v>68</v>
      </c>
      <c r="C22" s="25">
        <f>C16+C16*($C$17+C18+$C$19)+$C$20+C21</f>
        <v>4722480</v>
      </c>
      <c r="D22" s="25">
        <f t="shared" ref="D22:E22" si="0">D16+D16*($C$17+D18+$C$19)+$C$20+D21</f>
        <v>4722378.7300000004</v>
      </c>
      <c r="E22" s="25">
        <f t="shared" si="0"/>
        <v>4277496.989391651</v>
      </c>
    </row>
    <row r="24" spans="2:5" x14ac:dyDescent="0.45">
      <c r="B24" s="30" t="s">
        <v>88</v>
      </c>
    </row>
    <row r="25" spans="2:5" ht="14.25" customHeight="1" x14ac:dyDescent="0.45">
      <c r="C25" s="5"/>
    </row>
    <row r="26" spans="2:5" x14ac:dyDescent="0.45">
      <c r="B26" s="33" t="s">
        <v>69</v>
      </c>
      <c r="C26" s="52">
        <v>4.2057008274716381E-2</v>
      </c>
    </row>
    <row r="27" spans="2:5" x14ac:dyDescent="0.45">
      <c r="B27" s="34" t="s">
        <v>44</v>
      </c>
      <c r="C27" s="32">
        <f>D16</f>
        <v>4279905</v>
      </c>
    </row>
    <row r="28" spans="2:5" x14ac:dyDescent="0.45">
      <c r="B28" s="24" t="s">
        <v>70</v>
      </c>
      <c r="C28" s="49">
        <f>C27*C$26/12</f>
        <v>15000.000000000002</v>
      </c>
    </row>
    <row r="29" spans="2:5" x14ac:dyDescent="0.45">
      <c r="B29" s="7"/>
      <c r="C29" s="27"/>
    </row>
    <row r="30" spans="2:5" x14ac:dyDescent="0.45">
      <c r="B30" s="33" t="s">
        <v>8</v>
      </c>
      <c r="C30" s="27">
        <f>C$9*C$8</f>
        <v>630</v>
      </c>
    </row>
    <row r="31" spans="2:5" ht="14.65" thickBot="1" x14ac:dyDescent="0.5">
      <c r="B31" s="36" t="s">
        <v>45</v>
      </c>
      <c r="C31" s="37">
        <f ca="1">(C28*(Other_Annual_Expense_Percent-IF(C$7&gt;=30,4%,0)))</f>
        <v>2174.9999999999995</v>
      </c>
    </row>
    <row r="32" spans="2:5" ht="14.65" thickTop="1" x14ac:dyDescent="0.45">
      <c r="B32" s="24" t="s">
        <v>71</v>
      </c>
      <c r="C32" s="49">
        <f ca="1">C28-C30-C31</f>
        <v>12195.000000000002</v>
      </c>
    </row>
    <row r="33" spans="2:5" x14ac:dyDescent="0.45">
      <c r="B33" s="24" t="s">
        <v>50</v>
      </c>
      <c r="C33" s="50">
        <f>Assumptions!C10</f>
        <v>0.02</v>
      </c>
    </row>
    <row r="35" spans="2:5" x14ac:dyDescent="0.45">
      <c r="B35" s="30" t="s">
        <v>93</v>
      </c>
    </row>
    <row r="37" spans="2:5" x14ac:dyDescent="0.45">
      <c r="B37" s="33" t="s">
        <v>42</v>
      </c>
      <c r="C37" s="53">
        <v>0</v>
      </c>
    </row>
    <row r="38" spans="2:5" x14ac:dyDescent="0.45">
      <c r="B38" s="34" t="s">
        <v>46</v>
      </c>
      <c r="C38" s="46">
        <f>(1+C37)^(1/C10)-1</f>
        <v>0</v>
      </c>
    </row>
    <row r="39" spans="2:5" x14ac:dyDescent="0.45">
      <c r="B39" s="24" t="s">
        <v>43</v>
      </c>
      <c r="C39" s="47">
        <f>D16*(1+C$37)</f>
        <v>4279905</v>
      </c>
    </row>
    <row r="41" spans="2:5" x14ac:dyDescent="0.45">
      <c r="B41" s="30" t="s">
        <v>94</v>
      </c>
    </row>
    <row r="43" spans="2:5" x14ac:dyDescent="0.45">
      <c r="B43" s="33" t="s">
        <v>39</v>
      </c>
      <c r="C43" s="40" t="str">
        <f>C14</f>
        <v>Asking Price</v>
      </c>
      <c r="D43" s="40" t="str">
        <f>D14</f>
        <v>Comparable</v>
      </c>
      <c r="E43" s="40" t="str">
        <f>E14</f>
        <v>IRR Netural Price</v>
      </c>
    </row>
    <row r="44" spans="2:5" x14ac:dyDescent="0.45">
      <c r="B44" s="33" t="s">
        <v>75</v>
      </c>
      <c r="C44" s="22">
        <f>C16</f>
        <v>4280000</v>
      </c>
      <c r="D44" s="22">
        <f t="shared" ref="D44:E44" si="1">D16</f>
        <v>4279905</v>
      </c>
      <c r="E44" s="22">
        <f t="shared" si="1"/>
        <v>3862567.5322623369</v>
      </c>
    </row>
    <row r="45" spans="2:5" x14ac:dyDescent="0.45">
      <c r="B45" s="33" t="s">
        <v>68</v>
      </c>
      <c r="C45" s="26">
        <f>C22</f>
        <v>4722480</v>
      </c>
      <c r="D45" s="26">
        <f>D22</f>
        <v>4722378.7300000004</v>
      </c>
      <c r="E45" s="26">
        <f>E22</f>
        <v>4277496.989391651</v>
      </c>
    </row>
    <row r="46" spans="2:5" x14ac:dyDescent="0.45">
      <c r="B46" s="33" t="s">
        <v>48</v>
      </c>
      <c r="C46" s="58">
        <f ca="1">C$32*12</f>
        <v>146340.00000000003</v>
      </c>
      <c r="D46" s="58"/>
      <c r="E46" s="58"/>
    </row>
    <row r="47" spans="2:5" ht="14.65" thickBot="1" x14ac:dyDescent="0.5">
      <c r="B47" s="36" t="s">
        <v>49</v>
      </c>
      <c r="C47" s="59">
        <f>C$39</f>
        <v>4279905</v>
      </c>
      <c r="D47" s="59"/>
      <c r="E47" s="59"/>
    </row>
    <row r="48" spans="2:5" ht="14.65" thickTop="1" x14ac:dyDescent="0.45">
      <c r="B48" s="24" t="s">
        <v>76</v>
      </c>
      <c r="C48" s="48">
        <f ca="1">RATE(15, $C46*(1+$C$33), -C45, $C47 / (1+$C$33)^15) + $C$33</f>
        <v>3.1538049414762341E-2</v>
      </c>
      <c r="D48" s="48">
        <f t="shared" ref="D48:E48" ca="1" si="2">RATE(15, $C46*(1+$C$33), -D45, $C47 / (1+$C$33)^15) + $C$33</f>
        <v>3.153987598185972E-2</v>
      </c>
      <c r="E48" s="48">
        <f t="shared" ca="1" si="2"/>
        <v>4.006688888639906E-2</v>
      </c>
    </row>
    <row r="50" spans="2:2" x14ac:dyDescent="0.45">
      <c r="B50" s="41" t="s">
        <v>77</v>
      </c>
    </row>
    <row r="51" spans="2:2" x14ac:dyDescent="0.45">
      <c r="B51" t="s">
        <v>78</v>
      </c>
    </row>
    <row r="52" spans="2:2" x14ac:dyDescent="0.45">
      <c r="B52" t="s">
        <v>79</v>
      </c>
    </row>
    <row r="53" spans="2:2" x14ac:dyDescent="0.45">
      <c r="B53" t="s">
        <v>80</v>
      </c>
    </row>
  </sheetData>
  <dataConsolidate/>
  <mergeCells count="5">
    <mergeCell ref="C17:E17"/>
    <mergeCell ref="C19:E19"/>
    <mergeCell ref="C20:E20"/>
    <mergeCell ref="C46:E46"/>
    <mergeCell ref="C47:E47"/>
  </mergeCells>
  <pageMargins left="0.25" right="0.25" top="0.75" bottom="0.75" header="0.3" footer="0.3"/>
  <pageSetup paperSize="9" scale="94" fitToWidth="0"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F1B36-25FE-4F70-8854-2FC395D8FBE5}">
  <sheetPr>
    <pageSetUpPr fitToPage="1"/>
  </sheetPr>
  <dimension ref="B2:D17"/>
  <sheetViews>
    <sheetView workbookViewId="0">
      <selection activeCell="D4" sqref="D4"/>
    </sheetView>
  </sheetViews>
  <sheetFormatPr defaultRowHeight="14.25" x14ac:dyDescent="0.45"/>
  <cols>
    <col min="1" max="1" width="2.59765625" customWidth="1"/>
    <col min="2" max="2" width="93.06640625" customWidth="1"/>
    <col min="3" max="3" width="2.59765625" customWidth="1"/>
    <col min="4" max="4" width="93.06640625" customWidth="1"/>
  </cols>
  <sheetData>
    <row r="2" spans="2:4" x14ac:dyDescent="0.45">
      <c r="B2" s="42" t="s">
        <v>81</v>
      </c>
      <c r="C2" s="43"/>
      <c r="D2" s="42" t="s">
        <v>97</v>
      </c>
    </row>
    <row r="3" spans="2:4" x14ac:dyDescent="0.45">
      <c r="B3" s="43"/>
      <c r="C3" s="43"/>
      <c r="D3" s="43"/>
    </row>
    <row r="4" spans="2:4" ht="57" x14ac:dyDescent="0.45">
      <c r="B4" s="44" t="s">
        <v>104</v>
      </c>
      <c r="C4" s="43"/>
      <c r="D4" s="44" t="s">
        <v>105</v>
      </c>
    </row>
    <row r="5" spans="2:4" x14ac:dyDescent="0.45">
      <c r="B5" s="43"/>
      <c r="C5" s="43"/>
      <c r="D5" s="43"/>
    </row>
    <row r="6" spans="2:4" ht="128.25" x14ac:dyDescent="0.45">
      <c r="B6" s="44" t="s">
        <v>90</v>
      </c>
      <c r="C6" s="43"/>
      <c r="D6" s="44" t="s">
        <v>98</v>
      </c>
    </row>
    <row r="7" spans="2:4" x14ac:dyDescent="0.45">
      <c r="B7" s="43"/>
      <c r="C7" s="43"/>
      <c r="D7" s="43"/>
    </row>
    <row r="8" spans="2:4" ht="85.5" x14ac:dyDescent="0.45">
      <c r="B8" s="44" t="s">
        <v>92</v>
      </c>
      <c r="C8" s="43"/>
      <c r="D8" s="44" t="s">
        <v>99</v>
      </c>
    </row>
    <row r="9" spans="2:4" x14ac:dyDescent="0.45">
      <c r="B9" s="43"/>
      <c r="C9" s="43"/>
      <c r="D9" s="43"/>
    </row>
    <row r="10" spans="2:4" ht="85.5" x14ac:dyDescent="0.45">
      <c r="B10" s="44" t="s">
        <v>91</v>
      </c>
      <c r="C10" s="43"/>
      <c r="D10" s="44" t="s">
        <v>100</v>
      </c>
    </row>
    <row r="11" spans="2:4" x14ac:dyDescent="0.45">
      <c r="B11" s="43"/>
      <c r="C11" s="43"/>
      <c r="D11" s="43"/>
    </row>
    <row r="12" spans="2:4" x14ac:dyDescent="0.45">
      <c r="B12" s="43"/>
      <c r="C12" s="43"/>
      <c r="D12" s="43"/>
    </row>
    <row r="13" spans="2:4" ht="71.25" x14ac:dyDescent="0.45">
      <c r="B13" s="44" t="s">
        <v>85</v>
      </c>
      <c r="C13" s="43"/>
      <c r="D13" s="44" t="s">
        <v>101</v>
      </c>
    </row>
    <row r="14" spans="2:4" x14ac:dyDescent="0.45">
      <c r="B14" s="43"/>
      <c r="C14" s="43"/>
      <c r="D14" s="43"/>
    </row>
    <row r="15" spans="2:4" ht="128.25" x14ac:dyDescent="0.45">
      <c r="B15" s="44" t="s">
        <v>95</v>
      </c>
      <c r="C15" s="43"/>
      <c r="D15" s="44" t="s">
        <v>102</v>
      </c>
    </row>
    <row r="16" spans="2:4" x14ac:dyDescent="0.45">
      <c r="B16" s="43"/>
      <c r="C16" s="43"/>
      <c r="D16" s="43"/>
    </row>
    <row r="17" spans="2:4" ht="85.5" x14ac:dyDescent="0.45">
      <c r="B17" s="44" t="s">
        <v>96</v>
      </c>
      <c r="C17" s="43"/>
      <c r="D17" s="44" t="s">
        <v>103</v>
      </c>
    </row>
  </sheetData>
  <pageMargins left="0.25" right="0.25" top="0.75" bottom="0.75" header="0.3" footer="0.3"/>
  <pageSetup paperSize="9" scale="51"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5</vt:i4>
      </vt:variant>
      <vt:variant>
        <vt:lpstr>命名范围</vt:lpstr>
      </vt:variant>
      <vt:variant>
        <vt:i4>5</vt:i4>
      </vt:variant>
    </vt:vector>
  </HeadingPairs>
  <TitlesOfParts>
    <vt:vector size="10" baseType="lpstr">
      <vt:lpstr>Assumptions</vt:lpstr>
      <vt:lpstr>銀海山莊</vt:lpstr>
      <vt:lpstr>Quarry bay</vt:lpstr>
      <vt:lpstr>翠荷苑</vt:lpstr>
      <vt:lpstr>Logic_Summary</vt:lpstr>
      <vt:lpstr>Cap_Rate</vt:lpstr>
      <vt:lpstr>HKDCNY</vt:lpstr>
      <vt:lpstr>HKDUSD</vt:lpstr>
      <vt:lpstr>Holding_Period</vt:lpstr>
      <vt:lpstr>Other_Annual_Expense_Percent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2026-01-27T09:08:29Z</cp:lastPrinted>
  <dcterms:created xsi:type="dcterms:W3CDTF">2022-12-06T06:37:33Z</dcterms:created>
  <dcterms:modified xsi:type="dcterms:W3CDTF">2026-01-28T02:30:28Z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